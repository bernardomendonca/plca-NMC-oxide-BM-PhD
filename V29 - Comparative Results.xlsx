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0. PHD\001. Articles\2024_LCIA_DRAFT\3 - Results (pre)\"/>
    </mc:Choice>
  </mc:AlternateContent>
  <xr:revisionPtr revIDLastSave="0" documentId="13_ncr:1_{783DB220-5480-448D-9D07-8FD5B6F350C0}" xr6:coauthVersionLast="47" xr6:coauthVersionMax="47" xr10:uidLastSave="{00000000-0000-0000-0000-000000000000}"/>
  <bookViews>
    <workbookView xWindow="28680" yWindow="-120" windowWidth="38640" windowHeight="21240" firstSheet="1" activeTab="7" xr2:uid="{2E60D454-C62C-4D42-B80E-E71F3A29F384}"/>
  </bookViews>
  <sheets>
    <sheet name="Results_list" sheetId="1" r:id="rId1"/>
    <sheet name="Results_total" sheetId="16" r:id="rId2"/>
    <sheet name="Results_filtered" sheetId="20" r:id="rId3"/>
    <sheet name="Results_NMC111" sheetId="23" r:id="rId4"/>
    <sheet name="SSP1_Baseline" sheetId="3" r:id="rId5"/>
    <sheet name="SSP1_VSI" sheetId="4" r:id="rId6"/>
    <sheet name="SSP2_Baseline" sheetId="6" r:id="rId7"/>
    <sheet name="SSP2_VSI" sheetId="7" r:id="rId8"/>
    <sheet name="SSP5_Baseline" sheetId="8" r:id="rId9"/>
    <sheet name="SSP5_VSI" sheetId="9" r:id="rId10"/>
    <sheet name="NMC_results" sheetId="24" r:id="rId11"/>
    <sheet name="Sheet2" sheetId="25" r:id="rId12"/>
  </sheets>
  <definedNames>
    <definedName name="_xlnm._FilterDatabase" localSheetId="4" hidden="1">SSP1_Baseline!$A$1:$I$1</definedName>
    <definedName name="_xlnm._FilterDatabase" localSheetId="5" hidden="1">SSP1_VSI!$A$1:$I$1369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6" i="24" l="1"/>
  <c r="AU26" i="24"/>
  <c r="AT26" i="24"/>
  <c r="AS26" i="24"/>
  <c r="AR26" i="24"/>
  <c r="AQ26" i="24"/>
  <c r="AP26" i="24"/>
  <c r="AO26" i="24"/>
  <c r="AN26" i="24"/>
  <c r="AM26" i="24"/>
  <c r="AL26" i="24"/>
  <c r="AK26" i="24"/>
  <c r="AJ26" i="24"/>
  <c r="AI26" i="24"/>
  <c r="AH26" i="24"/>
  <c r="AG26" i="24"/>
  <c r="AF26" i="24"/>
  <c r="AV24" i="24"/>
  <c r="AU24" i="24"/>
  <c r="AT24" i="24"/>
  <c r="AS24" i="24"/>
  <c r="AR24" i="24"/>
  <c r="AQ24" i="24"/>
  <c r="AP24" i="24"/>
  <c r="AO24" i="24"/>
  <c r="AN24" i="24"/>
  <c r="AM24" i="24"/>
  <c r="AL24" i="24"/>
  <c r="AK24" i="24"/>
  <c r="AJ24" i="24"/>
  <c r="AI24" i="24"/>
  <c r="AH24" i="24"/>
  <c r="AG24" i="24"/>
  <c r="AF24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V14" i="24"/>
  <c r="AU14" i="24"/>
  <c r="AT14" i="24"/>
  <c r="AS14" i="24"/>
  <c r="AR14" i="24"/>
  <c r="AQ14" i="24"/>
  <c r="AP14" i="24"/>
  <c r="AO14" i="24"/>
  <c r="AN14" i="24"/>
  <c r="AM14" i="24"/>
  <c r="AL14" i="24"/>
  <c r="AK14" i="24"/>
  <c r="AJ14" i="24"/>
  <c r="AI14" i="24"/>
  <c r="AH14" i="24"/>
  <c r="AG14" i="24"/>
  <c r="AF14" i="24"/>
  <c r="AV12" i="24"/>
  <c r="AU12" i="24"/>
  <c r="AT12" i="24"/>
  <c r="AS12" i="24"/>
  <c r="AR12" i="24"/>
  <c r="AQ12" i="24"/>
  <c r="AP12" i="24"/>
  <c r="AO12" i="24"/>
  <c r="AN12" i="24"/>
  <c r="AM12" i="24"/>
  <c r="AL12" i="24"/>
  <c r="AK12" i="24"/>
  <c r="AJ12" i="24"/>
  <c r="AI12" i="24"/>
  <c r="AH12" i="24"/>
  <c r="AG12" i="24"/>
  <c r="AF12" i="24"/>
  <c r="AV10" i="24"/>
  <c r="AU10" i="24"/>
  <c r="AT10" i="24"/>
  <c r="AS10" i="24"/>
  <c r="AR10" i="24"/>
  <c r="AQ10" i="24"/>
  <c r="AP10" i="24"/>
  <c r="AO10" i="24"/>
  <c r="AN10" i="24"/>
  <c r="AM10" i="24"/>
  <c r="AL10" i="24"/>
  <c r="AK10" i="24"/>
  <c r="AJ10" i="24"/>
  <c r="AI10" i="24"/>
  <c r="AH10" i="24"/>
  <c r="AG10" i="24"/>
  <c r="AF10" i="24"/>
  <c r="AV8" i="24"/>
  <c r="AU8" i="24"/>
  <c r="AT8" i="24"/>
  <c r="AS8" i="24"/>
  <c r="AR8" i="24"/>
  <c r="AQ8" i="24"/>
  <c r="AP8" i="24"/>
  <c r="AO8" i="24"/>
  <c r="AN8" i="24"/>
  <c r="AM8" i="24"/>
  <c r="AL8" i="24"/>
  <c r="AK8" i="24"/>
  <c r="AJ8" i="24"/>
  <c r="AI8" i="24"/>
  <c r="AH8" i="24"/>
  <c r="AG8" i="24"/>
  <c r="AF8" i="24"/>
  <c r="AV6" i="24"/>
  <c r="AU6" i="24"/>
  <c r="AT6" i="24"/>
  <c r="AS6" i="24"/>
  <c r="AR6" i="24"/>
  <c r="AQ6" i="24"/>
  <c r="AP6" i="24"/>
  <c r="AO6" i="24"/>
  <c r="AN6" i="24"/>
  <c r="AM6" i="24"/>
  <c r="AL6" i="24"/>
  <c r="AK6" i="24"/>
  <c r="AJ6" i="24"/>
  <c r="AI6" i="24"/>
  <c r="AH6" i="24"/>
  <c r="AG6" i="24"/>
  <c r="AF6" i="24"/>
  <c r="AV4" i="24"/>
  <c r="AU4" i="24"/>
  <c r="AT4" i="24"/>
  <c r="AS4" i="24"/>
  <c r="AR4" i="24"/>
  <c r="AQ4" i="24"/>
  <c r="AP4" i="24"/>
  <c r="AO4" i="24"/>
  <c r="AN4" i="24"/>
  <c r="AM4" i="24"/>
  <c r="AL4" i="24"/>
  <c r="AK4" i="24"/>
  <c r="AJ4" i="24"/>
  <c r="AI4" i="24"/>
  <c r="AH4" i="24"/>
  <c r="AG4" i="24"/>
  <c r="AF4" i="24"/>
  <c r="AE26" i="24"/>
  <c r="AE24" i="24"/>
  <c r="AE22" i="24"/>
  <c r="AE20" i="24"/>
  <c r="AE18" i="24"/>
  <c r="AE16" i="24"/>
  <c r="AE14" i="24"/>
  <c r="AE12" i="24"/>
  <c r="AE10" i="24"/>
  <c r="AE8" i="24"/>
  <c r="AE6" i="24"/>
  <c r="AE4" i="24"/>
  <c r="AT1" i="24"/>
  <c r="AU1" i="24"/>
  <c r="AV1" i="24"/>
  <c r="AF1" i="24"/>
  <c r="AG1" i="24"/>
  <c r="AH1" i="24"/>
  <c r="AI1" i="24"/>
  <c r="AJ1" i="24"/>
  <c r="AK1" i="24"/>
  <c r="AL1" i="24"/>
  <c r="AM1" i="24"/>
  <c r="AN1" i="24"/>
  <c r="AO1" i="24"/>
  <c r="AP1" i="24"/>
  <c r="AQ1" i="24"/>
  <c r="AR1" i="24"/>
  <c r="AS1" i="24"/>
  <c r="AE1" i="24"/>
  <c r="AC126" i="20"/>
  <c r="AB126" i="20"/>
  <c r="Z126" i="20"/>
  <c r="Y126" i="20"/>
  <c r="W126" i="20"/>
  <c r="V126" i="20"/>
  <c r="N126" i="20"/>
  <c r="M126" i="20"/>
  <c r="K126" i="20"/>
  <c r="J126" i="20"/>
  <c r="H126" i="20"/>
  <c r="G126" i="20"/>
  <c r="N84" i="20"/>
  <c r="M84" i="20"/>
  <c r="K84" i="20"/>
  <c r="J84" i="20"/>
  <c r="H84" i="20"/>
  <c r="G84" i="20"/>
  <c r="AC125" i="20"/>
  <c r="AB125" i="20"/>
  <c r="Z125" i="20"/>
  <c r="Y125" i="20"/>
  <c r="W125" i="20"/>
  <c r="V125" i="20"/>
  <c r="N125" i="20"/>
  <c r="M125" i="20"/>
  <c r="K125" i="20"/>
  <c r="J125" i="20"/>
  <c r="H125" i="20"/>
  <c r="G125" i="20"/>
  <c r="N83" i="20"/>
  <c r="M83" i="20"/>
  <c r="K83" i="20"/>
  <c r="J83" i="20"/>
  <c r="H83" i="20"/>
  <c r="G83" i="20"/>
  <c r="AC124" i="20"/>
  <c r="AB124" i="20"/>
  <c r="Z124" i="20"/>
  <c r="Y124" i="20"/>
  <c r="W124" i="20"/>
  <c r="V124" i="20"/>
  <c r="N124" i="20"/>
  <c r="M124" i="20"/>
  <c r="K124" i="20"/>
  <c r="J124" i="20"/>
  <c r="H124" i="20"/>
  <c r="G124" i="20"/>
  <c r="N82" i="20"/>
  <c r="M82" i="20"/>
  <c r="K82" i="20"/>
  <c r="J82" i="20"/>
  <c r="H82" i="20"/>
  <c r="G82" i="20"/>
  <c r="AC123" i="20"/>
  <c r="AB123" i="20"/>
  <c r="Z123" i="20"/>
  <c r="Y123" i="20"/>
  <c r="W123" i="20"/>
  <c r="V123" i="20"/>
  <c r="N123" i="20"/>
  <c r="M123" i="20"/>
  <c r="K123" i="20"/>
  <c r="J123" i="20"/>
  <c r="H123" i="20"/>
  <c r="G123" i="20"/>
  <c r="N81" i="20"/>
  <c r="M81" i="20"/>
  <c r="K81" i="20"/>
  <c r="J81" i="20"/>
  <c r="H81" i="20"/>
  <c r="G81" i="20"/>
  <c r="AC122" i="20"/>
  <c r="AB122" i="20"/>
  <c r="Z122" i="20"/>
  <c r="Y122" i="20"/>
  <c r="W122" i="20"/>
  <c r="V122" i="20"/>
  <c r="N122" i="20"/>
  <c r="M122" i="20"/>
  <c r="K122" i="20"/>
  <c r="J122" i="20"/>
  <c r="H122" i="20"/>
  <c r="G122" i="20"/>
  <c r="N80" i="20"/>
  <c r="M80" i="20"/>
  <c r="K80" i="20"/>
  <c r="J80" i="20"/>
  <c r="H80" i="20"/>
  <c r="G80" i="20"/>
  <c r="AC121" i="20"/>
  <c r="AB121" i="20"/>
  <c r="Z121" i="20"/>
  <c r="Y121" i="20"/>
  <c r="W121" i="20"/>
  <c r="V121" i="20"/>
  <c r="N121" i="20"/>
  <c r="M121" i="20"/>
  <c r="K121" i="20"/>
  <c r="J121" i="20"/>
  <c r="H121" i="20"/>
  <c r="G121" i="20"/>
  <c r="N79" i="20"/>
  <c r="M79" i="20"/>
  <c r="K79" i="20"/>
  <c r="J79" i="20"/>
  <c r="H79" i="20"/>
  <c r="G79" i="20"/>
  <c r="AC120" i="20"/>
  <c r="AB120" i="20"/>
  <c r="Z120" i="20"/>
  <c r="Y120" i="20"/>
  <c r="W120" i="20"/>
  <c r="V120" i="20"/>
  <c r="N120" i="20"/>
  <c r="M120" i="20"/>
  <c r="K120" i="20"/>
  <c r="J120" i="20"/>
  <c r="H120" i="20"/>
  <c r="G120" i="20"/>
  <c r="N78" i="20"/>
  <c r="M78" i="20"/>
  <c r="K78" i="20"/>
  <c r="J78" i="20"/>
  <c r="H78" i="20"/>
  <c r="G78" i="20"/>
  <c r="AC119" i="20"/>
  <c r="AB119" i="20"/>
  <c r="Z119" i="20"/>
  <c r="Y119" i="20"/>
  <c r="W119" i="20"/>
  <c r="V119" i="20"/>
  <c r="N119" i="20"/>
  <c r="M119" i="20"/>
  <c r="K119" i="20"/>
  <c r="J119" i="20"/>
  <c r="H119" i="20"/>
  <c r="G119" i="20"/>
  <c r="N77" i="20"/>
  <c r="M77" i="20"/>
  <c r="K77" i="20"/>
  <c r="J77" i="20"/>
  <c r="H77" i="20"/>
  <c r="G77" i="20"/>
  <c r="AC118" i="20"/>
  <c r="AB118" i="20"/>
  <c r="Z118" i="20"/>
  <c r="Y118" i="20"/>
  <c r="W118" i="20"/>
  <c r="V118" i="20"/>
  <c r="N118" i="20"/>
  <c r="M118" i="20"/>
  <c r="K118" i="20"/>
  <c r="J118" i="20"/>
  <c r="H118" i="20"/>
  <c r="G118" i="20"/>
  <c r="N76" i="20"/>
  <c r="M76" i="20"/>
  <c r="K76" i="20"/>
  <c r="J76" i="20"/>
  <c r="H76" i="20"/>
  <c r="G76" i="20"/>
  <c r="AC117" i="20"/>
  <c r="AB117" i="20"/>
  <c r="Z117" i="20"/>
  <c r="Y117" i="20"/>
  <c r="W117" i="20"/>
  <c r="V117" i="20"/>
  <c r="N117" i="20"/>
  <c r="M117" i="20"/>
  <c r="K117" i="20"/>
  <c r="J117" i="20"/>
  <c r="H117" i="20"/>
  <c r="G117" i="20"/>
  <c r="N75" i="20"/>
  <c r="M75" i="20"/>
  <c r="K75" i="20"/>
  <c r="J75" i="20"/>
  <c r="H75" i="20"/>
  <c r="G75" i="20"/>
  <c r="AC116" i="20"/>
  <c r="AB116" i="20"/>
  <c r="Z116" i="20"/>
  <c r="Y116" i="20"/>
  <c r="W116" i="20"/>
  <c r="V116" i="20"/>
  <c r="N116" i="20"/>
  <c r="M116" i="20"/>
  <c r="K116" i="20"/>
  <c r="J116" i="20"/>
  <c r="H116" i="20"/>
  <c r="G116" i="20"/>
  <c r="N74" i="20"/>
  <c r="M74" i="20"/>
  <c r="K74" i="20"/>
  <c r="J74" i="20"/>
  <c r="H74" i="20"/>
  <c r="G74" i="20"/>
  <c r="AC115" i="20"/>
  <c r="AB115" i="20"/>
  <c r="Z115" i="20"/>
  <c r="Y115" i="20"/>
  <c r="W115" i="20"/>
  <c r="V115" i="20"/>
  <c r="N115" i="20"/>
  <c r="M115" i="20"/>
  <c r="K115" i="20"/>
  <c r="J115" i="20"/>
  <c r="H115" i="20"/>
  <c r="G115" i="20"/>
  <c r="N73" i="20"/>
  <c r="M73" i="20"/>
  <c r="K73" i="20"/>
  <c r="J73" i="20"/>
  <c r="H73" i="20"/>
  <c r="G73" i="20"/>
  <c r="AC114" i="20"/>
  <c r="AB114" i="20"/>
  <c r="Z114" i="20"/>
  <c r="Y114" i="20"/>
  <c r="W114" i="20"/>
  <c r="V114" i="20"/>
  <c r="N114" i="20"/>
  <c r="M114" i="20"/>
  <c r="K114" i="20"/>
  <c r="J114" i="20"/>
  <c r="H114" i="20"/>
  <c r="G114" i="20"/>
  <c r="N72" i="20"/>
  <c r="M72" i="20"/>
  <c r="K72" i="20"/>
  <c r="J72" i="20"/>
  <c r="H72" i="20"/>
  <c r="G72" i="20"/>
  <c r="AC113" i="20"/>
  <c r="AB113" i="20"/>
  <c r="Z113" i="20"/>
  <c r="Y113" i="20"/>
  <c r="W113" i="20"/>
  <c r="V113" i="20"/>
  <c r="N113" i="20"/>
  <c r="M113" i="20"/>
  <c r="K113" i="20"/>
  <c r="J113" i="20"/>
  <c r="H113" i="20"/>
  <c r="G113" i="20"/>
  <c r="N71" i="20"/>
  <c r="M71" i="20"/>
  <c r="K71" i="20"/>
  <c r="J71" i="20"/>
  <c r="H71" i="20"/>
  <c r="G71" i="20"/>
  <c r="AC112" i="20"/>
  <c r="AB112" i="20"/>
  <c r="Z112" i="20"/>
  <c r="Y112" i="20"/>
  <c r="W112" i="20"/>
  <c r="V112" i="20"/>
  <c r="N112" i="20"/>
  <c r="M112" i="20"/>
  <c r="K112" i="20"/>
  <c r="J112" i="20"/>
  <c r="H112" i="20"/>
  <c r="G112" i="20"/>
  <c r="N70" i="20"/>
  <c r="M70" i="20"/>
  <c r="K70" i="20"/>
  <c r="J70" i="20"/>
  <c r="H70" i="20"/>
  <c r="G70" i="20"/>
  <c r="AC111" i="20"/>
  <c r="AB111" i="20"/>
  <c r="Z111" i="20"/>
  <c r="Y111" i="20"/>
  <c r="W111" i="20"/>
  <c r="V111" i="20"/>
  <c r="N111" i="20"/>
  <c r="M111" i="20"/>
  <c r="K111" i="20"/>
  <c r="J111" i="20"/>
  <c r="H111" i="20"/>
  <c r="G111" i="20"/>
  <c r="N69" i="20"/>
  <c r="M69" i="20"/>
  <c r="K69" i="20"/>
  <c r="J69" i="20"/>
  <c r="H69" i="20"/>
  <c r="G69" i="20"/>
  <c r="AC110" i="20"/>
  <c r="AB110" i="20"/>
  <c r="Z110" i="20"/>
  <c r="Y110" i="20"/>
  <c r="W110" i="20"/>
  <c r="V110" i="20"/>
  <c r="N110" i="20"/>
  <c r="M110" i="20"/>
  <c r="K110" i="20"/>
  <c r="J110" i="20"/>
  <c r="H110" i="20"/>
  <c r="G110" i="20"/>
  <c r="N68" i="20"/>
  <c r="M68" i="20"/>
  <c r="K68" i="20"/>
  <c r="J68" i="20"/>
  <c r="H68" i="20"/>
  <c r="G68" i="20"/>
  <c r="AC109" i="20"/>
  <c r="AB109" i="20"/>
  <c r="Z109" i="20"/>
  <c r="Y109" i="20"/>
  <c r="W109" i="20"/>
  <c r="V109" i="20"/>
  <c r="N109" i="20"/>
  <c r="M109" i="20"/>
  <c r="K109" i="20"/>
  <c r="J109" i="20"/>
  <c r="H109" i="20"/>
  <c r="G109" i="20"/>
  <c r="N67" i="20"/>
  <c r="M67" i="20"/>
  <c r="K67" i="20"/>
  <c r="J67" i="20"/>
  <c r="L67" i="20" s="1"/>
  <c r="H67" i="20"/>
  <c r="G67" i="20"/>
  <c r="AC105" i="20"/>
  <c r="AB105" i="20"/>
  <c r="Z105" i="20"/>
  <c r="Y105" i="20"/>
  <c r="W105" i="20"/>
  <c r="V105" i="20"/>
  <c r="N105" i="20"/>
  <c r="M105" i="20"/>
  <c r="K105" i="20"/>
  <c r="J105" i="20"/>
  <c r="H105" i="20"/>
  <c r="G105" i="20"/>
  <c r="N63" i="20"/>
  <c r="M63" i="20"/>
  <c r="K63" i="20"/>
  <c r="J63" i="20"/>
  <c r="H63" i="20"/>
  <c r="G63" i="20"/>
  <c r="AC104" i="20"/>
  <c r="AB104" i="20"/>
  <c r="Z104" i="20"/>
  <c r="Y104" i="20"/>
  <c r="W104" i="20"/>
  <c r="V104" i="20"/>
  <c r="N104" i="20"/>
  <c r="M104" i="20"/>
  <c r="K104" i="20"/>
  <c r="J104" i="20"/>
  <c r="H104" i="20"/>
  <c r="G104" i="20"/>
  <c r="N62" i="20"/>
  <c r="M62" i="20"/>
  <c r="K62" i="20"/>
  <c r="J62" i="20"/>
  <c r="H62" i="20"/>
  <c r="G62" i="20"/>
  <c r="AC103" i="20"/>
  <c r="AB103" i="20"/>
  <c r="Z103" i="20"/>
  <c r="Y103" i="20"/>
  <c r="W103" i="20"/>
  <c r="V103" i="20"/>
  <c r="N103" i="20"/>
  <c r="M103" i="20"/>
  <c r="K103" i="20"/>
  <c r="J103" i="20"/>
  <c r="H103" i="20"/>
  <c r="G103" i="20"/>
  <c r="N61" i="20"/>
  <c r="M61" i="20"/>
  <c r="K61" i="20"/>
  <c r="J61" i="20"/>
  <c r="H61" i="20"/>
  <c r="G61" i="20"/>
  <c r="AC102" i="20"/>
  <c r="AB102" i="20"/>
  <c r="Z102" i="20"/>
  <c r="Y102" i="20"/>
  <c r="W102" i="20"/>
  <c r="V102" i="20"/>
  <c r="N102" i="20"/>
  <c r="M102" i="20"/>
  <c r="K102" i="20"/>
  <c r="J102" i="20"/>
  <c r="H102" i="20"/>
  <c r="G102" i="20"/>
  <c r="N60" i="20"/>
  <c r="M60" i="20"/>
  <c r="K60" i="20"/>
  <c r="J60" i="20"/>
  <c r="H60" i="20"/>
  <c r="G60" i="20"/>
  <c r="AC101" i="20"/>
  <c r="AB101" i="20"/>
  <c r="Z101" i="20"/>
  <c r="Y101" i="20"/>
  <c r="W101" i="20"/>
  <c r="V101" i="20"/>
  <c r="N101" i="20"/>
  <c r="M101" i="20"/>
  <c r="K101" i="20"/>
  <c r="J101" i="20"/>
  <c r="H101" i="20"/>
  <c r="G101" i="20"/>
  <c r="N59" i="20"/>
  <c r="M59" i="20"/>
  <c r="K59" i="20"/>
  <c r="J59" i="20"/>
  <c r="H59" i="20"/>
  <c r="G59" i="20"/>
  <c r="AC100" i="20"/>
  <c r="AB100" i="20"/>
  <c r="Z100" i="20"/>
  <c r="Y100" i="20"/>
  <c r="W100" i="20"/>
  <c r="V100" i="20"/>
  <c r="N100" i="20"/>
  <c r="M100" i="20"/>
  <c r="K100" i="20"/>
  <c r="J100" i="20"/>
  <c r="H100" i="20"/>
  <c r="G100" i="20"/>
  <c r="N58" i="20"/>
  <c r="M58" i="20"/>
  <c r="K58" i="20"/>
  <c r="J58" i="20"/>
  <c r="H58" i="20"/>
  <c r="G58" i="20"/>
  <c r="AC99" i="20"/>
  <c r="AB99" i="20"/>
  <c r="Z99" i="20"/>
  <c r="Y99" i="20"/>
  <c r="W99" i="20"/>
  <c r="V99" i="20"/>
  <c r="N99" i="20"/>
  <c r="M99" i="20"/>
  <c r="K99" i="20"/>
  <c r="J99" i="20"/>
  <c r="H99" i="20"/>
  <c r="G99" i="20"/>
  <c r="N57" i="20"/>
  <c r="M57" i="20"/>
  <c r="K57" i="20"/>
  <c r="J57" i="20"/>
  <c r="H57" i="20"/>
  <c r="G57" i="20"/>
  <c r="AC98" i="20"/>
  <c r="AB98" i="20"/>
  <c r="Z98" i="20"/>
  <c r="Y98" i="20"/>
  <c r="W98" i="20"/>
  <c r="V98" i="20"/>
  <c r="N98" i="20"/>
  <c r="M98" i="20"/>
  <c r="K98" i="20"/>
  <c r="J98" i="20"/>
  <c r="H98" i="20"/>
  <c r="G98" i="20"/>
  <c r="N56" i="20"/>
  <c r="M56" i="20"/>
  <c r="K56" i="20"/>
  <c r="J56" i="20"/>
  <c r="H56" i="20"/>
  <c r="G56" i="20"/>
  <c r="AC97" i="20"/>
  <c r="AB97" i="20"/>
  <c r="Z97" i="20"/>
  <c r="Y97" i="20"/>
  <c r="W97" i="20"/>
  <c r="V97" i="20"/>
  <c r="N97" i="20"/>
  <c r="M97" i="20"/>
  <c r="K97" i="20"/>
  <c r="J97" i="20"/>
  <c r="H97" i="20"/>
  <c r="G97" i="20"/>
  <c r="N55" i="20"/>
  <c r="M55" i="20"/>
  <c r="K55" i="20"/>
  <c r="J55" i="20"/>
  <c r="H55" i="20"/>
  <c r="G55" i="20"/>
  <c r="AC96" i="20"/>
  <c r="AB96" i="20"/>
  <c r="Z96" i="20"/>
  <c r="Y96" i="20"/>
  <c r="W96" i="20"/>
  <c r="V96" i="20"/>
  <c r="N96" i="20"/>
  <c r="M96" i="20"/>
  <c r="K96" i="20"/>
  <c r="J96" i="20"/>
  <c r="H96" i="20"/>
  <c r="G96" i="20"/>
  <c r="N54" i="20"/>
  <c r="M54" i="20"/>
  <c r="K54" i="20"/>
  <c r="J54" i="20"/>
  <c r="H54" i="20"/>
  <c r="G54" i="20"/>
  <c r="AC95" i="20"/>
  <c r="AB95" i="20"/>
  <c r="Z95" i="20"/>
  <c r="Y95" i="20"/>
  <c r="W95" i="20"/>
  <c r="V95" i="20"/>
  <c r="N95" i="20"/>
  <c r="M95" i="20"/>
  <c r="K95" i="20"/>
  <c r="J95" i="20"/>
  <c r="H95" i="20"/>
  <c r="G95" i="20"/>
  <c r="N53" i="20"/>
  <c r="M53" i="20"/>
  <c r="K53" i="20"/>
  <c r="J53" i="20"/>
  <c r="H53" i="20"/>
  <c r="G53" i="20"/>
  <c r="AC94" i="20"/>
  <c r="AB94" i="20"/>
  <c r="Z94" i="20"/>
  <c r="Y94" i="20"/>
  <c r="W94" i="20"/>
  <c r="V94" i="20"/>
  <c r="N94" i="20"/>
  <c r="M94" i="20"/>
  <c r="O94" i="20" s="1"/>
  <c r="K94" i="20"/>
  <c r="J94" i="20"/>
  <c r="H94" i="20"/>
  <c r="G94" i="20"/>
  <c r="N52" i="20"/>
  <c r="M52" i="20"/>
  <c r="K52" i="20"/>
  <c r="J52" i="20"/>
  <c r="H52" i="20"/>
  <c r="G52" i="20"/>
  <c r="AC93" i="20"/>
  <c r="AB93" i="20"/>
  <c r="Z93" i="20"/>
  <c r="Y93" i="20"/>
  <c r="W93" i="20"/>
  <c r="V93" i="20"/>
  <c r="N93" i="20"/>
  <c r="M93" i="20"/>
  <c r="K93" i="20"/>
  <c r="J93" i="20"/>
  <c r="H93" i="20"/>
  <c r="G93" i="20"/>
  <c r="N51" i="20"/>
  <c r="M51" i="20"/>
  <c r="K51" i="20"/>
  <c r="J51" i="20"/>
  <c r="H51" i="20"/>
  <c r="G51" i="20"/>
  <c r="AC92" i="20"/>
  <c r="AB92" i="20"/>
  <c r="Z92" i="20"/>
  <c r="Y92" i="20"/>
  <c r="W92" i="20"/>
  <c r="V92" i="20"/>
  <c r="N92" i="20"/>
  <c r="M92" i="20"/>
  <c r="K92" i="20"/>
  <c r="J92" i="20"/>
  <c r="H92" i="20"/>
  <c r="G92" i="20"/>
  <c r="N50" i="20"/>
  <c r="M50" i="20"/>
  <c r="K50" i="20"/>
  <c r="J50" i="20"/>
  <c r="H50" i="20"/>
  <c r="G50" i="20"/>
  <c r="AC91" i="20"/>
  <c r="AB91" i="20"/>
  <c r="Z91" i="20"/>
  <c r="Y91" i="20"/>
  <c r="W91" i="20"/>
  <c r="V91" i="20"/>
  <c r="N91" i="20"/>
  <c r="M91" i="20"/>
  <c r="K91" i="20"/>
  <c r="J91" i="20"/>
  <c r="H91" i="20"/>
  <c r="G91" i="20"/>
  <c r="N49" i="20"/>
  <c r="M49" i="20"/>
  <c r="K49" i="20"/>
  <c r="J49" i="20"/>
  <c r="H49" i="20"/>
  <c r="G49" i="20"/>
  <c r="AC90" i="20"/>
  <c r="AB90" i="20"/>
  <c r="Z90" i="20"/>
  <c r="Y90" i="20"/>
  <c r="W90" i="20"/>
  <c r="V90" i="20"/>
  <c r="N90" i="20"/>
  <c r="M90" i="20"/>
  <c r="K90" i="20"/>
  <c r="J90" i="20"/>
  <c r="H90" i="20"/>
  <c r="G90" i="20"/>
  <c r="N48" i="20"/>
  <c r="M48" i="20"/>
  <c r="K48" i="20"/>
  <c r="J48" i="20"/>
  <c r="H48" i="20"/>
  <c r="G48" i="20"/>
  <c r="AC89" i="20"/>
  <c r="AB89" i="20"/>
  <c r="Z89" i="20"/>
  <c r="Y89" i="20"/>
  <c r="W89" i="20"/>
  <c r="V89" i="20"/>
  <c r="N89" i="20"/>
  <c r="M89" i="20"/>
  <c r="K89" i="20"/>
  <c r="J89" i="20"/>
  <c r="H89" i="20"/>
  <c r="G89" i="20"/>
  <c r="N47" i="20"/>
  <c r="M47" i="20"/>
  <c r="K47" i="20"/>
  <c r="J47" i="20"/>
  <c r="H47" i="20"/>
  <c r="G47" i="20"/>
  <c r="AC88" i="20"/>
  <c r="AB88" i="20"/>
  <c r="Z88" i="20"/>
  <c r="Y88" i="20"/>
  <c r="W88" i="20"/>
  <c r="V88" i="20"/>
  <c r="N88" i="20"/>
  <c r="M88" i="20"/>
  <c r="K88" i="20"/>
  <c r="J88" i="20"/>
  <c r="H88" i="20"/>
  <c r="G88" i="20"/>
  <c r="N46" i="20"/>
  <c r="M46" i="20"/>
  <c r="K46" i="20"/>
  <c r="J46" i="20"/>
  <c r="H46" i="20"/>
  <c r="G46" i="20"/>
  <c r="AD84" i="20"/>
  <c r="AA84" i="20"/>
  <c r="X84" i="20"/>
  <c r="AD42" i="20"/>
  <c r="AA42" i="20"/>
  <c r="X42" i="20"/>
  <c r="N42" i="20"/>
  <c r="M42" i="20"/>
  <c r="K42" i="20"/>
  <c r="J42" i="20"/>
  <c r="H42" i="20"/>
  <c r="G42" i="20"/>
  <c r="AD83" i="20"/>
  <c r="AA83" i="20"/>
  <c r="X83" i="20"/>
  <c r="AD41" i="20"/>
  <c r="AA41" i="20"/>
  <c r="X41" i="20"/>
  <c r="N41" i="20"/>
  <c r="M41" i="20"/>
  <c r="K41" i="20"/>
  <c r="J41" i="20"/>
  <c r="H41" i="20"/>
  <c r="G41" i="20"/>
  <c r="AD82" i="20"/>
  <c r="AA82" i="20"/>
  <c r="X82" i="20"/>
  <c r="AD40" i="20"/>
  <c r="AA40" i="20"/>
  <c r="X40" i="20"/>
  <c r="N40" i="20"/>
  <c r="M40" i="20"/>
  <c r="K40" i="20"/>
  <c r="J40" i="20"/>
  <c r="L40" i="20" s="1"/>
  <c r="H40" i="20"/>
  <c r="G40" i="20"/>
  <c r="AD81" i="20"/>
  <c r="AA81" i="20"/>
  <c r="X81" i="20"/>
  <c r="AD39" i="20"/>
  <c r="AA39" i="20"/>
  <c r="X39" i="20"/>
  <c r="N39" i="20"/>
  <c r="M39" i="20"/>
  <c r="K39" i="20"/>
  <c r="J39" i="20"/>
  <c r="H39" i="20"/>
  <c r="G39" i="20"/>
  <c r="AD80" i="20"/>
  <c r="AA80" i="20"/>
  <c r="X80" i="20"/>
  <c r="AD38" i="20"/>
  <c r="AA38" i="20"/>
  <c r="X38" i="20"/>
  <c r="N38" i="20"/>
  <c r="M38" i="20"/>
  <c r="K38" i="20"/>
  <c r="J38" i="20"/>
  <c r="H38" i="20"/>
  <c r="G38" i="20"/>
  <c r="AD79" i="20"/>
  <c r="AA79" i="20"/>
  <c r="X79" i="20"/>
  <c r="AD37" i="20"/>
  <c r="AA37" i="20"/>
  <c r="X37" i="20"/>
  <c r="N37" i="20"/>
  <c r="M37" i="20"/>
  <c r="K37" i="20"/>
  <c r="J37" i="20"/>
  <c r="H37" i="20"/>
  <c r="G37" i="20"/>
  <c r="AD78" i="20"/>
  <c r="AA78" i="20"/>
  <c r="X78" i="20"/>
  <c r="AD36" i="20"/>
  <c r="AA36" i="20"/>
  <c r="X36" i="20"/>
  <c r="N36" i="20"/>
  <c r="M36" i="20"/>
  <c r="K36" i="20"/>
  <c r="J36" i="20"/>
  <c r="H36" i="20"/>
  <c r="G36" i="20"/>
  <c r="AD77" i="20"/>
  <c r="AA77" i="20"/>
  <c r="X77" i="20"/>
  <c r="AD35" i="20"/>
  <c r="AA35" i="20"/>
  <c r="X35" i="20"/>
  <c r="N35" i="20"/>
  <c r="M35" i="20"/>
  <c r="K35" i="20"/>
  <c r="J35" i="20"/>
  <c r="H35" i="20"/>
  <c r="G35" i="20"/>
  <c r="AD76" i="20"/>
  <c r="AA76" i="20"/>
  <c r="X76" i="20"/>
  <c r="AD34" i="20"/>
  <c r="AA34" i="20"/>
  <c r="X34" i="20"/>
  <c r="N34" i="20"/>
  <c r="M34" i="20"/>
  <c r="K34" i="20"/>
  <c r="J34" i="20"/>
  <c r="H34" i="20"/>
  <c r="G34" i="20"/>
  <c r="AD75" i="20"/>
  <c r="AA75" i="20"/>
  <c r="X75" i="20"/>
  <c r="AD33" i="20"/>
  <c r="AA33" i="20"/>
  <c r="X33" i="20"/>
  <c r="N33" i="20"/>
  <c r="M33" i="20"/>
  <c r="K33" i="20"/>
  <c r="J33" i="20"/>
  <c r="H33" i="20"/>
  <c r="G33" i="20"/>
  <c r="AD74" i="20"/>
  <c r="AA74" i="20"/>
  <c r="X74" i="20"/>
  <c r="AD32" i="20"/>
  <c r="AA32" i="20"/>
  <c r="X32" i="20"/>
  <c r="N32" i="20"/>
  <c r="M32" i="20"/>
  <c r="K32" i="20"/>
  <c r="J32" i="20"/>
  <c r="H32" i="20"/>
  <c r="G32" i="20"/>
  <c r="AD73" i="20"/>
  <c r="AA73" i="20"/>
  <c r="X73" i="20"/>
  <c r="AD31" i="20"/>
  <c r="AA31" i="20"/>
  <c r="X31" i="20"/>
  <c r="N31" i="20"/>
  <c r="M31" i="20"/>
  <c r="K31" i="20"/>
  <c r="J31" i="20"/>
  <c r="H31" i="20"/>
  <c r="G31" i="20"/>
  <c r="AD72" i="20"/>
  <c r="AA72" i="20"/>
  <c r="X72" i="20"/>
  <c r="AD30" i="20"/>
  <c r="AA30" i="20"/>
  <c r="X30" i="20"/>
  <c r="N30" i="20"/>
  <c r="M30" i="20"/>
  <c r="K30" i="20"/>
  <c r="J30" i="20"/>
  <c r="H30" i="20"/>
  <c r="G30" i="20"/>
  <c r="AD71" i="20"/>
  <c r="AA71" i="20"/>
  <c r="X71" i="20"/>
  <c r="AD29" i="20"/>
  <c r="AA29" i="20"/>
  <c r="X29" i="20"/>
  <c r="N29" i="20"/>
  <c r="M29" i="20"/>
  <c r="K29" i="20"/>
  <c r="J29" i="20"/>
  <c r="H29" i="20"/>
  <c r="G29" i="20"/>
  <c r="AD70" i="20"/>
  <c r="AA70" i="20"/>
  <c r="X70" i="20"/>
  <c r="AD28" i="20"/>
  <c r="AA28" i="20"/>
  <c r="X28" i="20"/>
  <c r="N28" i="20"/>
  <c r="M28" i="20"/>
  <c r="K28" i="20"/>
  <c r="J28" i="20"/>
  <c r="H28" i="20"/>
  <c r="G28" i="20"/>
  <c r="AD69" i="20"/>
  <c r="AA69" i="20"/>
  <c r="X69" i="20"/>
  <c r="AD27" i="20"/>
  <c r="AA27" i="20"/>
  <c r="X27" i="20"/>
  <c r="N27" i="20"/>
  <c r="M27" i="20"/>
  <c r="K27" i="20"/>
  <c r="J27" i="20"/>
  <c r="H27" i="20"/>
  <c r="G27" i="20"/>
  <c r="AD68" i="20"/>
  <c r="AA68" i="20"/>
  <c r="X68" i="20"/>
  <c r="AD26" i="20"/>
  <c r="AA26" i="20"/>
  <c r="X26" i="20"/>
  <c r="N26" i="20"/>
  <c r="M26" i="20"/>
  <c r="K26" i="20"/>
  <c r="J26" i="20"/>
  <c r="H26" i="20"/>
  <c r="G26" i="20"/>
  <c r="AD67" i="20"/>
  <c r="AA67" i="20"/>
  <c r="X67" i="20"/>
  <c r="AD25" i="20"/>
  <c r="AA25" i="20"/>
  <c r="X25" i="20"/>
  <c r="N25" i="20"/>
  <c r="M25" i="20"/>
  <c r="K25" i="20"/>
  <c r="J25" i="20"/>
  <c r="H25" i="20"/>
  <c r="G25" i="20"/>
  <c r="AC63" i="20"/>
  <c r="AB63" i="20"/>
  <c r="Z63" i="20"/>
  <c r="Y63" i="20"/>
  <c r="W63" i="20"/>
  <c r="V63" i="20"/>
  <c r="AD21" i="20"/>
  <c r="AA21" i="20"/>
  <c r="X21" i="20"/>
  <c r="N21" i="20"/>
  <c r="M21" i="20"/>
  <c r="K21" i="20"/>
  <c r="J21" i="20"/>
  <c r="H21" i="20"/>
  <c r="G21" i="20"/>
  <c r="AC62" i="20"/>
  <c r="AB62" i="20"/>
  <c r="Z62" i="20"/>
  <c r="Y62" i="20"/>
  <c r="W62" i="20"/>
  <c r="V62" i="20"/>
  <c r="AD20" i="20"/>
  <c r="AA20" i="20"/>
  <c r="X20" i="20"/>
  <c r="N20" i="20"/>
  <c r="M20" i="20"/>
  <c r="O20" i="20" s="1"/>
  <c r="K20" i="20"/>
  <c r="J20" i="20"/>
  <c r="H20" i="20"/>
  <c r="G20" i="20"/>
  <c r="AC61" i="20"/>
  <c r="AB61" i="20"/>
  <c r="Z61" i="20"/>
  <c r="Y61" i="20"/>
  <c r="W61" i="20"/>
  <c r="V61" i="20"/>
  <c r="AD19" i="20"/>
  <c r="AA19" i="20"/>
  <c r="X19" i="20"/>
  <c r="N19" i="20"/>
  <c r="M19" i="20"/>
  <c r="K19" i="20"/>
  <c r="J19" i="20"/>
  <c r="H19" i="20"/>
  <c r="G19" i="20"/>
  <c r="AC60" i="20"/>
  <c r="AB60" i="20"/>
  <c r="Z60" i="20"/>
  <c r="Y60" i="20"/>
  <c r="W60" i="20"/>
  <c r="V60" i="20"/>
  <c r="AD18" i="20"/>
  <c r="AA18" i="20"/>
  <c r="X18" i="20"/>
  <c r="N18" i="20"/>
  <c r="M18" i="20"/>
  <c r="K18" i="20"/>
  <c r="J18" i="20"/>
  <c r="H18" i="20"/>
  <c r="G18" i="20"/>
  <c r="AC59" i="20"/>
  <c r="AB59" i="20"/>
  <c r="Z59" i="20"/>
  <c r="Y59" i="20"/>
  <c r="W59" i="20"/>
  <c r="V59" i="20"/>
  <c r="AD17" i="20"/>
  <c r="AA17" i="20"/>
  <c r="X17" i="20"/>
  <c r="N17" i="20"/>
  <c r="M17" i="20"/>
  <c r="K17" i="20"/>
  <c r="L17" i="20" s="1"/>
  <c r="J17" i="20"/>
  <c r="H17" i="20"/>
  <c r="G17" i="20"/>
  <c r="AC58" i="20"/>
  <c r="AB58" i="20"/>
  <c r="Z58" i="20"/>
  <c r="Y58" i="20"/>
  <c r="W58" i="20"/>
  <c r="V58" i="20"/>
  <c r="AD16" i="20"/>
  <c r="AA16" i="20"/>
  <c r="X16" i="20"/>
  <c r="N16" i="20"/>
  <c r="M16" i="20"/>
  <c r="K16" i="20"/>
  <c r="J16" i="20"/>
  <c r="H16" i="20"/>
  <c r="G16" i="20"/>
  <c r="AC57" i="20"/>
  <c r="AB57" i="20"/>
  <c r="Z57" i="20"/>
  <c r="Y57" i="20"/>
  <c r="W57" i="20"/>
  <c r="V57" i="20"/>
  <c r="AD15" i="20"/>
  <c r="AA15" i="20"/>
  <c r="X15" i="20"/>
  <c r="N15" i="20"/>
  <c r="M15" i="20"/>
  <c r="K15" i="20"/>
  <c r="J15" i="20"/>
  <c r="H15" i="20"/>
  <c r="G15" i="20"/>
  <c r="AC56" i="20"/>
  <c r="AB56" i="20"/>
  <c r="Z56" i="20"/>
  <c r="Y56" i="20"/>
  <c r="W56" i="20"/>
  <c r="V56" i="20"/>
  <c r="AD14" i="20"/>
  <c r="AA14" i="20"/>
  <c r="X14" i="20"/>
  <c r="N14" i="20"/>
  <c r="M14" i="20"/>
  <c r="K14" i="20"/>
  <c r="J14" i="20"/>
  <c r="H14" i="20"/>
  <c r="G14" i="20"/>
  <c r="AC55" i="20"/>
  <c r="AB55" i="20"/>
  <c r="Z55" i="20"/>
  <c r="Y55" i="20"/>
  <c r="W55" i="20"/>
  <c r="V55" i="20"/>
  <c r="AD13" i="20"/>
  <c r="AA13" i="20"/>
  <c r="X13" i="20"/>
  <c r="N13" i="20"/>
  <c r="M13" i="20"/>
  <c r="K13" i="20"/>
  <c r="J13" i="20"/>
  <c r="H13" i="20"/>
  <c r="G13" i="20"/>
  <c r="AC54" i="20"/>
  <c r="AB54" i="20"/>
  <c r="Z54" i="20"/>
  <c r="Y54" i="20"/>
  <c r="W54" i="20"/>
  <c r="V54" i="20"/>
  <c r="AD12" i="20"/>
  <c r="AA12" i="20"/>
  <c r="X12" i="20"/>
  <c r="N12" i="20"/>
  <c r="M12" i="20"/>
  <c r="K12" i="20"/>
  <c r="J12" i="20"/>
  <c r="H12" i="20"/>
  <c r="G12" i="20"/>
  <c r="AC53" i="20"/>
  <c r="AB53" i="20"/>
  <c r="Z53" i="20"/>
  <c r="Y53" i="20"/>
  <c r="W53" i="20"/>
  <c r="V53" i="20"/>
  <c r="AD11" i="20"/>
  <c r="AA11" i="20"/>
  <c r="X11" i="20"/>
  <c r="N11" i="20"/>
  <c r="M11" i="20"/>
  <c r="K11" i="20"/>
  <c r="J11" i="20"/>
  <c r="H11" i="20"/>
  <c r="G11" i="20"/>
  <c r="AC52" i="20"/>
  <c r="AB52" i="20"/>
  <c r="Z52" i="20"/>
  <c r="Y52" i="20"/>
  <c r="W52" i="20"/>
  <c r="V52" i="20"/>
  <c r="AD10" i="20"/>
  <c r="AA10" i="20"/>
  <c r="X10" i="20"/>
  <c r="N10" i="20"/>
  <c r="M10" i="20"/>
  <c r="K10" i="20"/>
  <c r="J10" i="20"/>
  <c r="H10" i="20"/>
  <c r="G10" i="20"/>
  <c r="AC51" i="20"/>
  <c r="AB51" i="20"/>
  <c r="Z51" i="20"/>
  <c r="Y51" i="20"/>
  <c r="W51" i="20"/>
  <c r="V51" i="20"/>
  <c r="AD9" i="20"/>
  <c r="AA9" i="20"/>
  <c r="X9" i="20"/>
  <c r="N9" i="20"/>
  <c r="M9" i="20"/>
  <c r="K9" i="20"/>
  <c r="J9" i="20"/>
  <c r="H9" i="20"/>
  <c r="G9" i="20"/>
  <c r="AC50" i="20"/>
  <c r="AB50" i="20"/>
  <c r="Z50" i="20"/>
  <c r="Y50" i="20"/>
  <c r="W50" i="20"/>
  <c r="V50" i="20"/>
  <c r="AD8" i="20"/>
  <c r="AA8" i="20"/>
  <c r="X8" i="20"/>
  <c r="N8" i="20"/>
  <c r="M8" i="20"/>
  <c r="K8" i="20"/>
  <c r="J8" i="20"/>
  <c r="H8" i="20"/>
  <c r="G8" i="20"/>
  <c r="AC49" i="20"/>
  <c r="AB49" i="20"/>
  <c r="Z49" i="20"/>
  <c r="Y49" i="20"/>
  <c r="W49" i="20"/>
  <c r="V49" i="20"/>
  <c r="AD7" i="20"/>
  <c r="AA7" i="20"/>
  <c r="X7" i="20"/>
  <c r="N7" i="20"/>
  <c r="M7" i="20"/>
  <c r="K7" i="20"/>
  <c r="J7" i="20"/>
  <c r="H7" i="20"/>
  <c r="G7" i="20"/>
  <c r="AC48" i="20"/>
  <c r="AB48" i="20"/>
  <c r="Z48" i="20"/>
  <c r="Y48" i="20"/>
  <c r="W48" i="20"/>
  <c r="V48" i="20"/>
  <c r="AD6" i="20"/>
  <c r="AA6" i="20"/>
  <c r="X6" i="20"/>
  <c r="N6" i="20"/>
  <c r="M6" i="20"/>
  <c r="K6" i="20"/>
  <c r="J6" i="20"/>
  <c r="H6" i="20"/>
  <c r="G6" i="20"/>
  <c r="AC47" i="20"/>
  <c r="AB47" i="20"/>
  <c r="Z47" i="20"/>
  <c r="Y47" i="20"/>
  <c r="W47" i="20"/>
  <c r="V47" i="20"/>
  <c r="AD5" i="20"/>
  <c r="AA5" i="20"/>
  <c r="X5" i="20"/>
  <c r="N5" i="20"/>
  <c r="M5" i="20"/>
  <c r="K5" i="20"/>
  <c r="J5" i="20"/>
  <c r="H5" i="20"/>
  <c r="G5" i="20"/>
  <c r="AC46" i="20"/>
  <c r="AB46" i="20"/>
  <c r="Z46" i="20"/>
  <c r="Y46" i="20"/>
  <c r="W46" i="20"/>
  <c r="V46" i="20"/>
  <c r="AD4" i="20"/>
  <c r="AA4" i="20"/>
  <c r="X4" i="20"/>
  <c r="N4" i="20"/>
  <c r="M4" i="20"/>
  <c r="K4" i="20"/>
  <c r="J4" i="20"/>
  <c r="H4" i="20"/>
  <c r="G4" i="20"/>
  <c r="G4" i="1"/>
  <c r="H4" i="1"/>
  <c r="J4" i="1"/>
  <c r="K4" i="1"/>
  <c r="M4" i="1"/>
  <c r="N4" i="1"/>
  <c r="G5" i="1"/>
  <c r="H5" i="1"/>
  <c r="J5" i="1"/>
  <c r="K5" i="1"/>
  <c r="M5" i="1"/>
  <c r="N5" i="1"/>
  <c r="G6" i="1"/>
  <c r="H6" i="1"/>
  <c r="J6" i="1"/>
  <c r="K6" i="1"/>
  <c r="M6" i="1"/>
  <c r="N6" i="1"/>
  <c r="G7" i="1"/>
  <c r="H7" i="1"/>
  <c r="J7" i="1"/>
  <c r="K7" i="1"/>
  <c r="M7" i="1"/>
  <c r="N7" i="1"/>
  <c r="G8" i="1"/>
  <c r="H8" i="1"/>
  <c r="J8" i="1"/>
  <c r="K8" i="1"/>
  <c r="L8" i="1" s="1"/>
  <c r="M8" i="1"/>
  <c r="N8" i="1"/>
  <c r="G9" i="1"/>
  <c r="H9" i="1"/>
  <c r="J9" i="1"/>
  <c r="K9" i="1"/>
  <c r="M9" i="1"/>
  <c r="N9" i="1"/>
  <c r="G10" i="1"/>
  <c r="H10" i="1"/>
  <c r="J10" i="1"/>
  <c r="K10" i="1"/>
  <c r="M10" i="1"/>
  <c r="O10" i="1" s="1"/>
  <c r="N10" i="1"/>
  <c r="G11" i="1"/>
  <c r="H11" i="1"/>
  <c r="J11" i="1"/>
  <c r="L11" i="1" s="1"/>
  <c r="K11" i="1"/>
  <c r="M11" i="1"/>
  <c r="O11" i="1" s="1"/>
  <c r="N11" i="1"/>
  <c r="G12" i="1"/>
  <c r="H12" i="1"/>
  <c r="J12" i="1"/>
  <c r="K12" i="1"/>
  <c r="M12" i="1"/>
  <c r="N12" i="1"/>
  <c r="G13" i="1"/>
  <c r="H13" i="1"/>
  <c r="J13" i="1"/>
  <c r="L13" i="1" s="1"/>
  <c r="K13" i="1"/>
  <c r="M13" i="1"/>
  <c r="N13" i="1"/>
  <c r="G14" i="1"/>
  <c r="H14" i="1"/>
  <c r="J14" i="1"/>
  <c r="K14" i="1"/>
  <c r="M14" i="1"/>
  <c r="N14" i="1"/>
  <c r="G15" i="1"/>
  <c r="H15" i="1"/>
  <c r="J15" i="1"/>
  <c r="K15" i="1"/>
  <c r="M15" i="1"/>
  <c r="N15" i="1"/>
  <c r="G16" i="1"/>
  <c r="H16" i="1"/>
  <c r="J16" i="1"/>
  <c r="K16" i="1"/>
  <c r="M16" i="1"/>
  <c r="N16" i="1"/>
  <c r="O16" i="1" s="1"/>
  <c r="G17" i="1"/>
  <c r="H17" i="1"/>
  <c r="J17" i="1"/>
  <c r="K17" i="1"/>
  <c r="M17" i="1"/>
  <c r="N17" i="1"/>
  <c r="G18" i="1"/>
  <c r="H18" i="1"/>
  <c r="J18" i="1"/>
  <c r="K18" i="1"/>
  <c r="M18" i="1"/>
  <c r="N18" i="1"/>
  <c r="G19" i="1"/>
  <c r="H19" i="1"/>
  <c r="J19" i="1"/>
  <c r="K19" i="1"/>
  <c r="M19" i="1"/>
  <c r="N19" i="1"/>
  <c r="G20" i="1"/>
  <c r="H20" i="1"/>
  <c r="J20" i="1"/>
  <c r="K20" i="1"/>
  <c r="M20" i="1"/>
  <c r="N20" i="1"/>
  <c r="G21" i="1"/>
  <c r="H21" i="1"/>
  <c r="J21" i="1"/>
  <c r="K21" i="1"/>
  <c r="L21" i="1" s="1"/>
  <c r="M21" i="1"/>
  <c r="N21" i="1"/>
  <c r="G25" i="1"/>
  <c r="H25" i="1"/>
  <c r="J25" i="1"/>
  <c r="K25" i="1"/>
  <c r="M25" i="1"/>
  <c r="N25" i="1"/>
  <c r="G26" i="1"/>
  <c r="H26" i="1"/>
  <c r="J26" i="1"/>
  <c r="K26" i="1"/>
  <c r="M26" i="1"/>
  <c r="N26" i="1"/>
  <c r="G27" i="1"/>
  <c r="H27" i="1"/>
  <c r="J27" i="1"/>
  <c r="K27" i="1"/>
  <c r="L27" i="1" s="1"/>
  <c r="M27" i="1"/>
  <c r="N27" i="1"/>
  <c r="G28" i="1"/>
  <c r="H28" i="1"/>
  <c r="J28" i="1"/>
  <c r="K28" i="1"/>
  <c r="M28" i="1"/>
  <c r="N28" i="1"/>
  <c r="G29" i="1"/>
  <c r="H29" i="1"/>
  <c r="J29" i="1"/>
  <c r="K29" i="1"/>
  <c r="M29" i="1"/>
  <c r="N29" i="1"/>
  <c r="O29" i="1" s="1"/>
  <c r="G30" i="1"/>
  <c r="H30" i="1"/>
  <c r="J30" i="1"/>
  <c r="K30" i="1"/>
  <c r="M30" i="1"/>
  <c r="N30" i="1"/>
  <c r="G31" i="1"/>
  <c r="H31" i="1"/>
  <c r="J31" i="1"/>
  <c r="K31" i="1"/>
  <c r="M31" i="1"/>
  <c r="N31" i="1"/>
  <c r="O31" i="1" s="1"/>
  <c r="G32" i="1"/>
  <c r="H32" i="1"/>
  <c r="J32" i="1"/>
  <c r="K32" i="1"/>
  <c r="L32" i="1" s="1"/>
  <c r="M32" i="1"/>
  <c r="N32" i="1"/>
  <c r="G33" i="1"/>
  <c r="H33" i="1"/>
  <c r="J33" i="1"/>
  <c r="K33" i="1"/>
  <c r="M33" i="1"/>
  <c r="N33" i="1"/>
  <c r="G34" i="1"/>
  <c r="H34" i="1"/>
  <c r="J34" i="1"/>
  <c r="L34" i="1" s="1"/>
  <c r="K34" i="1"/>
  <c r="M34" i="1"/>
  <c r="N34" i="1"/>
  <c r="G35" i="1"/>
  <c r="H35" i="1"/>
  <c r="J35" i="1"/>
  <c r="K35" i="1"/>
  <c r="M35" i="1"/>
  <c r="N35" i="1"/>
  <c r="O35" i="1" s="1"/>
  <c r="G36" i="1"/>
  <c r="H36" i="1"/>
  <c r="J36" i="1"/>
  <c r="K36" i="1"/>
  <c r="M36" i="1"/>
  <c r="N36" i="1"/>
  <c r="G37" i="1"/>
  <c r="H37" i="1"/>
  <c r="J37" i="1"/>
  <c r="K37" i="1"/>
  <c r="M37" i="1"/>
  <c r="N37" i="1"/>
  <c r="G38" i="1"/>
  <c r="H38" i="1"/>
  <c r="J38" i="1"/>
  <c r="K38" i="1"/>
  <c r="L38" i="1" s="1"/>
  <c r="M38" i="1"/>
  <c r="N38" i="1"/>
  <c r="G39" i="1"/>
  <c r="H39" i="1"/>
  <c r="J39" i="1"/>
  <c r="K39" i="1"/>
  <c r="M39" i="1"/>
  <c r="N39" i="1"/>
  <c r="O39" i="1" s="1"/>
  <c r="G40" i="1"/>
  <c r="H40" i="1"/>
  <c r="J40" i="1"/>
  <c r="K40" i="1"/>
  <c r="M40" i="1"/>
  <c r="N40" i="1"/>
  <c r="O40" i="1" s="1"/>
  <c r="G41" i="1"/>
  <c r="H41" i="1"/>
  <c r="J41" i="1"/>
  <c r="K41" i="1"/>
  <c r="M41" i="1"/>
  <c r="N41" i="1"/>
  <c r="G42" i="1"/>
  <c r="H42" i="1"/>
  <c r="J42" i="1"/>
  <c r="K42" i="1"/>
  <c r="M42" i="1"/>
  <c r="N42" i="1"/>
  <c r="G46" i="1"/>
  <c r="H46" i="1"/>
  <c r="J46" i="1"/>
  <c r="L46" i="1" s="1"/>
  <c r="K46" i="1"/>
  <c r="M46" i="1"/>
  <c r="N46" i="1"/>
  <c r="G47" i="1"/>
  <c r="H47" i="1"/>
  <c r="J47" i="1"/>
  <c r="K47" i="1"/>
  <c r="M47" i="1"/>
  <c r="N47" i="1"/>
  <c r="G48" i="1"/>
  <c r="H48" i="1"/>
  <c r="J48" i="1"/>
  <c r="K48" i="1"/>
  <c r="M48" i="1"/>
  <c r="N48" i="1"/>
  <c r="G49" i="1"/>
  <c r="H49" i="1"/>
  <c r="J49" i="1"/>
  <c r="L49" i="1" s="1"/>
  <c r="K49" i="1"/>
  <c r="M49" i="1"/>
  <c r="N49" i="1"/>
  <c r="G50" i="1"/>
  <c r="H50" i="1"/>
  <c r="J50" i="1"/>
  <c r="K50" i="1"/>
  <c r="M50" i="1"/>
  <c r="N50" i="1"/>
  <c r="G51" i="1"/>
  <c r="H51" i="1"/>
  <c r="J51" i="1"/>
  <c r="K51" i="1"/>
  <c r="M51" i="1"/>
  <c r="N51" i="1"/>
  <c r="G52" i="1"/>
  <c r="H52" i="1"/>
  <c r="J52" i="1"/>
  <c r="L52" i="1" s="1"/>
  <c r="K52" i="1"/>
  <c r="M52" i="1"/>
  <c r="N52" i="1"/>
  <c r="G53" i="1"/>
  <c r="H53" i="1"/>
  <c r="J53" i="1"/>
  <c r="K53" i="1"/>
  <c r="L53" i="1" s="1"/>
  <c r="M53" i="1"/>
  <c r="N53" i="1"/>
  <c r="O53" i="1" s="1"/>
  <c r="G54" i="1"/>
  <c r="H54" i="1"/>
  <c r="J54" i="1"/>
  <c r="K54" i="1"/>
  <c r="M54" i="1"/>
  <c r="N54" i="1"/>
  <c r="G55" i="1"/>
  <c r="H55" i="1"/>
  <c r="J55" i="1"/>
  <c r="K55" i="1"/>
  <c r="M55" i="1"/>
  <c r="N55" i="1"/>
  <c r="G56" i="1"/>
  <c r="H56" i="1"/>
  <c r="J56" i="1"/>
  <c r="K56" i="1"/>
  <c r="L56" i="1" s="1"/>
  <c r="M56" i="1"/>
  <c r="N56" i="1"/>
  <c r="G57" i="1"/>
  <c r="H57" i="1"/>
  <c r="J57" i="1"/>
  <c r="K57" i="1"/>
  <c r="M57" i="1"/>
  <c r="N57" i="1"/>
  <c r="G58" i="1"/>
  <c r="H58" i="1"/>
  <c r="J58" i="1"/>
  <c r="L58" i="1" s="1"/>
  <c r="K58" i="1"/>
  <c r="M58" i="1"/>
  <c r="N58" i="1"/>
  <c r="G59" i="1"/>
  <c r="H59" i="1"/>
  <c r="J59" i="1"/>
  <c r="K59" i="1"/>
  <c r="M59" i="1"/>
  <c r="N59" i="1"/>
  <c r="G60" i="1"/>
  <c r="H60" i="1"/>
  <c r="J60" i="1"/>
  <c r="K60" i="1"/>
  <c r="M60" i="1"/>
  <c r="N60" i="1"/>
  <c r="G61" i="1"/>
  <c r="H61" i="1"/>
  <c r="J61" i="1"/>
  <c r="K61" i="1"/>
  <c r="L61" i="1" s="1"/>
  <c r="M61" i="1"/>
  <c r="N61" i="1"/>
  <c r="G62" i="1"/>
  <c r="H62" i="1"/>
  <c r="J62" i="1"/>
  <c r="K62" i="1"/>
  <c r="M62" i="1"/>
  <c r="N62" i="1"/>
  <c r="G63" i="1"/>
  <c r="H63" i="1"/>
  <c r="J63" i="1"/>
  <c r="K63" i="1"/>
  <c r="L63" i="1" s="1"/>
  <c r="M63" i="1"/>
  <c r="N63" i="1"/>
  <c r="G67" i="1"/>
  <c r="H67" i="1"/>
  <c r="J67" i="1"/>
  <c r="K67" i="1"/>
  <c r="M67" i="1"/>
  <c r="N67" i="1"/>
  <c r="G68" i="1"/>
  <c r="H68" i="1"/>
  <c r="J68" i="1"/>
  <c r="K68" i="1"/>
  <c r="M68" i="1"/>
  <c r="N68" i="1"/>
  <c r="G69" i="1"/>
  <c r="H69" i="1"/>
  <c r="J69" i="1"/>
  <c r="K69" i="1"/>
  <c r="M69" i="1"/>
  <c r="N69" i="1"/>
  <c r="G70" i="1"/>
  <c r="H70" i="1"/>
  <c r="J70" i="1"/>
  <c r="K70" i="1"/>
  <c r="M70" i="1"/>
  <c r="N70" i="1"/>
  <c r="G71" i="1"/>
  <c r="H71" i="1"/>
  <c r="J71" i="1"/>
  <c r="K71" i="1"/>
  <c r="M71" i="1"/>
  <c r="N71" i="1"/>
  <c r="G72" i="1"/>
  <c r="H72" i="1"/>
  <c r="J72" i="1"/>
  <c r="K72" i="1"/>
  <c r="M72" i="1"/>
  <c r="O72" i="1" s="1"/>
  <c r="N72" i="1"/>
  <c r="G73" i="1"/>
  <c r="H73" i="1"/>
  <c r="J73" i="1"/>
  <c r="K73" i="1"/>
  <c r="M73" i="1"/>
  <c r="N73" i="1"/>
  <c r="G74" i="1"/>
  <c r="H74" i="1"/>
  <c r="J74" i="1"/>
  <c r="K74" i="1"/>
  <c r="L74" i="1"/>
  <c r="M74" i="1"/>
  <c r="N74" i="1"/>
  <c r="G75" i="1"/>
  <c r="H75" i="1"/>
  <c r="J75" i="1"/>
  <c r="L75" i="1" s="1"/>
  <c r="K75" i="1"/>
  <c r="M75" i="1"/>
  <c r="O75" i="1" s="1"/>
  <c r="N75" i="1"/>
  <c r="G76" i="1"/>
  <c r="H76" i="1"/>
  <c r="J76" i="1"/>
  <c r="K76" i="1"/>
  <c r="M76" i="1"/>
  <c r="O76" i="1" s="1"/>
  <c r="N76" i="1"/>
  <c r="G77" i="1"/>
  <c r="H77" i="1"/>
  <c r="J77" i="1"/>
  <c r="K77" i="1"/>
  <c r="M77" i="1"/>
  <c r="N77" i="1"/>
  <c r="G78" i="1"/>
  <c r="H78" i="1"/>
  <c r="J78" i="1"/>
  <c r="K78" i="1"/>
  <c r="M78" i="1"/>
  <c r="N78" i="1"/>
  <c r="G79" i="1"/>
  <c r="H79" i="1"/>
  <c r="J79" i="1"/>
  <c r="K79" i="1"/>
  <c r="M79" i="1"/>
  <c r="N79" i="1"/>
  <c r="G80" i="1"/>
  <c r="H80" i="1"/>
  <c r="J80" i="1"/>
  <c r="K80" i="1"/>
  <c r="L80" i="1" s="1"/>
  <c r="M80" i="1"/>
  <c r="N80" i="1"/>
  <c r="G81" i="1"/>
  <c r="H81" i="1"/>
  <c r="J81" i="1"/>
  <c r="K81" i="1"/>
  <c r="M81" i="1"/>
  <c r="N81" i="1"/>
  <c r="O81" i="1" s="1"/>
  <c r="G82" i="1"/>
  <c r="H82" i="1"/>
  <c r="J82" i="1"/>
  <c r="K82" i="1"/>
  <c r="L82" i="1" s="1"/>
  <c r="M82" i="1"/>
  <c r="O82" i="1" s="1"/>
  <c r="N82" i="1"/>
  <c r="G83" i="1"/>
  <c r="H83" i="1"/>
  <c r="J83" i="1"/>
  <c r="L83" i="1" s="1"/>
  <c r="K83" i="1"/>
  <c r="M83" i="1"/>
  <c r="N83" i="1"/>
  <c r="G84" i="1"/>
  <c r="H84" i="1"/>
  <c r="J84" i="1"/>
  <c r="K84" i="1"/>
  <c r="M84" i="1"/>
  <c r="N84" i="1"/>
  <c r="G88" i="1"/>
  <c r="H88" i="1"/>
  <c r="J88" i="1"/>
  <c r="K88" i="1"/>
  <c r="M88" i="1"/>
  <c r="N88" i="1"/>
  <c r="G89" i="1"/>
  <c r="H89" i="1"/>
  <c r="J89" i="1"/>
  <c r="K89" i="1"/>
  <c r="M89" i="1"/>
  <c r="N89" i="1"/>
  <c r="O89" i="1" s="1"/>
  <c r="G90" i="1"/>
  <c r="H90" i="1"/>
  <c r="J90" i="1"/>
  <c r="K90" i="1"/>
  <c r="L90" i="1" s="1"/>
  <c r="M90" i="1"/>
  <c r="N90" i="1"/>
  <c r="G91" i="1"/>
  <c r="H91" i="1"/>
  <c r="J91" i="1"/>
  <c r="K91" i="1"/>
  <c r="M91" i="1"/>
  <c r="N91" i="1"/>
  <c r="O91" i="1" s="1"/>
  <c r="G92" i="1"/>
  <c r="H92" i="1"/>
  <c r="J92" i="1"/>
  <c r="K92" i="1"/>
  <c r="M92" i="1"/>
  <c r="N92" i="1"/>
  <c r="O92" i="1" s="1"/>
  <c r="G93" i="1"/>
  <c r="H93" i="1"/>
  <c r="J93" i="1"/>
  <c r="K93" i="1"/>
  <c r="M93" i="1"/>
  <c r="N93" i="1"/>
  <c r="G94" i="1"/>
  <c r="H94" i="1"/>
  <c r="J94" i="1"/>
  <c r="K94" i="1"/>
  <c r="M94" i="1"/>
  <c r="N94" i="1"/>
  <c r="G95" i="1"/>
  <c r="H95" i="1"/>
  <c r="J95" i="1"/>
  <c r="K95" i="1"/>
  <c r="M95" i="1"/>
  <c r="N95" i="1"/>
  <c r="G96" i="1"/>
  <c r="H96" i="1"/>
  <c r="J96" i="1"/>
  <c r="K96" i="1"/>
  <c r="M96" i="1"/>
  <c r="O96" i="1" s="1"/>
  <c r="N96" i="1"/>
  <c r="G97" i="1"/>
  <c r="H97" i="1"/>
  <c r="J97" i="1"/>
  <c r="K97" i="1"/>
  <c r="M97" i="1"/>
  <c r="N97" i="1"/>
  <c r="G98" i="1"/>
  <c r="H98" i="1"/>
  <c r="J98" i="1"/>
  <c r="K98" i="1"/>
  <c r="L98" i="1" s="1"/>
  <c r="M98" i="1"/>
  <c r="O98" i="1" s="1"/>
  <c r="N98" i="1"/>
  <c r="G99" i="1"/>
  <c r="H99" i="1"/>
  <c r="J99" i="1"/>
  <c r="K99" i="1"/>
  <c r="L99" i="1" s="1"/>
  <c r="M99" i="1"/>
  <c r="O99" i="1" s="1"/>
  <c r="N99" i="1"/>
  <c r="G100" i="1"/>
  <c r="H100" i="1"/>
  <c r="J100" i="1"/>
  <c r="K100" i="1"/>
  <c r="M100" i="1"/>
  <c r="N100" i="1"/>
  <c r="G101" i="1"/>
  <c r="H101" i="1"/>
  <c r="J101" i="1"/>
  <c r="K101" i="1"/>
  <c r="L101" i="1" s="1"/>
  <c r="M101" i="1"/>
  <c r="N101" i="1"/>
  <c r="O101" i="1" s="1"/>
  <c r="G102" i="1"/>
  <c r="H102" i="1"/>
  <c r="J102" i="1"/>
  <c r="K102" i="1"/>
  <c r="L102" i="1" s="1"/>
  <c r="M102" i="1"/>
  <c r="N102" i="1"/>
  <c r="G103" i="1"/>
  <c r="H103" i="1"/>
  <c r="J103" i="1"/>
  <c r="K103" i="1"/>
  <c r="M103" i="1"/>
  <c r="N103" i="1"/>
  <c r="G104" i="1"/>
  <c r="H104" i="1"/>
  <c r="J104" i="1"/>
  <c r="K104" i="1"/>
  <c r="M104" i="1"/>
  <c r="N104" i="1"/>
  <c r="O104" i="1" s="1"/>
  <c r="G105" i="1"/>
  <c r="H105" i="1"/>
  <c r="J105" i="1"/>
  <c r="K105" i="1"/>
  <c r="M105" i="1"/>
  <c r="O105" i="1" s="1"/>
  <c r="N105" i="1"/>
  <c r="G109" i="1"/>
  <c r="H109" i="1"/>
  <c r="J109" i="1"/>
  <c r="K109" i="1"/>
  <c r="M109" i="1"/>
  <c r="N109" i="1"/>
  <c r="O109" i="1" s="1"/>
  <c r="G110" i="1"/>
  <c r="H110" i="1"/>
  <c r="J110" i="1"/>
  <c r="K110" i="1"/>
  <c r="L110" i="1" s="1"/>
  <c r="M110" i="1"/>
  <c r="N110" i="1"/>
  <c r="G111" i="1"/>
  <c r="H111" i="1"/>
  <c r="J111" i="1"/>
  <c r="K111" i="1"/>
  <c r="M111" i="1"/>
  <c r="N111" i="1"/>
  <c r="G112" i="1"/>
  <c r="H112" i="1"/>
  <c r="J112" i="1"/>
  <c r="L112" i="1" s="1"/>
  <c r="K112" i="1"/>
  <c r="M112" i="1"/>
  <c r="N112" i="1"/>
  <c r="O112" i="1" s="1"/>
  <c r="G113" i="1"/>
  <c r="H113" i="1"/>
  <c r="J113" i="1"/>
  <c r="K113" i="1"/>
  <c r="M113" i="1"/>
  <c r="N113" i="1"/>
  <c r="G114" i="1"/>
  <c r="H114" i="1"/>
  <c r="J114" i="1"/>
  <c r="K114" i="1"/>
  <c r="M114" i="1"/>
  <c r="N114" i="1"/>
  <c r="G115" i="1"/>
  <c r="H115" i="1"/>
  <c r="J115" i="1"/>
  <c r="K115" i="1"/>
  <c r="L115" i="1" s="1"/>
  <c r="M115" i="1"/>
  <c r="N115" i="1"/>
  <c r="G116" i="1"/>
  <c r="H116" i="1"/>
  <c r="J116" i="1"/>
  <c r="K116" i="1"/>
  <c r="M116" i="1"/>
  <c r="N116" i="1"/>
  <c r="G117" i="1"/>
  <c r="H117" i="1"/>
  <c r="J117" i="1"/>
  <c r="K117" i="1"/>
  <c r="M117" i="1"/>
  <c r="N117" i="1"/>
  <c r="G118" i="1"/>
  <c r="H118" i="1"/>
  <c r="J118" i="1"/>
  <c r="K118" i="1"/>
  <c r="M118" i="1"/>
  <c r="N118" i="1"/>
  <c r="G119" i="1"/>
  <c r="H119" i="1"/>
  <c r="J119" i="1"/>
  <c r="K119" i="1"/>
  <c r="M119" i="1"/>
  <c r="N119" i="1"/>
  <c r="G120" i="1"/>
  <c r="H120" i="1"/>
  <c r="J120" i="1"/>
  <c r="K120" i="1"/>
  <c r="M120" i="1"/>
  <c r="N120" i="1"/>
  <c r="G121" i="1"/>
  <c r="H121" i="1"/>
  <c r="J121" i="1"/>
  <c r="K121" i="1"/>
  <c r="M121" i="1"/>
  <c r="N121" i="1"/>
  <c r="O121" i="1" s="1"/>
  <c r="G122" i="1"/>
  <c r="H122" i="1"/>
  <c r="J122" i="1"/>
  <c r="K122" i="1"/>
  <c r="M122" i="1"/>
  <c r="N122" i="1"/>
  <c r="O122" i="1" s="1"/>
  <c r="G123" i="1"/>
  <c r="I123" i="1" s="1"/>
  <c r="H123" i="1"/>
  <c r="J123" i="1"/>
  <c r="K123" i="1"/>
  <c r="M123" i="1"/>
  <c r="N123" i="1"/>
  <c r="G124" i="1"/>
  <c r="H124" i="1"/>
  <c r="J124" i="1"/>
  <c r="K124" i="1"/>
  <c r="M124" i="1"/>
  <c r="N124" i="1"/>
  <c r="G125" i="1"/>
  <c r="I125" i="1" s="1"/>
  <c r="H125" i="1"/>
  <c r="J125" i="1"/>
  <c r="K125" i="1"/>
  <c r="L125" i="1" s="1"/>
  <c r="M125" i="1"/>
  <c r="N125" i="1"/>
  <c r="O125" i="1" s="1"/>
  <c r="G126" i="1"/>
  <c r="H126" i="1"/>
  <c r="J126" i="1"/>
  <c r="K126" i="1"/>
  <c r="M126" i="1"/>
  <c r="N126" i="1"/>
  <c r="G130" i="1"/>
  <c r="H130" i="1"/>
  <c r="J130" i="1"/>
  <c r="K130" i="1"/>
  <c r="M130" i="1"/>
  <c r="N130" i="1"/>
  <c r="G131" i="1"/>
  <c r="H131" i="1"/>
  <c r="J131" i="1"/>
  <c r="K131" i="1"/>
  <c r="M131" i="1"/>
  <c r="N131" i="1"/>
  <c r="G132" i="1"/>
  <c r="H132" i="1"/>
  <c r="J132" i="1"/>
  <c r="K132" i="1"/>
  <c r="M132" i="1"/>
  <c r="N132" i="1"/>
  <c r="G133" i="1"/>
  <c r="H133" i="1"/>
  <c r="J133" i="1"/>
  <c r="K133" i="1"/>
  <c r="M133" i="1"/>
  <c r="N133" i="1"/>
  <c r="G134" i="1"/>
  <c r="H134" i="1"/>
  <c r="J134" i="1"/>
  <c r="K134" i="1"/>
  <c r="M134" i="1"/>
  <c r="N134" i="1"/>
  <c r="G135" i="1"/>
  <c r="H135" i="1"/>
  <c r="J135" i="1"/>
  <c r="K135" i="1"/>
  <c r="M135" i="1"/>
  <c r="N135" i="1"/>
  <c r="G136" i="1"/>
  <c r="H136" i="1"/>
  <c r="J136" i="1"/>
  <c r="K136" i="1"/>
  <c r="L136" i="1" s="1"/>
  <c r="M136" i="1"/>
  <c r="N136" i="1"/>
  <c r="O136" i="1"/>
  <c r="G137" i="1"/>
  <c r="H137" i="1"/>
  <c r="J137" i="1"/>
  <c r="K137" i="1"/>
  <c r="M137" i="1"/>
  <c r="O137" i="1" s="1"/>
  <c r="N137" i="1"/>
  <c r="G138" i="1"/>
  <c r="H138" i="1"/>
  <c r="J138" i="1"/>
  <c r="K138" i="1"/>
  <c r="M138" i="1"/>
  <c r="O138" i="1" s="1"/>
  <c r="N138" i="1"/>
  <c r="G139" i="1"/>
  <c r="H139" i="1"/>
  <c r="J139" i="1"/>
  <c r="L139" i="1" s="1"/>
  <c r="K139" i="1"/>
  <c r="M139" i="1"/>
  <c r="N139" i="1"/>
  <c r="O139" i="1" s="1"/>
  <c r="G140" i="1"/>
  <c r="H140" i="1"/>
  <c r="J140" i="1"/>
  <c r="K140" i="1"/>
  <c r="M140" i="1"/>
  <c r="N140" i="1"/>
  <c r="O140" i="1" s="1"/>
  <c r="G141" i="1"/>
  <c r="H141" i="1"/>
  <c r="J141" i="1"/>
  <c r="K141" i="1"/>
  <c r="M141" i="1"/>
  <c r="N141" i="1"/>
  <c r="O141" i="1" s="1"/>
  <c r="G142" i="1"/>
  <c r="H142" i="1"/>
  <c r="J142" i="1"/>
  <c r="K142" i="1"/>
  <c r="M142" i="1"/>
  <c r="N142" i="1"/>
  <c r="G143" i="1"/>
  <c r="H143" i="1"/>
  <c r="J143" i="1"/>
  <c r="K143" i="1"/>
  <c r="M143" i="1"/>
  <c r="O143" i="1" s="1"/>
  <c r="N143" i="1"/>
  <c r="G144" i="1"/>
  <c r="H144" i="1"/>
  <c r="J144" i="1"/>
  <c r="K144" i="1"/>
  <c r="M144" i="1"/>
  <c r="N144" i="1"/>
  <c r="G145" i="1"/>
  <c r="H145" i="1"/>
  <c r="J145" i="1"/>
  <c r="K145" i="1"/>
  <c r="M145" i="1"/>
  <c r="O145" i="1" s="1"/>
  <c r="N145" i="1"/>
  <c r="G146" i="1"/>
  <c r="H146" i="1"/>
  <c r="J146" i="1"/>
  <c r="K146" i="1"/>
  <c r="M146" i="1"/>
  <c r="N146" i="1"/>
  <c r="G147" i="1"/>
  <c r="H147" i="1"/>
  <c r="J147" i="1"/>
  <c r="K147" i="1"/>
  <c r="M147" i="1"/>
  <c r="O147" i="1" s="1"/>
  <c r="N147" i="1"/>
  <c r="G151" i="1"/>
  <c r="H151" i="1"/>
  <c r="J151" i="1"/>
  <c r="K151" i="1"/>
  <c r="M151" i="1"/>
  <c r="N151" i="1"/>
  <c r="G152" i="1"/>
  <c r="H152" i="1"/>
  <c r="J152" i="1"/>
  <c r="K152" i="1"/>
  <c r="M152" i="1"/>
  <c r="N152" i="1"/>
  <c r="G153" i="1"/>
  <c r="H153" i="1"/>
  <c r="J153" i="1"/>
  <c r="K153" i="1"/>
  <c r="M153" i="1"/>
  <c r="N153" i="1"/>
  <c r="G154" i="1"/>
  <c r="H154" i="1"/>
  <c r="J154" i="1"/>
  <c r="K154" i="1"/>
  <c r="M154" i="1"/>
  <c r="N154" i="1"/>
  <c r="G155" i="1"/>
  <c r="H155" i="1"/>
  <c r="J155" i="1"/>
  <c r="K155" i="1"/>
  <c r="L155" i="1" s="1"/>
  <c r="M155" i="1"/>
  <c r="N155" i="1"/>
  <c r="G156" i="1"/>
  <c r="H156" i="1"/>
  <c r="J156" i="1"/>
  <c r="K156" i="1"/>
  <c r="M156" i="1"/>
  <c r="N156" i="1"/>
  <c r="G157" i="1"/>
  <c r="H157" i="1"/>
  <c r="J157" i="1"/>
  <c r="K157" i="1"/>
  <c r="M157" i="1"/>
  <c r="N157" i="1"/>
  <c r="G158" i="1"/>
  <c r="H158" i="1"/>
  <c r="J158" i="1"/>
  <c r="K158" i="1"/>
  <c r="M158" i="1"/>
  <c r="N158" i="1"/>
  <c r="G159" i="1"/>
  <c r="H159" i="1"/>
  <c r="J159" i="1"/>
  <c r="K159" i="1"/>
  <c r="M159" i="1"/>
  <c r="N159" i="1"/>
  <c r="O159" i="1" s="1"/>
  <c r="G160" i="1"/>
  <c r="H160" i="1"/>
  <c r="J160" i="1"/>
  <c r="K160" i="1"/>
  <c r="M160" i="1"/>
  <c r="N160" i="1"/>
  <c r="G161" i="1"/>
  <c r="H161" i="1"/>
  <c r="J161" i="1"/>
  <c r="K161" i="1"/>
  <c r="M161" i="1"/>
  <c r="O161" i="1" s="1"/>
  <c r="N161" i="1"/>
  <c r="G162" i="1"/>
  <c r="H162" i="1"/>
  <c r="J162" i="1"/>
  <c r="K162" i="1"/>
  <c r="M162" i="1"/>
  <c r="N162" i="1"/>
  <c r="G163" i="1"/>
  <c r="I163" i="1" s="1"/>
  <c r="H163" i="1"/>
  <c r="J163" i="1"/>
  <c r="K163" i="1"/>
  <c r="L163" i="1" s="1"/>
  <c r="M163" i="1"/>
  <c r="N163" i="1"/>
  <c r="G164" i="1"/>
  <c r="H164" i="1"/>
  <c r="J164" i="1"/>
  <c r="K164" i="1"/>
  <c r="M164" i="1"/>
  <c r="N164" i="1"/>
  <c r="O164" i="1" s="1"/>
  <c r="G165" i="1"/>
  <c r="H165" i="1"/>
  <c r="J165" i="1"/>
  <c r="K165" i="1"/>
  <c r="M165" i="1"/>
  <c r="N165" i="1"/>
  <c r="O165" i="1" s="1"/>
  <c r="G166" i="1"/>
  <c r="H166" i="1"/>
  <c r="J166" i="1"/>
  <c r="K166" i="1"/>
  <c r="M166" i="1"/>
  <c r="N166" i="1"/>
  <c r="G167" i="1"/>
  <c r="H167" i="1"/>
  <c r="J167" i="1"/>
  <c r="K167" i="1"/>
  <c r="M167" i="1"/>
  <c r="N167" i="1"/>
  <c r="G168" i="1"/>
  <c r="H168" i="1"/>
  <c r="J168" i="1"/>
  <c r="K168" i="1"/>
  <c r="M168" i="1"/>
  <c r="N168" i="1"/>
  <c r="G172" i="1"/>
  <c r="H172" i="1"/>
  <c r="J172" i="1"/>
  <c r="L172" i="1" s="1"/>
  <c r="K172" i="1"/>
  <c r="M172" i="1"/>
  <c r="O172" i="1" s="1"/>
  <c r="N172" i="1"/>
  <c r="G173" i="1"/>
  <c r="H173" i="1"/>
  <c r="J173" i="1"/>
  <c r="K173" i="1"/>
  <c r="M173" i="1"/>
  <c r="N173" i="1"/>
  <c r="G174" i="1"/>
  <c r="H174" i="1"/>
  <c r="J174" i="1"/>
  <c r="K174" i="1"/>
  <c r="M174" i="1"/>
  <c r="O174" i="1" s="1"/>
  <c r="N174" i="1"/>
  <c r="G175" i="1"/>
  <c r="H175" i="1"/>
  <c r="J175" i="1"/>
  <c r="K175" i="1"/>
  <c r="L175" i="1" s="1"/>
  <c r="M175" i="1"/>
  <c r="N175" i="1"/>
  <c r="G176" i="1"/>
  <c r="H176" i="1"/>
  <c r="J176" i="1"/>
  <c r="K176" i="1"/>
  <c r="M176" i="1"/>
  <c r="N176" i="1"/>
  <c r="G177" i="1"/>
  <c r="H177" i="1"/>
  <c r="J177" i="1"/>
  <c r="K177" i="1"/>
  <c r="M177" i="1"/>
  <c r="N177" i="1"/>
  <c r="G178" i="1"/>
  <c r="H178" i="1"/>
  <c r="J178" i="1"/>
  <c r="K178" i="1"/>
  <c r="M178" i="1"/>
  <c r="N178" i="1"/>
  <c r="O178" i="1" s="1"/>
  <c r="G179" i="1"/>
  <c r="H179" i="1"/>
  <c r="J179" i="1"/>
  <c r="K179" i="1"/>
  <c r="M179" i="1"/>
  <c r="N179" i="1"/>
  <c r="O179" i="1" s="1"/>
  <c r="G180" i="1"/>
  <c r="H180" i="1"/>
  <c r="J180" i="1"/>
  <c r="K180" i="1"/>
  <c r="M180" i="1"/>
  <c r="N180" i="1"/>
  <c r="G181" i="1"/>
  <c r="H181" i="1"/>
  <c r="J181" i="1"/>
  <c r="K181" i="1"/>
  <c r="M181" i="1"/>
  <c r="N181" i="1"/>
  <c r="G182" i="1"/>
  <c r="H182" i="1"/>
  <c r="J182" i="1"/>
  <c r="K182" i="1"/>
  <c r="M182" i="1"/>
  <c r="N182" i="1"/>
  <c r="O182" i="1" s="1"/>
  <c r="G183" i="1"/>
  <c r="H183" i="1"/>
  <c r="J183" i="1"/>
  <c r="K183" i="1"/>
  <c r="M183" i="1"/>
  <c r="N183" i="1"/>
  <c r="G184" i="1"/>
  <c r="H184" i="1"/>
  <c r="J184" i="1"/>
  <c r="K184" i="1"/>
  <c r="M184" i="1"/>
  <c r="N184" i="1"/>
  <c r="G185" i="1"/>
  <c r="H185" i="1"/>
  <c r="J185" i="1"/>
  <c r="L185" i="1" s="1"/>
  <c r="K185" i="1"/>
  <c r="M185" i="1"/>
  <c r="N185" i="1"/>
  <c r="G186" i="1"/>
  <c r="H186" i="1"/>
  <c r="J186" i="1"/>
  <c r="K186" i="1"/>
  <c r="M186" i="1"/>
  <c r="N186" i="1"/>
  <c r="G187" i="1"/>
  <c r="H187" i="1"/>
  <c r="J187" i="1"/>
  <c r="K187" i="1"/>
  <c r="L187" i="1" s="1"/>
  <c r="M187" i="1"/>
  <c r="N187" i="1"/>
  <c r="G188" i="1"/>
  <c r="H188" i="1"/>
  <c r="J188" i="1"/>
  <c r="K188" i="1"/>
  <c r="M188" i="1"/>
  <c r="N188" i="1"/>
  <c r="G189" i="1"/>
  <c r="H189" i="1"/>
  <c r="J189" i="1"/>
  <c r="K189" i="1"/>
  <c r="M189" i="1"/>
  <c r="N189" i="1"/>
  <c r="G193" i="1"/>
  <c r="H193" i="1"/>
  <c r="J193" i="1"/>
  <c r="K193" i="1"/>
  <c r="M193" i="1"/>
  <c r="N193" i="1"/>
  <c r="G194" i="1"/>
  <c r="H194" i="1"/>
  <c r="J194" i="1"/>
  <c r="K194" i="1"/>
  <c r="M194" i="1"/>
  <c r="N194" i="1"/>
  <c r="G195" i="1"/>
  <c r="H195" i="1"/>
  <c r="J195" i="1"/>
  <c r="K195" i="1"/>
  <c r="M195" i="1"/>
  <c r="N195" i="1"/>
  <c r="G196" i="1"/>
  <c r="H196" i="1"/>
  <c r="J196" i="1"/>
  <c r="K196" i="1"/>
  <c r="L196" i="1" s="1"/>
  <c r="M196" i="1"/>
  <c r="O196" i="1" s="1"/>
  <c r="N196" i="1"/>
  <c r="G197" i="1"/>
  <c r="H197" i="1"/>
  <c r="J197" i="1"/>
  <c r="K197" i="1"/>
  <c r="M197" i="1"/>
  <c r="N197" i="1"/>
  <c r="O197" i="1" s="1"/>
  <c r="G198" i="1"/>
  <c r="H198" i="1"/>
  <c r="J198" i="1"/>
  <c r="K198" i="1"/>
  <c r="M198" i="1"/>
  <c r="N198" i="1"/>
  <c r="G199" i="1"/>
  <c r="H199" i="1"/>
  <c r="J199" i="1"/>
  <c r="K199" i="1"/>
  <c r="M199" i="1"/>
  <c r="N199" i="1"/>
  <c r="O199" i="1" s="1"/>
  <c r="G200" i="1"/>
  <c r="H200" i="1"/>
  <c r="J200" i="1"/>
  <c r="L200" i="1" s="1"/>
  <c r="K200" i="1"/>
  <c r="M200" i="1"/>
  <c r="N200" i="1"/>
  <c r="G201" i="1"/>
  <c r="H201" i="1"/>
  <c r="J201" i="1"/>
  <c r="L201" i="1" s="1"/>
  <c r="K201" i="1"/>
  <c r="M201" i="1"/>
  <c r="N201" i="1"/>
  <c r="G202" i="1"/>
  <c r="H202" i="1"/>
  <c r="J202" i="1"/>
  <c r="K202" i="1"/>
  <c r="M202" i="1"/>
  <c r="N202" i="1"/>
  <c r="G203" i="1"/>
  <c r="H203" i="1"/>
  <c r="J203" i="1"/>
  <c r="K203" i="1"/>
  <c r="M203" i="1"/>
  <c r="N203" i="1"/>
  <c r="O203" i="1" s="1"/>
  <c r="G204" i="1"/>
  <c r="H204" i="1"/>
  <c r="J204" i="1"/>
  <c r="K204" i="1"/>
  <c r="M204" i="1"/>
  <c r="N204" i="1"/>
  <c r="G205" i="1"/>
  <c r="H205" i="1"/>
  <c r="J205" i="1"/>
  <c r="K205" i="1"/>
  <c r="M205" i="1"/>
  <c r="N205" i="1"/>
  <c r="G206" i="1"/>
  <c r="H206" i="1"/>
  <c r="J206" i="1"/>
  <c r="K206" i="1"/>
  <c r="M206" i="1"/>
  <c r="O206" i="1" s="1"/>
  <c r="N206" i="1"/>
  <c r="G207" i="1"/>
  <c r="H207" i="1"/>
  <c r="J207" i="1"/>
  <c r="K207" i="1"/>
  <c r="M207" i="1"/>
  <c r="N207" i="1"/>
  <c r="G208" i="1"/>
  <c r="H208" i="1"/>
  <c r="J208" i="1"/>
  <c r="K208" i="1"/>
  <c r="M208" i="1"/>
  <c r="N208" i="1"/>
  <c r="G209" i="1"/>
  <c r="H209" i="1"/>
  <c r="J209" i="1"/>
  <c r="K209" i="1"/>
  <c r="L209" i="1" s="1"/>
  <c r="M209" i="1"/>
  <c r="N209" i="1"/>
  <c r="G210" i="1"/>
  <c r="I210" i="1" s="1"/>
  <c r="H210" i="1"/>
  <c r="J210" i="1"/>
  <c r="K210" i="1"/>
  <c r="M210" i="1"/>
  <c r="N210" i="1"/>
  <c r="G214" i="1"/>
  <c r="H214" i="1"/>
  <c r="J214" i="1"/>
  <c r="K214" i="1"/>
  <c r="M214" i="1"/>
  <c r="N214" i="1"/>
  <c r="G215" i="1"/>
  <c r="H215" i="1"/>
  <c r="J215" i="1"/>
  <c r="K215" i="1"/>
  <c r="M215" i="1"/>
  <c r="N215" i="1"/>
  <c r="G216" i="1"/>
  <c r="H216" i="1"/>
  <c r="J216" i="1"/>
  <c r="K216" i="1"/>
  <c r="M216" i="1"/>
  <c r="N216" i="1"/>
  <c r="O216" i="1" s="1"/>
  <c r="G217" i="1"/>
  <c r="H217" i="1"/>
  <c r="J217" i="1"/>
  <c r="K217" i="1"/>
  <c r="M217" i="1"/>
  <c r="N217" i="1"/>
  <c r="G218" i="1"/>
  <c r="H218" i="1"/>
  <c r="J218" i="1"/>
  <c r="L218" i="1" s="1"/>
  <c r="K218" i="1"/>
  <c r="M218" i="1"/>
  <c r="N218" i="1"/>
  <c r="O218" i="1" s="1"/>
  <c r="G219" i="1"/>
  <c r="H219" i="1"/>
  <c r="J219" i="1"/>
  <c r="K219" i="1"/>
  <c r="M219" i="1"/>
  <c r="N219" i="1"/>
  <c r="G220" i="1"/>
  <c r="H220" i="1"/>
  <c r="J220" i="1"/>
  <c r="K220" i="1"/>
  <c r="M220" i="1"/>
  <c r="N220" i="1"/>
  <c r="G221" i="1"/>
  <c r="H221" i="1"/>
  <c r="J221" i="1"/>
  <c r="K221" i="1"/>
  <c r="M221" i="1"/>
  <c r="N221" i="1"/>
  <c r="G222" i="1"/>
  <c r="H222" i="1"/>
  <c r="J222" i="1"/>
  <c r="K222" i="1"/>
  <c r="M222" i="1"/>
  <c r="N222" i="1"/>
  <c r="G223" i="1"/>
  <c r="H223" i="1"/>
  <c r="J223" i="1"/>
  <c r="K223" i="1"/>
  <c r="L223" i="1" s="1"/>
  <c r="M223" i="1"/>
  <c r="N223" i="1"/>
  <c r="O223" i="1" s="1"/>
  <c r="G224" i="1"/>
  <c r="H224" i="1"/>
  <c r="J224" i="1"/>
  <c r="K224" i="1"/>
  <c r="M224" i="1"/>
  <c r="N224" i="1"/>
  <c r="G225" i="1"/>
  <c r="H225" i="1"/>
  <c r="J225" i="1"/>
  <c r="K225" i="1"/>
  <c r="M225" i="1"/>
  <c r="N225" i="1"/>
  <c r="G226" i="1"/>
  <c r="H226" i="1"/>
  <c r="J226" i="1"/>
  <c r="K226" i="1"/>
  <c r="M226" i="1"/>
  <c r="N226" i="1"/>
  <c r="G227" i="1"/>
  <c r="H227" i="1"/>
  <c r="J227" i="1"/>
  <c r="K227" i="1"/>
  <c r="M227" i="1"/>
  <c r="N227" i="1"/>
  <c r="G228" i="1"/>
  <c r="H228" i="1"/>
  <c r="J228" i="1"/>
  <c r="K228" i="1"/>
  <c r="M228" i="1"/>
  <c r="N228" i="1"/>
  <c r="G229" i="1"/>
  <c r="H229" i="1"/>
  <c r="J229" i="1"/>
  <c r="K229" i="1"/>
  <c r="M229" i="1"/>
  <c r="N229" i="1"/>
  <c r="G230" i="1"/>
  <c r="H230" i="1"/>
  <c r="J230" i="1"/>
  <c r="K230" i="1"/>
  <c r="L230" i="1" s="1"/>
  <c r="M230" i="1"/>
  <c r="N230" i="1"/>
  <c r="G231" i="1"/>
  <c r="H231" i="1"/>
  <c r="J231" i="1"/>
  <c r="K231" i="1"/>
  <c r="M231" i="1"/>
  <c r="O231" i="1" s="1"/>
  <c r="N231" i="1"/>
  <c r="G235" i="1"/>
  <c r="H235" i="1"/>
  <c r="J235" i="1"/>
  <c r="K235" i="1"/>
  <c r="M235" i="1"/>
  <c r="N235" i="1"/>
  <c r="G236" i="1"/>
  <c r="H236" i="1"/>
  <c r="J236" i="1"/>
  <c r="K236" i="1"/>
  <c r="L236" i="1" s="1"/>
  <c r="M236" i="1"/>
  <c r="N236" i="1"/>
  <c r="G237" i="1"/>
  <c r="I237" i="1" s="1"/>
  <c r="H237" i="1"/>
  <c r="J237" i="1"/>
  <c r="K237" i="1"/>
  <c r="M237" i="1"/>
  <c r="N237" i="1"/>
  <c r="G238" i="1"/>
  <c r="H238" i="1"/>
  <c r="J238" i="1"/>
  <c r="L238" i="1" s="1"/>
  <c r="K238" i="1"/>
  <c r="M238" i="1"/>
  <c r="N238" i="1"/>
  <c r="O238" i="1" s="1"/>
  <c r="G239" i="1"/>
  <c r="H239" i="1"/>
  <c r="J239" i="1"/>
  <c r="K239" i="1"/>
  <c r="L239" i="1" s="1"/>
  <c r="M239" i="1"/>
  <c r="N239" i="1"/>
  <c r="G240" i="1"/>
  <c r="H240" i="1"/>
  <c r="J240" i="1"/>
  <c r="K240" i="1"/>
  <c r="L240" i="1" s="1"/>
  <c r="M240" i="1"/>
  <c r="N240" i="1"/>
  <c r="G241" i="1"/>
  <c r="H241" i="1"/>
  <c r="J241" i="1"/>
  <c r="K241" i="1"/>
  <c r="M241" i="1"/>
  <c r="N241" i="1"/>
  <c r="G242" i="1"/>
  <c r="H242" i="1"/>
  <c r="J242" i="1"/>
  <c r="K242" i="1"/>
  <c r="L242" i="1" s="1"/>
  <c r="M242" i="1"/>
  <c r="N242" i="1"/>
  <c r="G243" i="1"/>
  <c r="H243" i="1"/>
  <c r="J243" i="1"/>
  <c r="K243" i="1"/>
  <c r="M243" i="1"/>
  <c r="N243" i="1"/>
  <c r="G244" i="1"/>
  <c r="H244" i="1"/>
  <c r="J244" i="1"/>
  <c r="K244" i="1"/>
  <c r="L244" i="1" s="1"/>
  <c r="M244" i="1"/>
  <c r="O244" i="1" s="1"/>
  <c r="N244" i="1"/>
  <c r="G245" i="1"/>
  <c r="H245" i="1"/>
  <c r="J245" i="1"/>
  <c r="K245" i="1"/>
  <c r="M245" i="1"/>
  <c r="N245" i="1"/>
  <c r="G246" i="1"/>
  <c r="H246" i="1"/>
  <c r="J246" i="1"/>
  <c r="K246" i="1"/>
  <c r="M246" i="1"/>
  <c r="N246" i="1"/>
  <c r="O246" i="1" s="1"/>
  <c r="G247" i="1"/>
  <c r="H247" i="1"/>
  <c r="J247" i="1"/>
  <c r="L247" i="1" s="1"/>
  <c r="K247" i="1"/>
  <c r="M247" i="1"/>
  <c r="N247" i="1"/>
  <c r="O247" i="1"/>
  <c r="G248" i="1"/>
  <c r="I248" i="1" s="1"/>
  <c r="H248" i="1"/>
  <c r="J248" i="1"/>
  <c r="K248" i="1"/>
  <c r="L248" i="1" s="1"/>
  <c r="M248" i="1"/>
  <c r="N248" i="1"/>
  <c r="G249" i="1"/>
  <c r="H249" i="1"/>
  <c r="J249" i="1"/>
  <c r="K249" i="1"/>
  <c r="M249" i="1"/>
  <c r="N249" i="1"/>
  <c r="G250" i="1"/>
  <c r="H250" i="1"/>
  <c r="J250" i="1"/>
  <c r="K250" i="1"/>
  <c r="M250" i="1"/>
  <c r="N250" i="1"/>
  <c r="G251" i="1"/>
  <c r="H251" i="1"/>
  <c r="J251" i="1"/>
  <c r="K251" i="1"/>
  <c r="M251" i="1"/>
  <c r="N251" i="1"/>
  <c r="O251" i="1" s="1"/>
  <c r="G252" i="1"/>
  <c r="H252" i="1"/>
  <c r="J252" i="1"/>
  <c r="K252" i="1"/>
  <c r="M252" i="1"/>
  <c r="N252" i="1"/>
  <c r="G256" i="1"/>
  <c r="H256" i="1"/>
  <c r="J256" i="1"/>
  <c r="K256" i="1"/>
  <c r="L256" i="1" s="1"/>
  <c r="M256" i="1"/>
  <c r="N256" i="1"/>
  <c r="G257" i="1"/>
  <c r="H257" i="1"/>
  <c r="J257" i="1"/>
  <c r="K257" i="1"/>
  <c r="M257" i="1"/>
  <c r="N257" i="1"/>
  <c r="O257" i="1" s="1"/>
  <c r="G258" i="1"/>
  <c r="H258" i="1"/>
  <c r="J258" i="1"/>
  <c r="K258" i="1"/>
  <c r="M258" i="1"/>
  <c r="N258" i="1"/>
  <c r="O258" i="1" s="1"/>
  <c r="G259" i="1"/>
  <c r="H259" i="1"/>
  <c r="J259" i="1"/>
  <c r="K259" i="1"/>
  <c r="M259" i="1"/>
  <c r="N259" i="1"/>
  <c r="G260" i="1"/>
  <c r="H260" i="1"/>
  <c r="J260" i="1"/>
  <c r="K260" i="1"/>
  <c r="M260" i="1"/>
  <c r="N260" i="1"/>
  <c r="O260" i="1" s="1"/>
  <c r="G261" i="1"/>
  <c r="H261" i="1"/>
  <c r="J261" i="1"/>
  <c r="K261" i="1"/>
  <c r="M261" i="1"/>
  <c r="N261" i="1"/>
  <c r="G262" i="1"/>
  <c r="H262" i="1"/>
  <c r="J262" i="1"/>
  <c r="K262" i="1"/>
  <c r="M262" i="1"/>
  <c r="N262" i="1"/>
  <c r="G263" i="1"/>
  <c r="H263" i="1"/>
  <c r="J263" i="1"/>
  <c r="K263" i="1"/>
  <c r="L263" i="1" s="1"/>
  <c r="M263" i="1"/>
  <c r="N263" i="1"/>
  <c r="G264" i="1"/>
  <c r="H264" i="1"/>
  <c r="J264" i="1"/>
  <c r="K264" i="1"/>
  <c r="L264" i="1" s="1"/>
  <c r="M264" i="1"/>
  <c r="N264" i="1"/>
  <c r="G265" i="1"/>
  <c r="H265" i="1"/>
  <c r="J265" i="1"/>
  <c r="K265" i="1"/>
  <c r="M265" i="1"/>
  <c r="N265" i="1"/>
  <c r="G266" i="1"/>
  <c r="H266" i="1"/>
  <c r="J266" i="1"/>
  <c r="K266" i="1"/>
  <c r="M266" i="1"/>
  <c r="N266" i="1"/>
  <c r="G267" i="1"/>
  <c r="H267" i="1"/>
  <c r="J267" i="1"/>
  <c r="K267" i="1"/>
  <c r="M267" i="1"/>
  <c r="N267" i="1"/>
  <c r="G268" i="1"/>
  <c r="H268" i="1"/>
  <c r="J268" i="1"/>
  <c r="K268" i="1"/>
  <c r="M268" i="1"/>
  <c r="N268" i="1"/>
  <c r="G269" i="1"/>
  <c r="I269" i="1" s="1"/>
  <c r="H269" i="1"/>
  <c r="J269" i="1"/>
  <c r="K269" i="1"/>
  <c r="M269" i="1"/>
  <c r="N269" i="1"/>
  <c r="G270" i="1"/>
  <c r="I270" i="1" s="1"/>
  <c r="H270" i="1"/>
  <c r="J270" i="1"/>
  <c r="K270" i="1"/>
  <c r="M270" i="1"/>
  <c r="N270" i="1"/>
  <c r="O270" i="1" s="1"/>
  <c r="G271" i="1"/>
  <c r="H271" i="1"/>
  <c r="J271" i="1"/>
  <c r="K271" i="1"/>
  <c r="M271" i="1"/>
  <c r="N271" i="1"/>
  <c r="G272" i="1"/>
  <c r="H272" i="1"/>
  <c r="J272" i="1"/>
  <c r="K272" i="1"/>
  <c r="M272" i="1"/>
  <c r="N272" i="1"/>
  <c r="G273" i="1"/>
  <c r="H273" i="1"/>
  <c r="J273" i="1"/>
  <c r="K273" i="1"/>
  <c r="M273" i="1"/>
  <c r="N273" i="1"/>
  <c r="G277" i="1"/>
  <c r="H277" i="1"/>
  <c r="J277" i="1"/>
  <c r="K277" i="1"/>
  <c r="M277" i="1"/>
  <c r="N277" i="1"/>
  <c r="G278" i="1"/>
  <c r="H278" i="1"/>
  <c r="J278" i="1"/>
  <c r="K278" i="1"/>
  <c r="L278" i="1" s="1"/>
  <c r="M278" i="1"/>
  <c r="N278" i="1"/>
  <c r="G279" i="1"/>
  <c r="H279" i="1"/>
  <c r="J279" i="1"/>
  <c r="K279" i="1"/>
  <c r="M279" i="1"/>
  <c r="N279" i="1"/>
  <c r="G280" i="1"/>
  <c r="H280" i="1"/>
  <c r="J280" i="1"/>
  <c r="K280" i="1"/>
  <c r="M280" i="1"/>
  <c r="N280" i="1"/>
  <c r="G281" i="1"/>
  <c r="H281" i="1"/>
  <c r="J281" i="1"/>
  <c r="K281" i="1"/>
  <c r="M281" i="1"/>
  <c r="N281" i="1"/>
  <c r="G282" i="1"/>
  <c r="H282" i="1"/>
  <c r="J282" i="1"/>
  <c r="K282" i="1"/>
  <c r="M282" i="1"/>
  <c r="N282" i="1"/>
  <c r="G283" i="1"/>
  <c r="H283" i="1"/>
  <c r="J283" i="1"/>
  <c r="K283" i="1"/>
  <c r="M283" i="1"/>
  <c r="N283" i="1"/>
  <c r="G284" i="1"/>
  <c r="H284" i="1"/>
  <c r="J284" i="1"/>
  <c r="L284" i="1" s="1"/>
  <c r="K284" i="1"/>
  <c r="M284" i="1"/>
  <c r="N284" i="1"/>
  <c r="G285" i="1"/>
  <c r="H285" i="1"/>
  <c r="J285" i="1"/>
  <c r="K285" i="1"/>
  <c r="L285" i="1" s="1"/>
  <c r="M285" i="1"/>
  <c r="N285" i="1"/>
  <c r="G286" i="1"/>
  <c r="H286" i="1"/>
  <c r="J286" i="1"/>
  <c r="K286" i="1"/>
  <c r="M286" i="1"/>
  <c r="N286" i="1"/>
  <c r="G287" i="1"/>
  <c r="H287" i="1"/>
  <c r="J287" i="1"/>
  <c r="K287" i="1"/>
  <c r="M287" i="1"/>
  <c r="N287" i="1"/>
  <c r="G288" i="1"/>
  <c r="H288" i="1"/>
  <c r="J288" i="1"/>
  <c r="K288" i="1"/>
  <c r="L288" i="1" s="1"/>
  <c r="M288" i="1"/>
  <c r="N288" i="1"/>
  <c r="G289" i="1"/>
  <c r="H289" i="1"/>
  <c r="J289" i="1"/>
  <c r="K289" i="1"/>
  <c r="M289" i="1"/>
  <c r="N289" i="1"/>
  <c r="G290" i="1"/>
  <c r="H290" i="1"/>
  <c r="J290" i="1"/>
  <c r="K290" i="1"/>
  <c r="M290" i="1"/>
  <c r="N290" i="1"/>
  <c r="G291" i="1"/>
  <c r="H291" i="1"/>
  <c r="J291" i="1"/>
  <c r="K291" i="1"/>
  <c r="L291" i="1" s="1"/>
  <c r="M291" i="1"/>
  <c r="N291" i="1"/>
  <c r="G292" i="1"/>
  <c r="H292" i="1"/>
  <c r="J292" i="1"/>
  <c r="K292" i="1"/>
  <c r="M292" i="1"/>
  <c r="N292" i="1"/>
  <c r="G293" i="1"/>
  <c r="H293" i="1"/>
  <c r="J293" i="1"/>
  <c r="K293" i="1"/>
  <c r="L293" i="1" s="1"/>
  <c r="M293" i="1"/>
  <c r="N293" i="1"/>
  <c r="G294" i="1"/>
  <c r="H294" i="1"/>
  <c r="J294" i="1"/>
  <c r="K294" i="1"/>
  <c r="M294" i="1"/>
  <c r="N294" i="1"/>
  <c r="G298" i="1"/>
  <c r="H298" i="1"/>
  <c r="J298" i="1"/>
  <c r="K298" i="1"/>
  <c r="M298" i="1"/>
  <c r="N298" i="1"/>
  <c r="G299" i="1"/>
  <c r="H299" i="1"/>
  <c r="J299" i="1"/>
  <c r="K299" i="1"/>
  <c r="L299" i="1" s="1"/>
  <c r="M299" i="1"/>
  <c r="N299" i="1"/>
  <c r="G300" i="1"/>
  <c r="H300" i="1"/>
  <c r="J300" i="1"/>
  <c r="K300" i="1"/>
  <c r="M300" i="1"/>
  <c r="N300" i="1"/>
  <c r="G301" i="1"/>
  <c r="H301" i="1"/>
  <c r="J301" i="1"/>
  <c r="K301" i="1"/>
  <c r="M301" i="1"/>
  <c r="N301" i="1"/>
  <c r="G302" i="1"/>
  <c r="H302" i="1"/>
  <c r="J302" i="1"/>
  <c r="K302" i="1"/>
  <c r="M302" i="1"/>
  <c r="N302" i="1"/>
  <c r="G303" i="1"/>
  <c r="H303" i="1"/>
  <c r="J303" i="1"/>
  <c r="K303" i="1"/>
  <c r="M303" i="1"/>
  <c r="N303" i="1"/>
  <c r="O303" i="1" s="1"/>
  <c r="G304" i="1"/>
  <c r="H304" i="1"/>
  <c r="J304" i="1"/>
  <c r="K304" i="1"/>
  <c r="L304" i="1" s="1"/>
  <c r="M304" i="1"/>
  <c r="N304" i="1"/>
  <c r="G305" i="1"/>
  <c r="H305" i="1"/>
  <c r="J305" i="1"/>
  <c r="K305" i="1"/>
  <c r="M305" i="1"/>
  <c r="N305" i="1"/>
  <c r="O305" i="1" s="1"/>
  <c r="G306" i="1"/>
  <c r="H306" i="1"/>
  <c r="J306" i="1"/>
  <c r="K306" i="1"/>
  <c r="M306" i="1"/>
  <c r="N306" i="1"/>
  <c r="G307" i="1"/>
  <c r="H307" i="1"/>
  <c r="J307" i="1"/>
  <c r="K307" i="1"/>
  <c r="M307" i="1"/>
  <c r="N307" i="1"/>
  <c r="G308" i="1"/>
  <c r="I308" i="1" s="1"/>
  <c r="H308" i="1"/>
  <c r="J308" i="1"/>
  <c r="K308" i="1"/>
  <c r="M308" i="1"/>
  <c r="N308" i="1"/>
  <c r="G309" i="1"/>
  <c r="H309" i="1"/>
  <c r="J309" i="1"/>
  <c r="K309" i="1"/>
  <c r="M309" i="1"/>
  <c r="N309" i="1"/>
  <c r="G310" i="1"/>
  <c r="H310" i="1"/>
  <c r="J310" i="1"/>
  <c r="K310" i="1"/>
  <c r="M310" i="1"/>
  <c r="N310" i="1"/>
  <c r="G311" i="1"/>
  <c r="H311" i="1"/>
  <c r="J311" i="1"/>
  <c r="K311" i="1"/>
  <c r="M311" i="1"/>
  <c r="N311" i="1"/>
  <c r="G312" i="1"/>
  <c r="H312" i="1"/>
  <c r="J312" i="1"/>
  <c r="K312" i="1"/>
  <c r="M312" i="1"/>
  <c r="O312" i="1" s="1"/>
  <c r="N312" i="1"/>
  <c r="G313" i="1"/>
  <c r="H313" i="1"/>
  <c r="J313" i="1"/>
  <c r="K313" i="1"/>
  <c r="M313" i="1"/>
  <c r="N313" i="1"/>
  <c r="G314" i="1"/>
  <c r="H314" i="1"/>
  <c r="J314" i="1"/>
  <c r="K314" i="1"/>
  <c r="M314" i="1"/>
  <c r="N314" i="1"/>
  <c r="G315" i="1"/>
  <c r="H315" i="1"/>
  <c r="J315" i="1"/>
  <c r="K315" i="1"/>
  <c r="M315" i="1"/>
  <c r="N315" i="1"/>
  <c r="G319" i="1"/>
  <c r="H319" i="1"/>
  <c r="J319" i="1"/>
  <c r="K319" i="1"/>
  <c r="M319" i="1"/>
  <c r="N319" i="1"/>
  <c r="G320" i="1"/>
  <c r="H320" i="1"/>
  <c r="J320" i="1"/>
  <c r="K320" i="1"/>
  <c r="M320" i="1"/>
  <c r="N320" i="1"/>
  <c r="G321" i="1"/>
  <c r="H321" i="1"/>
  <c r="J321" i="1"/>
  <c r="K321" i="1"/>
  <c r="M321" i="1"/>
  <c r="O321" i="1" s="1"/>
  <c r="N321" i="1"/>
  <c r="G322" i="1"/>
  <c r="I322" i="1" s="1"/>
  <c r="H322" i="1"/>
  <c r="J322" i="1"/>
  <c r="K322" i="1"/>
  <c r="M322" i="1"/>
  <c r="N322" i="1"/>
  <c r="G323" i="1"/>
  <c r="I323" i="1" s="1"/>
  <c r="H323" i="1"/>
  <c r="J323" i="1"/>
  <c r="K323" i="1"/>
  <c r="L323" i="1" s="1"/>
  <c r="M323" i="1"/>
  <c r="N323" i="1"/>
  <c r="G324" i="1"/>
  <c r="H324" i="1"/>
  <c r="J324" i="1"/>
  <c r="K324" i="1"/>
  <c r="M324" i="1"/>
  <c r="N324" i="1"/>
  <c r="G325" i="1"/>
  <c r="H325" i="1"/>
  <c r="J325" i="1"/>
  <c r="K325" i="1"/>
  <c r="M325" i="1"/>
  <c r="O325" i="1" s="1"/>
  <c r="N325" i="1"/>
  <c r="G326" i="1"/>
  <c r="H326" i="1"/>
  <c r="J326" i="1"/>
  <c r="L326" i="1" s="1"/>
  <c r="K326" i="1"/>
  <c r="M326" i="1"/>
  <c r="N326" i="1"/>
  <c r="G327" i="1"/>
  <c r="H327" i="1"/>
  <c r="J327" i="1"/>
  <c r="K327" i="1"/>
  <c r="M327" i="1"/>
  <c r="N327" i="1"/>
  <c r="G328" i="1"/>
  <c r="H328" i="1"/>
  <c r="J328" i="1"/>
  <c r="K328" i="1"/>
  <c r="M328" i="1"/>
  <c r="N328" i="1"/>
  <c r="G329" i="1"/>
  <c r="H329" i="1"/>
  <c r="J329" i="1"/>
  <c r="K329" i="1"/>
  <c r="M329" i="1"/>
  <c r="N329" i="1"/>
  <c r="G330" i="1"/>
  <c r="H330" i="1"/>
  <c r="J330" i="1"/>
  <c r="K330" i="1"/>
  <c r="M330" i="1"/>
  <c r="N330" i="1"/>
  <c r="G331" i="1"/>
  <c r="H331" i="1"/>
  <c r="J331" i="1"/>
  <c r="K331" i="1"/>
  <c r="M331" i="1"/>
  <c r="N331" i="1"/>
  <c r="G332" i="1"/>
  <c r="H332" i="1"/>
  <c r="J332" i="1"/>
  <c r="K332" i="1"/>
  <c r="M332" i="1"/>
  <c r="N332" i="1"/>
  <c r="G333" i="1"/>
  <c r="H333" i="1"/>
  <c r="J333" i="1"/>
  <c r="K333" i="1"/>
  <c r="M333" i="1"/>
  <c r="N333" i="1"/>
  <c r="G334" i="1"/>
  <c r="H334" i="1"/>
  <c r="J334" i="1"/>
  <c r="L334" i="1" s="1"/>
  <c r="K334" i="1"/>
  <c r="M334" i="1"/>
  <c r="N334" i="1"/>
  <c r="G335" i="1"/>
  <c r="H335" i="1"/>
  <c r="J335" i="1"/>
  <c r="K335" i="1"/>
  <c r="M335" i="1"/>
  <c r="N335" i="1"/>
  <c r="G336" i="1"/>
  <c r="H336" i="1"/>
  <c r="J336" i="1"/>
  <c r="K336" i="1"/>
  <c r="M336" i="1"/>
  <c r="N336" i="1"/>
  <c r="G340" i="1"/>
  <c r="H340" i="1"/>
  <c r="J340" i="1"/>
  <c r="K340" i="1"/>
  <c r="L340" i="1" s="1"/>
  <c r="M340" i="1"/>
  <c r="N340" i="1"/>
  <c r="G341" i="1"/>
  <c r="H341" i="1"/>
  <c r="J341" i="1"/>
  <c r="K341" i="1"/>
  <c r="M341" i="1"/>
  <c r="N341" i="1"/>
  <c r="G342" i="1"/>
  <c r="H342" i="1"/>
  <c r="J342" i="1"/>
  <c r="K342" i="1"/>
  <c r="M342" i="1"/>
  <c r="N342" i="1"/>
  <c r="G343" i="1"/>
  <c r="H343" i="1"/>
  <c r="J343" i="1"/>
  <c r="K343" i="1"/>
  <c r="L343" i="1" s="1"/>
  <c r="M343" i="1"/>
  <c r="N343" i="1"/>
  <c r="G344" i="1"/>
  <c r="H344" i="1"/>
  <c r="J344" i="1"/>
  <c r="K344" i="1"/>
  <c r="M344" i="1"/>
  <c r="N344" i="1"/>
  <c r="G345" i="1"/>
  <c r="H345" i="1"/>
  <c r="J345" i="1"/>
  <c r="K345" i="1"/>
  <c r="M345" i="1"/>
  <c r="N345" i="1"/>
  <c r="G346" i="1"/>
  <c r="H346" i="1"/>
  <c r="J346" i="1"/>
  <c r="K346" i="1"/>
  <c r="M346" i="1"/>
  <c r="N346" i="1"/>
  <c r="G347" i="1"/>
  <c r="H347" i="1"/>
  <c r="J347" i="1"/>
  <c r="K347" i="1"/>
  <c r="M347" i="1"/>
  <c r="N347" i="1"/>
  <c r="G348" i="1"/>
  <c r="H348" i="1"/>
  <c r="J348" i="1"/>
  <c r="K348" i="1"/>
  <c r="M348" i="1"/>
  <c r="N348" i="1"/>
  <c r="G349" i="1"/>
  <c r="H349" i="1"/>
  <c r="J349" i="1"/>
  <c r="K349" i="1"/>
  <c r="L349" i="1" s="1"/>
  <c r="M349" i="1"/>
  <c r="N349" i="1"/>
  <c r="G350" i="1"/>
  <c r="H350" i="1"/>
  <c r="J350" i="1"/>
  <c r="K350" i="1"/>
  <c r="M350" i="1"/>
  <c r="N350" i="1"/>
  <c r="G351" i="1"/>
  <c r="H351" i="1"/>
  <c r="J351" i="1"/>
  <c r="K351" i="1"/>
  <c r="M351" i="1"/>
  <c r="N351" i="1"/>
  <c r="G352" i="1"/>
  <c r="H352" i="1"/>
  <c r="J352" i="1"/>
  <c r="K352" i="1"/>
  <c r="M352" i="1"/>
  <c r="N352" i="1"/>
  <c r="G353" i="1"/>
  <c r="H353" i="1"/>
  <c r="J353" i="1"/>
  <c r="K353" i="1"/>
  <c r="M353" i="1"/>
  <c r="O353" i="1" s="1"/>
  <c r="N353" i="1"/>
  <c r="G354" i="1"/>
  <c r="H354" i="1"/>
  <c r="J354" i="1"/>
  <c r="K354" i="1"/>
  <c r="L354" i="1" s="1"/>
  <c r="M354" i="1"/>
  <c r="N354" i="1"/>
  <c r="G355" i="1"/>
  <c r="H355" i="1"/>
  <c r="J355" i="1"/>
  <c r="K355" i="1"/>
  <c r="L355" i="1" s="1"/>
  <c r="M355" i="1"/>
  <c r="O355" i="1" s="1"/>
  <c r="N355" i="1"/>
  <c r="G356" i="1"/>
  <c r="H356" i="1"/>
  <c r="J356" i="1"/>
  <c r="K356" i="1"/>
  <c r="M356" i="1"/>
  <c r="N356" i="1"/>
  <c r="G357" i="1"/>
  <c r="I357" i="1" s="1"/>
  <c r="H357" i="1"/>
  <c r="J357" i="1"/>
  <c r="K357" i="1"/>
  <c r="L357" i="1" s="1"/>
  <c r="M357" i="1"/>
  <c r="N357" i="1"/>
  <c r="G361" i="1"/>
  <c r="H361" i="1"/>
  <c r="J361" i="1"/>
  <c r="K361" i="1"/>
  <c r="M361" i="1"/>
  <c r="N361" i="1"/>
  <c r="G362" i="1"/>
  <c r="H362" i="1"/>
  <c r="J362" i="1"/>
  <c r="K362" i="1"/>
  <c r="M362" i="1"/>
  <c r="N362" i="1"/>
  <c r="G363" i="1"/>
  <c r="H363" i="1"/>
  <c r="J363" i="1"/>
  <c r="K363" i="1"/>
  <c r="M363" i="1"/>
  <c r="N363" i="1"/>
  <c r="G364" i="1"/>
  <c r="H364" i="1"/>
  <c r="J364" i="1"/>
  <c r="K364" i="1"/>
  <c r="M364" i="1"/>
  <c r="N364" i="1"/>
  <c r="G365" i="1"/>
  <c r="H365" i="1"/>
  <c r="J365" i="1"/>
  <c r="K365" i="1"/>
  <c r="M365" i="1"/>
  <c r="N365" i="1"/>
  <c r="G366" i="1"/>
  <c r="H366" i="1"/>
  <c r="J366" i="1"/>
  <c r="K366" i="1"/>
  <c r="M366" i="1"/>
  <c r="N366" i="1"/>
  <c r="G367" i="1"/>
  <c r="H367" i="1"/>
  <c r="J367" i="1"/>
  <c r="K367" i="1"/>
  <c r="L367" i="1"/>
  <c r="M367" i="1"/>
  <c r="N367" i="1"/>
  <c r="O367" i="1" s="1"/>
  <c r="G368" i="1"/>
  <c r="H368" i="1"/>
  <c r="J368" i="1"/>
  <c r="K368" i="1"/>
  <c r="M368" i="1"/>
  <c r="N368" i="1"/>
  <c r="G369" i="1"/>
  <c r="H369" i="1"/>
  <c r="J369" i="1"/>
  <c r="K369" i="1"/>
  <c r="M369" i="1"/>
  <c r="N369" i="1"/>
  <c r="G370" i="1"/>
  <c r="H370" i="1"/>
  <c r="J370" i="1"/>
  <c r="L370" i="1" s="1"/>
  <c r="K370" i="1"/>
  <c r="M370" i="1"/>
  <c r="N370" i="1"/>
  <c r="G371" i="1"/>
  <c r="H371" i="1"/>
  <c r="J371" i="1"/>
  <c r="K371" i="1"/>
  <c r="M371" i="1"/>
  <c r="N371" i="1"/>
  <c r="G372" i="1"/>
  <c r="H372" i="1"/>
  <c r="J372" i="1"/>
  <c r="K372" i="1"/>
  <c r="L372" i="1" s="1"/>
  <c r="M372" i="1"/>
  <c r="N372" i="1"/>
  <c r="O372" i="1"/>
  <c r="G373" i="1"/>
  <c r="H373" i="1"/>
  <c r="J373" i="1"/>
  <c r="K373" i="1"/>
  <c r="M373" i="1"/>
  <c r="N373" i="1"/>
  <c r="O373" i="1" s="1"/>
  <c r="G374" i="1"/>
  <c r="H374" i="1"/>
  <c r="J374" i="1"/>
  <c r="K374" i="1"/>
  <c r="L374" i="1"/>
  <c r="M374" i="1"/>
  <c r="N374" i="1"/>
  <c r="O374" i="1" s="1"/>
  <c r="G375" i="1"/>
  <c r="H375" i="1"/>
  <c r="J375" i="1"/>
  <c r="K375" i="1"/>
  <c r="M375" i="1"/>
  <c r="N375" i="1"/>
  <c r="G376" i="1"/>
  <c r="H376" i="1"/>
  <c r="J376" i="1"/>
  <c r="K376" i="1"/>
  <c r="M376" i="1"/>
  <c r="N376" i="1"/>
  <c r="O376" i="1" s="1"/>
  <c r="G377" i="1"/>
  <c r="H377" i="1"/>
  <c r="J377" i="1"/>
  <c r="K377" i="1"/>
  <c r="L377" i="1" s="1"/>
  <c r="M377" i="1"/>
  <c r="N377" i="1"/>
  <c r="O377" i="1" s="1"/>
  <c r="G378" i="1"/>
  <c r="H378" i="1"/>
  <c r="J378" i="1"/>
  <c r="K378" i="1"/>
  <c r="M378" i="1"/>
  <c r="N378" i="1"/>
  <c r="O378" i="1" s="1"/>
  <c r="G382" i="1"/>
  <c r="I382" i="1" s="1"/>
  <c r="H382" i="1"/>
  <c r="J382" i="1"/>
  <c r="K382" i="1"/>
  <c r="L382" i="1" s="1"/>
  <c r="M382" i="1"/>
  <c r="N382" i="1"/>
  <c r="O382" i="1" s="1"/>
  <c r="G383" i="1"/>
  <c r="H383" i="1"/>
  <c r="J383" i="1"/>
  <c r="K383" i="1"/>
  <c r="M383" i="1"/>
  <c r="N383" i="1"/>
  <c r="G384" i="1"/>
  <c r="H384" i="1"/>
  <c r="J384" i="1"/>
  <c r="K384" i="1"/>
  <c r="M384" i="1"/>
  <c r="O384" i="1" s="1"/>
  <c r="N384" i="1"/>
  <c r="G385" i="1"/>
  <c r="H385" i="1"/>
  <c r="J385" i="1"/>
  <c r="K385" i="1"/>
  <c r="L385" i="1" s="1"/>
  <c r="M385" i="1"/>
  <c r="N385" i="1"/>
  <c r="O385" i="1" s="1"/>
  <c r="G386" i="1"/>
  <c r="H386" i="1"/>
  <c r="J386" i="1"/>
  <c r="K386" i="1"/>
  <c r="M386" i="1"/>
  <c r="N386" i="1"/>
  <c r="O386" i="1" s="1"/>
  <c r="G387" i="1"/>
  <c r="H387" i="1"/>
  <c r="J387" i="1"/>
  <c r="K387" i="1"/>
  <c r="L387" i="1" s="1"/>
  <c r="M387" i="1"/>
  <c r="N387" i="1"/>
  <c r="O387" i="1" s="1"/>
  <c r="G388" i="1"/>
  <c r="H388" i="1"/>
  <c r="J388" i="1"/>
  <c r="K388" i="1"/>
  <c r="L388" i="1" s="1"/>
  <c r="M388" i="1"/>
  <c r="N388" i="1"/>
  <c r="G389" i="1"/>
  <c r="H389" i="1"/>
  <c r="J389" i="1"/>
  <c r="K389" i="1"/>
  <c r="M389" i="1"/>
  <c r="N389" i="1"/>
  <c r="O389" i="1" s="1"/>
  <c r="G390" i="1"/>
  <c r="H390" i="1"/>
  <c r="J390" i="1"/>
  <c r="K390" i="1"/>
  <c r="M390" i="1"/>
  <c r="N390" i="1"/>
  <c r="O390" i="1" s="1"/>
  <c r="G391" i="1"/>
  <c r="H391" i="1"/>
  <c r="J391" i="1"/>
  <c r="K391" i="1"/>
  <c r="M391" i="1"/>
  <c r="N391" i="1"/>
  <c r="O391" i="1" s="1"/>
  <c r="G392" i="1"/>
  <c r="H392" i="1"/>
  <c r="J392" i="1"/>
  <c r="K392" i="1"/>
  <c r="M392" i="1"/>
  <c r="N392" i="1"/>
  <c r="O392" i="1" s="1"/>
  <c r="G393" i="1"/>
  <c r="H393" i="1"/>
  <c r="J393" i="1"/>
  <c r="K393" i="1"/>
  <c r="L393" i="1" s="1"/>
  <c r="M393" i="1"/>
  <c r="N393" i="1"/>
  <c r="G394" i="1"/>
  <c r="H394" i="1"/>
  <c r="J394" i="1"/>
  <c r="L394" i="1" s="1"/>
  <c r="K394" i="1"/>
  <c r="M394" i="1"/>
  <c r="O394" i="1" s="1"/>
  <c r="N394" i="1"/>
  <c r="G395" i="1"/>
  <c r="H395" i="1"/>
  <c r="J395" i="1"/>
  <c r="K395" i="1"/>
  <c r="L395" i="1"/>
  <c r="M395" i="1"/>
  <c r="N395" i="1"/>
  <c r="G396" i="1"/>
  <c r="H396" i="1"/>
  <c r="J396" i="1"/>
  <c r="K396" i="1"/>
  <c r="M396" i="1"/>
  <c r="N396" i="1"/>
  <c r="G397" i="1"/>
  <c r="I397" i="1" s="1"/>
  <c r="H397" i="1"/>
  <c r="J397" i="1"/>
  <c r="K397" i="1"/>
  <c r="M397" i="1"/>
  <c r="N397" i="1"/>
  <c r="G398" i="1"/>
  <c r="H398" i="1"/>
  <c r="J398" i="1"/>
  <c r="K398" i="1"/>
  <c r="L398" i="1" s="1"/>
  <c r="M398" i="1"/>
  <c r="N398" i="1"/>
  <c r="O398" i="1" s="1"/>
  <c r="G399" i="1"/>
  <c r="H399" i="1"/>
  <c r="J399" i="1"/>
  <c r="K399" i="1"/>
  <c r="M399" i="1"/>
  <c r="N399" i="1"/>
  <c r="AD109" i="20" l="1"/>
  <c r="L88" i="20"/>
  <c r="AA48" i="20"/>
  <c r="L31" i="20"/>
  <c r="L37" i="20"/>
  <c r="L39" i="20"/>
  <c r="L89" i="20"/>
  <c r="O96" i="20"/>
  <c r="O72" i="20"/>
  <c r="L77" i="20"/>
  <c r="L49" i="20"/>
  <c r="AD123" i="20"/>
  <c r="L35" i="20"/>
  <c r="AD97" i="20"/>
  <c r="L101" i="20"/>
  <c r="O15" i="20"/>
  <c r="AD58" i="20"/>
  <c r="AD57" i="20"/>
  <c r="L90" i="20"/>
  <c r="O58" i="20"/>
  <c r="O7" i="20"/>
  <c r="L13" i="20"/>
  <c r="AA60" i="20"/>
  <c r="L48" i="20"/>
  <c r="AD91" i="20"/>
  <c r="L60" i="20"/>
  <c r="O70" i="20"/>
  <c r="L79" i="20"/>
  <c r="O121" i="20"/>
  <c r="O249" i="1"/>
  <c r="O220" i="1"/>
  <c r="L215" i="1"/>
  <c r="L78" i="1"/>
  <c r="I311" i="1"/>
  <c r="AD100" i="20"/>
  <c r="AD119" i="20"/>
  <c r="I383" i="1"/>
  <c r="O395" i="1"/>
  <c r="L305" i="1"/>
  <c r="O281" i="1"/>
  <c r="L249" i="1"/>
  <c r="O115" i="1"/>
  <c r="L348" i="1"/>
  <c r="L281" i="1"/>
  <c r="O230" i="1"/>
  <c r="L225" i="1"/>
  <c r="L182" i="1"/>
  <c r="L158" i="1"/>
  <c r="O21" i="1"/>
  <c r="L16" i="1"/>
  <c r="O123" i="20"/>
  <c r="L262" i="1"/>
  <c r="O214" i="1"/>
  <c r="O120" i="1"/>
  <c r="O50" i="20"/>
  <c r="O97" i="20"/>
  <c r="O116" i="20"/>
  <c r="L78" i="20"/>
  <c r="L315" i="1"/>
  <c r="O304" i="1"/>
  <c r="L267" i="1"/>
  <c r="O176" i="1"/>
  <c r="O152" i="1"/>
  <c r="L96" i="1"/>
  <c r="L77" i="1"/>
  <c r="L5" i="1"/>
  <c r="L243" i="1"/>
  <c r="O224" i="1"/>
  <c r="O200" i="1"/>
  <c r="L195" i="1"/>
  <c r="L176" i="1"/>
  <c r="O157" i="1"/>
  <c r="O133" i="1"/>
  <c r="AD95" i="20"/>
  <c r="O90" i="1"/>
  <c r="O58" i="1"/>
  <c r="O34" i="1"/>
  <c r="L389" i="1"/>
  <c r="I267" i="1"/>
  <c r="O229" i="1"/>
  <c r="O186" i="1"/>
  <c r="L138" i="1"/>
  <c r="L133" i="1"/>
  <c r="I77" i="1"/>
  <c r="O71" i="1"/>
  <c r="O47" i="1"/>
  <c r="L39" i="1"/>
  <c r="L15" i="1"/>
  <c r="I12" i="20"/>
  <c r="O99" i="20"/>
  <c r="L80" i="20"/>
  <c r="L390" i="1"/>
  <c r="O399" i="1"/>
  <c r="L352" i="1"/>
  <c r="O333" i="1"/>
  <c r="L261" i="1"/>
  <c r="L162" i="1"/>
  <c r="O119" i="1"/>
  <c r="L229" i="1"/>
  <c r="L205" i="1"/>
  <c r="O194" i="1"/>
  <c r="L167" i="1"/>
  <c r="L95" i="1"/>
  <c r="L71" i="1"/>
  <c r="O52" i="1"/>
  <c r="L20" i="1"/>
  <c r="I162" i="1"/>
  <c r="O132" i="1"/>
  <c r="L119" i="1"/>
  <c r="O57" i="1"/>
  <c r="O33" i="1"/>
  <c r="L28" i="1"/>
  <c r="O14" i="1"/>
  <c r="AD47" i="20"/>
  <c r="O54" i="20"/>
  <c r="AA99" i="20"/>
  <c r="O120" i="20"/>
  <c r="L383" i="1"/>
  <c r="L271" i="1"/>
  <c r="O252" i="1"/>
  <c r="O228" i="1"/>
  <c r="O204" i="1"/>
  <c r="O185" i="1"/>
  <c r="L156" i="1"/>
  <c r="O142" i="1"/>
  <c r="O113" i="1"/>
  <c r="L105" i="1"/>
  <c r="L57" i="1"/>
  <c r="O46" i="1"/>
  <c r="L33" i="1"/>
  <c r="L14" i="1"/>
  <c r="L9" i="1"/>
  <c r="AD62" i="20"/>
  <c r="L56" i="20"/>
  <c r="L351" i="1"/>
  <c r="L327" i="1"/>
  <c r="O236" i="1"/>
  <c r="O209" i="1"/>
  <c r="L161" i="1"/>
  <c r="O118" i="1"/>
  <c r="L89" i="1"/>
  <c r="O56" i="20"/>
  <c r="O340" i="1"/>
  <c r="O241" i="1"/>
  <c r="L228" i="1"/>
  <c r="L204" i="1"/>
  <c r="O193" i="1"/>
  <c r="L166" i="1"/>
  <c r="O27" i="1"/>
  <c r="L313" i="1"/>
  <c r="O302" i="1"/>
  <c r="L118" i="1"/>
  <c r="L294" i="1"/>
  <c r="L174" i="1"/>
  <c r="O307" i="1"/>
  <c r="L270" i="1"/>
  <c r="O222" i="1"/>
  <c r="O160" i="1"/>
  <c r="I118" i="1"/>
  <c r="I75" i="1"/>
  <c r="O345" i="1"/>
  <c r="O283" i="1"/>
  <c r="O259" i="1"/>
  <c r="L251" i="1"/>
  <c r="L222" i="1"/>
  <c r="O184" i="1"/>
  <c r="O117" i="1"/>
  <c r="L104" i="1"/>
  <c r="L88" i="1"/>
  <c r="L32" i="20"/>
  <c r="L91" i="20"/>
  <c r="AD122" i="20"/>
  <c r="O240" i="1"/>
  <c r="O235" i="1"/>
  <c r="L227" i="1"/>
  <c r="O208" i="1"/>
  <c r="L203" i="1"/>
  <c r="O173" i="1"/>
  <c r="L165" i="1"/>
  <c r="L69" i="1"/>
  <c r="L42" i="1"/>
  <c r="O91" i="20"/>
  <c r="L119" i="20"/>
  <c r="L378" i="1"/>
  <c r="L336" i="1"/>
  <c r="O306" i="1"/>
  <c r="L269" i="1"/>
  <c r="O245" i="1"/>
  <c r="L216" i="1"/>
  <c r="O55" i="1"/>
  <c r="L50" i="1"/>
  <c r="O36" i="1"/>
  <c r="L26" i="1"/>
  <c r="L46" i="20"/>
  <c r="AD89" i="20"/>
  <c r="O396" i="1"/>
  <c r="O282" i="1"/>
  <c r="L250" i="1"/>
  <c r="O60" i="1"/>
  <c r="L36" i="1"/>
  <c r="L31" i="1"/>
  <c r="L11" i="20"/>
  <c r="AA91" i="20"/>
  <c r="AD98" i="20"/>
  <c r="L183" i="1"/>
  <c r="O97" i="1"/>
  <c r="L60" i="1"/>
  <c r="L362" i="1"/>
  <c r="L330" i="1"/>
  <c r="O319" i="1"/>
  <c r="O300" i="1"/>
  <c r="L231" i="1"/>
  <c r="O102" i="1"/>
  <c r="L25" i="1"/>
  <c r="O11" i="20"/>
  <c r="I222" i="1"/>
  <c r="I250" i="1"/>
  <c r="I307" i="1"/>
  <c r="I305" i="1"/>
  <c r="I83" i="1"/>
  <c r="X48" i="20"/>
  <c r="I112" i="1"/>
  <c r="I13" i="1"/>
  <c r="I326" i="1"/>
  <c r="I325" i="1"/>
  <c r="I263" i="1"/>
  <c r="I60" i="1"/>
  <c r="I239" i="1"/>
  <c r="I231" i="1"/>
  <c r="I188" i="1"/>
  <c r="I145" i="1"/>
  <c r="I25" i="1"/>
  <c r="I215" i="1"/>
  <c r="I372" i="1"/>
  <c r="I177" i="1"/>
  <c r="I153" i="1"/>
  <c r="I139" i="1"/>
  <c r="I395" i="1"/>
  <c r="I230" i="1"/>
  <c r="I168" i="1"/>
  <c r="I54" i="20"/>
  <c r="I371" i="1"/>
  <c r="I272" i="1"/>
  <c r="I176" i="1"/>
  <c r="I101" i="1"/>
  <c r="I200" i="1"/>
  <c r="I133" i="1"/>
  <c r="I122" i="20"/>
  <c r="I186" i="1"/>
  <c r="I95" i="1"/>
  <c r="I194" i="1"/>
  <c r="I151" i="1"/>
  <c r="I21" i="20"/>
  <c r="I199" i="1"/>
  <c r="I137" i="1"/>
  <c r="I57" i="1"/>
  <c r="I260" i="1"/>
  <c r="I19" i="1"/>
  <c r="I340" i="1"/>
  <c r="I209" i="1"/>
  <c r="I174" i="1"/>
  <c r="I27" i="1"/>
  <c r="I160" i="1"/>
  <c r="I259" i="1"/>
  <c r="I136" i="1"/>
  <c r="I61" i="1"/>
  <c r="I363" i="1"/>
  <c r="I50" i="1"/>
  <c r="X100" i="20"/>
  <c r="I245" i="1"/>
  <c r="I277" i="1"/>
  <c r="I197" i="1"/>
  <c r="I12" i="1"/>
  <c r="I324" i="1"/>
  <c r="L303" i="1"/>
  <c r="O219" i="1"/>
  <c r="O198" i="1"/>
  <c r="L177" i="1"/>
  <c r="O177" i="1"/>
  <c r="L135" i="1"/>
  <c r="I72" i="1"/>
  <c r="L72" i="1"/>
  <c r="AA51" i="20"/>
  <c r="AD93" i="20"/>
  <c r="O175" i="1"/>
  <c r="O151" i="1"/>
  <c r="O114" i="1"/>
  <c r="O349" i="1"/>
  <c r="O277" i="1"/>
  <c r="O320" i="1"/>
  <c r="O301" i="1"/>
  <c r="O269" i="1"/>
  <c r="O20" i="1"/>
  <c r="O362" i="1"/>
  <c r="O335" i="1"/>
  <c r="O273" i="1"/>
  <c r="O239" i="1"/>
  <c r="O287" i="1"/>
  <c r="O263" i="1"/>
  <c r="O62" i="1"/>
  <c r="O38" i="1"/>
  <c r="O324" i="1"/>
  <c r="O221" i="1"/>
  <c r="O131" i="1"/>
  <c r="O123" i="1"/>
  <c r="O70" i="1"/>
  <c r="O311" i="1"/>
  <c r="O111" i="20"/>
  <c r="O361" i="1"/>
  <c r="O334" i="1"/>
  <c r="O286" i="1"/>
  <c r="O262" i="1"/>
  <c r="O299" i="1"/>
  <c r="O61" i="1"/>
  <c r="AD118" i="20"/>
  <c r="O243" i="1"/>
  <c r="O74" i="1"/>
  <c r="AD111" i="20"/>
  <c r="O122" i="20"/>
  <c r="O309" i="1"/>
  <c r="O285" i="1"/>
  <c r="O261" i="1"/>
  <c r="O248" i="1"/>
  <c r="O183" i="1"/>
  <c r="O88" i="1"/>
  <c r="O201" i="1"/>
  <c r="O50" i="1"/>
  <c r="O29" i="20"/>
  <c r="O32" i="1"/>
  <c r="O111" i="1"/>
  <c r="O84" i="1"/>
  <c r="O26" i="1"/>
  <c r="O77" i="20"/>
  <c r="O166" i="1"/>
  <c r="O100" i="1"/>
  <c r="O347" i="1"/>
  <c r="O98" i="20"/>
  <c r="O93" i="1"/>
  <c r="O242" i="1"/>
  <c r="O354" i="1"/>
  <c r="O370" i="1"/>
  <c r="O49" i="1"/>
  <c r="O17" i="1"/>
  <c r="O12" i="1"/>
  <c r="O60" i="20"/>
  <c r="O323" i="1"/>
  <c r="O388" i="1"/>
  <c r="O393" i="1"/>
  <c r="O383" i="1"/>
  <c r="O187" i="1"/>
  <c r="O163" i="1"/>
  <c r="O158" i="1"/>
  <c r="O134" i="1"/>
  <c r="O37" i="1"/>
  <c r="O280" i="1"/>
  <c r="O308" i="1"/>
  <c r="O73" i="1"/>
  <c r="O397" i="1"/>
  <c r="O332" i="1"/>
  <c r="O294" i="1"/>
  <c r="O110" i="1"/>
  <c r="O83" i="1"/>
  <c r="O25" i="1"/>
  <c r="O46" i="20"/>
  <c r="AD105" i="20"/>
  <c r="O119" i="20"/>
  <c r="O371" i="1"/>
  <c r="O315" i="1"/>
  <c r="O225" i="1"/>
  <c r="O298" i="1"/>
  <c r="O356" i="1"/>
  <c r="O207" i="1"/>
  <c r="O146" i="1"/>
  <c r="O210" i="1"/>
  <c r="O350" i="1"/>
  <c r="AD117" i="20"/>
  <c r="O346" i="1"/>
  <c r="O181" i="1"/>
  <c r="O271" i="1"/>
  <c r="O48" i="1"/>
  <c r="O102" i="20"/>
  <c r="O363" i="1"/>
  <c r="O336" i="1"/>
  <c r="O352" i="1"/>
  <c r="O342" i="1"/>
  <c r="O329" i="1"/>
  <c r="O293" i="1"/>
  <c r="O278" i="1"/>
  <c r="O265" i="1"/>
  <c r="O188" i="1"/>
  <c r="O155" i="1"/>
  <c r="O124" i="1"/>
  <c r="O78" i="1"/>
  <c r="O68" i="1"/>
  <c r="AD53" i="20"/>
  <c r="O90" i="20"/>
  <c r="O104" i="20"/>
  <c r="O76" i="20"/>
  <c r="O83" i="20"/>
  <c r="O375" i="1"/>
  <c r="O237" i="1"/>
  <c r="O331" i="1"/>
  <c r="O256" i="1"/>
  <c r="O42" i="1"/>
  <c r="O19" i="1"/>
  <c r="O4" i="1"/>
  <c r="O18" i="20"/>
  <c r="O28" i="20"/>
  <c r="O36" i="20"/>
  <c r="AD88" i="20"/>
  <c r="AD102" i="20"/>
  <c r="O69" i="20"/>
  <c r="O16" i="20"/>
  <c r="O52" i="20"/>
  <c r="AD121" i="20"/>
  <c r="O364" i="1"/>
  <c r="O9" i="1"/>
  <c r="O109" i="20"/>
  <c r="AD114" i="20"/>
  <c r="O369" i="1"/>
  <c r="O351" i="1"/>
  <c r="O341" i="1"/>
  <c r="O310" i="1"/>
  <c r="O78" i="20"/>
  <c r="O328" i="1"/>
  <c r="O292" i="1"/>
  <c r="O264" i="1"/>
  <c r="O154" i="1"/>
  <c r="O95" i="1"/>
  <c r="O77" i="1"/>
  <c r="O67" i="1"/>
  <c r="O39" i="20"/>
  <c r="AD90" i="20"/>
  <c r="AD104" i="20"/>
  <c r="O71" i="20"/>
  <c r="O118" i="20"/>
  <c r="O125" i="20"/>
  <c r="O195" i="1"/>
  <c r="O59" i="1"/>
  <c r="O54" i="1"/>
  <c r="O41" i="1"/>
  <c r="O18" i="1"/>
  <c r="O13" i="1"/>
  <c r="O205" i="1"/>
  <c r="O101" i="20"/>
  <c r="O80" i="20"/>
  <c r="O8" i="1"/>
  <c r="O26" i="20"/>
  <c r="O73" i="20"/>
  <c r="O368" i="1"/>
  <c r="O6" i="20"/>
  <c r="O327" i="1"/>
  <c r="O322" i="1"/>
  <c r="O314" i="1"/>
  <c r="O291" i="1"/>
  <c r="O168" i="1"/>
  <c r="O153" i="1"/>
  <c r="O135" i="1"/>
  <c r="O130" i="1"/>
  <c r="O94" i="1"/>
  <c r="O63" i="1"/>
  <c r="O63" i="20"/>
  <c r="O113" i="20"/>
  <c r="AD125" i="20"/>
  <c r="O268" i="1"/>
  <c r="O250" i="1"/>
  <c r="O227" i="1"/>
  <c r="O217" i="1"/>
  <c r="O37" i="20"/>
  <c r="O89" i="20"/>
  <c r="O75" i="20"/>
  <c r="O82" i="20"/>
  <c r="O30" i="1"/>
  <c r="O7" i="1"/>
  <c r="O68" i="20"/>
  <c r="AD52" i="20"/>
  <c r="O326" i="1"/>
  <c r="O313" i="1"/>
  <c r="O290" i="1"/>
  <c r="O167" i="1"/>
  <c r="O126" i="1"/>
  <c r="O32" i="20"/>
  <c r="O40" i="20"/>
  <c r="AD113" i="20"/>
  <c r="O344" i="1"/>
  <c r="O180" i="1"/>
  <c r="O162" i="1"/>
  <c r="O144" i="1"/>
  <c r="O116" i="1"/>
  <c r="O103" i="1"/>
  <c r="O80" i="1"/>
  <c r="AD48" i="20"/>
  <c r="O53" i="20"/>
  <c r="O6" i="1"/>
  <c r="AD46" i="20"/>
  <c r="O35" i="20"/>
  <c r="O79" i="20"/>
  <c r="O366" i="1"/>
  <c r="O289" i="1"/>
  <c r="O126" i="20"/>
  <c r="O348" i="1"/>
  <c r="O343" i="1"/>
  <c r="O330" i="1"/>
  <c r="O284" i="1"/>
  <c r="O279" i="1"/>
  <c r="O266" i="1"/>
  <c r="O215" i="1"/>
  <c r="O202" i="1"/>
  <c r="O189" i="1"/>
  <c r="O156" i="1"/>
  <c r="O79" i="1"/>
  <c r="O69" i="1"/>
  <c r="O30" i="20"/>
  <c r="O38" i="20"/>
  <c r="O112" i="20"/>
  <c r="O272" i="1"/>
  <c r="O267" i="1"/>
  <c r="O226" i="1"/>
  <c r="O56" i="1"/>
  <c r="O51" i="1"/>
  <c r="O28" i="1"/>
  <c r="O15" i="1"/>
  <c r="O5" i="1"/>
  <c r="O81" i="20"/>
  <c r="O365" i="1"/>
  <c r="O357" i="1"/>
  <c r="O288" i="1"/>
  <c r="AD55" i="20"/>
  <c r="O25" i="20"/>
  <c r="O33" i="20"/>
  <c r="O41" i="20"/>
  <c r="O57" i="20"/>
  <c r="AD126" i="20"/>
  <c r="L258" i="1"/>
  <c r="L245" i="1"/>
  <c r="L331" i="1"/>
  <c r="L308" i="1"/>
  <c r="L335" i="1"/>
  <c r="L325" i="1"/>
  <c r="L312" i="1"/>
  <c r="L257" i="1"/>
  <c r="L145" i="1"/>
  <c r="L122" i="1"/>
  <c r="AA97" i="20"/>
  <c r="L392" i="1"/>
  <c r="L221" i="1"/>
  <c r="L208" i="1"/>
  <c r="L198" i="1"/>
  <c r="L180" i="1"/>
  <c r="L59" i="1"/>
  <c r="L152" i="1"/>
  <c r="L76" i="1"/>
  <c r="L94" i="20"/>
  <c r="L157" i="1"/>
  <c r="L134" i="1"/>
  <c r="L81" i="1"/>
  <c r="L329" i="1"/>
  <c r="L311" i="1"/>
  <c r="L121" i="1"/>
  <c r="L21" i="20"/>
  <c r="L301" i="1"/>
  <c r="L364" i="1"/>
  <c r="L220" i="1"/>
  <c r="L396" i="1"/>
  <c r="L369" i="1"/>
  <c r="L283" i="1"/>
  <c r="L197" i="1"/>
  <c r="L347" i="1"/>
  <c r="L207" i="1"/>
  <c r="L386" i="1"/>
  <c r="L356" i="1"/>
  <c r="L48" i="1"/>
  <c r="AA111" i="20"/>
  <c r="L310" i="1"/>
  <c r="L300" i="1"/>
  <c r="L237" i="1"/>
  <c r="L151" i="1"/>
  <c r="L373" i="1"/>
  <c r="L346" i="1"/>
  <c r="L224" i="1"/>
  <c r="L219" i="1"/>
  <c r="L292" i="1"/>
  <c r="L368" i="1"/>
  <c r="L363" i="1"/>
  <c r="L173" i="1"/>
  <c r="L97" i="1"/>
  <c r="L12" i="1"/>
  <c r="L287" i="1"/>
  <c r="L350" i="1"/>
  <c r="L277" i="1"/>
  <c r="L137" i="1"/>
  <c r="L142" i="1"/>
  <c r="L322" i="1"/>
  <c r="L309" i="1"/>
  <c r="L259" i="1"/>
  <c r="L246" i="1"/>
  <c r="L160" i="1"/>
  <c r="L147" i="1"/>
  <c r="L124" i="1"/>
  <c r="L114" i="1"/>
  <c r="L84" i="1"/>
  <c r="L110" i="20"/>
  <c r="L332" i="1"/>
  <c r="L51" i="1"/>
  <c r="L6" i="1"/>
  <c r="AA57" i="20"/>
  <c r="L55" i="20"/>
  <c r="L399" i="1"/>
  <c r="L273" i="1"/>
  <c r="L112" i="20"/>
  <c r="L20" i="20"/>
  <c r="L159" i="1"/>
  <c r="L123" i="1"/>
  <c r="L113" i="1"/>
  <c r="L121" i="20"/>
  <c r="L199" i="1"/>
  <c r="L321" i="1"/>
  <c r="L361" i="1"/>
  <c r="L235" i="1"/>
  <c r="L186" i="1"/>
  <c r="L272" i="1"/>
  <c r="L37" i="1"/>
  <c r="L10" i="1"/>
  <c r="L14" i="20"/>
  <c r="L384" i="1"/>
  <c r="L397" i="1"/>
  <c r="L92" i="20"/>
  <c r="L116" i="20"/>
  <c r="L353" i="1"/>
  <c r="L282" i="1"/>
  <c r="L252" i="1"/>
  <c r="L153" i="1"/>
  <c r="L109" i="1"/>
  <c r="L79" i="1"/>
  <c r="L47" i="20"/>
  <c r="AA121" i="20"/>
  <c r="L260" i="1"/>
  <c r="L202" i="1"/>
  <c r="L131" i="1"/>
  <c r="L35" i="1"/>
  <c r="L30" i="1"/>
  <c r="L6" i="20"/>
  <c r="L54" i="20"/>
  <c r="AA104" i="20"/>
  <c r="L140" i="1"/>
  <c r="L91" i="1"/>
  <c r="AA56" i="20"/>
  <c r="L61" i="20"/>
  <c r="L118" i="20"/>
  <c r="L18" i="1"/>
  <c r="L189" i="1"/>
  <c r="L111" i="20"/>
  <c r="L47" i="1"/>
  <c r="L17" i="1"/>
  <c r="L29" i="20"/>
  <c r="AA92" i="20"/>
  <c r="AA116" i="20"/>
  <c r="L286" i="1"/>
  <c r="L214" i="1"/>
  <c r="L184" i="1"/>
  <c r="L179" i="1"/>
  <c r="L130" i="1"/>
  <c r="L100" i="1"/>
  <c r="L29" i="1"/>
  <c r="AA52" i="20"/>
  <c r="L63" i="20"/>
  <c r="L73" i="20"/>
  <c r="L391" i="1"/>
  <c r="L241" i="1"/>
  <c r="L206" i="1"/>
  <c r="L375" i="1"/>
  <c r="L342" i="1"/>
  <c r="L320" i="1"/>
  <c r="L298" i="1"/>
  <c r="L290" i="1"/>
  <c r="L73" i="1"/>
  <c r="L68" i="1"/>
  <c r="L7" i="1"/>
  <c r="AA50" i="20"/>
  <c r="L113" i="20"/>
  <c r="AA118" i="20"/>
  <c r="AA125" i="20"/>
  <c r="L188" i="1"/>
  <c r="L144" i="1"/>
  <c r="L117" i="1"/>
  <c r="L82" i="20"/>
  <c r="L302" i="1"/>
  <c r="L268" i="1"/>
  <c r="AA46" i="20"/>
  <c r="L58" i="20"/>
  <c r="L122" i="20"/>
  <c r="L324" i="1"/>
  <c r="L307" i="1"/>
  <c r="L280" i="1"/>
  <c r="L210" i="1"/>
  <c r="L178" i="1"/>
  <c r="L126" i="1"/>
  <c r="L55" i="1"/>
  <c r="L27" i="20"/>
  <c r="L341" i="1"/>
  <c r="L319" i="1"/>
  <c r="L289" i="1"/>
  <c r="L67" i="1"/>
  <c r="AA103" i="20"/>
  <c r="AA113" i="20"/>
  <c r="L365" i="1"/>
  <c r="L143" i="1"/>
  <c r="L116" i="1"/>
  <c r="L94" i="1"/>
  <c r="AA61" i="20"/>
  <c r="L5" i="20"/>
  <c r="L38" i="20"/>
  <c r="L333" i="1"/>
  <c r="L328" i="1"/>
  <c r="L306" i="1"/>
  <c r="L279" i="1"/>
  <c r="L217" i="1"/>
  <c r="L111" i="1"/>
  <c r="L103" i="1"/>
  <c r="L54" i="1"/>
  <c r="AA59" i="20"/>
  <c r="AA115" i="20"/>
  <c r="L25" i="20"/>
  <c r="L95" i="20"/>
  <c r="L72" i="20"/>
  <c r="L126" i="20"/>
  <c r="L345" i="1"/>
  <c r="L266" i="1"/>
  <c r="L226" i="1"/>
  <c r="L164" i="1"/>
  <c r="L93" i="1"/>
  <c r="L41" i="1"/>
  <c r="L194" i="1"/>
  <c r="L120" i="1"/>
  <c r="L19" i="1"/>
  <c r="L193" i="1"/>
  <c r="L376" i="1"/>
  <c r="L28" i="20"/>
  <c r="L97" i="20"/>
  <c r="L81" i="20"/>
  <c r="L181" i="1"/>
  <c r="L154" i="1"/>
  <c r="L132" i="1"/>
  <c r="AA88" i="20"/>
  <c r="AA95" i="20"/>
  <c r="L104" i="20"/>
  <c r="L114" i="20"/>
  <c r="AA126" i="20"/>
  <c r="L371" i="1"/>
  <c r="L366" i="1"/>
  <c r="L314" i="1"/>
  <c r="L70" i="1"/>
  <c r="L4" i="1"/>
  <c r="L168" i="1"/>
  <c r="L344" i="1"/>
  <c r="L265" i="1"/>
  <c r="L146" i="1"/>
  <c r="L141" i="1"/>
  <c r="L92" i="1"/>
  <c r="L62" i="1"/>
  <c r="L40" i="1"/>
  <c r="AA102" i="20"/>
  <c r="AA112" i="20"/>
  <c r="L76" i="20"/>
  <c r="I124" i="1"/>
  <c r="I208" i="1"/>
  <c r="I159" i="1"/>
  <c r="I26" i="1"/>
  <c r="I375" i="1"/>
  <c r="I361" i="1"/>
  <c r="I287" i="1"/>
  <c r="I238" i="1"/>
  <c r="I146" i="1"/>
  <c r="I97" i="1"/>
  <c r="I62" i="1"/>
  <c r="X56" i="20"/>
  <c r="I94" i="20"/>
  <c r="I48" i="1"/>
  <c r="I29" i="20"/>
  <c r="X92" i="20"/>
  <c r="I56" i="20"/>
  <c r="I348" i="1"/>
  <c r="I286" i="1"/>
  <c r="I74" i="1"/>
  <c r="I39" i="1"/>
  <c r="X94" i="20"/>
  <c r="I103" i="20"/>
  <c r="X118" i="20"/>
  <c r="I374" i="1"/>
  <c r="I229" i="1"/>
  <c r="I113" i="1"/>
  <c r="I75" i="20"/>
  <c r="I247" i="1"/>
  <c r="I299" i="1"/>
  <c r="I214" i="1"/>
  <c r="I184" i="1"/>
  <c r="I135" i="1"/>
  <c r="I100" i="1"/>
  <c r="I115" i="20"/>
  <c r="I185" i="1"/>
  <c r="I396" i="1"/>
  <c r="I312" i="1"/>
  <c r="I298" i="1"/>
  <c r="I273" i="1"/>
  <c r="I246" i="1"/>
  <c r="I51" i="1"/>
  <c r="I387" i="1"/>
  <c r="I370" i="1"/>
  <c r="I343" i="1"/>
  <c r="I364" i="1"/>
  <c r="I386" i="1"/>
  <c r="I201" i="1"/>
  <c r="I73" i="1"/>
  <c r="I7" i="1"/>
  <c r="I264" i="1"/>
  <c r="I175" i="1"/>
  <c r="I268" i="1"/>
  <c r="I77" i="20"/>
  <c r="I344" i="1"/>
  <c r="I302" i="1"/>
  <c r="I378" i="1"/>
  <c r="I334" i="1"/>
  <c r="I285" i="1"/>
  <c r="I90" i="1"/>
  <c r="I21" i="1"/>
  <c r="I52" i="1"/>
  <c r="I35" i="1"/>
  <c r="I48" i="20"/>
  <c r="X98" i="20"/>
  <c r="I368" i="1"/>
  <c r="I294" i="1"/>
  <c r="I223" i="1"/>
  <c r="I183" i="1"/>
  <c r="I161" i="1"/>
  <c r="I156" i="1"/>
  <c r="I99" i="1"/>
  <c r="I28" i="1"/>
  <c r="I79" i="20"/>
  <c r="I95" i="20"/>
  <c r="I72" i="20"/>
  <c r="I336" i="1"/>
  <c r="I173" i="1"/>
  <c r="I138" i="1"/>
  <c r="I42" i="1"/>
  <c r="I346" i="1"/>
  <c r="I350" i="1"/>
  <c r="I333" i="1"/>
  <c r="I306" i="1"/>
  <c r="I301" i="1"/>
  <c r="I284" i="1"/>
  <c r="I121" i="1"/>
  <c r="I89" i="1"/>
  <c r="I37" i="1"/>
  <c r="I399" i="1"/>
  <c r="I249" i="1"/>
  <c r="I235" i="1"/>
  <c r="I111" i="1"/>
  <c r="I59" i="1"/>
  <c r="I288" i="1"/>
  <c r="I114" i="20"/>
  <c r="I345" i="1"/>
  <c r="I115" i="1"/>
  <c r="I98" i="1"/>
  <c r="I63" i="1"/>
  <c r="I310" i="1"/>
  <c r="I226" i="1"/>
  <c r="I147" i="1"/>
  <c r="I10" i="1"/>
  <c r="I83" i="20"/>
  <c r="I398" i="1"/>
  <c r="I362" i="1"/>
  <c r="I261" i="1"/>
  <c r="I14" i="1"/>
  <c r="I384" i="1"/>
  <c r="I332" i="1"/>
  <c r="I388" i="1"/>
  <c r="I349" i="1"/>
  <c r="I221" i="1"/>
  <c r="I110" i="1"/>
  <c r="I88" i="1"/>
  <c r="I80" i="1"/>
  <c r="I36" i="1"/>
  <c r="X62" i="20"/>
  <c r="I289" i="1"/>
  <c r="I102" i="1"/>
  <c r="I292" i="1"/>
  <c r="I116" i="1"/>
  <c r="I262" i="1"/>
  <c r="I132" i="1"/>
  <c r="X54" i="20"/>
  <c r="I134" i="1"/>
  <c r="I41" i="20"/>
  <c r="I16" i="20"/>
  <c r="I141" i="1"/>
  <c r="I282" i="1"/>
  <c r="I241" i="1"/>
  <c r="I34" i="20"/>
  <c r="I42" i="20"/>
  <c r="I206" i="1"/>
  <c r="I91" i="1"/>
  <c r="I228" i="1"/>
  <c r="I117" i="1"/>
  <c r="I51" i="20"/>
  <c r="I244" i="1"/>
  <c r="I217" i="1"/>
  <c r="I187" i="1"/>
  <c r="I290" i="1"/>
  <c r="I94" i="1"/>
  <c r="I182" i="1"/>
  <c r="I271" i="1"/>
  <c r="I54" i="1"/>
  <c r="I15" i="1"/>
  <c r="X115" i="20"/>
  <c r="I181" i="1"/>
  <c r="I53" i="1"/>
  <c r="I242" i="1"/>
  <c r="I330" i="1"/>
  <c r="I119" i="1"/>
  <c r="I31" i="1"/>
  <c r="I309" i="1"/>
  <c r="I131" i="1"/>
  <c r="I225" i="1"/>
  <c r="I164" i="1"/>
  <c r="I29" i="1"/>
  <c r="I55" i="1"/>
  <c r="X109" i="20"/>
  <c r="I193" i="1"/>
  <c r="I76" i="1"/>
  <c r="I16" i="1"/>
  <c r="I219" i="1"/>
  <c r="I189" i="1"/>
  <c r="I53" i="20"/>
  <c r="I258" i="1"/>
  <c r="I30" i="20"/>
  <c r="X91" i="20"/>
  <c r="I279" i="1"/>
  <c r="I41" i="1"/>
  <c r="X55" i="20"/>
  <c r="I70" i="20"/>
  <c r="X53" i="20"/>
  <c r="X105" i="20"/>
  <c r="I300" i="1"/>
  <c r="I257" i="1"/>
  <c r="I227" i="1"/>
  <c r="I205" i="1"/>
  <c r="X93" i="20"/>
  <c r="I84" i="1"/>
  <c r="I40" i="1"/>
  <c r="I50" i="20"/>
  <c r="I392" i="1"/>
  <c r="X88" i="20"/>
  <c r="I105" i="1"/>
  <c r="I304" i="1"/>
  <c r="I321" i="1"/>
  <c r="I313" i="1"/>
  <c r="I18" i="1"/>
  <c r="I165" i="1"/>
  <c r="I76" i="20"/>
  <c r="X60" i="20"/>
  <c r="I4" i="20"/>
  <c r="I172" i="1"/>
  <c r="I155" i="1"/>
  <c r="I143" i="1"/>
  <c r="I126" i="1"/>
  <c r="I122" i="1"/>
  <c r="I33" i="1"/>
  <c r="X50" i="20"/>
  <c r="I15" i="20"/>
  <c r="I37" i="20"/>
  <c r="I101" i="20"/>
  <c r="I111" i="20"/>
  <c r="I293" i="1"/>
  <c r="I389" i="1"/>
  <c r="I335" i="1"/>
  <c r="I283" i="1"/>
  <c r="I278" i="1"/>
  <c r="I240" i="1"/>
  <c r="I236" i="1"/>
  <c r="I96" i="1"/>
  <c r="I79" i="1"/>
  <c r="I70" i="1"/>
  <c r="I96" i="20"/>
  <c r="I125" i="20"/>
  <c r="I328" i="1"/>
  <c r="I319" i="1"/>
  <c r="I207" i="1"/>
  <c r="I393" i="1"/>
  <c r="I376" i="1"/>
  <c r="I266" i="1"/>
  <c r="I58" i="1"/>
  <c r="I49" i="1"/>
  <c r="I11" i="20"/>
  <c r="I91" i="20"/>
  <c r="I73" i="20"/>
  <c r="X123" i="20"/>
  <c r="I353" i="1"/>
  <c r="I356" i="1"/>
  <c r="I351" i="1"/>
  <c r="I347" i="1"/>
  <c r="I342" i="1"/>
  <c r="I367" i="1"/>
  <c r="I355" i="1"/>
  <c r="I341" i="1"/>
  <c r="I180" i="1"/>
  <c r="I154" i="1"/>
  <c r="I32" i="1"/>
  <c r="I9" i="20"/>
  <c r="X101" i="20"/>
  <c r="I120" i="20"/>
  <c r="I329" i="1"/>
  <c r="I320" i="1"/>
  <c r="I303" i="1"/>
  <c r="I218" i="1"/>
  <c r="I142" i="1"/>
  <c r="X111" i="20"/>
  <c r="I291" i="1"/>
  <c r="I104" i="1"/>
  <c r="I78" i="1"/>
  <c r="I20" i="1"/>
  <c r="I11" i="1"/>
  <c r="I5" i="20"/>
  <c r="I7" i="20"/>
  <c r="X63" i="20"/>
  <c r="I35" i="20"/>
  <c r="X96" i="20"/>
  <c r="X125" i="20"/>
  <c r="I391" i="1"/>
  <c r="I69" i="1"/>
  <c r="I265" i="1"/>
  <c r="I256" i="1"/>
  <c r="I6" i="1"/>
  <c r="X59" i="20"/>
  <c r="I394" i="1"/>
  <c r="I385" i="1"/>
  <c r="I366" i="1"/>
  <c r="I196" i="1"/>
  <c r="I179" i="1"/>
  <c r="I167" i="1"/>
  <c r="X120" i="20"/>
  <c r="I158" i="1"/>
  <c r="I120" i="1"/>
  <c r="I103" i="1"/>
  <c r="I20" i="20"/>
  <c r="I88" i="20"/>
  <c r="I55" i="20"/>
  <c r="I84" i="20"/>
  <c r="I281" i="1"/>
  <c r="I243" i="1"/>
  <c r="I82" i="1"/>
  <c r="I68" i="1"/>
  <c r="X51" i="20"/>
  <c r="I110" i="20"/>
  <c r="I117" i="20"/>
  <c r="I56" i="1"/>
  <c r="I5" i="1"/>
  <c r="X122" i="20"/>
  <c r="I365" i="1"/>
  <c r="I204" i="1"/>
  <c r="I195" i="1"/>
  <c r="I178" i="1"/>
  <c r="I47" i="1"/>
  <c r="I90" i="20"/>
  <c r="I62" i="20"/>
  <c r="I327" i="1"/>
  <c r="I216" i="1"/>
  <c r="I166" i="1"/>
  <c r="I157" i="1"/>
  <c r="I140" i="1"/>
  <c r="I30" i="1"/>
  <c r="I119" i="20"/>
  <c r="I126" i="20"/>
  <c r="I152" i="1"/>
  <c r="I93" i="1"/>
  <c r="I81" i="1"/>
  <c r="I67" i="1"/>
  <c r="I57" i="20"/>
  <c r="I354" i="1"/>
  <c r="I280" i="1"/>
  <c r="I251" i="1"/>
  <c r="I114" i="1"/>
  <c r="I9" i="1"/>
  <c r="I4" i="1"/>
  <c r="I74" i="20"/>
  <c r="I369" i="1"/>
  <c r="I203" i="1"/>
  <c r="I46" i="1"/>
  <c r="I39" i="20"/>
  <c r="X90" i="20"/>
  <c r="I121" i="20"/>
  <c r="I81" i="20"/>
  <c r="I390" i="1"/>
  <c r="I373" i="1"/>
  <c r="I352" i="1"/>
  <c r="I331" i="1"/>
  <c r="I314" i="1"/>
  <c r="I220" i="1"/>
  <c r="I144" i="1"/>
  <c r="I130" i="1"/>
  <c r="I38" i="1"/>
  <c r="I34" i="1"/>
  <c r="X97" i="20"/>
  <c r="I59" i="20"/>
  <c r="X119" i="20"/>
  <c r="X126" i="20"/>
  <c r="I109" i="1"/>
  <c r="I92" i="1"/>
  <c r="I17" i="1"/>
  <c r="I99" i="20"/>
  <c r="I252" i="1"/>
  <c r="I71" i="1"/>
  <c r="I8" i="1"/>
  <c r="I116" i="20"/>
  <c r="I315" i="1"/>
  <c r="I377" i="1"/>
  <c r="I224" i="1"/>
  <c r="I202" i="1"/>
  <c r="I198" i="1"/>
  <c r="X52" i="20"/>
  <c r="I49" i="20"/>
  <c r="I123" i="20"/>
  <c r="L4" i="20"/>
  <c r="L8" i="20"/>
  <c r="O8" i="20"/>
  <c r="X46" i="20"/>
  <c r="I28" i="20"/>
  <c r="I33" i="20"/>
  <c r="I38" i="20"/>
  <c r="X89" i="20"/>
  <c r="O49" i="20"/>
  <c r="L57" i="20"/>
  <c r="AA100" i="20"/>
  <c r="I102" i="20"/>
  <c r="O105" i="20"/>
  <c r="L68" i="20"/>
  <c r="I113" i="20"/>
  <c r="L124" i="20"/>
  <c r="O4" i="20"/>
  <c r="L33" i="20"/>
  <c r="L102" i="20"/>
  <c r="O124" i="20"/>
  <c r="L84" i="20"/>
  <c r="X58" i="20"/>
  <c r="AA89" i="20"/>
  <c r="AD92" i="20"/>
  <c r="L62" i="20"/>
  <c r="X116" i="20"/>
  <c r="I118" i="20"/>
  <c r="AA119" i="20"/>
  <c r="O84" i="20"/>
  <c r="O62" i="20"/>
  <c r="AA105" i="20"/>
  <c r="X124" i="20"/>
  <c r="AA54" i="20"/>
  <c r="AA58" i="20"/>
  <c r="I36" i="20"/>
  <c r="L99" i="20"/>
  <c r="L59" i="20"/>
  <c r="AA124" i="20"/>
  <c r="AD50" i="20"/>
  <c r="AD56" i="20"/>
  <c r="AA62" i="20"/>
  <c r="I31" i="20"/>
  <c r="L41" i="20"/>
  <c r="L51" i="20"/>
  <c r="X102" i="20"/>
  <c r="I104" i="20"/>
  <c r="L70" i="20"/>
  <c r="X113" i="20"/>
  <c r="I78" i="20"/>
  <c r="X121" i="20"/>
  <c r="AD54" i="20"/>
  <c r="AD60" i="20"/>
  <c r="I26" i="20"/>
  <c r="L36" i="20"/>
  <c r="O51" i="20"/>
  <c r="AA94" i="20"/>
  <c r="O59" i="20"/>
  <c r="I67" i="20"/>
  <c r="O110" i="20"/>
  <c r="AD116" i="20"/>
  <c r="AD124" i="20"/>
  <c r="I13" i="20"/>
  <c r="I19" i="20"/>
  <c r="L26" i="20"/>
  <c r="AD94" i="20"/>
  <c r="X110" i="20"/>
  <c r="L115" i="20"/>
  <c r="L7" i="20"/>
  <c r="L9" i="20"/>
  <c r="L15" i="20"/>
  <c r="I17" i="20"/>
  <c r="L19" i="20"/>
  <c r="O31" i="20"/>
  <c r="O88" i="20"/>
  <c r="O48" i="20"/>
  <c r="I93" i="20"/>
  <c r="L96" i="20"/>
  <c r="X99" i="20"/>
  <c r="AA110" i="20"/>
  <c r="I112" i="20"/>
  <c r="L93" i="20"/>
  <c r="I61" i="20"/>
  <c r="X104" i="20"/>
  <c r="O115" i="20"/>
  <c r="L75" i="20"/>
  <c r="I80" i="20"/>
  <c r="L123" i="20"/>
  <c r="L83" i="20"/>
  <c r="O19" i="20"/>
  <c r="L34" i="20"/>
  <c r="O93" i="20"/>
  <c r="L53" i="20"/>
  <c r="O67" i="20"/>
  <c r="AD110" i="20"/>
  <c r="O5" i="20"/>
  <c r="O13" i="20"/>
  <c r="O17" i="20"/>
  <c r="X47" i="20"/>
  <c r="O21" i="20"/>
  <c r="O34" i="20"/>
  <c r="AA96" i="20"/>
  <c r="I98" i="20"/>
  <c r="AD99" i="20"/>
  <c r="I109" i="20"/>
  <c r="I69" i="20"/>
  <c r="L120" i="20"/>
  <c r="L98" i="20"/>
  <c r="I58" i="20"/>
  <c r="O61" i="20"/>
  <c r="L109" i="20"/>
  <c r="L69" i="20"/>
  <c r="O9" i="20"/>
  <c r="X57" i="20"/>
  <c r="X49" i="20"/>
  <c r="X61" i="20"/>
  <c r="I32" i="20"/>
  <c r="L50" i="20"/>
  <c r="AA93" i="20"/>
  <c r="AD96" i="20"/>
  <c r="I63" i="20"/>
  <c r="X112" i="20"/>
  <c r="AD115" i="20"/>
  <c r="L117" i="20"/>
  <c r="AA123" i="20"/>
  <c r="L125" i="20"/>
  <c r="AA47" i="20"/>
  <c r="AA49" i="20"/>
  <c r="I27" i="20"/>
  <c r="L42" i="20"/>
  <c r="I47" i="20"/>
  <c r="AA101" i="20"/>
  <c r="O117" i="20"/>
  <c r="AA90" i="20"/>
  <c r="I6" i="20"/>
  <c r="AA53" i="20"/>
  <c r="AA55" i="20"/>
  <c r="AD49" i="20"/>
  <c r="AD51" i="20"/>
  <c r="AD61" i="20"/>
  <c r="AA63" i="20"/>
  <c r="O27" i="20"/>
  <c r="O42" i="20"/>
  <c r="I92" i="20"/>
  <c r="I52" i="20"/>
  <c r="I100" i="20"/>
  <c r="AD101" i="20"/>
  <c r="L103" i="20"/>
  <c r="AD112" i="20"/>
  <c r="O114" i="20"/>
  <c r="X117" i="20"/>
  <c r="AA120" i="20"/>
  <c r="I82" i="20"/>
  <c r="AD59" i="20"/>
  <c r="AD63" i="20"/>
  <c r="I40" i="20"/>
  <c r="O47" i="20"/>
  <c r="L52" i="20"/>
  <c r="O95" i="20"/>
  <c r="O55" i="20"/>
  <c r="AA98" i="20"/>
  <c r="I60" i="20"/>
  <c r="O103" i="20"/>
  <c r="AA109" i="20"/>
  <c r="I71" i="20"/>
  <c r="X114" i="20"/>
  <c r="L74" i="20"/>
  <c r="AA117" i="20"/>
  <c r="AD120" i="20"/>
  <c r="L100" i="20"/>
  <c r="L10" i="20"/>
  <c r="I18" i="20"/>
  <c r="I25" i="20"/>
  <c r="I89" i="20"/>
  <c r="X95" i="20"/>
  <c r="I97" i="20"/>
  <c r="X103" i="20"/>
  <c r="I105" i="20"/>
  <c r="L71" i="20"/>
  <c r="AA114" i="20"/>
  <c r="O74" i="20"/>
  <c r="I8" i="20"/>
  <c r="L30" i="20"/>
  <c r="O92" i="20"/>
  <c r="O100" i="20"/>
  <c r="I10" i="20"/>
  <c r="I14" i="20"/>
  <c r="O10" i="20"/>
  <c r="L16" i="20"/>
  <c r="L12" i="20"/>
  <c r="L18" i="20"/>
  <c r="O12" i="20"/>
  <c r="O14" i="20"/>
  <c r="I46" i="20"/>
  <c r="AD103" i="20"/>
  <c r="L105" i="20"/>
  <c r="I68" i="20"/>
  <c r="AA122" i="20"/>
  <c r="I124" i="20"/>
  <c r="BG105" i="16"/>
  <c r="BF105" i="16"/>
  <c r="BD105" i="16"/>
  <c r="BC105" i="16"/>
  <c r="BA105" i="16"/>
  <c r="AZ105" i="16"/>
  <c r="BG104" i="16"/>
  <c r="BF104" i="16"/>
  <c r="BD104" i="16"/>
  <c r="BC104" i="16"/>
  <c r="BA104" i="16"/>
  <c r="AZ104" i="16"/>
  <c r="BG103" i="16"/>
  <c r="BF103" i="16"/>
  <c r="BD103" i="16"/>
  <c r="BC103" i="16"/>
  <c r="BA103" i="16"/>
  <c r="AZ103" i="16"/>
  <c r="BG102" i="16"/>
  <c r="BF102" i="16"/>
  <c r="BD102" i="16"/>
  <c r="BC102" i="16"/>
  <c r="BA102" i="16"/>
  <c r="AZ102" i="16"/>
  <c r="BG101" i="16"/>
  <c r="BF101" i="16"/>
  <c r="BD101" i="16"/>
  <c r="BC101" i="16"/>
  <c r="BA101" i="16"/>
  <c r="AZ101" i="16"/>
  <c r="BG100" i="16"/>
  <c r="BF100" i="16"/>
  <c r="BD100" i="16"/>
  <c r="BC100" i="16"/>
  <c r="BA100" i="16"/>
  <c r="AZ100" i="16"/>
  <c r="BG99" i="16"/>
  <c r="BF99" i="16"/>
  <c r="BD99" i="16"/>
  <c r="BC99" i="16"/>
  <c r="BA99" i="16"/>
  <c r="AZ99" i="16"/>
  <c r="BG98" i="16"/>
  <c r="BF98" i="16"/>
  <c r="BD98" i="16"/>
  <c r="BC98" i="16"/>
  <c r="BA98" i="16"/>
  <c r="AZ98" i="16"/>
  <c r="BG97" i="16"/>
  <c r="BF97" i="16"/>
  <c r="BD97" i="16"/>
  <c r="BC97" i="16"/>
  <c r="BA97" i="16"/>
  <c r="AZ97" i="16"/>
  <c r="BG96" i="16"/>
  <c r="BF96" i="16"/>
  <c r="BD96" i="16"/>
  <c r="BC96" i="16"/>
  <c r="BA96" i="16"/>
  <c r="AZ96" i="16"/>
  <c r="BG95" i="16"/>
  <c r="BF95" i="16"/>
  <c r="BD95" i="16"/>
  <c r="BC95" i="16"/>
  <c r="BA95" i="16"/>
  <c r="AZ95" i="16"/>
  <c r="BG94" i="16"/>
  <c r="BF94" i="16"/>
  <c r="BD94" i="16"/>
  <c r="BC94" i="16"/>
  <c r="BA94" i="16"/>
  <c r="AZ94" i="16"/>
  <c r="BG93" i="16"/>
  <c r="BF93" i="16"/>
  <c r="BD93" i="16"/>
  <c r="BC93" i="16"/>
  <c r="BA93" i="16"/>
  <c r="AZ93" i="16"/>
  <c r="BG92" i="16"/>
  <c r="BF92" i="16"/>
  <c r="BD92" i="16"/>
  <c r="BC92" i="16"/>
  <c r="BA92" i="16"/>
  <c r="AZ92" i="16"/>
  <c r="BG91" i="16"/>
  <c r="BF91" i="16"/>
  <c r="BD91" i="16"/>
  <c r="BC91" i="16"/>
  <c r="BA91" i="16"/>
  <c r="AZ91" i="16"/>
  <c r="BG90" i="16"/>
  <c r="BF90" i="16"/>
  <c r="BD90" i="16"/>
  <c r="BC90" i="16"/>
  <c r="BA90" i="16"/>
  <c r="AZ90" i="16"/>
  <c r="BG89" i="16"/>
  <c r="BF89" i="16"/>
  <c r="BD89" i="16"/>
  <c r="BC89" i="16"/>
  <c r="BA89" i="16"/>
  <c r="AZ89" i="16"/>
  <c r="BG88" i="16"/>
  <c r="BF88" i="16"/>
  <c r="BD88" i="16"/>
  <c r="BC88" i="16"/>
  <c r="BA88" i="16"/>
  <c r="AZ88" i="16"/>
  <c r="BG84" i="16"/>
  <c r="BF84" i="16"/>
  <c r="BD84" i="16"/>
  <c r="BC84" i="16"/>
  <c r="BA84" i="16"/>
  <c r="AZ84" i="16"/>
  <c r="BG83" i="16"/>
  <c r="BF83" i="16"/>
  <c r="BD83" i="16"/>
  <c r="BC83" i="16"/>
  <c r="BA83" i="16"/>
  <c r="AZ83" i="16"/>
  <c r="BG82" i="16"/>
  <c r="BF82" i="16"/>
  <c r="BD82" i="16"/>
  <c r="BC82" i="16"/>
  <c r="BA82" i="16"/>
  <c r="AZ82" i="16"/>
  <c r="BG81" i="16"/>
  <c r="BF81" i="16"/>
  <c r="BD81" i="16"/>
  <c r="BC81" i="16"/>
  <c r="BA81" i="16"/>
  <c r="AZ81" i="16"/>
  <c r="BG80" i="16"/>
  <c r="BF80" i="16"/>
  <c r="BD80" i="16"/>
  <c r="BC80" i="16"/>
  <c r="BA80" i="16"/>
  <c r="AZ80" i="16"/>
  <c r="BG79" i="16"/>
  <c r="BF79" i="16"/>
  <c r="BD79" i="16"/>
  <c r="BC79" i="16"/>
  <c r="BA79" i="16"/>
  <c r="AZ79" i="16"/>
  <c r="BG78" i="16"/>
  <c r="BF78" i="16"/>
  <c r="BD78" i="16"/>
  <c r="BC78" i="16"/>
  <c r="BA78" i="16"/>
  <c r="AZ78" i="16"/>
  <c r="BG77" i="16"/>
  <c r="BF77" i="16"/>
  <c r="BD77" i="16"/>
  <c r="BC77" i="16"/>
  <c r="BA77" i="16"/>
  <c r="AZ77" i="16"/>
  <c r="BG76" i="16"/>
  <c r="BF76" i="16"/>
  <c r="BD76" i="16"/>
  <c r="BC76" i="16"/>
  <c r="BA76" i="16"/>
  <c r="AZ76" i="16"/>
  <c r="BG75" i="16"/>
  <c r="BF75" i="16"/>
  <c r="BD75" i="16"/>
  <c r="BC75" i="16"/>
  <c r="BA75" i="16"/>
  <c r="AZ75" i="16"/>
  <c r="BG74" i="16"/>
  <c r="BF74" i="16"/>
  <c r="BD74" i="16"/>
  <c r="BC74" i="16"/>
  <c r="BA74" i="16"/>
  <c r="AZ74" i="16"/>
  <c r="BG73" i="16"/>
  <c r="BF73" i="16"/>
  <c r="BD73" i="16"/>
  <c r="BC73" i="16"/>
  <c r="BA73" i="16"/>
  <c r="AZ73" i="16"/>
  <c r="BG72" i="16"/>
  <c r="BF72" i="16"/>
  <c r="BD72" i="16"/>
  <c r="BC72" i="16"/>
  <c r="BA72" i="16"/>
  <c r="AZ72" i="16"/>
  <c r="BG71" i="16"/>
  <c r="BF71" i="16"/>
  <c r="BD71" i="16"/>
  <c r="BC71" i="16"/>
  <c r="BA71" i="16"/>
  <c r="AZ71" i="16"/>
  <c r="BG70" i="16"/>
  <c r="BF70" i="16"/>
  <c r="BD70" i="16"/>
  <c r="BC70" i="16"/>
  <c r="BA70" i="16"/>
  <c r="AZ70" i="16"/>
  <c r="BG69" i="16"/>
  <c r="BF69" i="16"/>
  <c r="BD69" i="16"/>
  <c r="BC69" i="16"/>
  <c r="BA69" i="16"/>
  <c r="AZ69" i="16"/>
  <c r="BG68" i="16"/>
  <c r="BF68" i="16"/>
  <c r="BD68" i="16"/>
  <c r="BC68" i="16"/>
  <c r="BA68" i="16"/>
  <c r="AZ68" i="16"/>
  <c r="BG67" i="16"/>
  <c r="BF67" i="16"/>
  <c r="BD67" i="16"/>
  <c r="BC67" i="16"/>
  <c r="BA67" i="16"/>
  <c r="AZ67" i="16"/>
  <c r="BH63" i="16"/>
  <c r="BE63" i="16"/>
  <c r="BB63" i="16"/>
  <c r="BH62" i="16"/>
  <c r="BE62" i="16"/>
  <c r="BB62" i="16"/>
  <c r="BH61" i="16"/>
  <c r="BE61" i="16"/>
  <c r="BB61" i="16"/>
  <c r="BH60" i="16"/>
  <c r="BE60" i="16"/>
  <c r="BB60" i="16"/>
  <c r="BH59" i="16"/>
  <c r="BE59" i="16"/>
  <c r="BB59" i="16"/>
  <c r="BH58" i="16"/>
  <c r="BE58" i="16"/>
  <c r="BB58" i="16"/>
  <c r="BH57" i="16"/>
  <c r="BE57" i="16"/>
  <c r="BB57" i="16"/>
  <c r="BH56" i="16"/>
  <c r="BE56" i="16"/>
  <c r="BB56" i="16"/>
  <c r="BH55" i="16"/>
  <c r="BE55" i="16"/>
  <c r="BB55" i="16"/>
  <c r="BH54" i="16"/>
  <c r="BE54" i="16"/>
  <c r="BB54" i="16"/>
  <c r="BH53" i="16"/>
  <c r="BE53" i="16"/>
  <c r="BB53" i="16"/>
  <c r="BH52" i="16"/>
  <c r="BE52" i="16"/>
  <c r="BB52" i="16"/>
  <c r="BH51" i="16"/>
  <c r="BE51" i="16"/>
  <c r="BB51" i="16"/>
  <c r="BH50" i="16"/>
  <c r="BE50" i="16"/>
  <c r="BB50" i="16"/>
  <c r="BH49" i="16"/>
  <c r="BE49" i="16"/>
  <c r="BB49" i="16"/>
  <c r="BH48" i="16"/>
  <c r="BE48" i="16"/>
  <c r="BB48" i="16"/>
  <c r="BH47" i="16"/>
  <c r="BE47" i="16"/>
  <c r="BB47" i="16"/>
  <c r="BH46" i="16"/>
  <c r="BE46" i="16"/>
  <c r="BB46" i="16"/>
  <c r="BH42" i="16"/>
  <c r="BE42" i="16"/>
  <c r="BB42" i="16"/>
  <c r="BH41" i="16"/>
  <c r="BE41" i="16"/>
  <c r="BB41" i="16"/>
  <c r="BH40" i="16"/>
  <c r="BE40" i="16"/>
  <c r="BB40" i="16"/>
  <c r="BH39" i="16"/>
  <c r="BE39" i="16"/>
  <c r="BB39" i="16"/>
  <c r="BH38" i="16"/>
  <c r="BE38" i="16"/>
  <c r="BB38" i="16"/>
  <c r="BH37" i="16"/>
  <c r="BE37" i="16"/>
  <c r="BB37" i="16"/>
  <c r="BH36" i="16"/>
  <c r="BE36" i="16"/>
  <c r="BB36" i="16"/>
  <c r="BH35" i="16"/>
  <c r="BE35" i="16"/>
  <c r="BB35" i="16"/>
  <c r="BH34" i="16"/>
  <c r="BE34" i="16"/>
  <c r="BB34" i="16"/>
  <c r="BH33" i="16"/>
  <c r="BE33" i="16"/>
  <c r="BB33" i="16"/>
  <c r="BH32" i="16"/>
  <c r="BE32" i="16"/>
  <c r="BB32" i="16"/>
  <c r="BH31" i="16"/>
  <c r="BE31" i="16"/>
  <c r="BB31" i="16"/>
  <c r="BH30" i="16"/>
  <c r="BE30" i="16"/>
  <c r="BB30" i="16"/>
  <c r="BH29" i="16"/>
  <c r="BE29" i="16"/>
  <c r="BB29" i="16"/>
  <c r="BH28" i="16"/>
  <c r="BE28" i="16"/>
  <c r="BB28" i="16"/>
  <c r="BH27" i="16"/>
  <c r="BE27" i="16"/>
  <c r="BB27" i="16"/>
  <c r="BH26" i="16"/>
  <c r="BE26" i="16"/>
  <c r="BB26" i="16"/>
  <c r="BH25" i="16"/>
  <c r="BE25" i="16"/>
  <c r="BB25" i="16"/>
  <c r="BG21" i="16"/>
  <c r="BF21" i="16"/>
  <c r="BD21" i="16"/>
  <c r="BC21" i="16"/>
  <c r="BA21" i="16"/>
  <c r="AZ21" i="16"/>
  <c r="BG20" i="16"/>
  <c r="BF20" i="16"/>
  <c r="BD20" i="16"/>
  <c r="BC20" i="16"/>
  <c r="BA20" i="16"/>
  <c r="AZ20" i="16"/>
  <c r="BG19" i="16"/>
  <c r="BF19" i="16"/>
  <c r="BD19" i="16"/>
  <c r="BC19" i="16"/>
  <c r="BA19" i="16"/>
  <c r="AZ19" i="16"/>
  <c r="BG18" i="16"/>
  <c r="BF18" i="16"/>
  <c r="BD18" i="16"/>
  <c r="BC18" i="16"/>
  <c r="BA18" i="16"/>
  <c r="AZ18" i="16"/>
  <c r="BG17" i="16"/>
  <c r="BF17" i="16"/>
  <c r="BD17" i="16"/>
  <c r="BC17" i="16"/>
  <c r="BA17" i="16"/>
  <c r="AZ17" i="16"/>
  <c r="BG16" i="16"/>
  <c r="BF16" i="16"/>
  <c r="BD16" i="16"/>
  <c r="BC16" i="16"/>
  <c r="BA16" i="16"/>
  <c r="AZ16" i="16"/>
  <c r="BG15" i="16"/>
  <c r="BF15" i="16"/>
  <c r="BD15" i="16"/>
  <c r="BC15" i="16"/>
  <c r="BA15" i="16"/>
  <c r="AZ15" i="16"/>
  <c r="BG14" i="16"/>
  <c r="BF14" i="16"/>
  <c r="BD14" i="16"/>
  <c r="BC14" i="16"/>
  <c r="BA14" i="16"/>
  <c r="AZ14" i="16"/>
  <c r="BG13" i="16"/>
  <c r="BF13" i="16"/>
  <c r="BD13" i="16"/>
  <c r="BC13" i="16"/>
  <c r="BA13" i="16"/>
  <c r="AZ13" i="16"/>
  <c r="BG12" i="16"/>
  <c r="BF12" i="16"/>
  <c r="BD12" i="16"/>
  <c r="BC12" i="16"/>
  <c r="BA12" i="16"/>
  <c r="AZ12" i="16"/>
  <c r="BG11" i="16"/>
  <c r="BF11" i="16"/>
  <c r="BD11" i="16"/>
  <c r="BC11" i="16"/>
  <c r="BA11" i="16"/>
  <c r="AZ11" i="16"/>
  <c r="BG10" i="16"/>
  <c r="BF10" i="16"/>
  <c r="BD10" i="16"/>
  <c r="BC10" i="16"/>
  <c r="BA10" i="16"/>
  <c r="AZ10" i="16"/>
  <c r="BG9" i="16"/>
  <c r="BF9" i="16"/>
  <c r="BD9" i="16"/>
  <c r="BC9" i="16"/>
  <c r="BA9" i="16"/>
  <c r="AZ9" i="16"/>
  <c r="BG8" i="16"/>
  <c r="BF8" i="16"/>
  <c r="BD8" i="16"/>
  <c r="BC8" i="16"/>
  <c r="BA8" i="16"/>
  <c r="AZ8" i="16"/>
  <c r="BG7" i="16"/>
  <c r="BF7" i="16"/>
  <c r="BD7" i="16"/>
  <c r="BC7" i="16"/>
  <c r="BA7" i="16"/>
  <c r="AZ7" i="16"/>
  <c r="BG6" i="16"/>
  <c r="BF6" i="16"/>
  <c r="BD6" i="16"/>
  <c r="BC6" i="16"/>
  <c r="BA6" i="16"/>
  <c r="AZ6" i="16"/>
  <c r="BG5" i="16"/>
  <c r="BF5" i="16"/>
  <c r="BD5" i="16"/>
  <c r="BC5" i="16"/>
  <c r="BA5" i="16"/>
  <c r="AZ5" i="16"/>
  <c r="BG4" i="16"/>
  <c r="BF4" i="16"/>
  <c r="BD4" i="16"/>
  <c r="BC4" i="16"/>
  <c r="BA4" i="16"/>
  <c r="AZ4" i="16"/>
  <c r="AR105" i="16"/>
  <c r="AQ105" i="16"/>
  <c r="AO105" i="16"/>
  <c r="AN105" i="16"/>
  <c r="AL105" i="16"/>
  <c r="AK105" i="16"/>
  <c r="AR104" i="16"/>
  <c r="AQ104" i="16"/>
  <c r="AO104" i="16"/>
  <c r="AN104" i="16"/>
  <c r="AL104" i="16"/>
  <c r="AK104" i="16"/>
  <c r="AR103" i="16"/>
  <c r="AQ103" i="16"/>
  <c r="AO103" i="16"/>
  <c r="AN103" i="16"/>
  <c r="AL103" i="16"/>
  <c r="AK103" i="16"/>
  <c r="AR102" i="16"/>
  <c r="AQ102" i="16"/>
  <c r="AO102" i="16"/>
  <c r="AN102" i="16"/>
  <c r="AL102" i="16"/>
  <c r="AK102" i="16"/>
  <c r="AR101" i="16"/>
  <c r="AQ101" i="16"/>
  <c r="AO101" i="16"/>
  <c r="AN101" i="16"/>
  <c r="AL101" i="16"/>
  <c r="AK101" i="16"/>
  <c r="AR100" i="16"/>
  <c r="AQ100" i="16"/>
  <c r="AO100" i="16"/>
  <c r="AN100" i="16"/>
  <c r="AL100" i="16"/>
  <c r="AK100" i="16"/>
  <c r="AR99" i="16"/>
  <c r="AQ99" i="16"/>
  <c r="AO99" i="16"/>
  <c r="AN99" i="16"/>
  <c r="AL99" i="16"/>
  <c r="AK99" i="16"/>
  <c r="AR98" i="16"/>
  <c r="AQ98" i="16"/>
  <c r="AO98" i="16"/>
  <c r="AN98" i="16"/>
  <c r="AL98" i="16"/>
  <c r="AK98" i="16"/>
  <c r="AR97" i="16"/>
  <c r="AQ97" i="16"/>
  <c r="AO97" i="16"/>
  <c r="AN97" i="16"/>
  <c r="AL97" i="16"/>
  <c r="AK97" i="16"/>
  <c r="AR96" i="16"/>
  <c r="AQ96" i="16"/>
  <c r="AO96" i="16"/>
  <c r="AN96" i="16"/>
  <c r="AL96" i="16"/>
  <c r="AK96" i="16"/>
  <c r="AR95" i="16"/>
  <c r="AQ95" i="16"/>
  <c r="AO95" i="16"/>
  <c r="AN95" i="16"/>
  <c r="AL95" i="16"/>
  <c r="AK95" i="16"/>
  <c r="AR94" i="16"/>
  <c r="AQ94" i="16"/>
  <c r="AO94" i="16"/>
  <c r="AN94" i="16"/>
  <c r="AL94" i="16"/>
  <c r="AK94" i="16"/>
  <c r="AR93" i="16"/>
  <c r="AQ93" i="16"/>
  <c r="AO93" i="16"/>
  <c r="AN93" i="16"/>
  <c r="AL93" i="16"/>
  <c r="AK93" i="16"/>
  <c r="AR92" i="16"/>
  <c r="AQ92" i="16"/>
  <c r="AO92" i="16"/>
  <c r="AN92" i="16"/>
  <c r="AL92" i="16"/>
  <c r="AK92" i="16"/>
  <c r="AR91" i="16"/>
  <c r="AQ91" i="16"/>
  <c r="AO91" i="16"/>
  <c r="AN91" i="16"/>
  <c r="AL91" i="16"/>
  <c r="AK91" i="16"/>
  <c r="AR90" i="16"/>
  <c r="AQ90" i="16"/>
  <c r="AO90" i="16"/>
  <c r="AN90" i="16"/>
  <c r="AL90" i="16"/>
  <c r="AK90" i="16"/>
  <c r="AR89" i="16"/>
  <c r="AQ89" i="16"/>
  <c r="AO89" i="16"/>
  <c r="AN89" i="16"/>
  <c r="AL89" i="16"/>
  <c r="AK89" i="16"/>
  <c r="AR88" i="16"/>
  <c r="AQ88" i="16"/>
  <c r="AO88" i="16"/>
  <c r="AN88" i="16"/>
  <c r="AL88" i="16"/>
  <c r="AK88" i="16"/>
  <c r="AR84" i="16"/>
  <c r="AQ84" i="16"/>
  <c r="AO84" i="16"/>
  <c r="AN84" i="16"/>
  <c r="AL84" i="16"/>
  <c r="AK84" i="16"/>
  <c r="AR83" i="16"/>
  <c r="AQ83" i="16"/>
  <c r="AO83" i="16"/>
  <c r="AN83" i="16"/>
  <c r="AL83" i="16"/>
  <c r="AK83" i="16"/>
  <c r="AR82" i="16"/>
  <c r="AQ82" i="16"/>
  <c r="AO82" i="16"/>
  <c r="AN82" i="16"/>
  <c r="AL82" i="16"/>
  <c r="AK82" i="16"/>
  <c r="AR81" i="16"/>
  <c r="AQ81" i="16"/>
  <c r="AO81" i="16"/>
  <c r="AN81" i="16"/>
  <c r="AL81" i="16"/>
  <c r="AK81" i="16"/>
  <c r="AR80" i="16"/>
  <c r="AQ80" i="16"/>
  <c r="AO80" i="16"/>
  <c r="AN80" i="16"/>
  <c r="AL80" i="16"/>
  <c r="AK80" i="16"/>
  <c r="AR79" i="16"/>
  <c r="AQ79" i="16"/>
  <c r="AO79" i="16"/>
  <c r="AN79" i="16"/>
  <c r="AL79" i="16"/>
  <c r="AK79" i="16"/>
  <c r="AR78" i="16"/>
  <c r="AQ78" i="16"/>
  <c r="AO78" i="16"/>
  <c r="AN78" i="16"/>
  <c r="AL78" i="16"/>
  <c r="AK78" i="16"/>
  <c r="AR77" i="16"/>
  <c r="AQ77" i="16"/>
  <c r="AO77" i="16"/>
  <c r="AN77" i="16"/>
  <c r="AL77" i="16"/>
  <c r="AK77" i="16"/>
  <c r="AR76" i="16"/>
  <c r="AQ76" i="16"/>
  <c r="AO76" i="16"/>
  <c r="AN76" i="16"/>
  <c r="AL76" i="16"/>
  <c r="AK76" i="16"/>
  <c r="AR75" i="16"/>
  <c r="AQ75" i="16"/>
  <c r="AO75" i="16"/>
  <c r="AN75" i="16"/>
  <c r="AL75" i="16"/>
  <c r="AK75" i="16"/>
  <c r="AR74" i="16"/>
  <c r="AQ74" i="16"/>
  <c r="AO74" i="16"/>
  <c r="AN74" i="16"/>
  <c r="AL74" i="16"/>
  <c r="AK74" i="16"/>
  <c r="AR73" i="16"/>
  <c r="AQ73" i="16"/>
  <c r="AO73" i="16"/>
  <c r="AN73" i="16"/>
  <c r="AL73" i="16"/>
  <c r="AK73" i="16"/>
  <c r="AR72" i="16"/>
  <c r="AQ72" i="16"/>
  <c r="AO72" i="16"/>
  <c r="AN72" i="16"/>
  <c r="AL72" i="16"/>
  <c r="AK72" i="16"/>
  <c r="AR71" i="16"/>
  <c r="AQ71" i="16"/>
  <c r="AO71" i="16"/>
  <c r="AN71" i="16"/>
  <c r="AL71" i="16"/>
  <c r="AK71" i="16"/>
  <c r="AR70" i="16"/>
  <c r="AQ70" i="16"/>
  <c r="AO70" i="16"/>
  <c r="AN70" i="16"/>
  <c r="AL70" i="16"/>
  <c r="AK70" i="16"/>
  <c r="AR69" i="16"/>
  <c r="AQ69" i="16"/>
  <c r="AO69" i="16"/>
  <c r="AN69" i="16"/>
  <c r="AL69" i="16"/>
  <c r="AK69" i="16"/>
  <c r="AR68" i="16"/>
  <c r="AQ68" i="16"/>
  <c r="AO68" i="16"/>
  <c r="AN68" i="16"/>
  <c r="AL68" i="16"/>
  <c r="AK68" i="16"/>
  <c r="AR67" i="16"/>
  <c r="AQ67" i="16"/>
  <c r="AO67" i="16"/>
  <c r="AN67" i="16"/>
  <c r="AL67" i="16"/>
  <c r="AK67" i="16"/>
  <c r="AR63" i="16"/>
  <c r="AQ63" i="16"/>
  <c r="AO63" i="16"/>
  <c r="AN63" i="16"/>
  <c r="AL63" i="16"/>
  <c r="AK63" i="16"/>
  <c r="AR62" i="16"/>
  <c r="AQ62" i="16"/>
  <c r="AO62" i="16"/>
  <c r="AN62" i="16"/>
  <c r="AL62" i="16"/>
  <c r="AK62" i="16"/>
  <c r="AR61" i="16"/>
  <c r="AQ61" i="16"/>
  <c r="AO61" i="16"/>
  <c r="AN61" i="16"/>
  <c r="AL61" i="16"/>
  <c r="AK61" i="16"/>
  <c r="AR60" i="16"/>
  <c r="AQ60" i="16"/>
  <c r="AO60" i="16"/>
  <c r="AN60" i="16"/>
  <c r="AL60" i="16"/>
  <c r="AK60" i="16"/>
  <c r="AR59" i="16"/>
  <c r="AQ59" i="16"/>
  <c r="AO59" i="16"/>
  <c r="AN59" i="16"/>
  <c r="AL59" i="16"/>
  <c r="AK59" i="16"/>
  <c r="AR58" i="16"/>
  <c r="AQ58" i="16"/>
  <c r="AO58" i="16"/>
  <c r="AN58" i="16"/>
  <c r="AL58" i="16"/>
  <c r="AK58" i="16"/>
  <c r="AR57" i="16"/>
  <c r="AQ57" i="16"/>
  <c r="AO57" i="16"/>
  <c r="AN57" i="16"/>
  <c r="AL57" i="16"/>
  <c r="AK57" i="16"/>
  <c r="AR56" i="16"/>
  <c r="AQ56" i="16"/>
  <c r="AO56" i="16"/>
  <c r="AN56" i="16"/>
  <c r="AL56" i="16"/>
  <c r="AK56" i="16"/>
  <c r="AR55" i="16"/>
  <c r="AQ55" i="16"/>
  <c r="AO55" i="16"/>
  <c r="AN55" i="16"/>
  <c r="AL55" i="16"/>
  <c r="AK55" i="16"/>
  <c r="AR54" i="16"/>
  <c r="AQ54" i="16"/>
  <c r="AO54" i="16"/>
  <c r="AN54" i="16"/>
  <c r="AL54" i="16"/>
  <c r="AK54" i="16"/>
  <c r="AR53" i="16"/>
  <c r="AQ53" i="16"/>
  <c r="AO53" i="16"/>
  <c r="AN53" i="16"/>
  <c r="AL53" i="16"/>
  <c r="AK53" i="16"/>
  <c r="AR52" i="16"/>
  <c r="AQ52" i="16"/>
  <c r="AO52" i="16"/>
  <c r="AN52" i="16"/>
  <c r="AL52" i="16"/>
  <c r="AK52" i="16"/>
  <c r="AR51" i="16"/>
  <c r="AQ51" i="16"/>
  <c r="AO51" i="16"/>
  <c r="AN51" i="16"/>
  <c r="AL51" i="16"/>
  <c r="AK51" i="16"/>
  <c r="AR50" i="16"/>
  <c r="AQ50" i="16"/>
  <c r="AO50" i="16"/>
  <c r="AN50" i="16"/>
  <c r="AL50" i="16"/>
  <c r="AK50" i="16"/>
  <c r="AR49" i="16"/>
  <c r="AQ49" i="16"/>
  <c r="AO49" i="16"/>
  <c r="AN49" i="16"/>
  <c r="AL49" i="16"/>
  <c r="AK49" i="16"/>
  <c r="AR48" i="16"/>
  <c r="AQ48" i="16"/>
  <c r="AO48" i="16"/>
  <c r="AN48" i="16"/>
  <c r="AL48" i="16"/>
  <c r="AK48" i="16"/>
  <c r="AR47" i="16"/>
  <c r="AQ47" i="16"/>
  <c r="AO47" i="16"/>
  <c r="AN47" i="16"/>
  <c r="AL47" i="16"/>
  <c r="AK47" i="16"/>
  <c r="AR46" i="16"/>
  <c r="AQ46" i="16"/>
  <c r="AO46" i="16"/>
  <c r="AN46" i="16"/>
  <c r="AL46" i="16"/>
  <c r="AK46" i="16"/>
  <c r="AS42" i="16"/>
  <c r="AP42" i="16"/>
  <c r="AM42" i="16"/>
  <c r="AS41" i="16"/>
  <c r="AP41" i="16"/>
  <c r="AM41" i="16"/>
  <c r="AS40" i="16"/>
  <c r="AP40" i="16"/>
  <c r="AM40" i="16"/>
  <c r="AS39" i="16"/>
  <c r="AP39" i="16"/>
  <c r="AM39" i="16"/>
  <c r="AS38" i="16"/>
  <c r="AP38" i="16"/>
  <c r="AM38" i="16"/>
  <c r="AS37" i="16"/>
  <c r="AP37" i="16"/>
  <c r="AM37" i="16"/>
  <c r="AS36" i="16"/>
  <c r="AP36" i="16"/>
  <c r="AM36" i="16"/>
  <c r="AS35" i="16"/>
  <c r="AP35" i="16"/>
  <c r="AM35" i="16"/>
  <c r="AS34" i="16"/>
  <c r="AP34" i="16"/>
  <c r="AM34" i="16"/>
  <c r="AS33" i="16"/>
  <c r="AP33" i="16"/>
  <c r="AM33" i="16"/>
  <c r="AS32" i="16"/>
  <c r="AP32" i="16"/>
  <c r="AM32" i="16"/>
  <c r="AS31" i="16"/>
  <c r="AP31" i="16"/>
  <c r="AM31" i="16"/>
  <c r="AS30" i="16"/>
  <c r="AP30" i="16"/>
  <c r="AM30" i="16"/>
  <c r="AS29" i="16"/>
  <c r="AP29" i="16"/>
  <c r="AM29" i="16"/>
  <c r="AS28" i="16"/>
  <c r="AP28" i="16"/>
  <c r="AM28" i="16"/>
  <c r="AS27" i="16"/>
  <c r="AP27" i="16"/>
  <c r="AM27" i="16"/>
  <c r="AS26" i="16"/>
  <c r="AP26" i="16"/>
  <c r="AM26" i="16"/>
  <c r="AS25" i="16"/>
  <c r="AP25" i="16"/>
  <c r="AM25" i="16"/>
  <c r="AS21" i="16"/>
  <c r="AP21" i="16"/>
  <c r="AM21" i="16"/>
  <c r="AS20" i="16"/>
  <c r="AP20" i="16"/>
  <c r="AM20" i="16"/>
  <c r="AS19" i="16"/>
  <c r="AP19" i="16"/>
  <c r="AM19" i="16"/>
  <c r="AS18" i="16"/>
  <c r="AP18" i="16"/>
  <c r="AM18" i="16"/>
  <c r="AS17" i="16"/>
  <c r="AP17" i="16"/>
  <c r="AM17" i="16"/>
  <c r="AS16" i="16"/>
  <c r="AP16" i="16"/>
  <c r="AM16" i="16"/>
  <c r="AS15" i="16"/>
  <c r="AP15" i="16"/>
  <c r="AM15" i="16"/>
  <c r="AS14" i="16"/>
  <c r="AP14" i="16"/>
  <c r="AM14" i="16"/>
  <c r="AS13" i="16"/>
  <c r="AP13" i="16"/>
  <c r="AM13" i="16"/>
  <c r="AS12" i="16"/>
  <c r="AP12" i="16"/>
  <c r="AM12" i="16"/>
  <c r="AS11" i="16"/>
  <c r="AP11" i="16"/>
  <c r="AM11" i="16"/>
  <c r="AS10" i="16"/>
  <c r="AP10" i="16"/>
  <c r="AM10" i="16"/>
  <c r="AS9" i="16"/>
  <c r="AP9" i="16"/>
  <c r="AM9" i="16"/>
  <c r="AS8" i="16"/>
  <c r="AP8" i="16"/>
  <c r="AM8" i="16"/>
  <c r="AS7" i="16"/>
  <c r="AP7" i="16"/>
  <c r="AM7" i="16"/>
  <c r="AS6" i="16"/>
  <c r="AP6" i="16"/>
  <c r="AM6" i="16"/>
  <c r="AS5" i="16"/>
  <c r="AP5" i="16"/>
  <c r="AM5" i="16"/>
  <c r="AS4" i="16"/>
  <c r="AP4" i="16"/>
  <c r="AM4" i="16"/>
  <c r="AC84" i="16"/>
  <c r="AB84" i="16"/>
  <c r="Z84" i="16"/>
  <c r="Y84" i="16"/>
  <c r="W84" i="16"/>
  <c r="V84" i="16"/>
  <c r="AC83" i="16"/>
  <c r="AB83" i="16"/>
  <c r="Z83" i="16"/>
  <c r="Y83" i="16"/>
  <c r="W83" i="16"/>
  <c r="V83" i="16"/>
  <c r="AC82" i="16"/>
  <c r="AB82" i="16"/>
  <c r="Z82" i="16"/>
  <c r="Y82" i="16"/>
  <c r="W82" i="16"/>
  <c r="V82" i="16"/>
  <c r="AC81" i="16"/>
  <c r="AB81" i="16"/>
  <c r="Z81" i="16"/>
  <c r="Y81" i="16"/>
  <c r="W81" i="16"/>
  <c r="V81" i="16"/>
  <c r="AC80" i="16"/>
  <c r="AB80" i="16"/>
  <c r="Z80" i="16"/>
  <c r="Y80" i="16"/>
  <c r="W80" i="16"/>
  <c r="V80" i="16"/>
  <c r="AC79" i="16"/>
  <c r="AB79" i="16"/>
  <c r="Z79" i="16"/>
  <c r="Y79" i="16"/>
  <c r="W79" i="16"/>
  <c r="V79" i="16"/>
  <c r="AC78" i="16"/>
  <c r="AB78" i="16"/>
  <c r="Z78" i="16"/>
  <c r="Y78" i="16"/>
  <c r="W78" i="16"/>
  <c r="V78" i="16"/>
  <c r="AC77" i="16"/>
  <c r="AB77" i="16"/>
  <c r="Z77" i="16"/>
  <c r="Y77" i="16"/>
  <c r="W77" i="16"/>
  <c r="V77" i="16"/>
  <c r="AC76" i="16"/>
  <c r="AB76" i="16"/>
  <c r="Z76" i="16"/>
  <c r="Y76" i="16"/>
  <c r="W76" i="16"/>
  <c r="V76" i="16"/>
  <c r="AC75" i="16"/>
  <c r="AB75" i="16"/>
  <c r="Z75" i="16"/>
  <c r="Y75" i="16"/>
  <c r="W75" i="16"/>
  <c r="V75" i="16"/>
  <c r="AC74" i="16"/>
  <c r="AB74" i="16"/>
  <c r="Z74" i="16"/>
  <c r="Y74" i="16"/>
  <c r="W74" i="16"/>
  <c r="V74" i="16"/>
  <c r="AC73" i="16"/>
  <c r="AB73" i="16"/>
  <c r="Z73" i="16"/>
  <c r="Y73" i="16"/>
  <c r="W73" i="16"/>
  <c r="V73" i="16"/>
  <c r="AC72" i="16"/>
  <c r="AB72" i="16"/>
  <c r="Z72" i="16"/>
  <c r="Y72" i="16"/>
  <c r="W72" i="16"/>
  <c r="V72" i="16"/>
  <c r="AC71" i="16"/>
  <c r="AB71" i="16"/>
  <c r="Z71" i="16"/>
  <c r="Y71" i="16"/>
  <c r="W71" i="16"/>
  <c r="V71" i="16"/>
  <c r="AC70" i="16"/>
  <c r="AB70" i="16"/>
  <c r="Z70" i="16"/>
  <c r="Y70" i="16"/>
  <c r="W70" i="16"/>
  <c r="V70" i="16"/>
  <c r="AC69" i="16"/>
  <c r="AB69" i="16"/>
  <c r="Z69" i="16"/>
  <c r="Y69" i="16"/>
  <c r="W69" i="16"/>
  <c r="V69" i="16"/>
  <c r="AC68" i="16"/>
  <c r="AB68" i="16"/>
  <c r="Z68" i="16"/>
  <c r="Y68" i="16"/>
  <c r="W68" i="16"/>
  <c r="V68" i="16"/>
  <c r="AC67" i="16"/>
  <c r="AB67" i="16"/>
  <c r="Z67" i="16"/>
  <c r="Y67" i="16"/>
  <c r="W67" i="16"/>
  <c r="V67" i="16"/>
  <c r="AC63" i="16"/>
  <c r="AB63" i="16"/>
  <c r="Z63" i="16"/>
  <c r="Y63" i="16"/>
  <c r="W63" i="16"/>
  <c r="V63" i="16"/>
  <c r="AC62" i="16"/>
  <c r="AB62" i="16"/>
  <c r="Z62" i="16"/>
  <c r="Y62" i="16"/>
  <c r="W62" i="16"/>
  <c r="V62" i="16"/>
  <c r="AC61" i="16"/>
  <c r="AB61" i="16"/>
  <c r="Z61" i="16"/>
  <c r="Y61" i="16"/>
  <c r="W61" i="16"/>
  <c r="V61" i="16"/>
  <c r="AC60" i="16"/>
  <c r="AB60" i="16"/>
  <c r="Z60" i="16"/>
  <c r="Y60" i="16"/>
  <c r="W60" i="16"/>
  <c r="V60" i="16"/>
  <c r="AC59" i="16"/>
  <c r="AB59" i="16"/>
  <c r="Z59" i="16"/>
  <c r="Y59" i="16"/>
  <c r="W59" i="16"/>
  <c r="V59" i="16"/>
  <c r="AC58" i="16"/>
  <c r="AB58" i="16"/>
  <c r="Z58" i="16"/>
  <c r="Y58" i="16"/>
  <c r="W58" i="16"/>
  <c r="V58" i="16"/>
  <c r="AC57" i="16"/>
  <c r="AB57" i="16"/>
  <c r="Z57" i="16"/>
  <c r="Y57" i="16"/>
  <c r="W57" i="16"/>
  <c r="V57" i="16"/>
  <c r="AC56" i="16"/>
  <c r="AB56" i="16"/>
  <c r="Z56" i="16"/>
  <c r="Y56" i="16"/>
  <c r="W56" i="16"/>
  <c r="V56" i="16"/>
  <c r="AC55" i="16"/>
  <c r="AB55" i="16"/>
  <c r="Z55" i="16"/>
  <c r="Y55" i="16"/>
  <c r="W55" i="16"/>
  <c r="V55" i="16"/>
  <c r="AC54" i="16"/>
  <c r="AB54" i="16"/>
  <c r="Z54" i="16"/>
  <c r="Y54" i="16"/>
  <c r="W54" i="16"/>
  <c r="V54" i="16"/>
  <c r="AC53" i="16"/>
  <c r="AB53" i="16"/>
  <c r="Z53" i="16"/>
  <c r="Y53" i="16"/>
  <c r="W53" i="16"/>
  <c r="V53" i="16"/>
  <c r="AC52" i="16"/>
  <c r="AB52" i="16"/>
  <c r="Z52" i="16"/>
  <c r="Y52" i="16"/>
  <c r="W52" i="16"/>
  <c r="V52" i="16"/>
  <c r="AC51" i="16"/>
  <c r="AB51" i="16"/>
  <c r="Z51" i="16"/>
  <c r="Y51" i="16"/>
  <c r="W51" i="16"/>
  <c r="V51" i="16"/>
  <c r="AC50" i="16"/>
  <c r="AB50" i="16"/>
  <c r="Z50" i="16"/>
  <c r="Y50" i="16"/>
  <c r="W50" i="16"/>
  <c r="V50" i="16"/>
  <c r="AC49" i="16"/>
  <c r="AB49" i="16"/>
  <c r="Z49" i="16"/>
  <c r="Y49" i="16"/>
  <c r="W49" i="16"/>
  <c r="V49" i="16"/>
  <c r="AC48" i="16"/>
  <c r="AB48" i="16"/>
  <c r="Z48" i="16"/>
  <c r="Y48" i="16"/>
  <c r="W48" i="16"/>
  <c r="V48" i="16"/>
  <c r="AC47" i="16"/>
  <c r="AB47" i="16"/>
  <c r="Z47" i="16"/>
  <c r="Y47" i="16"/>
  <c r="W47" i="16"/>
  <c r="V47" i="16"/>
  <c r="AC46" i="16"/>
  <c r="AB46" i="16"/>
  <c r="Z46" i="16"/>
  <c r="Y46" i="16"/>
  <c r="W46" i="16"/>
  <c r="V46" i="16"/>
  <c r="AC42" i="16"/>
  <c r="AB42" i="16"/>
  <c r="Z42" i="16"/>
  <c r="Y42" i="16"/>
  <c r="W42" i="16"/>
  <c r="V42" i="16"/>
  <c r="AC41" i="16"/>
  <c r="AB41" i="16"/>
  <c r="Z41" i="16"/>
  <c r="Y41" i="16"/>
  <c r="W41" i="16"/>
  <c r="V41" i="16"/>
  <c r="AC40" i="16"/>
  <c r="AB40" i="16"/>
  <c r="Z40" i="16"/>
  <c r="Y40" i="16"/>
  <c r="W40" i="16"/>
  <c r="V40" i="16"/>
  <c r="AC39" i="16"/>
  <c r="AB39" i="16"/>
  <c r="Z39" i="16"/>
  <c r="Y39" i="16"/>
  <c r="W39" i="16"/>
  <c r="V39" i="16"/>
  <c r="AC38" i="16"/>
  <c r="AB38" i="16"/>
  <c r="Z38" i="16"/>
  <c r="Y38" i="16"/>
  <c r="W38" i="16"/>
  <c r="V38" i="16"/>
  <c r="AC37" i="16"/>
  <c r="AB37" i="16"/>
  <c r="Z37" i="16"/>
  <c r="Y37" i="16"/>
  <c r="W37" i="16"/>
  <c r="V37" i="16"/>
  <c r="AC36" i="16"/>
  <c r="AB36" i="16"/>
  <c r="Z36" i="16"/>
  <c r="Y36" i="16"/>
  <c r="W36" i="16"/>
  <c r="V36" i="16"/>
  <c r="AC35" i="16"/>
  <c r="AB35" i="16"/>
  <c r="Z35" i="16"/>
  <c r="Y35" i="16"/>
  <c r="W35" i="16"/>
  <c r="V35" i="16"/>
  <c r="AC34" i="16"/>
  <c r="AB34" i="16"/>
  <c r="Z34" i="16"/>
  <c r="Y34" i="16"/>
  <c r="W34" i="16"/>
  <c r="V34" i="16"/>
  <c r="AC33" i="16"/>
  <c r="AB33" i="16"/>
  <c r="Z33" i="16"/>
  <c r="Y33" i="16"/>
  <c r="W33" i="16"/>
  <c r="V33" i="16"/>
  <c r="AC32" i="16"/>
  <c r="AB32" i="16"/>
  <c r="Z32" i="16"/>
  <c r="Y32" i="16"/>
  <c r="W32" i="16"/>
  <c r="V32" i="16"/>
  <c r="AC31" i="16"/>
  <c r="AB31" i="16"/>
  <c r="Z31" i="16"/>
  <c r="Y31" i="16"/>
  <c r="W31" i="16"/>
  <c r="V31" i="16"/>
  <c r="AC30" i="16"/>
  <c r="AB30" i="16"/>
  <c r="Z30" i="16"/>
  <c r="Y30" i="16"/>
  <c r="W30" i="16"/>
  <c r="V30" i="16"/>
  <c r="AC29" i="16"/>
  <c r="AB29" i="16"/>
  <c r="Z29" i="16"/>
  <c r="Y29" i="16"/>
  <c r="W29" i="16"/>
  <c r="V29" i="16"/>
  <c r="AC28" i="16"/>
  <c r="AB28" i="16"/>
  <c r="Z28" i="16"/>
  <c r="Y28" i="16"/>
  <c r="W28" i="16"/>
  <c r="V28" i="16"/>
  <c r="AC27" i="16"/>
  <c r="AB27" i="16"/>
  <c r="Z27" i="16"/>
  <c r="Y27" i="16"/>
  <c r="W27" i="16"/>
  <c r="V27" i="16"/>
  <c r="AC26" i="16"/>
  <c r="AB26" i="16"/>
  <c r="Z26" i="16"/>
  <c r="Y26" i="16"/>
  <c r="W26" i="16"/>
  <c r="V26" i="16"/>
  <c r="AC25" i="16"/>
  <c r="AB25" i="16"/>
  <c r="Z25" i="16"/>
  <c r="Y25" i="16"/>
  <c r="W25" i="16"/>
  <c r="V25" i="16"/>
  <c r="AC21" i="16"/>
  <c r="AB21" i="16"/>
  <c r="Z21" i="16"/>
  <c r="Y21" i="16"/>
  <c r="W21" i="16"/>
  <c r="V21" i="16"/>
  <c r="AC20" i="16"/>
  <c r="AB20" i="16"/>
  <c r="Z20" i="16"/>
  <c r="Y20" i="16"/>
  <c r="W20" i="16"/>
  <c r="V20" i="16"/>
  <c r="AC19" i="16"/>
  <c r="AB19" i="16"/>
  <c r="Z19" i="16"/>
  <c r="Y19" i="16"/>
  <c r="W19" i="16"/>
  <c r="V19" i="16"/>
  <c r="AC18" i="16"/>
  <c r="AB18" i="16"/>
  <c r="Z18" i="16"/>
  <c r="Y18" i="16"/>
  <c r="W18" i="16"/>
  <c r="V18" i="16"/>
  <c r="AC17" i="16"/>
  <c r="AB17" i="16"/>
  <c r="Z17" i="16"/>
  <c r="Y17" i="16"/>
  <c r="W17" i="16"/>
  <c r="V17" i="16"/>
  <c r="AC16" i="16"/>
  <c r="AB16" i="16"/>
  <c r="Z16" i="16"/>
  <c r="Y16" i="16"/>
  <c r="W16" i="16"/>
  <c r="V16" i="16"/>
  <c r="AC15" i="16"/>
  <c r="AB15" i="16"/>
  <c r="Z15" i="16"/>
  <c r="Y15" i="16"/>
  <c r="W15" i="16"/>
  <c r="V15" i="16"/>
  <c r="AC14" i="16"/>
  <c r="AB14" i="16"/>
  <c r="Z14" i="16"/>
  <c r="Y14" i="16"/>
  <c r="W14" i="16"/>
  <c r="V14" i="16"/>
  <c r="AC13" i="16"/>
  <c r="AB13" i="16"/>
  <c r="Z13" i="16"/>
  <c r="Y13" i="16"/>
  <c r="W13" i="16"/>
  <c r="V13" i="16"/>
  <c r="AC12" i="16"/>
  <c r="AB12" i="16"/>
  <c r="Z12" i="16"/>
  <c r="Y12" i="16"/>
  <c r="W12" i="16"/>
  <c r="V12" i="16"/>
  <c r="AC11" i="16"/>
  <c r="AB11" i="16"/>
  <c r="Z11" i="16"/>
  <c r="Y11" i="16"/>
  <c r="W11" i="16"/>
  <c r="V11" i="16"/>
  <c r="AC10" i="16"/>
  <c r="AB10" i="16"/>
  <c r="Z10" i="16"/>
  <c r="Y10" i="16"/>
  <c r="W10" i="16"/>
  <c r="V10" i="16"/>
  <c r="AC9" i="16"/>
  <c r="AB9" i="16"/>
  <c r="Z9" i="16"/>
  <c r="Y9" i="16"/>
  <c r="W9" i="16"/>
  <c r="V9" i="16"/>
  <c r="AC8" i="16"/>
  <c r="AB8" i="16"/>
  <c r="Z8" i="16"/>
  <c r="Y8" i="16"/>
  <c r="W8" i="16"/>
  <c r="V8" i="16"/>
  <c r="AC7" i="16"/>
  <c r="AB7" i="16"/>
  <c r="Z7" i="16"/>
  <c r="Y7" i="16"/>
  <c r="W7" i="16"/>
  <c r="V7" i="16"/>
  <c r="AC6" i="16"/>
  <c r="AB6" i="16"/>
  <c r="Z6" i="16"/>
  <c r="Y6" i="16"/>
  <c r="W6" i="16"/>
  <c r="V6" i="16"/>
  <c r="AC5" i="16"/>
  <c r="AB5" i="16"/>
  <c r="Z5" i="16"/>
  <c r="Y5" i="16"/>
  <c r="W5" i="16"/>
  <c r="V5" i="16"/>
  <c r="AC4" i="16"/>
  <c r="AB4" i="16"/>
  <c r="Z4" i="16"/>
  <c r="Y4" i="16"/>
  <c r="W4" i="16"/>
  <c r="V4" i="16"/>
  <c r="N105" i="16"/>
  <c r="M105" i="16"/>
  <c r="K105" i="16"/>
  <c r="J105" i="16"/>
  <c r="H105" i="16"/>
  <c r="G105" i="16"/>
  <c r="N104" i="16"/>
  <c r="M104" i="16"/>
  <c r="K104" i="16"/>
  <c r="J104" i="16"/>
  <c r="H104" i="16"/>
  <c r="G104" i="16"/>
  <c r="N103" i="16"/>
  <c r="M103" i="16"/>
  <c r="K103" i="16"/>
  <c r="J103" i="16"/>
  <c r="H103" i="16"/>
  <c r="G103" i="16"/>
  <c r="N102" i="16"/>
  <c r="M102" i="16"/>
  <c r="K102" i="16"/>
  <c r="J102" i="16"/>
  <c r="H102" i="16"/>
  <c r="G102" i="16"/>
  <c r="N101" i="16"/>
  <c r="M101" i="16"/>
  <c r="K101" i="16"/>
  <c r="J101" i="16"/>
  <c r="H101" i="16"/>
  <c r="G101" i="16"/>
  <c r="N100" i="16"/>
  <c r="M100" i="16"/>
  <c r="K100" i="16"/>
  <c r="J100" i="16"/>
  <c r="H100" i="16"/>
  <c r="G100" i="16"/>
  <c r="N99" i="16"/>
  <c r="M99" i="16"/>
  <c r="K99" i="16"/>
  <c r="J99" i="16"/>
  <c r="H99" i="16"/>
  <c r="G99" i="16"/>
  <c r="N98" i="16"/>
  <c r="M98" i="16"/>
  <c r="K98" i="16"/>
  <c r="J98" i="16"/>
  <c r="H98" i="16"/>
  <c r="G98" i="16"/>
  <c r="N97" i="16"/>
  <c r="M97" i="16"/>
  <c r="K97" i="16"/>
  <c r="J97" i="16"/>
  <c r="H97" i="16"/>
  <c r="G97" i="16"/>
  <c r="N96" i="16"/>
  <c r="M96" i="16"/>
  <c r="K96" i="16"/>
  <c r="J96" i="16"/>
  <c r="H96" i="16"/>
  <c r="G96" i="16"/>
  <c r="N95" i="16"/>
  <c r="M95" i="16"/>
  <c r="K95" i="16"/>
  <c r="J95" i="16"/>
  <c r="H95" i="16"/>
  <c r="G95" i="16"/>
  <c r="N94" i="16"/>
  <c r="M94" i="16"/>
  <c r="K94" i="16"/>
  <c r="J94" i="16"/>
  <c r="H94" i="16"/>
  <c r="G94" i="16"/>
  <c r="N93" i="16"/>
  <c r="M93" i="16"/>
  <c r="K93" i="16"/>
  <c r="J93" i="16"/>
  <c r="H93" i="16"/>
  <c r="G93" i="16"/>
  <c r="N92" i="16"/>
  <c r="M92" i="16"/>
  <c r="K92" i="16"/>
  <c r="J92" i="16"/>
  <c r="H92" i="16"/>
  <c r="G92" i="16"/>
  <c r="N91" i="16"/>
  <c r="M91" i="16"/>
  <c r="K91" i="16"/>
  <c r="J91" i="16"/>
  <c r="H91" i="16"/>
  <c r="G91" i="16"/>
  <c r="N90" i="16"/>
  <c r="M90" i="16"/>
  <c r="K90" i="16"/>
  <c r="J90" i="16"/>
  <c r="H90" i="16"/>
  <c r="G90" i="16"/>
  <c r="N89" i="16"/>
  <c r="M89" i="16"/>
  <c r="K89" i="16"/>
  <c r="J89" i="16"/>
  <c r="H89" i="16"/>
  <c r="G89" i="16"/>
  <c r="N88" i="16"/>
  <c r="M88" i="16"/>
  <c r="K88" i="16"/>
  <c r="J88" i="16"/>
  <c r="H88" i="16"/>
  <c r="G88" i="16"/>
  <c r="N84" i="16"/>
  <c r="M84" i="16"/>
  <c r="K84" i="16"/>
  <c r="J84" i="16"/>
  <c r="H84" i="16"/>
  <c r="G84" i="16"/>
  <c r="N83" i="16"/>
  <c r="M83" i="16"/>
  <c r="K83" i="16"/>
  <c r="J83" i="16"/>
  <c r="H83" i="16"/>
  <c r="G83" i="16"/>
  <c r="N82" i="16"/>
  <c r="M82" i="16"/>
  <c r="K82" i="16"/>
  <c r="J82" i="16"/>
  <c r="H82" i="16"/>
  <c r="G82" i="16"/>
  <c r="N81" i="16"/>
  <c r="M81" i="16"/>
  <c r="K81" i="16"/>
  <c r="J81" i="16"/>
  <c r="H81" i="16"/>
  <c r="G81" i="16"/>
  <c r="N80" i="16"/>
  <c r="M80" i="16"/>
  <c r="K80" i="16"/>
  <c r="J80" i="16"/>
  <c r="H80" i="16"/>
  <c r="G80" i="16"/>
  <c r="N79" i="16"/>
  <c r="M79" i="16"/>
  <c r="K79" i="16"/>
  <c r="J79" i="16"/>
  <c r="H79" i="16"/>
  <c r="G79" i="16"/>
  <c r="N78" i="16"/>
  <c r="M78" i="16"/>
  <c r="K78" i="16"/>
  <c r="J78" i="16"/>
  <c r="H78" i="16"/>
  <c r="G78" i="16"/>
  <c r="N77" i="16"/>
  <c r="M77" i="16"/>
  <c r="K77" i="16"/>
  <c r="J77" i="16"/>
  <c r="H77" i="16"/>
  <c r="G77" i="16"/>
  <c r="N76" i="16"/>
  <c r="M76" i="16"/>
  <c r="K76" i="16"/>
  <c r="J76" i="16"/>
  <c r="H76" i="16"/>
  <c r="G76" i="16"/>
  <c r="N75" i="16"/>
  <c r="M75" i="16"/>
  <c r="K75" i="16"/>
  <c r="J75" i="16"/>
  <c r="H75" i="16"/>
  <c r="G75" i="16"/>
  <c r="N74" i="16"/>
  <c r="M74" i="16"/>
  <c r="K74" i="16"/>
  <c r="J74" i="16"/>
  <c r="H74" i="16"/>
  <c r="G74" i="16"/>
  <c r="N73" i="16"/>
  <c r="M73" i="16"/>
  <c r="K73" i="16"/>
  <c r="J73" i="16"/>
  <c r="H73" i="16"/>
  <c r="G73" i="16"/>
  <c r="N72" i="16"/>
  <c r="M72" i="16"/>
  <c r="K72" i="16"/>
  <c r="J72" i="16"/>
  <c r="H72" i="16"/>
  <c r="G72" i="16"/>
  <c r="N71" i="16"/>
  <c r="M71" i="16"/>
  <c r="K71" i="16"/>
  <c r="J71" i="16"/>
  <c r="H71" i="16"/>
  <c r="G71" i="16"/>
  <c r="N70" i="16"/>
  <c r="M70" i="16"/>
  <c r="K70" i="16"/>
  <c r="J70" i="16"/>
  <c r="H70" i="16"/>
  <c r="G70" i="16"/>
  <c r="N69" i="16"/>
  <c r="M69" i="16"/>
  <c r="K69" i="16"/>
  <c r="J69" i="16"/>
  <c r="H69" i="16"/>
  <c r="G69" i="16"/>
  <c r="N68" i="16"/>
  <c r="M68" i="16"/>
  <c r="K68" i="16"/>
  <c r="J68" i="16"/>
  <c r="H68" i="16"/>
  <c r="G68" i="16"/>
  <c r="N67" i="16"/>
  <c r="M67" i="16"/>
  <c r="K67" i="16"/>
  <c r="J67" i="16"/>
  <c r="H67" i="16"/>
  <c r="G67" i="16"/>
  <c r="N63" i="16"/>
  <c r="M63" i="16"/>
  <c r="K63" i="16"/>
  <c r="J63" i="16"/>
  <c r="H63" i="16"/>
  <c r="G63" i="16"/>
  <c r="N62" i="16"/>
  <c r="M62" i="16"/>
  <c r="K62" i="16"/>
  <c r="J62" i="16"/>
  <c r="H62" i="16"/>
  <c r="G62" i="16"/>
  <c r="N61" i="16"/>
  <c r="M61" i="16"/>
  <c r="K61" i="16"/>
  <c r="J61" i="16"/>
  <c r="H61" i="16"/>
  <c r="G61" i="16"/>
  <c r="N60" i="16"/>
  <c r="M60" i="16"/>
  <c r="K60" i="16"/>
  <c r="J60" i="16"/>
  <c r="H60" i="16"/>
  <c r="G60" i="16"/>
  <c r="N59" i="16"/>
  <c r="M59" i="16"/>
  <c r="K59" i="16"/>
  <c r="J59" i="16"/>
  <c r="H59" i="16"/>
  <c r="G59" i="16"/>
  <c r="N58" i="16"/>
  <c r="M58" i="16"/>
  <c r="K58" i="16"/>
  <c r="J58" i="16"/>
  <c r="H58" i="16"/>
  <c r="G58" i="16"/>
  <c r="N57" i="16"/>
  <c r="M57" i="16"/>
  <c r="K57" i="16"/>
  <c r="J57" i="16"/>
  <c r="H57" i="16"/>
  <c r="G57" i="16"/>
  <c r="N56" i="16"/>
  <c r="M56" i="16"/>
  <c r="K56" i="16"/>
  <c r="J56" i="16"/>
  <c r="H56" i="16"/>
  <c r="G56" i="16"/>
  <c r="N55" i="16"/>
  <c r="M55" i="16"/>
  <c r="K55" i="16"/>
  <c r="J55" i="16"/>
  <c r="H55" i="16"/>
  <c r="G55" i="16"/>
  <c r="N54" i="16"/>
  <c r="M54" i="16"/>
  <c r="K54" i="16"/>
  <c r="J54" i="16"/>
  <c r="H54" i="16"/>
  <c r="G54" i="16"/>
  <c r="N53" i="16"/>
  <c r="M53" i="16"/>
  <c r="K53" i="16"/>
  <c r="J53" i="16"/>
  <c r="H53" i="16"/>
  <c r="G53" i="16"/>
  <c r="N52" i="16"/>
  <c r="M52" i="16"/>
  <c r="K52" i="16"/>
  <c r="J52" i="16"/>
  <c r="H52" i="16"/>
  <c r="G52" i="16"/>
  <c r="N51" i="16"/>
  <c r="M51" i="16"/>
  <c r="K51" i="16"/>
  <c r="J51" i="16"/>
  <c r="H51" i="16"/>
  <c r="G51" i="16"/>
  <c r="N50" i="16"/>
  <c r="M50" i="16"/>
  <c r="K50" i="16"/>
  <c r="J50" i="16"/>
  <c r="H50" i="16"/>
  <c r="G50" i="16"/>
  <c r="N49" i="16"/>
  <c r="M49" i="16"/>
  <c r="K49" i="16"/>
  <c r="J49" i="16"/>
  <c r="H49" i="16"/>
  <c r="G49" i="16"/>
  <c r="N48" i="16"/>
  <c r="M48" i="16"/>
  <c r="K48" i="16"/>
  <c r="J48" i="16"/>
  <c r="H48" i="16"/>
  <c r="G48" i="16"/>
  <c r="N47" i="16"/>
  <c r="M47" i="16"/>
  <c r="K47" i="16"/>
  <c r="J47" i="16"/>
  <c r="H47" i="16"/>
  <c r="G47" i="16"/>
  <c r="N46" i="16"/>
  <c r="M46" i="16"/>
  <c r="K46" i="16"/>
  <c r="J46" i="16"/>
  <c r="H46" i="16"/>
  <c r="G46" i="16"/>
  <c r="N42" i="16"/>
  <c r="M42" i="16"/>
  <c r="K42" i="16"/>
  <c r="J42" i="16"/>
  <c r="H42" i="16"/>
  <c r="G42" i="16"/>
  <c r="N41" i="16"/>
  <c r="M41" i="16"/>
  <c r="K41" i="16"/>
  <c r="J41" i="16"/>
  <c r="H41" i="16"/>
  <c r="G41" i="16"/>
  <c r="N40" i="16"/>
  <c r="M40" i="16"/>
  <c r="K40" i="16"/>
  <c r="J40" i="16"/>
  <c r="H40" i="16"/>
  <c r="G40" i="16"/>
  <c r="N39" i="16"/>
  <c r="M39" i="16"/>
  <c r="K39" i="16"/>
  <c r="J39" i="16"/>
  <c r="H39" i="16"/>
  <c r="G39" i="16"/>
  <c r="N38" i="16"/>
  <c r="M38" i="16"/>
  <c r="K38" i="16"/>
  <c r="J38" i="16"/>
  <c r="H38" i="16"/>
  <c r="G38" i="16"/>
  <c r="N37" i="16"/>
  <c r="M37" i="16"/>
  <c r="K37" i="16"/>
  <c r="J37" i="16"/>
  <c r="H37" i="16"/>
  <c r="G37" i="16"/>
  <c r="N36" i="16"/>
  <c r="M36" i="16"/>
  <c r="K36" i="16"/>
  <c r="J36" i="16"/>
  <c r="H36" i="16"/>
  <c r="G36" i="16"/>
  <c r="N35" i="16"/>
  <c r="M35" i="16"/>
  <c r="K35" i="16"/>
  <c r="J35" i="16"/>
  <c r="H35" i="16"/>
  <c r="G35" i="16"/>
  <c r="N34" i="16"/>
  <c r="M34" i="16"/>
  <c r="K34" i="16"/>
  <c r="J34" i="16"/>
  <c r="H34" i="16"/>
  <c r="G34" i="16"/>
  <c r="N33" i="16"/>
  <c r="M33" i="16"/>
  <c r="K33" i="16"/>
  <c r="J33" i="16"/>
  <c r="H33" i="16"/>
  <c r="G33" i="16"/>
  <c r="N32" i="16"/>
  <c r="M32" i="16"/>
  <c r="K32" i="16"/>
  <c r="J32" i="16"/>
  <c r="H32" i="16"/>
  <c r="G32" i="16"/>
  <c r="N31" i="16"/>
  <c r="M31" i="16"/>
  <c r="K31" i="16"/>
  <c r="J31" i="16"/>
  <c r="H31" i="16"/>
  <c r="G31" i="16"/>
  <c r="N30" i="16"/>
  <c r="M30" i="16"/>
  <c r="K30" i="16"/>
  <c r="J30" i="16"/>
  <c r="H30" i="16"/>
  <c r="G30" i="16"/>
  <c r="N29" i="16"/>
  <c r="M29" i="16"/>
  <c r="K29" i="16"/>
  <c r="J29" i="16"/>
  <c r="H29" i="16"/>
  <c r="G29" i="16"/>
  <c r="N28" i="16"/>
  <c r="M28" i="16"/>
  <c r="K28" i="16"/>
  <c r="J28" i="16"/>
  <c r="H28" i="16"/>
  <c r="G28" i="16"/>
  <c r="N27" i="16"/>
  <c r="M27" i="16"/>
  <c r="K27" i="16"/>
  <c r="J27" i="16"/>
  <c r="H27" i="16"/>
  <c r="G27" i="16"/>
  <c r="N26" i="16"/>
  <c r="M26" i="16"/>
  <c r="K26" i="16"/>
  <c r="J26" i="16"/>
  <c r="H26" i="16"/>
  <c r="G26" i="16"/>
  <c r="N25" i="16"/>
  <c r="M25" i="16"/>
  <c r="K25" i="16"/>
  <c r="J25" i="16"/>
  <c r="H25" i="16"/>
  <c r="G25" i="16"/>
  <c r="N21" i="16"/>
  <c r="M21" i="16"/>
  <c r="K21" i="16"/>
  <c r="J21" i="16"/>
  <c r="H21" i="16"/>
  <c r="G21" i="16"/>
  <c r="N20" i="16"/>
  <c r="M20" i="16"/>
  <c r="K20" i="16"/>
  <c r="J20" i="16"/>
  <c r="H20" i="16"/>
  <c r="G20" i="16"/>
  <c r="N19" i="16"/>
  <c r="M19" i="16"/>
  <c r="K19" i="16"/>
  <c r="J19" i="16"/>
  <c r="H19" i="16"/>
  <c r="G19" i="16"/>
  <c r="N18" i="16"/>
  <c r="M18" i="16"/>
  <c r="K18" i="16"/>
  <c r="J18" i="16"/>
  <c r="H18" i="16"/>
  <c r="G18" i="16"/>
  <c r="N17" i="16"/>
  <c r="M17" i="16"/>
  <c r="K17" i="16"/>
  <c r="J17" i="16"/>
  <c r="H17" i="16"/>
  <c r="G17" i="16"/>
  <c r="N16" i="16"/>
  <c r="M16" i="16"/>
  <c r="K16" i="16"/>
  <c r="J16" i="16"/>
  <c r="H16" i="16"/>
  <c r="G16" i="16"/>
  <c r="N15" i="16"/>
  <c r="M15" i="16"/>
  <c r="K15" i="16"/>
  <c r="J15" i="16"/>
  <c r="H15" i="16"/>
  <c r="G15" i="16"/>
  <c r="N14" i="16"/>
  <c r="M14" i="16"/>
  <c r="K14" i="16"/>
  <c r="J14" i="16"/>
  <c r="H14" i="16"/>
  <c r="G14" i="16"/>
  <c r="N13" i="16"/>
  <c r="M13" i="16"/>
  <c r="K13" i="16"/>
  <c r="J13" i="16"/>
  <c r="H13" i="16"/>
  <c r="G13" i="16"/>
  <c r="N12" i="16"/>
  <c r="M12" i="16"/>
  <c r="K12" i="16"/>
  <c r="J12" i="16"/>
  <c r="H12" i="16"/>
  <c r="G12" i="16"/>
  <c r="N11" i="16"/>
  <c r="M11" i="16"/>
  <c r="K11" i="16"/>
  <c r="J11" i="16"/>
  <c r="H11" i="16"/>
  <c r="G11" i="16"/>
  <c r="N10" i="16"/>
  <c r="M10" i="16"/>
  <c r="K10" i="16"/>
  <c r="J10" i="16"/>
  <c r="H10" i="16"/>
  <c r="G10" i="16"/>
  <c r="N9" i="16"/>
  <c r="M9" i="16"/>
  <c r="K9" i="16"/>
  <c r="J9" i="16"/>
  <c r="H9" i="16"/>
  <c r="G9" i="16"/>
  <c r="N8" i="16"/>
  <c r="M8" i="16"/>
  <c r="K8" i="16"/>
  <c r="J8" i="16"/>
  <c r="H8" i="16"/>
  <c r="G8" i="16"/>
  <c r="N7" i="16"/>
  <c r="M7" i="16"/>
  <c r="K7" i="16"/>
  <c r="J7" i="16"/>
  <c r="H7" i="16"/>
  <c r="G7" i="16"/>
  <c r="N6" i="16"/>
  <c r="M6" i="16"/>
  <c r="K6" i="16"/>
  <c r="J6" i="16"/>
  <c r="H6" i="16"/>
  <c r="G6" i="16"/>
  <c r="N5" i="16"/>
  <c r="M5" i="16"/>
  <c r="K5" i="16"/>
  <c r="J5" i="16"/>
  <c r="H5" i="16"/>
  <c r="G5" i="16"/>
  <c r="N4" i="16"/>
  <c r="M4" i="16"/>
  <c r="K4" i="16"/>
  <c r="J4" i="16"/>
  <c r="H4" i="16"/>
  <c r="G4" i="16"/>
  <c r="BE13" i="16" l="1"/>
  <c r="BE91" i="16"/>
  <c r="AS51" i="16"/>
  <c r="AS89" i="16"/>
  <c r="AS105" i="16"/>
  <c r="AS77" i="16"/>
  <c r="AS49" i="16"/>
  <c r="AS84" i="16"/>
  <c r="BE10" i="16"/>
  <c r="AM51" i="16"/>
  <c r="AM105" i="16"/>
  <c r="AM76" i="16"/>
  <c r="BB68" i="16"/>
  <c r="AM55" i="16"/>
  <c r="BB77" i="16"/>
  <c r="O35" i="16"/>
  <c r="AS54" i="16"/>
  <c r="AM79" i="16"/>
  <c r="AS92" i="16"/>
  <c r="BH6" i="16"/>
  <c r="AP55" i="16"/>
  <c r="AP74" i="16"/>
  <c r="AS55" i="16"/>
  <c r="AS74" i="16"/>
  <c r="AM80" i="16"/>
  <c r="AS93" i="16"/>
  <c r="AM99" i="16"/>
  <c r="BB13" i="16"/>
  <c r="AS50" i="16"/>
  <c r="AS88" i="16"/>
  <c r="AS104" i="16"/>
  <c r="BE78" i="16"/>
  <c r="BB74" i="16"/>
  <c r="BB99" i="16"/>
  <c r="X17" i="16"/>
  <c r="AM49" i="16"/>
  <c r="AS78" i="16"/>
  <c r="AM103" i="16"/>
  <c r="BH11" i="16"/>
  <c r="BB82" i="16"/>
  <c r="AS60" i="16"/>
  <c r="AM88" i="16"/>
  <c r="AS100" i="16"/>
  <c r="BE18" i="16"/>
  <c r="AM52" i="16"/>
  <c r="BH8" i="16"/>
  <c r="BB92" i="16"/>
  <c r="BE14" i="16"/>
  <c r="BB20" i="16"/>
  <c r="AM47" i="16"/>
  <c r="AM63" i="16"/>
  <c r="AS95" i="16"/>
  <c r="BH9" i="16"/>
  <c r="AM58" i="16"/>
  <c r="AM96" i="16"/>
  <c r="BE74" i="16"/>
  <c r="AS82" i="16"/>
  <c r="BB5" i="16"/>
  <c r="BE69" i="16"/>
  <c r="AS81" i="16"/>
  <c r="AP53" i="16"/>
  <c r="BB75" i="16"/>
  <c r="AM59" i="16"/>
  <c r="AM78" i="16"/>
  <c r="AS91" i="16"/>
  <c r="AM73" i="16"/>
  <c r="AM92" i="16"/>
  <c r="AP73" i="16"/>
  <c r="BE6" i="16"/>
  <c r="AM90" i="16"/>
  <c r="AP49" i="16"/>
  <c r="BB95" i="16"/>
  <c r="AS79" i="16"/>
  <c r="AS98" i="16"/>
  <c r="AS103" i="16"/>
  <c r="AS75" i="16"/>
  <c r="AS97" i="16"/>
  <c r="AD13" i="16"/>
  <c r="BH7" i="16"/>
  <c r="AS46" i="16"/>
  <c r="BH92" i="16"/>
  <c r="BH4" i="16"/>
  <c r="AS59" i="16"/>
  <c r="AS73" i="16"/>
  <c r="AS69" i="16"/>
  <c r="BH17" i="16"/>
  <c r="BH12" i="16"/>
  <c r="BH77" i="16"/>
  <c r="BH72" i="16"/>
  <c r="BH91" i="16"/>
  <c r="BH67" i="16"/>
  <c r="BH83" i="16"/>
  <c r="BH102" i="16"/>
  <c r="AS48" i="16"/>
  <c r="BH68" i="16"/>
  <c r="BH84" i="16"/>
  <c r="BH103" i="16"/>
  <c r="BH20" i="16"/>
  <c r="BH98" i="16"/>
  <c r="AD25" i="16"/>
  <c r="AD79" i="16"/>
  <c r="BH15" i="16"/>
  <c r="AS83" i="16"/>
  <c r="BH69" i="16"/>
  <c r="BH80" i="16"/>
  <c r="O36" i="16"/>
  <c r="AS68" i="16"/>
  <c r="BH75" i="16"/>
  <c r="BH95" i="16"/>
  <c r="O11" i="16"/>
  <c r="AS72" i="16"/>
  <c r="BH82" i="16"/>
  <c r="BH90" i="16"/>
  <c r="AS67" i="16"/>
  <c r="BH19" i="16"/>
  <c r="BH14" i="16"/>
  <c r="AD7" i="16"/>
  <c r="AD26" i="16"/>
  <c r="AS96" i="16"/>
  <c r="AS101" i="16"/>
  <c r="BH101" i="16"/>
  <c r="AS90" i="16"/>
  <c r="BH96" i="16"/>
  <c r="BH78" i="16"/>
  <c r="BH73" i="16"/>
  <c r="BH10" i="16"/>
  <c r="AS102" i="16"/>
  <c r="BH5" i="16"/>
  <c r="BH97" i="16"/>
  <c r="BH79" i="16"/>
  <c r="BH21" i="16"/>
  <c r="BH74" i="16"/>
  <c r="AS56" i="16"/>
  <c r="AS61" i="16"/>
  <c r="BH16" i="16"/>
  <c r="O57" i="16"/>
  <c r="AS80" i="16"/>
  <c r="BH93" i="16"/>
  <c r="AS70" i="16"/>
  <c r="BH88" i="16"/>
  <c r="AS47" i="16"/>
  <c r="BH70" i="16"/>
  <c r="AS57" i="16"/>
  <c r="AS62" i="16"/>
  <c r="AS52" i="16"/>
  <c r="AD21" i="16"/>
  <c r="AS76" i="16"/>
  <c r="AS94" i="16"/>
  <c r="AS99" i="16"/>
  <c r="BH99" i="16"/>
  <c r="BH104" i="16"/>
  <c r="BH94" i="16"/>
  <c r="AS71" i="16"/>
  <c r="BH76" i="16"/>
  <c r="BH81" i="16"/>
  <c r="BH89" i="16"/>
  <c r="AS58" i="16"/>
  <c r="AS63" i="16"/>
  <c r="BH18" i="16"/>
  <c r="BH71" i="16"/>
  <c r="O59" i="16"/>
  <c r="O97" i="16"/>
  <c r="AS53" i="16"/>
  <c r="BH13" i="16"/>
  <c r="BH100" i="16"/>
  <c r="BH105" i="16"/>
  <c r="L50" i="16"/>
  <c r="BE83" i="16"/>
  <c r="BE89" i="16"/>
  <c r="BE72" i="16"/>
  <c r="AP91" i="16"/>
  <c r="AP68" i="16"/>
  <c r="AP60" i="16"/>
  <c r="BE15" i="16"/>
  <c r="AP84" i="16"/>
  <c r="AP61" i="16"/>
  <c r="AP57" i="16"/>
  <c r="AP89" i="16"/>
  <c r="BE94" i="16"/>
  <c r="L42" i="16"/>
  <c r="AA32" i="16"/>
  <c r="AP97" i="16"/>
  <c r="BE5" i="16"/>
  <c r="BE102" i="16"/>
  <c r="AP79" i="16"/>
  <c r="BE79" i="16"/>
  <c r="AP51" i="16"/>
  <c r="AP103" i="16"/>
  <c r="AP80" i="16"/>
  <c r="AP98" i="16"/>
  <c r="BE98" i="16"/>
  <c r="BE103" i="16"/>
  <c r="AP93" i="16"/>
  <c r="BE80" i="16"/>
  <c r="BE7" i="16"/>
  <c r="L15" i="16"/>
  <c r="AA21" i="16"/>
  <c r="AP99" i="16"/>
  <c r="BE104" i="16"/>
  <c r="AP95" i="16"/>
  <c r="BE67" i="16"/>
  <c r="AP59" i="16"/>
  <c r="AP69" i="16"/>
  <c r="BE21" i="16"/>
  <c r="AP102" i="16"/>
  <c r="AP70" i="16"/>
  <c r="BE12" i="16"/>
  <c r="BE75" i="16"/>
  <c r="AP77" i="16"/>
  <c r="AP105" i="16"/>
  <c r="BE9" i="16"/>
  <c r="BE19" i="16"/>
  <c r="BE82" i="16"/>
  <c r="AP47" i="16"/>
  <c r="AP75" i="16"/>
  <c r="BE73" i="16"/>
  <c r="BE11" i="16"/>
  <c r="BE16" i="16"/>
  <c r="AP58" i="16"/>
  <c r="AP104" i="16"/>
  <c r="AP100" i="16"/>
  <c r="BE8" i="16"/>
  <c r="AP50" i="16"/>
  <c r="AP96" i="16"/>
  <c r="BE99" i="16"/>
  <c r="AP92" i="16"/>
  <c r="AP56" i="16"/>
  <c r="BE90" i="16"/>
  <c r="AP94" i="16"/>
  <c r="AP54" i="16"/>
  <c r="BE96" i="16"/>
  <c r="BE101" i="16"/>
  <c r="AP67" i="16"/>
  <c r="AP72" i="16"/>
  <c r="AP82" i="16"/>
  <c r="AP90" i="16"/>
  <c r="L56" i="16"/>
  <c r="BE84" i="16"/>
  <c r="BE97" i="16"/>
  <c r="BE17" i="16"/>
  <c r="BE92" i="16"/>
  <c r="AP78" i="16"/>
  <c r="AP83" i="16"/>
  <c r="BE70" i="16"/>
  <c r="AA14" i="16"/>
  <c r="AA52" i="16"/>
  <c r="AP46" i="16"/>
  <c r="BE88" i="16"/>
  <c r="BE93" i="16"/>
  <c r="AP101" i="16"/>
  <c r="BE4" i="16"/>
  <c r="BE71" i="16"/>
  <c r="BE76" i="16"/>
  <c r="AA67" i="16"/>
  <c r="AP52" i="16"/>
  <c r="BE81" i="16"/>
  <c r="BE77" i="16"/>
  <c r="AA16" i="16"/>
  <c r="AP62" i="16"/>
  <c r="AP48" i="16"/>
  <c r="AP88" i="16"/>
  <c r="L54" i="16"/>
  <c r="L92" i="16"/>
  <c r="AA6" i="16"/>
  <c r="AA25" i="16"/>
  <c r="AA60" i="16"/>
  <c r="BE20" i="16"/>
  <c r="BE95" i="16"/>
  <c r="BE100" i="16"/>
  <c r="BE68" i="16"/>
  <c r="BE105" i="16"/>
  <c r="L49" i="16"/>
  <c r="L68" i="16"/>
  <c r="AP63" i="16"/>
  <c r="AP71" i="16"/>
  <c r="AP76" i="16"/>
  <c r="AP81" i="16"/>
  <c r="AM60" i="16"/>
  <c r="BB78" i="16"/>
  <c r="BB21" i="16"/>
  <c r="BB7" i="16"/>
  <c r="BB79" i="16"/>
  <c r="BB70" i="16"/>
  <c r="BB93" i="16"/>
  <c r="AM69" i="16"/>
  <c r="AM74" i="16"/>
  <c r="AM62" i="16"/>
  <c r="BB10" i="16"/>
  <c r="AM98" i="16"/>
  <c r="AM71" i="16"/>
  <c r="X70" i="16"/>
  <c r="AM67" i="16"/>
  <c r="BB12" i="16"/>
  <c r="I38" i="16"/>
  <c r="AM100" i="16"/>
  <c r="BB17" i="16"/>
  <c r="AM56" i="16"/>
  <c r="BB97" i="16"/>
  <c r="BB18" i="16"/>
  <c r="AM84" i="16"/>
  <c r="BB88" i="16"/>
  <c r="X35" i="16"/>
  <c r="I5" i="16"/>
  <c r="AM75" i="16"/>
  <c r="BB67" i="16"/>
  <c r="BB94" i="16"/>
  <c r="AM93" i="16"/>
  <c r="I98" i="16"/>
  <c r="X42" i="16"/>
  <c r="BB100" i="16"/>
  <c r="AM94" i="16"/>
  <c r="BB73" i="16"/>
  <c r="I18" i="16"/>
  <c r="AM50" i="16"/>
  <c r="AM104" i="16"/>
  <c r="BB16" i="16"/>
  <c r="I105" i="16"/>
  <c r="X76" i="16"/>
  <c r="BB101" i="16"/>
  <c r="I68" i="16"/>
  <c r="AM97" i="16"/>
  <c r="BB84" i="16"/>
  <c r="I41" i="16"/>
  <c r="BB9" i="16"/>
  <c r="AM102" i="16"/>
  <c r="BB14" i="16"/>
  <c r="AM54" i="16"/>
  <c r="BB80" i="16"/>
  <c r="BB102" i="16"/>
  <c r="BB71" i="16"/>
  <c r="AM81" i="16"/>
  <c r="BB19" i="16"/>
  <c r="BB76" i="16"/>
  <c r="AM72" i="16"/>
  <c r="BB15" i="16"/>
  <c r="BB98" i="16"/>
  <c r="AM89" i="16"/>
  <c r="BB6" i="16"/>
  <c r="BB72" i="16"/>
  <c r="BB81" i="16"/>
  <c r="BB103" i="16"/>
  <c r="AM46" i="16"/>
  <c r="AM77" i="16"/>
  <c r="BB89" i="16"/>
  <c r="X63" i="16"/>
  <c r="AM68" i="16"/>
  <c r="AM82" i="16"/>
  <c r="BB11" i="16"/>
  <c r="X72" i="16"/>
  <c r="AM95" i="16"/>
  <c r="BB90" i="16"/>
  <c r="BB104" i="16"/>
  <c r="AM61" i="16"/>
  <c r="AM83" i="16"/>
  <c r="I72" i="16"/>
  <c r="AM57" i="16"/>
  <c r="AM91" i="16"/>
  <c r="BB69" i="16"/>
  <c r="BB83" i="16"/>
  <c r="I29" i="16"/>
  <c r="BB91" i="16"/>
  <c r="BB105" i="16"/>
  <c r="AM48" i="16"/>
  <c r="X30" i="16"/>
  <c r="BB8" i="16"/>
  <c r="AM53" i="16"/>
  <c r="AM70" i="16"/>
  <c r="AM101" i="16"/>
  <c r="BB4" i="16"/>
  <c r="BB96" i="16"/>
  <c r="L103" i="16"/>
  <c r="AD6" i="16"/>
  <c r="AA55" i="16"/>
  <c r="AD60" i="16"/>
  <c r="X69" i="16"/>
  <c r="L25" i="16"/>
  <c r="O6" i="16"/>
  <c r="L79" i="16"/>
  <c r="AD17" i="16"/>
  <c r="L17" i="16"/>
  <c r="O25" i="16"/>
  <c r="L55" i="16"/>
  <c r="O60" i="16"/>
  <c r="I7" i="16"/>
  <c r="I69" i="16"/>
  <c r="L93" i="16"/>
  <c r="I104" i="16"/>
  <c r="AD50" i="16"/>
  <c r="L31" i="16"/>
  <c r="I61" i="16"/>
  <c r="O31" i="16"/>
  <c r="O69" i="16"/>
  <c r="O104" i="16"/>
  <c r="X19" i="16"/>
  <c r="AD81" i="16"/>
  <c r="O13" i="16"/>
  <c r="O32" i="16"/>
  <c r="L62" i="16"/>
  <c r="O70" i="16"/>
  <c r="I33" i="16"/>
  <c r="O46" i="16"/>
  <c r="O81" i="16"/>
  <c r="AA28" i="16"/>
  <c r="X39" i="16"/>
  <c r="AA15" i="16"/>
  <c r="AD20" i="16"/>
  <c r="O4" i="16"/>
  <c r="L34" i="16"/>
  <c r="O39" i="16"/>
  <c r="L53" i="16"/>
  <c r="O58" i="16"/>
  <c r="I67" i="16"/>
  <c r="L91" i="16"/>
  <c r="X54" i="16"/>
  <c r="AA59" i="16"/>
  <c r="X73" i="16"/>
  <c r="AD40" i="16"/>
  <c r="AD78" i="16"/>
  <c r="O29" i="16"/>
  <c r="I54" i="16"/>
  <c r="L78" i="16"/>
  <c r="O83" i="16"/>
  <c r="AA30" i="16"/>
  <c r="AA49" i="16"/>
  <c r="I84" i="16"/>
  <c r="I70" i="16"/>
  <c r="L75" i="16"/>
  <c r="I94" i="16"/>
  <c r="X18" i="16"/>
  <c r="AA26" i="16"/>
  <c r="L46" i="16"/>
  <c r="X13" i="16"/>
  <c r="X32" i="16"/>
  <c r="X37" i="16"/>
  <c r="L14" i="16"/>
  <c r="I28" i="16"/>
  <c r="L38" i="16"/>
  <c r="X8" i="16"/>
  <c r="I100" i="16"/>
  <c r="AA27" i="16"/>
  <c r="AA51" i="16"/>
  <c r="I95" i="16"/>
  <c r="AA75" i="16"/>
  <c r="I15" i="16"/>
  <c r="L20" i="16"/>
  <c r="O28" i="16"/>
  <c r="O76" i="16"/>
  <c r="O105" i="16"/>
  <c r="AA19" i="16"/>
  <c r="AA38" i="16"/>
  <c r="O20" i="16"/>
  <c r="L10" i="16"/>
  <c r="I77" i="16"/>
  <c r="AD19" i="16"/>
  <c r="AA33" i="16"/>
  <c r="AD38" i="16"/>
  <c r="X47" i="16"/>
  <c r="I101" i="16"/>
  <c r="AD33" i="16"/>
  <c r="AA47" i="16"/>
  <c r="O5" i="16"/>
  <c r="I16" i="16"/>
  <c r="O34" i="16"/>
  <c r="L48" i="16"/>
  <c r="X15" i="16"/>
  <c r="AD76" i="16"/>
  <c r="I6" i="16"/>
  <c r="L11" i="16"/>
  <c r="L16" i="16"/>
  <c r="O16" i="16"/>
  <c r="I25" i="16"/>
  <c r="L35" i="16"/>
  <c r="O40" i="16"/>
  <c r="I49" i="16"/>
  <c r="O89" i="16"/>
  <c r="O30" i="16"/>
  <c r="O54" i="16"/>
  <c r="I60" i="16"/>
  <c r="L97" i="16"/>
  <c r="L102" i="16"/>
  <c r="AA40" i="16"/>
  <c r="AD77" i="16"/>
  <c r="X83" i="16"/>
  <c r="I76" i="16"/>
  <c r="O73" i="16"/>
  <c r="L84" i="16"/>
  <c r="AA83" i="16"/>
  <c r="O17" i="16"/>
  <c r="I26" i="16"/>
  <c r="L36" i="16"/>
  <c r="O41" i="16"/>
  <c r="AD59" i="16"/>
  <c r="I42" i="16"/>
  <c r="O79" i="16"/>
  <c r="AD11" i="16"/>
  <c r="L18" i="16"/>
  <c r="X12" i="16"/>
  <c r="O18" i="16"/>
  <c r="O74" i="16"/>
  <c r="L88" i="16"/>
  <c r="O103" i="16"/>
  <c r="X31" i="16"/>
  <c r="AD41" i="16"/>
  <c r="X50" i="16"/>
  <c r="L32" i="16"/>
  <c r="I19" i="16"/>
  <c r="I46" i="16"/>
  <c r="AA31" i="16"/>
  <c r="AA74" i="16"/>
  <c r="I4" i="16"/>
  <c r="AD37" i="16"/>
  <c r="AA61" i="16"/>
  <c r="AA69" i="16"/>
  <c r="O26" i="16"/>
  <c r="X56" i="16"/>
  <c r="I9" i="16"/>
  <c r="O49" i="16"/>
  <c r="O72" i="16"/>
  <c r="O77" i="16"/>
  <c r="I83" i="16"/>
  <c r="O95" i="16"/>
  <c r="X4" i="16"/>
  <c r="X9" i="16"/>
  <c r="X38" i="16"/>
  <c r="AA46" i="16"/>
  <c r="AA56" i="16"/>
  <c r="X80" i="16"/>
  <c r="L9" i="16"/>
  <c r="L19" i="16"/>
  <c r="L27" i="16"/>
  <c r="L37" i="16"/>
  <c r="I50" i="16"/>
  <c r="I55" i="16"/>
  <c r="I73" i="16"/>
  <c r="I96" i="16"/>
  <c r="AA4" i="16"/>
  <c r="X75" i="16"/>
  <c r="O27" i="16"/>
  <c r="L60" i="16"/>
  <c r="L73" i="16"/>
  <c r="X28" i="16"/>
  <c r="AD46" i="16"/>
  <c r="X57" i="16"/>
  <c r="AD80" i="16"/>
  <c r="X52" i="16"/>
  <c r="AA62" i="16"/>
  <c r="AA70" i="16"/>
  <c r="I10" i="16"/>
  <c r="I20" i="16"/>
  <c r="O42" i="16"/>
  <c r="O50" i="16"/>
  <c r="O55" i="16"/>
  <c r="O68" i="16"/>
  <c r="O96" i="16"/>
  <c r="X5" i="16"/>
  <c r="AA57" i="16"/>
  <c r="AD62" i="16"/>
  <c r="AD75" i="16"/>
  <c r="I56" i="16"/>
  <c r="I79" i="16"/>
  <c r="I92" i="16"/>
  <c r="I97" i="16"/>
  <c r="I102" i="16"/>
  <c r="AA5" i="16"/>
  <c r="AA10" i="16"/>
  <c r="AD57" i="16"/>
  <c r="L33" i="16"/>
  <c r="I51" i="16"/>
  <c r="I74" i="16"/>
  <c r="AD10" i="16"/>
  <c r="X29" i="16"/>
  <c r="AA39" i="16"/>
  <c r="X58" i="16"/>
  <c r="X71" i="16"/>
  <c r="AA76" i="16"/>
  <c r="O33" i="16"/>
  <c r="O84" i="16"/>
  <c r="AA29" i="16"/>
  <c r="AD39" i="16"/>
  <c r="X53" i="16"/>
  <c r="I11" i="16"/>
  <c r="I21" i="16"/>
  <c r="O51" i="16"/>
  <c r="O92" i="16"/>
  <c r="O102" i="16"/>
  <c r="X6" i="16"/>
  <c r="X48" i="16"/>
  <c r="AA58" i="16"/>
  <c r="AA63" i="16"/>
  <c r="AD71" i="16"/>
  <c r="L21" i="16"/>
  <c r="L29" i="16"/>
  <c r="I57" i="16"/>
  <c r="I80" i="16"/>
  <c r="I93" i="16"/>
  <c r="AD58" i="16"/>
  <c r="X77" i="16"/>
  <c r="AA82" i="16"/>
  <c r="O21" i="16"/>
  <c r="L52" i="16"/>
  <c r="L57" i="16"/>
  <c r="L70" i="16"/>
  <c r="L80" i="16"/>
  <c r="AD48" i="16"/>
  <c r="X67" i="16"/>
  <c r="O62" i="16"/>
  <c r="L98" i="16"/>
  <c r="I30" i="16"/>
  <c r="O47" i="16"/>
  <c r="I63" i="16"/>
  <c r="X7" i="16"/>
  <c r="AA17" i="16"/>
  <c r="AD30" i="16"/>
  <c r="AD35" i="16"/>
  <c r="AA54" i="16"/>
  <c r="AD72" i="16"/>
  <c r="L30" i="16"/>
  <c r="X36" i="16"/>
  <c r="AA41" i="16"/>
  <c r="L7" i="16"/>
  <c r="L12" i="16"/>
  <c r="L58" i="16"/>
  <c r="I71" i="16"/>
  <c r="L81" i="16"/>
  <c r="I99" i="16"/>
  <c r="L104" i="16"/>
  <c r="AD12" i="16"/>
  <c r="AA36" i="16"/>
  <c r="AD49" i="16"/>
  <c r="X55" i="16"/>
  <c r="X68" i="16"/>
  <c r="AD83" i="16"/>
  <c r="L99" i="16"/>
  <c r="L100" i="16"/>
  <c r="I31" i="16"/>
  <c r="O48" i="16"/>
  <c r="AA18" i="16"/>
  <c r="I13" i="16"/>
  <c r="I36" i="16"/>
  <c r="I59" i="16"/>
  <c r="O71" i="16"/>
  <c r="I82" i="16"/>
  <c r="O99" i="16"/>
  <c r="AA13" i="16"/>
  <c r="AD31" i="16"/>
  <c r="AA50" i="16"/>
  <c r="AD68" i="16"/>
  <c r="AD73" i="16"/>
  <c r="L8" i="16"/>
  <c r="L13" i="16"/>
  <c r="L26" i="16"/>
  <c r="AA8" i="16"/>
  <c r="X27" i="16"/>
  <c r="AD42" i="16"/>
  <c r="AD55" i="16"/>
  <c r="X74" i="16"/>
  <c r="AA79" i="16"/>
  <c r="L47" i="16"/>
  <c r="I52" i="16"/>
  <c r="O56" i="16"/>
  <c r="I78" i="16"/>
  <c r="O82" i="16"/>
  <c r="L90" i="16"/>
  <c r="AA11" i="16"/>
  <c r="X16" i="16"/>
  <c r="AD32" i="16"/>
  <c r="AA37" i="16"/>
  <c r="I40" i="16"/>
  <c r="L61" i="16"/>
  <c r="X33" i="16"/>
  <c r="O90" i="16"/>
  <c r="L69" i="16"/>
  <c r="O78" i="16"/>
  <c r="L83" i="16"/>
  <c r="L95" i="16"/>
  <c r="AD16" i="16"/>
  <c r="X59" i="16"/>
  <c r="AD63" i="16"/>
  <c r="AD28" i="16"/>
  <c r="L5" i="16"/>
  <c r="O52" i="16"/>
  <c r="I62" i="16"/>
  <c r="I91" i="16"/>
  <c r="AA7" i="16"/>
  <c r="AA71" i="16"/>
  <c r="AA80" i="16"/>
  <c r="I48" i="16"/>
  <c r="O61" i="16"/>
  <c r="O14" i="16"/>
  <c r="I27" i="16"/>
  <c r="I53" i="16"/>
  <c r="L74" i="16"/>
  <c r="AA12" i="16"/>
  <c r="X46" i="16"/>
  <c r="X81" i="16"/>
  <c r="O100" i="16"/>
  <c r="L105" i="16"/>
  <c r="X34" i="16"/>
  <c r="X21" i="16"/>
  <c r="O10" i="16"/>
  <c r="O19" i="16"/>
  <c r="I58" i="16"/>
  <c r="O91" i="16"/>
  <c r="L96" i="16"/>
  <c r="X25" i="16"/>
  <c r="AD29" i="16"/>
  <c r="AD67" i="16"/>
  <c r="AA81" i="16"/>
  <c r="L40" i="16"/>
  <c r="I32" i="16"/>
  <c r="L41" i="16"/>
  <c r="O53" i="16"/>
  <c r="I75" i="16"/>
  <c r="AA34" i="16"/>
  <c r="X51" i="16"/>
  <c r="X60" i="16"/>
  <c r="AA72" i="16"/>
  <c r="L6" i="16"/>
  <c r="O15" i="16"/>
  <c r="I37" i="16"/>
  <c r="L101" i="16"/>
  <c r="AD8" i="16"/>
  <c r="AD34" i="16"/>
  <c r="AA68" i="16"/>
  <c r="AA77" i="16"/>
  <c r="X82" i="16"/>
  <c r="I14" i="16"/>
  <c r="L63" i="16"/>
  <c r="O75" i="16"/>
  <c r="O101" i="16"/>
  <c r="AD51" i="16"/>
  <c r="AD54" i="16"/>
  <c r="L28" i="16"/>
  <c r="O37" i="16"/>
  <c r="O63" i="16"/>
  <c r="I88" i="16"/>
  <c r="X26" i="16"/>
  <c r="L59" i="16"/>
  <c r="L71" i="16"/>
  <c r="O80" i="16"/>
  <c r="AD4" i="16"/>
  <c r="AA9" i="16"/>
  <c r="X14" i="16"/>
  <c r="AA35" i="16"/>
  <c r="X40" i="16"/>
  <c r="AD56" i="16"/>
  <c r="X61" i="16"/>
  <c r="AA73" i="16"/>
  <c r="X78" i="16"/>
  <c r="AD82" i="16"/>
  <c r="AD18" i="16"/>
  <c r="AD47" i="16"/>
  <c r="AA78" i="16"/>
  <c r="L76" i="16"/>
  <c r="I81" i="16"/>
  <c r="AD9" i="16"/>
  <c r="I12" i="16"/>
  <c r="L67" i="16"/>
  <c r="O88" i="16"/>
  <c r="O7" i="16"/>
  <c r="I17" i="16"/>
  <c r="X10" i="16"/>
  <c r="AD52" i="16"/>
  <c r="AD61" i="16"/>
  <c r="I8" i="16"/>
  <c r="I34" i="16"/>
  <c r="O38" i="16"/>
  <c r="O67" i="16"/>
  <c r="L72" i="16"/>
  <c r="I89" i="16"/>
  <c r="O93" i="16"/>
  <c r="I103" i="16"/>
  <c r="AD5" i="16"/>
  <c r="AD14" i="16"/>
  <c r="X41" i="16"/>
  <c r="AA48" i="16"/>
  <c r="X79" i="16"/>
  <c r="O9" i="16"/>
  <c r="O12" i="16"/>
  <c r="L89" i="16"/>
  <c r="X62" i="16"/>
  <c r="AD69" i="16"/>
  <c r="I39" i="16"/>
  <c r="L51" i="16"/>
  <c r="L77" i="16"/>
  <c r="O98" i="16"/>
  <c r="AD36" i="16"/>
  <c r="AA53" i="16"/>
  <c r="AD74" i="16"/>
  <c r="X84" i="16"/>
  <c r="AA42" i="16"/>
  <c r="L94" i="16"/>
  <c r="X20" i="16"/>
  <c r="AD27" i="16"/>
  <c r="L39" i="16"/>
  <c r="X49" i="16"/>
  <c r="AD53" i="16"/>
  <c r="AA84" i="16"/>
  <c r="L4" i="16"/>
  <c r="O8" i="16"/>
  <c r="I35" i="16"/>
  <c r="I47" i="16"/>
  <c r="L82" i="16"/>
  <c r="I90" i="16"/>
  <c r="O94" i="16"/>
  <c r="X11" i="16"/>
  <c r="AD15" i="16"/>
  <c r="AA20" i="16"/>
  <c r="AD70" i="16"/>
  <c r="AD8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tc={4540072A-C038-4C7D-9B6B-371F5A7E781F}</author>
    <author>tc={DCC28814-6557-4280-804D-D7E3EB11A520}</author>
    <author>tc={1C62411E-6FB0-4817-934B-80C456CD463A}</author>
  </authors>
  <commentList>
    <comment ref="C172" authorId="0" shapeId="0" xr:uid="{4540072A-C038-4C7D-9B6B-371F5A7E781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one is broken. Need to fix Cobalt 2040 SSP1 + VSI</t>
      </text>
    </comment>
    <comment ref="C193" authorId="1" shapeId="0" xr:uid="{DCC28814-6557-4280-804D-D7E3EB11A520}">
      <text>
        <t>[Threaded comment]
Your version of Excel allows you to read this threaded comment; however, any edits to it will get removed if the file is opened in a newer version of Excel. Learn more: https://go.microsoft.com/fwlink/?linkid=870924
Comment:
    31bda81a4c4a3a273f827fc8832f4da3</t>
      </text>
    </comment>
    <comment ref="C214" authorId="2" shapeId="0" xr:uid="{1C62411E-6FB0-4817-934B-80C456CD463A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ID
Reply:
    0b5870b08f744c37b54945c34adb7dcd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tc={02473ABE-69A0-418D-99D6-A1C3D07CD33D}</author>
    <author>tc={EC7C6E06-15A3-420A-9903-FAD196B2814A}</author>
    <author>tc={1AEC4ECA-EA8E-4387-9958-FEEF9BA4FA7F}</author>
  </authors>
  <commentList>
    <comment ref="AG4" authorId="0" shapeId="0" xr:uid="{02473ABE-69A0-418D-99D6-A1C3D07CD33D}">
      <text>
        <t>[Threaded comment]
Your version of Excel allows you to read this threaded comment; however, any edits to it will get removed if the file is opened in a newer version of Excel. Learn more: https://go.microsoft.com/fwlink/?linkid=870924
Comment:
    31bda81a4c4a3a273f827fc8832f4da3</t>
      </text>
    </comment>
    <comment ref="AG25" authorId="1" shapeId="0" xr:uid="{EC7C6E06-15A3-420A-9903-FAD196B2814A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ID
Reply:
    0b5870b08f744c37b54945c34adb7dcd</t>
      </text>
    </comment>
    <comment ref="R67" authorId="2" shapeId="0" xr:uid="{1AEC4ECA-EA8E-4387-9958-FEEF9BA4FA7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one is broken. Need to fix Cobalt 2040 SSP1 + VSI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tc={1E073126-F83A-4961-85B4-4245214CC3A2}</author>
    <author>tc={9040FA64-D99E-4D11-B3A9-F69E1199795D}</author>
    <author>tc={8C38BDA6-841B-40CC-AD8A-3828470AF672}</author>
  </authors>
  <commentList>
    <comment ref="R4" authorId="0" shapeId="0" xr:uid="{1E073126-F83A-4961-85B4-4245214CC3A2}">
      <text>
        <t>[Threaded comment]
Your version of Excel allows you to read this threaded comment; however, any edits to it will get removed if the file is opened in a newer version of Excel. Learn more: https://go.microsoft.com/fwlink/?linkid=870924
Comment:
    31bda81a4c4a3a273f827fc8832f4da3</t>
      </text>
    </comment>
    <comment ref="R25" authorId="1" shapeId="0" xr:uid="{9040FA64-D99E-4D11-B3A9-F69E1199795D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ID
Reply:
    0b5870b08f744c37b54945c34adb7dcd</t>
      </text>
    </comment>
    <comment ref="C109" authorId="2" shapeId="0" xr:uid="{8C38BDA6-841B-40CC-AD8A-3828470AF67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one is broken. Need to fix Cobalt 2040 SSP1 + VSI</t>
      </text>
    </comment>
  </commentList>
</comments>
</file>

<file path=xl/sharedStrings.xml><?xml version="1.0" encoding="utf-8"?>
<sst xmlns="http://schemas.openxmlformats.org/spreadsheetml/2006/main" count="36019" uniqueCount="219">
  <si>
    <t>SSP1</t>
  </si>
  <si>
    <t>SSP2</t>
  </si>
  <si>
    <t>SSP5</t>
  </si>
  <si>
    <t>Scenario</t>
  </si>
  <si>
    <t>EI38_cutoff_remind_SSP1-Base_2025_baseline</t>
  </si>
  <si>
    <t>EI38_cutoff_remind_SSP1-Base_2025_VSI</t>
  </si>
  <si>
    <t>EI38_cutoff_remind_SSP1-Base_2030_baseline</t>
  </si>
  <si>
    <t>EI38_cutoff_remind_SSP1-Base_2030_VSI</t>
  </si>
  <si>
    <t>EI38_cutoff_remind_SSP1-Base_2035_baseline</t>
  </si>
  <si>
    <t>EI38_cutoff_remind_SSP1-Base_2035_VSI</t>
  </si>
  <si>
    <t>EI38_cutoff_remind_SSP1-Base_2040_baseline</t>
  </si>
  <si>
    <t>EI38_cutoff_remind_SSP1-Base_2040_VSI</t>
  </si>
  <si>
    <t>EI38_cutoff_remind_SSP2-Base_2025_baseline</t>
  </si>
  <si>
    <t>EI38_cutoff_remind_SSP2-Base_2025_VSI</t>
  </si>
  <si>
    <t>EI38_cutoff_remind_SSP2-Base_2030_baseline</t>
  </si>
  <si>
    <t>EI38_cutoff_remind_SSP2-Base_2030_VSI</t>
  </si>
  <si>
    <t>EI38_cutoff_remind_SSP2-Base_2035_baseline</t>
  </si>
  <si>
    <t>EI38_cutoff_remind_SSP2-Base_2035_VSI</t>
  </si>
  <si>
    <t>EI38_cutoff_remind_SSP2-Base_2040_baseline</t>
  </si>
  <si>
    <t>EI38_cutoff_remind_SSP2-Base_2040_VSI</t>
  </si>
  <si>
    <t>EI38_cutoff_remind_SSP5-Base_2025_baseline</t>
  </si>
  <si>
    <t>EI38_cutoff_remind_SSP5-Base_2025_VSI</t>
  </si>
  <si>
    <t>EI38_cutoff_remind_SSP5-Base_2030_baseline</t>
  </si>
  <si>
    <t>EI38_cutoff_remind_SSP5-Base_2030_VSI</t>
  </si>
  <si>
    <t>EI38_cutoff_remind_SSP5-Base_2035_baseline</t>
  </si>
  <si>
    <t>EI38_cutoff_remind_SSP5-Base_2035_VSI</t>
  </si>
  <si>
    <t>EI38_cutoff_remind_SSP5-Base_2040_baseline</t>
  </si>
  <si>
    <t>EI38_cutoff_remind_SSP5-Base_2040_VSI</t>
  </si>
  <si>
    <t>Database</t>
  </si>
  <si>
    <t>Year</t>
  </si>
  <si>
    <t>Activity</t>
  </si>
  <si>
    <t>Method</t>
  </si>
  <si>
    <t>Score Before</t>
  </si>
  <si>
    <t>Score After</t>
  </si>
  <si>
    <t>Difference</t>
  </si>
  <si>
    <t>Percentage Change</t>
  </si>
  <si>
    <t>activity_id</t>
  </si>
  <si>
    <t>platinum group metal mine operation, ore with high palladium content</t>
  </si>
  <si>
    <t>('ReCiPe Midpoint (H)', 'terrestrial ecotoxicity', 'TETPinf')</t>
  </si>
  <si>
    <t>7b370e739f88f9729064638bf7210c78</t>
  </si>
  <si>
    <t>('ReCiPe Midpoint (H)', 'natural land transformation', 'NLTP')</t>
  </si>
  <si>
    <t>('ReCiPe Midpoint (H)', 'photochemical oxidant formation', 'POFP')</t>
  </si>
  <si>
    <t>('ReCiPe Midpoint (H)', 'human toxicity', 'HTPinf')</t>
  </si>
  <si>
    <t>('ReCiPe Midpoint (H)', 'marine eutrophication', 'MEP')</t>
  </si>
  <si>
    <t>('ReCiPe Midpoint (H)', 'climate change', 'GWP100')</t>
  </si>
  <si>
    <t>('ReCiPe Midpoint (H)', 'particulate matter formation', 'PMFP')</t>
  </si>
  <si>
    <t>('ReCiPe Midpoint (H)', 'agricultural land occupation', 'ALOP')</t>
  </si>
  <si>
    <t>('ReCiPe Midpoint (H)', 'freshwater eutrophication', 'FEP')</t>
  </si>
  <si>
    <t>('ReCiPe Midpoint (H)', 'metal depletion', 'MDP')</t>
  </si>
  <si>
    <t>('ReCiPe Midpoint (H)', 'terrestrial acidification', 'TAP100')</t>
  </si>
  <si>
    <t>('ReCiPe Midpoint (H)', 'water depletion', 'WDP')</t>
  </si>
  <si>
    <t>('ReCiPe Midpoint (H)', 'urban land occupation', 'ULOP')</t>
  </si>
  <si>
    <t>('ReCiPe Midpoint (H)', 'ionising radiation', 'IRP_HE')</t>
  </si>
  <si>
    <t>('ReCiPe Midpoint (H)', 'fossil depletion', 'FDP')</t>
  </si>
  <si>
    <t>('ReCiPe Midpoint (H)', 'freshwater ecotoxicity', 'FETPinf')</t>
  </si>
  <si>
    <t>('ReCiPe Midpoint (H)', 'marine ecotoxicity', 'METPinf')</t>
  </si>
  <si>
    <t>('ReCiPe Midpoint (H)', 'ozone depletion', 'ODPinf')</t>
  </si>
  <si>
    <t>nickel mine operation and benefication to nickel concentrate, 16% Ni</t>
  </si>
  <si>
    <t>ecc38c81906feff810d89bb6c123560a</t>
  </si>
  <si>
    <t>processing of nickel-rich materials</t>
  </si>
  <si>
    <t>f5ec689f258fc22994162fe53b025b0d</t>
  </si>
  <si>
    <t>smelting and refining of nickel concentrate, 16% Ni</t>
  </si>
  <si>
    <t>b2ab8da844b26789a68138f5eebc21eb</t>
  </si>
  <si>
    <t>nickel mine operation and benefication to nickel concentrate, 7% Ni</t>
  </si>
  <si>
    <t>fb970e38e35ff930ea6ca1865d33cc52</t>
  </si>
  <si>
    <t>smelting and refining of nickel concentrate, 7% Ni</t>
  </si>
  <si>
    <t>3dd23e526c5de9474538ce20d43a402f</t>
  </si>
  <si>
    <t>cobalt production</t>
  </si>
  <si>
    <t>d0953092b5b10c411f947eb33b8f4add</t>
  </si>
  <si>
    <t>spodumene production</t>
  </si>
  <si>
    <t>31bda81a4c4a3a273f827fc8832f4da3</t>
  </si>
  <si>
    <t>0b5870b08f744c37b54945c34adb7dcd</t>
  </si>
  <si>
    <t>lithium carbonate production, from spodumene</t>
  </si>
  <si>
    <t>adfb686ff68d3eac8aaa5ea0cb3c169e</t>
  </si>
  <si>
    <t>lithium brine inspissation</t>
  </si>
  <si>
    <t>d0617f6353f60771cfb7dcdfe6c78ee1</t>
  </si>
  <si>
    <t>lithium carbonate production, from concentrated brine</t>
  </si>
  <si>
    <t>4bcdd0870049fd3b15b4cfa1b4ed580f</t>
  </si>
  <si>
    <t>manganese concentrate production</t>
  </si>
  <si>
    <t>52112ff78d75aabf60bd4b63055d0a61</t>
  </si>
  <si>
    <t>manganese(III) oxide production</t>
  </si>
  <si>
    <t>dc75ef318dcef071d7f6c578aba30921</t>
  </si>
  <si>
    <t>3d908539006e39885946109381e53214</t>
  </si>
  <si>
    <t>manganese dioxide production</t>
  </si>
  <si>
    <t>4c6809146c7ded41c88cfcb01111a595</t>
  </si>
  <si>
    <t>manganese sulfate production</t>
  </si>
  <si>
    <t>ac80cf413845bda6587f576899e27405</t>
  </si>
  <si>
    <t>TETPinf</t>
  </si>
  <si>
    <t>NLTP</t>
  </si>
  <si>
    <t>POFP</t>
  </si>
  <si>
    <t>HTPinf</t>
  </si>
  <si>
    <t>MEP</t>
  </si>
  <si>
    <t>GWP100</t>
  </si>
  <si>
    <t>PMFP</t>
  </si>
  <si>
    <t>ALOP</t>
  </si>
  <si>
    <t>FEP</t>
  </si>
  <si>
    <t>MDP</t>
  </si>
  <si>
    <t>TAP100</t>
  </si>
  <si>
    <t>WDP</t>
  </si>
  <si>
    <t>ULOP</t>
  </si>
  <si>
    <t>IRP_HE</t>
  </si>
  <si>
    <t>FDP</t>
  </si>
  <si>
    <t>FETPinf</t>
  </si>
  <si>
    <t>METPinf</t>
  </si>
  <si>
    <t>ODPinf</t>
  </si>
  <si>
    <t>Impact Mitigation</t>
  </si>
  <si>
    <t>Impact Category</t>
  </si>
  <si>
    <t>Δ%</t>
  </si>
  <si>
    <t>SSP1 + VSI</t>
  </si>
  <si>
    <t>SSP2 + VSI</t>
  </si>
  <si>
    <t>SSP5 + VSI</t>
  </si>
  <si>
    <t>cobalt production (GLO)</t>
  </si>
  <si>
    <t>platinum group metal mine operation, ore with high palladium content (RU)</t>
  </si>
  <si>
    <t>nickel mine operation and benefication to nickel concentrate, 16% Ni (CA-QC)</t>
  </si>
  <si>
    <t>processing of nickel-rich materials (GLO)</t>
  </si>
  <si>
    <t>smelting and refining of nickel concentrate, 16% Ni (GLO)</t>
  </si>
  <si>
    <t>nickel mine operation and benefication to nickel concentrate, 7% Ni (CN)</t>
  </si>
  <si>
    <t>smelting and refining of nickel concentrate, 7% Ni (CN)</t>
  </si>
  <si>
    <t>spodumene production (AU)</t>
  </si>
  <si>
    <t>spodumene production (RoW)</t>
  </si>
  <si>
    <t>lithium carbonate production, from spodumene (CN)</t>
  </si>
  <si>
    <t>lithium brine inspissation (GLO)</t>
  </si>
  <si>
    <t>lithium carbonate production, from concentrated brine (GLO)</t>
  </si>
  <si>
    <t>manganese concentrate production (GLO)</t>
  </si>
  <si>
    <t>manganese dioxide production (GLO)</t>
  </si>
  <si>
    <t>platinum group metal, mine and concentration operations</t>
  </si>
  <si>
    <t>9f9aaa855cf07859c28cb6fc84e3a2fd</t>
  </si>
  <si>
    <t>platinum group metal, extraction and refinery operations</t>
  </si>
  <si>
    <t>bde92d093e012fc74b4cf23bd73869be</t>
  </si>
  <si>
    <t>platinum group metal, mine and concentration operations (ZA)</t>
  </si>
  <si>
    <t>platinum group metal, extraction and refinery operations (ZA)</t>
  </si>
  <si>
    <t>ID</t>
  </si>
  <si>
    <t>manganese(III) oxide production (CN)</t>
  </si>
  <si>
    <t>manganese(III) oxide production (RoW</t>
  </si>
  <si>
    <t>manganese sulfate production (GLO)</t>
  </si>
  <si>
    <t>IAM</t>
  </si>
  <si>
    <t>('IPCC 2013', 'climate change', 'GWP 100a, incl. H and bio CO2')</t>
  </si>
  <si>
    <t>Δ</t>
  </si>
  <si>
    <t>Δ (2025)</t>
  </si>
  <si>
    <t>Δ (2030)</t>
  </si>
  <si>
    <t>Δ (2035)</t>
  </si>
  <si>
    <t>Δ (2040)</t>
  </si>
  <si>
    <t>index</t>
  </si>
  <si>
    <t>amount</t>
  </si>
  <si>
    <t>unit</t>
  </si>
  <si>
    <t>reference product</t>
  </si>
  <si>
    <t>name</t>
  </si>
  <si>
    <t>location</t>
  </si>
  <si>
    <t>database</t>
  </si>
  <si>
    <t>IPCC 2013 | climate change | GWP 100a, incl. H and bio CO2</t>
  </si>
  <si>
    <t>ReCiPe Midpoint (H) | freshwater ecotoxicity | FETPinf</t>
  </si>
  <si>
    <t>ReCiPe Midpoint (H) | freshwater eutrophication | FEP</t>
  </si>
  <si>
    <t>ReCiPe Midpoint (H) | human toxicity | HTPinf</t>
  </si>
  <si>
    <t>ReCiPe Midpoint (H) | marine ecotoxicity | METPinf</t>
  </si>
  <si>
    <t>ReCiPe Midpoint (H) | marine eutrophication | MEP</t>
  </si>
  <si>
    <t>ReCiPe Midpoint (H) | particulate matter formation | PMFP</t>
  </si>
  <si>
    <t>ReCiPe Midpoint (H) | photochemical oxidant formation | POFP</t>
  </si>
  <si>
    <t>ReCiPe Midpoint (H) | terrestrial acidification | TAP100</t>
  </si>
  <si>
    <t>ReCiPe Midpoint (H) | terrestrial ecotoxicity | TETPinf</t>
  </si>
  <si>
    <t>NMC111 oxide | NMC111 oxide production, for Li-ion battery | CN | kilogram | EI38_cutoff_remind_SSP1-Base_2025_baseline</t>
  </si>
  <si>
    <t>kilogram</t>
  </si>
  <si>
    <t>NMC111 oxide</t>
  </si>
  <si>
    <t>NMC111 oxide production, for Li-ion battery</t>
  </si>
  <si>
    <t>CN</t>
  </si>
  <si>
    <t>NMC111 oxide | NMC111 oxide production, for Li-ion battery | CN | kilogram | EI38_cutoff_remind_SSP1-Base_2025_VSI</t>
  </si>
  <si>
    <t>NMC111 oxide | NMC111 oxide production, for Li-ion battery | CN | kilogram | EI38_cutoff_remind_SSP1-Base_2040_baseline</t>
  </si>
  <si>
    <t>NMC111 oxide | NMC111 oxide production, for Li-ion battery | CN | kilogram | EI38_cutoff_remind_SSP1-Base_2040_VSI</t>
  </si>
  <si>
    <t>NMC111 oxide | NMC111 oxide production, for Li-ion battery | CN | kilogram | EI38_cutoff_remind_SSP2-Base_2025_baseline</t>
  </si>
  <si>
    <t>NMC111 oxide | NMC111 oxide production, for Li-ion battery | CN | kilogram | EI38_cutoff_remind_SSP2-Base_2025_VSI</t>
  </si>
  <si>
    <t>NMC111 oxide | NMC111 oxide production, for Li-ion battery | CN | kilogram | EI38_cutoff_remind_SSP2-Base_2040_baseline</t>
  </si>
  <si>
    <t>NMC111 oxide | NMC111 oxide production, for Li-ion battery | CN | kilogram | EI38_cutoff_remind_SSP2-Base_2040_VSI</t>
  </si>
  <si>
    <t>NMC111 oxide | NMC111 oxide production, for Li-ion battery | CN | kilogram | EI38_cutoff_remind_SSP5-Base_2025_baseline</t>
  </si>
  <si>
    <t>NMC111 oxide | NMC111 oxide production, for Li-ion battery | CN | kilogram | EI38_cutoff_remind_SSP5-Base_2025_VSI</t>
  </si>
  <si>
    <t>NMC111 oxide | NMC111 oxide production, for Li-ion battery | CN | kilogram | EI38_cutoff_remind_SSP5-Base_2040_baseline</t>
  </si>
  <si>
    <t>NMC111 oxide | NMC111 oxide production, for Li-ion battery | CN | kilogram | EI38_cutoff_remind_SSP5-Base_2040_VSI</t>
  </si>
  <si>
    <t>Base</t>
  </si>
  <si>
    <t>VSI</t>
  </si>
  <si>
    <t>ReCiPe Midpoint (H) | agricultural land occupation | ALOP</t>
  </si>
  <si>
    <t>ReCiPe Midpoint (H) | fossil depletion | FDP</t>
  </si>
  <si>
    <t>ReCiPe Midpoint (H) | ionising radiation | IRP_HE</t>
  </si>
  <si>
    <t>ReCiPe Midpoint (H) | metal depletion | MDP</t>
  </si>
  <si>
    <t>ReCiPe Midpoint (H) | natural land transformation | NLTP</t>
  </si>
  <si>
    <t>ReCiPe Midpoint (H) | ozone depletion | ODPinf</t>
  </si>
  <si>
    <t>ReCiPe Midpoint (H) | urban land occupation | ULOP</t>
  </si>
  <si>
    <t>ReCiPe Midpoint (H) | water depletion | WDP</t>
  </si>
  <si>
    <t>NMC111 oxide | NMC111 oxide production, for Li-ion battery | CN | kilogram | EI38_cutoff_remind_SSP1-Base_2030_baseline</t>
  </si>
  <si>
    <t>NMC111 oxide | NMC111 oxide production, for Li-ion battery | CN | kilogram | EI38_cutoff_remind_SSP1-Base_2030_VSI</t>
  </si>
  <si>
    <t>NMC111 oxide | NMC111 oxide production, for Li-ion battery | CN | kilogram | EI38_cutoff_remind_SSP1-Base_2035_baseline</t>
  </si>
  <si>
    <t>NMC111 oxide | NMC111 oxide production, for Li-ion battery | CN | kilogram | EI38_cutoff_remind_SSP1-Base_2035_VSI</t>
  </si>
  <si>
    <t>NMC111 oxide | NMC111 oxide production, for Li-ion battery | CN | kilogram | EI38_cutoff_remind_SSP2-Base_2030_baseline</t>
  </si>
  <si>
    <t>NMC111 oxide | NMC111 oxide production, for Li-ion battery | CN | kilogram | EI38_cutoff_remind_SSP2-Base_2030_VSI</t>
  </si>
  <si>
    <t>NMC111 oxide | NMC111 oxide production, for Li-ion battery | CN | kilogram | EI38_cutoff_remind_SSP2-Base_2035_baseline</t>
  </si>
  <si>
    <t>NMC111 oxide | NMC111 oxide production, for Li-ion battery | CN | kilogram | EI38_cutoff_remind_SSP2-Base_2035_VSI</t>
  </si>
  <si>
    <t>NMC111 oxide | NMC111 oxide production, for Li-ion battery | CN | kilogram | EI38_cutoff_remind_SSP5-Base_2030_baseline</t>
  </si>
  <si>
    <t>NMC111 oxide | NMC111 oxide production, for Li-ion battery | CN | kilogram | EI38_cutoff_remind_SSP5-Base_2030_VSI</t>
  </si>
  <si>
    <t>NMC111 oxide | NMC111 oxide production, for Li-ion battery | CN | kilogram | EI38_cutoff_remind_SSP5-Base_2035_baseline</t>
  </si>
  <si>
    <t>NMC111 oxide | NMC111 oxide production, for Li-ion battery | CN | kilogram | EI38_cutoff_remind_SSP5-Base_2035_VSI</t>
  </si>
  <si>
    <t>DELTA-GWP100</t>
  </si>
  <si>
    <t>DELTA-FETPinf</t>
  </si>
  <si>
    <t>DELTA-FEP</t>
  </si>
  <si>
    <t>DELTA-HTPinf</t>
  </si>
  <si>
    <t>DELTA-METPinf</t>
  </si>
  <si>
    <t>DELTA-MEP</t>
  </si>
  <si>
    <t>DELTA-PMFP</t>
  </si>
  <si>
    <t>DELTA-POFP</t>
  </si>
  <si>
    <t>DELTA-TAP100</t>
  </si>
  <si>
    <t>DELTA-TETPinf</t>
  </si>
  <si>
    <t>SSP1-Delta-2025</t>
  </si>
  <si>
    <t>SSP1-Delta-2030</t>
  </si>
  <si>
    <t>SSP1-Delta-2035</t>
  </si>
  <si>
    <t>SSP1-Delta-2040</t>
  </si>
  <si>
    <t>SSP2-Delta-2025</t>
  </si>
  <si>
    <t>SSP2-Delta-2030</t>
  </si>
  <si>
    <t>SSP2-Delta-2035</t>
  </si>
  <si>
    <t>SSP2-Delta-2040</t>
  </si>
  <si>
    <t>SSP5-Delta-2025</t>
  </si>
  <si>
    <t>SSP5-Delta-2030</t>
  </si>
  <si>
    <t>SSP5-Delta-2035</t>
  </si>
  <si>
    <t>SSP5-Delta-2040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</si>
</sst>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\_x000a_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6">
    <xf numFmtId="0" fontId="0" fillId="0" borderId="0" xfId="0"/>
    <xf numFmtId="11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1" applyFont="1"/>
    <xf numFmtId="164" fontId="0" fillId="0" borderId="0" xfId="1" applyNumberFormat="1" applyFont="1"/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9" fontId="0" fillId="0" borderId="10" xfId="1" applyFont="1" applyBorder="1" applyAlignment="1">
      <alignment horizontal="center" vertical="center" wrapText="1"/>
    </xf>
    <xf numFmtId="9" fontId="0" fillId="0" borderId="12" xfId="1" applyFont="1" applyBorder="1" applyAlignment="1">
      <alignment horizontal="center" vertical="center" wrapText="1"/>
    </xf>
    <xf numFmtId="9" fontId="0" fillId="0" borderId="4" xfId="1" applyFont="1" applyBorder="1" applyAlignment="1">
      <alignment horizontal="center" vertical="center"/>
    </xf>
    <xf numFmtId="9" fontId="0" fillId="0" borderId="14" xfId="1" applyFont="1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9" fontId="0" fillId="0" borderId="15" xfId="1" applyFon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9" fontId="0" fillId="0" borderId="9" xfId="1" applyFont="1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 wrapText="1"/>
    </xf>
    <xf numFmtId="9" fontId="0" fillId="0" borderId="13" xfId="1" applyFont="1" applyBorder="1" applyAlignment="1">
      <alignment horizontal="center" vertical="center"/>
    </xf>
    <xf numFmtId="0" fontId="0" fillId="0" borderId="9" xfId="0" applyBorder="1"/>
    <xf numFmtId="9" fontId="0" fillId="0" borderId="0" xfId="0" applyNumberFormat="1"/>
    <xf numFmtId="0" fontId="0" fillId="0" borderId="4" xfId="0" applyBorder="1"/>
    <xf numFmtId="0" fontId="0" fillId="0" borderId="6" xfId="0" applyBorder="1"/>
    <xf numFmtId="9" fontId="0" fillId="0" borderId="13" xfId="1" applyFont="1" applyBorder="1" applyAlignment="1">
      <alignment horizontal="left" vertical="center"/>
    </xf>
    <xf numFmtId="9" fontId="0" fillId="0" borderId="14" xfId="1" applyFont="1" applyBorder="1" applyAlignment="1">
      <alignment horizontal="left" vertical="center"/>
    </xf>
    <xf numFmtId="9" fontId="0" fillId="0" borderId="15" xfId="1" applyFont="1" applyBorder="1" applyAlignment="1">
      <alignment horizontal="left" vertical="center"/>
    </xf>
    <xf numFmtId="0" fontId="0" fillId="0" borderId="8" xfId="0" applyBorder="1"/>
    <xf numFmtId="9" fontId="0" fillId="0" borderId="1" xfId="1" applyFont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9" fontId="0" fillId="0" borderId="7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8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9" fontId="2" fillId="5" borderId="1" xfId="1" applyFont="1" applyFill="1" applyBorder="1" applyAlignment="1">
      <alignment horizontal="center" vertical="center" wrapText="1"/>
    </xf>
    <xf numFmtId="9" fontId="2" fillId="0" borderId="10" xfId="1" applyFont="1" applyBorder="1" applyAlignment="1">
      <alignment horizontal="center" vertical="center" wrapText="1"/>
    </xf>
    <xf numFmtId="9" fontId="2" fillId="0" borderId="12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2" fillId="0" borderId="4" xfId="1" applyNumberFormat="1" applyFont="1" applyBorder="1" applyAlignment="1">
      <alignment horizontal="center" vertical="center" wrapText="1"/>
    </xf>
    <xf numFmtId="165" fontId="2" fillId="0" borderId="0" xfId="1" applyNumberFormat="1" applyFont="1" applyBorder="1" applyAlignment="1">
      <alignment horizontal="center" vertical="center" wrapText="1"/>
    </xf>
    <xf numFmtId="165" fontId="2" fillId="0" borderId="13" xfId="1" applyNumberFormat="1" applyFont="1" applyBorder="1" applyAlignment="1">
      <alignment horizontal="center" vertical="center" wrapText="1"/>
    </xf>
    <xf numFmtId="9" fontId="2" fillId="0" borderId="13" xfId="1" applyFont="1" applyBorder="1" applyAlignment="1">
      <alignment horizontal="left" vertical="center"/>
    </xf>
    <xf numFmtId="165" fontId="2" fillId="0" borderId="14" xfId="1" applyNumberFormat="1" applyFont="1" applyBorder="1" applyAlignment="1">
      <alignment horizontal="center" vertical="center" wrapText="1"/>
    </xf>
    <xf numFmtId="9" fontId="2" fillId="0" borderId="14" xfId="1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165" fontId="2" fillId="0" borderId="6" xfId="1" applyNumberFormat="1" applyFont="1" applyBorder="1" applyAlignment="1">
      <alignment horizontal="center" vertical="center" wrapText="1"/>
    </xf>
    <xf numFmtId="165" fontId="2" fillId="0" borderId="9" xfId="1" applyNumberFormat="1" applyFont="1" applyBorder="1" applyAlignment="1">
      <alignment horizontal="center" vertical="center" wrapText="1"/>
    </xf>
    <xf numFmtId="165" fontId="2" fillId="0" borderId="15" xfId="1" applyNumberFormat="1" applyFont="1" applyBorder="1" applyAlignment="1">
      <alignment horizontal="center" vertical="center" wrapText="1"/>
    </xf>
    <xf numFmtId="165" fontId="2" fillId="0" borderId="7" xfId="1" applyNumberFormat="1" applyFont="1" applyBorder="1" applyAlignment="1">
      <alignment horizontal="center" vertical="center" wrapText="1"/>
    </xf>
    <xf numFmtId="0" fontId="2" fillId="0" borderId="9" xfId="0" applyFont="1" applyBorder="1"/>
    <xf numFmtId="9" fontId="2" fillId="0" borderId="6" xfId="1" applyFont="1" applyBorder="1" applyAlignment="1">
      <alignment horizontal="center" vertical="center"/>
    </xf>
    <xf numFmtId="9" fontId="2" fillId="0" borderId="9" xfId="1" applyFont="1" applyBorder="1" applyAlignment="1">
      <alignment horizontal="center" vertical="center"/>
    </xf>
    <xf numFmtId="9" fontId="2" fillId="0" borderId="15" xfId="1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2" fillId="0" borderId="0" xfId="1" applyFont="1" applyBorder="1" applyAlignment="1">
      <alignment horizontal="center" vertical="center"/>
    </xf>
    <xf numFmtId="9" fontId="2" fillId="0" borderId="14" xfId="1" applyFont="1" applyBorder="1" applyAlignment="1">
      <alignment horizontal="center" vertical="center"/>
    </xf>
    <xf numFmtId="0" fontId="2" fillId="0" borderId="8" xfId="0" applyFont="1" applyBorder="1"/>
    <xf numFmtId="0" fontId="2" fillId="0" borderId="4" xfId="0" applyFont="1" applyBorder="1"/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10" fontId="0" fillId="0" borderId="0" xfId="1" applyNumberFormat="1" applyFont="1"/>
    <xf numFmtId="0" fontId="3" fillId="0" borderId="0" xfId="0" applyFont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14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SSP5 - Delta (VSI-Base) / Base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Results_NMC111!$C$2</c:f>
              <c:strCache>
                <c:ptCount val="1"/>
                <c:pt idx="0">
                  <c:v>Δ (2025)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Results_NMC111!$B$23:$B$32</c:f>
              <c:strCache>
                <c:ptCount val="10"/>
                <c:pt idx="0">
                  <c:v>FETPinf</c:v>
                </c:pt>
                <c:pt idx="1">
                  <c:v>GWP100</c:v>
                </c:pt>
                <c:pt idx="2">
                  <c:v>FEP</c:v>
                </c:pt>
                <c:pt idx="3">
                  <c:v>HTPinf</c:v>
                </c:pt>
                <c:pt idx="4">
                  <c:v>METPinf</c:v>
                </c:pt>
                <c:pt idx="5">
                  <c:v>MEP</c:v>
                </c:pt>
                <c:pt idx="6">
                  <c:v>PMFP</c:v>
                </c:pt>
                <c:pt idx="7">
                  <c:v>POFP</c:v>
                </c:pt>
                <c:pt idx="8">
                  <c:v>TAP100</c:v>
                </c:pt>
                <c:pt idx="9">
                  <c:v>TETPinf</c:v>
                </c:pt>
              </c:strCache>
            </c:strRef>
          </c:cat>
          <c:val>
            <c:numRef>
              <c:f>Results_NMC111!$C$23:$C$32</c:f>
              <c:numCache>
                <c:formatCode>0%</c:formatCode>
                <c:ptCount val="10"/>
                <c:pt idx="0">
                  <c:v>2.3028524012269595E-6</c:v>
                </c:pt>
                <c:pt idx="1">
                  <c:v>6.7820665998743064E-5</c:v>
                </c:pt>
                <c:pt idx="2">
                  <c:v>2.5358907011441593E-4</c:v>
                </c:pt>
                <c:pt idx="3">
                  <c:v>6.2523154652657987E-5</c:v>
                </c:pt>
                <c:pt idx="4">
                  <c:v>4.7717493668776508E-6</c:v>
                </c:pt>
                <c:pt idx="5">
                  <c:v>1.1191067375441809E-4</c:v>
                </c:pt>
                <c:pt idx="6">
                  <c:v>5.6347115870963231E-6</c:v>
                </c:pt>
                <c:pt idx="7">
                  <c:v>9.212891778673498E-5</c:v>
                </c:pt>
                <c:pt idx="8">
                  <c:v>2.2343960257415881E-4</c:v>
                </c:pt>
                <c:pt idx="9">
                  <c:v>-2.3268829598974306E-5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4-4F78-8FA6-EA3062AEDC76}"/>
            </c:ext>
          </c:extLst>
        </c:ser>
        <c:ser>
          <c:idx val="1"/>
          <c:order val="1"/>
          <c:tx>
            <c:strRef>
              <c:f>Results_NMC111!$D$2</c:f>
              <c:strCache>
                <c:ptCount val="1"/>
                <c:pt idx="0">
                  <c:v>Δ (2030)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Results_NMC111!$B$23:$B$32</c:f>
              <c:strCache>
                <c:ptCount val="10"/>
                <c:pt idx="0">
                  <c:v>FETPinf</c:v>
                </c:pt>
                <c:pt idx="1">
                  <c:v>GWP100</c:v>
                </c:pt>
                <c:pt idx="2">
                  <c:v>FEP</c:v>
                </c:pt>
                <c:pt idx="3">
                  <c:v>HTPinf</c:v>
                </c:pt>
                <c:pt idx="4">
                  <c:v>METPinf</c:v>
                </c:pt>
                <c:pt idx="5">
                  <c:v>MEP</c:v>
                </c:pt>
                <c:pt idx="6">
                  <c:v>PMFP</c:v>
                </c:pt>
                <c:pt idx="7">
                  <c:v>POFP</c:v>
                </c:pt>
                <c:pt idx="8">
                  <c:v>TAP100</c:v>
                </c:pt>
                <c:pt idx="9">
                  <c:v>TETPinf</c:v>
                </c:pt>
              </c:strCache>
            </c:strRef>
          </c:cat>
          <c:val>
            <c:numRef>
              <c:f>Results_NMC111!$D$23:$D$32</c:f>
              <c:numCache>
                <c:formatCode>0%</c:formatCode>
                <c:ptCount val="10"/>
                <c:pt idx="0">
                  <c:v>-4.4258633695950043E-3</c:v>
                </c:pt>
                <c:pt idx="1">
                  <c:v>-1.5499761838995153E-4</c:v>
                </c:pt>
                <c:pt idx="2">
                  <c:v>-7.09593655331172E-3</c:v>
                </c:pt>
                <c:pt idx="3">
                  <c:v>-9.1935657628250574E-4</c:v>
                </c:pt>
                <c:pt idx="4">
                  <c:v>-1.1471551658663543E-3</c:v>
                </c:pt>
                <c:pt idx="5">
                  <c:v>-2.940223689647066E-2</c:v>
                </c:pt>
                <c:pt idx="6">
                  <c:v>-2.5123321675790865E-2</c:v>
                </c:pt>
                <c:pt idx="7">
                  <c:v>-7.6065236288765581E-3</c:v>
                </c:pt>
                <c:pt idx="8">
                  <c:v>-2.6534182967965978E-2</c:v>
                </c:pt>
                <c:pt idx="9">
                  <c:v>-1.9289069801665295E-3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4-4F78-8FA6-EA3062AEDC76}"/>
            </c:ext>
          </c:extLst>
        </c:ser>
        <c:ser>
          <c:idx val="2"/>
          <c:order val="2"/>
          <c:tx>
            <c:strRef>
              <c:f>Results_NMC111!$E$2</c:f>
              <c:strCache>
                <c:ptCount val="1"/>
                <c:pt idx="0">
                  <c:v>Δ (2035)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Results_NMC111!$B$23:$B$32</c:f>
              <c:strCache>
                <c:ptCount val="10"/>
                <c:pt idx="0">
                  <c:v>FETPinf</c:v>
                </c:pt>
                <c:pt idx="1">
                  <c:v>GWP100</c:v>
                </c:pt>
                <c:pt idx="2">
                  <c:v>FEP</c:v>
                </c:pt>
                <c:pt idx="3">
                  <c:v>HTPinf</c:v>
                </c:pt>
                <c:pt idx="4">
                  <c:v>METPinf</c:v>
                </c:pt>
                <c:pt idx="5">
                  <c:v>MEP</c:v>
                </c:pt>
                <c:pt idx="6">
                  <c:v>PMFP</c:v>
                </c:pt>
                <c:pt idx="7">
                  <c:v>POFP</c:v>
                </c:pt>
                <c:pt idx="8">
                  <c:v>TAP100</c:v>
                </c:pt>
                <c:pt idx="9">
                  <c:v>TETPinf</c:v>
                </c:pt>
              </c:strCache>
            </c:strRef>
          </c:cat>
          <c:val>
            <c:numRef>
              <c:f>Results_NMC111!$E$23:$E$32</c:f>
              <c:numCache>
                <c:formatCode>0%</c:formatCode>
                <c:ptCount val="10"/>
                <c:pt idx="0">
                  <c:v>-1.7269776823746537E-2</c:v>
                </c:pt>
                <c:pt idx="1">
                  <c:v>-1.6638416032268451E-3</c:v>
                </c:pt>
                <c:pt idx="2">
                  <c:v>-3.3680213122878888E-2</c:v>
                </c:pt>
                <c:pt idx="3">
                  <c:v>-3.9115930717119598E-3</c:v>
                </c:pt>
                <c:pt idx="4">
                  <c:v>-4.6103929212246725E-3</c:v>
                </c:pt>
                <c:pt idx="5">
                  <c:v>-0.11179133401428686</c:v>
                </c:pt>
                <c:pt idx="6">
                  <c:v>-8.952370566850637E-2</c:v>
                </c:pt>
                <c:pt idx="7">
                  <c:v>-2.8097132111425484E-2</c:v>
                </c:pt>
                <c:pt idx="8">
                  <c:v>-9.5706145542904755E-2</c:v>
                </c:pt>
                <c:pt idx="9">
                  <c:v>-8.3564098414654255E-3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D4-4F78-8FA6-EA3062AEDC76}"/>
            </c:ext>
          </c:extLst>
        </c:ser>
        <c:ser>
          <c:idx val="3"/>
          <c:order val="3"/>
          <c:tx>
            <c:strRef>
              <c:f>Results_NMC111!$F$2</c:f>
              <c:strCache>
                <c:ptCount val="1"/>
                <c:pt idx="0">
                  <c:v>Δ (2040)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Results_NMC111!$B$23:$B$32</c:f>
              <c:strCache>
                <c:ptCount val="10"/>
                <c:pt idx="0">
                  <c:v>FETPinf</c:v>
                </c:pt>
                <c:pt idx="1">
                  <c:v>GWP100</c:v>
                </c:pt>
                <c:pt idx="2">
                  <c:v>FEP</c:v>
                </c:pt>
                <c:pt idx="3">
                  <c:v>HTPinf</c:v>
                </c:pt>
                <c:pt idx="4">
                  <c:v>METPinf</c:v>
                </c:pt>
                <c:pt idx="5">
                  <c:v>MEP</c:v>
                </c:pt>
                <c:pt idx="6">
                  <c:v>PMFP</c:v>
                </c:pt>
                <c:pt idx="7">
                  <c:v>POFP</c:v>
                </c:pt>
                <c:pt idx="8">
                  <c:v>TAP100</c:v>
                </c:pt>
                <c:pt idx="9">
                  <c:v>TETPinf</c:v>
                </c:pt>
              </c:strCache>
            </c:strRef>
          </c:cat>
          <c:val>
            <c:numRef>
              <c:f>Results_NMC111!$F$23:$F$32</c:f>
              <c:numCache>
                <c:formatCode>0%</c:formatCode>
                <c:ptCount val="10"/>
                <c:pt idx="0">
                  <c:v>-2.2382303675038514E-2</c:v>
                </c:pt>
                <c:pt idx="1">
                  <c:v>-1.8322245949015941E-3</c:v>
                </c:pt>
                <c:pt idx="2">
                  <c:v>-3.1883870472217427E-2</c:v>
                </c:pt>
                <c:pt idx="3">
                  <c:v>-2.345589799913007E-2</c:v>
                </c:pt>
                <c:pt idx="4">
                  <c:v>-6.8838174574515016E-3</c:v>
                </c:pt>
                <c:pt idx="5">
                  <c:v>-0.13969777138668546</c:v>
                </c:pt>
                <c:pt idx="6">
                  <c:v>-0.12051072534772519</c:v>
                </c:pt>
                <c:pt idx="7">
                  <c:v>-3.7100357806472396E-2</c:v>
                </c:pt>
                <c:pt idx="8">
                  <c:v>-0.12616519210601115</c:v>
                </c:pt>
                <c:pt idx="9">
                  <c:v>-9.5495661550576288E-3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D4-4F78-8FA6-EA3062AED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749231"/>
        <c:axId val="713746831"/>
      </c:barChart>
      <c:catAx>
        <c:axId val="713749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746831"/>
        <c:crosses val="autoZero"/>
        <c:auto val="1"/>
        <c:lblAlgn val="ctr"/>
        <c:lblOffset val="100"/>
        <c:noMultiLvlLbl val="0"/>
      </c:catAx>
      <c:valAx>
        <c:axId val="71374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74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SSP2 - Delta (VSI-Base) / Base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Results_NMC111!$C$2</c:f>
              <c:strCache>
                <c:ptCount val="1"/>
                <c:pt idx="0">
                  <c:v>Δ (2025)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Results_NMC111!$B$13:$B$22</c:f>
              <c:strCache>
                <c:ptCount val="10"/>
                <c:pt idx="0">
                  <c:v>FETPinf</c:v>
                </c:pt>
                <c:pt idx="1">
                  <c:v>GWP100</c:v>
                </c:pt>
                <c:pt idx="2">
                  <c:v>FEP</c:v>
                </c:pt>
                <c:pt idx="3">
                  <c:v>HTPinf</c:v>
                </c:pt>
                <c:pt idx="4">
                  <c:v>METPinf</c:v>
                </c:pt>
                <c:pt idx="5">
                  <c:v>MEP</c:v>
                </c:pt>
                <c:pt idx="6">
                  <c:v>PMFP</c:v>
                </c:pt>
                <c:pt idx="7">
                  <c:v>POFP</c:v>
                </c:pt>
                <c:pt idx="8">
                  <c:v>TAP100</c:v>
                </c:pt>
                <c:pt idx="9">
                  <c:v>TETPinf</c:v>
                </c:pt>
              </c:strCache>
            </c:strRef>
          </c:cat>
          <c:val>
            <c:numRef>
              <c:f>Results_NMC111!$C$13:$C$22</c:f>
              <c:numCache>
                <c:formatCode>0%</c:formatCode>
                <c:ptCount val="10"/>
                <c:pt idx="0">
                  <c:v>-2.2522550010140241E-5</c:v>
                </c:pt>
                <c:pt idx="1">
                  <c:v>-1.3973050202026273E-4</c:v>
                </c:pt>
                <c:pt idx="2">
                  <c:v>1.0748205039816963E-4</c:v>
                </c:pt>
                <c:pt idx="3">
                  <c:v>2.0081571765080821E-5</c:v>
                </c:pt>
                <c:pt idx="4">
                  <c:v>-1.7971927863753541E-5</c:v>
                </c:pt>
                <c:pt idx="5">
                  <c:v>-1.9034661802308838E-5</c:v>
                </c:pt>
                <c:pt idx="6">
                  <c:v>-2.4081234891303594E-4</c:v>
                </c:pt>
                <c:pt idx="7">
                  <c:v>-1.0961320475492997E-4</c:v>
                </c:pt>
                <c:pt idx="8">
                  <c:v>3.2062932131013156E-5</c:v>
                </c:pt>
                <c:pt idx="9">
                  <c:v>2.3476370978160404E-6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9-4A95-892C-777F8FEAF032}"/>
            </c:ext>
          </c:extLst>
        </c:ser>
        <c:ser>
          <c:idx val="1"/>
          <c:order val="1"/>
          <c:tx>
            <c:strRef>
              <c:f>Results_NMC111!$D$2</c:f>
              <c:strCache>
                <c:ptCount val="1"/>
                <c:pt idx="0">
                  <c:v>Δ (2030)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Results_NMC111!$B$13:$B$22</c:f>
              <c:strCache>
                <c:ptCount val="10"/>
                <c:pt idx="0">
                  <c:v>FETPinf</c:v>
                </c:pt>
                <c:pt idx="1">
                  <c:v>GWP100</c:v>
                </c:pt>
                <c:pt idx="2">
                  <c:v>FEP</c:v>
                </c:pt>
                <c:pt idx="3">
                  <c:v>HTPinf</c:v>
                </c:pt>
                <c:pt idx="4">
                  <c:v>METPinf</c:v>
                </c:pt>
                <c:pt idx="5">
                  <c:v>MEP</c:v>
                </c:pt>
                <c:pt idx="6">
                  <c:v>PMFP</c:v>
                </c:pt>
                <c:pt idx="7">
                  <c:v>POFP</c:v>
                </c:pt>
                <c:pt idx="8">
                  <c:v>TAP100</c:v>
                </c:pt>
                <c:pt idx="9">
                  <c:v>TETPinf</c:v>
                </c:pt>
              </c:strCache>
            </c:strRef>
          </c:cat>
          <c:val>
            <c:numRef>
              <c:f>Results_NMC111!$D$13:$D$22</c:f>
              <c:numCache>
                <c:formatCode>0%</c:formatCode>
                <c:ptCount val="10"/>
                <c:pt idx="0">
                  <c:v>-4.5635638022264412E-3</c:v>
                </c:pt>
                <c:pt idx="1">
                  <c:v>-2.9808521137087118E-4</c:v>
                </c:pt>
                <c:pt idx="2">
                  <c:v>-1.2844329267317997E-2</c:v>
                </c:pt>
                <c:pt idx="3">
                  <c:v>-1.134013734585196E-3</c:v>
                </c:pt>
                <c:pt idx="4">
                  <c:v>-1.1988762600784661E-3</c:v>
                </c:pt>
                <c:pt idx="5">
                  <c:v>-3.1908737285766708E-2</c:v>
                </c:pt>
                <c:pt idx="6">
                  <c:v>-2.5500311246232362E-2</c:v>
                </c:pt>
                <c:pt idx="7">
                  <c:v>-7.9794837494997235E-3</c:v>
                </c:pt>
                <c:pt idx="8">
                  <c:v>-2.7066636458247414E-2</c:v>
                </c:pt>
                <c:pt idx="9">
                  <c:v>-2.3873528196404585E-3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F9-4A95-892C-777F8FEAF032}"/>
            </c:ext>
          </c:extLst>
        </c:ser>
        <c:ser>
          <c:idx val="2"/>
          <c:order val="2"/>
          <c:tx>
            <c:strRef>
              <c:f>Results_NMC111!$E$2</c:f>
              <c:strCache>
                <c:ptCount val="1"/>
                <c:pt idx="0">
                  <c:v>Δ (2035)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Results_NMC111!$B$13:$B$22</c:f>
              <c:strCache>
                <c:ptCount val="10"/>
                <c:pt idx="0">
                  <c:v>FETPinf</c:v>
                </c:pt>
                <c:pt idx="1">
                  <c:v>GWP100</c:v>
                </c:pt>
                <c:pt idx="2">
                  <c:v>FEP</c:v>
                </c:pt>
                <c:pt idx="3">
                  <c:v>HTPinf</c:v>
                </c:pt>
                <c:pt idx="4">
                  <c:v>METPinf</c:v>
                </c:pt>
                <c:pt idx="5">
                  <c:v>MEP</c:v>
                </c:pt>
                <c:pt idx="6">
                  <c:v>PMFP</c:v>
                </c:pt>
                <c:pt idx="7">
                  <c:v>POFP</c:v>
                </c:pt>
                <c:pt idx="8">
                  <c:v>TAP100</c:v>
                </c:pt>
                <c:pt idx="9">
                  <c:v>TETPinf</c:v>
                </c:pt>
              </c:strCache>
            </c:strRef>
          </c:cat>
          <c:val>
            <c:numRef>
              <c:f>Results_NMC111!$E$13:$E$22</c:f>
              <c:numCache>
                <c:formatCode>0%</c:formatCode>
                <c:ptCount val="10"/>
                <c:pt idx="0">
                  <c:v>-1.7572462251396043E-2</c:v>
                </c:pt>
                <c:pt idx="1">
                  <c:v>-1.9956232622964261E-3</c:v>
                </c:pt>
                <c:pt idx="2">
                  <c:v>-4.8054607847008074E-2</c:v>
                </c:pt>
                <c:pt idx="3">
                  <c:v>-4.2864218900359611E-3</c:v>
                </c:pt>
                <c:pt idx="4">
                  <c:v>-4.7131314306811346E-3</c:v>
                </c:pt>
                <c:pt idx="5">
                  <c:v>-0.11737822831592243</c:v>
                </c:pt>
                <c:pt idx="6">
                  <c:v>-9.0056334639821295E-2</c:v>
                </c:pt>
                <c:pt idx="7">
                  <c:v>-2.8846735692297346E-2</c:v>
                </c:pt>
                <c:pt idx="8">
                  <c:v>-9.6822727109720841E-2</c:v>
                </c:pt>
                <c:pt idx="9">
                  <c:v>-9.9473750921683663E-3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F9-4A95-892C-777F8FEAF032}"/>
            </c:ext>
          </c:extLst>
        </c:ser>
        <c:ser>
          <c:idx val="3"/>
          <c:order val="3"/>
          <c:tx>
            <c:strRef>
              <c:f>Results_NMC111!$F$2</c:f>
              <c:strCache>
                <c:ptCount val="1"/>
                <c:pt idx="0">
                  <c:v>Δ (2040)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Results_NMC111!$B$13:$B$22</c:f>
              <c:strCache>
                <c:ptCount val="10"/>
                <c:pt idx="0">
                  <c:v>FETPinf</c:v>
                </c:pt>
                <c:pt idx="1">
                  <c:v>GWP100</c:v>
                </c:pt>
                <c:pt idx="2">
                  <c:v>FEP</c:v>
                </c:pt>
                <c:pt idx="3">
                  <c:v>HTPinf</c:v>
                </c:pt>
                <c:pt idx="4">
                  <c:v>METPinf</c:v>
                </c:pt>
                <c:pt idx="5">
                  <c:v>MEP</c:v>
                </c:pt>
                <c:pt idx="6">
                  <c:v>PMFP</c:v>
                </c:pt>
                <c:pt idx="7">
                  <c:v>POFP</c:v>
                </c:pt>
                <c:pt idx="8">
                  <c:v>TAP100</c:v>
                </c:pt>
                <c:pt idx="9">
                  <c:v>TETPinf</c:v>
                </c:pt>
              </c:strCache>
            </c:strRef>
          </c:cat>
          <c:val>
            <c:numRef>
              <c:f>Results_NMC111!$F$13:$F$22</c:f>
              <c:numCache>
                <c:formatCode>0%</c:formatCode>
                <c:ptCount val="10"/>
                <c:pt idx="0">
                  <c:v>-2.3174052436291833E-2</c:v>
                </c:pt>
                <c:pt idx="1">
                  <c:v>-2.5332365393095557E-3</c:v>
                </c:pt>
                <c:pt idx="2">
                  <c:v>-6.2955734274677891E-2</c:v>
                </c:pt>
                <c:pt idx="3">
                  <c:v>-2.757473712902701E-2</c:v>
                </c:pt>
                <c:pt idx="4">
                  <c:v>-7.1753987874139018E-3</c:v>
                </c:pt>
                <c:pt idx="5">
                  <c:v>-0.14981612529880484</c:v>
                </c:pt>
                <c:pt idx="6">
                  <c:v>-0.12226838552095998</c:v>
                </c:pt>
                <c:pt idx="7">
                  <c:v>-3.9129937091113794E-2</c:v>
                </c:pt>
                <c:pt idx="8">
                  <c:v>-0.12839986518234808</c:v>
                </c:pt>
                <c:pt idx="9">
                  <c:v>-1.0349704518134889E-2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F9-4A95-892C-777F8FEAF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749231"/>
        <c:axId val="713746831"/>
      </c:barChart>
      <c:catAx>
        <c:axId val="713749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746831"/>
        <c:crosses val="autoZero"/>
        <c:auto val="1"/>
        <c:lblAlgn val="ctr"/>
        <c:lblOffset val="100"/>
        <c:noMultiLvlLbl val="0"/>
      </c:catAx>
      <c:valAx>
        <c:axId val="71374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74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SSP1 - Delta (VSI-Base) / Base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Results_NMC111!$C$2</c:f>
              <c:strCache>
                <c:ptCount val="1"/>
                <c:pt idx="0">
                  <c:v>Δ (2025)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Results_NMC111!$B$3:$B$12</c:f>
              <c:strCache>
                <c:ptCount val="10"/>
                <c:pt idx="0">
                  <c:v>FETPinf</c:v>
                </c:pt>
                <c:pt idx="1">
                  <c:v>GWP100</c:v>
                </c:pt>
                <c:pt idx="2">
                  <c:v>FEP</c:v>
                </c:pt>
                <c:pt idx="3">
                  <c:v>HTPinf</c:v>
                </c:pt>
                <c:pt idx="4">
                  <c:v>METPinf</c:v>
                </c:pt>
                <c:pt idx="5">
                  <c:v>MEP</c:v>
                </c:pt>
                <c:pt idx="6">
                  <c:v>PMFP</c:v>
                </c:pt>
                <c:pt idx="7">
                  <c:v>POFP</c:v>
                </c:pt>
                <c:pt idx="8">
                  <c:v>TAP100</c:v>
                </c:pt>
                <c:pt idx="9">
                  <c:v>TETPinf</c:v>
                </c:pt>
              </c:strCache>
            </c:strRef>
          </c:cat>
          <c:val>
            <c:numRef>
              <c:f>Results_NMC111!$C$3:$C$12</c:f>
              <c:numCache>
                <c:formatCode>0%</c:formatCode>
                <c:ptCount val="10"/>
                <c:pt idx="0">
                  <c:v>-6.3760830816646877E-6</c:v>
                </c:pt>
                <c:pt idx="1">
                  <c:v>-5.0184400736485808E-6</c:v>
                </c:pt>
                <c:pt idx="2">
                  <c:v>1.2595294696763371E-4</c:v>
                </c:pt>
                <c:pt idx="3">
                  <c:v>3.1563701620982066E-5</c:v>
                </c:pt>
                <c:pt idx="4">
                  <c:v>-4.6571672861540111E-6</c:v>
                </c:pt>
                <c:pt idx="5">
                  <c:v>7.7939500943390177E-5</c:v>
                </c:pt>
                <c:pt idx="6">
                  <c:v>-3.7087420546896094E-5</c:v>
                </c:pt>
                <c:pt idx="7">
                  <c:v>5.432437135104581E-5</c:v>
                </c:pt>
                <c:pt idx="8">
                  <c:v>2.0510433952471434E-4</c:v>
                </c:pt>
                <c:pt idx="9">
                  <c:v>-3.7031328558752896E-5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E-4B8C-8457-E82B12B919AC}"/>
            </c:ext>
          </c:extLst>
        </c:ser>
        <c:ser>
          <c:idx val="1"/>
          <c:order val="1"/>
          <c:tx>
            <c:strRef>
              <c:f>Results_NMC111!$D$2</c:f>
              <c:strCache>
                <c:ptCount val="1"/>
                <c:pt idx="0">
                  <c:v>Δ (2030)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Results_NMC111!$B$3:$B$12</c:f>
              <c:strCache>
                <c:ptCount val="10"/>
                <c:pt idx="0">
                  <c:v>FETPinf</c:v>
                </c:pt>
                <c:pt idx="1">
                  <c:v>GWP100</c:v>
                </c:pt>
                <c:pt idx="2">
                  <c:v>FEP</c:v>
                </c:pt>
                <c:pt idx="3">
                  <c:v>HTPinf</c:v>
                </c:pt>
                <c:pt idx="4">
                  <c:v>METPinf</c:v>
                </c:pt>
                <c:pt idx="5">
                  <c:v>MEP</c:v>
                </c:pt>
                <c:pt idx="6">
                  <c:v>PMFP</c:v>
                </c:pt>
                <c:pt idx="7">
                  <c:v>POFP</c:v>
                </c:pt>
                <c:pt idx="8">
                  <c:v>TAP100</c:v>
                </c:pt>
                <c:pt idx="9">
                  <c:v>TETPinf</c:v>
                </c:pt>
              </c:strCache>
            </c:strRef>
          </c:cat>
          <c:val>
            <c:numRef>
              <c:f>Results_NMC111!$D$3:$D$12</c:f>
              <c:numCache>
                <c:formatCode>0%</c:formatCode>
                <c:ptCount val="10"/>
                <c:pt idx="0">
                  <c:v>-4.5409559714208242E-3</c:v>
                </c:pt>
                <c:pt idx="1">
                  <c:v>-3.6479380804954289E-4</c:v>
                </c:pt>
                <c:pt idx="2">
                  <c:v>-1.2323788730475991E-2</c:v>
                </c:pt>
                <c:pt idx="3">
                  <c:v>-1.119809758408733E-3</c:v>
                </c:pt>
                <c:pt idx="4">
                  <c:v>-1.1953835303124567E-3</c:v>
                </c:pt>
                <c:pt idx="5">
                  <c:v>-2.9701055161147863E-2</c:v>
                </c:pt>
                <c:pt idx="6">
                  <c:v>-2.4967943021985569E-2</c:v>
                </c:pt>
                <c:pt idx="7">
                  <c:v>-7.902640772873136E-3</c:v>
                </c:pt>
                <c:pt idx="8">
                  <c:v>-2.6649209240415118E-2</c:v>
                </c:pt>
                <c:pt idx="9">
                  <c:v>-1.5705336752574364E-3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7E-4B8C-8457-E82B12B919AC}"/>
            </c:ext>
          </c:extLst>
        </c:ser>
        <c:ser>
          <c:idx val="2"/>
          <c:order val="2"/>
          <c:tx>
            <c:strRef>
              <c:f>Results_NMC111!$E$2</c:f>
              <c:strCache>
                <c:ptCount val="1"/>
                <c:pt idx="0">
                  <c:v>Δ (2035)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Results_NMC111!$B$3:$B$12</c:f>
              <c:strCache>
                <c:ptCount val="10"/>
                <c:pt idx="0">
                  <c:v>FETPinf</c:v>
                </c:pt>
                <c:pt idx="1">
                  <c:v>GWP100</c:v>
                </c:pt>
                <c:pt idx="2">
                  <c:v>FEP</c:v>
                </c:pt>
                <c:pt idx="3">
                  <c:v>HTPinf</c:v>
                </c:pt>
                <c:pt idx="4">
                  <c:v>METPinf</c:v>
                </c:pt>
                <c:pt idx="5">
                  <c:v>MEP</c:v>
                </c:pt>
                <c:pt idx="6">
                  <c:v>PMFP</c:v>
                </c:pt>
                <c:pt idx="7">
                  <c:v>POFP</c:v>
                </c:pt>
                <c:pt idx="8">
                  <c:v>TAP100</c:v>
                </c:pt>
                <c:pt idx="9">
                  <c:v>TETPinf</c:v>
                </c:pt>
              </c:strCache>
            </c:strRef>
          </c:cat>
          <c:val>
            <c:numRef>
              <c:f>Results_NMC111!$E$3:$E$12</c:f>
              <c:numCache>
                <c:formatCode>0%</c:formatCode>
                <c:ptCount val="10"/>
                <c:pt idx="0">
                  <c:v>-1.7465764199002469E-2</c:v>
                </c:pt>
                <c:pt idx="1">
                  <c:v>-1.9166202328508414E-3</c:v>
                </c:pt>
                <c:pt idx="2">
                  <c:v>-4.6492249613246002E-2</c:v>
                </c:pt>
                <c:pt idx="3">
                  <c:v>-4.236795689488506E-3</c:v>
                </c:pt>
                <c:pt idx="4">
                  <c:v>-4.682312640833991E-3</c:v>
                </c:pt>
                <c:pt idx="5">
                  <c:v>-0.10761114030402226</c:v>
                </c:pt>
                <c:pt idx="6">
                  <c:v>-8.8162260797068459E-2</c:v>
                </c:pt>
                <c:pt idx="7">
                  <c:v>-2.8347346337752426E-2</c:v>
                </c:pt>
                <c:pt idx="8">
                  <c:v>-9.4932105083496768E-2</c:v>
                </c:pt>
                <c:pt idx="9">
                  <c:v>-6.0120847996725704E-3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7E-4B8C-8457-E82B12B919AC}"/>
            </c:ext>
          </c:extLst>
        </c:ser>
        <c:ser>
          <c:idx val="3"/>
          <c:order val="3"/>
          <c:tx>
            <c:strRef>
              <c:f>Results_NMC111!$F$2</c:f>
              <c:strCache>
                <c:ptCount val="1"/>
                <c:pt idx="0">
                  <c:v>Δ (2040)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Results_NMC111!$B$3:$B$12</c:f>
              <c:strCache>
                <c:ptCount val="10"/>
                <c:pt idx="0">
                  <c:v>FETPinf</c:v>
                </c:pt>
                <c:pt idx="1">
                  <c:v>GWP100</c:v>
                </c:pt>
                <c:pt idx="2">
                  <c:v>FEP</c:v>
                </c:pt>
                <c:pt idx="3">
                  <c:v>HTPinf</c:v>
                </c:pt>
                <c:pt idx="4">
                  <c:v>METPinf</c:v>
                </c:pt>
                <c:pt idx="5">
                  <c:v>MEP</c:v>
                </c:pt>
                <c:pt idx="6">
                  <c:v>PMFP</c:v>
                </c:pt>
                <c:pt idx="7">
                  <c:v>POFP</c:v>
                </c:pt>
                <c:pt idx="8">
                  <c:v>TAP100</c:v>
                </c:pt>
                <c:pt idx="9">
                  <c:v>TETPinf</c:v>
                </c:pt>
              </c:strCache>
            </c:strRef>
          </c:cat>
          <c:val>
            <c:numRef>
              <c:f>Results_NMC111!$F$3:$F$12</c:f>
              <c:numCache>
                <c:formatCode>0%</c:formatCode>
                <c:ptCount val="10"/>
                <c:pt idx="0">
                  <c:v>-2.3111426369494203E-2</c:v>
                </c:pt>
                <c:pt idx="1">
                  <c:v>-2.5621139531638369E-3</c:v>
                </c:pt>
                <c:pt idx="2">
                  <c:v>-6.1784391740372258E-2</c:v>
                </c:pt>
                <c:pt idx="3">
                  <c:v>-2.7439296127351923E-2</c:v>
                </c:pt>
                <c:pt idx="4">
                  <c:v>-7.1494340598544604E-3</c:v>
                </c:pt>
                <c:pt idx="5">
                  <c:v>-0.14398897125193205</c:v>
                </c:pt>
                <c:pt idx="6">
                  <c:v>-0.12032787659875654</c:v>
                </c:pt>
                <c:pt idx="7">
                  <c:v>-3.8710922702026203E-2</c:v>
                </c:pt>
                <c:pt idx="8">
                  <c:v>-0.1273572743149689</c:v>
                </c:pt>
                <c:pt idx="9">
                  <c:v>-8.0510339630978211E-3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7E-4B8C-8457-E82B12B91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749231"/>
        <c:axId val="713746831"/>
      </c:barChart>
      <c:catAx>
        <c:axId val="713749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746831"/>
        <c:crosses val="autoZero"/>
        <c:auto val="1"/>
        <c:lblAlgn val="ctr"/>
        <c:lblOffset val="100"/>
        <c:noMultiLvlLbl val="0"/>
      </c:catAx>
      <c:valAx>
        <c:axId val="71374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74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179294</xdr:colOff>
      <xdr:row>1</xdr:row>
      <xdr:rowOff>11206</xdr:rowOff>
    </xdr:from>
    <xdr:to>
      <xdr:col>55</xdr:col>
      <xdr:colOff>279586</xdr:colOff>
      <xdr:row>126</xdr:row>
      <xdr:rowOff>20731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9220B5-711E-4822-D50A-C79FD8202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21235" y="190500"/>
          <a:ext cx="11855263" cy="12638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27929</xdr:colOff>
      <xdr:row>22</xdr:row>
      <xdr:rowOff>5014</xdr:rowOff>
    </xdr:from>
    <xdr:to>
      <xdr:col>14</xdr:col>
      <xdr:colOff>238377</xdr:colOff>
      <xdr:row>32</xdr:row>
      <xdr:rowOff>7119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D637C6-AAC9-4FBE-9686-627F7A763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32417</xdr:colOff>
      <xdr:row>12</xdr:row>
      <xdr:rowOff>10862</xdr:rowOff>
    </xdr:from>
    <xdr:to>
      <xdr:col>14</xdr:col>
      <xdr:colOff>242865</xdr:colOff>
      <xdr:row>22</xdr:row>
      <xdr:rowOff>9792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B4363E-1EE0-471C-9B9F-E54889DDB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31070</xdr:colOff>
      <xdr:row>1</xdr:row>
      <xdr:rowOff>370973</xdr:rowOff>
    </xdr:from>
    <xdr:to>
      <xdr:col>14</xdr:col>
      <xdr:colOff>241518</xdr:colOff>
      <xdr:row>12</xdr:row>
      <xdr:rowOff>1931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45A7CD-DA78-45B7-9FA5-6CF4A80D5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552450</xdr:colOff>
      <xdr:row>0</xdr:row>
      <xdr:rowOff>63500</xdr:rowOff>
    </xdr:from>
    <xdr:to>
      <xdr:col>31</xdr:col>
      <xdr:colOff>533400</xdr:colOff>
      <xdr:row>32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F929CA-1C1C-2D85-EB96-752521BB6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63500"/>
          <a:ext cx="9734550" cy="942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rnardo Mendonca Severiano" id="{CA1CE2CD-FC56-4423-B4DA-7E4BF75D18C5}" userId="S::Bernardo.MendoncaSeveriano@student.uts.edu.au::c0cdd9bf-1313-4450-9f32-c7a08d748d3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72" dT="2024-12-08T05:40:13.84" personId="{CA1CE2CD-FC56-4423-B4DA-7E4BF75D18C5}" id="{4540072A-C038-4C7D-9B6B-371F5A7E781F}">
    <text>This one is broken. Need to fix Cobalt 2040 SSP1 + VSI</text>
  </threadedComment>
  <threadedComment ref="C193" dT="2024-12-08T05:46:26.00" personId="{CA1CE2CD-FC56-4423-B4DA-7E4BF75D18C5}" id="{DCC28814-6557-4280-804D-D7E3EB11A520}">
    <text>31bda81a4c4a3a273f827fc8832f4da3</text>
  </threadedComment>
  <threadedComment ref="C214" dT="2024-12-08T05:46:13.09" personId="{CA1CE2CD-FC56-4423-B4DA-7E4BF75D18C5}" id="{1C62411E-6FB0-4817-934B-80C456CD463A}">
    <text xml:space="preserve">Different ID
</text>
  </threadedComment>
  <threadedComment ref="C214" dT="2024-12-08T05:46:19.16" personId="{CA1CE2CD-FC56-4423-B4DA-7E4BF75D18C5}" id="{841D7845-A279-4A0F-BA2A-F9EBB57BC1A0}" parentId="{1C62411E-6FB0-4817-934B-80C456CD463A}">
    <text>0b5870b08f744c37b54945c34adb7dcd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G4" dT="2024-12-08T05:46:26.00" personId="{CA1CE2CD-FC56-4423-B4DA-7E4BF75D18C5}" id="{02473ABE-69A0-418D-99D6-A1C3D07CD33D}">
    <text>31bda81a4c4a3a273f827fc8832f4da3</text>
  </threadedComment>
  <threadedComment ref="AG25" dT="2024-12-08T05:46:13.09" personId="{CA1CE2CD-FC56-4423-B4DA-7E4BF75D18C5}" id="{EC7C6E06-15A3-420A-9903-FAD196B2814A}">
    <text xml:space="preserve">Different ID
</text>
  </threadedComment>
  <threadedComment ref="AG25" dT="2024-12-08T05:46:19.16" personId="{CA1CE2CD-FC56-4423-B4DA-7E4BF75D18C5}" id="{AE6233E4-9625-4116-BC28-CFFC47F73970}" parentId="{EC7C6E06-15A3-420A-9903-FAD196B2814A}">
    <text>0b5870b08f744c37b54945c34adb7dcd</text>
  </threadedComment>
  <threadedComment ref="R67" dT="2024-12-08T05:40:13.84" personId="{CA1CE2CD-FC56-4423-B4DA-7E4BF75D18C5}" id="{1AEC4ECA-EA8E-4387-9958-FEEF9BA4FA7F}">
    <text>This one is broken. Need to fix Cobalt 2040 SSP1 + VSI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4" dT="2024-12-08T05:46:26.00" personId="{CA1CE2CD-FC56-4423-B4DA-7E4BF75D18C5}" id="{1E073126-F83A-4961-85B4-4245214CC3A2}">
    <text>31bda81a4c4a3a273f827fc8832f4da3</text>
  </threadedComment>
  <threadedComment ref="R25" dT="2024-12-08T05:46:13.09" personId="{CA1CE2CD-FC56-4423-B4DA-7E4BF75D18C5}" id="{9040FA64-D99E-4D11-B3A9-F69E1199795D}">
    <text xml:space="preserve">Different ID
</text>
  </threadedComment>
  <threadedComment ref="R25" dT="2024-12-08T05:46:19.16" personId="{CA1CE2CD-FC56-4423-B4DA-7E4BF75D18C5}" id="{C1FC0F4E-0174-42AD-8DA5-01E25A3015E7}" parentId="{9040FA64-D99E-4D11-B3A9-F69E1199795D}">
    <text>0b5870b08f744c37b54945c34adb7dcd</text>
  </threadedComment>
  <threadedComment ref="C109" dT="2024-12-08T05:40:13.84" personId="{CA1CE2CD-FC56-4423-B4DA-7E4BF75D18C5}" id="{8C38BDA6-841B-40CC-AD8A-3828470AF672}">
    <text>This one is broken. Need to fix Cobalt 2040 SSP1 + VSI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F6D0-15B9-456C-86EB-682FEB2FC04B}">
  <dimension ref="B2:Q399"/>
  <sheetViews>
    <sheetView zoomScaleNormal="100" workbookViewId="0">
      <selection activeCell="S1" sqref="S1"/>
    </sheetView>
  </sheetViews>
  <sheetFormatPr defaultRowHeight="14.5" x14ac:dyDescent="0.35"/>
  <cols>
    <col min="1" max="1" width="8.7265625" customWidth="1"/>
    <col min="2" max="2" width="14.26953125" customWidth="1"/>
    <col min="3" max="4" width="13.1796875" hidden="1" customWidth="1"/>
    <col min="5" max="5" width="32" hidden="1" customWidth="1"/>
    <col min="6" max="6" width="10.26953125" customWidth="1"/>
    <col min="7" max="14" width="9.7265625" customWidth="1"/>
    <col min="15" max="16" width="8.1796875" customWidth="1"/>
  </cols>
  <sheetData>
    <row r="2" spans="2:17" ht="19" customHeight="1" x14ac:dyDescent="0.35">
      <c r="F2" s="2"/>
      <c r="G2" s="78" t="s">
        <v>3</v>
      </c>
      <c r="H2" s="79"/>
      <c r="I2" s="79"/>
      <c r="J2" s="79"/>
      <c r="K2" s="79"/>
      <c r="L2" s="79"/>
      <c r="M2" s="79"/>
      <c r="N2" s="79"/>
      <c r="O2" s="80"/>
    </row>
    <row r="3" spans="2:17" ht="29" x14ac:dyDescent="0.35">
      <c r="B3" s="8" t="s">
        <v>30</v>
      </c>
      <c r="C3" s="8" t="s">
        <v>30</v>
      </c>
      <c r="D3" s="7" t="s">
        <v>106</v>
      </c>
      <c r="E3" s="3"/>
      <c r="F3" s="7" t="s">
        <v>105</v>
      </c>
      <c r="G3" s="10" t="s">
        <v>0</v>
      </c>
      <c r="H3" s="11" t="s">
        <v>108</v>
      </c>
      <c r="I3" s="18" t="s">
        <v>107</v>
      </c>
      <c r="J3" s="10" t="s">
        <v>1</v>
      </c>
      <c r="K3" s="11" t="s">
        <v>109</v>
      </c>
      <c r="L3" s="18" t="s">
        <v>107</v>
      </c>
      <c r="M3" s="10" t="s">
        <v>2</v>
      </c>
      <c r="N3" s="11" t="s">
        <v>110</v>
      </c>
      <c r="O3" s="18" t="s">
        <v>107</v>
      </c>
      <c r="P3" s="3"/>
    </row>
    <row r="4" spans="2:17" ht="14.5" customHeight="1" x14ac:dyDescent="0.35">
      <c r="B4" s="89" t="s">
        <v>112</v>
      </c>
      <c r="C4" s="91" t="s">
        <v>37</v>
      </c>
      <c r="D4" t="s">
        <v>38</v>
      </c>
      <c r="F4" s="3" t="s">
        <v>87</v>
      </c>
      <c r="G4" s="12">
        <f>((SUMIFS(SSP1_Baseline!$E:$E,SSP1_Baseline!$C:$C,Results_list!$C$4,SSP1_Baseline!$D:$D,Results_list!$D4,SSP1_Baseline!$B:$B,2040))
- (SUMIFS(SSP1_Baseline!$E:$E,SSP1_Baseline!$C:$C,Results_list!$C$4,SSP1_Baseline!$D:$D,Results_list!$D4,SSP1_Baseline!$B:$B,2025)))
/ (SUMIFS(SSP1_Baseline!$E:$E,SSP1_Baseline!$C:$C,Results_list!$C$4,SSP1_Baseline!$D:$D,Results_list!$D4,SSP1_Baseline!$B:$B,2025))</f>
        <v>-8.6069653521533618E-2</v>
      </c>
      <c r="H4" s="16">
        <f>((SUMIFS(SSP1_VSI!$F:$F,SSP1_VSI!$C:$C,Results_list!$C$4,SSP1_VSI!$D:$D,Results_list!$D4,SSP1_VSI!$B:$B,2040))
- (SUMIFS(SSP1_VSI!$F:$F,SSP1_VSI!$C:$C,Results_list!$C$4,SSP1_VSI!$D:$D,Results_list!$D4,SSP1_VSI!$B:$B,2025)))
/ (SUMIFS(SSP1_VSI!$F:$F,SSP1_VSI!$C:$C,Results_list!$C$4,SSP1_VSI!$D:$D,Results_list!$D4,SSP1_VSI!$B:$B,2025))</f>
        <v>-0.32276357621244844</v>
      </c>
      <c r="I4" s="19">
        <f>ROUND(H4-G4,2)</f>
        <v>-0.24</v>
      </c>
      <c r="J4" s="12">
        <f>((SUMIFS(SSP2_Baseline!$E:$E,SSP2_Baseline!$C:$C,Results_list!$C$4,SSP2_Baseline!$D:$D,Results_list!$D4,SSP2_Baseline!$B:$B,2040))
- (SUMIFS(SSP2_Baseline!$E:$E,SSP2_Baseline!$C:$C,Results_list!$C$4,SSP2_Baseline!$D:$D,Results_list!$D4,SSP2_Baseline!$B:$B,2025)))
/ (SUMIFS(SSP2_Baseline!$E:$E,SSP2_Baseline!$C:$C,Results_list!$C$4,SSP2_Baseline!$D:$D,Results_list!$D4,SSP2_Baseline!$B:$B,2025))</f>
        <v>0.32899822980057986</v>
      </c>
      <c r="K4" s="16">
        <f>((SUMIFS(SSP2_VSI!$F:$F,SSP2_VSI!$C:$C,Results_list!$C$4,SSP2_VSI!$D:$D,Results_list!$D4,SSP2_VSI!$B:$B,2040))
- (SUMIFS(SSP2_VSI!$F:$F,SSP2_VSI!$C:$C,Results_list!$C$4,SSP2_VSI!$D:$D,Results_list!$D4,SSP2_VSI!$B:$B,2025)))
/ (SUMIFS(SSP2_VSI!$F:$F,SSP2_VSI!$C:$C,Results_list!$C$4,SSP2_VSI!$D:$D,Results_list!$D4,SSP2_VSI!$B:$B,2025))</f>
        <v>-0.12398301590718751</v>
      </c>
      <c r="L4" s="19">
        <f>ROUND(K4-J4,2)</f>
        <v>-0.45</v>
      </c>
      <c r="M4" s="12">
        <f>((SUMIFS(SSP5_Baseline!$E:$E,SSP5_Baseline!$C:$C,Results_list!$C$4,SSP5_Baseline!$D:$D,Results_list!$D4,SSP5_Baseline!$B:$B,2040))
- (SUMIFS(SSP5_Baseline!$E:$E,SSP5_Baseline!$C:$C,Results_list!$C$4,SSP5_Baseline!$D:$D,Results_list!$D4,SSP5_Baseline!$B:$B,2025)))
/ (SUMIFS(SSP5_Baseline!$E:$E,SSP5_Baseline!$C:$C,Results_list!$C$4,SSP5_Baseline!$D:$D,Results_list!$D4,SSP5_Baseline!$B:$B,2025))</f>
        <v>0.53114617735533221</v>
      </c>
      <c r="N4" s="16">
        <f>((SUMIFS(SSP5_VSI!$F:$F,SSP5_VSI!$C:$C,Results_list!$C$4,SSP5_VSI!$D:$D,Results_list!$D4,SSP5_VSI!$B:$B,2040))
- (SUMIFS(SSP5_VSI!$F:$F,SSP5_VSI!$C:$C,Results_list!$C$4,SSP5_VSI!$D:$D,Results_list!$D4,SSP5_VSI!$B:$B,2025)))
/ (SUMIFS(SSP5_VSI!$F:$F,SSP5_VSI!$C:$C,Results_list!$C$4,SSP5_VSI!$D:$D,Results_list!$D4,SSP5_VSI!$B:$B,2025))</f>
        <v>5.6086358340901081E-2</v>
      </c>
      <c r="O4" s="19">
        <f>ROUND(N4-M4,2)</f>
        <v>-0.48</v>
      </c>
      <c r="Q4" s="4"/>
    </row>
    <row r="5" spans="2:17" x14ac:dyDescent="0.35">
      <c r="B5" s="89"/>
      <c r="C5" s="91"/>
      <c r="D5" t="s">
        <v>40</v>
      </c>
      <c r="F5" s="3" t="s">
        <v>88</v>
      </c>
      <c r="G5" s="12">
        <f>((SUMIFS(SSP1_Baseline!E:E,SSP1_Baseline!C:C,Results_list!$C$4,SSP1_Baseline!D:D,Results_list!D5,SSP1_Baseline!B:B,2040)) - (SUMIFS(SSP1_Baseline!E:E,SSP1_Baseline!C:C,Results_list!$C$4,SSP1_Baseline!D:D,Results_list!D5,SSP1_Baseline!B:B,2025))) / (SUMIFS(SSP1_Baseline!E:E,SSP1_Baseline!C:C,Results_list!$C$4,SSP1_Baseline!D:D,Results_list!D5,SSP1_Baseline!B:B,2025))</f>
        <v>-6.3355466665627122E-2</v>
      </c>
      <c r="H5" s="16">
        <f>((SUMIFS(SSP1_VSI!F:F,SSP1_VSI!C:C,Results_list!$C$4,SSP1_VSI!D:D,Results_list!D5,SSP1_VSI!B:B,2040)) - (SUMIFS(SSP1_VSI!F:F,SSP1_VSI!C:C,Results_list!$C$4,SSP1_VSI!D:D,Results_list!D5,SSP1_VSI!B:B,2025))) / (SUMIFS(SSP1_VSI!F:F,SSP1_VSI!C:C,Results_list!$C$4,SSP1_VSI!D:D,Results_list!D5,SSP1_VSI!B:B,2025))</f>
        <v>-6.3357723827787329E-2</v>
      </c>
      <c r="I5" s="13">
        <f t="shared" ref="I5:I21" si="0">ROUND(H5-G5,2)</f>
        <v>0</v>
      </c>
      <c r="J5" s="12">
        <f>((SUMIFS(SSP2_Baseline!$E:$E,SSP2_Baseline!$C:$C,Results_list!$C$4,SSP2_Baseline!$D:$D,Results_list!$D5,SSP2_Baseline!$B:$B,2040)) - (SUMIFS(SSP2_Baseline!$E:$E,SSP2_Baseline!$C:$C,Results_list!$C$4,SSP2_Baseline!$D:$D,Results_list!$D5,SSP2_Baseline!$B:$B,2025))) / (SUMIFS(SSP2_Baseline!$E:$E,SSP2_Baseline!$C:$C,Results_list!$C$4,SSP2_Baseline!$D:$D,Results_list!$D5,SSP2_Baseline!$B:$B,2025))</f>
        <v>-7.2682945450585443E-2</v>
      </c>
      <c r="K5" s="16">
        <f>((SUMIFS(SSP2_VSI!$F:$F,SSP2_VSI!$C:$C,Results_list!$C$4,SSP2_VSI!$D:$D,Results_list!$D5,SSP2_VSI!$B:$B,2040)) - (SUMIFS(SSP2_VSI!$F:$F,SSP2_VSI!$C:$C,Results_list!$C$4,SSP2_VSI!$D:$D,Results_list!$D5,SSP2_VSI!$B:$B,2025))) / (SUMIFS(SSP2_VSI!$F:$F,SSP2_VSI!$C:$C,Results_list!$C$4,SSP2_VSI!$D:$D,Results_list!$D5,SSP2_VSI!$B:$B,2025))</f>
        <v>-7.2677614610132557E-2</v>
      </c>
      <c r="L5" s="13">
        <f t="shared" ref="L5:L21" si="1">ROUND(K5-J5,2)</f>
        <v>0</v>
      </c>
      <c r="M5" s="12">
        <f>((SUMIFS(SSP5_Baseline!$E:$E,SSP5_Baseline!$C:$C,Results_list!$C$4,SSP5_Baseline!$D:$D,Results_list!$D5,SSP5_Baseline!$B:$B,2040)) - (SUMIFS(SSP5_Baseline!$E:$E,SSP5_Baseline!$C:$C,Results_list!$C$4,SSP5_Baseline!$D:$D,Results_list!$D5,SSP5_Baseline!$B:$B,2025))) / (SUMIFS(SSP5_Baseline!$E:$E,SSP5_Baseline!$C:$C,Results_list!$C$4,SSP5_Baseline!$D:$D,Results_list!$D5,SSP5_Baseline!$B:$B,2025))</f>
        <v>0.16400753336870419</v>
      </c>
      <c r="N5" s="16">
        <f>((SUMIFS(SSP5_VSI!$F:$F,SSP5_VSI!$C:$C,Results_list!$C$4,SSP5_VSI!$D:$D,Results_list!$D5,SSP5_VSI!$B:$B,2040)) - (SUMIFS(SSP5_VSI!$F:$F,SSP5_VSI!$C:$C,Results_list!$C$4,SSP5_VSI!$D:$D,Results_list!$D5,SSP5_VSI!$B:$B,2025))) / (SUMIFS(SSP5_VSI!$F:$F,SSP5_VSI!$C:$C,Results_list!$C$4,SSP5_VSI!$D:$D,Results_list!$D5,SSP5_VSI!$B:$B,2025))</f>
        <v>0.16392899674072381</v>
      </c>
      <c r="O5" s="13">
        <f t="shared" ref="O5:O21" si="2">ROUND(N5-M5,2)</f>
        <v>0</v>
      </c>
    </row>
    <row r="6" spans="2:17" x14ac:dyDescent="0.35">
      <c r="B6" s="89"/>
      <c r="C6" s="91"/>
      <c r="D6" t="s">
        <v>41</v>
      </c>
      <c r="F6" s="3" t="s">
        <v>89</v>
      </c>
      <c r="G6" s="12">
        <f>((SUMIFS(SSP1_Baseline!E:E,SSP1_Baseline!C:C,Results_list!$C$4,SSP1_Baseline!D:D,Results_list!D6,SSP1_Baseline!B:B,2040)) - (SUMIFS(SSP1_Baseline!E:E,SSP1_Baseline!C:C,Results_list!$C$4,SSP1_Baseline!D:D,Results_list!D6,SSP1_Baseline!B:B,2025))) / (SUMIFS(SSP1_Baseline!E:E,SSP1_Baseline!C:C,Results_list!$C$4,SSP1_Baseline!D:D,Results_list!D6,SSP1_Baseline!B:B,2025))</f>
        <v>-3.2533836499250039E-3</v>
      </c>
      <c r="H6" s="16">
        <f>((SUMIFS(SSP1_VSI!F:F,SSP1_VSI!C:C,Results_list!$C$4,SSP1_VSI!D:D,Results_list!D6,SSP1_VSI!B:B,2040)) - (SUMIFS(SSP1_VSI!F:F,SSP1_VSI!C:C,Results_list!$C$4,SSP1_VSI!D:D,Results_list!D6,SSP1_VSI!B:B,2025))) / (SUMIFS(SSP1_VSI!F:F,SSP1_VSI!C:C,Results_list!$C$4,SSP1_VSI!D:D,Results_list!D6,SSP1_VSI!B:B,2025))</f>
        <v>-0.93631373115846972</v>
      </c>
      <c r="I6" s="13">
        <f t="shared" si="0"/>
        <v>-0.93</v>
      </c>
      <c r="J6" s="12">
        <f>((SUMIFS(SSP2_Baseline!$E:$E,SSP2_Baseline!$C:$C,Results_list!$C$4,SSP2_Baseline!$D:$D,Results_list!$D6,SSP2_Baseline!$B:$B,2040)) - (SUMIFS(SSP2_Baseline!$E:$E,SSP2_Baseline!$C:$C,Results_list!$C$4,SSP2_Baseline!$D:$D,Results_list!$D6,SSP2_Baseline!$B:$B,2025))) / (SUMIFS(SSP2_Baseline!$E:$E,SSP2_Baseline!$C:$C,Results_list!$C$4,SSP2_Baseline!$D:$D,Results_list!$D6,SSP2_Baseline!$B:$B,2025))</f>
        <v>-3.0202638464701414E-3</v>
      </c>
      <c r="K6" s="16">
        <f>((SUMIFS(SSP2_VSI!$F:$F,SSP2_VSI!$C:$C,Results_list!$C$4,SSP2_VSI!$D:$D,Results_list!$D6,SSP2_VSI!$B:$B,2040)) - (SUMIFS(SSP2_VSI!$F:$F,SSP2_VSI!$C:$C,Results_list!$C$4,SSP2_VSI!$D:$D,Results_list!$D6,SSP2_VSI!$B:$B,2025))) / (SUMIFS(SSP2_VSI!$F:$F,SSP2_VSI!$C:$C,Results_list!$C$4,SSP2_VSI!$D:$D,Results_list!$D6,SSP2_VSI!$B:$B,2025))</f>
        <v>-0.93595551546568156</v>
      </c>
      <c r="L6" s="13">
        <f t="shared" si="1"/>
        <v>-0.93</v>
      </c>
      <c r="M6" s="12">
        <f>((SUMIFS(SSP5_Baseline!$E:$E,SSP5_Baseline!$C:$C,Results_list!$C$4,SSP5_Baseline!$D:$D,Results_list!$D6,SSP5_Baseline!$B:$B,2040)) - (SUMIFS(SSP5_Baseline!$E:$E,SSP5_Baseline!$C:$C,Results_list!$C$4,SSP5_Baseline!$D:$D,Results_list!$D6,SSP5_Baseline!$B:$B,2025))) / (SUMIFS(SSP5_Baseline!$E:$E,SSP5_Baseline!$C:$C,Results_list!$C$4,SSP5_Baseline!$D:$D,Results_list!$D6,SSP5_Baseline!$B:$B,2025))</f>
        <v>1.5985024391315618E-4</v>
      </c>
      <c r="N6" s="16">
        <f>((SUMIFS(SSP5_VSI!$F:$F,SSP5_VSI!$C:$C,Results_list!$C$4,SSP5_VSI!$D:$D,Results_list!$D6,SSP5_VSI!$B:$B,2040)) - (SUMIFS(SSP5_VSI!$F:$F,SSP5_VSI!$C:$C,Results_list!$C$4,SSP5_VSI!$D:$D,Results_list!$D6,SSP5_VSI!$B:$B,2025))) / (SUMIFS(SSP5_VSI!$F:$F,SSP5_VSI!$C:$C,Results_list!$C$4,SSP5_VSI!$D:$D,Results_list!$D6,SSP5_VSI!$B:$B,2025))</f>
        <v>-0.93033959721095483</v>
      </c>
      <c r="O6" s="13">
        <f t="shared" si="2"/>
        <v>-0.93</v>
      </c>
    </row>
    <row r="7" spans="2:17" x14ac:dyDescent="0.35">
      <c r="B7" s="89"/>
      <c r="C7" s="91"/>
      <c r="D7" t="s">
        <v>42</v>
      </c>
      <c r="F7" s="3" t="s">
        <v>90</v>
      </c>
      <c r="G7" s="12">
        <f>((SUMIFS(SSP1_Baseline!E:E,SSP1_Baseline!C:C,Results_list!$C$4,SSP1_Baseline!D:D,Results_list!D7,SSP1_Baseline!B:B,2040)) - (SUMIFS(SSP1_Baseline!E:E,SSP1_Baseline!C:C,Results_list!$C$4,SSP1_Baseline!D:D,Results_list!D7,SSP1_Baseline!B:B,2025))) / (SUMIFS(SSP1_Baseline!E:E,SSP1_Baseline!C:C,Results_list!$C$4,SSP1_Baseline!D:D,Results_list!D7,SSP1_Baseline!B:B,2025))</f>
        <v>-6.3126918008191091E-2</v>
      </c>
      <c r="H7" s="16">
        <f>((SUMIFS(SSP1_VSI!F:F,SSP1_VSI!C:C,Results_list!$C$4,SSP1_VSI!D:D,Results_list!D7,SSP1_VSI!B:B,2040)) - (SUMIFS(SSP1_VSI!F:F,SSP1_VSI!C:C,Results_list!$C$4,SSP1_VSI!D:D,Results_list!D7,SSP1_VSI!B:B,2025))) / (SUMIFS(SSP1_VSI!F:F,SSP1_VSI!C:C,Results_list!$C$4,SSP1_VSI!D:D,Results_list!D7,SSP1_VSI!B:B,2025))</f>
        <v>-0.1841598492953454</v>
      </c>
      <c r="I7" s="13">
        <f t="shared" si="0"/>
        <v>-0.12</v>
      </c>
      <c r="J7" s="12">
        <f>((SUMIFS(SSP2_Baseline!$E:$E,SSP2_Baseline!$C:$C,Results_list!$C$4,SSP2_Baseline!$D:$D,Results_list!$D7,SSP2_Baseline!$B:$B,2040)) - (SUMIFS(SSP2_Baseline!$E:$E,SSP2_Baseline!$C:$C,Results_list!$C$4,SSP2_Baseline!$D:$D,Results_list!$D7,SSP2_Baseline!$B:$B,2025))) / (SUMIFS(SSP2_Baseline!$E:$E,SSP2_Baseline!$C:$C,Results_list!$C$4,SSP2_Baseline!$D:$D,Results_list!$D7,SSP2_Baseline!$B:$B,2025))</f>
        <v>-5.8711920456226273E-2</v>
      </c>
      <c r="K7" s="16">
        <f>((SUMIFS(SSP2_VSI!$F:$F,SSP2_VSI!$C:$C,Results_list!$C$4,SSP2_VSI!$D:$D,Results_list!$D7,SSP2_VSI!$B:$B,2040)) - (SUMIFS(SSP2_VSI!$F:$F,SSP2_VSI!$C:$C,Results_list!$C$4,SSP2_VSI!$D:$D,Results_list!$D7,SSP2_VSI!$B:$B,2025))) / (SUMIFS(SSP2_VSI!$F:$F,SSP2_VSI!$C:$C,Results_list!$C$4,SSP2_VSI!$D:$D,Results_list!$D7,SSP2_VSI!$B:$B,2025))</f>
        <v>-0.17971457572885238</v>
      </c>
      <c r="L7" s="13">
        <f t="shared" si="1"/>
        <v>-0.12</v>
      </c>
      <c r="M7" s="12">
        <f>((SUMIFS(SSP5_Baseline!$E:$E,SSP5_Baseline!$C:$C,Results_list!$C$4,SSP5_Baseline!$D:$D,Results_list!$D7,SSP5_Baseline!$B:$B,2040)) - (SUMIFS(SSP5_Baseline!$E:$E,SSP5_Baseline!$C:$C,Results_list!$C$4,SSP5_Baseline!$D:$D,Results_list!$D7,SSP5_Baseline!$B:$B,2025))) / (SUMIFS(SSP5_Baseline!$E:$E,SSP5_Baseline!$C:$C,Results_list!$C$4,SSP5_Baseline!$D:$D,Results_list!$D7,SSP5_Baseline!$B:$B,2025))</f>
        <v>-5.5562809909781151E-2</v>
      </c>
      <c r="N7" s="16">
        <f>((SUMIFS(SSP5_VSI!$F:$F,SSP5_VSI!$C:$C,Results_list!$C$4,SSP5_VSI!$D:$D,Results_list!$D7,SSP5_VSI!$B:$B,2040)) - (SUMIFS(SSP5_VSI!$F:$F,SSP5_VSI!$C:$C,Results_list!$C$4,SSP5_VSI!$D:$D,Results_list!$D7,SSP5_VSI!$B:$B,2025))) / (SUMIFS(SSP5_VSI!$F:$F,SSP5_VSI!$C:$C,Results_list!$C$4,SSP5_VSI!$D:$D,Results_list!$D7,SSP5_VSI!$B:$B,2025))</f>
        <v>-0.16680077134145846</v>
      </c>
      <c r="O7" s="13">
        <f t="shared" si="2"/>
        <v>-0.11</v>
      </c>
    </row>
    <row r="8" spans="2:17" x14ac:dyDescent="0.35">
      <c r="B8" s="89"/>
      <c r="C8" s="91"/>
      <c r="D8" t="s">
        <v>43</v>
      </c>
      <c r="F8" s="3" t="s">
        <v>91</v>
      </c>
      <c r="G8" s="12">
        <f>((SUMIFS(SSP1_Baseline!E:E,SSP1_Baseline!C:C,Results_list!$C$4,SSP1_Baseline!D:D,Results_list!D8,SSP1_Baseline!B:B,2040)) - (SUMIFS(SSP1_Baseline!E:E,SSP1_Baseline!C:C,Results_list!$C$4,SSP1_Baseline!D:D,Results_list!D8,SSP1_Baseline!B:B,2025))) / (SUMIFS(SSP1_Baseline!E:E,SSP1_Baseline!C:C,Results_list!$C$4,SSP1_Baseline!D:D,Results_list!D8,SSP1_Baseline!B:B,2025))</f>
        <v>-0.15134480063714914</v>
      </c>
      <c r="H8" s="16">
        <f>((SUMIFS(SSP1_VSI!F:F,SSP1_VSI!C:C,Results_list!$C$4,SSP1_VSI!D:D,Results_list!D8,SSP1_VSI!B:B,2040)) - (SUMIFS(SSP1_VSI!F:F,SSP1_VSI!C:C,Results_list!$C$4,SSP1_VSI!D:D,Results_list!D8,SSP1_VSI!B:B,2025))) / (SUMIFS(SSP1_VSI!F:F,SSP1_VSI!C:C,Results_list!$C$4,SSP1_VSI!D:D,Results_list!D8,SSP1_VSI!B:B,2025))</f>
        <v>-0.19315105134490587</v>
      </c>
      <c r="I8" s="13">
        <f t="shared" si="0"/>
        <v>-0.04</v>
      </c>
      <c r="J8" s="12">
        <f>((SUMIFS(SSP2_Baseline!$E:$E,SSP2_Baseline!$C:$C,Results_list!$C$4,SSP2_Baseline!$D:$D,Results_list!$D8,SSP2_Baseline!$B:$B,2040)) - (SUMIFS(SSP2_Baseline!$E:$E,SSP2_Baseline!$C:$C,Results_list!$C$4,SSP2_Baseline!$D:$D,Results_list!$D8,SSP2_Baseline!$B:$B,2025))) / (SUMIFS(SSP2_Baseline!$E:$E,SSP2_Baseline!$C:$C,Results_list!$C$4,SSP2_Baseline!$D:$D,Results_list!$D8,SSP2_Baseline!$B:$B,2025))</f>
        <v>-0.10974660196101307</v>
      </c>
      <c r="K8" s="16">
        <f>((SUMIFS(SSP2_VSI!$F:$F,SSP2_VSI!$C:$C,Results_list!$C$4,SSP2_VSI!$D:$D,Results_list!$D8,SSP2_VSI!$B:$B,2040)) - (SUMIFS(SSP2_VSI!$F:$F,SSP2_VSI!$C:$C,Results_list!$C$4,SSP2_VSI!$D:$D,Results_list!$D8,SSP2_VSI!$B:$B,2025))) / (SUMIFS(SSP2_VSI!$F:$F,SSP2_VSI!$C:$C,Results_list!$C$4,SSP2_VSI!$D:$D,Results_list!$D8,SSP2_VSI!$B:$B,2025))</f>
        <v>-0.15413151736071526</v>
      </c>
      <c r="L8" s="13">
        <f t="shared" si="1"/>
        <v>-0.04</v>
      </c>
      <c r="M8" s="12">
        <f>((SUMIFS(SSP5_Baseline!$E:$E,SSP5_Baseline!$C:$C,Results_list!$C$4,SSP5_Baseline!$D:$D,Results_list!$D8,SSP5_Baseline!$B:$B,2040)) - (SUMIFS(SSP5_Baseline!$E:$E,SSP5_Baseline!$C:$C,Results_list!$C$4,SSP5_Baseline!$D:$D,Results_list!$D8,SSP5_Baseline!$B:$B,2025))) / (SUMIFS(SSP5_Baseline!$E:$E,SSP5_Baseline!$C:$C,Results_list!$C$4,SSP5_Baseline!$D:$D,Results_list!$D8,SSP5_Baseline!$B:$B,2025))</f>
        <v>-7.4212602663830257E-2</v>
      </c>
      <c r="N8" s="16">
        <f>((SUMIFS(SSP5_VSI!$F:$F,SSP5_VSI!$C:$C,Results_list!$C$4,SSP5_VSI!$D:$D,Results_list!$D8,SSP5_VSI!$B:$B,2040)) - (SUMIFS(SSP5_VSI!$F:$F,SSP5_VSI!$C:$C,Results_list!$C$4,SSP5_VSI!$D:$D,Results_list!$D8,SSP5_VSI!$B:$B,2025))) / (SUMIFS(SSP5_VSI!$F:$F,SSP5_VSI!$C:$C,Results_list!$C$4,SSP5_VSI!$D:$D,Results_list!$D8,SSP5_VSI!$B:$B,2025))</f>
        <v>-0.11293628891954208</v>
      </c>
      <c r="O8" s="13">
        <f t="shared" si="2"/>
        <v>-0.04</v>
      </c>
    </row>
    <row r="9" spans="2:17" ht="14.5" customHeight="1" x14ac:dyDescent="0.35">
      <c r="B9" s="89"/>
      <c r="C9" s="91"/>
      <c r="D9" t="s">
        <v>136</v>
      </c>
      <c r="F9" s="3" t="s">
        <v>92</v>
      </c>
      <c r="G9" s="12">
        <f>((SUMIFS(SSP1_Baseline!E:E,SSP1_Baseline!C:C,Results_list!$C$4,SSP1_Baseline!D:D,Results_list!D9,SSP1_Baseline!B:B,2040)) - (SUMIFS(SSP1_Baseline!E:E,SSP1_Baseline!C:C,Results_list!$C$4,SSP1_Baseline!D:D,Results_list!D9,SSP1_Baseline!B:B,2025))) / (SUMIFS(SSP1_Baseline!E:E,SSP1_Baseline!C:C,Results_list!$C$4,SSP1_Baseline!D:D,Results_list!D9,SSP1_Baseline!B:B,2025))</f>
        <v>-8.3937643411941945E-2</v>
      </c>
      <c r="H9" s="16">
        <f>((SUMIFS(SSP1_VSI!F:F,SSP1_VSI!C:C,Results_list!$C$4,SSP1_VSI!D:D,Results_list!D9,SSP1_VSI!B:B,2040)) - (SUMIFS(SSP1_VSI!F:F,SSP1_VSI!C:C,Results_list!$C$4,SSP1_VSI!D:D,Results_list!D9,SSP1_VSI!B:B,2025))) / (SUMIFS(SSP1_VSI!F:F,SSP1_VSI!C:C,Results_list!$C$4,SSP1_VSI!D:D,Results_list!D9,SSP1_VSI!B:B,2025))</f>
        <v>-9.6716074514266212E-2</v>
      </c>
      <c r="I9" s="13">
        <f t="shared" si="0"/>
        <v>-0.01</v>
      </c>
      <c r="J9" s="12">
        <f>((SUMIFS(SSP2_Baseline!$E:$E,SSP2_Baseline!$C:$C,Results_list!$C$4,SSP2_Baseline!$D:$D,Results_list!$D9,SSP2_Baseline!$B:$B,2040)) - (SUMIFS(SSP2_Baseline!$E:$E,SSP2_Baseline!$C:$C,Results_list!$C$4,SSP2_Baseline!$D:$D,Results_list!$D9,SSP2_Baseline!$B:$B,2025))) / (SUMIFS(SSP2_Baseline!$E:$E,SSP2_Baseline!$C:$C,Results_list!$C$4,SSP2_Baseline!$D:$D,Results_list!$D9,SSP2_Baseline!$B:$B,2025))</f>
        <v>-6.695730361662125E-2</v>
      </c>
      <c r="K9" s="16">
        <f>((SUMIFS(SSP2_VSI!$F:$F,SSP2_VSI!$C:$C,Results_list!$C$4,SSP2_VSI!$D:$D,Results_list!$D9,SSP2_VSI!$B:$B,2040)) - (SUMIFS(SSP2_VSI!$F:$F,SSP2_VSI!$C:$C,Results_list!$C$4,SSP2_VSI!$D:$D,Results_list!$D9,SSP2_VSI!$B:$B,2025))) / (SUMIFS(SSP2_VSI!$F:$F,SSP2_VSI!$C:$C,Results_list!$C$4,SSP2_VSI!$D:$D,Results_list!$D9,SSP2_VSI!$B:$B,2025))</f>
        <v>-7.9768049283650042E-2</v>
      </c>
      <c r="L9" s="13">
        <f t="shared" si="1"/>
        <v>-0.01</v>
      </c>
      <c r="M9" s="12">
        <f>((SUMIFS(SSP5_Baseline!$E:$E,SSP5_Baseline!$C:$C,Results_list!$C$4,SSP5_Baseline!$D:$D,Results_list!$D9,SSP5_Baseline!$B:$B,2040)) - (SUMIFS(SSP5_Baseline!$E:$E,SSP5_Baseline!$C:$C,Results_list!$C$4,SSP5_Baseline!$D:$D,Results_list!$D9,SSP5_Baseline!$B:$B,2025))) / (SUMIFS(SSP5_Baseline!$E:$E,SSP5_Baseline!$C:$C,Results_list!$C$4,SSP5_Baseline!$D:$D,Results_list!$D9,SSP5_Baseline!$B:$B,2025))</f>
        <v>5.0519623931402295E-2</v>
      </c>
      <c r="N9" s="16">
        <f>((SUMIFS(SSP5_VSI!$F:$F,SSP5_VSI!$C:$C,Results_list!$C$4,SSP5_VSI!$D:$D,Results_list!$D9,SSP5_VSI!$B:$B,2040)) - (SUMIFS(SSP5_VSI!$F:$F,SSP5_VSI!$C:$C,Results_list!$C$4,SSP5_VSI!$D:$D,Results_list!$D9,SSP5_VSI!$B:$B,2025))) / (SUMIFS(SSP5_VSI!$F:$F,SSP5_VSI!$C:$C,Results_list!$C$4,SSP5_VSI!$D:$D,Results_list!$D9,SSP5_VSI!$B:$B,2025))</f>
        <v>3.8729879259767924E-2</v>
      </c>
      <c r="O9" s="13">
        <f t="shared" si="2"/>
        <v>-0.01</v>
      </c>
    </row>
    <row r="10" spans="2:17" x14ac:dyDescent="0.35">
      <c r="B10" s="89"/>
      <c r="C10" s="91"/>
      <c r="D10" t="s">
        <v>45</v>
      </c>
      <c r="F10" s="3" t="s">
        <v>93</v>
      </c>
      <c r="G10" s="12">
        <f>((SUMIFS(SSP1_Baseline!E:E,SSP1_Baseline!C:C,Results_list!$C$4,SSP1_Baseline!D:D,Results_list!D10,SSP1_Baseline!B:B,2040)) - (SUMIFS(SSP1_Baseline!E:E,SSP1_Baseline!C:C,Results_list!$C$4,SSP1_Baseline!D:D,Results_list!D10,SSP1_Baseline!B:B,2025))) / (SUMIFS(SSP1_Baseline!E:E,SSP1_Baseline!C:C,Results_list!$C$4,SSP1_Baseline!D:D,Results_list!D10,SSP1_Baseline!B:B,2025))</f>
        <v>-3.487092489976037E-3</v>
      </c>
      <c r="H10" s="16">
        <f>((SUMIFS(SSP1_VSI!F:F,SSP1_VSI!C:C,Results_list!$C$4,SSP1_VSI!D:D,Results_list!D10,SSP1_VSI!B:B,2040)) - (SUMIFS(SSP1_VSI!F:F,SSP1_VSI!C:C,Results_list!$C$4,SSP1_VSI!D:D,Results_list!D10,SSP1_VSI!B:B,2025))) / (SUMIFS(SSP1_VSI!F:F,SSP1_VSI!C:C,Results_list!$C$4,SSP1_VSI!D:D,Results_list!D10,SSP1_VSI!B:B,2025))</f>
        <v>-0.9619458748249694</v>
      </c>
      <c r="I10" s="13">
        <f t="shared" si="0"/>
        <v>-0.96</v>
      </c>
      <c r="J10" s="12">
        <f>((SUMIFS(SSP2_Baseline!$E:$E,SSP2_Baseline!$C:$C,Results_list!$C$4,SSP2_Baseline!$D:$D,Results_list!$D10,SSP2_Baseline!$B:$B,2040)) - (SUMIFS(SSP2_Baseline!$E:$E,SSP2_Baseline!$C:$C,Results_list!$C$4,SSP2_Baseline!$D:$D,Results_list!$D10,SSP2_Baseline!$B:$B,2025))) / (SUMIFS(SSP2_Baseline!$E:$E,SSP2_Baseline!$C:$C,Results_list!$C$4,SSP2_Baseline!$D:$D,Results_list!$D10,SSP2_Baseline!$B:$B,2025))</f>
        <v>-3.6665373003454509E-3</v>
      </c>
      <c r="K10" s="16">
        <f>((SUMIFS(SSP2_VSI!$F:$F,SSP2_VSI!$C:$C,Results_list!$C$4,SSP2_VSI!$D:$D,Results_list!$D10,SSP2_VSI!$B:$B,2040)) - (SUMIFS(SSP2_VSI!$F:$F,SSP2_VSI!$C:$C,Results_list!$C$4,SSP2_VSI!$D:$D,Results_list!$D10,SSP2_VSI!$B:$B,2025))) / (SUMIFS(SSP2_VSI!$F:$F,SSP2_VSI!$C:$C,Results_list!$C$4,SSP2_VSI!$D:$D,Results_list!$D10,SSP2_VSI!$B:$B,2025))</f>
        <v>-0.96246239346716256</v>
      </c>
      <c r="L10" s="13">
        <f t="shared" si="1"/>
        <v>-0.96</v>
      </c>
      <c r="M10" s="12">
        <f>((SUMIFS(SSP5_Baseline!$E:$E,SSP5_Baseline!$C:$C,Results_list!$C$4,SSP5_Baseline!$D:$D,Results_list!$D10,SSP5_Baseline!$B:$B,2040)) - (SUMIFS(SSP5_Baseline!$E:$E,SSP5_Baseline!$C:$C,Results_list!$C$4,SSP5_Baseline!$D:$D,Results_list!$D10,SSP5_Baseline!$B:$B,2025))) / (SUMIFS(SSP5_Baseline!$E:$E,SSP5_Baseline!$C:$C,Results_list!$C$4,SSP5_Baseline!$D:$D,Results_list!$D10,SSP5_Baseline!$B:$B,2025))</f>
        <v>-3.9762496959901842E-3</v>
      </c>
      <c r="N10" s="16">
        <f>((SUMIFS(SSP5_VSI!$F:$F,SSP5_VSI!$C:$C,Results_list!$C$4,SSP5_VSI!$D:$D,Results_list!$D10,SSP5_VSI!$B:$B,2040)) - (SUMIFS(SSP5_VSI!$F:$F,SSP5_VSI!$C:$C,Results_list!$C$4,SSP5_VSI!$D:$D,Results_list!$D10,SSP5_VSI!$B:$B,2025))) / (SUMIFS(SSP5_VSI!$F:$F,SSP5_VSI!$C:$C,Results_list!$C$4,SSP5_VSI!$D:$D,Results_list!$D10,SSP5_VSI!$B:$B,2025))</f>
        <v>-0.95862539567701177</v>
      </c>
      <c r="O10" s="13">
        <f t="shared" si="2"/>
        <v>-0.95</v>
      </c>
    </row>
    <row r="11" spans="2:17" x14ac:dyDescent="0.35">
      <c r="B11" s="89"/>
      <c r="C11" s="91"/>
      <c r="D11" t="s">
        <v>46</v>
      </c>
      <c r="F11" s="3" t="s">
        <v>94</v>
      </c>
      <c r="G11" s="12">
        <f>((SUMIFS(SSP1_Baseline!E:E,SSP1_Baseline!C:C,Results_list!$C$4,SSP1_Baseline!D:D,Results_list!D11,SSP1_Baseline!B:B,2040)) - (SUMIFS(SSP1_Baseline!E:E,SSP1_Baseline!C:C,Results_list!$C$4,SSP1_Baseline!D:D,Results_list!D11,SSP1_Baseline!B:B,2025))) / (SUMIFS(SSP1_Baseline!E:E,SSP1_Baseline!C:C,Results_list!$C$4,SSP1_Baseline!D:D,Results_list!D11,SSP1_Baseline!B:B,2025))</f>
        <v>0.65037747794377565</v>
      </c>
      <c r="H11" s="16">
        <f>((SUMIFS(SSP1_VSI!F:F,SSP1_VSI!C:C,Results_list!$C$4,SSP1_VSI!D:D,Results_list!D11,SSP1_VSI!B:B,2040)) - (SUMIFS(SSP1_VSI!F:F,SSP1_VSI!C:C,Results_list!$C$4,SSP1_VSI!D:D,Results_list!D11,SSP1_VSI!B:B,2025))) / (SUMIFS(SSP1_VSI!F:F,SSP1_VSI!C:C,Results_list!$C$4,SSP1_VSI!D:D,Results_list!D11,SSP1_VSI!B:B,2025))</f>
        <v>0.65044170599884776</v>
      </c>
      <c r="I11" s="13">
        <f t="shared" si="0"/>
        <v>0</v>
      </c>
      <c r="J11" s="12">
        <f>((SUMIFS(SSP2_Baseline!$E:$E,SSP2_Baseline!$C:$C,Results_list!$C$4,SSP2_Baseline!$D:$D,Results_list!$D11,SSP2_Baseline!$B:$B,2040)) - (SUMIFS(SSP2_Baseline!$E:$E,SSP2_Baseline!$C:$C,Results_list!$C$4,SSP2_Baseline!$D:$D,Results_list!$D11,SSP2_Baseline!$B:$B,2025))) / (SUMIFS(SSP2_Baseline!$E:$E,SSP2_Baseline!$C:$C,Results_list!$C$4,SSP2_Baseline!$D:$D,Results_list!$D11,SSP2_Baseline!$B:$B,2025))</f>
        <v>0.58893618015481475</v>
      </c>
      <c r="K11" s="16">
        <f>((SUMIFS(SSP2_VSI!$F:$F,SSP2_VSI!$C:$C,Results_list!$C$4,SSP2_VSI!$D:$D,Results_list!$D11,SSP2_VSI!$B:$B,2040)) - (SUMIFS(SSP2_VSI!$F:$F,SSP2_VSI!$C:$C,Results_list!$C$4,SSP2_VSI!$D:$D,Results_list!$D11,SSP2_VSI!$B:$B,2025))) / (SUMIFS(SSP2_VSI!$F:$F,SSP2_VSI!$C:$C,Results_list!$C$4,SSP2_VSI!$D:$D,Results_list!$D11,SSP2_VSI!$B:$B,2025))</f>
        <v>0.58869787219158842</v>
      </c>
      <c r="L11" s="13">
        <f t="shared" si="1"/>
        <v>0</v>
      </c>
      <c r="M11" s="12">
        <f>((SUMIFS(SSP5_Baseline!$E:$E,SSP5_Baseline!$C:$C,Results_list!$C$4,SSP5_Baseline!$D:$D,Results_list!$D11,SSP5_Baseline!$B:$B,2040)) - (SUMIFS(SSP5_Baseline!$E:$E,SSP5_Baseline!$C:$C,Results_list!$C$4,SSP5_Baseline!$D:$D,Results_list!$D11,SSP5_Baseline!$B:$B,2025))) / (SUMIFS(SSP5_Baseline!$E:$E,SSP5_Baseline!$C:$C,Results_list!$C$4,SSP5_Baseline!$D:$D,Results_list!$D11,SSP5_Baseline!$B:$B,2025))</f>
        <v>0.4091827517863677</v>
      </c>
      <c r="N11" s="16">
        <f>((SUMIFS(SSP5_VSI!$F:$F,SSP5_VSI!$C:$C,Results_list!$C$4,SSP5_VSI!$D:$D,Results_list!$D11,SSP5_VSI!$B:$B,2040)) - (SUMIFS(SSP5_VSI!$F:$F,SSP5_VSI!$C:$C,Results_list!$C$4,SSP5_VSI!$D:$D,Results_list!$D11,SSP5_VSI!$B:$B,2025))) / (SUMIFS(SSP5_VSI!$F:$F,SSP5_VSI!$C:$C,Results_list!$C$4,SSP5_VSI!$D:$D,Results_list!$D11,SSP5_VSI!$B:$B,2025))</f>
        <v>0.40922026392114647</v>
      </c>
      <c r="O11" s="13">
        <f t="shared" si="2"/>
        <v>0</v>
      </c>
    </row>
    <row r="12" spans="2:17" x14ac:dyDescent="0.35">
      <c r="B12" s="89"/>
      <c r="C12" s="91"/>
      <c r="D12" t="s">
        <v>47</v>
      </c>
      <c r="F12" s="3" t="s">
        <v>95</v>
      </c>
      <c r="G12" s="12">
        <f>((SUMIFS(SSP1_Baseline!E:E,SSP1_Baseline!C:C,Results_list!$C$4,SSP1_Baseline!D:D,Results_list!D12,SSP1_Baseline!B:B,2040)) - (SUMIFS(SSP1_Baseline!E:E,SSP1_Baseline!C:C,Results_list!$C$4,SSP1_Baseline!D:D,Results_list!D12,SSP1_Baseline!B:B,2025))) / (SUMIFS(SSP1_Baseline!E:E,SSP1_Baseline!C:C,Results_list!$C$4,SSP1_Baseline!D:D,Results_list!D12,SSP1_Baseline!B:B,2025))</f>
        <v>-0.23944373045518455</v>
      </c>
      <c r="H12" s="16">
        <f>((SUMIFS(SSP1_VSI!F:F,SSP1_VSI!C:C,Results_list!$C$4,SSP1_VSI!D:D,Results_list!D12,SSP1_VSI!B:B,2040)) - (SUMIFS(SSP1_VSI!F:F,SSP1_VSI!C:C,Results_list!$C$4,SSP1_VSI!D:D,Results_list!D12,SSP1_VSI!B:B,2025))) / (SUMIFS(SSP1_VSI!F:F,SSP1_VSI!C:C,Results_list!$C$4,SSP1_VSI!D:D,Results_list!D12,SSP1_VSI!B:B,2025))</f>
        <v>-0.23941732766949614</v>
      </c>
      <c r="I12" s="13">
        <f t="shared" si="0"/>
        <v>0</v>
      </c>
      <c r="J12" s="12">
        <f>((SUMIFS(SSP2_Baseline!$E:$E,SSP2_Baseline!$C:$C,Results_list!$C$4,SSP2_Baseline!$D:$D,Results_list!$D12,SSP2_Baseline!$B:$B,2040)) - (SUMIFS(SSP2_Baseline!$E:$E,SSP2_Baseline!$C:$C,Results_list!$C$4,SSP2_Baseline!$D:$D,Results_list!$D12,SSP2_Baseline!$B:$B,2025))) / (SUMIFS(SSP2_Baseline!$E:$E,SSP2_Baseline!$C:$C,Results_list!$C$4,SSP2_Baseline!$D:$D,Results_list!$D12,SSP2_Baseline!$B:$B,2025))</f>
        <v>-0.24071121781984242</v>
      </c>
      <c r="K12" s="16">
        <f>((SUMIFS(SSP2_VSI!$F:$F,SSP2_VSI!$C:$C,Results_list!$C$4,SSP2_VSI!$D:$D,Results_list!$D12,SSP2_VSI!$B:$B,2040)) - (SUMIFS(SSP2_VSI!$F:$F,SSP2_VSI!$C:$C,Results_list!$C$4,SSP2_VSI!$D:$D,Results_list!$D12,SSP2_VSI!$B:$B,2025))) / (SUMIFS(SSP2_VSI!$F:$F,SSP2_VSI!$C:$C,Results_list!$C$4,SSP2_VSI!$D:$D,Results_list!$D12,SSP2_VSI!$B:$B,2025))</f>
        <v>-0.24070475593134524</v>
      </c>
      <c r="L12" s="13">
        <f t="shared" si="1"/>
        <v>0</v>
      </c>
      <c r="M12" s="12">
        <f>((SUMIFS(SSP5_Baseline!$E:$E,SSP5_Baseline!$C:$C,Results_list!$C$4,SSP5_Baseline!$D:$D,Results_list!$D12,SSP5_Baseline!$B:$B,2040)) - (SUMIFS(SSP5_Baseline!$E:$E,SSP5_Baseline!$C:$C,Results_list!$C$4,SSP5_Baseline!$D:$D,Results_list!$D12,SSP5_Baseline!$B:$B,2025))) / (SUMIFS(SSP5_Baseline!$E:$E,SSP5_Baseline!$C:$C,Results_list!$C$4,SSP5_Baseline!$D:$D,Results_list!$D12,SSP5_Baseline!$B:$B,2025))</f>
        <v>-0.15345199146129673</v>
      </c>
      <c r="N12" s="16">
        <f>((SUMIFS(SSP5_VSI!$F:$F,SSP5_VSI!$C:$C,Results_list!$C$4,SSP5_VSI!$D:$D,Results_list!$D12,SSP5_VSI!$B:$B,2040)) - (SUMIFS(SSP5_VSI!$F:$F,SSP5_VSI!$C:$C,Results_list!$C$4,SSP5_VSI!$D:$D,Results_list!$D12,SSP5_VSI!$B:$B,2025))) / (SUMIFS(SSP5_VSI!$F:$F,SSP5_VSI!$C:$C,Results_list!$C$4,SSP5_VSI!$D:$D,Results_list!$D12,SSP5_VSI!$B:$B,2025))</f>
        <v>-0.15335376098452394</v>
      </c>
      <c r="O12" s="13">
        <f t="shared" si="2"/>
        <v>0</v>
      </c>
    </row>
    <row r="13" spans="2:17" x14ac:dyDescent="0.35">
      <c r="B13" s="89"/>
      <c r="C13" s="91"/>
      <c r="D13" t="s">
        <v>48</v>
      </c>
      <c r="F13" s="3" t="s">
        <v>96</v>
      </c>
      <c r="G13" s="12">
        <f>((SUMIFS(SSP1_Baseline!E:E,SSP1_Baseline!C:C,Results_list!$C$4,SSP1_Baseline!D:D,Results_list!D13,SSP1_Baseline!B:B,2040)) - (SUMIFS(SSP1_Baseline!E:E,SSP1_Baseline!C:C,Results_list!$C$4,SSP1_Baseline!D:D,Results_list!D13,SSP1_Baseline!B:B,2025))) / (SUMIFS(SSP1_Baseline!E:E,SSP1_Baseline!C:C,Results_list!$C$4,SSP1_Baseline!D:D,Results_list!D13,SSP1_Baseline!B:B,2025))</f>
        <v>1.8348860162558774E-4</v>
      </c>
      <c r="H13" s="16">
        <f>((SUMIFS(SSP1_VSI!F:F,SSP1_VSI!C:C,Results_list!$C$4,SSP1_VSI!D:D,Results_list!D13,SSP1_VSI!B:B,2040)) - (SUMIFS(SSP1_VSI!F:F,SSP1_VSI!C:C,Results_list!$C$4,SSP1_VSI!D:D,Results_list!D13,SSP1_VSI!B:B,2025))) / (SUMIFS(SSP1_VSI!F:F,SSP1_VSI!C:C,Results_list!$C$4,SSP1_VSI!D:D,Results_list!D13,SSP1_VSI!B:B,2025))</f>
        <v>1.83561586518659E-4</v>
      </c>
      <c r="I13" s="13">
        <f t="shared" si="0"/>
        <v>0</v>
      </c>
      <c r="J13" s="12">
        <f>((SUMIFS(SSP2_Baseline!$E:$E,SSP2_Baseline!$C:$C,Results_list!$C$4,SSP2_Baseline!$D:$D,Results_list!$D13,SSP2_Baseline!$B:$B,2040)) - (SUMIFS(SSP2_Baseline!$E:$E,SSP2_Baseline!$C:$C,Results_list!$C$4,SSP2_Baseline!$D:$D,Results_list!$D13,SSP2_Baseline!$B:$B,2025))) / (SUMIFS(SSP2_Baseline!$E:$E,SSP2_Baseline!$C:$C,Results_list!$C$4,SSP2_Baseline!$D:$D,Results_list!$D13,SSP2_Baseline!$B:$B,2025))</f>
        <v>1.1073193351583498E-4</v>
      </c>
      <c r="K13" s="16">
        <f>((SUMIFS(SSP2_VSI!$F:$F,SSP2_VSI!$C:$C,Results_list!$C$4,SSP2_VSI!$D:$D,Results_list!$D13,SSP2_VSI!$B:$B,2040)) - (SUMIFS(SSP2_VSI!$F:$F,SSP2_VSI!$C:$C,Results_list!$C$4,SSP2_VSI!$D:$D,Results_list!$D13,SSP2_VSI!$B:$B,2025))) / (SUMIFS(SSP2_VSI!$F:$F,SSP2_VSI!$C:$C,Results_list!$C$4,SSP2_VSI!$D:$D,Results_list!$D13,SSP2_VSI!$B:$B,2025))</f>
        <v>1.1065093343984355E-4</v>
      </c>
      <c r="L13" s="13">
        <f t="shared" si="1"/>
        <v>0</v>
      </c>
      <c r="M13" s="12">
        <f>((SUMIFS(SSP5_Baseline!$E:$E,SSP5_Baseline!$C:$C,Results_list!$C$4,SSP5_Baseline!$D:$D,Results_list!$D13,SSP5_Baseline!$B:$B,2040)) - (SUMIFS(SSP5_Baseline!$E:$E,SSP5_Baseline!$C:$C,Results_list!$C$4,SSP5_Baseline!$D:$D,Results_list!$D13,SSP5_Baseline!$B:$B,2025))) / (SUMIFS(SSP5_Baseline!$E:$E,SSP5_Baseline!$C:$C,Results_list!$C$4,SSP5_Baseline!$D:$D,Results_list!$D13,SSP5_Baseline!$B:$B,2025))</f>
        <v>4.3000304427371353E-4</v>
      </c>
      <c r="N13" s="16">
        <f>((SUMIFS(SSP5_VSI!$F:$F,SSP5_VSI!$C:$C,Results_list!$C$4,SSP5_VSI!$D:$D,Results_list!$D13,SSP5_VSI!$B:$B,2040)) - (SUMIFS(SSP5_VSI!$F:$F,SSP5_VSI!$C:$C,Results_list!$C$4,SSP5_VSI!$D:$D,Results_list!$D13,SSP5_VSI!$B:$B,2025))) / (SUMIFS(SSP5_VSI!$F:$F,SSP5_VSI!$C:$C,Results_list!$C$4,SSP5_VSI!$D:$D,Results_list!$D13,SSP5_VSI!$B:$B,2025))</f>
        <v>4.3012339507401455E-4</v>
      </c>
      <c r="O13" s="13">
        <f t="shared" si="2"/>
        <v>0</v>
      </c>
    </row>
    <row r="14" spans="2:17" x14ac:dyDescent="0.35">
      <c r="B14" s="89"/>
      <c r="C14" s="91"/>
      <c r="D14" t="s">
        <v>49</v>
      </c>
      <c r="F14" s="3" t="s">
        <v>97</v>
      </c>
      <c r="G14" s="12">
        <f>((SUMIFS(SSP1_Baseline!E:E,SSP1_Baseline!C:C,Results_list!$C$4,SSP1_Baseline!D:D,Results_list!D14,SSP1_Baseline!B:B,2040)) - (SUMIFS(SSP1_Baseline!E:E,SSP1_Baseline!C:C,Results_list!$C$4,SSP1_Baseline!D:D,Results_list!D14,SSP1_Baseline!B:B,2025))) / (SUMIFS(SSP1_Baseline!E:E,SSP1_Baseline!C:C,Results_list!$C$4,SSP1_Baseline!D:D,Results_list!D14,SSP1_Baseline!B:B,2025))</f>
        <v>-1.7032690111033206E-3</v>
      </c>
      <c r="H14" s="16">
        <f>((SUMIFS(SSP1_VSI!F:F,SSP1_VSI!C:C,Results_list!$C$4,SSP1_VSI!D:D,Results_list!D14,SSP1_VSI!B:B,2040)) - (SUMIFS(SSP1_VSI!F:F,SSP1_VSI!C:C,Results_list!$C$4,SSP1_VSI!D:D,Results_list!D14,SSP1_VSI!B:B,2025))) / (SUMIFS(SSP1_VSI!F:F,SSP1_VSI!C:C,Results_list!$C$4,SSP1_VSI!D:D,Results_list!D14,SSP1_VSI!B:B,2025))</f>
        <v>-0.96570455895753693</v>
      </c>
      <c r="I14" s="13">
        <f t="shared" si="0"/>
        <v>-0.96</v>
      </c>
      <c r="J14" s="12">
        <f>((SUMIFS(SSP2_Baseline!$E:$E,SSP2_Baseline!$C:$C,Results_list!$C$4,SSP2_Baseline!$D:$D,Results_list!$D14,SSP2_Baseline!$B:$B,2040)) - (SUMIFS(SSP2_Baseline!$E:$E,SSP2_Baseline!$C:$C,Results_list!$C$4,SSP2_Baseline!$D:$D,Results_list!$D14,SSP2_Baseline!$B:$B,2025))) / (SUMIFS(SSP2_Baseline!$E:$E,SSP2_Baseline!$C:$C,Results_list!$C$4,SSP2_Baseline!$D:$D,Results_list!$D14,SSP2_Baseline!$B:$B,2025))</f>
        <v>-1.7687554323084541E-3</v>
      </c>
      <c r="K14" s="16">
        <f>((SUMIFS(SSP2_VSI!$F:$F,SSP2_VSI!$C:$C,Results_list!$C$4,SSP2_VSI!$D:$D,Results_list!$D14,SSP2_VSI!$B:$B,2040)) - (SUMIFS(SSP2_VSI!$F:$F,SSP2_VSI!$C:$C,Results_list!$C$4,SSP2_VSI!$D:$D,Results_list!$D14,SSP2_VSI!$B:$B,2025))) / (SUMIFS(SSP2_VSI!$F:$F,SSP2_VSI!$C:$C,Results_list!$C$4,SSP2_VSI!$D:$D,Results_list!$D14,SSP2_VSI!$B:$B,2025))</f>
        <v>-0.9659733629035383</v>
      </c>
      <c r="L14" s="13">
        <f t="shared" si="1"/>
        <v>-0.96</v>
      </c>
      <c r="M14" s="12">
        <f>((SUMIFS(SSP5_Baseline!$E:$E,SSP5_Baseline!$C:$C,Results_list!$C$4,SSP5_Baseline!$D:$D,Results_list!$D14,SSP5_Baseline!$B:$B,2040)) - (SUMIFS(SSP5_Baseline!$E:$E,SSP5_Baseline!$C:$C,Results_list!$C$4,SSP5_Baseline!$D:$D,Results_list!$D14,SSP5_Baseline!$B:$B,2025))) / (SUMIFS(SSP5_Baseline!$E:$E,SSP5_Baseline!$C:$C,Results_list!$C$4,SSP5_Baseline!$D:$D,Results_list!$D14,SSP5_Baseline!$B:$B,2025))</f>
        <v>-1.9166263763587858E-3</v>
      </c>
      <c r="N14" s="16">
        <f>((SUMIFS(SSP5_VSI!$F:$F,SSP5_VSI!$C:$C,Results_list!$C$4,SSP5_VSI!$D:$D,Results_list!$D14,SSP5_VSI!$B:$B,2040)) - (SUMIFS(SSP5_VSI!$F:$F,SSP5_VSI!$C:$C,Results_list!$C$4,SSP5_VSI!$D:$D,Results_list!$D14,SSP5_VSI!$B:$B,2025))) / (SUMIFS(SSP5_VSI!$F:$F,SSP5_VSI!$C:$C,Results_list!$C$4,SSP5_VSI!$D:$D,Results_list!$D14,SSP5_VSI!$B:$B,2025))</f>
        <v>-0.9641382634150587</v>
      </c>
      <c r="O14" s="13">
        <f t="shared" si="2"/>
        <v>-0.96</v>
      </c>
    </row>
    <row r="15" spans="2:17" x14ac:dyDescent="0.35">
      <c r="B15" s="89"/>
      <c r="C15" s="91"/>
      <c r="D15" t="s">
        <v>50</v>
      </c>
      <c r="F15" s="3" t="s">
        <v>98</v>
      </c>
      <c r="G15" s="12">
        <f>((SUMIFS(SSP1_Baseline!E:E,SSP1_Baseline!C:C,Results_list!$C$4,SSP1_Baseline!D:D,Results_list!D15,SSP1_Baseline!B:B,2040)) - (SUMIFS(SSP1_Baseline!E:E,SSP1_Baseline!C:C,Results_list!$C$4,SSP1_Baseline!D:D,Results_list!D15,SSP1_Baseline!B:B,2025))) / (SUMIFS(SSP1_Baseline!E:E,SSP1_Baseline!C:C,Results_list!$C$4,SSP1_Baseline!D:D,Results_list!D15,SSP1_Baseline!B:B,2025))</f>
        <v>-1.9804362412178592E-2</v>
      </c>
      <c r="H15" s="16">
        <f>((SUMIFS(SSP1_VSI!F:F,SSP1_VSI!C:C,Results_list!$C$4,SSP1_VSI!D:D,Results_list!D15,SSP1_VSI!B:B,2040)) - (SUMIFS(SSP1_VSI!F:F,SSP1_VSI!C:C,Results_list!$C$4,SSP1_VSI!D:D,Results_list!D15,SSP1_VSI!B:B,2025))) / (SUMIFS(SSP1_VSI!F:F,SSP1_VSI!C:C,Results_list!$C$4,SSP1_VSI!D:D,Results_list!D15,SSP1_VSI!B:B,2025))</f>
        <v>-1.9802940730699499E-2</v>
      </c>
      <c r="I15" s="13">
        <f t="shared" si="0"/>
        <v>0</v>
      </c>
      <c r="J15" s="12">
        <f>((SUMIFS(SSP2_Baseline!$E:$E,SSP2_Baseline!$C:$C,Results_list!$C$4,SSP2_Baseline!$D:$D,Results_list!$D15,SSP2_Baseline!$B:$B,2040)) - (SUMIFS(SSP2_Baseline!$E:$E,SSP2_Baseline!$C:$C,Results_list!$C$4,SSP2_Baseline!$D:$D,Results_list!$D15,SSP2_Baseline!$B:$B,2025))) / (SUMIFS(SSP2_Baseline!$E:$E,SSP2_Baseline!$C:$C,Results_list!$C$4,SSP2_Baseline!$D:$D,Results_list!$D15,SSP2_Baseline!$B:$B,2025))</f>
        <v>-3.8794791548672778E-3</v>
      </c>
      <c r="K15" s="16">
        <f>((SUMIFS(SSP2_VSI!$F:$F,SSP2_VSI!$C:$C,Results_list!$C$4,SSP2_VSI!$D:$D,Results_list!$D15,SSP2_VSI!$B:$B,2040)) - (SUMIFS(SSP2_VSI!$F:$F,SSP2_VSI!$C:$C,Results_list!$C$4,SSP2_VSI!$D:$D,Results_list!$D15,SSP2_VSI!$B:$B,2025))) / (SUMIFS(SSP2_VSI!$F:$F,SSP2_VSI!$C:$C,Results_list!$C$4,SSP2_VSI!$D:$D,Results_list!$D15,SSP2_VSI!$B:$B,2025))</f>
        <v>-3.8817101751871183E-3</v>
      </c>
      <c r="L15" s="13">
        <f t="shared" si="1"/>
        <v>0</v>
      </c>
      <c r="M15" s="12">
        <f>((SUMIFS(SSP5_Baseline!$E:$E,SSP5_Baseline!$C:$C,Results_list!$C$4,SSP5_Baseline!$D:$D,Results_list!$D15,SSP5_Baseline!$B:$B,2040)) - (SUMIFS(SSP5_Baseline!$E:$E,SSP5_Baseline!$C:$C,Results_list!$C$4,SSP5_Baseline!$D:$D,Results_list!$D15,SSP5_Baseline!$B:$B,2025))) / (SUMIFS(SSP5_Baseline!$E:$E,SSP5_Baseline!$C:$C,Results_list!$C$4,SSP5_Baseline!$D:$D,Results_list!$D15,SSP5_Baseline!$B:$B,2025))</f>
        <v>8.9564452247395399E-3</v>
      </c>
      <c r="N15" s="16">
        <f>((SUMIFS(SSP5_VSI!$F:$F,SSP5_VSI!$C:$C,Results_list!$C$4,SSP5_VSI!$D:$D,Results_list!$D15,SSP5_VSI!$B:$B,2040)) - (SUMIFS(SSP5_VSI!$F:$F,SSP5_VSI!$C:$C,Results_list!$C$4,SSP5_VSI!$D:$D,Results_list!$D15,SSP5_VSI!$B:$B,2025))) / (SUMIFS(SSP5_VSI!$F:$F,SSP5_VSI!$C:$C,Results_list!$C$4,SSP5_VSI!$D:$D,Results_list!$D15,SSP5_VSI!$B:$B,2025))</f>
        <v>8.9589037270569605E-3</v>
      </c>
      <c r="O15" s="13">
        <f t="shared" si="2"/>
        <v>0</v>
      </c>
    </row>
    <row r="16" spans="2:17" x14ac:dyDescent="0.35">
      <c r="B16" s="89"/>
      <c r="C16" s="91"/>
      <c r="D16" t="s">
        <v>51</v>
      </c>
      <c r="F16" s="3" t="s">
        <v>99</v>
      </c>
      <c r="G16" s="12">
        <f>((SUMIFS(SSP1_Baseline!E:E,SSP1_Baseline!C:C,Results_list!$C$4,SSP1_Baseline!D:D,Results_list!D16,SSP1_Baseline!B:B,2040)) - (SUMIFS(SSP1_Baseline!E:E,SSP1_Baseline!C:C,Results_list!$C$4,SSP1_Baseline!D:D,Results_list!D16,SSP1_Baseline!B:B,2025))) / (SUMIFS(SSP1_Baseline!E:E,SSP1_Baseline!C:C,Results_list!$C$4,SSP1_Baseline!D:D,Results_list!D16,SSP1_Baseline!B:B,2025))</f>
        <v>-1.0297452963368651E-2</v>
      </c>
      <c r="H16" s="16">
        <f>((SUMIFS(SSP1_VSI!F:F,SSP1_VSI!C:C,Results_list!$C$4,SSP1_VSI!D:D,Results_list!D16,SSP1_VSI!B:B,2040)) - (SUMIFS(SSP1_VSI!F:F,SSP1_VSI!C:C,Results_list!$C$4,SSP1_VSI!D:D,Results_list!D16,SSP1_VSI!B:B,2025))) / (SUMIFS(SSP1_VSI!F:F,SSP1_VSI!C:C,Results_list!$C$4,SSP1_VSI!D:D,Results_list!D16,SSP1_VSI!B:B,2025))</f>
        <v>-1.0305499160051194E-2</v>
      </c>
      <c r="I16" s="13">
        <f t="shared" si="0"/>
        <v>0</v>
      </c>
      <c r="J16" s="12">
        <f>((SUMIFS(SSP2_Baseline!$E:$E,SSP2_Baseline!$C:$C,Results_list!$C$4,SSP2_Baseline!$D:$D,Results_list!$D16,SSP2_Baseline!$B:$B,2040)) - (SUMIFS(SSP2_Baseline!$E:$E,SSP2_Baseline!$C:$C,Results_list!$C$4,SSP2_Baseline!$D:$D,Results_list!$D16,SSP2_Baseline!$B:$B,2025))) / (SUMIFS(SSP2_Baseline!$E:$E,SSP2_Baseline!$C:$C,Results_list!$C$4,SSP2_Baseline!$D:$D,Results_list!$D16,SSP2_Baseline!$B:$B,2025))</f>
        <v>-1.0039133533620917E-2</v>
      </c>
      <c r="K16" s="16">
        <f>((SUMIFS(SSP2_VSI!$F:$F,SSP2_VSI!$C:$C,Results_list!$C$4,SSP2_VSI!$D:$D,Results_list!$D16,SSP2_VSI!$B:$B,2040)) - (SUMIFS(SSP2_VSI!$F:$F,SSP2_VSI!$C:$C,Results_list!$C$4,SSP2_VSI!$D:$D,Results_list!$D16,SSP2_VSI!$B:$B,2025))) / (SUMIFS(SSP2_VSI!$F:$F,SSP2_VSI!$C:$C,Results_list!$C$4,SSP2_VSI!$D:$D,Results_list!$D16,SSP2_VSI!$B:$B,2025))</f>
        <v>-1.0196006714833075E-2</v>
      </c>
      <c r="L16" s="13">
        <f t="shared" si="1"/>
        <v>0</v>
      </c>
      <c r="M16" s="12">
        <f>((SUMIFS(SSP5_Baseline!$E:$E,SSP5_Baseline!$C:$C,Results_list!$C$4,SSP5_Baseline!$D:$D,Results_list!$D16,SSP5_Baseline!$B:$B,2040)) - (SUMIFS(SSP5_Baseline!$E:$E,SSP5_Baseline!$C:$C,Results_list!$C$4,SSP5_Baseline!$D:$D,Results_list!$D16,SSP5_Baseline!$B:$B,2025))) / (SUMIFS(SSP5_Baseline!$E:$E,SSP5_Baseline!$C:$C,Results_list!$C$4,SSP5_Baseline!$D:$D,Results_list!$D16,SSP5_Baseline!$B:$B,2025))</f>
        <v>-3.2423092909227812E-2</v>
      </c>
      <c r="N16" s="16">
        <f>((SUMIFS(SSP5_VSI!$F:$F,SSP5_VSI!$C:$C,Results_list!$C$4,SSP5_VSI!$D:$D,Results_list!$D16,SSP5_VSI!$B:$B,2040)) - (SUMIFS(SSP5_VSI!$F:$F,SSP5_VSI!$C:$C,Results_list!$C$4,SSP5_VSI!$D:$D,Results_list!$D16,SSP5_VSI!$B:$B,2025))) / (SUMIFS(SSP5_VSI!$F:$F,SSP5_VSI!$C:$C,Results_list!$C$4,SSP5_VSI!$D:$D,Results_list!$D16,SSP5_VSI!$B:$B,2025))</f>
        <v>-3.2373522160956299E-2</v>
      </c>
      <c r="O16" s="13">
        <f t="shared" si="2"/>
        <v>0</v>
      </c>
    </row>
    <row r="17" spans="2:15" x14ac:dyDescent="0.35">
      <c r="B17" s="89"/>
      <c r="C17" s="91"/>
      <c r="D17" t="s">
        <v>52</v>
      </c>
      <c r="F17" s="3" t="s">
        <v>100</v>
      </c>
      <c r="G17" s="12">
        <f>((SUMIFS(SSP1_Baseline!E:E,SSP1_Baseline!C:C,Results_list!$C$4,SSP1_Baseline!D:D,Results_list!D17,SSP1_Baseline!B:B,2040)) - (SUMIFS(SSP1_Baseline!E:E,SSP1_Baseline!C:C,Results_list!$C$4,SSP1_Baseline!D:D,Results_list!D17,SSP1_Baseline!B:B,2025))) / (SUMIFS(SSP1_Baseline!E:E,SSP1_Baseline!C:C,Results_list!$C$4,SSP1_Baseline!D:D,Results_list!D17,SSP1_Baseline!B:B,2025))</f>
        <v>-0.38610962202992705</v>
      </c>
      <c r="H17" s="16">
        <f>((SUMIFS(SSP1_VSI!F:F,SSP1_VSI!C:C,Results_list!$C$4,SSP1_VSI!D:D,Results_list!D17,SSP1_VSI!B:B,2040)) - (SUMIFS(SSP1_VSI!F:F,SSP1_VSI!C:C,Results_list!$C$4,SSP1_VSI!D:D,Results_list!D17,SSP1_VSI!B:B,2025))) / (SUMIFS(SSP1_VSI!F:F,SSP1_VSI!C:C,Results_list!$C$4,SSP1_VSI!D:D,Results_list!D17,SSP1_VSI!B:B,2025))</f>
        <v>-0.38609509343637083</v>
      </c>
      <c r="I17" s="13">
        <f t="shared" si="0"/>
        <v>0</v>
      </c>
      <c r="J17" s="12">
        <f>((SUMIFS(SSP2_Baseline!$E:$E,SSP2_Baseline!$C:$C,Results_list!$C$4,SSP2_Baseline!$D:$D,Results_list!$D17,SSP2_Baseline!$B:$B,2040)) - (SUMIFS(SSP2_Baseline!$E:$E,SSP2_Baseline!$C:$C,Results_list!$C$4,SSP2_Baseline!$D:$D,Results_list!$D17,SSP2_Baseline!$B:$B,2025))) / (SUMIFS(SSP2_Baseline!$E:$E,SSP2_Baseline!$C:$C,Results_list!$C$4,SSP2_Baseline!$D:$D,Results_list!$D17,SSP2_Baseline!$B:$B,2025))</f>
        <v>-0.40591851644474503</v>
      </c>
      <c r="K17" s="16">
        <f>((SUMIFS(SSP2_VSI!$F:$F,SSP2_VSI!$C:$C,Results_list!$C$4,SSP2_VSI!$D:$D,Results_list!$D17,SSP2_VSI!$B:$B,2040)) - (SUMIFS(SSP2_VSI!$F:$F,SSP2_VSI!$C:$C,Results_list!$C$4,SSP2_VSI!$D:$D,Results_list!$D17,SSP2_VSI!$B:$B,2025))) / (SUMIFS(SSP2_VSI!$F:$F,SSP2_VSI!$C:$C,Results_list!$C$4,SSP2_VSI!$D:$D,Results_list!$D17,SSP2_VSI!$B:$B,2025))</f>
        <v>-0.40589101967549973</v>
      </c>
      <c r="L17" s="13">
        <f t="shared" si="1"/>
        <v>0</v>
      </c>
      <c r="M17" s="12">
        <f>((SUMIFS(SSP5_Baseline!$E:$E,SSP5_Baseline!$C:$C,Results_list!$C$4,SSP5_Baseline!$D:$D,Results_list!$D17,SSP5_Baseline!$B:$B,2040)) - (SUMIFS(SSP5_Baseline!$E:$E,SSP5_Baseline!$C:$C,Results_list!$C$4,SSP5_Baseline!$D:$D,Results_list!$D17,SSP5_Baseline!$B:$B,2025))) / (SUMIFS(SSP5_Baseline!$E:$E,SSP5_Baseline!$C:$C,Results_list!$C$4,SSP5_Baseline!$D:$D,Results_list!$D17,SSP5_Baseline!$B:$B,2025))</f>
        <v>-0.45087768829628938</v>
      </c>
      <c r="N17" s="16">
        <f>((SUMIFS(SSP5_VSI!$F:$F,SSP5_VSI!$C:$C,Results_list!$C$4,SSP5_VSI!$D:$D,Results_list!$D17,SSP5_VSI!$B:$B,2040)) - (SUMIFS(SSP5_VSI!$F:$F,SSP5_VSI!$C:$C,Results_list!$C$4,SSP5_VSI!$D:$D,Results_list!$D17,SSP5_VSI!$B:$B,2025))) / (SUMIFS(SSP5_VSI!$F:$F,SSP5_VSI!$C:$C,Results_list!$C$4,SSP5_VSI!$D:$D,Results_list!$D17,SSP5_VSI!$B:$B,2025))</f>
        <v>-0.45085609277109784</v>
      </c>
      <c r="O17" s="13">
        <f t="shared" si="2"/>
        <v>0</v>
      </c>
    </row>
    <row r="18" spans="2:15" x14ac:dyDescent="0.35">
      <c r="B18" s="89"/>
      <c r="C18" s="91"/>
      <c r="D18" t="s">
        <v>53</v>
      </c>
      <c r="F18" s="3" t="s">
        <v>101</v>
      </c>
      <c r="G18" s="12">
        <f>((SUMIFS(SSP1_Baseline!E:E,SSP1_Baseline!C:C,Results_list!$C$4,SSP1_Baseline!D:D,Results_list!D18,SSP1_Baseline!B:B,2040)) - (SUMIFS(SSP1_Baseline!E:E,SSP1_Baseline!C:C,Results_list!$C$4,SSP1_Baseline!D:D,Results_list!D18,SSP1_Baseline!B:B,2025))) / (SUMIFS(SSP1_Baseline!E:E,SSP1_Baseline!C:C,Results_list!$C$4,SSP1_Baseline!D:D,Results_list!D18,SSP1_Baseline!B:B,2025))</f>
        <v>-2.1355603736095144E-2</v>
      </c>
      <c r="H18" s="16">
        <f>((SUMIFS(SSP1_VSI!F:F,SSP1_VSI!C:C,Results_list!$C$4,SSP1_VSI!D:D,Results_list!D18,SSP1_VSI!B:B,2040)) - (SUMIFS(SSP1_VSI!F:F,SSP1_VSI!C:C,Results_list!$C$4,SSP1_VSI!D:D,Results_list!D18,SSP1_VSI!B:B,2025))) / (SUMIFS(SSP1_VSI!F:F,SSP1_VSI!C:C,Results_list!$C$4,SSP1_VSI!D:D,Results_list!D18,SSP1_VSI!B:B,2025))</f>
        <v>-2.1375719379803544E-2</v>
      </c>
      <c r="I18" s="13">
        <f t="shared" si="0"/>
        <v>0</v>
      </c>
      <c r="J18" s="12">
        <f>((SUMIFS(SSP2_Baseline!$E:$E,SSP2_Baseline!$C:$C,Results_list!$C$4,SSP2_Baseline!$D:$D,Results_list!$D18,SSP2_Baseline!$B:$B,2040)) - (SUMIFS(SSP2_Baseline!$E:$E,SSP2_Baseline!$C:$C,Results_list!$C$4,SSP2_Baseline!$D:$D,Results_list!$D18,SSP2_Baseline!$B:$B,2025))) / (SUMIFS(SSP2_Baseline!$E:$E,SSP2_Baseline!$C:$C,Results_list!$C$4,SSP2_Baseline!$D:$D,Results_list!$D18,SSP2_Baseline!$B:$B,2025))</f>
        <v>-1.6697304135673222E-2</v>
      </c>
      <c r="K18" s="16">
        <f>((SUMIFS(SSP2_VSI!$F:$F,SSP2_VSI!$C:$C,Results_list!$C$4,SSP2_VSI!$D:$D,Results_list!$D18,SSP2_VSI!$B:$B,2040)) - (SUMIFS(SSP2_VSI!$F:$F,SSP2_VSI!$C:$C,Results_list!$C$4,SSP2_VSI!$D:$D,Results_list!$D18,SSP2_VSI!$B:$B,2025))) / (SUMIFS(SSP2_VSI!$F:$F,SSP2_VSI!$C:$C,Results_list!$C$4,SSP2_VSI!$D:$D,Results_list!$D18,SSP2_VSI!$B:$B,2025))</f>
        <v>-1.6685751672388283E-2</v>
      </c>
      <c r="L18" s="13">
        <f t="shared" si="1"/>
        <v>0</v>
      </c>
      <c r="M18" s="12">
        <f>((SUMIFS(SSP5_Baseline!$E:$E,SSP5_Baseline!$C:$C,Results_list!$C$4,SSP5_Baseline!$D:$D,Results_list!$D18,SSP5_Baseline!$B:$B,2040)) - (SUMIFS(SSP5_Baseline!$E:$E,SSP5_Baseline!$C:$C,Results_list!$C$4,SSP5_Baseline!$D:$D,Results_list!$D18,SSP5_Baseline!$B:$B,2025))) / (SUMIFS(SSP5_Baseline!$E:$E,SSP5_Baseline!$C:$C,Results_list!$C$4,SSP5_Baseline!$D:$D,Results_list!$D18,SSP5_Baseline!$B:$B,2025))</f>
        <v>0.19999220792195258</v>
      </c>
      <c r="N18" s="16">
        <f>((SUMIFS(SSP5_VSI!$F:$F,SSP5_VSI!$C:$C,Results_list!$C$4,SSP5_VSI!$D:$D,Results_list!$D18,SSP5_VSI!$B:$B,2040)) - (SUMIFS(SSP5_VSI!$F:$F,SSP5_VSI!$C:$C,Results_list!$C$4,SSP5_VSI!$D:$D,Results_list!$D18,SSP5_VSI!$B:$B,2025))) / (SUMIFS(SSP5_VSI!$F:$F,SSP5_VSI!$C:$C,Results_list!$C$4,SSP5_VSI!$D:$D,Results_list!$D18,SSP5_VSI!$B:$B,2025))</f>
        <v>0.20001567544801616</v>
      </c>
      <c r="O18" s="13">
        <f t="shared" si="2"/>
        <v>0</v>
      </c>
    </row>
    <row r="19" spans="2:15" x14ac:dyDescent="0.35">
      <c r="B19" s="89"/>
      <c r="C19" s="91"/>
      <c r="D19" t="s">
        <v>54</v>
      </c>
      <c r="F19" s="3" t="s">
        <v>102</v>
      </c>
      <c r="G19" s="12">
        <f>((SUMIFS(SSP1_Baseline!E:E,SSP1_Baseline!C:C,Results_list!$C$4,SSP1_Baseline!D:D,Results_list!D19,SSP1_Baseline!B:B,2040)) - (SUMIFS(SSP1_Baseline!E:E,SSP1_Baseline!C:C,Results_list!$C$4,SSP1_Baseline!D:D,Results_list!D19,SSP1_Baseline!B:B,2025))) / (SUMIFS(SSP1_Baseline!E:E,SSP1_Baseline!C:C,Results_list!$C$4,SSP1_Baseline!D:D,Results_list!D19,SSP1_Baseline!B:B,2025))</f>
        <v>-7.5984061157387591E-3</v>
      </c>
      <c r="H19" s="16">
        <f>((SUMIFS(SSP1_VSI!F:F,SSP1_VSI!C:C,Results_list!$C$4,SSP1_VSI!D:D,Results_list!D19,SSP1_VSI!B:B,2040)) - (SUMIFS(SSP1_VSI!F:F,SSP1_VSI!C:C,Results_list!$C$4,SSP1_VSI!D:D,Results_list!D19,SSP1_VSI!B:B,2025))) / (SUMIFS(SSP1_VSI!F:F,SSP1_VSI!C:C,Results_list!$C$4,SSP1_VSI!D:D,Results_list!D19,SSP1_VSI!B:B,2025))</f>
        <v>-7.7902413412381452E-3</v>
      </c>
      <c r="I19" s="13">
        <f t="shared" si="0"/>
        <v>0</v>
      </c>
      <c r="J19" s="12">
        <f>((SUMIFS(SSP2_Baseline!$E:$E,SSP2_Baseline!$C:$C,Results_list!$C$4,SSP2_Baseline!$D:$D,Results_list!$D19,SSP2_Baseline!$B:$B,2040)) - (SUMIFS(SSP2_Baseline!$E:$E,SSP2_Baseline!$C:$C,Results_list!$C$4,SSP2_Baseline!$D:$D,Results_list!$D19,SSP2_Baseline!$B:$B,2025))) / (SUMIFS(SSP2_Baseline!$E:$E,SSP2_Baseline!$C:$C,Results_list!$C$4,SSP2_Baseline!$D:$D,Results_list!$D19,SSP2_Baseline!$B:$B,2025))</f>
        <v>-6.8547832601691533E-3</v>
      </c>
      <c r="K19" s="16">
        <f>((SUMIFS(SSP2_VSI!$F:$F,SSP2_VSI!$C:$C,Results_list!$C$4,SSP2_VSI!$D:$D,Results_list!$D19,SSP2_VSI!$B:$B,2040)) - (SUMIFS(SSP2_VSI!$F:$F,SSP2_VSI!$C:$C,Results_list!$C$4,SSP2_VSI!$D:$D,Results_list!$D19,SSP2_VSI!$B:$B,2025))) / (SUMIFS(SSP2_VSI!$F:$F,SSP2_VSI!$C:$C,Results_list!$C$4,SSP2_VSI!$D:$D,Results_list!$D19,SSP2_VSI!$B:$B,2025))</f>
        <v>-7.0481721307053581E-3</v>
      </c>
      <c r="L19" s="13">
        <f t="shared" si="1"/>
        <v>0</v>
      </c>
      <c r="M19" s="12">
        <f>((SUMIFS(SSP5_Baseline!$E:$E,SSP5_Baseline!$C:$C,Results_list!$C$4,SSP5_Baseline!$D:$D,Results_list!$D19,SSP5_Baseline!$B:$B,2040)) - (SUMIFS(SSP5_Baseline!$E:$E,SSP5_Baseline!$C:$C,Results_list!$C$4,SSP5_Baseline!$D:$D,Results_list!$D19,SSP5_Baseline!$B:$B,2025))) / (SUMIFS(SSP5_Baseline!$E:$E,SSP5_Baseline!$C:$C,Results_list!$C$4,SSP5_Baseline!$D:$D,Results_list!$D19,SSP5_Baseline!$B:$B,2025))</f>
        <v>-6.4201369718190054E-3</v>
      </c>
      <c r="N19" s="16">
        <f>((SUMIFS(SSP5_VSI!$F:$F,SSP5_VSI!$C:$C,Results_list!$C$4,SSP5_VSI!$D:$D,Results_list!$D19,SSP5_VSI!$B:$B,2040)) - (SUMIFS(SSP5_VSI!$F:$F,SSP5_VSI!$C:$C,Results_list!$C$4,SSP5_VSI!$D:$D,Results_list!$D19,SSP5_VSI!$B:$B,2025))) / (SUMIFS(SSP5_VSI!$F:$F,SSP5_VSI!$C:$C,Results_list!$C$4,SSP5_VSI!$D:$D,Results_list!$D19,SSP5_VSI!$B:$B,2025))</f>
        <v>-6.6058004902580011E-3</v>
      </c>
      <c r="O19" s="13">
        <f t="shared" si="2"/>
        <v>0</v>
      </c>
    </row>
    <row r="20" spans="2:15" x14ac:dyDescent="0.35">
      <c r="B20" s="89"/>
      <c r="C20" s="91"/>
      <c r="D20" t="s">
        <v>55</v>
      </c>
      <c r="F20" s="3" t="s">
        <v>103</v>
      </c>
      <c r="G20" s="12">
        <f>((SUMIFS(SSP1_Baseline!E:E,SSP1_Baseline!C:C,Results_list!$C$4,SSP1_Baseline!D:D,Results_list!D20,SSP1_Baseline!B:B,2040)) - (SUMIFS(SSP1_Baseline!E:E,SSP1_Baseline!C:C,Results_list!$C$4,SSP1_Baseline!D:D,Results_list!D20,SSP1_Baseline!B:B,2025))) / (SUMIFS(SSP1_Baseline!E:E,SSP1_Baseline!C:C,Results_list!$C$4,SSP1_Baseline!D:D,Results_list!D20,SSP1_Baseline!B:B,2025))</f>
        <v>-8.0570194861619236E-3</v>
      </c>
      <c r="H20" s="16">
        <f>((SUMIFS(SSP1_VSI!F:F,SSP1_VSI!C:C,Results_list!$C$4,SSP1_VSI!D:D,Results_list!D20,SSP1_VSI!B:B,2040)) - (SUMIFS(SSP1_VSI!F:F,SSP1_VSI!C:C,Results_list!$C$4,SSP1_VSI!D:D,Results_list!D20,SSP1_VSI!B:B,2025))) / (SUMIFS(SSP1_VSI!F:F,SSP1_VSI!C:C,Results_list!$C$4,SSP1_VSI!D:D,Results_list!D20,SSP1_VSI!B:B,2025))</f>
        <v>-2.9893760945723075E-2</v>
      </c>
      <c r="I20" s="13">
        <f t="shared" si="0"/>
        <v>-0.02</v>
      </c>
      <c r="J20" s="12">
        <f>((SUMIFS(SSP2_Baseline!$E:$E,SSP2_Baseline!$C:$C,Results_list!$C$4,SSP2_Baseline!$D:$D,Results_list!$D20,SSP2_Baseline!$B:$B,2040)) - (SUMIFS(SSP2_Baseline!$E:$E,SSP2_Baseline!$C:$C,Results_list!$C$4,SSP2_Baseline!$D:$D,Results_list!$D20,SSP2_Baseline!$B:$B,2025))) / (SUMIFS(SSP2_Baseline!$E:$E,SSP2_Baseline!$C:$C,Results_list!$C$4,SSP2_Baseline!$D:$D,Results_list!$D20,SSP2_Baseline!$B:$B,2025))</f>
        <v>-7.4527897097914257E-3</v>
      </c>
      <c r="K20" s="16">
        <f>((SUMIFS(SSP2_VSI!$F:$F,SSP2_VSI!$C:$C,Results_list!$C$4,SSP2_VSI!$D:$D,Results_list!$D20,SSP2_VSI!$B:$B,2040)) - (SUMIFS(SSP2_VSI!$F:$F,SSP2_VSI!$C:$C,Results_list!$C$4,SSP2_VSI!$D:$D,Results_list!$D20,SSP2_VSI!$B:$B,2025))) / (SUMIFS(SSP2_VSI!$F:$F,SSP2_VSI!$C:$C,Results_list!$C$4,SSP2_VSI!$D:$D,Results_list!$D20,SSP2_VSI!$B:$B,2025))</f>
        <v>-2.9325735380570497E-2</v>
      </c>
      <c r="L20" s="13">
        <f t="shared" si="1"/>
        <v>-0.02</v>
      </c>
      <c r="M20" s="12">
        <f>((SUMIFS(SSP5_Baseline!$E:$E,SSP5_Baseline!$C:$C,Results_list!$C$4,SSP5_Baseline!$D:$D,Results_list!$D20,SSP5_Baseline!$B:$B,2040)) - (SUMIFS(SSP5_Baseline!$E:$E,SSP5_Baseline!$C:$C,Results_list!$C$4,SSP5_Baseline!$D:$D,Results_list!$D20,SSP5_Baseline!$B:$B,2025))) / (SUMIFS(SSP5_Baseline!$E:$E,SSP5_Baseline!$C:$C,Results_list!$C$4,SSP5_Baseline!$D:$D,Results_list!$D20,SSP5_Baseline!$B:$B,2025))</f>
        <v>-7.1894308978907376E-3</v>
      </c>
      <c r="N20" s="16">
        <f>((SUMIFS(SSP5_VSI!$F:$F,SSP5_VSI!$C:$C,Results_list!$C$4,SSP5_VSI!$D:$D,Results_list!$D20,SSP5_VSI!$B:$B,2040)) - (SUMIFS(SSP5_VSI!$F:$F,SSP5_VSI!$C:$C,Results_list!$C$4,SSP5_VSI!$D:$D,Results_list!$D20,SSP5_VSI!$B:$B,2025))) / (SUMIFS(SSP5_VSI!$F:$F,SSP5_VSI!$C:$C,Results_list!$C$4,SSP5_VSI!$D:$D,Results_list!$D20,SSP5_VSI!$B:$B,2025))</f>
        <v>-2.8752960297187449E-2</v>
      </c>
      <c r="O20" s="13">
        <f t="shared" si="2"/>
        <v>-0.02</v>
      </c>
    </row>
    <row r="21" spans="2:15" x14ac:dyDescent="0.35">
      <c r="B21" s="90"/>
      <c r="C21" s="92"/>
      <c r="D21" s="20" t="s">
        <v>56</v>
      </c>
      <c r="F21" s="9" t="s">
        <v>104</v>
      </c>
      <c r="G21" s="14">
        <f>((SUMIFS(SSP1_Baseline!E:E,SSP1_Baseline!C:C,Results_list!$C$4,SSP1_Baseline!D:D,Results_list!D21,SSP1_Baseline!B:B,2040)) - (SUMIFS(SSP1_Baseline!E:E,SSP1_Baseline!C:C,Results_list!$C$4,SSP1_Baseline!D:D,Results_list!D21,SSP1_Baseline!B:B,2025))) / (SUMIFS(SSP1_Baseline!E:E,SSP1_Baseline!C:C,Results_list!$C$4,SSP1_Baseline!D:D,Results_list!D21,SSP1_Baseline!B:B,2025))</f>
        <v>7.0987284715135837E-2</v>
      </c>
      <c r="H21" s="17">
        <f>((SUMIFS(SSP1_VSI!F:F,SSP1_VSI!C:C,Results_list!$C$4,SSP1_VSI!D:D,Results_list!D21,SSP1_VSI!B:B,2040)) - (SUMIFS(SSP1_VSI!F:F,SSP1_VSI!C:C,Results_list!$C$4,SSP1_VSI!D:D,Results_list!D21,SSP1_VSI!B:B,2025))) / (SUMIFS(SSP1_VSI!F:F,SSP1_VSI!C:C,Results_list!$C$4,SSP1_VSI!D:D,Results_list!D21,SSP1_VSI!B:B,2025))</f>
        <v>7.1002535302196454E-2</v>
      </c>
      <c r="I21" s="15">
        <f t="shared" si="0"/>
        <v>0</v>
      </c>
      <c r="J21" s="14">
        <f>((SUMIFS(SSP2_Baseline!$E:$E,SSP2_Baseline!$C:$C,Results_list!$C$4,SSP2_Baseline!$D:$D,Results_list!$D21,SSP2_Baseline!$B:$B,2040)) - (SUMIFS(SSP2_Baseline!$E:$E,SSP2_Baseline!$C:$C,Results_list!$C$4,SSP2_Baseline!$D:$D,Results_list!$D21,SSP2_Baseline!$B:$B,2025))) / (SUMIFS(SSP2_Baseline!$E:$E,SSP2_Baseline!$C:$C,Results_list!$C$4,SSP2_Baseline!$D:$D,Results_list!$D21,SSP2_Baseline!$B:$B,2025))</f>
        <v>7.699689119680167E-2</v>
      </c>
      <c r="K21" s="17">
        <f>((SUMIFS(SSP2_VSI!$F:$F,SSP2_VSI!$C:$C,Results_list!$C$4,SSP2_VSI!$D:$D,Results_list!$D21,SSP2_VSI!$B:$B,2040)) - (SUMIFS(SSP2_VSI!$F:$F,SSP2_VSI!$C:$C,Results_list!$C$4,SSP2_VSI!$D:$D,Results_list!$D21,SSP2_VSI!$B:$B,2025))) / (SUMIFS(SSP2_VSI!$F:$F,SSP2_VSI!$C:$C,Results_list!$C$4,SSP2_VSI!$D:$D,Results_list!$D21,SSP2_VSI!$B:$B,2025))</f>
        <v>7.696589925988849E-2</v>
      </c>
      <c r="L21" s="15">
        <f t="shared" si="1"/>
        <v>0</v>
      </c>
      <c r="M21" s="14">
        <f>((SUMIFS(SSP5_Baseline!$E:$E,SSP5_Baseline!$C:$C,Results_list!$C$4,SSP5_Baseline!$D:$D,Results_list!$D21,SSP5_Baseline!$B:$B,2040)) - (SUMIFS(SSP5_Baseline!$E:$E,SSP5_Baseline!$C:$C,Results_list!$C$4,SSP5_Baseline!$D:$D,Results_list!$D21,SSP5_Baseline!$B:$B,2025))) / (SUMIFS(SSP5_Baseline!$E:$E,SSP5_Baseline!$C:$C,Results_list!$C$4,SSP5_Baseline!$D:$D,Results_list!$D21,SSP5_Baseline!$B:$B,2025))</f>
        <v>0.26699579842251064</v>
      </c>
      <c r="N21" s="17">
        <f>((SUMIFS(SSP5_VSI!$F:$F,SSP5_VSI!$C:$C,Results_list!$C$4,SSP5_VSI!$D:$D,Results_list!$D21,SSP5_VSI!$B:$B,2040)) - (SUMIFS(SSP5_VSI!$F:$F,SSP5_VSI!$C:$C,Results_list!$C$4,SSP5_VSI!$D:$D,Results_list!$D21,SSP5_VSI!$B:$B,2025))) / (SUMIFS(SSP5_VSI!$F:$F,SSP5_VSI!$C:$C,Results_list!$C$4,SSP5_VSI!$D:$D,Results_list!$D21,SSP5_VSI!$B:$B,2025))</f>
        <v>0.26705146758941395</v>
      </c>
      <c r="O21" s="15">
        <f t="shared" si="2"/>
        <v>0</v>
      </c>
    </row>
    <row r="22" spans="2:15" x14ac:dyDescent="0.35">
      <c r="G22" s="5"/>
    </row>
    <row r="23" spans="2:15" ht="19" customHeight="1" x14ac:dyDescent="0.35">
      <c r="F23" s="2"/>
      <c r="G23" s="78" t="s">
        <v>3</v>
      </c>
      <c r="H23" s="79"/>
      <c r="I23" s="79"/>
      <c r="J23" s="79"/>
      <c r="K23" s="79"/>
      <c r="L23" s="79"/>
      <c r="M23" s="79"/>
      <c r="N23" s="79"/>
      <c r="O23" s="80"/>
    </row>
    <row r="24" spans="2:15" ht="29" x14ac:dyDescent="0.35">
      <c r="B24" s="8" t="s">
        <v>30</v>
      </c>
      <c r="C24" s="8" t="s">
        <v>30</v>
      </c>
      <c r="D24" s="7" t="s">
        <v>106</v>
      </c>
      <c r="F24" s="7" t="s">
        <v>105</v>
      </c>
      <c r="G24" s="10" t="s">
        <v>0</v>
      </c>
      <c r="H24" s="11" t="s">
        <v>108</v>
      </c>
      <c r="I24" s="18" t="s">
        <v>107</v>
      </c>
      <c r="J24" s="10" t="s">
        <v>1</v>
      </c>
      <c r="K24" s="11" t="s">
        <v>109</v>
      </c>
      <c r="L24" s="18" t="s">
        <v>107</v>
      </c>
      <c r="M24" s="10" t="s">
        <v>2</v>
      </c>
      <c r="N24" s="11" t="s">
        <v>110</v>
      </c>
      <c r="O24" s="18" t="s">
        <v>107</v>
      </c>
    </row>
    <row r="25" spans="2:15" ht="14.5" customHeight="1" x14ac:dyDescent="0.35">
      <c r="B25" s="89" t="s">
        <v>129</v>
      </c>
      <c r="C25" s="91" t="s">
        <v>125</v>
      </c>
      <c r="D25" t="s">
        <v>38</v>
      </c>
      <c r="F25" s="3" t="s">
        <v>87</v>
      </c>
      <c r="G25" s="12">
        <f>((SUMIFS(SSP1_Baseline!$E:$E,SSP1_Baseline!$C:$C,Results_list!$C$25,SSP1_Baseline!$D:$D,Results_list!$D25,SSP1_Baseline!$B:$B,2040))
- (SUMIFS(SSP1_Baseline!$E:$E,SSP1_Baseline!$C:$C,Results_list!$C$25,SSP1_Baseline!$D:$D,Results_list!$D25,SSP1_Baseline!$B:$B,2025)))
/ (SUMIFS(SSP1_Baseline!$E:$E,SSP1_Baseline!$C:$C,Results_list!$C$25,SSP1_Baseline!$D:$D,Results_list!$D25,SSP1_Baseline!$B:$B,2025))</f>
        <v>-0.10860359278523213</v>
      </c>
      <c r="H25" s="16">
        <f>((SUMIFS(SSP1_VSI!$F:$F,SSP1_VSI!$C:$C,Results_list!$C$25,SSP1_VSI!$D:$D,Results_list!$D25,SSP1_VSI!$B:$B,2040))
- (SUMIFS(SSP1_VSI!$F:$F,SSP1_VSI!$C:$C,Results_list!$C$25,SSP1_VSI!$D:$D,Results_list!$D25,SSP1_VSI!$B:$B,2025)))
/ (SUMIFS(SSP1_VSI!$F:$F,SSP1_VSI!$C:$C,Results_list!$C$25,SSP1_VSI!$D:$D,Results_list!$D25,SSP1_VSI!$B:$B,2025))</f>
        <v>-0.13098718505259674</v>
      </c>
      <c r="I25" s="19">
        <f>ROUND(H25-G25,3)</f>
        <v>-2.1999999999999999E-2</v>
      </c>
      <c r="J25" s="12">
        <f>((SUMIFS(SSP2_Baseline!$E:$E,SSP2_Baseline!$C:$C,Results_list!$C$25,SSP2_Baseline!$D:$D,Results_list!$D25,SSP2_Baseline!$B:$B,2040))
- (SUMIFS(SSP2_Baseline!$E:$E,SSP2_Baseline!$C:$C,Results_list!$C$25,SSP2_Baseline!$D:$D,Results_list!$D25,SSP2_Baseline!$B:$B,2025)))
/ (SUMIFS(SSP2_Baseline!$E:$E,SSP2_Baseline!$C:$C,Results_list!$C$25,SSP2_Baseline!$D:$D,Results_list!$D25,SSP2_Baseline!$B:$B,2025))</f>
        <v>0.73496018944813879</v>
      </c>
      <c r="K25" s="16">
        <f>((SUMIFS(SSP2_VSI!$F:$F,SSP2_VSI!$C:$C,Results_list!$C$25,SSP2_VSI!$D:$D,Results_list!$D25,SSP2_VSI!$B:$B,2040))
- (SUMIFS(SSP2_VSI!$F:$F,SSP2_VSI!$C:$C,Results_list!$C$25,SSP2_VSI!$D:$D,Results_list!$D25,SSP2_VSI!$B:$B,2025)))
/ (SUMIFS(SSP2_VSI!$F:$F,SSP2_VSI!$C:$C,Results_list!$C$25,SSP2_VSI!$D:$D,Results_list!$D25,SSP2_VSI!$B:$B,2025))</f>
        <v>0.65894041241145151</v>
      </c>
      <c r="L25" s="19">
        <f>ROUND(K25-J25,2)</f>
        <v>-0.08</v>
      </c>
      <c r="M25" s="12">
        <f>((SUMIFS(SSP5_Baseline!$E:$E,SSP5_Baseline!$C:$C,Results_list!$C$25,SSP5_Baseline!$D:$D,Results_list!$D25,SSP5_Baseline!$B:$B,2040))
- (SUMIFS(SSP5_Baseline!$E:$E,SSP5_Baseline!$C:$C,Results_list!$C$25,SSP5_Baseline!$D:$D,Results_list!$D25,SSP5_Baseline!$B:$B,2025)))
/ (SUMIFS(SSP5_Baseline!$E:$E,SSP5_Baseline!$C:$C,Results_list!$C$25,SSP5_Baseline!$D:$D,Results_list!$D25,SSP5_Baseline!$B:$B,2025))</f>
        <v>1.4199223089573054</v>
      </c>
      <c r="N25" s="16">
        <f>((SUMIFS(SSP5_VSI!$F:$F,SSP5_VSI!$C:$C,Results_list!$C$25,SSP5_VSI!$D:$D,Results_list!$D25,SSP5_VSI!$B:$B,2040))
- (SUMIFS(SSP5_VSI!$F:$F,SSP5_VSI!$C:$C,Results_list!$C$25,SSP5_VSI!$D:$D,Results_list!$D25,SSP5_VSI!$B:$B,2025)))
/ (SUMIFS(SSP5_VSI!$F:$F,SSP5_VSI!$C:$C,Results_list!$C$25,SSP5_VSI!$D:$D,Results_list!$D25,SSP5_VSI!$B:$B,2025))</f>
        <v>1.3287322506594887</v>
      </c>
      <c r="O25" s="19">
        <f>ROUND(N25-M25,2)</f>
        <v>-0.09</v>
      </c>
    </row>
    <row r="26" spans="2:15" x14ac:dyDescent="0.35">
      <c r="B26" s="89"/>
      <c r="C26" s="91"/>
      <c r="D26" t="s">
        <v>40</v>
      </c>
      <c r="F26" s="3" t="s">
        <v>88</v>
      </c>
      <c r="G26" s="12">
        <f>((SUMIFS(SSP1_Baseline!$E:$E,SSP1_Baseline!$C:$C,Results_list!$C$25,SSP1_Baseline!$D:$D,Results_list!$D26,SSP1_Baseline!$B:$B,2040)) - (SUMIFS(SSP1_Baseline!$E:$E,SSP1_Baseline!$C:$C,Results_list!$C$25,SSP1_Baseline!$D:$D,Results_list!$D26,SSP1_Baseline!$B:$B,2025))) / (SUMIFS(SSP1_Baseline!$E:$E,SSP1_Baseline!$C:$C,Results_list!$C$25,SSP1_Baseline!$D:$D,Results_list!$D26,SSP1_Baseline!$B:$B,2025))</f>
        <v>-4.7633201311955238E-3</v>
      </c>
      <c r="H26" s="16">
        <f>((SUMIFS(SSP1_VSI!$F:$F,SSP1_VSI!$C:$C,Results_list!$C$25,SSP1_VSI!$D:$D,Results_list!$D26,SSP1_VSI!$B:$B,2040)) - (SUMIFS(SSP1_VSI!$F:$F,SSP1_VSI!$C:$C,Results_list!$C$25,SSP1_VSI!$D:$D,Results_list!$D26,SSP1_VSI!$B:$B,2025))) / (SUMIFS(SSP1_VSI!$F:$F,SSP1_VSI!$C:$C,Results_list!$C$25,SSP1_VSI!$D:$D,Results_list!$D26,SSP1_VSI!$B:$B,2025))</f>
        <v>-4.7639340645607379E-3</v>
      </c>
      <c r="I26" s="13">
        <f t="shared" ref="I26:I42" si="3">ROUND(H26-G26,3)</f>
        <v>0</v>
      </c>
      <c r="J26" s="12">
        <f>((SUMIFS(SSP2_Baseline!$E:$E,SSP2_Baseline!$C:$C,Results_list!$C$25,SSP2_Baseline!$D:$D,Results_list!$D26,SSP2_Baseline!$B:$B,2040)) - (SUMIFS(SSP2_Baseline!$E:$E,SSP2_Baseline!$C:$C,Results_list!$C$25,SSP2_Baseline!$D:$D,Results_list!$D26,SSP2_Baseline!$B:$B,2025))) / (SUMIFS(SSP2_Baseline!$E:$E,SSP2_Baseline!$C:$C,Results_list!$C$25,SSP2_Baseline!$D:$D,Results_list!$D26,SSP2_Baseline!$B:$B,2025))</f>
        <v>-8.0161815457308952E-3</v>
      </c>
      <c r="K26" s="16">
        <f>((SUMIFS(SSP2_VSI!$F:$F,SSP2_VSI!$C:$C,Results_list!$C$25,SSP2_VSI!$D:$D,Results_list!$D26,SSP2_VSI!$B:$B,2040)) - (SUMIFS(SSP2_VSI!$F:$F,SSP2_VSI!$C:$C,Results_list!$C$25,SSP2_VSI!$D:$D,Results_list!$D26,SSP2_VSI!$B:$B,2025))) / (SUMIFS(SSP2_VSI!$F:$F,SSP2_VSI!$C:$C,Results_list!$C$25,SSP2_VSI!$D:$D,Results_list!$D26,SSP2_VSI!$B:$B,2025))</f>
        <v>-8.0174421135557807E-3</v>
      </c>
      <c r="L26" s="13">
        <f t="shared" ref="L26:L42" si="4">ROUND(K26-J26,2)</f>
        <v>0</v>
      </c>
      <c r="M26" s="12">
        <f>((SUMIFS(SSP5_Baseline!$E:$E,SSP5_Baseline!$C:$C,Results_list!$C$25,SSP5_Baseline!$D:$D,Results_list!$D26,SSP5_Baseline!$B:$B,2040)) - (SUMIFS(SSP5_Baseline!$E:$E,SSP5_Baseline!$C:$C,Results_list!$C$25,SSP5_Baseline!$D:$D,Results_list!$D26,SSP5_Baseline!$B:$B,2025))) / (SUMIFS(SSP5_Baseline!$E:$E,SSP5_Baseline!$C:$C,Results_list!$C$25,SSP5_Baseline!$D:$D,Results_list!$D26,SSP5_Baseline!$B:$B,2025))</f>
        <v>2.3752316493803941E-2</v>
      </c>
      <c r="N26" s="16">
        <f>((SUMIFS(SSP5_VSI!$F:$F,SSP5_VSI!$C:$C,Results_list!$C$25,SSP5_VSI!$D:$D,Results_list!$D26,SSP5_VSI!$B:$B,2040)) - (SUMIFS(SSP5_VSI!$F:$F,SSP5_VSI!$C:$C,Results_list!$C$25,SSP5_VSI!$D:$D,Results_list!$D26,SSP5_VSI!$B:$B,2025))) / (SUMIFS(SSP5_VSI!$F:$F,SSP5_VSI!$C:$C,Results_list!$C$25,SSP5_VSI!$D:$D,Results_list!$D26,SSP5_VSI!$B:$B,2025))</f>
        <v>2.3750761503749319E-2</v>
      </c>
      <c r="O26" s="13">
        <f t="shared" ref="O26:O42" si="5">ROUND(N26-M26,2)</f>
        <v>0</v>
      </c>
    </row>
    <row r="27" spans="2:15" x14ac:dyDescent="0.35">
      <c r="B27" s="89"/>
      <c r="C27" s="91"/>
      <c r="D27" t="s">
        <v>41</v>
      </c>
      <c r="F27" s="3" t="s">
        <v>89</v>
      </c>
      <c r="G27" s="12">
        <f>((SUMIFS(SSP1_Baseline!$E:$E,SSP1_Baseline!$C:$C,Results_list!$C$25,SSP1_Baseline!$D:$D,Results_list!$D27,SSP1_Baseline!$B:$B,2040)) - (SUMIFS(SSP1_Baseline!$E:$E,SSP1_Baseline!$C:$C,Results_list!$C$25,SSP1_Baseline!$D:$D,Results_list!$D27,SSP1_Baseline!$B:$B,2025))) / (SUMIFS(SSP1_Baseline!$E:$E,SSP1_Baseline!$C:$C,Results_list!$C$25,SSP1_Baseline!$D:$D,Results_list!$D27,SSP1_Baseline!$B:$B,2025))</f>
        <v>-2.4683329249652369E-2</v>
      </c>
      <c r="H27" s="16">
        <f>((SUMIFS(SSP1_VSI!$F:$F,SSP1_VSI!$C:$C,Results_list!$C$25,SSP1_VSI!$D:$D,Results_list!$D27,SSP1_VSI!$B:$B,2040)) - (SUMIFS(SSP1_VSI!$F:$F,SSP1_VSI!$C:$C,Results_list!$C$25,SSP1_VSI!$D:$D,Results_list!$D27,SSP1_VSI!$B:$B,2025))) / (SUMIFS(SSP1_VSI!$F:$F,SSP1_VSI!$C:$C,Results_list!$C$25,SSP1_VSI!$D:$D,Results_list!$D27,SSP1_VSI!$B:$B,2025))</f>
        <v>-4.5218978971807718E-2</v>
      </c>
      <c r="I27" s="13">
        <f t="shared" si="3"/>
        <v>-2.1000000000000001E-2</v>
      </c>
      <c r="J27" s="12">
        <f>((SUMIFS(SSP2_Baseline!$E:$E,SSP2_Baseline!$C:$C,Results_list!$C$25,SSP2_Baseline!$D:$D,Results_list!$D27,SSP2_Baseline!$B:$B,2040)) - (SUMIFS(SSP2_Baseline!$E:$E,SSP2_Baseline!$C:$C,Results_list!$C$25,SSP2_Baseline!$D:$D,Results_list!$D27,SSP2_Baseline!$B:$B,2025))) / (SUMIFS(SSP2_Baseline!$E:$E,SSP2_Baseline!$C:$C,Results_list!$C$25,SSP2_Baseline!$D:$D,Results_list!$D27,SSP2_Baseline!$B:$B,2025))</f>
        <v>-2.4416095943677996E-2</v>
      </c>
      <c r="K27" s="16">
        <f>((SUMIFS(SSP2_VSI!$F:$F,SSP2_VSI!$C:$C,Results_list!$C$25,SSP2_VSI!$D:$D,Results_list!$D27,SSP2_VSI!$B:$B,2040)) - (SUMIFS(SSP2_VSI!$F:$F,SSP2_VSI!$C:$C,Results_list!$C$25,SSP2_VSI!$D:$D,Results_list!$D27,SSP2_VSI!$B:$B,2025))) / (SUMIFS(SSP2_VSI!$F:$F,SSP2_VSI!$C:$C,Results_list!$C$25,SSP2_VSI!$D:$D,Results_list!$D27,SSP2_VSI!$B:$B,2025))</f>
        <v>-4.498242051719005E-2</v>
      </c>
      <c r="L27" s="13">
        <f t="shared" si="4"/>
        <v>-0.02</v>
      </c>
      <c r="M27" s="12">
        <f>((SUMIFS(SSP5_Baseline!$E:$E,SSP5_Baseline!$C:$C,Results_list!$C$25,SSP5_Baseline!$D:$D,Results_list!$D27,SSP5_Baseline!$B:$B,2040)) - (SUMIFS(SSP5_Baseline!$E:$E,SSP5_Baseline!$C:$C,Results_list!$C$25,SSP5_Baseline!$D:$D,Results_list!$D27,SSP5_Baseline!$B:$B,2025))) / (SUMIFS(SSP5_Baseline!$E:$E,SSP5_Baseline!$C:$C,Results_list!$C$25,SSP5_Baseline!$D:$D,Results_list!$D27,SSP5_Baseline!$B:$B,2025))</f>
        <v>-1.3432869496120985E-2</v>
      </c>
      <c r="N27" s="16">
        <f>((SUMIFS(SSP5_VSI!$F:$F,SSP5_VSI!$C:$C,Results_list!$C$25,SSP5_VSI!$D:$D,Results_list!$D27,SSP5_VSI!$B:$B,2040)) - (SUMIFS(SSP5_VSI!$F:$F,SSP5_VSI!$C:$C,Results_list!$C$25,SSP5_VSI!$D:$D,Results_list!$D27,SSP5_VSI!$B:$B,2025))) / (SUMIFS(SSP5_VSI!$F:$F,SSP5_VSI!$C:$C,Results_list!$C$25,SSP5_VSI!$D:$D,Results_list!$D27,SSP5_VSI!$B:$B,2025))</f>
        <v>-3.3945285160446897E-2</v>
      </c>
      <c r="O27" s="13">
        <f t="shared" si="5"/>
        <v>-0.02</v>
      </c>
    </row>
    <row r="28" spans="2:15" x14ac:dyDescent="0.35">
      <c r="B28" s="89"/>
      <c r="C28" s="91"/>
      <c r="D28" t="s">
        <v>42</v>
      </c>
      <c r="F28" s="3" t="s">
        <v>90</v>
      </c>
      <c r="G28" s="12">
        <f>((SUMIFS(SSP1_Baseline!$E:$E,SSP1_Baseline!$C:$C,Results_list!$C$25,SSP1_Baseline!$D:$D,Results_list!$D28,SSP1_Baseline!$B:$B,2040)) - (SUMIFS(SSP1_Baseline!$E:$E,SSP1_Baseline!$C:$C,Results_list!$C$25,SSP1_Baseline!$D:$D,Results_list!$D28,SSP1_Baseline!$B:$B,2025))) / (SUMIFS(SSP1_Baseline!$E:$E,SSP1_Baseline!$C:$C,Results_list!$C$25,SSP1_Baseline!$D:$D,Results_list!$D28,SSP1_Baseline!$B:$B,2025))</f>
        <v>-1.4180315965115996E-2</v>
      </c>
      <c r="H28" s="16">
        <f>((SUMIFS(SSP1_VSI!$F:$F,SSP1_VSI!$C:$C,Results_list!$C$25,SSP1_VSI!$D:$D,Results_list!$D28,SSP1_VSI!$B:$B,2040)) - (SUMIFS(SSP1_VSI!$F:$F,SSP1_VSI!$C:$C,Results_list!$C$25,SSP1_VSI!$D:$D,Results_list!$D28,SSP1_VSI!$B:$B,2025))) / (SUMIFS(SSP1_VSI!$F:$F,SSP1_VSI!$C:$C,Results_list!$C$25,SSP1_VSI!$D:$D,Results_list!$D28,SSP1_VSI!$B:$B,2025))</f>
        <v>-1.4728101142805211E-2</v>
      </c>
      <c r="I28" s="13">
        <f t="shared" si="3"/>
        <v>-1E-3</v>
      </c>
      <c r="J28" s="12">
        <f>((SUMIFS(SSP2_Baseline!$E:$E,SSP2_Baseline!$C:$C,Results_list!$C$25,SSP2_Baseline!$D:$D,Results_list!$D28,SSP2_Baseline!$B:$B,2040)) - (SUMIFS(SSP2_Baseline!$E:$E,SSP2_Baseline!$C:$C,Results_list!$C$25,SSP2_Baseline!$D:$D,Results_list!$D28,SSP2_Baseline!$B:$B,2025))) / (SUMIFS(SSP2_Baseline!$E:$E,SSP2_Baseline!$C:$C,Results_list!$C$25,SSP2_Baseline!$D:$D,Results_list!$D28,SSP2_Baseline!$B:$B,2025))</f>
        <v>-1.247517728294403E-2</v>
      </c>
      <c r="K28" s="16">
        <f>((SUMIFS(SSP2_VSI!$F:$F,SSP2_VSI!$C:$C,Results_list!$C$25,SSP2_VSI!$D:$D,Results_list!$D28,SSP2_VSI!$B:$B,2040)) - (SUMIFS(SSP2_VSI!$F:$F,SSP2_VSI!$C:$C,Results_list!$C$25,SSP2_VSI!$D:$D,Results_list!$D28,SSP2_VSI!$B:$B,2025))) / (SUMIFS(SSP2_VSI!$F:$F,SSP2_VSI!$C:$C,Results_list!$C$25,SSP2_VSI!$D:$D,Results_list!$D28,SSP2_VSI!$B:$B,2025))</f>
        <v>-1.3024051436705871E-2</v>
      </c>
      <c r="L28" s="13">
        <f t="shared" si="4"/>
        <v>0</v>
      </c>
      <c r="M28" s="12">
        <f>((SUMIFS(SSP5_Baseline!$E:$E,SSP5_Baseline!$C:$C,Results_list!$C$25,SSP5_Baseline!$D:$D,Results_list!$D28,SSP5_Baseline!$B:$B,2040)) - (SUMIFS(SSP5_Baseline!$E:$E,SSP5_Baseline!$C:$C,Results_list!$C$25,SSP5_Baseline!$D:$D,Results_list!$D28,SSP5_Baseline!$B:$B,2025))) / (SUMIFS(SSP5_Baseline!$E:$E,SSP5_Baseline!$C:$C,Results_list!$C$25,SSP5_Baseline!$D:$D,Results_list!$D28,SSP5_Baseline!$B:$B,2025))</f>
        <v>-1.0964581115027941E-2</v>
      </c>
      <c r="N28" s="16">
        <f>((SUMIFS(SSP5_VSI!$F:$F,SSP5_VSI!$C:$C,Results_list!$C$25,SSP5_VSI!$D:$D,Results_list!$D28,SSP5_VSI!$B:$B,2040)) - (SUMIFS(SSP5_VSI!$F:$F,SSP5_VSI!$C:$C,Results_list!$C$25,SSP5_VSI!$D:$D,Results_list!$D28,SSP5_VSI!$B:$B,2025))) / (SUMIFS(SSP5_VSI!$F:$F,SSP5_VSI!$C:$C,Results_list!$C$25,SSP5_VSI!$D:$D,Results_list!$D28,SSP5_VSI!$B:$B,2025))</f>
        <v>-1.151249040440791E-2</v>
      </c>
      <c r="O28" s="13">
        <f t="shared" si="5"/>
        <v>0</v>
      </c>
    </row>
    <row r="29" spans="2:15" x14ac:dyDescent="0.35">
      <c r="B29" s="89"/>
      <c r="C29" s="91"/>
      <c r="D29" t="s">
        <v>43</v>
      </c>
      <c r="F29" s="3" t="s">
        <v>91</v>
      </c>
      <c r="G29" s="12">
        <f>((SUMIFS(SSP1_Baseline!$E:$E,SSP1_Baseline!$C:$C,Results_list!$C$25,SSP1_Baseline!$D:$D,Results_list!$D29,SSP1_Baseline!$B:$B,2040)) - (SUMIFS(SSP1_Baseline!$E:$E,SSP1_Baseline!$C:$C,Results_list!$C$25,SSP1_Baseline!$D:$D,Results_list!$D29,SSP1_Baseline!$B:$B,2025))) / (SUMIFS(SSP1_Baseline!$E:$E,SSP1_Baseline!$C:$C,Results_list!$C$25,SSP1_Baseline!$D:$D,Results_list!$D29,SSP1_Baseline!$B:$B,2025))</f>
        <v>-2.7817944755783697E-2</v>
      </c>
      <c r="H29" s="16">
        <f>((SUMIFS(SSP1_VSI!$F:$F,SSP1_VSI!$C:$C,Results_list!$C$25,SSP1_VSI!$D:$D,Results_list!$D29,SSP1_VSI!$B:$B,2040)) - (SUMIFS(SSP1_VSI!$F:$F,SSP1_VSI!$C:$C,Results_list!$C$25,SSP1_VSI!$D:$D,Results_list!$D29,SSP1_VSI!$B:$B,2025))) / (SUMIFS(SSP1_VSI!$F:$F,SSP1_VSI!$C:$C,Results_list!$C$25,SSP1_VSI!$D:$D,Results_list!$D29,SSP1_VSI!$B:$B,2025))</f>
        <v>-2.782478194745934E-2</v>
      </c>
      <c r="I29" s="13">
        <f t="shared" si="3"/>
        <v>0</v>
      </c>
      <c r="J29" s="12">
        <f>((SUMIFS(SSP2_Baseline!$E:$E,SSP2_Baseline!$C:$C,Results_list!$C$25,SSP2_Baseline!$D:$D,Results_list!$D29,SSP2_Baseline!$B:$B,2040)) - (SUMIFS(SSP2_Baseline!$E:$E,SSP2_Baseline!$C:$C,Results_list!$C$25,SSP2_Baseline!$D:$D,Results_list!$D29,SSP2_Baseline!$B:$B,2025))) / (SUMIFS(SSP2_Baseline!$E:$E,SSP2_Baseline!$C:$C,Results_list!$C$25,SSP2_Baseline!$D:$D,Results_list!$D29,SSP2_Baseline!$B:$B,2025))</f>
        <v>-2.239448768992032E-2</v>
      </c>
      <c r="K29" s="16">
        <f>((SUMIFS(SSP2_VSI!$F:$F,SSP2_VSI!$C:$C,Results_list!$C$25,SSP2_VSI!$D:$D,Results_list!$D29,SSP2_VSI!$B:$B,2040)) - (SUMIFS(SSP2_VSI!$F:$F,SSP2_VSI!$C:$C,Results_list!$C$25,SSP2_VSI!$D:$D,Results_list!$D29,SSP2_VSI!$B:$B,2025))) / (SUMIFS(SSP2_VSI!$F:$F,SSP2_VSI!$C:$C,Results_list!$C$25,SSP2_VSI!$D:$D,Results_list!$D29,SSP2_VSI!$B:$B,2025))</f>
        <v>-2.23997424178837E-2</v>
      </c>
      <c r="L29" s="13">
        <f t="shared" si="4"/>
        <v>0</v>
      </c>
      <c r="M29" s="12">
        <f>((SUMIFS(SSP5_Baseline!$E:$E,SSP5_Baseline!$C:$C,Results_list!$C$25,SSP5_Baseline!$D:$D,Results_list!$D29,SSP5_Baseline!$B:$B,2040)) - (SUMIFS(SSP5_Baseline!$E:$E,SSP5_Baseline!$C:$C,Results_list!$C$25,SSP5_Baseline!$D:$D,Results_list!$D29,SSP5_Baseline!$B:$B,2025))) / (SUMIFS(SSP5_Baseline!$E:$E,SSP5_Baseline!$C:$C,Results_list!$C$25,SSP5_Baseline!$D:$D,Results_list!$D29,SSP5_Baseline!$B:$B,2025))</f>
        <v>-1.701333387367612E-2</v>
      </c>
      <c r="N29" s="16">
        <f>((SUMIFS(SSP5_VSI!$F:$F,SSP5_VSI!$C:$C,Results_list!$C$25,SSP5_VSI!$D:$D,Results_list!$D29,SSP5_VSI!$B:$B,2040)) - (SUMIFS(SSP5_VSI!$F:$F,SSP5_VSI!$C:$C,Results_list!$C$25,SSP5_VSI!$D:$D,Results_list!$D29,SSP5_VSI!$B:$B,2025))) / (SUMIFS(SSP5_VSI!$F:$F,SSP5_VSI!$C:$C,Results_list!$C$25,SSP5_VSI!$D:$D,Results_list!$D29,SSP5_VSI!$B:$B,2025))</f>
        <v>-1.7019455462528178E-2</v>
      </c>
      <c r="O29" s="13">
        <f t="shared" si="5"/>
        <v>0</v>
      </c>
    </row>
    <row r="30" spans="2:15" x14ac:dyDescent="0.35">
      <c r="B30" s="89"/>
      <c r="C30" s="91"/>
      <c r="D30" t="s">
        <v>136</v>
      </c>
      <c r="F30" s="3" t="s">
        <v>92</v>
      </c>
      <c r="G30" s="12">
        <f>((SUMIFS(SSP1_Baseline!$E:$E,SSP1_Baseline!$C:$C,Results_list!$C$25,SSP1_Baseline!$D:$D,Results_list!$D30,SSP1_Baseline!$B:$B,2040)) - (SUMIFS(SSP1_Baseline!$E:$E,SSP1_Baseline!$C:$C,Results_list!$C$25,SSP1_Baseline!$D:$D,Results_list!$D30,SSP1_Baseline!$B:$B,2025))) / (SUMIFS(SSP1_Baseline!$E:$E,SSP1_Baseline!$C:$C,Results_list!$C$25,SSP1_Baseline!$D:$D,Results_list!$D30,SSP1_Baseline!$B:$B,2025))</f>
        <v>-0.33486601800118737</v>
      </c>
      <c r="H30" s="16">
        <f>((SUMIFS(SSP1_VSI!$F:$F,SSP1_VSI!$C:$C,Results_list!$C$25,SSP1_VSI!$D:$D,Results_list!$D30,SSP1_VSI!$B:$B,2040)) - (SUMIFS(SSP1_VSI!$F:$F,SSP1_VSI!$C:$C,Results_list!$C$25,SSP1_VSI!$D:$D,Results_list!$D30,SSP1_VSI!$B:$B,2025))) / (SUMIFS(SSP1_VSI!$F:$F,SSP1_VSI!$C:$C,Results_list!$C$25,SSP1_VSI!$D:$D,Results_list!$D30,SSP1_VSI!$B:$B,2025))</f>
        <v>-0.33499478203995758</v>
      </c>
      <c r="I30" s="13">
        <f t="shared" si="3"/>
        <v>0</v>
      </c>
      <c r="J30" s="12">
        <f>((SUMIFS(SSP2_Baseline!$E:$E,SSP2_Baseline!$C:$C,Results_list!$C$25,SSP2_Baseline!$D:$D,Results_list!$D30,SSP2_Baseline!$B:$B,2040)) - (SUMIFS(SSP2_Baseline!$E:$E,SSP2_Baseline!$C:$C,Results_list!$C$25,SSP2_Baseline!$D:$D,Results_list!$D30,SSP2_Baseline!$B:$B,2025))) / (SUMIFS(SSP2_Baseline!$E:$E,SSP2_Baseline!$C:$C,Results_list!$C$25,SSP2_Baseline!$D:$D,Results_list!$D30,SSP2_Baseline!$B:$B,2025))</f>
        <v>-0.31165001942974491</v>
      </c>
      <c r="K30" s="16">
        <f>((SUMIFS(SSP2_VSI!$F:$F,SSP2_VSI!$C:$C,Results_list!$C$25,SSP2_VSI!$D:$D,Results_list!$D30,SSP2_VSI!$B:$B,2040)) - (SUMIFS(SSP2_VSI!$F:$F,SSP2_VSI!$C:$C,Results_list!$C$25,SSP2_VSI!$D:$D,Results_list!$D30,SSP2_VSI!$B:$B,2025))) / (SUMIFS(SSP2_VSI!$F:$F,SSP2_VSI!$C:$C,Results_list!$C$25,SSP2_VSI!$D:$D,Results_list!$D30,SSP2_VSI!$B:$B,2025))</f>
        <v>-0.31175942187334188</v>
      </c>
      <c r="L30" s="13">
        <f t="shared" si="4"/>
        <v>0</v>
      </c>
      <c r="M30" s="12">
        <f>((SUMIFS(SSP5_Baseline!$E:$E,SSP5_Baseline!$C:$C,Results_list!$C$25,SSP5_Baseline!$D:$D,Results_list!$D30,SSP5_Baseline!$B:$B,2040)) - (SUMIFS(SSP5_Baseline!$E:$E,SSP5_Baseline!$C:$C,Results_list!$C$25,SSP5_Baseline!$D:$D,Results_list!$D30,SSP5_Baseline!$B:$B,2025))) / (SUMIFS(SSP5_Baseline!$E:$E,SSP5_Baseline!$C:$C,Results_list!$C$25,SSP5_Baseline!$D:$D,Results_list!$D30,SSP5_Baseline!$B:$B,2025))</f>
        <v>-0.16350758391834952</v>
      </c>
      <c r="N30" s="16">
        <f>((SUMIFS(SSP5_VSI!$F:$F,SSP5_VSI!$C:$C,Results_list!$C$25,SSP5_VSI!$D:$D,Results_list!$D30,SSP5_VSI!$B:$B,2040)) - (SUMIFS(SSP5_VSI!$F:$F,SSP5_VSI!$C:$C,Results_list!$C$25,SSP5_VSI!$D:$D,Results_list!$D30,SSP5_VSI!$B:$B,2025))) / (SUMIFS(SSP5_VSI!$F:$F,SSP5_VSI!$C:$C,Results_list!$C$25,SSP5_VSI!$D:$D,Results_list!$D30,SSP5_VSI!$B:$B,2025))</f>
        <v>-0.16360309962581385</v>
      </c>
      <c r="O30" s="13">
        <f t="shared" si="5"/>
        <v>0</v>
      </c>
    </row>
    <row r="31" spans="2:15" ht="14.5" customHeight="1" x14ac:dyDescent="0.35">
      <c r="B31" s="89"/>
      <c r="C31" s="91"/>
      <c r="D31" t="s">
        <v>45</v>
      </c>
      <c r="F31" s="3" t="s">
        <v>93</v>
      </c>
      <c r="G31" s="12">
        <f>((SUMIFS(SSP1_Baseline!$E:$E,SSP1_Baseline!$C:$C,Results_list!$C$25,SSP1_Baseline!$D:$D,Results_list!$D31,SSP1_Baseline!$B:$B,2040)) - (SUMIFS(SSP1_Baseline!$E:$E,SSP1_Baseline!$C:$C,Results_list!$C$25,SSP1_Baseline!$D:$D,Results_list!$D31,SSP1_Baseline!$B:$B,2025))) / (SUMIFS(SSP1_Baseline!$E:$E,SSP1_Baseline!$C:$C,Results_list!$C$25,SSP1_Baseline!$D:$D,Results_list!$D31,SSP1_Baseline!$B:$B,2025))</f>
        <v>-6.3002352945518938E-2</v>
      </c>
      <c r="H31" s="16">
        <f>((SUMIFS(SSP1_VSI!$F:$F,SSP1_VSI!$C:$C,Results_list!$C$25,SSP1_VSI!$D:$D,Results_list!$D31,SSP1_VSI!$B:$B,2040)) - (SUMIFS(SSP1_VSI!$F:$F,SSP1_VSI!$C:$C,Results_list!$C$25,SSP1_VSI!$D:$D,Results_list!$D31,SSP1_VSI!$B:$B,2025))) / (SUMIFS(SSP1_VSI!$F:$F,SSP1_VSI!$C:$C,Results_list!$C$25,SSP1_VSI!$D:$D,Results_list!$D31,SSP1_VSI!$B:$B,2025))</f>
        <v>-0.22264268959163844</v>
      </c>
      <c r="I31" s="13">
        <f t="shared" si="3"/>
        <v>-0.16</v>
      </c>
      <c r="J31" s="12">
        <f>((SUMIFS(SSP2_Baseline!$E:$E,SSP2_Baseline!$C:$C,Results_list!$C$25,SSP2_Baseline!$D:$D,Results_list!$D31,SSP2_Baseline!$B:$B,2040)) - (SUMIFS(SSP2_Baseline!$E:$E,SSP2_Baseline!$C:$C,Results_list!$C$25,SSP2_Baseline!$D:$D,Results_list!$D31,SSP2_Baseline!$B:$B,2025))) / (SUMIFS(SSP2_Baseline!$E:$E,SSP2_Baseline!$C:$C,Results_list!$C$25,SSP2_Baseline!$D:$D,Results_list!$D31,SSP2_Baseline!$B:$B,2025))</f>
        <v>-5.912956329038236E-2</v>
      </c>
      <c r="K31" s="16">
        <f>((SUMIFS(SSP2_VSI!$F:$F,SSP2_VSI!$C:$C,Results_list!$C$25,SSP2_VSI!$D:$D,Results_list!$D31,SSP2_VSI!$B:$B,2040)) - (SUMIFS(SSP2_VSI!$F:$F,SSP2_VSI!$C:$C,Results_list!$C$25,SSP2_VSI!$D:$D,Results_list!$D31,SSP2_VSI!$B:$B,2025))) / (SUMIFS(SSP2_VSI!$F:$F,SSP2_VSI!$C:$C,Results_list!$C$25,SSP2_VSI!$D:$D,Results_list!$D31,SSP2_VSI!$B:$B,2025))</f>
        <v>-0.21964499036633239</v>
      </c>
      <c r="L31" s="13">
        <f t="shared" si="4"/>
        <v>-0.16</v>
      </c>
      <c r="M31" s="12">
        <f>((SUMIFS(SSP5_Baseline!$E:$E,SSP5_Baseline!$C:$C,Results_list!$C$25,SSP5_Baseline!$D:$D,Results_list!$D31,SSP5_Baseline!$B:$B,2040)) - (SUMIFS(SSP5_Baseline!$E:$E,SSP5_Baseline!$C:$C,Results_list!$C$25,SSP5_Baseline!$D:$D,Results_list!$D31,SSP5_Baseline!$B:$B,2025))) / (SUMIFS(SSP5_Baseline!$E:$E,SSP5_Baseline!$C:$C,Results_list!$C$25,SSP5_Baseline!$D:$D,Results_list!$D31,SSP5_Baseline!$B:$B,2025))</f>
        <v>-5.2778218813926463E-2</v>
      </c>
      <c r="N31" s="16">
        <f>((SUMIFS(SSP5_VSI!$F:$F,SSP5_VSI!$C:$C,Results_list!$C$25,SSP5_VSI!$D:$D,Results_list!$D31,SSP5_VSI!$B:$B,2040)) - (SUMIFS(SSP5_VSI!$F:$F,SSP5_VSI!$C:$C,Results_list!$C$25,SSP5_VSI!$D:$D,Results_list!$D31,SSP5_VSI!$B:$B,2025))) / (SUMIFS(SSP5_VSI!$F:$F,SSP5_VSI!$C:$C,Results_list!$C$25,SSP5_VSI!$D:$D,Results_list!$D31,SSP5_VSI!$B:$B,2025))</f>
        <v>-0.21435442251615081</v>
      </c>
      <c r="O31" s="13">
        <f t="shared" si="5"/>
        <v>-0.16</v>
      </c>
    </row>
    <row r="32" spans="2:15" x14ac:dyDescent="0.35">
      <c r="B32" s="89"/>
      <c r="C32" s="91"/>
      <c r="D32" t="s">
        <v>46</v>
      </c>
      <c r="F32" s="3" t="s">
        <v>94</v>
      </c>
      <c r="G32" s="12">
        <f>((SUMIFS(SSP1_Baseline!$E:$E,SSP1_Baseline!$C:$C,Results_list!$C$25,SSP1_Baseline!$D:$D,Results_list!$D32,SSP1_Baseline!$B:$B,2040)) - (SUMIFS(SSP1_Baseline!$E:$E,SSP1_Baseline!$C:$C,Results_list!$C$25,SSP1_Baseline!$D:$D,Results_list!$D32,SSP1_Baseline!$B:$B,2025))) / (SUMIFS(SSP1_Baseline!$E:$E,SSP1_Baseline!$C:$C,Results_list!$C$25,SSP1_Baseline!$D:$D,Results_list!$D32,SSP1_Baseline!$B:$B,2025))</f>
        <v>0.95369198093772756</v>
      </c>
      <c r="H32" s="16">
        <f>((SUMIFS(SSP1_VSI!$F:$F,SSP1_VSI!$C:$C,Results_list!$C$25,SSP1_VSI!$D:$D,Results_list!$D32,SSP1_VSI!$B:$B,2040)) - (SUMIFS(SSP1_VSI!$F:$F,SSP1_VSI!$C:$C,Results_list!$C$25,SSP1_VSI!$D:$D,Results_list!$D32,SSP1_VSI!$B:$B,2025))) / (SUMIFS(SSP1_VSI!$F:$F,SSP1_VSI!$C:$C,Results_list!$C$25,SSP1_VSI!$D:$D,Results_list!$D32,SSP1_VSI!$B:$B,2025))</f>
        <v>0.95369771198914099</v>
      </c>
      <c r="I32" s="13">
        <f t="shared" si="3"/>
        <v>0</v>
      </c>
      <c r="J32" s="12">
        <f>((SUMIFS(SSP2_Baseline!$E:$E,SSP2_Baseline!$C:$C,Results_list!$C$25,SSP2_Baseline!$D:$D,Results_list!$D32,SSP2_Baseline!$B:$B,2040)) - (SUMIFS(SSP2_Baseline!$E:$E,SSP2_Baseline!$C:$C,Results_list!$C$25,SSP2_Baseline!$D:$D,Results_list!$D32,SSP2_Baseline!$B:$B,2025))) / (SUMIFS(SSP2_Baseline!$E:$E,SSP2_Baseline!$C:$C,Results_list!$C$25,SSP2_Baseline!$D:$D,Results_list!$D32,SSP2_Baseline!$B:$B,2025))</f>
        <v>1.0588501925074771</v>
      </c>
      <c r="K32" s="16">
        <f>((SUMIFS(SSP2_VSI!$F:$F,SSP2_VSI!$C:$C,Results_list!$C$25,SSP2_VSI!$D:$D,Results_list!$D32,SSP2_VSI!$B:$B,2040)) - (SUMIFS(SSP2_VSI!$F:$F,SSP2_VSI!$C:$C,Results_list!$C$25,SSP2_VSI!$D:$D,Results_list!$D32,SSP2_VSI!$B:$B,2025))) / (SUMIFS(SSP2_VSI!$F:$F,SSP2_VSI!$C:$C,Results_list!$C$25,SSP2_VSI!$D:$D,Results_list!$D32,SSP2_VSI!$B:$B,2025))</f>
        <v>1.0587797373923029</v>
      </c>
      <c r="L32" s="13">
        <f t="shared" si="4"/>
        <v>0</v>
      </c>
      <c r="M32" s="12">
        <f>((SUMIFS(SSP5_Baseline!$E:$E,SSP5_Baseline!$C:$C,Results_list!$C$25,SSP5_Baseline!$D:$D,Results_list!$D32,SSP5_Baseline!$B:$B,2040)) - (SUMIFS(SSP5_Baseline!$E:$E,SSP5_Baseline!$C:$C,Results_list!$C$25,SSP5_Baseline!$D:$D,Results_list!$D32,SSP5_Baseline!$B:$B,2025))) / (SUMIFS(SSP5_Baseline!$E:$E,SSP5_Baseline!$C:$C,Results_list!$C$25,SSP5_Baseline!$D:$D,Results_list!$D32,SSP5_Baseline!$B:$B,2025))</f>
        <v>0.78717593783626194</v>
      </c>
      <c r="N32" s="16">
        <f>((SUMIFS(SSP5_VSI!$F:$F,SSP5_VSI!$C:$C,Results_list!$C$25,SSP5_VSI!$D:$D,Results_list!$D32,SSP5_VSI!$B:$B,2040)) - (SUMIFS(SSP5_VSI!$F:$F,SSP5_VSI!$C:$C,Results_list!$C$25,SSP5_VSI!$D:$D,Results_list!$D32,SSP5_VSI!$B:$B,2025))) / (SUMIFS(SSP5_VSI!$F:$F,SSP5_VSI!$C:$C,Results_list!$C$25,SSP5_VSI!$D:$D,Results_list!$D32,SSP5_VSI!$B:$B,2025))</f>
        <v>0.78718274913265074</v>
      </c>
      <c r="O32" s="13">
        <f t="shared" si="5"/>
        <v>0</v>
      </c>
    </row>
    <row r="33" spans="2:15" x14ac:dyDescent="0.35">
      <c r="B33" s="89"/>
      <c r="C33" s="91"/>
      <c r="D33" t="s">
        <v>47</v>
      </c>
      <c r="F33" s="3" t="s">
        <v>95</v>
      </c>
      <c r="G33" s="12">
        <f>((SUMIFS(SSP1_Baseline!$E:$E,SSP1_Baseline!$C:$C,Results_list!$C$25,SSP1_Baseline!$D:$D,Results_list!$D33,SSP1_Baseline!$B:$B,2040)) - (SUMIFS(SSP1_Baseline!$E:$E,SSP1_Baseline!$C:$C,Results_list!$C$25,SSP1_Baseline!$D:$D,Results_list!$D33,SSP1_Baseline!$B:$B,2025))) / (SUMIFS(SSP1_Baseline!$E:$E,SSP1_Baseline!$C:$C,Results_list!$C$25,SSP1_Baseline!$D:$D,Results_list!$D33,SSP1_Baseline!$B:$B,2025))</f>
        <v>-8.4458413175465208E-2</v>
      </c>
      <c r="H33" s="16">
        <f>((SUMIFS(SSP1_VSI!$F:$F,SSP1_VSI!$C:$C,Results_list!$C$25,SSP1_VSI!$D:$D,Results_list!$D33,SSP1_VSI!$B:$B,2040)) - (SUMIFS(SSP1_VSI!$F:$F,SSP1_VSI!$C:$C,Results_list!$C$25,SSP1_VSI!$D:$D,Results_list!$D33,SSP1_VSI!$B:$B,2025))) / (SUMIFS(SSP1_VSI!$F:$F,SSP1_VSI!$C:$C,Results_list!$C$25,SSP1_VSI!$D:$D,Results_list!$D33,SSP1_VSI!$B:$B,2025))</f>
        <v>-8.4454944171819882E-2</v>
      </c>
      <c r="I33" s="13">
        <f t="shared" si="3"/>
        <v>0</v>
      </c>
      <c r="J33" s="12">
        <f>((SUMIFS(SSP2_Baseline!$E:$E,SSP2_Baseline!$C:$C,Results_list!$C$25,SSP2_Baseline!$D:$D,Results_list!$D33,SSP2_Baseline!$B:$B,2040)) - (SUMIFS(SSP2_Baseline!$E:$E,SSP2_Baseline!$C:$C,Results_list!$C$25,SSP2_Baseline!$D:$D,Results_list!$D33,SSP2_Baseline!$B:$B,2025))) / (SUMIFS(SSP2_Baseline!$E:$E,SSP2_Baseline!$C:$C,Results_list!$C$25,SSP2_Baseline!$D:$D,Results_list!$D33,SSP2_Baseline!$B:$B,2025))</f>
        <v>-7.4806430681133504E-2</v>
      </c>
      <c r="K33" s="16">
        <f>((SUMIFS(SSP2_VSI!$F:$F,SSP2_VSI!$C:$C,Results_list!$C$25,SSP2_VSI!$D:$D,Results_list!$D33,SSP2_VSI!$B:$B,2040)) - (SUMIFS(SSP2_VSI!$F:$F,SSP2_VSI!$C:$C,Results_list!$C$25,SSP2_VSI!$D:$D,Results_list!$D33,SSP2_VSI!$B:$B,2025))) / (SUMIFS(SSP2_VSI!$F:$F,SSP2_VSI!$C:$C,Results_list!$C$25,SSP2_VSI!$D:$D,Results_list!$D33,SSP2_VSI!$B:$B,2025))</f>
        <v>-7.4805325686896851E-2</v>
      </c>
      <c r="L33" s="13">
        <f t="shared" si="4"/>
        <v>0</v>
      </c>
      <c r="M33" s="12">
        <f>((SUMIFS(SSP5_Baseline!$E:$E,SSP5_Baseline!$C:$C,Results_list!$C$25,SSP5_Baseline!$D:$D,Results_list!$D33,SSP5_Baseline!$B:$B,2040)) - (SUMIFS(SSP5_Baseline!$E:$E,SSP5_Baseline!$C:$C,Results_list!$C$25,SSP5_Baseline!$D:$D,Results_list!$D33,SSP5_Baseline!$B:$B,2025))) / (SUMIFS(SSP5_Baseline!$E:$E,SSP5_Baseline!$C:$C,Results_list!$C$25,SSP5_Baseline!$D:$D,Results_list!$D33,SSP5_Baseline!$B:$B,2025))</f>
        <v>-6.2778742603698007E-2</v>
      </c>
      <c r="N33" s="16">
        <f>((SUMIFS(SSP5_VSI!$F:$F,SSP5_VSI!$C:$C,Results_list!$C$25,SSP5_VSI!$D:$D,Results_list!$D33,SSP5_VSI!$B:$B,2040)) - (SUMIFS(SSP5_VSI!$F:$F,SSP5_VSI!$C:$C,Results_list!$C$25,SSP5_VSI!$D:$D,Results_list!$D33,SSP5_VSI!$B:$B,2025))) / (SUMIFS(SSP5_VSI!$F:$F,SSP5_VSI!$C:$C,Results_list!$C$25,SSP5_VSI!$D:$D,Results_list!$D33,SSP5_VSI!$B:$B,2025))</f>
        <v>-6.2762100121513717E-2</v>
      </c>
      <c r="O33" s="13">
        <f t="shared" si="5"/>
        <v>0</v>
      </c>
    </row>
    <row r="34" spans="2:15" x14ac:dyDescent="0.35">
      <c r="B34" s="89"/>
      <c r="C34" s="91"/>
      <c r="D34" t="s">
        <v>48</v>
      </c>
      <c r="F34" s="3" t="s">
        <v>96</v>
      </c>
      <c r="G34" s="12">
        <f>((SUMIFS(SSP1_Baseline!$E:$E,SSP1_Baseline!$C:$C,Results_list!$C$25,SSP1_Baseline!$D:$D,Results_list!$D34,SSP1_Baseline!$B:$B,2040)) - (SUMIFS(SSP1_Baseline!$E:$E,SSP1_Baseline!$C:$C,Results_list!$C$25,SSP1_Baseline!$D:$D,Results_list!$D34,SSP1_Baseline!$B:$B,2025))) / (SUMIFS(SSP1_Baseline!$E:$E,SSP1_Baseline!$C:$C,Results_list!$C$25,SSP1_Baseline!$D:$D,Results_list!$D34,SSP1_Baseline!$B:$B,2025))</f>
        <v>6.7256080878136458E-4</v>
      </c>
      <c r="H34" s="16">
        <f>((SUMIFS(SSP1_VSI!$F:$F,SSP1_VSI!$C:$C,Results_list!$C$25,SSP1_VSI!$D:$D,Results_list!$D34,SSP1_VSI!$B:$B,2040)) - (SUMIFS(SSP1_VSI!$F:$F,SSP1_VSI!$C:$C,Results_list!$C$25,SSP1_VSI!$D:$D,Results_list!$D34,SSP1_VSI!$B:$B,2025))) / (SUMIFS(SSP1_VSI!$F:$F,SSP1_VSI!$C:$C,Results_list!$C$25,SSP1_VSI!$D:$D,Results_list!$D34,SSP1_VSI!$B:$B,2025))</f>
        <v>6.7260349323779449E-4</v>
      </c>
      <c r="I34" s="13">
        <f t="shared" si="3"/>
        <v>0</v>
      </c>
      <c r="J34" s="12">
        <f>((SUMIFS(SSP2_Baseline!$E:$E,SSP2_Baseline!$C:$C,Results_list!$C$25,SSP2_Baseline!$D:$D,Results_list!$D34,SSP2_Baseline!$B:$B,2040)) - (SUMIFS(SSP2_Baseline!$E:$E,SSP2_Baseline!$C:$C,Results_list!$C$25,SSP2_Baseline!$D:$D,Results_list!$D34,SSP2_Baseline!$B:$B,2025))) / (SUMIFS(SSP2_Baseline!$E:$E,SSP2_Baseline!$C:$C,Results_list!$C$25,SSP2_Baseline!$D:$D,Results_list!$D34,SSP2_Baseline!$B:$B,2025))</f>
        <v>5.9459826086759792E-4</v>
      </c>
      <c r="K34" s="16">
        <f>((SUMIFS(SSP2_VSI!$F:$F,SSP2_VSI!$C:$C,Results_list!$C$25,SSP2_VSI!$D:$D,Results_list!$D34,SSP2_VSI!$B:$B,2040)) - (SUMIFS(SSP2_VSI!$F:$F,SSP2_VSI!$C:$C,Results_list!$C$25,SSP2_VSI!$D:$D,Results_list!$D34,SSP2_VSI!$B:$B,2025))) / (SUMIFS(SSP2_VSI!$F:$F,SSP2_VSI!$C:$C,Results_list!$C$25,SSP2_VSI!$D:$D,Results_list!$D34,SSP2_VSI!$B:$B,2025))</f>
        <v>5.9459904610944527E-4</v>
      </c>
      <c r="L34" s="13">
        <f t="shared" si="4"/>
        <v>0</v>
      </c>
      <c r="M34" s="12">
        <f>((SUMIFS(SSP5_Baseline!$E:$E,SSP5_Baseline!$C:$C,Results_list!$C$25,SSP5_Baseline!$D:$D,Results_list!$D34,SSP5_Baseline!$B:$B,2040)) - (SUMIFS(SSP5_Baseline!$E:$E,SSP5_Baseline!$C:$C,Results_list!$C$25,SSP5_Baseline!$D:$D,Results_list!$D34,SSP5_Baseline!$B:$B,2025))) / (SUMIFS(SSP5_Baseline!$E:$E,SSP5_Baseline!$C:$C,Results_list!$C$25,SSP5_Baseline!$D:$D,Results_list!$D34,SSP5_Baseline!$B:$B,2025))</f>
        <v>1.9840484626480778E-4</v>
      </c>
      <c r="N34" s="16">
        <f>((SUMIFS(SSP5_VSI!$F:$F,SSP5_VSI!$C:$C,Results_list!$C$25,SSP5_VSI!$D:$D,Results_list!$D34,SSP5_VSI!$B:$B,2040)) - (SUMIFS(SSP5_VSI!$F:$F,SSP5_VSI!$C:$C,Results_list!$C$25,SSP5_VSI!$D:$D,Results_list!$D34,SSP5_VSI!$B:$B,2025))) / (SUMIFS(SSP5_VSI!$F:$F,SSP5_VSI!$C:$C,Results_list!$C$25,SSP5_VSI!$D:$D,Results_list!$D34,SSP5_VSI!$B:$B,2025))</f>
        <v>1.9847237082729082E-4</v>
      </c>
      <c r="O34" s="13">
        <f t="shared" si="5"/>
        <v>0</v>
      </c>
    </row>
    <row r="35" spans="2:15" x14ac:dyDescent="0.35">
      <c r="B35" s="89"/>
      <c r="C35" s="91"/>
      <c r="D35" t="s">
        <v>49</v>
      </c>
      <c r="F35" s="3" t="s">
        <v>97</v>
      </c>
      <c r="G35" s="12">
        <f>((SUMIFS(SSP1_Baseline!$E:$E,SSP1_Baseline!$C:$C,Results_list!$C$25,SSP1_Baseline!$D:$D,Results_list!$D35,SSP1_Baseline!$B:$B,2040)) - (SUMIFS(SSP1_Baseline!$E:$E,SSP1_Baseline!$C:$C,Results_list!$C$25,SSP1_Baseline!$D:$D,Results_list!$D35,SSP1_Baseline!$B:$B,2025))) / (SUMIFS(SSP1_Baseline!$E:$E,SSP1_Baseline!$C:$C,Results_list!$C$25,SSP1_Baseline!$D:$D,Results_list!$D35,SSP1_Baseline!$B:$B,2025))</f>
        <v>-6.706235635617365E-2</v>
      </c>
      <c r="H35" s="16">
        <f>((SUMIFS(SSP1_VSI!$F:$F,SSP1_VSI!$C:$C,Results_list!$C$25,SSP1_VSI!$D:$D,Results_list!$D35,SSP1_VSI!$B:$B,2040)) - (SUMIFS(SSP1_VSI!$F:$F,SSP1_VSI!$C:$C,Results_list!$C$25,SSP1_VSI!$D:$D,Results_list!$D35,SSP1_VSI!$B:$B,2025))) / (SUMIFS(SSP1_VSI!$F:$F,SSP1_VSI!$C:$C,Results_list!$C$25,SSP1_VSI!$D:$D,Results_list!$D35,SSP1_VSI!$B:$B,2025))</f>
        <v>-0.28687089252164411</v>
      </c>
      <c r="I35" s="13">
        <f t="shared" si="3"/>
        <v>-0.22</v>
      </c>
      <c r="J35" s="12">
        <f>((SUMIFS(SSP2_Baseline!$E:$E,SSP2_Baseline!$C:$C,Results_list!$C$25,SSP2_Baseline!$D:$D,Results_list!$D35,SSP2_Baseline!$B:$B,2040)) - (SUMIFS(SSP2_Baseline!$E:$E,SSP2_Baseline!$C:$C,Results_list!$C$25,SSP2_Baseline!$D:$D,Results_list!$D35,SSP2_Baseline!$B:$B,2025))) / (SUMIFS(SSP2_Baseline!$E:$E,SSP2_Baseline!$C:$C,Results_list!$C$25,SSP2_Baseline!$D:$D,Results_list!$D35,SSP2_Baseline!$B:$B,2025))</f>
        <v>-6.2316201189540885E-2</v>
      </c>
      <c r="K35" s="16">
        <f>((SUMIFS(SSP2_VSI!$F:$F,SSP2_VSI!$C:$C,Results_list!$C$25,SSP2_VSI!$D:$D,Results_list!$D35,SSP2_VSI!$B:$B,2040)) - (SUMIFS(SSP2_VSI!$F:$F,SSP2_VSI!$C:$C,Results_list!$C$25,SSP2_VSI!$D:$D,Results_list!$D35,SSP2_VSI!$B:$B,2025))) / (SUMIFS(SSP2_VSI!$F:$F,SSP2_VSI!$C:$C,Results_list!$C$25,SSP2_VSI!$D:$D,Results_list!$D35,SSP2_VSI!$B:$B,2025))</f>
        <v>-0.28343886659855266</v>
      </c>
      <c r="L35" s="13">
        <f t="shared" si="4"/>
        <v>-0.22</v>
      </c>
      <c r="M35" s="12">
        <f>((SUMIFS(SSP5_Baseline!$E:$E,SSP5_Baseline!$C:$C,Results_list!$C$25,SSP5_Baseline!$D:$D,Results_list!$D35,SSP5_Baseline!$B:$B,2040)) - (SUMIFS(SSP5_Baseline!$E:$E,SSP5_Baseline!$C:$C,Results_list!$C$25,SSP5_Baseline!$D:$D,Results_list!$D35,SSP5_Baseline!$B:$B,2025))) / (SUMIFS(SSP5_Baseline!$E:$E,SSP5_Baseline!$C:$C,Results_list!$C$25,SSP5_Baseline!$D:$D,Results_list!$D35,SSP5_Baseline!$B:$B,2025))</f>
        <v>-5.813991024907935E-2</v>
      </c>
      <c r="N35" s="16">
        <f>((SUMIFS(SSP5_VSI!$F:$F,SSP5_VSI!$C:$C,Results_list!$C$25,SSP5_VSI!$D:$D,Results_list!$D35,SSP5_VSI!$B:$B,2040)) - (SUMIFS(SSP5_VSI!$F:$F,SSP5_VSI!$C:$C,Results_list!$C$25,SSP5_VSI!$D:$D,Results_list!$D35,SSP5_VSI!$B:$B,2025))) / (SUMIFS(SSP5_VSI!$F:$F,SSP5_VSI!$C:$C,Results_list!$C$25,SSP5_VSI!$D:$D,Results_list!$D35,SSP5_VSI!$B:$B,2025))</f>
        <v>-0.28098127408401313</v>
      </c>
      <c r="O35" s="13">
        <f t="shared" si="5"/>
        <v>-0.22</v>
      </c>
    </row>
    <row r="36" spans="2:15" x14ac:dyDescent="0.35">
      <c r="B36" s="89"/>
      <c r="C36" s="91"/>
      <c r="D36" t="s">
        <v>50</v>
      </c>
      <c r="F36" s="3" t="s">
        <v>98</v>
      </c>
      <c r="G36" s="12">
        <f>((SUMIFS(SSP1_Baseline!$E:$E,SSP1_Baseline!$C:$C,Results_list!$C$25,SSP1_Baseline!$D:$D,Results_list!$D36,SSP1_Baseline!$B:$B,2040)) - (SUMIFS(SSP1_Baseline!$E:$E,SSP1_Baseline!$C:$C,Results_list!$C$25,SSP1_Baseline!$D:$D,Results_list!$D36,SSP1_Baseline!$B:$B,2025))) / (SUMIFS(SSP1_Baseline!$E:$E,SSP1_Baseline!$C:$C,Results_list!$C$25,SSP1_Baseline!$D:$D,Results_list!$D36,SSP1_Baseline!$B:$B,2025))</f>
        <v>-4.3580318462288929E-2</v>
      </c>
      <c r="H36" s="16">
        <f>((SUMIFS(SSP1_VSI!$F:$F,SSP1_VSI!$C:$C,Results_list!$C$25,SSP1_VSI!$D:$D,Results_list!$D36,SSP1_VSI!$B:$B,2040)) - (SUMIFS(SSP1_VSI!$F:$F,SSP1_VSI!$C:$C,Results_list!$C$25,SSP1_VSI!$D:$D,Results_list!$D36,SSP1_VSI!$B:$B,2025))) / (SUMIFS(SSP1_VSI!$F:$F,SSP1_VSI!$C:$C,Results_list!$C$25,SSP1_VSI!$D:$D,Results_list!$D36,SSP1_VSI!$B:$B,2025))</f>
        <v>-4.3581195609398465E-2</v>
      </c>
      <c r="I36" s="13">
        <f t="shared" si="3"/>
        <v>0</v>
      </c>
      <c r="J36" s="12">
        <f>((SUMIFS(SSP2_Baseline!$E:$E,SSP2_Baseline!$C:$C,Results_list!$C$25,SSP2_Baseline!$D:$D,Results_list!$D36,SSP2_Baseline!$B:$B,2040)) - (SUMIFS(SSP2_Baseline!$E:$E,SSP2_Baseline!$C:$C,Results_list!$C$25,SSP2_Baseline!$D:$D,Results_list!$D36,SSP2_Baseline!$B:$B,2025))) / (SUMIFS(SSP2_Baseline!$E:$E,SSP2_Baseline!$C:$C,Results_list!$C$25,SSP2_Baseline!$D:$D,Results_list!$D36,SSP2_Baseline!$B:$B,2025))</f>
        <v>4.1863249934363592E-3</v>
      </c>
      <c r="K36" s="16">
        <f>((SUMIFS(SSP2_VSI!$F:$F,SSP2_VSI!$C:$C,Results_list!$C$25,SSP2_VSI!$D:$D,Results_list!$D36,SSP2_VSI!$B:$B,2040)) - (SUMIFS(SSP2_VSI!$F:$F,SSP2_VSI!$C:$C,Results_list!$C$25,SSP2_VSI!$D:$D,Results_list!$D36,SSP2_VSI!$B:$B,2025))) / (SUMIFS(SSP2_VSI!$F:$F,SSP2_VSI!$C:$C,Results_list!$C$25,SSP2_VSI!$D:$D,Results_list!$D36,SSP2_VSI!$B:$B,2025))</f>
        <v>4.185871460734748E-3</v>
      </c>
      <c r="L36" s="13">
        <f t="shared" si="4"/>
        <v>0</v>
      </c>
      <c r="M36" s="12">
        <f>((SUMIFS(SSP5_Baseline!$E:$E,SSP5_Baseline!$C:$C,Results_list!$C$25,SSP5_Baseline!$D:$D,Results_list!$D36,SSP5_Baseline!$B:$B,2040)) - (SUMIFS(SSP5_Baseline!$E:$E,SSP5_Baseline!$C:$C,Results_list!$C$25,SSP5_Baseline!$D:$D,Results_list!$D36,SSP5_Baseline!$B:$B,2025))) / (SUMIFS(SSP5_Baseline!$E:$E,SSP5_Baseline!$C:$C,Results_list!$C$25,SSP5_Baseline!$D:$D,Results_list!$D36,SSP5_Baseline!$B:$B,2025))</f>
        <v>3.5301876837811545E-2</v>
      </c>
      <c r="N36" s="16">
        <f>((SUMIFS(SSP5_VSI!$F:$F,SSP5_VSI!$C:$C,Results_list!$C$25,SSP5_VSI!$D:$D,Results_list!$D36,SSP5_VSI!$B:$B,2040)) - (SUMIFS(SSP5_VSI!$F:$F,SSP5_VSI!$C:$C,Results_list!$C$25,SSP5_VSI!$D:$D,Results_list!$D36,SSP5_VSI!$B:$B,2025))) / (SUMIFS(SSP5_VSI!$F:$F,SSP5_VSI!$C:$C,Results_list!$C$25,SSP5_VSI!$D:$D,Results_list!$D36,SSP5_VSI!$B:$B,2025))</f>
        <v>3.5303796393149976E-2</v>
      </c>
      <c r="O36" s="13">
        <f t="shared" si="5"/>
        <v>0</v>
      </c>
    </row>
    <row r="37" spans="2:15" x14ac:dyDescent="0.35">
      <c r="B37" s="89"/>
      <c r="C37" s="91"/>
      <c r="D37" t="s">
        <v>51</v>
      </c>
      <c r="F37" s="3" t="s">
        <v>99</v>
      </c>
      <c r="G37" s="12">
        <f>((SUMIFS(SSP1_Baseline!$E:$E,SSP1_Baseline!$C:$C,Results_list!$C$25,SSP1_Baseline!$D:$D,Results_list!$D37,SSP1_Baseline!$B:$B,2040)) - (SUMIFS(SSP1_Baseline!$E:$E,SSP1_Baseline!$C:$C,Results_list!$C$25,SSP1_Baseline!$D:$D,Results_list!$D37,SSP1_Baseline!$B:$B,2025))) / (SUMIFS(SSP1_Baseline!$E:$E,SSP1_Baseline!$C:$C,Results_list!$C$25,SSP1_Baseline!$D:$D,Results_list!$D37,SSP1_Baseline!$B:$B,2025))</f>
        <v>2.9220503694356234E-2</v>
      </c>
      <c r="H37" s="16">
        <f>((SUMIFS(SSP1_VSI!$F:$F,SSP1_VSI!$C:$C,Results_list!$C$25,SSP1_VSI!$D:$D,Results_list!$D37,SSP1_VSI!$B:$B,2040)) - (SUMIFS(SSP1_VSI!$F:$F,SSP1_VSI!$C:$C,Results_list!$C$25,SSP1_VSI!$D:$D,Results_list!$D37,SSP1_VSI!$B:$B,2025))) / (SUMIFS(SSP1_VSI!$F:$F,SSP1_VSI!$C:$C,Results_list!$C$25,SSP1_VSI!$D:$D,Results_list!$D37,SSP1_VSI!$B:$B,2025))</f>
        <v>2.9218341667715069E-2</v>
      </c>
      <c r="I37" s="13">
        <f t="shared" si="3"/>
        <v>0</v>
      </c>
      <c r="J37" s="12">
        <f>((SUMIFS(SSP2_Baseline!$E:$E,SSP2_Baseline!$C:$C,Results_list!$C$25,SSP2_Baseline!$D:$D,Results_list!$D37,SSP2_Baseline!$B:$B,2040)) - (SUMIFS(SSP2_Baseline!$E:$E,SSP2_Baseline!$C:$C,Results_list!$C$25,SSP2_Baseline!$D:$D,Results_list!$D37,SSP2_Baseline!$B:$B,2025))) / (SUMIFS(SSP2_Baseline!$E:$E,SSP2_Baseline!$C:$C,Results_list!$C$25,SSP2_Baseline!$D:$D,Results_list!$D37,SSP2_Baseline!$B:$B,2025))</f>
        <v>2.5780352961603248E-2</v>
      </c>
      <c r="K37" s="16">
        <f>((SUMIFS(SSP2_VSI!$F:$F,SSP2_VSI!$C:$C,Results_list!$C$25,SSP2_VSI!$D:$D,Results_list!$D37,SSP2_VSI!$B:$B,2040)) - (SUMIFS(SSP2_VSI!$F:$F,SSP2_VSI!$C:$C,Results_list!$C$25,SSP2_VSI!$D:$D,Results_list!$D37,SSP2_VSI!$B:$B,2025))) / (SUMIFS(SSP2_VSI!$F:$F,SSP2_VSI!$C:$C,Results_list!$C$25,SSP2_VSI!$D:$D,Results_list!$D37,SSP2_VSI!$B:$B,2025))</f>
        <v>2.576544957156068E-2</v>
      </c>
      <c r="L37" s="13">
        <f t="shared" si="4"/>
        <v>0</v>
      </c>
      <c r="M37" s="12">
        <f>((SUMIFS(SSP5_Baseline!$E:$E,SSP5_Baseline!$C:$C,Results_list!$C$25,SSP5_Baseline!$D:$D,Results_list!$D37,SSP5_Baseline!$B:$B,2040)) - (SUMIFS(SSP5_Baseline!$E:$E,SSP5_Baseline!$C:$C,Results_list!$C$25,SSP5_Baseline!$D:$D,Results_list!$D37,SSP5_Baseline!$B:$B,2025))) / (SUMIFS(SSP5_Baseline!$E:$E,SSP5_Baseline!$C:$C,Results_list!$C$25,SSP5_Baseline!$D:$D,Results_list!$D37,SSP5_Baseline!$B:$B,2025))</f>
        <v>-2.1822914503460824E-2</v>
      </c>
      <c r="N37" s="16">
        <f>((SUMIFS(SSP5_VSI!$F:$F,SSP5_VSI!$C:$C,Results_list!$C$25,SSP5_VSI!$D:$D,Results_list!$D37,SSP5_VSI!$B:$B,2040)) - (SUMIFS(SSP5_VSI!$F:$F,SSP5_VSI!$C:$C,Results_list!$C$25,SSP5_VSI!$D:$D,Results_list!$D37,SSP5_VSI!$B:$B,2025))) / (SUMIFS(SSP5_VSI!$F:$F,SSP5_VSI!$C:$C,Results_list!$C$25,SSP5_VSI!$D:$D,Results_list!$D37,SSP5_VSI!$B:$B,2025))</f>
        <v>-2.1818166596064573E-2</v>
      </c>
      <c r="O37" s="13">
        <f t="shared" si="5"/>
        <v>0</v>
      </c>
    </row>
    <row r="38" spans="2:15" x14ac:dyDescent="0.35">
      <c r="B38" s="89"/>
      <c r="C38" s="91"/>
      <c r="D38" t="s">
        <v>52</v>
      </c>
      <c r="F38" s="3" t="s">
        <v>100</v>
      </c>
      <c r="G38" s="12">
        <f>((SUMIFS(SSP1_Baseline!$E:$E,SSP1_Baseline!$C:$C,Results_list!$C$25,SSP1_Baseline!$D:$D,Results_list!$D38,SSP1_Baseline!$B:$B,2040)) - (SUMIFS(SSP1_Baseline!$E:$E,SSP1_Baseline!$C:$C,Results_list!$C$25,SSP1_Baseline!$D:$D,Results_list!$D38,SSP1_Baseline!$B:$B,2025))) / (SUMIFS(SSP1_Baseline!$E:$E,SSP1_Baseline!$C:$C,Results_list!$C$25,SSP1_Baseline!$D:$D,Results_list!$D38,SSP1_Baseline!$B:$B,2025))</f>
        <v>-0.37864131479667079</v>
      </c>
      <c r="H38" s="16">
        <f>((SUMIFS(SSP1_VSI!$F:$F,SSP1_VSI!$C:$C,Results_list!$C$25,SSP1_VSI!$D:$D,Results_list!$D38,SSP1_VSI!$B:$B,2040)) - (SUMIFS(SSP1_VSI!$F:$F,SSP1_VSI!$C:$C,Results_list!$C$25,SSP1_VSI!$D:$D,Results_list!$D38,SSP1_VSI!$B:$B,2025))) / (SUMIFS(SSP1_VSI!$F:$F,SSP1_VSI!$C:$C,Results_list!$C$25,SSP1_VSI!$D:$D,Results_list!$D38,SSP1_VSI!$B:$B,2025))</f>
        <v>-0.37860207867392826</v>
      </c>
      <c r="I38" s="13">
        <f t="shared" si="3"/>
        <v>0</v>
      </c>
      <c r="J38" s="12">
        <f>((SUMIFS(SSP2_Baseline!$E:$E,SSP2_Baseline!$C:$C,Results_list!$C$25,SSP2_Baseline!$D:$D,Results_list!$D38,SSP2_Baseline!$B:$B,2040)) - (SUMIFS(SSP2_Baseline!$E:$E,SSP2_Baseline!$C:$C,Results_list!$C$25,SSP2_Baseline!$D:$D,Results_list!$D38,SSP2_Baseline!$B:$B,2025))) / (SUMIFS(SSP2_Baseline!$E:$E,SSP2_Baseline!$C:$C,Results_list!$C$25,SSP2_Baseline!$D:$D,Results_list!$D38,SSP2_Baseline!$B:$B,2025))</f>
        <v>-0.36479841099997184</v>
      </c>
      <c r="K38" s="16">
        <f>((SUMIFS(SSP2_VSI!$F:$F,SSP2_VSI!$C:$C,Results_list!$C$25,SSP2_VSI!$D:$D,Results_list!$D38,SSP2_VSI!$B:$B,2040)) - (SUMIFS(SSP2_VSI!$F:$F,SSP2_VSI!$C:$C,Results_list!$C$25,SSP2_VSI!$D:$D,Results_list!$D38,SSP2_VSI!$B:$B,2025))) / (SUMIFS(SSP2_VSI!$F:$F,SSP2_VSI!$C:$C,Results_list!$C$25,SSP2_VSI!$D:$D,Results_list!$D38,SSP2_VSI!$B:$B,2025))</f>
        <v>-0.36471912941054668</v>
      </c>
      <c r="L38" s="13">
        <f t="shared" si="4"/>
        <v>0</v>
      </c>
      <c r="M38" s="12">
        <f>((SUMIFS(SSP5_Baseline!$E:$E,SSP5_Baseline!$C:$C,Results_list!$C$25,SSP5_Baseline!$D:$D,Results_list!$D38,SSP5_Baseline!$B:$B,2040)) - (SUMIFS(SSP5_Baseline!$E:$E,SSP5_Baseline!$C:$C,Results_list!$C$25,SSP5_Baseline!$D:$D,Results_list!$D38,SSP5_Baseline!$B:$B,2025))) / (SUMIFS(SSP5_Baseline!$E:$E,SSP5_Baseline!$C:$C,Results_list!$C$25,SSP5_Baseline!$D:$D,Results_list!$D38,SSP5_Baseline!$B:$B,2025))</f>
        <v>-9.2659979837748055E-2</v>
      </c>
      <c r="N38" s="16">
        <f>((SUMIFS(SSP5_VSI!$F:$F,SSP5_VSI!$C:$C,Results_list!$C$25,SSP5_VSI!$D:$D,Results_list!$D38,SSP5_VSI!$B:$B,2040)) - (SUMIFS(SSP5_VSI!$F:$F,SSP5_VSI!$C:$C,Results_list!$C$25,SSP5_VSI!$D:$D,Results_list!$D38,SSP5_VSI!$B:$B,2025))) / (SUMIFS(SSP5_VSI!$F:$F,SSP5_VSI!$C:$C,Results_list!$C$25,SSP5_VSI!$D:$D,Results_list!$D38,SSP5_VSI!$B:$B,2025))</f>
        <v>-9.2577315616835368E-2</v>
      </c>
      <c r="O38" s="13">
        <f t="shared" si="5"/>
        <v>0</v>
      </c>
    </row>
    <row r="39" spans="2:15" x14ac:dyDescent="0.35">
      <c r="B39" s="89"/>
      <c r="C39" s="91"/>
      <c r="D39" t="s">
        <v>53</v>
      </c>
      <c r="F39" s="3" t="s">
        <v>101</v>
      </c>
      <c r="G39" s="12">
        <f>((SUMIFS(SSP1_Baseline!$E:$E,SSP1_Baseline!$C:$C,Results_list!$C$25,SSP1_Baseline!$D:$D,Results_list!$D39,SSP1_Baseline!$B:$B,2040)) - (SUMIFS(SSP1_Baseline!$E:$E,SSP1_Baseline!$C:$C,Results_list!$C$25,SSP1_Baseline!$D:$D,Results_list!$D39,SSP1_Baseline!$B:$B,2025))) / (SUMIFS(SSP1_Baseline!$E:$E,SSP1_Baseline!$C:$C,Results_list!$C$25,SSP1_Baseline!$D:$D,Results_list!$D39,SSP1_Baseline!$B:$B,2025))</f>
        <v>-0.26458482063496963</v>
      </c>
      <c r="H39" s="16">
        <f>((SUMIFS(SSP1_VSI!$F:$F,SSP1_VSI!$C:$C,Results_list!$C$25,SSP1_VSI!$D:$D,Results_list!$D39,SSP1_VSI!$B:$B,2040)) - (SUMIFS(SSP1_VSI!$F:$F,SSP1_VSI!$C:$C,Results_list!$C$25,SSP1_VSI!$D:$D,Results_list!$D39,SSP1_VSI!$B:$B,2025))) / (SUMIFS(SSP1_VSI!$F:$F,SSP1_VSI!$C:$C,Results_list!$C$25,SSP1_VSI!$D:$D,Results_list!$D39,SSP1_VSI!$B:$B,2025))</f>
        <v>-0.26460895012797048</v>
      </c>
      <c r="I39" s="13">
        <f t="shared" si="3"/>
        <v>0</v>
      </c>
      <c r="J39" s="12">
        <f>((SUMIFS(SSP2_Baseline!$E:$E,SSP2_Baseline!$C:$C,Results_list!$C$25,SSP2_Baseline!$D:$D,Results_list!$D39,SSP2_Baseline!$B:$B,2040)) - (SUMIFS(SSP2_Baseline!$E:$E,SSP2_Baseline!$C:$C,Results_list!$C$25,SSP2_Baseline!$D:$D,Results_list!$D39,SSP2_Baseline!$B:$B,2025))) / (SUMIFS(SSP2_Baseline!$E:$E,SSP2_Baseline!$C:$C,Results_list!$C$25,SSP2_Baseline!$D:$D,Results_list!$D39,SSP2_Baseline!$B:$B,2025))</f>
        <v>-0.26809668384363794</v>
      </c>
      <c r="K39" s="16">
        <f>((SUMIFS(SSP2_VSI!$F:$F,SSP2_VSI!$C:$C,Results_list!$C$25,SSP2_VSI!$D:$D,Results_list!$D39,SSP2_VSI!$B:$B,2040)) - (SUMIFS(SSP2_VSI!$F:$F,SSP2_VSI!$C:$C,Results_list!$C$25,SSP2_VSI!$D:$D,Results_list!$D39,SSP2_VSI!$B:$B,2025))) / (SUMIFS(SSP2_VSI!$F:$F,SSP2_VSI!$C:$C,Results_list!$C$25,SSP2_VSI!$D:$D,Results_list!$D39,SSP2_VSI!$B:$B,2025))</f>
        <v>-0.26809721915012769</v>
      </c>
      <c r="L39" s="13">
        <f t="shared" si="4"/>
        <v>0</v>
      </c>
      <c r="M39" s="12">
        <f>((SUMIFS(SSP5_Baseline!$E:$E,SSP5_Baseline!$C:$C,Results_list!$C$25,SSP5_Baseline!$D:$D,Results_list!$D39,SSP5_Baseline!$B:$B,2040)) - (SUMIFS(SSP5_Baseline!$E:$E,SSP5_Baseline!$C:$C,Results_list!$C$25,SSP5_Baseline!$D:$D,Results_list!$D39,SSP5_Baseline!$B:$B,2025))) / (SUMIFS(SSP5_Baseline!$E:$E,SSP5_Baseline!$C:$C,Results_list!$C$25,SSP5_Baseline!$D:$D,Results_list!$D39,SSP5_Baseline!$B:$B,2025))</f>
        <v>-3.5362365053495937E-2</v>
      </c>
      <c r="N39" s="16">
        <f>((SUMIFS(SSP5_VSI!$F:$F,SSP5_VSI!$C:$C,Results_list!$C$25,SSP5_VSI!$D:$D,Results_list!$D39,SSP5_VSI!$B:$B,2040)) - (SUMIFS(SSP5_VSI!$F:$F,SSP5_VSI!$C:$C,Results_list!$C$25,SSP5_VSI!$D:$D,Results_list!$D39,SSP5_VSI!$B:$B,2025))) / (SUMIFS(SSP5_VSI!$F:$F,SSP5_VSI!$C:$C,Results_list!$C$25,SSP5_VSI!$D:$D,Results_list!$D39,SSP5_VSI!$B:$B,2025))</f>
        <v>-3.5352168661954203E-2</v>
      </c>
      <c r="O39" s="13">
        <f t="shared" si="5"/>
        <v>0</v>
      </c>
    </row>
    <row r="40" spans="2:15" x14ac:dyDescent="0.35">
      <c r="B40" s="89"/>
      <c r="C40" s="91"/>
      <c r="D40" t="s">
        <v>54</v>
      </c>
      <c r="F40" s="3" t="s">
        <v>102</v>
      </c>
      <c r="G40" s="12">
        <f>((SUMIFS(SSP1_Baseline!$E:$E,SSP1_Baseline!$C:$C,Results_list!$C$25,SSP1_Baseline!$D:$D,Results_list!$D40,SSP1_Baseline!$B:$B,2040)) - (SUMIFS(SSP1_Baseline!$E:$E,SSP1_Baseline!$C:$C,Results_list!$C$25,SSP1_Baseline!$D:$D,Results_list!$D40,SSP1_Baseline!$B:$B,2025))) / (SUMIFS(SSP1_Baseline!$E:$E,SSP1_Baseline!$C:$C,Results_list!$C$25,SSP1_Baseline!$D:$D,Results_list!$D40,SSP1_Baseline!$B:$B,2025))</f>
        <v>-1.4101546721991879E-3</v>
      </c>
      <c r="H40" s="16">
        <f>((SUMIFS(SSP1_VSI!$F:$F,SSP1_VSI!$C:$C,Results_list!$C$25,SSP1_VSI!$D:$D,Results_list!$D40,SSP1_VSI!$B:$B,2040)) - (SUMIFS(SSP1_VSI!$F:$F,SSP1_VSI!$C:$C,Results_list!$C$25,SSP1_VSI!$D:$D,Results_list!$D40,SSP1_VSI!$B:$B,2025))) / (SUMIFS(SSP1_VSI!$F:$F,SSP1_VSI!$C:$C,Results_list!$C$25,SSP1_VSI!$D:$D,Results_list!$D40,SSP1_VSI!$B:$B,2025))</f>
        <v>-2.1601561261629454E-3</v>
      </c>
      <c r="I40" s="13">
        <f t="shared" si="3"/>
        <v>-1E-3</v>
      </c>
      <c r="J40" s="12">
        <f>((SUMIFS(SSP2_Baseline!$E:$E,SSP2_Baseline!$C:$C,Results_list!$C$25,SSP2_Baseline!$D:$D,Results_list!$D40,SSP2_Baseline!$B:$B,2040)) - (SUMIFS(SSP2_Baseline!$E:$E,SSP2_Baseline!$C:$C,Results_list!$C$25,SSP2_Baseline!$D:$D,Results_list!$D40,SSP2_Baseline!$B:$B,2025))) / (SUMIFS(SSP2_Baseline!$E:$E,SSP2_Baseline!$C:$C,Results_list!$C$25,SSP2_Baseline!$D:$D,Results_list!$D40,SSP2_Baseline!$B:$B,2025))</f>
        <v>-3.3204777919979559E-4</v>
      </c>
      <c r="K40" s="16">
        <f>((SUMIFS(SSP2_VSI!$F:$F,SSP2_VSI!$C:$C,Results_list!$C$25,SSP2_VSI!$D:$D,Results_list!$D40,SSP2_VSI!$B:$B,2040)) - (SUMIFS(SSP2_VSI!$F:$F,SSP2_VSI!$C:$C,Results_list!$C$25,SSP2_VSI!$D:$D,Results_list!$D40,SSP2_VSI!$B:$B,2025))) / (SUMIFS(SSP2_VSI!$F:$F,SSP2_VSI!$C:$C,Results_list!$C$25,SSP2_VSI!$D:$D,Results_list!$D40,SSP2_VSI!$B:$B,2025))</f>
        <v>-1.0823211487769407E-3</v>
      </c>
      <c r="L40" s="13">
        <f t="shared" si="4"/>
        <v>0</v>
      </c>
      <c r="M40" s="12">
        <f>((SUMIFS(SSP5_Baseline!$E:$E,SSP5_Baseline!$C:$C,Results_list!$C$25,SSP5_Baseline!$D:$D,Results_list!$D40,SSP5_Baseline!$B:$B,2040)) - (SUMIFS(SSP5_Baseline!$E:$E,SSP5_Baseline!$C:$C,Results_list!$C$25,SSP5_Baseline!$D:$D,Results_list!$D40,SSP5_Baseline!$B:$B,2025))) / (SUMIFS(SSP5_Baseline!$E:$E,SSP5_Baseline!$C:$C,Results_list!$C$25,SSP5_Baseline!$D:$D,Results_list!$D40,SSP5_Baseline!$B:$B,2025))</f>
        <v>-1.8432367456202123E-3</v>
      </c>
      <c r="N40" s="16">
        <f>((SUMIFS(SSP5_VSI!$F:$F,SSP5_VSI!$C:$C,Results_list!$C$25,SSP5_VSI!$D:$D,Results_list!$D40,SSP5_VSI!$B:$B,2040)) - (SUMIFS(SSP5_VSI!$F:$F,SSP5_VSI!$C:$C,Results_list!$C$25,SSP5_VSI!$D:$D,Results_list!$D40,SSP5_VSI!$B:$B,2025))) / (SUMIFS(SSP5_VSI!$F:$F,SSP5_VSI!$C:$C,Results_list!$C$25,SSP5_VSI!$D:$D,Results_list!$D40,SSP5_VSI!$B:$B,2025))</f>
        <v>-2.5941670017580001E-3</v>
      </c>
      <c r="O40" s="13">
        <f t="shared" si="5"/>
        <v>0</v>
      </c>
    </row>
    <row r="41" spans="2:15" x14ac:dyDescent="0.35">
      <c r="B41" s="89"/>
      <c r="C41" s="91"/>
      <c r="D41" t="s">
        <v>55</v>
      </c>
      <c r="F41" s="3" t="s">
        <v>103</v>
      </c>
      <c r="G41" s="12">
        <f>((SUMIFS(SSP1_Baseline!$E:$E,SSP1_Baseline!$C:$C,Results_list!$C$25,SSP1_Baseline!$D:$D,Results_list!$D41,SSP1_Baseline!$B:$B,2040)) - (SUMIFS(SSP1_Baseline!$E:$E,SSP1_Baseline!$C:$C,Results_list!$C$25,SSP1_Baseline!$D:$D,Results_list!$D41,SSP1_Baseline!$B:$B,2025))) / (SUMIFS(SSP1_Baseline!$E:$E,SSP1_Baseline!$C:$C,Results_list!$C$25,SSP1_Baseline!$D:$D,Results_list!$D41,SSP1_Baseline!$B:$B,2025))</f>
        <v>-2.0435245714995579E-3</v>
      </c>
      <c r="H41" s="16">
        <f>((SUMIFS(SSP1_VSI!$F:$F,SSP1_VSI!$C:$C,Results_list!$C$25,SSP1_VSI!$D:$D,Results_list!$D41,SSP1_VSI!$B:$B,2040)) - (SUMIFS(SSP1_VSI!$F:$F,SSP1_VSI!$C:$C,Results_list!$C$25,SSP1_VSI!$D:$D,Results_list!$D41,SSP1_VSI!$B:$B,2025))) / (SUMIFS(SSP1_VSI!$F:$F,SSP1_VSI!$C:$C,Results_list!$C$25,SSP1_VSI!$D:$D,Results_list!$D41,SSP1_VSI!$B:$B,2025))</f>
        <v>-2.194214830397469E-3</v>
      </c>
      <c r="I41" s="13">
        <f t="shared" si="3"/>
        <v>0</v>
      </c>
      <c r="J41" s="12">
        <f>((SUMIFS(SSP2_Baseline!$E:$E,SSP2_Baseline!$C:$C,Results_list!$C$25,SSP2_Baseline!$D:$D,Results_list!$D41,SSP2_Baseline!$B:$B,2040)) - (SUMIFS(SSP2_Baseline!$E:$E,SSP2_Baseline!$C:$C,Results_list!$C$25,SSP2_Baseline!$D:$D,Results_list!$D41,SSP2_Baseline!$B:$B,2025))) / (SUMIFS(SSP2_Baseline!$E:$E,SSP2_Baseline!$C:$C,Results_list!$C$25,SSP2_Baseline!$D:$D,Results_list!$D41,SSP2_Baseline!$B:$B,2025))</f>
        <v>-9.4616276228986097E-4</v>
      </c>
      <c r="K41" s="16">
        <f>((SUMIFS(SSP2_VSI!$F:$F,SSP2_VSI!$C:$C,Results_list!$C$25,SSP2_VSI!$D:$D,Results_list!$D41,SSP2_VSI!$B:$B,2040)) - (SUMIFS(SSP2_VSI!$F:$F,SSP2_VSI!$C:$C,Results_list!$C$25,SSP2_VSI!$D:$D,Results_list!$D41,SSP2_VSI!$B:$B,2025))) / (SUMIFS(SSP2_VSI!$F:$F,SSP2_VSI!$C:$C,Results_list!$C$25,SSP2_VSI!$D:$D,Results_list!$D41,SSP2_VSI!$B:$B,2025))</f>
        <v>-1.0969503031310578E-3</v>
      </c>
      <c r="L41" s="13">
        <f t="shared" si="4"/>
        <v>0</v>
      </c>
      <c r="M41" s="12">
        <f>((SUMIFS(SSP5_Baseline!$E:$E,SSP5_Baseline!$C:$C,Results_list!$C$25,SSP5_Baseline!$D:$D,Results_list!$D41,SSP5_Baseline!$B:$B,2040)) - (SUMIFS(SSP5_Baseline!$E:$E,SSP5_Baseline!$C:$C,Results_list!$C$25,SSP5_Baseline!$D:$D,Results_list!$D41,SSP5_Baseline!$B:$B,2025))) / (SUMIFS(SSP5_Baseline!$E:$E,SSP5_Baseline!$C:$C,Results_list!$C$25,SSP5_Baseline!$D:$D,Results_list!$D41,SSP5_Baseline!$B:$B,2025))</f>
        <v>-2.452845811249188E-3</v>
      </c>
      <c r="N41" s="16">
        <f>((SUMIFS(SSP5_VSI!$F:$F,SSP5_VSI!$C:$C,Results_list!$C$25,SSP5_VSI!$D:$D,Results_list!$D41,SSP5_VSI!$B:$B,2040)) - (SUMIFS(SSP5_VSI!$F:$F,SSP5_VSI!$C:$C,Results_list!$C$25,SSP5_VSI!$D:$D,Results_list!$D41,SSP5_VSI!$B:$B,2025))) / (SUMIFS(SSP5_VSI!$F:$F,SSP5_VSI!$C:$C,Results_list!$C$25,SSP5_VSI!$D:$D,Results_list!$D41,SSP5_VSI!$B:$B,2025))</f>
        <v>-2.6032554112653638E-3</v>
      </c>
      <c r="O41" s="13">
        <f t="shared" si="5"/>
        <v>0</v>
      </c>
    </row>
    <row r="42" spans="2:15" x14ac:dyDescent="0.35">
      <c r="B42" s="90"/>
      <c r="C42" s="92"/>
      <c r="D42" s="20" t="s">
        <v>56</v>
      </c>
      <c r="F42" s="9" t="s">
        <v>104</v>
      </c>
      <c r="G42" s="14">
        <f>((SUMIFS(SSP1_Baseline!$E:$E,SSP1_Baseline!$C:$C,Results_list!$C$25,SSP1_Baseline!$D:$D,Results_list!$D42,SSP1_Baseline!$B:$B,2040)) - (SUMIFS(SSP1_Baseline!$E:$E,SSP1_Baseline!$C:$C,Results_list!$C$25,SSP1_Baseline!$D:$D,Results_list!$D42,SSP1_Baseline!$B:$B,2025))) / (SUMIFS(SSP1_Baseline!$E:$E,SSP1_Baseline!$C:$C,Results_list!$C$25,SSP1_Baseline!$D:$D,Results_list!$D42,SSP1_Baseline!$B:$B,2025))</f>
        <v>-7.8120541278491606E-2</v>
      </c>
      <c r="H42" s="17">
        <f>((SUMIFS(SSP1_VSI!$F:$F,SSP1_VSI!$C:$C,Results_list!$C$25,SSP1_VSI!$D:$D,Results_list!$D42,SSP1_VSI!$B:$B,2040)) - (SUMIFS(SSP1_VSI!$F:$F,SSP1_VSI!$C:$C,Results_list!$C$25,SSP1_VSI!$D:$D,Results_list!$D42,SSP1_VSI!$B:$B,2025))) / (SUMIFS(SSP1_VSI!$F:$F,SSP1_VSI!$C:$C,Results_list!$C$25,SSP1_VSI!$D:$D,Results_list!$D42,SSP1_VSI!$B:$B,2025))</f>
        <v>-7.8124711853579387E-2</v>
      </c>
      <c r="I42" s="15">
        <f t="shared" si="3"/>
        <v>0</v>
      </c>
      <c r="J42" s="14">
        <f>((SUMIFS(SSP2_Baseline!$E:$E,SSP2_Baseline!$C:$C,Results_list!$C$25,SSP2_Baseline!$D:$D,Results_list!$D42,SSP2_Baseline!$B:$B,2040)) - (SUMIFS(SSP2_Baseline!$E:$E,SSP2_Baseline!$C:$C,Results_list!$C$25,SSP2_Baseline!$D:$D,Results_list!$D42,SSP2_Baseline!$B:$B,2025))) / (SUMIFS(SSP2_Baseline!$E:$E,SSP2_Baseline!$C:$C,Results_list!$C$25,SSP2_Baseline!$D:$D,Results_list!$D42,SSP2_Baseline!$B:$B,2025))</f>
        <v>-0.12716265863581877</v>
      </c>
      <c r="K42" s="17">
        <f>((SUMIFS(SSP2_VSI!$F:$F,SSP2_VSI!$C:$C,Results_list!$C$25,SSP2_VSI!$D:$D,Results_list!$D42,SSP2_VSI!$B:$B,2040)) - (SUMIFS(SSP2_VSI!$F:$F,SSP2_VSI!$C:$C,Results_list!$C$25,SSP2_VSI!$D:$D,Results_list!$D42,SSP2_VSI!$B:$B,2025))) / (SUMIFS(SSP2_VSI!$F:$F,SSP2_VSI!$C:$C,Results_list!$C$25,SSP2_VSI!$D:$D,Results_list!$D42,SSP2_VSI!$B:$B,2025))</f>
        <v>-0.12717554193933267</v>
      </c>
      <c r="L42" s="15">
        <f t="shared" si="4"/>
        <v>0</v>
      </c>
      <c r="M42" s="14">
        <f>((SUMIFS(SSP5_Baseline!$E:$E,SSP5_Baseline!$C:$C,Results_list!$C$25,SSP5_Baseline!$D:$D,Results_list!$D42,SSP5_Baseline!$B:$B,2040)) - (SUMIFS(SSP5_Baseline!$E:$E,SSP5_Baseline!$C:$C,Results_list!$C$25,SSP5_Baseline!$D:$D,Results_list!$D42,SSP5_Baseline!$B:$B,2025))) / (SUMIFS(SSP5_Baseline!$E:$E,SSP5_Baseline!$C:$C,Results_list!$C$25,SSP5_Baseline!$D:$D,Results_list!$D42,SSP5_Baseline!$B:$B,2025))</f>
        <v>0.18231961947685071</v>
      </c>
      <c r="N42" s="17">
        <f>((SUMIFS(SSP5_VSI!$F:$F,SSP5_VSI!$C:$C,Results_list!$C$25,SSP5_VSI!$D:$D,Results_list!$D42,SSP5_VSI!$B:$B,2040)) - (SUMIFS(SSP5_VSI!$F:$F,SSP5_VSI!$C:$C,Results_list!$C$25,SSP5_VSI!$D:$D,Results_list!$D42,SSP5_VSI!$B:$B,2025))) / (SUMIFS(SSP5_VSI!$F:$F,SSP5_VSI!$C:$C,Results_list!$C$25,SSP5_VSI!$D:$D,Results_list!$D42,SSP5_VSI!$B:$B,2025))</f>
        <v>0.18233492668078502</v>
      </c>
      <c r="O42" s="15">
        <f t="shared" si="5"/>
        <v>0</v>
      </c>
    </row>
    <row r="43" spans="2:15" x14ac:dyDescent="0.35">
      <c r="J43" s="21"/>
      <c r="K43" s="21"/>
    </row>
    <row r="44" spans="2:15" ht="19" customHeight="1" x14ac:dyDescent="0.35">
      <c r="F44" s="2"/>
      <c r="G44" s="78" t="s">
        <v>3</v>
      </c>
      <c r="H44" s="79"/>
      <c r="I44" s="79"/>
      <c r="J44" s="79"/>
      <c r="K44" s="79"/>
      <c r="L44" s="79"/>
      <c r="M44" s="79"/>
      <c r="N44" s="79"/>
      <c r="O44" s="80"/>
    </row>
    <row r="45" spans="2:15" ht="29" x14ac:dyDescent="0.35">
      <c r="B45" s="8" t="s">
        <v>30</v>
      </c>
      <c r="C45" s="8" t="s">
        <v>30</v>
      </c>
      <c r="D45" s="7" t="s">
        <v>106</v>
      </c>
      <c r="F45" s="7" t="s">
        <v>105</v>
      </c>
      <c r="G45" s="10" t="s">
        <v>0</v>
      </c>
      <c r="H45" s="11" t="s">
        <v>108</v>
      </c>
      <c r="I45" s="18" t="s">
        <v>107</v>
      </c>
      <c r="J45" s="10" t="s">
        <v>1</v>
      </c>
      <c r="K45" s="11" t="s">
        <v>109</v>
      </c>
      <c r="L45" s="18" t="s">
        <v>107</v>
      </c>
      <c r="M45" s="10" t="s">
        <v>2</v>
      </c>
      <c r="N45" s="11" t="s">
        <v>110</v>
      </c>
      <c r="O45" s="18" t="s">
        <v>107</v>
      </c>
    </row>
    <row r="46" spans="2:15" ht="14.5" customHeight="1" x14ac:dyDescent="0.35">
      <c r="B46" s="89" t="s">
        <v>130</v>
      </c>
      <c r="C46" s="91" t="s">
        <v>127</v>
      </c>
      <c r="D46" t="s">
        <v>38</v>
      </c>
      <c r="F46" s="3" t="s">
        <v>87</v>
      </c>
      <c r="G46" s="12">
        <f>((SUMIFS(SSP1_Baseline!$E:$E,SSP1_Baseline!$C:$C,Results_list!$C$46,SSP1_Baseline!$D:$D,Results_list!$D46,SSP1_Baseline!$B:$B,2040))
- (SUMIFS(SSP1_Baseline!$E:$E,SSP1_Baseline!$C:$C,Results_list!$C$46,SSP1_Baseline!$D:$D,Results_list!$D46,SSP1_Baseline!$B:$B,2025)))
/ (SUMIFS(SSP1_Baseline!$E:$E,SSP1_Baseline!$C:$C,Results_list!$C$46,SSP1_Baseline!$D:$D,Results_list!$D46,SSP1_Baseline!$B:$B,2025))</f>
        <v>4.7831256200517841E-2</v>
      </c>
      <c r="H46" s="16">
        <f>((SUMIFS(SSP1_VSI!$F:$F,SSP1_VSI!$C:$C,Results_list!$C$46,SSP1_VSI!$D:$D,Results_list!$D46,SSP1_VSI!$B:$B,2040))
- (SUMIFS(SSP1_VSI!$F:$F,SSP1_VSI!$C:$C,Results_list!$C$46,SSP1_VSI!$D:$D,Results_list!$D46,SSP1_VSI!$B:$B,2025)))
/ (SUMIFS(SSP1_VSI!$F:$F,SSP1_VSI!$C:$C,Results_list!$C$46,SSP1_VSI!$D:$D,Results_list!$D46,SSP1_VSI!$B:$B,2025))</f>
        <v>3.5095452048743425E-2</v>
      </c>
      <c r="I46" s="19">
        <f>ROUND(H46-G46,3)</f>
        <v>-1.2999999999999999E-2</v>
      </c>
      <c r="J46" s="12">
        <f>((SUMIFS(SSP2_Baseline!$E:$E,SSP2_Baseline!$C:$C,Results_list!$C$46,SSP2_Baseline!$D:$D,Results_list!$D46,SSP2_Baseline!$B:$B,2040))
- (SUMIFS(SSP2_Baseline!$E:$E,SSP2_Baseline!$C:$C,Results_list!$C$46,SSP2_Baseline!$D:$D,Results_list!$D46,SSP2_Baseline!$B:$B,2025)))
/ (SUMIFS(SSP2_Baseline!$E:$E,SSP2_Baseline!$C:$C,Results_list!$C$46,SSP2_Baseline!$D:$D,Results_list!$D46,SSP2_Baseline!$B:$B,2025))</f>
        <v>1.4536821388214893</v>
      </c>
      <c r="K46" s="16">
        <f>((SUMIFS(SSP2_VSI!$F:$F,SSP2_VSI!$C:$C,Results_list!$C$46,SSP2_VSI!$D:$D,Results_list!$D46,SSP2_VSI!$B:$B,2040))
- (SUMIFS(SSP2_VSI!$F:$F,SSP2_VSI!$C:$C,Results_list!$C$46,SSP2_VSI!$D:$D,Results_list!$D46,SSP2_VSI!$B:$B,2025)))
/ (SUMIFS(SSP2_VSI!$F:$F,SSP2_VSI!$C:$C,Results_list!$C$46,SSP2_VSI!$D:$D,Results_list!$D46,SSP2_VSI!$B:$B,2025))</f>
        <v>1.3939516496007036</v>
      </c>
      <c r="L46" s="19">
        <f>ROUND(K46-J46,2)</f>
        <v>-0.06</v>
      </c>
      <c r="M46" s="12">
        <f>((SUMIFS(SSP5_Baseline!$E:$E,SSP5_Baseline!$C:$C,Results_list!$C$46,SSP5_Baseline!$D:$D,Results_list!$D46,SSP5_Baseline!$B:$B,2040))
- (SUMIFS(SSP5_Baseline!$E:$E,SSP5_Baseline!$C:$C,Results_list!$C$46,SSP5_Baseline!$D:$D,Results_list!$D46,SSP5_Baseline!$B:$B,2025)))
/ (SUMIFS(SSP5_Baseline!$E:$E,SSP5_Baseline!$C:$C,Results_list!$C$46,SSP5_Baseline!$D:$D,Results_list!$D46,SSP5_Baseline!$B:$B,2025))</f>
        <v>3.0493595158195181</v>
      </c>
      <c r="N46" s="16">
        <f>((SUMIFS(SSP5_VSI!$F:$F,SSP5_VSI!$C:$C,Results_list!$C$46,SSP5_VSI!$D:$D,Results_list!$D46,SSP5_VSI!$B:$B,2040))
- (SUMIFS(SSP5_VSI!$F:$F,SSP5_VSI!$C:$C,Results_list!$C$46,SSP5_VSI!$D:$D,Results_list!$D46,SSP5_VSI!$B:$B,2025)))
/ (SUMIFS(SSP5_VSI!$F:$F,SSP5_VSI!$C:$C,Results_list!$C$46,SSP5_VSI!$D:$D,Results_list!$D46,SSP5_VSI!$B:$B,2025))</f>
        <v>2.9701354347349991</v>
      </c>
      <c r="O46" s="19">
        <f>ROUND(N46-M46,2)</f>
        <v>-0.08</v>
      </c>
    </row>
    <row r="47" spans="2:15" x14ac:dyDescent="0.35">
      <c r="B47" s="89"/>
      <c r="C47" s="91"/>
      <c r="D47" t="s">
        <v>40</v>
      </c>
      <c r="F47" s="3" t="s">
        <v>88</v>
      </c>
      <c r="G47" s="12">
        <f>((SUMIFS(SSP1_Baseline!$E:$E,SSP1_Baseline!$C:$C,Results_list!$C$46,SSP1_Baseline!$D:$D,Results_list!$D47,SSP1_Baseline!$B:$B,2040)) - (SUMIFS(SSP1_Baseline!$E:$E,SSP1_Baseline!$C:$C,Results_list!$C$46,SSP1_Baseline!$D:$D,Results_list!$D47,SSP1_Baseline!$B:$B,2025))) / (SUMIFS(SSP1_Baseline!$E:$E,SSP1_Baseline!$C:$C,Results_list!$C$46,SSP1_Baseline!$D:$D,Results_list!$D47,SSP1_Baseline!$B:$B,2025))</f>
        <v>-1.1448888686228403E-2</v>
      </c>
      <c r="H47" s="16">
        <f>((SUMIFS(SSP1_VSI!$F:$F,SSP1_VSI!$C:$C,Results_list!$C$46,SSP1_VSI!$D:$D,Results_list!$D47,SSP1_VSI!$B:$B,2040)) - (SUMIFS(SSP1_VSI!$F:$F,SSP1_VSI!$C:$C,Results_list!$C$46,SSP1_VSI!$D:$D,Results_list!$D47,SSP1_VSI!$B:$B,2025))) / (SUMIFS(SSP1_VSI!$F:$F,SSP1_VSI!$C:$C,Results_list!$C$46,SSP1_VSI!$D:$D,Results_list!$D47,SSP1_VSI!$B:$B,2025))</f>
        <v>-1.1449761720511957E-2</v>
      </c>
      <c r="I47" s="13">
        <f t="shared" ref="I47:I63" si="6">ROUND(H47-G47,3)</f>
        <v>0</v>
      </c>
      <c r="J47" s="12">
        <f>((SUMIFS(SSP2_Baseline!$E:$E,SSP2_Baseline!$C:$C,Results_list!$C$46,SSP2_Baseline!$D:$D,Results_list!$D47,SSP2_Baseline!$B:$B,2040)) - (SUMIFS(SSP2_Baseline!$E:$E,SSP2_Baseline!$C:$C,Results_list!$C$46,SSP2_Baseline!$D:$D,Results_list!$D47,SSP2_Baseline!$B:$B,2025))) / (SUMIFS(SSP2_Baseline!$E:$E,SSP2_Baseline!$C:$C,Results_list!$C$46,SSP2_Baseline!$D:$D,Results_list!$D47,SSP2_Baseline!$B:$B,2025))</f>
        <v>-1.6680124019805107E-2</v>
      </c>
      <c r="K47" s="16">
        <f>((SUMIFS(SSP2_VSI!$F:$F,SSP2_VSI!$C:$C,Results_list!$C$46,SSP2_VSI!$D:$D,Results_list!$D47,SSP2_VSI!$B:$B,2040)) - (SUMIFS(SSP2_VSI!$F:$F,SSP2_VSI!$C:$C,Results_list!$C$46,SSP2_VSI!$D:$D,Results_list!$D47,SSP2_VSI!$B:$B,2025))) / (SUMIFS(SSP2_VSI!$F:$F,SSP2_VSI!$C:$C,Results_list!$C$46,SSP2_VSI!$D:$D,Results_list!$D47,SSP2_VSI!$B:$B,2025))</f>
        <v>-1.6681868599138117E-2</v>
      </c>
      <c r="L47" s="13">
        <f t="shared" ref="L47:L63" si="7">ROUND(K47-J47,2)</f>
        <v>0</v>
      </c>
      <c r="M47" s="12">
        <f>((SUMIFS(SSP5_Baseline!$E:$E,SSP5_Baseline!$C:$C,Results_list!$C$46,SSP5_Baseline!$D:$D,Results_list!$D47,SSP5_Baseline!$B:$B,2040)) - (SUMIFS(SSP5_Baseline!$E:$E,SSP5_Baseline!$C:$C,Results_list!$C$46,SSP5_Baseline!$D:$D,Results_list!$D47,SSP5_Baseline!$B:$B,2025))) / (SUMIFS(SSP5_Baseline!$E:$E,SSP5_Baseline!$C:$C,Results_list!$C$46,SSP5_Baseline!$D:$D,Results_list!$D47,SSP5_Baseline!$B:$B,2025))</f>
        <v>3.7059679740511414E-2</v>
      </c>
      <c r="N47" s="16">
        <f>((SUMIFS(SSP5_VSI!$F:$F,SSP5_VSI!$C:$C,Results_list!$C$46,SSP5_VSI!$D:$D,Results_list!$D47,SSP5_VSI!$B:$B,2040)) - (SUMIFS(SSP5_VSI!$F:$F,SSP5_VSI!$C:$C,Results_list!$C$46,SSP5_VSI!$D:$D,Results_list!$D47,SSP5_VSI!$B:$B,2025))) / (SUMIFS(SSP5_VSI!$F:$F,SSP5_VSI!$C:$C,Results_list!$C$46,SSP5_VSI!$D:$D,Results_list!$D47,SSP5_VSI!$B:$B,2025))</f>
        <v>3.7057326107465302E-2</v>
      </c>
      <c r="O47" s="13">
        <f t="shared" ref="O47:O63" si="8">ROUND(N47-M47,2)</f>
        <v>0</v>
      </c>
    </row>
    <row r="48" spans="2:15" x14ac:dyDescent="0.35">
      <c r="B48" s="89"/>
      <c r="C48" s="91"/>
      <c r="D48" t="s">
        <v>41</v>
      </c>
      <c r="F48" s="3" t="s">
        <v>89</v>
      </c>
      <c r="G48" s="12">
        <f>((SUMIFS(SSP1_Baseline!$E:$E,SSP1_Baseline!$C:$C,Results_list!$C$46,SSP1_Baseline!$D:$D,Results_list!$D48,SSP1_Baseline!$B:$B,2040)) - (SUMIFS(SSP1_Baseline!$E:$E,SSP1_Baseline!$C:$C,Results_list!$C$46,SSP1_Baseline!$D:$D,Results_list!$D48,SSP1_Baseline!$B:$B,2025))) / (SUMIFS(SSP1_Baseline!$E:$E,SSP1_Baseline!$C:$C,Results_list!$C$46,SSP1_Baseline!$D:$D,Results_list!$D48,SSP1_Baseline!$B:$B,2025))</f>
        <v>-4.2629724037313986E-2</v>
      </c>
      <c r="H48" s="16">
        <f>((SUMIFS(SSP1_VSI!$F:$F,SSP1_VSI!$C:$C,Results_list!$C$46,SSP1_VSI!$D:$D,Results_list!$D48,SSP1_VSI!$B:$B,2040)) - (SUMIFS(SSP1_VSI!$F:$F,SSP1_VSI!$C:$C,Results_list!$C$46,SSP1_VSI!$D:$D,Results_list!$D48,SSP1_VSI!$B:$B,2025))) / (SUMIFS(SSP1_VSI!$F:$F,SSP1_VSI!$C:$C,Results_list!$C$46,SSP1_VSI!$D:$D,Results_list!$D48,SSP1_VSI!$B:$B,2025))</f>
        <v>-6.0891047320643807E-2</v>
      </c>
      <c r="I48" s="13">
        <f t="shared" si="6"/>
        <v>-1.7999999999999999E-2</v>
      </c>
      <c r="J48" s="12">
        <f>((SUMIFS(SSP2_Baseline!$E:$E,SSP2_Baseline!$C:$C,Results_list!$C$46,SSP2_Baseline!$D:$D,Results_list!$D48,SSP2_Baseline!$B:$B,2040)) - (SUMIFS(SSP2_Baseline!$E:$E,SSP2_Baseline!$C:$C,Results_list!$C$46,SSP2_Baseline!$D:$D,Results_list!$D48,SSP2_Baseline!$B:$B,2025))) / (SUMIFS(SSP2_Baseline!$E:$E,SSP2_Baseline!$C:$C,Results_list!$C$46,SSP2_Baseline!$D:$D,Results_list!$D48,SSP2_Baseline!$B:$B,2025))</f>
        <v>-4.119863226883972E-2</v>
      </c>
      <c r="K48" s="16">
        <f>((SUMIFS(SSP2_VSI!$F:$F,SSP2_VSI!$C:$C,Results_list!$C$46,SSP2_VSI!$D:$D,Results_list!$D48,SSP2_VSI!$B:$B,2040)) - (SUMIFS(SSP2_VSI!$F:$F,SSP2_VSI!$C:$C,Results_list!$C$46,SSP2_VSI!$D:$D,Results_list!$D48,SSP2_VSI!$B:$B,2025))) / (SUMIFS(SSP2_VSI!$F:$F,SSP2_VSI!$C:$C,Results_list!$C$46,SSP2_VSI!$D:$D,Results_list!$D48,SSP2_VSI!$B:$B,2025))</f>
        <v>-5.9505511557761175E-2</v>
      </c>
      <c r="L48" s="13">
        <f t="shared" si="7"/>
        <v>-0.02</v>
      </c>
      <c r="M48" s="12">
        <f>((SUMIFS(SSP5_Baseline!$E:$E,SSP5_Baseline!$C:$C,Results_list!$C$46,SSP5_Baseline!$D:$D,Results_list!$D48,SSP5_Baseline!$B:$B,2040)) - (SUMIFS(SSP5_Baseline!$E:$E,SSP5_Baseline!$C:$C,Results_list!$C$46,SSP5_Baseline!$D:$D,Results_list!$D48,SSP5_Baseline!$B:$B,2025))) / (SUMIFS(SSP5_Baseline!$E:$E,SSP5_Baseline!$C:$C,Results_list!$C$46,SSP5_Baseline!$D:$D,Results_list!$D48,SSP5_Baseline!$B:$B,2025))</f>
        <v>-2.4408411834072483E-2</v>
      </c>
      <c r="N48" s="16">
        <f>((SUMIFS(SSP5_VSI!$F:$F,SSP5_VSI!$C:$C,Results_list!$C$46,SSP5_VSI!$D:$D,Results_list!$D48,SSP5_VSI!$B:$B,2040)) - (SUMIFS(SSP5_VSI!$F:$F,SSP5_VSI!$C:$C,Results_list!$C$46,SSP5_VSI!$D:$D,Results_list!$D48,SSP5_VSI!$B:$B,2025))) / (SUMIFS(SSP5_VSI!$F:$F,SSP5_VSI!$C:$C,Results_list!$C$46,SSP5_VSI!$D:$D,Results_list!$D48,SSP5_VSI!$B:$B,2025))</f>
        <v>-4.2647099563525928E-2</v>
      </c>
      <c r="O48" s="13">
        <f t="shared" si="8"/>
        <v>-0.02</v>
      </c>
    </row>
    <row r="49" spans="2:15" x14ac:dyDescent="0.35">
      <c r="B49" s="89"/>
      <c r="C49" s="91"/>
      <c r="D49" t="s">
        <v>42</v>
      </c>
      <c r="F49" s="3" t="s">
        <v>90</v>
      </c>
      <c r="G49" s="12">
        <f>((SUMIFS(SSP1_Baseline!$E:$E,SSP1_Baseline!$C:$C,Results_list!$C$46,SSP1_Baseline!$D:$D,Results_list!$D49,SSP1_Baseline!$B:$B,2040)) - (SUMIFS(SSP1_Baseline!$E:$E,SSP1_Baseline!$C:$C,Results_list!$C$46,SSP1_Baseline!$D:$D,Results_list!$D49,SSP1_Baseline!$B:$B,2025))) / (SUMIFS(SSP1_Baseline!$E:$E,SSP1_Baseline!$C:$C,Results_list!$C$46,SSP1_Baseline!$D:$D,Results_list!$D49,SSP1_Baseline!$B:$B,2025))</f>
        <v>-2.2507562393078353E-2</v>
      </c>
      <c r="H49" s="16">
        <f>((SUMIFS(SSP1_VSI!$F:$F,SSP1_VSI!$C:$C,Results_list!$C$46,SSP1_VSI!$D:$D,Results_list!$D49,SSP1_VSI!$B:$B,2040)) - (SUMIFS(SSP1_VSI!$F:$F,SSP1_VSI!$C:$C,Results_list!$C$46,SSP1_VSI!$D:$D,Results_list!$D49,SSP1_VSI!$B:$B,2025))) / (SUMIFS(SSP1_VSI!$F:$F,SSP1_VSI!$C:$C,Results_list!$C$46,SSP1_VSI!$D:$D,Results_list!$D49,SSP1_VSI!$B:$B,2025))</f>
        <v>-2.3491370965878493E-2</v>
      </c>
      <c r="I49" s="13">
        <f t="shared" si="6"/>
        <v>-1E-3</v>
      </c>
      <c r="J49" s="12">
        <f>((SUMIFS(SSP2_Baseline!$E:$E,SSP2_Baseline!$C:$C,Results_list!$C$46,SSP2_Baseline!$D:$D,Results_list!$D49,SSP2_Baseline!$B:$B,2040)) - (SUMIFS(SSP2_Baseline!$E:$E,SSP2_Baseline!$C:$C,Results_list!$C$46,SSP2_Baseline!$D:$D,Results_list!$D49,SSP2_Baseline!$B:$B,2025))) / (SUMIFS(SSP2_Baseline!$E:$E,SSP2_Baseline!$C:$C,Results_list!$C$46,SSP2_Baseline!$D:$D,Results_list!$D49,SSP2_Baseline!$B:$B,2025))</f>
        <v>-1.678755075735194E-2</v>
      </c>
      <c r="K49" s="16">
        <f>((SUMIFS(SSP2_VSI!$F:$F,SSP2_VSI!$C:$C,Results_list!$C$46,SSP2_VSI!$D:$D,Results_list!$D49,SSP2_VSI!$B:$B,2040)) - (SUMIFS(SSP2_VSI!$F:$F,SSP2_VSI!$C:$C,Results_list!$C$46,SSP2_VSI!$D:$D,Results_list!$D49,SSP2_VSI!$B:$B,2025))) / (SUMIFS(SSP2_VSI!$F:$F,SSP2_VSI!$C:$C,Results_list!$C$46,SSP2_VSI!$D:$D,Results_list!$D49,SSP2_VSI!$B:$B,2025))</f>
        <v>-1.7773700656123097E-2</v>
      </c>
      <c r="L49" s="13">
        <f t="shared" si="7"/>
        <v>0</v>
      </c>
      <c r="M49" s="12">
        <f>((SUMIFS(SSP5_Baseline!$E:$E,SSP5_Baseline!$C:$C,Results_list!$C$46,SSP5_Baseline!$D:$D,Results_list!$D49,SSP5_Baseline!$B:$B,2040)) - (SUMIFS(SSP5_Baseline!$E:$E,SSP5_Baseline!$C:$C,Results_list!$C$46,SSP5_Baseline!$D:$D,Results_list!$D49,SSP5_Baseline!$B:$B,2025))) / (SUMIFS(SSP5_Baseline!$E:$E,SSP5_Baseline!$C:$C,Results_list!$C$46,SSP5_Baseline!$D:$D,Results_list!$D49,SSP5_Baseline!$B:$B,2025))</f>
        <v>-1.717688848792942E-2</v>
      </c>
      <c r="N49" s="16">
        <f>((SUMIFS(SSP5_VSI!$F:$F,SSP5_VSI!$C:$C,Results_list!$C$46,SSP5_VSI!$D:$D,Results_list!$D49,SSP5_VSI!$B:$B,2040)) - (SUMIFS(SSP5_VSI!$F:$F,SSP5_VSI!$C:$C,Results_list!$C$46,SSP5_VSI!$D:$D,Results_list!$D49,SSP5_VSI!$B:$B,2025))) / (SUMIFS(SSP5_VSI!$F:$F,SSP5_VSI!$C:$C,Results_list!$C$46,SSP5_VSI!$D:$D,Results_list!$D49,SSP5_VSI!$B:$B,2025))</f>
        <v>-1.8164615174277487E-2</v>
      </c>
      <c r="O49" s="13">
        <f t="shared" si="8"/>
        <v>0</v>
      </c>
    </row>
    <row r="50" spans="2:15" x14ac:dyDescent="0.35">
      <c r="B50" s="89"/>
      <c r="C50" s="91"/>
      <c r="D50" t="s">
        <v>43</v>
      </c>
      <c r="F50" s="3" t="s">
        <v>91</v>
      </c>
      <c r="G50" s="12">
        <f>((SUMIFS(SSP1_Baseline!$E:$E,SSP1_Baseline!$C:$C,Results_list!$C$46,SSP1_Baseline!$D:$D,Results_list!$D50,SSP1_Baseline!$B:$B,2040)) - (SUMIFS(SSP1_Baseline!$E:$E,SSP1_Baseline!$C:$C,Results_list!$C$46,SSP1_Baseline!$D:$D,Results_list!$D50,SSP1_Baseline!$B:$B,2025))) / (SUMIFS(SSP1_Baseline!$E:$E,SSP1_Baseline!$C:$C,Results_list!$C$46,SSP1_Baseline!$D:$D,Results_list!$D50,SSP1_Baseline!$B:$B,2025))</f>
        <v>-5.0047150457608339E-2</v>
      </c>
      <c r="H50" s="16">
        <f>((SUMIFS(SSP1_VSI!$F:$F,SSP1_VSI!$C:$C,Results_list!$C$46,SSP1_VSI!$D:$D,Results_list!$D50,SSP1_VSI!$B:$B,2040)) - (SUMIFS(SSP1_VSI!$F:$F,SSP1_VSI!$C:$C,Results_list!$C$46,SSP1_VSI!$D:$D,Results_list!$D50,SSP1_VSI!$B:$B,2025))) / (SUMIFS(SSP1_VSI!$F:$F,SSP1_VSI!$C:$C,Results_list!$C$46,SSP1_VSI!$D:$D,Results_list!$D50,SSP1_VSI!$B:$B,2025))</f>
        <v>-5.0055051993884624E-2</v>
      </c>
      <c r="I50" s="13">
        <f t="shared" si="6"/>
        <v>0</v>
      </c>
      <c r="J50" s="12">
        <f>((SUMIFS(SSP2_Baseline!$E:$E,SSP2_Baseline!$C:$C,Results_list!$C$46,SSP2_Baseline!$D:$D,Results_list!$D50,SSP2_Baseline!$B:$B,2040)) - (SUMIFS(SSP2_Baseline!$E:$E,SSP2_Baseline!$C:$C,Results_list!$C$46,SSP2_Baseline!$D:$D,Results_list!$D50,SSP2_Baseline!$B:$B,2025))) / (SUMIFS(SSP2_Baseline!$E:$E,SSP2_Baseline!$C:$C,Results_list!$C$46,SSP2_Baseline!$D:$D,Results_list!$D50,SSP2_Baseline!$B:$B,2025))</f>
        <v>-3.5784967325140062E-2</v>
      </c>
      <c r="K50" s="16">
        <f>((SUMIFS(SSP2_VSI!$F:$F,SSP2_VSI!$C:$C,Results_list!$C$46,SSP2_VSI!$D:$D,Results_list!$D50,SSP2_VSI!$B:$B,2040)) - (SUMIFS(SSP2_VSI!$F:$F,SSP2_VSI!$C:$C,Results_list!$C$46,SSP2_VSI!$D:$D,Results_list!$D50,SSP2_VSI!$B:$B,2025))) / (SUMIFS(SSP2_VSI!$F:$F,SSP2_VSI!$C:$C,Results_list!$C$46,SSP2_VSI!$D:$D,Results_list!$D50,SSP2_VSI!$B:$B,2025))</f>
        <v>-3.5790465406778722E-2</v>
      </c>
      <c r="L50" s="13">
        <f t="shared" si="7"/>
        <v>0</v>
      </c>
      <c r="M50" s="12">
        <f>((SUMIFS(SSP5_Baseline!$E:$E,SSP5_Baseline!$C:$C,Results_list!$C$46,SSP5_Baseline!$D:$D,Results_list!$D50,SSP5_Baseline!$B:$B,2040)) - (SUMIFS(SSP5_Baseline!$E:$E,SSP5_Baseline!$C:$C,Results_list!$C$46,SSP5_Baseline!$D:$D,Results_list!$D50,SSP5_Baseline!$B:$B,2025))) / (SUMIFS(SSP5_Baseline!$E:$E,SSP5_Baseline!$C:$C,Results_list!$C$46,SSP5_Baseline!$D:$D,Results_list!$D50,SSP5_Baseline!$B:$B,2025))</f>
        <v>-2.7710650542987891E-2</v>
      </c>
      <c r="N50" s="16">
        <f>((SUMIFS(SSP5_VSI!$F:$F,SSP5_VSI!$C:$C,Results_list!$C$46,SSP5_VSI!$D:$D,Results_list!$D50,SSP5_VSI!$B:$B,2040)) - (SUMIFS(SSP5_VSI!$F:$F,SSP5_VSI!$C:$C,Results_list!$C$46,SSP5_VSI!$D:$D,Results_list!$D50,SSP5_VSI!$B:$B,2025))) / (SUMIFS(SSP5_VSI!$F:$F,SSP5_VSI!$C:$C,Results_list!$C$46,SSP5_VSI!$D:$D,Results_list!$D50,SSP5_VSI!$B:$B,2025))</f>
        <v>-2.7717428472764625E-2</v>
      </c>
      <c r="O50" s="13">
        <f t="shared" si="8"/>
        <v>0</v>
      </c>
    </row>
    <row r="51" spans="2:15" x14ac:dyDescent="0.35">
      <c r="B51" s="89"/>
      <c r="C51" s="91"/>
      <c r="D51" t="s">
        <v>136</v>
      </c>
      <c r="F51" s="3" t="s">
        <v>92</v>
      </c>
      <c r="G51" s="12">
        <f>((SUMIFS(SSP1_Baseline!$E:$E,SSP1_Baseline!$C:$C,Results_list!$C$46,SSP1_Baseline!$D:$D,Results_list!$D51,SSP1_Baseline!$B:$B,2040)) - (SUMIFS(SSP1_Baseline!$E:$E,SSP1_Baseline!$C:$C,Results_list!$C$46,SSP1_Baseline!$D:$D,Results_list!$D51,SSP1_Baseline!$B:$B,2025))) / (SUMIFS(SSP1_Baseline!$E:$E,SSP1_Baseline!$C:$C,Results_list!$C$46,SSP1_Baseline!$D:$D,Results_list!$D51,SSP1_Baseline!$B:$B,2025))</f>
        <v>-0.36538683322896209</v>
      </c>
      <c r="H51" s="16">
        <f>((SUMIFS(SSP1_VSI!$F:$F,SSP1_VSI!$C:$C,Results_list!$C$46,SSP1_VSI!$D:$D,Results_list!$D51,SSP1_VSI!$B:$B,2040)) - (SUMIFS(SSP1_VSI!$F:$F,SSP1_VSI!$C:$C,Results_list!$C$46,SSP1_VSI!$D:$D,Results_list!$D51,SSP1_VSI!$B:$B,2025))) / (SUMIFS(SSP1_VSI!$F:$F,SSP1_VSI!$C:$C,Results_list!$C$46,SSP1_VSI!$D:$D,Results_list!$D51,SSP1_VSI!$B:$B,2025))</f>
        <v>-0.3654792035567011</v>
      </c>
      <c r="I51" s="13">
        <f t="shared" si="6"/>
        <v>0</v>
      </c>
      <c r="J51" s="12">
        <f>((SUMIFS(SSP2_Baseline!$E:$E,SSP2_Baseline!$C:$C,Results_list!$C$46,SSP2_Baseline!$D:$D,Results_list!$D51,SSP2_Baseline!$B:$B,2040)) - (SUMIFS(SSP2_Baseline!$E:$E,SSP2_Baseline!$C:$C,Results_list!$C$46,SSP2_Baseline!$D:$D,Results_list!$D51,SSP2_Baseline!$B:$B,2025))) / (SUMIFS(SSP2_Baseline!$E:$E,SSP2_Baseline!$C:$C,Results_list!$C$46,SSP2_Baseline!$D:$D,Results_list!$D51,SSP2_Baseline!$B:$B,2025))</f>
        <v>-0.29784344309975985</v>
      </c>
      <c r="K51" s="16">
        <f>((SUMIFS(SSP2_VSI!$F:$F,SSP2_VSI!$C:$C,Results_list!$C$46,SSP2_VSI!$D:$D,Results_list!$D51,SSP2_VSI!$B:$B,2040)) - (SUMIFS(SSP2_VSI!$F:$F,SSP2_VSI!$C:$C,Results_list!$C$46,SSP2_VSI!$D:$D,Results_list!$D51,SSP2_VSI!$B:$B,2025))) / (SUMIFS(SSP2_VSI!$F:$F,SSP2_VSI!$C:$C,Results_list!$C$46,SSP2_VSI!$D:$D,Results_list!$D51,SSP2_VSI!$B:$B,2025))</f>
        <v>-0.29791494929500162</v>
      </c>
      <c r="L51" s="13">
        <f t="shared" si="7"/>
        <v>0</v>
      </c>
      <c r="M51" s="12">
        <f>((SUMIFS(SSP5_Baseline!$E:$E,SSP5_Baseline!$C:$C,Results_list!$C$46,SSP5_Baseline!$D:$D,Results_list!$D51,SSP5_Baseline!$B:$B,2040)) - (SUMIFS(SSP5_Baseline!$E:$E,SSP5_Baseline!$C:$C,Results_list!$C$46,SSP5_Baseline!$D:$D,Results_list!$D51,SSP5_Baseline!$B:$B,2025))) / (SUMIFS(SSP5_Baseline!$E:$E,SSP5_Baseline!$C:$C,Results_list!$C$46,SSP5_Baseline!$D:$D,Results_list!$D51,SSP5_Baseline!$B:$B,2025))</f>
        <v>-0.16736228489989718</v>
      </c>
      <c r="N51" s="16">
        <f>((SUMIFS(SSP5_VSI!$F:$F,SSP5_VSI!$C:$C,Results_list!$C$46,SSP5_VSI!$D:$D,Results_list!$D51,SSP5_VSI!$B:$B,2040)) - (SUMIFS(SSP5_VSI!$F:$F,SSP5_VSI!$C:$C,Results_list!$C$46,SSP5_VSI!$D:$D,Results_list!$D51,SSP5_VSI!$B:$B,2025))) / (SUMIFS(SSP5_VSI!$F:$F,SSP5_VSI!$C:$C,Results_list!$C$46,SSP5_VSI!$D:$D,Results_list!$D51,SSP5_VSI!$B:$B,2025))</f>
        <v>-0.1674208073790755</v>
      </c>
      <c r="O51" s="13">
        <f t="shared" si="8"/>
        <v>0</v>
      </c>
    </row>
    <row r="52" spans="2:15" ht="14.5" customHeight="1" x14ac:dyDescent="0.35">
      <c r="B52" s="89"/>
      <c r="C52" s="91"/>
      <c r="D52" t="s">
        <v>45</v>
      </c>
      <c r="F52" s="3" t="s">
        <v>93</v>
      </c>
      <c r="G52" s="12">
        <f>((SUMIFS(SSP1_Baseline!$E:$E,SSP1_Baseline!$C:$C,Results_list!$C$46,SSP1_Baseline!$D:$D,Results_list!$D52,SSP1_Baseline!$B:$B,2040)) - (SUMIFS(SSP1_Baseline!$E:$E,SSP1_Baseline!$C:$C,Results_list!$C$46,SSP1_Baseline!$D:$D,Results_list!$D52,SSP1_Baseline!$B:$B,2025))) / (SUMIFS(SSP1_Baseline!$E:$E,SSP1_Baseline!$C:$C,Results_list!$C$46,SSP1_Baseline!$D:$D,Results_list!$D52,SSP1_Baseline!$B:$B,2025))</f>
        <v>-0.1032669992642269</v>
      </c>
      <c r="H52" s="16">
        <f>((SUMIFS(SSP1_VSI!$F:$F,SSP1_VSI!$C:$C,Results_list!$C$46,SSP1_VSI!$D:$D,Results_list!$D52,SSP1_VSI!$B:$B,2040)) - (SUMIFS(SSP1_VSI!$F:$F,SSP1_VSI!$C:$C,Results_list!$C$46,SSP1_VSI!$D:$D,Results_list!$D52,SSP1_VSI!$B:$B,2025))) / (SUMIFS(SSP1_VSI!$F:$F,SSP1_VSI!$C:$C,Results_list!$C$46,SSP1_VSI!$D:$D,Results_list!$D52,SSP1_VSI!$B:$B,2025))</f>
        <v>-0.24708367254102592</v>
      </c>
      <c r="I52" s="13">
        <f t="shared" si="6"/>
        <v>-0.14399999999999999</v>
      </c>
      <c r="J52" s="12">
        <f>((SUMIFS(SSP2_Baseline!$E:$E,SSP2_Baseline!$C:$C,Results_list!$C$46,SSP2_Baseline!$D:$D,Results_list!$D52,SSP2_Baseline!$B:$B,2040)) - (SUMIFS(SSP2_Baseline!$E:$E,SSP2_Baseline!$C:$C,Results_list!$C$46,SSP2_Baseline!$D:$D,Results_list!$D52,SSP2_Baseline!$B:$B,2025))) / (SUMIFS(SSP2_Baseline!$E:$E,SSP2_Baseline!$C:$C,Results_list!$C$46,SSP2_Baseline!$D:$D,Results_list!$D52,SSP2_Baseline!$B:$B,2025))</f>
        <v>-9.4424317242416664E-2</v>
      </c>
      <c r="K52" s="16">
        <f>((SUMIFS(SSP2_VSI!$F:$F,SSP2_VSI!$C:$C,Results_list!$C$46,SSP2_VSI!$D:$D,Results_list!$D52,SSP2_VSI!$B:$B,2040)) - (SUMIFS(SSP2_VSI!$F:$F,SSP2_VSI!$C:$C,Results_list!$C$46,SSP2_VSI!$D:$D,Results_list!$D52,SSP2_VSI!$B:$B,2025))) / (SUMIFS(SSP2_VSI!$F:$F,SSP2_VSI!$C:$C,Results_list!$C$46,SSP2_VSI!$D:$D,Results_list!$D52,SSP2_VSI!$B:$B,2025))</f>
        <v>-0.23963353478173</v>
      </c>
      <c r="L52" s="13">
        <f t="shared" si="7"/>
        <v>-0.15</v>
      </c>
      <c r="M52" s="12">
        <f>((SUMIFS(SSP5_Baseline!$E:$E,SSP5_Baseline!$C:$C,Results_list!$C$46,SSP5_Baseline!$D:$D,Results_list!$D52,SSP5_Baseline!$B:$B,2040)) - (SUMIFS(SSP5_Baseline!$E:$E,SSP5_Baseline!$C:$C,Results_list!$C$46,SSP5_Baseline!$D:$D,Results_list!$D52,SSP5_Baseline!$B:$B,2025))) / (SUMIFS(SSP5_Baseline!$E:$E,SSP5_Baseline!$C:$C,Results_list!$C$46,SSP5_Baseline!$D:$D,Results_list!$D52,SSP5_Baseline!$B:$B,2025))</f>
        <v>-8.6516623471213722E-2</v>
      </c>
      <c r="N52" s="16">
        <f>((SUMIFS(SSP5_VSI!$F:$F,SSP5_VSI!$C:$C,Results_list!$C$46,SSP5_VSI!$D:$D,Results_list!$D52,SSP5_VSI!$B:$B,2040)) - (SUMIFS(SSP5_VSI!$F:$F,SSP5_VSI!$C:$C,Results_list!$C$46,SSP5_VSI!$D:$D,Results_list!$D52,SSP5_VSI!$B:$B,2025))) / (SUMIFS(SSP5_VSI!$F:$F,SSP5_VSI!$C:$C,Results_list!$C$46,SSP5_VSI!$D:$D,Results_list!$D52,SSP5_VSI!$B:$B,2025))</f>
        <v>-0.23349541374208796</v>
      </c>
      <c r="O52" s="13">
        <f t="shared" si="8"/>
        <v>-0.15</v>
      </c>
    </row>
    <row r="53" spans="2:15" x14ac:dyDescent="0.35">
      <c r="B53" s="89"/>
      <c r="C53" s="91"/>
      <c r="D53" t="s">
        <v>46</v>
      </c>
      <c r="F53" s="3" t="s">
        <v>94</v>
      </c>
      <c r="G53" s="12">
        <f>((SUMIFS(SSP1_Baseline!$E:$E,SSP1_Baseline!$C:$C,Results_list!$C$46,SSP1_Baseline!$D:$D,Results_list!$D53,SSP1_Baseline!$B:$B,2040)) - (SUMIFS(SSP1_Baseline!$E:$E,SSP1_Baseline!$C:$C,Results_list!$C$46,SSP1_Baseline!$D:$D,Results_list!$D53,SSP1_Baseline!$B:$B,2025))) / (SUMIFS(SSP1_Baseline!$E:$E,SSP1_Baseline!$C:$C,Results_list!$C$46,SSP1_Baseline!$D:$D,Results_list!$D53,SSP1_Baseline!$B:$B,2025))</f>
        <v>1.8801549156990669</v>
      </c>
      <c r="H53" s="16">
        <f>((SUMIFS(SSP1_VSI!$F:$F,SSP1_VSI!$C:$C,Results_list!$C$46,SSP1_VSI!$D:$D,Results_list!$D53,SSP1_VSI!$B:$B,2040)) - (SUMIFS(SSP1_VSI!$F:$F,SSP1_VSI!$C:$C,Results_list!$C$46,SSP1_VSI!$D:$D,Results_list!$D53,SSP1_VSI!$B:$B,2025))) / (SUMIFS(SSP1_VSI!$F:$F,SSP1_VSI!$C:$C,Results_list!$C$46,SSP1_VSI!$D:$D,Results_list!$D53,SSP1_VSI!$B:$B,2025))</f>
        <v>1.880156323884101</v>
      </c>
      <c r="I53" s="13">
        <f t="shared" si="6"/>
        <v>0</v>
      </c>
      <c r="J53" s="12">
        <f>((SUMIFS(SSP2_Baseline!$E:$E,SSP2_Baseline!$C:$C,Results_list!$C$46,SSP2_Baseline!$D:$D,Results_list!$D53,SSP2_Baseline!$B:$B,2040)) - (SUMIFS(SSP2_Baseline!$E:$E,SSP2_Baseline!$C:$C,Results_list!$C$46,SSP2_Baseline!$D:$D,Results_list!$D53,SSP2_Baseline!$B:$B,2025))) / (SUMIFS(SSP2_Baseline!$E:$E,SSP2_Baseline!$C:$C,Results_list!$C$46,SSP2_Baseline!$D:$D,Results_list!$D53,SSP2_Baseline!$B:$B,2025))</f>
        <v>2.8776110890684077</v>
      </c>
      <c r="K53" s="16">
        <f>((SUMIFS(SSP2_VSI!$F:$F,SSP2_VSI!$C:$C,Results_list!$C$46,SSP2_VSI!$D:$D,Results_list!$D53,SSP2_VSI!$B:$B,2040)) - (SUMIFS(SSP2_VSI!$F:$F,SSP2_VSI!$C:$C,Results_list!$C$46,SSP2_VSI!$D:$D,Results_list!$D53,SSP2_VSI!$B:$B,2025))) / (SUMIFS(SSP2_VSI!$F:$F,SSP2_VSI!$C:$C,Results_list!$C$46,SSP2_VSI!$D:$D,Results_list!$D53,SSP2_VSI!$B:$B,2025))</f>
        <v>2.877502475692463</v>
      </c>
      <c r="L53" s="13">
        <f t="shared" si="7"/>
        <v>0</v>
      </c>
      <c r="M53" s="12">
        <f>((SUMIFS(SSP5_Baseline!$E:$E,SSP5_Baseline!$C:$C,Results_list!$C$46,SSP5_Baseline!$D:$D,Results_list!$D53,SSP5_Baseline!$B:$B,2040)) - (SUMIFS(SSP5_Baseline!$E:$E,SSP5_Baseline!$C:$C,Results_list!$C$46,SSP5_Baseline!$D:$D,Results_list!$D53,SSP5_Baseline!$B:$B,2025))) / (SUMIFS(SSP5_Baseline!$E:$E,SSP5_Baseline!$C:$C,Results_list!$C$46,SSP5_Baseline!$D:$D,Results_list!$D53,SSP5_Baseline!$B:$B,2025))</f>
        <v>2.2025185116617783</v>
      </c>
      <c r="N53" s="16">
        <f>((SUMIFS(SSP5_VSI!$F:$F,SSP5_VSI!$C:$C,Results_list!$C$46,SSP5_VSI!$D:$D,Results_list!$D53,SSP5_VSI!$B:$B,2040)) - (SUMIFS(SSP5_VSI!$F:$F,SSP5_VSI!$C:$C,Results_list!$C$46,SSP5_VSI!$D:$D,Results_list!$D53,SSP5_VSI!$B:$B,2025))) / (SUMIFS(SSP5_VSI!$F:$F,SSP5_VSI!$C:$C,Results_list!$C$46,SSP5_VSI!$D:$D,Results_list!$D53,SSP5_VSI!$B:$B,2025))</f>
        <v>2.2024949046982494</v>
      </c>
      <c r="O53" s="13">
        <f t="shared" si="8"/>
        <v>0</v>
      </c>
    </row>
    <row r="54" spans="2:15" x14ac:dyDescent="0.35">
      <c r="B54" s="89"/>
      <c r="C54" s="91"/>
      <c r="D54" t="s">
        <v>47</v>
      </c>
      <c r="F54" s="3" t="s">
        <v>95</v>
      </c>
      <c r="G54" s="12">
        <f>((SUMIFS(SSP1_Baseline!$E:$E,SSP1_Baseline!$C:$C,Results_list!$C$46,SSP1_Baseline!$D:$D,Results_list!$D54,SSP1_Baseline!$B:$B,2040)) - (SUMIFS(SSP1_Baseline!$E:$E,SSP1_Baseline!$C:$C,Results_list!$C$46,SSP1_Baseline!$D:$D,Results_list!$D54,SSP1_Baseline!$B:$B,2025))) / (SUMIFS(SSP1_Baseline!$E:$E,SSP1_Baseline!$C:$C,Results_list!$C$46,SSP1_Baseline!$D:$D,Results_list!$D54,SSP1_Baseline!$B:$B,2025))</f>
        <v>-0.12090512426287532</v>
      </c>
      <c r="H54" s="16">
        <f>((SUMIFS(SSP1_VSI!$F:$F,SSP1_VSI!$C:$C,Results_list!$C$46,SSP1_VSI!$D:$D,Results_list!$D54,SSP1_VSI!$B:$B,2040)) - (SUMIFS(SSP1_VSI!$F:$F,SSP1_VSI!$C:$C,Results_list!$C$46,SSP1_VSI!$D:$D,Results_list!$D54,SSP1_VSI!$B:$B,2025))) / (SUMIFS(SSP1_VSI!$F:$F,SSP1_VSI!$C:$C,Results_list!$C$46,SSP1_VSI!$D:$D,Results_list!$D54,SSP1_VSI!$B:$B,2025))</f>
        <v>-0.12090012795375547</v>
      </c>
      <c r="I54" s="13">
        <f t="shared" si="6"/>
        <v>0</v>
      </c>
      <c r="J54" s="12">
        <f>((SUMIFS(SSP2_Baseline!$E:$E,SSP2_Baseline!$C:$C,Results_list!$C$46,SSP2_Baseline!$D:$D,Results_list!$D54,SSP2_Baseline!$B:$B,2040)) - (SUMIFS(SSP2_Baseline!$E:$E,SSP2_Baseline!$C:$C,Results_list!$C$46,SSP2_Baseline!$D:$D,Results_list!$D54,SSP2_Baseline!$B:$B,2025))) / (SUMIFS(SSP2_Baseline!$E:$E,SSP2_Baseline!$C:$C,Results_list!$C$46,SSP2_Baseline!$D:$D,Results_list!$D54,SSP2_Baseline!$B:$B,2025))</f>
        <v>-8.9910857133077254E-2</v>
      </c>
      <c r="K54" s="16">
        <f>((SUMIFS(SSP2_VSI!$F:$F,SSP2_VSI!$C:$C,Results_list!$C$46,SSP2_VSI!$D:$D,Results_list!$D54,SSP2_VSI!$B:$B,2040)) - (SUMIFS(SSP2_VSI!$F:$F,SSP2_VSI!$C:$C,Results_list!$C$46,SSP2_VSI!$D:$D,Results_list!$D54,SSP2_VSI!$B:$B,2025))) / (SUMIFS(SSP2_VSI!$F:$F,SSP2_VSI!$C:$C,Results_list!$C$46,SSP2_VSI!$D:$D,Results_list!$D54,SSP2_VSI!$B:$B,2025))</f>
        <v>-8.9909315008890017E-2</v>
      </c>
      <c r="L54" s="13">
        <f t="shared" si="7"/>
        <v>0</v>
      </c>
      <c r="M54" s="12">
        <f>((SUMIFS(SSP5_Baseline!$E:$E,SSP5_Baseline!$C:$C,Results_list!$C$46,SSP5_Baseline!$D:$D,Results_list!$D54,SSP5_Baseline!$B:$B,2040)) - (SUMIFS(SSP5_Baseline!$E:$E,SSP5_Baseline!$C:$C,Results_list!$C$46,SSP5_Baseline!$D:$D,Results_list!$D54,SSP5_Baseline!$B:$B,2025))) / (SUMIFS(SSP5_Baseline!$E:$E,SSP5_Baseline!$C:$C,Results_list!$C$46,SSP5_Baseline!$D:$D,Results_list!$D54,SSP5_Baseline!$B:$B,2025))</f>
        <v>-8.8874185733907513E-2</v>
      </c>
      <c r="N54" s="16">
        <f>((SUMIFS(SSP5_VSI!$F:$F,SSP5_VSI!$C:$C,Results_list!$C$46,SSP5_VSI!$D:$D,Results_list!$D54,SSP5_VSI!$B:$B,2040)) - (SUMIFS(SSP5_VSI!$F:$F,SSP5_VSI!$C:$C,Results_list!$C$46,SSP5_VSI!$D:$D,Results_list!$D54,SSP5_VSI!$B:$B,2025))) / (SUMIFS(SSP5_VSI!$F:$F,SSP5_VSI!$C:$C,Results_list!$C$46,SSP5_VSI!$D:$D,Results_list!$D54,SSP5_VSI!$B:$B,2025))</f>
        <v>-8.8849474901590231E-2</v>
      </c>
      <c r="O54" s="13">
        <f t="shared" si="8"/>
        <v>0</v>
      </c>
    </row>
    <row r="55" spans="2:15" x14ac:dyDescent="0.35">
      <c r="B55" s="89"/>
      <c r="C55" s="91"/>
      <c r="D55" t="s">
        <v>48</v>
      </c>
      <c r="F55" s="3" t="s">
        <v>96</v>
      </c>
      <c r="G55" s="12">
        <f>((SUMIFS(SSP1_Baseline!$E:$E,SSP1_Baseline!$C:$C,Results_list!$C$46,SSP1_Baseline!$D:$D,Results_list!$D55,SSP1_Baseline!$B:$B,2040)) - (SUMIFS(SSP1_Baseline!$E:$E,SSP1_Baseline!$C:$C,Results_list!$C$46,SSP1_Baseline!$D:$D,Results_list!$D55,SSP1_Baseline!$B:$B,2025))) / (SUMIFS(SSP1_Baseline!$E:$E,SSP1_Baseline!$C:$C,Results_list!$C$46,SSP1_Baseline!$D:$D,Results_list!$D55,SSP1_Baseline!$B:$B,2025))</f>
        <v>1.5318023859304541E-3</v>
      </c>
      <c r="H55" s="16">
        <f>((SUMIFS(SSP1_VSI!$F:$F,SSP1_VSI!$C:$C,Results_list!$C$46,SSP1_VSI!$D:$D,Results_list!$D55,SSP1_VSI!$B:$B,2040)) - (SUMIFS(SSP1_VSI!$F:$F,SSP1_VSI!$C:$C,Results_list!$C$46,SSP1_VSI!$D:$D,Results_list!$D55,SSP1_VSI!$B:$B,2025))) / (SUMIFS(SSP1_VSI!$F:$F,SSP1_VSI!$C:$C,Results_list!$C$46,SSP1_VSI!$D:$D,Results_list!$D55,SSP1_VSI!$B:$B,2025))</f>
        <v>1.5318704308958622E-3</v>
      </c>
      <c r="I55" s="13">
        <f t="shared" si="6"/>
        <v>0</v>
      </c>
      <c r="J55" s="12">
        <f>((SUMIFS(SSP2_Baseline!$E:$E,SSP2_Baseline!$C:$C,Results_list!$C$46,SSP2_Baseline!$D:$D,Results_list!$D55,SSP2_Baseline!$B:$B,2040)) - (SUMIFS(SSP2_Baseline!$E:$E,SSP2_Baseline!$C:$C,Results_list!$C$46,SSP2_Baseline!$D:$D,Results_list!$D55,SSP2_Baseline!$B:$B,2025))) / (SUMIFS(SSP2_Baseline!$E:$E,SSP2_Baseline!$C:$C,Results_list!$C$46,SSP2_Baseline!$D:$D,Results_list!$D55,SSP2_Baseline!$B:$B,2025))</f>
        <v>1.6347356411564741E-3</v>
      </c>
      <c r="K55" s="16">
        <f>((SUMIFS(SSP2_VSI!$F:$F,SSP2_VSI!$C:$C,Results_list!$C$46,SSP2_VSI!$D:$D,Results_list!$D55,SSP2_VSI!$B:$B,2040)) - (SUMIFS(SSP2_VSI!$F:$F,SSP2_VSI!$C:$C,Results_list!$C$46,SSP2_VSI!$D:$D,Results_list!$D55,SSP2_VSI!$B:$B,2025))) / (SUMIFS(SSP2_VSI!$F:$F,SSP2_VSI!$C:$C,Results_list!$C$46,SSP2_VSI!$D:$D,Results_list!$D55,SSP2_VSI!$B:$B,2025))</f>
        <v>1.634738363610171E-3</v>
      </c>
      <c r="L55" s="13">
        <f t="shared" si="7"/>
        <v>0</v>
      </c>
      <c r="M55" s="12">
        <f>((SUMIFS(SSP5_Baseline!$E:$E,SSP5_Baseline!$C:$C,Results_list!$C$46,SSP5_Baseline!$D:$D,Results_list!$D55,SSP5_Baseline!$B:$B,2040)) - (SUMIFS(SSP5_Baseline!$E:$E,SSP5_Baseline!$C:$C,Results_list!$C$46,SSP5_Baseline!$D:$D,Results_list!$D55,SSP5_Baseline!$B:$B,2025))) / (SUMIFS(SSP5_Baseline!$E:$E,SSP5_Baseline!$C:$C,Results_list!$C$46,SSP5_Baseline!$D:$D,Results_list!$D55,SSP5_Baseline!$B:$B,2025))</f>
        <v>5.8832499460364021E-4</v>
      </c>
      <c r="N55" s="16">
        <f>((SUMIFS(SSP5_VSI!$F:$F,SSP5_VSI!$C:$C,Results_list!$C$46,SSP5_VSI!$D:$D,Results_list!$D55,SSP5_VSI!$B:$B,2040)) - (SUMIFS(SSP5_VSI!$F:$F,SSP5_VSI!$C:$C,Results_list!$C$46,SSP5_VSI!$D:$D,Results_list!$D55,SSP5_VSI!$B:$B,2025))) / (SUMIFS(SSP5_VSI!$F:$F,SSP5_VSI!$C:$C,Results_list!$C$46,SSP5_VSI!$D:$D,Results_list!$D55,SSP5_VSI!$B:$B,2025))</f>
        <v>5.8843242243837178E-4</v>
      </c>
      <c r="O55" s="13">
        <f t="shared" si="8"/>
        <v>0</v>
      </c>
    </row>
    <row r="56" spans="2:15" x14ac:dyDescent="0.35">
      <c r="B56" s="89"/>
      <c r="C56" s="91"/>
      <c r="D56" t="s">
        <v>49</v>
      </c>
      <c r="F56" s="3" t="s">
        <v>97</v>
      </c>
      <c r="G56" s="12">
        <f>((SUMIFS(SSP1_Baseline!$E:$E,SSP1_Baseline!$C:$C,Results_list!$C$46,SSP1_Baseline!$D:$D,Results_list!$D56,SSP1_Baseline!$B:$B,2040)) - (SUMIFS(SSP1_Baseline!$E:$E,SSP1_Baseline!$C:$C,Results_list!$C$46,SSP1_Baseline!$D:$D,Results_list!$D56,SSP1_Baseline!$B:$B,2025))) / (SUMIFS(SSP1_Baseline!$E:$E,SSP1_Baseline!$C:$C,Results_list!$C$46,SSP1_Baseline!$D:$D,Results_list!$D56,SSP1_Baseline!$B:$B,2025))</f>
        <v>-0.10963070235078164</v>
      </c>
      <c r="H56" s="16">
        <f>((SUMIFS(SSP1_VSI!$F:$F,SSP1_VSI!$C:$C,Results_list!$C$46,SSP1_VSI!$D:$D,Results_list!$D56,SSP1_VSI!$B:$B,2040)) - (SUMIFS(SSP1_VSI!$F:$F,SSP1_VSI!$C:$C,Results_list!$C$46,SSP1_VSI!$D:$D,Results_list!$D56,SSP1_VSI!$B:$B,2025))) / (SUMIFS(SSP1_VSI!$F:$F,SSP1_VSI!$C:$C,Results_list!$C$46,SSP1_VSI!$D:$D,Results_list!$D56,SSP1_VSI!$B:$B,2025))</f>
        <v>-0.31029896645010974</v>
      </c>
      <c r="I56" s="13">
        <f t="shared" si="6"/>
        <v>-0.20100000000000001</v>
      </c>
      <c r="J56" s="12">
        <f>((SUMIFS(SSP2_Baseline!$E:$E,SSP2_Baseline!$C:$C,Results_list!$C$46,SSP2_Baseline!$D:$D,Results_list!$D56,SSP2_Baseline!$B:$B,2040)) - (SUMIFS(SSP2_Baseline!$E:$E,SSP2_Baseline!$C:$C,Results_list!$C$46,SSP2_Baseline!$D:$D,Results_list!$D56,SSP2_Baseline!$B:$B,2025))) / (SUMIFS(SSP2_Baseline!$E:$E,SSP2_Baseline!$C:$C,Results_list!$C$46,SSP2_Baseline!$D:$D,Results_list!$D56,SSP2_Baseline!$B:$B,2025))</f>
        <v>-9.9154099632106016E-2</v>
      </c>
      <c r="K56" s="16">
        <f>((SUMIFS(SSP2_VSI!$F:$F,SSP2_VSI!$C:$C,Results_list!$C$46,SSP2_VSI!$D:$D,Results_list!$D56,SSP2_VSI!$B:$B,2040)) - (SUMIFS(SSP2_VSI!$F:$F,SSP2_VSI!$C:$C,Results_list!$C$46,SSP2_VSI!$D:$D,Results_list!$D56,SSP2_VSI!$B:$B,2025))) / (SUMIFS(SSP2_VSI!$F:$F,SSP2_VSI!$C:$C,Results_list!$C$46,SSP2_VSI!$D:$D,Results_list!$D56,SSP2_VSI!$B:$B,2025))</f>
        <v>-0.30205455130864228</v>
      </c>
      <c r="L56" s="13">
        <f t="shared" si="7"/>
        <v>-0.2</v>
      </c>
      <c r="M56" s="12">
        <f>((SUMIFS(SSP5_Baseline!$E:$E,SSP5_Baseline!$C:$C,Results_list!$C$46,SSP5_Baseline!$D:$D,Results_list!$D56,SSP5_Baseline!$B:$B,2040)) - (SUMIFS(SSP5_Baseline!$E:$E,SSP5_Baseline!$C:$C,Results_list!$C$46,SSP5_Baseline!$D:$D,Results_list!$D56,SSP5_Baseline!$B:$B,2025))) / (SUMIFS(SSP5_Baseline!$E:$E,SSP5_Baseline!$C:$C,Results_list!$C$46,SSP5_Baseline!$D:$D,Results_list!$D56,SSP5_Baseline!$B:$B,2025))</f>
        <v>-9.4630781741059974E-2</v>
      </c>
      <c r="N56" s="16">
        <f>((SUMIFS(SSP5_VSI!$F:$F,SSP5_VSI!$C:$C,Results_list!$C$46,SSP5_VSI!$D:$D,Results_list!$D56,SSP5_VSI!$B:$B,2040)) - (SUMIFS(SSP5_VSI!$F:$F,SSP5_VSI!$C:$C,Results_list!$C$46,SSP5_VSI!$D:$D,Results_list!$D56,SSP5_VSI!$B:$B,2025))) / (SUMIFS(SSP5_VSI!$F:$F,SSP5_VSI!$C:$C,Results_list!$C$46,SSP5_VSI!$D:$D,Results_list!$D56,SSP5_VSI!$B:$B,2025))</f>
        <v>-0.3003296066361093</v>
      </c>
      <c r="O56" s="13">
        <f t="shared" si="8"/>
        <v>-0.21</v>
      </c>
    </row>
    <row r="57" spans="2:15" x14ac:dyDescent="0.35">
      <c r="B57" s="89"/>
      <c r="C57" s="91"/>
      <c r="D57" t="s">
        <v>50</v>
      </c>
      <c r="F57" s="3" t="s">
        <v>98</v>
      </c>
      <c r="G57" s="12">
        <f>((SUMIFS(SSP1_Baseline!$E:$E,SSP1_Baseline!$C:$C,Results_list!$C$46,SSP1_Baseline!$D:$D,Results_list!$D57,SSP1_Baseline!$B:$B,2040)) - (SUMIFS(SSP1_Baseline!$E:$E,SSP1_Baseline!$C:$C,Results_list!$C$46,SSP1_Baseline!$D:$D,Results_list!$D57,SSP1_Baseline!$B:$B,2025))) / (SUMIFS(SSP1_Baseline!$E:$E,SSP1_Baseline!$C:$C,Results_list!$C$46,SSP1_Baseline!$D:$D,Results_list!$D57,SSP1_Baseline!$B:$B,2025))</f>
        <v>-5.6535347677027267E-2</v>
      </c>
      <c r="H57" s="16">
        <f>((SUMIFS(SSP1_VSI!$F:$F,SSP1_VSI!$C:$C,Results_list!$C$46,SSP1_VSI!$D:$D,Results_list!$D57,SSP1_VSI!$B:$B,2040)) - (SUMIFS(SSP1_VSI!$F:$F,SSP1_VSI!$C:$C,Results_list!$C$46,SSP1_VSI!$D:$D,Results_list!$D57,SSP1_VSI!$B:$B,2025))) / (SUMIFS(SSP1_VSI!$F:$F,SSP1_VSI!$C:$C,Results_list!$C$46,SSP1_VSI!$D:$D,Results_list!$D57,SSP1_VSI!$B:$B,2025))</f>
        <v>-5.6536365945338035E-2</v>
      </c>
      <c r="I57" s="13">
        <f t="shared" si="6"/>
        <v>0</v>
      </c>
      <c r="J57" s="12">
        <f>((SUMIFS(SSP2_Baseline!$E:$E,SSP2_Baseline!$C:$C,Results_list!$C$46,SSP2_Baseline!$D:$D,Results_list!$D57,SSP2_Baseline!$B:$B,2040)) - (SUMIFS(SSP2_Baseline!$E:$E,SSP2_Baseline!$C:$C,Results_list!$C$46,SSP2_Baseline!$D:$D,Results_list!$D57,SSP2_Baseline!$B:$B,2025))) / (SUMIFS(SSP2_Baseline!$E:$E,SSP2_Baseline!$C:$C,Results_list!$C$46,SSP2_Baseline!$D:$D,Results_list!$D57,SSP2_Baseline!$B:$B,2025))</f>
        <v>3.3819056234190709E-2</v>
      </c>
      <c r="K57" s="16">
        <f>((SUMIFS(SSP2_VSI!$F:$F,SSP2_VSI!$C:$C,Results_list!$C$46,SSP2_VSI!$D:$D,Results_list!$D57,SSP2_VSI!$B:$B,2040)) - (SUMIFS(SSP2_VSI!$F:$F,SSP2_VSI!$C:$C,Results_list!$C$46,SSP2_VSI!$D:$D,Results_list!$D57,SSP2_VSI!$B:$B,2025))) / (SUMIFS(SSP2_VSI!$F:$F,SSP2_VSI!$C:$C,Results_list!$C$46,SSP2_VSI!$D:$D,Results_list!$D57,SSP2_VSI!$B:$B,2025))</f>
        <v>3.381862378034569E-2</v>
      </c>
      <c r="L57" s="13">
        <f t="shared" si="7"/>
        <v>0</v>
      </c>
      <c r="M57" s="12">
        <f>((SUMIFS(SSP5_Baseline!$E:$E,SSP5_Baseline!$C:$C,Results_list!$C$46,SSP5_Baseline!$D:$D,Results_list!$D57,SSP5_Baseline!$B:$B,2040)) - (SUMIFS(SSP5_Baseline!$E:$E,SSP5_Baseline!$C:$C,Results_list!$C$46,SSP5_Baseline!$D:$D,Results_list!$D57,SSP5_Baseline!$B:$B,2025))) / (SUMIFS(SSP5_Baseline!$E:$E,SSP5_Baseline!$C:$C,Results_list!$C$46,SSP5_Baseline!$D:$D,Results_list!$D57,SSP5_Baseline!$B:$B,2025))</f>
        <v>7.0530736823061865E-2</v>
      </c>
      <c r="N57" s="16">
        <f>((SUMIFS(SSP5_VSI!$F:$F,SSP5_VSI!$C:$C,Results_list!$C$46,SSP5_VSI!$D:$D,Results_list!$D57,SSP5_VSI!$B:$B,2040)) - (SUMIFS(SSP5_VSI!$F:$F,SSP5_VSI!$C:$C,Results_list!$C$46,SSP5_VSI!$D:$D,Results_list!$D57,SSP5_VSI!$B:$B,2025))) / (SUMIFS(SSP5_VSI!$F:$F,SSP5_VSI!$C:$C,Results_list!$C$46,SSP5_VSI!$D:$D,Results_list!$D57,SSP5_VSI!$B:$B,2025))</f>
        <v>7.0532752336250865E-2</v>
      </c>
      <c r="O57" s="13">
        <f t="shared" si="8"/>
        <v>0</v>
      </c>
    </row>
    <row r="58" spans="2:15" x14ac:dyDescent="0.35">
      <c r="B58" s="89"/>
      <c r="C58" s="91"/>
      <c r="D58" t="s">
        <v>51</v>
      </c>
      <c r="F58" s="3" t="s">
        <v>99</v>
      </c>
      <c r="G58" s="12">
        <f>((SUMIFS(SSP1_Baseline!$E:$E,SSP1_Baseline!$C:$C,Results_list!$C$46,SSP1_Baseline!$D:$D,Results_list!$D58,SSP1_Baseline!$B:$B,2040)) - (SUMIFS(SSP1_Baseline!$E:$E,SSP1_Baseline!$C:$C,Results_list!$C$46,SSP1_Baseline!$D:$D,Results_list!$D58,SSP1_Baseline!$B:$B,2025))) / (SUMIFS(SSP1_Baseline!$E:$E,SSP1_Baseline!$C:$C,Results_list!$C$46,SSP1_Baseline!$D:$D,Results_list!$D58,SSP1_Baseline!$B:$B,2025))</f>
        <v>6.4163182911326611E-2</v>
      </c>
      <c r="H58" s="16">
        <f>((SUMIFS(SSP1_VSI!$F:$F,SSP1_VSI!$C:$C,Results_list!$C$46,SSP1_VSI!$D:$D,Results_list!$D58,SSP1_VSI!$B:$B,2040)) - (SUMIFS(SSP1_VSI!$F:$F,SSP1_VSI!$C:$C,Results_list!$C$46,SSP1_VSI!$D:$D,Results_list!$D58,SSP1_VSI!$B:$B,2025))) / (SUMIFS(SSP1_VSI!$F:$F,SSP1_VSI!$C:$C,Results_list!$C$46,SSP1_VSI!$D:$D,Results_list!$D58,SSP1_VSI!$B:$B,2025))</f>
        <v>6.4159835991015407E-2</v>
      </c>
      <c r="I58" s="13">
        <f t="shared" si="6"/>
        <v>0</v>
      </c>
      <c r="J58" s="12">
        <f>((SUMIFS(SSP2_Baseline!$E:$E,SSP2_Baseline!$C:$C,Results_list!$C$46,SSP2_Baseline!$D:$D,Results_list!$D58,SSP2_Baseline!$B:$B,2040)) - (SUMIFS(SSP2_Baseline!$E:$E,SSP2_Baseline!$C:$C,Results_list!$C$46,SSP2_Baseline!$D:$D,Results_list!$D58,SSP2_Baseline!$B:$B,2025))) / (SUMIFS(SSP2_Baseline!$E:$E,SSP2_Baseline!$C:$C,Results_list!$C$46,SSP2_Baseline!$D:$D,Results_list!$D58,SSP2_Baseline!$B:$B,2025))</f>
        <v>6.535725822813121E-2</v>
      </c>
      <c r="K58" s="16">
        <f>((SUMIFS(SSP2_VSI!$F:$F,SSP2_VSI!$C:$C,Results_list!$C$46,SSP2_VSI!$D:$D,Results_list!$D58,SSP2_VSI!$B:$B,2040)) - (SUMIFS(SSP2_VSI!$F:$F,SSP2_VSI!$C:$C,Results_list!$C$46,SSP2_VSI!$D:$D,Results_list!$D58,SSP2_VSI!$B:$B,2025))) / (SUMIFS(SSP2_VSI!$F:$F,SSP2_VSI!$C:$C,Results_list!$C$46,SSP2_VSI!$D:$D,Results_list!$D58,SSP2_VSI!$B:$B,2025))</f>
        <v>6.5335283140865175E-2</v>
      </c>
      <c r="L58" s="13">
        <f t="shared" si="7"/>
        <v>0</v>
      </c>
      <c r="M58" s="12">
        <f>((SUMIFS(SSP5_Baseline!$E:$E,SSP5_Baseline!$C:$C,Results_list!$C$46,SSP5_Baseline!$D:$D,Results_list!$D58,SSP5_Baseline!$B:$B,2040)) - (SUMIFS(SSP5_Baseline!$E:$E,SSP5_Baseline!$C:$C,Results_list!$C$46,SSP5_Baseline!$D:$D,Results_list!$D58,SSP5_Baseline!$B:$B,2025))) / (SUMIFS(SSP5_Baseline!$E:$E,SSP5_Baseline!$C:$C,Results_list!$C$46,SSP5_Baseline!$D:$D,Results_list!$D58,SSP5_Baseline!$B:$B,2025))</f>
        <v>-2.8643849093364603E-2</v>
      </c>
      <c r="N58" s="16">
        <f>((SUMIFS(SSP5_VSI!$F:$F,SSP5_VSI!$C:$C,Results_list!$C$46,SSP5_VSI!$D:$D,Results_list!$D58,SSP5_VSI!$B:$B,2040)) - (SUMIFS(SSP5_VSI!$F:$F,SSP5_VSI!$C:$C,Results_list!$C$46,SSP5_VSI!$D:$D,Results_list!$D58,SSP5_VSI!$B:$B,2025))) / (SUMIFS(SSP5_VSI!$F:$F,SSP5_VSI!$C:$C,Results_list!$C$46,SSP5_VSI!$D:$D,Results_list!$D58,SSP5_VSI!$B:$B,2025))</f>
        <v>-2.8636924720155787E-2</v>
      </c>
      <c r="O58" s="13">
        <f t="shared" si="8"/>
        <v>0</v>
      </c>
    </row>
    <row r="59" spans="2:15" x14ac:dyDescent="0.35">
      <c r="B59" s="89"/>
      <c r="C59" s="91"/>
      <c r="D59" t="s">
        <v>52</v>
      </c>
      <c r="F59" s="3" t="s">
        <v>100</v>
      </c>
      <c r="G59" s="12">
        <f>((SUMIFS(SSP1_Baseline!$E:$E,SSP1_Baseline!$C:$C,Results_list!$C$46,SSP1_Baseline!$D:$D,Results_list!$D59,SSP1_Baseline!$B:$B,2040)) - (SUMIFS(SSP1_Baseline!$E:$E,SSP1_Baseline!$C:$C,Results_list!$C$46,SSP1_Baseline!$D:$D,Results_list!$D59,SSP1_Baseline!$B:$B,2025))) / (SUMIFS(SSP1_Baseline!$E:$E,SSP1_Baseline!$C:$C,Results_list!$C$46,SSP1_Baseline!$D:$D,Results_list!$D59,SSP1_Baseline!$B:$B,2025))</f>
        <v>-0.34908989812141283</v>
      </c>
      <c r="H59" s="16">
        <f>((SUMIFS(SSP1_VSI!$F:$F,SSP1_VSI!$C:$C,Results_list!$C$46,SSP1_VSI!$D:$D,Results_list!$D59,SSP1_VSI!$B:$B,2040)) - (SUMIFS(SSP1_VSI!$F:$F,SSP1_VSI!$C:$C,Results_list!$C$46,SSP1_VSI!$D:$D,Results_list!$D59,SSP1_VSI!$B:$B,2025))) / (SUMIFS(SSP1_VSI!$F:$F,SSP1_VSI!$C:$C,Results_list!$C$46,SSP1_VSI!$D:$D,Results_list!$D59,SSP1_VSI!$B:$B,2025))</f>
        <v>-0.34905551808490876</v>
      </c>
      <c r="I59" s="13">
        <f t="shared" si="6"/>
        <v>0</v>
      </c>
      <c r="J59" s="12">
        <f>((SUMIFS(SSP2_Baseline!$E:$E,SSP2_Baseline!$C:$C,Results_list!$C$46,SSP2_Baseline!$D:$D,Results_list!$D59,SSP2_Baseline!$B:$B,2040)) - (SUMIFS(SSP2_Baseline!$E:$E,SSP2_Baseline!$C:$C,Results_list!$C$46,SSP2_Baseline!$D:$D,Results_list!$D59,SSP2_Baseline!$B:$B,2025))) / (SUMIFS(SSP2_Baseline!$E:$E,SSP2_Baseline!$C:$C,Results_list!$C$46,SSP2_Baseline!$D:$D,Results_list!$D59,SSP2_Baseline!$B:$B,2025))</f>
        <v>-0.32318318854517775</v>
      </c>
      <c r="K59" s="16">
        <f>((SUMIFS(SSP2_VSI!$F:$F,SSP2_VSI!$C:$C,Results_list!$C$46,SSP2_VSI!$D:$D,Results_list!$D59,SSP2_VSI!$B:$B,2040)) - (SUMIFS(SSP2_VSI!$F:$F,SSP2_VSI!$C:$C,Results_list!$C$46,SSP2_VSI!$D:$D,Results_list!$D59,SSP2_VSI!$B:$B,2025))) / (SUMIFS(SSP2_VSI!$F:$F,SSP2_VSI!$C:$C,Results_list!$C$46,SSP2_VSI!$D:$D,Results_list!$D59,SSP2_VSI!$B:$B,2025))</f>
        <v>-0.32311549674008472</v>
      </c>
      <c r="L59" s="13">
        <f t="shared" si="7"/>
        <v>0</v>
      </c>
      <c r="M59" s="12">
        <f>((SUMIFS(SSP5_Baseline!$E:$E,SSP5_Baseline!$C:$C,Results_list!$C$46,SSP5_Baseline!$D:$D,Results_list!$D59,SSP5_Baseline!$B:$B,2040)) - (SUMIFS(SSP5_Baseline!$E:$E,SSP5_Baseline!$C:$C,Results_list!$C$46,SSP5_Baseline!$D:$D,Results_list!$D59,SSP5_Baseline!$B:$B,2025))) / (SUMIFS(SSP5_Baseline!$E:$E,SSP5_Baseline!$C:$C,Results_list!$C$46,SSP5_Baseline!$D:$D,Results_list!$D59,SSP5_Baseline!$B:$B,2025))</f>
        <v>-8.5757202948525332E-2</v>
      </c>
      <c r="N59" s="16">
        <f>((SUMIFS(SSP5_VSI!$F:$F,SSP5_VSI!$C:$C,Results_list!$C$46,SSP5_VSI!$D:$D,Results_list!$D59,SSP5_VSI!$B:$B,2040)) - (SUMIFS(SSP5_VSI!$F:$F,SSP5_VSI!$C:$C,Results_list!$C$46,SSP5_VSI!$D:$D,Results_list!$D59,SSP5_VSI!$B:$B,2025))) / (SUMIFS(SSP5_VSI!$F:$F,SSP5_VSI!$C:$C,Results_list!$C$46,SSP5_VSI!$D:$D,Results_list!$D59,SSP5_VSI!$B:$B,2025))</f>
        <v>-8.5691691937015355E-2</v>
      </c>
      <c r="O59" s="13">
        <f t="shared" si="8"/>
        <v>0</v>
      </c>
    </row>
    <row r="60" spans="2:15" x14ac:dyDescent="0.35">
      <c r="B60" s="89"/>
      <c r="C60" s="91"/>
      <c r="D60" t="s">
        <v>53</v>
      </c>
      <c r="F60" s="3" t="s">
        <v>101</v>
      </c>
      <c r="G60" s="12">
        <f>((SUMIFS(SSP1_Baseline!$E:$E,SSP1_Baseline!$C:$C,Results_list!$C$46,SSP1_Baseline!$D:$D,Results_list!$D60,SSP1_Baseline!$B:$B,2040)) - (SUMIFS(SSP1_Baseline!$E:$E,SSP1_Baseline!$C:$C,Results_list!$C$46,SSP1_Baseline!$D:$D,Results_list!$D60,SSP1_Baseline!$B:$B,2025))) / (SUMIFS(SSP1_Baseline!$E:$E,SSP1_Baseline!$C:$C,Results_list!$C$46,SSP1_Baseline!$D:$D,Results_list!$D60,SSP1_Baseline!$B:$B,2025))</f>
        <v>-0.23027558484715516</v>
      </c>
      <c r="H60" s="16">
        <f>((SUMIFS(SSP1_VSI!$F:$F,SSP1_VSI!$C:$C,Results_list!$C$46,SSP1_VSI!$D:$D,Results_list!$D60,SSP1_VSI!$B:$B,2040)) - (SUMIFS(SSP1_VSI!$F:$F,SSP1_VSI!$C:$C,Results_list!$C$46,SSP1_VSI!$D:$D,Results_list!$D60,SSP1_VSI!$B:$B,2025))) / (SUMIFS(SSP1_VSI!$F:$F,SSP1_VSI!$C:$C,Results_list!$C$46,SSP1_VSI!$D:$D,Results_list!$D60,SSP1_VSI!$B:$B,2025))</f>
        <v>-0.23029445359462011</v>
      </c>
      <c r="I60" s="13">
        <f t="shared" si="6"/>
        <v>0</v>
      </c>
      <c r="J60" s="12">
        <f>((SUMIFS(SSP2_Baseline!$E:$E,SSP2_Baseline!$C:$C,Results_list!$C$46,SSP2_Baseline!$D:$D,Results_list!$D60,SSP2_Baseline!$B:$B,2040)) - (SUMIFS(SSP2_Baseline!$E:$E,SSP2_Baseline!$C:$C,Results_list!$C$46,SSP2_Baseline!$D:$D,Results_list!$D60,SSP2_Baseline!$B:$B,2025))) / (SUMIFS(SSP2_Baseline!$E:$E,SSP2_Baseline!$C:$C,Results_list!$C$46,SSP2_Baseline!$D:$D,Results_list!$D60,SSP2_Baseline!$B:$B,2025))</f>
        <v>-0.20402972812714523</v>
      </c>
      <c r="K60" s="16">
        <f>((SUMIFS(SSP2_VSI!$F:$F,SSP2_VSI!$C:$C,Results_list!$C$46,SSP2_VSI!$D:$D,Results_list!$D60,SSP2_VSI!$B:$B,2040)) - (SUMIFS(SSP2_VSI!$F:$F,SSP2_VSI!$C:$C,Results_list!$C$46,SSP2_VSI!$D:$D,Results_list!$D60,SSP2_VSI!$B:$B,2025))) / (SUMIFS(SSP2_VSI!$F:$F,SSP2_VSI!$C:$C,Results_list!$C$46,SSP2_VSI!$D:$D,Results_list!$D60,SSP2_VSI!$B:$B,2025))</f>
        <v>-0.20402853870237964</v>
      </c>
      <c r="L60" s="13">
        <f t="shared" si="7"/>
        <v>0</v>
      </c>
      <c r="M60" s="12">
        <f>((SUMIFS(SSP5_Baseline!$E:$E,SSP5_Baseline!$C:$C,Results_list!$C$46,SSP5_Baseline!$D:$D,Results_list!$D60,SSP5_Baseline!$B:$B,2040)) - (SUMIFS(SSP5_Baseline!$E:$E,SSP5_Baseline!$C:$C,Results_list!$C$46,SSP5_Baseline!$D:$D,Results_list!$D60,SSP5_Baseline!$B:$B,2025))) / (SUMIFS(SSP5_Baseline!$E:$E,SSP5_Baseline!$C:$C,Results_list!$C$46,SSP5_Baseline!$D:$D,Results_list!$D60,SSP5_Baseline!$B:$B,2025))</f>
        <v>-2.4470398397672958E-2</v>
      </c>
      <c r="N60" s="16">
        <f>((SUMIFS(SSP5_VSI!$F:$F,SSP5_VSI!$C:$C,Results_list!$C$46,SSP5_VSI!$D:$D,Results_list!$D60,SSP5_VSI!$B:$B,2040)) - (SUMIFS(SSP5_VSI!$F:$F,SSP5_VSI!$C:$C,Results_list!$C$46,SSP5_VSI!$D:$D,Results_list!$D60,SSP5_VSI!$B:$B,2025))) / (SUMIFS(SSP5_VSI!$F:$F,SSP5_VSI!$C:$C,Results_list!$C$46,SSP5_VSI!$D:$D,Results_list!$D60,SSP5_VSI!$B:$B,2025))</f>
        <v>-2.4462266059661956E-2</v>
      </c>
      <c r="O60" s="13">
        <f t="shared" si="8"/>
        <v>0</v>
      </c>
    </row>
    <row r="61" spans="2:15" x14ac:dyDescent="0.35">
      <c r="B61" s="89"/>
      <c r="C61" s="91"/>
      <c r="D61" t="s">
        <v>54</v>
      </c>
      <c r="F61" s="3" t="s">
        <v>102</v>
      </c>
      <c r="G61" s="12">
        <f>((SUMIFS(SSP1_Baseline!$E:$E,SSP1_Baseline!$C:$C,Results_list!$C$46,SSP1_Baseline!$D:$D,Results_list!$D61,SSP1_Baseline!$B:$B,2040)) - (SUMIFS(SSP1_Baseline!$E:$E,SSP1_Baseline!$C:$C,Results_list!$C$46,SSP1_Baseline!$D:$D,Results_list!$D61,SSP1_Baseline!$B:$B,2025))) / (SUMIFS(SSP1_Baseline!$E:$E,SSP1_Baseline!$C:$C,Results_list!$C$46,SSP1_Baseline!$D:$D,Results_list!$D61,SSP1_Baseline!$B:$B,2025))</f>
        <v>-1.1500330964504307E-3</v>
      </c>
      <c r="H61" s="16">
        <f>((SUMIFS(SSP1_VSI!$F:$F,SSP1_VSI!$C:$C,Results_list!$C$46,SSP1_VSI!$D:$D,Results_list!$D61,SSP1_VSI!$B:$B,2040)) - (SUMIFS(SSP1_VSI!$F:$F,SSP1_VSI!$C:$C,Results_list!$C$46,SSP1_VSI!$D:$D,Results_list!$D61,SSP1_VSI!$B:$B,2025))) / (SUMIFS(SSP1_VSI!$F:$F,SSP1_VSI!$C:$C,Results_list!$C$46,SSP1_VSI!$D:$D,Results_list!$D61,SSP1_VSI!$B:$B,2025))</f>
        <v>-2.2963858751504241E-3</v>
      </c>
      <c r="I61" s="13">
        <f t="shared" si="6"/>
        <v>-1E-3</v>
      </c>
      <c r="J61" s="12">
        <f>((SUMIFS(SSP2_Baseline!$E:$E,SSP2_Baseline!$C:$C,Results_list!$C$46,SSP2_Baseline!$D:$D,Results_list!$D61,SSP2_Baseline!$B:$B,2040)) - (SUMIFS(SSP2_Baseline!$E:$E,SSP2_Baseline!$C:$C,Results_list!$C$46,SSP2_Baseline!$D:$D,Results_list!$D61,SSP2_Baseline!$B:$B,2025))) / (SUMIFS(SSP2_Baseline!$E:$E,SSP2_Baseline!$C:$C,Results_list!$C$46,SSP2_Baseline!$D:$D,Results_list!$D61,SSP2_Baseline!$B:$B,2025))</f>
        <v>2.1172817258700277E-3</v>
      </c>
      <c r="K61" s="16">
        <f>((SUMIFS(SSP2_VSI!$F:$F,SSP2_VSI!$C:$C,Results_list!$C$46,SSP2_VSI!$D:$D,Results_list!$D61,SSP2_VSI!$B:$B,2040)) - (SUMIFS(SSP2_VSI!$F:$F,SSP2_VSI!$C:$C,Results_list!$C$46,SSP2_VSI!$D:$D,Results_list!$D61,SSP2_VSI!$B:$B,2025))) / (SUMIFS(SSP2_VSI!$F:$F,SSP2_VSI!$C:$C,Results_list!$C$46,SSP2_VSI!$D:$D,Results_list!$D61,SSP2_VSI!$B:$B,2025))</f>
        <v>9.6996359506687675E-4</v>
      </c>
      <c r="L61" s="13">
        <f t="shared" si="7"/>
        <v>0</v>
      </c>
      <c r="M61" s="12">
        <f>((SUMIFS(SSP5_Baseline!$E:$E,SSP5_Baseline!$C:$C,Results_list!$C$46,SSP5_Baseline!$D:$D,Results_list!$D61,SSP5_Baseline!$B:$B,2040)) - (SUMIFS(SSP5_Baseline!$E:$E,SSP5_Baseline!$C:$C,Results_list!$C$46,SSP5_Baseline!$D:$D,Results_list!$D61,SSP5_Baseline!$B:$B,2025))) / (SUMIFS(SSP5_Baseline!$E:$E,SSP5_Baseline!$C:$C,Results_list!$C$46,SSP5_Baseline!$D:$D,Results_list!$D61,SSP5_Baseline!$B:$B,2025))</f>
        <v>-2.1690724955278806E-3</v>
      </c>
      <c r="N61" s="16">
        <f>((SUMIFS(SSP5_VSI!$F:$F,SSP5_VSI!$C:$C,Results_list!$C$46,SSP5_VSI!$D:$D,Results_list!$D61,SSP5_VSI!$B:$B,2040)) - (SUMIFS(SSP5_VSI!$F:$F,SSP5_VSI!$C:$C,Results_list!$C$46,SSP5_VSI!$D:$D,Results_list!$D61,SSP5_VSI!$B:$B,2025))) / (SUMIFS(SSP5_VSI!$F:$F,SSP5_VSI!$C:$C,Results_list!$C$46,SSP5_VSI!$D:$D,Results_list!$D61,SSP5_VSI!$B:$B,2025))</f>
        <v>-3.3192008259817912E-3</v>
      </c>
      <c r="O61" s="13">
        <f t="shared" si="8"/>
        <v>0</v>
      </c>
    </row>
    <row r="62" spans="2:15" x14ac:dyDescent="0.35">
      <c r="B62" s="89"/>
      <c r="C62" s="91"/>
      <c r="D62" t="s">
        <v>55</v>
      </c>
      <c r="F62" s="3" t="s">
        <v>103</v>
      </c>
      <c r="G62" s="12">
        <f>((SUMIFS(SSP1_Baseline!$E:$E,SSP1_Baseline!$C:$C,Results_list!$C$46,SSP1_Baseline!$D:$D,Results_list!$D62,SSP1_Baseline!$B:$B,2040)) - (SUMIFS(SSP1_Baseline!$E:$E,SSP1_Baseline!$C:$C,Results_list!$C$46,SSP1_Baseline!$D:$D,Results_list!$D62,SSP1_Baseline!$B:$B,2025))) / (SUMIFS(SSP1_Baseline!$E:$E,SSP1_Baseline!$C:$C,Results_list!$C$46,SSP1_Baseline!$D:$D,Results_list!$D62,SSP1_Baseline!$B:$B,2025))</f>
        <v>-2.1629991222159757E-3</v>
      </c>
      <c r="H62" s="16">
        <f>((SUMIFS(SSP1_VSI!$F:$F,SSP1_VSI!$C:$C,Results_list!$C$46,SSP1_VSI!$D:$D,Results_list!$D62,SSP1_VSI!$B:$B,2040)) - (SUMIFS(SSP1_VSI!$F:$F,SSP1_VSI!$C:$C,Results_list!$C$46,SSP1_VSI!$D:$D,Results_list!$D62,SSP1_VSI!$B:$B,2025))) / (SUMIFS(SSP1_VSI!$F:$F,SSP1_VSI!$C:$C,Results_list!$C$46,SSP1_VSI!$D:$D,Results_list!$D62,SSP1_VSI!$B:$B,2025))</f>
        <v>-2.3901742447785214E-3</v>
      </c>
      <c r="I62" s="13">
        <f t="shared" si="6"/>
        <v>0</v>
      </c>
      <c r="J62" s="12">
        <f>((SUMIFS(SSP2_Baseline!$E:$E,SSP2_Baseline!$C:$C,Results_list!$C$46,SSP2_Baseline!$D:$D,Results_list!$D62,SSP2_Baseline!$B:$B,2040)) - (SUMIFS(SSP2_Baseline!$E:$E,SSP2_Baseline!$C:$C,Results_list!$C$46,SSP2_Baseline!$D:$D,Results_list!$D62,SSP2_Baseline!$B:$B,2025))) / (SUMIFS(SSP2_Baseline!$E:$E,SSP2_Baseline!$C:$C,Results_list!$C$46,SSP2_Baseline!$D:$D,Results_list!$D62,SSP2_Baseline!$B:$B,2025))</f>
        <v>1.1881969595806206E-3</v>
      </c>
      <c r="K62" s="16">
        <f>((SUMIFS(SSP2_VSI!$F:$F,SSP2_VSI!$C:$C,Results_list!$C$46,SSP2_VSI!$D:$D,Results_list!$D62,SSP2_VSI!$B:$B,2040)) - (SUMIFS(SSP2_VSI!$F:$F,SSP2_VSI!$C:$C,Results_list!$C$46,SSP2_VSI!$D:$D,Results_list!$D62,SSP2_VSI!$B:$B,2025))) / (SUMIFS(SSP2_VSI!$F:$F,SSP2_VSI!$C:$C,Results_list!$C$46,SSP2_VSI!$D:$D,Results_list!$D62,SSP2_VSI!$B:$B,2025))</f>
        <v>9.6082561173520243E-4</v>
      </c>
      <c r="L62" s="13">
        <f t="shared" si="7"/>
        <v>0</v>
      </c>
      <c r="M62" s="12">
        <f>((SUMIFS(SSP5_Baseline!$E:$E,SSP5_Baseline!$C:$C,Results_list!$C$46,SSP5_Baseline!$D:$D,Results_list!$D62,SSP5_Baseline!$B:$B,2040)) - (SUMIFS(SSP5_Baseline!$E:$E,SSP5_Baseline!$C:$C,Results_list!$C$46,SSP5_Baseline!$D:$D,Results_list!$D62,SSP5_Baseline!$B:$B,2025))) / (SUMIFS(SSP5_Baseline!$E:$E,SSP5_Baseline!$C:$C,Results_list!$C$46,SSP5_Baseline!$D:$D,Results_list!$D62,SSP5_Baseline!$B:$B,2025))</f>
        <v>-3.2490843006394913E-3</v>
      </c>
      <c r="N62" s="16">
        <f>((SUMIFS(SSP5_VSI!$F:$F,SSP5_VSI!$C:$C,Results_list!$C$46,SSP5_VSI!$D:$D,Results_list!$D62,SSP5_VSI!$B:$B,2040)) - (SUMIFS(SSP5_VSI!$F:$F,SSP5_VSI!$C:$C,Results_list!$C$46,SSP5_VSI!$D:$D,Results_list!$D62,SSP5_VSI!$B:$B,2025))) / (SUMIFS(SSP5_VSI!$F:$F,SSP5_VSI!$C:$C,Results_list!$C$46,SSP5_VSI!$D:$D,Results_list!$D62,SSP5_VSI!$B:$B,2025))</f>
        <v>-3.4762350313211204E-3</v>
      </c>
      <c r="O62" s="13">
        <f t="shared" si="8"/>
        <v>0</v>
      </c>
    </row>
    <row r="63" spans="2:15" x14ac:dyDescent="0.35">
      <c r="B63" s="90"/>
      <c r="C63" s="92"/>
      <c r="D63" s="20" t="s">
        <v>56</v>
      </c>
      <c r="F63" s="9" t="s">
        <v>104</v>
      </c>
      <c r="G63" s="14">
        <f>((SUMIFS(SSP1_Baseline!$E:$E,SSP1_Baseline!$C:$C,Results_list!$C$46,SSP1_Baseline!$D:$D,Results_list!$D63,SSP1_Baseline!$B:$B,2040)) - (SUMIFS(SSP1_Baseline!$E:$E,SSP1_Baseline!$C:$C,Results_list!$C$46,SSP1_Baseline!$D:$D,Results_list!$D63,SSP1_Baseline!$B:$B,2025))) / (SUMIFS(SSP1_Baseline!$E:$E,SSP1_Baseline!$C:$C,Results_list!$C$46,SSP1_Baseline!$D:$D,Results_list!$D63,SSP1_Baseline!$B:$B,2025))</f>
        <v>-0.10713520873711969</v>
      </c>
      <c r="H63" s="17">
        <f>((SUMIFS(SSP1_VSI!$F:$F,SSP1_VSI!$C:$C,Results_list!$C$46,SSP1_VSI!$D:$D,Results_list!$D63,SSP1_VSI!$B:$B,2040)) - (SUMIFS(SSP1_VSI!$F:$F,SSP1_VSI!$C:$C,Results_list!$C$46,SSP1_VSI!$D:$D,Results_list!$D63,SSP1_VSI!$B:$B,2025))) / (SUMIFS(SSP1_VSI!$F:$F,SSP1_VSI!$C:$C,Results_list!$C$46,SSP1_VSI!$D:$D,Results_list!$D63,SSP1_VSI!$B:$B,2025))</f>
        <v>-0.10713940521846323</v>
      </c>
      <c r="I63" s="15">
        <f t="shared" si="6"/>
        <v>0</v>
      </c>
      <c r="J63" s="14">
        <f>((SUMIFS(SSP2_Baseline!$E:$E,SSP2_Baseline!$C:$C,Results_list!$C$46,SSP2_Baseline!$D:$D,Results_list!$D63,SSP2_Baseline!$B:$B,2040)) - (SUMIFS(SSP2_Baseline!$E:$E,SSP2_Baseline!$C:$C,Results_list!$C$46,SSP2_Baseline!$D:$D,Results_list!$D63,SSP2_Baseline!$B:$B,2025))) / (SUMIFS(SSP2_Baseline!$E:$E,SSP2_Baseline!$C:$C,Results_list!$C$46,SSP2_Baseline!$D:$D,Results_list!$D63,SSP2_Baseline!$B:$B,2025))</f>
        <v>-0.15776567003142955</v>
      </c>
      <c r="K63" s="17">
        <f>((SUMIFS(SSP2_VSI!$F:$F,SSP2_VSI!$C:$C,Results_list!$C$46,SSP2_VSI!$D:$D,Results_list!$D63,SSP2_VSI!$B:$B,2040)) - (SUMIFS(SSP2_VSI!$F:$F,SSP2_VSI!$C:$C,Results_list!$C$46,SSP2_VSI!$D:$D,Results_list!$D63,SSP2_VSI!$B:$B,2025))) / (SUMIFS(SSP2_VSI!$F:$F,SSP2_VSI!$C:$C,Results_list!$C$46,SSP2_VSI!$D:$D,Results_list!$D63,SSP2_VSI!$B:$B,2025))</f>
        <v>-0.15777595031893343</v>
      </c>
      <c r="L63" s="15">
        <f t="shared" si="7"/>
        <v>0</v>
      </c>
      <c r="M63" s="14">
        <f>((SUMIFS(SSP5_Baseline!$E:$E,SSP5_Baseline!$C:$C,Results_list!$C$46,SSP5_Baseline!$D:$D,Results_list!$D63,SSP5_Baseline!$B:$B,2040)) - (SUMIFS(SSP5_Baseline!$E:$E,SSP5_Baseline!$C:$C,Results_list!$C$46,SSP5_Baseline!$D:$D,Results_list!$D63,SSP5_Baseline!$B:$B,2025))) / (SUMIFS(SSP5_Baseline!$E:$E,SSP5_Baseline!$C:$C,Results_list!$C$46,SSP5_Baseline!$D:$D,Results_list!$D63,SSP5_Baseline!$B:$B,2025))</f>
        <v>0.12591395780450146</v>
      </c>
      <c r="N63" s="17">
        <f>((SUMIFS(SSP5_VSI!$F:$F,SSP5_VSI!$C:$C,Results_list!$C$46,SSP5_VSI!$D:$D,Results_list!$D63,SSP5_VSI!$B:$B,2040)) - (SUMIFS(SSP5_VSI!$F:$F,SSP5_VSI!$C:$C,Results_list!$C$46,SSP5_VSI!$D:$D,Results_list!$D63,SSP5_VSI!$B:$B,2025))) / (SUMIFS(SSP5_VSI!$F:$F,SSP5_VSI!$C:$C,Results_list!$C$46,SSP5_VSI!$D:$D,Results_list!$D63,SSP5_VSI!$B:$B,2025))</f>
        <v>0.12592341955748199</v>
      </c>
      <c r="O63" s="15">
        <f t="shared" si="8"/>
        <v>0</v>
      </c>
    </row>
    <row r="64" spans="2:15" x14ac:dyDescent="0.35">
      <c r="J64" s="21"/>
      <c r="K64" s="21"/>
    </row>
    <row r="65" spans="2:15" ht="19" customHeight="1" x14ac:dyDescent="0.35">
      <c r="F65" s="2"/>
      <c r="G65" s="78" t="s">
        <v>3</v>
      </c>
      <c r="H65" s="79"/>
      <c r="I65" s="79"/>
      <c r="J65" s="79"/>
      <c r="K65" s="79"/>
      <c r="L65" s="79"/>
      <c r="M65" s="79"/>
      <c r="N65" s="79"/>
      <c r="O65" s="80"/>
    </row>
    <row r="66" spans="2:15" ht="29" x14ac:dyDescent="0.35">
      <c r="B66" s="8" t="s">
        <v>30</v>
      </c>
      <c r="C66" s="8" t="s">
        <v>30</v>
      </c>
      <c r="D66" s="7" t="s">
        <v>106</v>
      </c>
      <c r="F66" s="7" t="s">
        <v>105</v>
      </c>
      <c r="G66" s="10" t="s">
        <v>0</v>
      </c>
      <c r="H66" s="11" t="s">
        <v>108</v>
      </c>
      <c r="I66" s="18" t="s">
        <v>107</v>
      </c>
      <c r="J66" s="10" t="s">
        <v>1</v>
      </c>
      <c r="K66" s="11" t="s">
        <v>109</v>
      </c>
      <c r="L66" s="18" t="s">
        <v>107</v>
      </c>
      <c r="M66" s="10" t="s">
        <v>2</v>
      </c>
      <c r="N66" s="11" t="s">
        <v>110</v>
      </c>
      <c r="O66" s="18" t="s">
        <v>107</v>
      </c>
    </row>
    <row r="67" spans="2:15" ht="14.5" customHeight="1" x14ac:dyDescent="0.35">
      <c r="B67" s="89" t="s">
        <v>113</v>
      </c>
      <c r="C67" s="91" t="s">
        <v>57</v>
      </c>
      <c r="D67" t="s">
        <v>38</v>
      </c>
      <c r="F67" s="3" t="s">
        <v>87</v>
      </c>
      <c r="G67" s="12">
        <f>((SUMIFS(SSP1_Baseline!$E:$E,SSP1_Baseline!$C:$C,Results_list!$C$67,SSP1_Baseline!$D:$D,Results_list!$D67,SSP1_Baseline!$B:$B,2040))
- (SUMIFS(SSP1_Baseline!$E:$E,SSP1_Baseline!$C:$C,Results_list!$C$67,SSP1_Baseline!$D:$D,Results_list!$D67,SSP1_Baseline!$B:$B,2025)))
/ (SUMIFS(SSP1_Baseline!$E:$E,SSP1_Baseline!$C:$C,Results_list!$C$67,SSP1_Baseline!$D:$D,Results_list!$D67,SSP1_Baseline!$B:$B,2025))</f>
        <v>-4.3390810121047146E-2</v>
      </c>
      <c r="H67" s="16">
        <f>((SUMIFS(SSP1_VSI!$F:$F,SSP1_VSI!$C:$C,Results_list!$C$67,SSP1_VSI!$D:$D,Results_list!$D67,SSP1_VSI!$B:$B,2040))
- (SUMIFS(SSP1_VSI!$F:$F,SSP1_VSI!$C:$C,Results_list!$C$67,SSP1_VSI!$D:$D,Results_list!$D67,SSP1_VSI!$B:$B,2025)))
/ (SUMIFS(SSP1_VSI!$F:$F,SSP1_VSI!$C:$C,Results_list!$C$67,SSP1_VSI!$D:$D,Results_list!$D67,SSP1_VSI!$B:$B,2025))</f>
        <v>-4.341130554630096E-2</v>
      </c>
      <c r="I67" s="19">
        <f>ROUND(H67-G67,3)</f>
        <v>0</v>
      </c>
      <c r="J67" s="12">
        <f>((SUMIFS(SSP2_Baseline!$E:$E,SSP2_Baseline!$C:$C,Results_list!$C$67,SSP2_Baseline!$D:$D,Results_list!$D67,SSP2_Baseline!$B:$B,2040))
- (SUMIFS(SSP2_Baseline!$E:$E,SSP2_Baseline!$C:$C,Results_list!$C$67,SSP2_Baseline!$D:$D,Results_list!$D67,SSP2_Baseline!$B:$B,2025)))
/ (SUMIFS(SSP2_Baseline!$E:$E,SSP2_Baseline!$C:$C,Results_list!$C$67,SSP2_Baseline!$D:$D,Results_list!$D67,SSP2_Baseline!$B:$B,2025))</f>
        <v>0.30535932982939701</v>
      </c>
      <c r="K67" s="16">
        <f>((SUMIFS(SSP2_VSI!$F:$F,SSP2_VSI!$C:$C,Results_list!$C$67,SSP2_VSI!$D:$D,Results_list!$D67,SSP2_VSI!$B:$B,2040))
- (SUMIFS(SSP2_VSI!$F:$F,SSP2_VSI!$C:$C,Results_list!$C$67,SSP2_VSI!$D:$D,Results_list!$D67,SSP2_VSI!$B:$B,2025)))
/ (SUMIFS(SSP2_VSI!$F:$F,SSP2_VSI!$C:$C,Results_list!$C$67,SSP2_VSI!$D:$D,Results_list!$D67,SSP2_VSI!$B:$B,2025))</f>
        <v>0.30526019646642349</v>
      </c>
      <c r="L67" s="19">
        <f>ROUND(K67-J67,2)</f>
        <v>0</v>
      </c>
      <c r="M67" s="12">
        <f>((SUMIFS(SSP5_Baseline!$E:$E,SSP5_Baseline!$C:$C,Results_list!$C$67,SSP5_Baseline!$D:$D,Results_list!$D67,SSP5_Baseline!$B:$B,2040))
- (SUMIFS(SSP5_Baseline!$E:$E,SSP5_Baseline!$C:$C,Results_list!$C$67,SSP5_Baseline!$D:$D,Results_list!$D67,SSP5_Baseline!$B:$B,2025)))
/ (SUMIFS(SSP5_Baseline!$E:$E,SSP5_Baseline!$C:$C,Results_list!$C$67,SSP5_Baseline!$D:$D,Results_list!$D67,SSP5_Baseline!$B:$B,2025))</f>
        <v>0.48293546210475097</v>
      </c>
      <c r="N67" s="16">
        <f>((SUMIFS(SSP5_VSI!$F:$F,SSP5_VSI!$C:$C,Results_list!$C$67,SSP5_VSI!$D:$D,Results_list!$D67,SSP5_VSI!$B:$B,2040))
- (SUMIFS(SSP5_VSI!$F:$F,SSP5_VSI!$C:$C,Results_list!$C$67,SSP5_VSI!$D:$D,Results_list!$D67,SSP5_VSI!$B:$B,2025)))
/ (SUMIFS(SSP5_VSI!$F:$F,SSP5_VSI!$C:$C,Results_list!$C$67,SSP5_VSI!$D:$D,Results_list!$D67,SSP5_VSI!$B:$B,2025))</f>
        <v>0.48288986322341537</v>
      </c>
      <c r="O67" s="19">
        <f>ROUND(N67-M67,2)</f>
        <v>0</v>
      </c>
    </row>
    <row r="68" spans="2:15" x14ac:dyDescent="0.35">
      <c r="B68" s="89"/>
      <c r="C68" s="91"/>
      <c r="D68" t="s">
        <v>40</v>
      </c>
      <c r="F68" s="3" t="s">
        <v>88</v>
      </c>
      <c r="G68" s="12">
        <f>((SUMIFS(SSP1_Baseline!$E:$E,SSP1_Baseline!$C:$C,Results_list!$C$67,SSP1_Baseline!$D:$D,Results_list!$D68,SSP1_Baseline!$B:$B,2040)) - (SUMIFS(SSP1_Baseline!$E:$E,SSP1_Baseline!$C:$C,Results_list!$C$67,SSP1_Baseline!$D:$D,Results_list!$D68,SSP1_Baseline!$B:$B,2025))) / (SUMIFS(SSP1_Baseline!$E:$E,SSP1_Baseline!$C:$C,Results_list!$C$67,SSP1_Baseline!$D:$D,Results_list!$D68,SSP1_Baseline!$B:$B,2025))</f>
        <v>7.904267592849254E-2</v>
      </c>
      <c r="H68" s="16">
        <f>((SUMIFS(SSP1_VSI!$F:$F,SSP1_VSI!$C:$C,Results_list!$C$67,SSP1_VSI!$D:$D,Results_list!$D68,SSP1_VSI!$B:$B,2040)) - (SUMIFS(SSP1_VSI!$F:$F,SSP1_VSI!$C:$C,Results_list!$C$67,SSP1_VSI!$D:$D,Results_list!$D68,SSP1_VSI!$B:$B,2025))) / (SUMIFS(SSP1_VSI!$F:$F,SSP1_VSI!$C:$C,Results_list!$C$67,SSP1_VSI!$D:$D,Results_list!$D68,SSP1_VSI!$B:$B,2025))</f>
        <v>7.904021260748828E-2</v>
      </c>
      <c r="I68" s="13">
        <f t="shared" ref="I68:I84" si="9">ROUND(H68-G68,3)</f>
        <v>0</v>
      </c>
      <c r="J68" s="12">
        <f>((SUMIFS(SSP2_Baseline!$E:$E,SSP2_Baseline!$C:$C,Results_list!$C$67,SSP2_Baseline!$D:$D,Results_list!$D68,SSP2_Baseline!$B:$B,2040)) - (SUMIFS(SSP2_Baseline!$E:$E,SSP2_Baseline!$C:$C,Results_list!$C$67,SSP2_Baseline!$D:$D,Results_list!$D68,SSP2_Baseline!$B:$B,2025))) / (SUMIFS(SSP2_Baseline!$E:$E,SSP2_Baseline!$C:$C,Results_list!$C$67,SSP2_Baseline!$D:$D,Results_list!$D68,SSP2_Baseline!$B:$B,2025))</f>
        <v>7.1354427028686024E-2</v>
      </c>
      <c r="K68" s="16">
        <f>((SUMIFS(SSP2_VSI!$F:$F,SSP2_VSI!$C:$C,Results_list!$C$67,SSP2_VSI!$D:$D,Results_list!$D68,SSP2_VSI!$B:$B,2040)) - (SUMIFS(SSP2_VSI!$F:$F,SSP2_VSI!$C:$C,Results_list!$C$67,SSP2_VSI!$D:$D,Results_list!$D68,SSP2_VSI!$B:$B,2025))) / (SUMIFS(SSP2_VSI!$F:$F,SSP2_VSI!$C:$C,Results_list!$C$67,SSP2_VSI!$D:$D,Results_list!$D68,SSP2_VSI!$B:$B,2025))</f>
        <v>7.1350067988670218E-2</v>
      </c>
      <c r="L68" s="13">
        <f t="shared" ref="L68:L84" si="10">ROUND(K68-J68,2)</f>
        <v>0</v>
      </c>
      <c r="M68" s="12">
        <f>((SUMIFS(SSP5_Baseline!$E:$E,SSP5_Baseline!$C:$C,Results_list!$C$67,SSP5_Baseline!$D:$D,Results_list!$D68,SSP5_Baseline!$B:$B,2040)) - (SUMIFS(SSP5_Baseline!$E:$E,SSP5_Baseline!$C:$C,Results_list!$C$67,SSP5_Baseline!$D:$D,Results_list!$D68,SSP5_Baseline!$B:$B,2025))) / (SUMIFS(SSP5_Baseline!$E:$E,SSP5_Baseline!$C:$C,Results_list!$C$67,SSP5_Baseline!$D:$D,Results_list!$D68,SSP5_Baseline!$B:$B,2025))</f>
        <v>4.2952096401989966E-3</v>
      </c>
      <c r="N68" s="16">
        <f>((SUMIFS(SSP5_VSI!$F:$F,SSP5_VSI!$C:$C,Results_list!$C$67,SSP5_VSI!$D:$D,Results_list!$D68,SSP5_VSI!$B:$B,2040)) - (SUMIFS(SSP5_VSI!$F:$F,SSP5_VSI!$C:$C,Results_list!$C$67,SSP5_VSI!$D:$D,Results_list!$D68,SSP5_VSI!$B:$B,2025))) / (SUMIFS(SSP5_VSI!$F:$F,SSP5_VSI!$C:$C,Results_list!$C$67,SSP5_VSI!$D:$D,Results_list!$D68,SSP5_VSI!$B:$B,2025))</f>
        <v>4.2898263925245502E-3</v>
      </c>
      <c r="O68" s="13">
        <f t="shared" ref="O68:O84" si="11">ROUND(N68-M68,2)</f>
        <v>0</v>
      </c>
    </row>
    <row r="69" spans="2:15" x14ac:dyDescent="0.35">
      <c r="B69" s="89"/>
      <c r="C69" s="91"/>
      <c r="D69" t="s">
        <v>41</v>
      </c>
      <c r="F69" s="3" t="s">
        <v>89</v>
      </c>
      <c r="G69" s="12">
        <f>((SUMIFS(SSP1_Baseline!$E:$E,SSP1_Baseline!$C:$C,Results_list!$C$67,SSP1_Baseline!$D:$D,Results_list!$D69,SSP1_Baseline!$B:$B,2040)) - (SUMIFS(SSP1_Baseline!$E:$E,SSP1_Baseline!$C:$C,Results_list!$C$67,SSP1_Baseline!$D:$D,Results_list!$D69,SSP1_Baseline!$B:$B,2025))) / (SUMIFS(SSP1_Baseline!$E:$E,SSP1_Baseline!$C:$C,Results_list!$C$67,SSP1_Baseline!$D:$D,Results_list!$D69,SSP1_Baseline!$B:$B,2025))</f>
        <v>8.1759646197622174E-2</v>
      </c>
      <c r="H69" s="16">
        <f>((SUMIFS(SSP1_VSI!$F:$F,SSP1_VSI!$C:$C,Results_list!$C$67,SSP1_VSI!$D:$D,Results_list!$D69,SSP1_VSI!$B:$B,2040)) - (SUMIFS(SSP1_VSI!$F:$F,SSP1_VSI!$C:$C,Results_list!$C$67,SSP1_VSI!$D:$D,Results_list!$D69,SSP1_VSI!$B:$B,2025))) / (SUMIFS(SSP1_VSI!$F:$F,SSP1_VSI!$C:$C,Results_list!$C$67,SSP1_VSI!$D:$D,Results_list!$D69,SSP1_VSI!$B:$B,2025))</f>
        <v>8.1569336013587845E-2</v>
      </c>
      <c r="I69" s="13">
        <f t="shared" si="9"/>
        <v>0</v>
      </c>
      <c r="J69" s="12">
        <f>((SUMIFS(SSP2_Baseline!$E:$E,SSP2_Baseline!$C:$C,Results_list!$C$67,SSP2_Baseline!$D:$D,Results_list!$D69,SSP2_Baseline!$B:$B,2040)) - (SUMIFS(SSP2_Baseline!$E:$E,SSP2_Baseline!$C:$C,Results_list!$C$67,SSP2_Baseline!$D:$D,Results_list!$D69,SSP2_Baseline!$B:$B,2025))) / (SUMIFS(SSP2_Baseline!$E:$E,SSP2_Baseline!$C:$C,Results_list!$C$67,SSP2_Baseline!$D:$D,Results_list!$D69,SSP2_Baseline!$B:$B,2025))</f>
        <v>8.9476020157265385E-2</v>
      </c>
      <c r="K69" s="16">
        <f>((SUMIFS(SSP2_VSI!$F:$F,SSP2_VSI!$C:$C,Results_list!$C$67,SSP2_VSI!$D:$D,Results_list!$D69,SSP2_VSI!$B:$B,2040)) - (SUMIFS(SSP2_VSI!$F:$F,SSP2_VSI!$C:$C,Results_list!$C$67,SSP2_VSI!$D:$D,Results_list!$D69,SSP2_VSI!$B:$B,2025))) / (SUMIFS(SSP2_VSI!$F:$F,SSP2_VSI!$C:$C,Results_list!$C$67,SSP2_VSI!$D:$D,Results_list!$D69,SSP2_VSI!$B:$B,2025))</f>
        <v>8.9296352414840185E-2</v>
      </c>
      <c r="L69" s="13">
        <f t="shared" si="10"/>
        <v>0</v>
      </c>
      <c r="M69" s="12">
        <f>((SUMIFS(SSP5_Baseline!$E:$E,SSP5_Baseline!$C:$C,Results_list!$C$67,SSP5_Baseline!$D:$D,Results_list!$D69,SSP5_Baseline!$B:$B,2040)) - (SUMIFS(SSP5_Baseline!$E:$E,SSP5_Baseline!$C:$C,Results_list!$C$67,SSP5_Baseline!$D:$D,Results_list!$D69,SSP5_Baseline!$B:$B,2025))) / (SUMIFS(SSP5_Baseline!$E:$E,SSP5_Baseline!$C:$C,Results_list!$C$67,SSP5_Baseline!$D:$D,Results_list!$D69,SSP5_Baseline!$B:$B,2025))</f>
        <v>9.1863206232434561E-2</v>
      </c>
      <c r="N69" s="16">
        <f>((SUMIFS(SSP5_VSI!$F:$F,SSP5_VSI!$C:$C,Results_list!$C$67,SSP5_VSI!$D:$D,Results_list!$D69,SSP5_VSI!$B:$B,2040)) - (SUMIFS(SSP5_VSI!$F:$F,SSP5_VSI!$C:$C,Results_list!$C$67,SSP5_VSI!$D:$D,Results_list!$D69,SSP5_VSI!$B:$B,2025))) / (SUMIFS(SSP5_VSI!$F:$F,SSP5_VSI!$C:$C,Results_list!$C$67,SSP5_VSI!$D:$D,Results_list!$D69,SSP5_VSI!$B:$B,2025))</f>
        <v>9.1676634257588471E-2</v>
      </c>
      <c r="O69" s="13">
        <f t="shared" si="11"/>
        <v>0</v>
      </c>
    </row>
    <row r="70" spans="2:15" x14ac:dyDescent="0.35">
      <c r="B70" s="89"/>
      <c r="C70" s="91"/>
      <c r="D70" t="s">
        <v>42</v>
      </c>
      <c r="F70" s="3" t="s">
        <v>90</v>
      </c>
      <c r="G70" s="12">
        <f>((SUMIFS(SSP1_Baseline!$E:$E,SSP1_Baseline!$C:$C,Results_list!$C$67,SSP1_Baseline!$D:$D,Results_list!$D70,SSP1_Baseline!$B:$B,2040)) - (SUMIFS(SSP1_Baseline!$E:$E,SSP1_Baseline!$C:$C,Results_list!$C$67,SSP1_Baseline!$D:$D,Results_list!$D70,SSP1_Baseline!$B:$B,2025))) / (SUMIFS(SSP1_Baseline!$E:$E,SSP1_Baseline!$C:$C,Results_list!$C$67,SSP1_Baseline!$D:$D,Results_list!$D70,SSP1_Baseline!$B:$B,2025))</f>
        <v>9.008058868571537E-3</v>
      </c>
      <c r="H70" s="16">
        <f>((SUMIFS(SSP1_VSI!$F:$F,SSP1_VSI!$C:$C,Results_list!$C$67,SSP1_VSI!$D:$D,Results_list!$D70,SSP1_VSI!$B:$B,2040)) - (SUMIFS(SSP1_VSI!$F:$F,SSP1_VSI!$C:$C,Results_list!$C$67,SSP1_VSI!$D:$D,Results_list!$D70,SSP1_VSI!$B:$B,2025))) / (SUMIFS(SSP1_VSI!$F:$F,SSP1_VSI!$C:$C,Results_list!$C$67,SSP1_VSI!$D:$D,Results_list!$D70,SSP1_VSI!$B:$B,2025))</f>
        <v>9.0048623193681749E-3</v>
      </c>
      <c r="I70" s="13">
        <f t="shared" si="9"/>
        <v>0</v>
      </c>
      <c r="J70" s="12">
        <f>((SUMIFS(SSP2_Baseline!$E:$E,SSP2_Baseline!$C:$C,Results_list!$C$67,SSP2_Baseline!$D:$D,Results_list!$D70,SSP2_Baseline!$B:$B,2040)) - (SUMIFS(SSP2_Baseline!$E:$E,SSP2_Baseline!$C:$C,Results_list!$C$67,SSP2_Baseline!$D:$D,Results_list!$D70,SSP2_Baseline!$B:$B,2025))) / (SUMIFS(SSP2_Baseline!$E:$E,SSP2_Baseline!$C:$C,Results_list!$C$67,SSP2_Baseline!$D:$D,Results_list!$D70,SSP2_Baseline!$B:$B,2025))</f>
        <v>3.5293515325240471E-2</v>
      </c>
      <c r="K70" s="16">
        <f>((SUMIFS(SSP2_VSI!$F:$F,SSP2_VSI!$C:$C,Results_list!$C$67,SSP2_VSI!$D:$D,Results_list!$D70,SSP2_VSI!$B:$B,2040)) - (SUMIFS(SSP2_VSI!$F:$F,SSP2_VSI!$C:$C,Results_list!$C$67,SSP2_VSI!$D:$D,Results_list!$D70,SSP2_VSI!$B:$B,2025))) / (SUMIFS(SSP2_VSI!$F:$F,SSP2_VSI!$C:$C,Results_list!$C$67,SSP2_VSI!$D:$D,Results_list!$D70,SSP2_VSI!$B:$B,2025))</f>
        <v>3.5288326682325351E-2</v>
      </c>
      <c r="L70" s="13">
        <f t="shared" si="10"/>
        <v>0</v>
      </c>
      <c r="M70" s="12">
        <f>((SUMIFS(SSP5_Baseline!$E:$E,SSP5_Baseline!$C:$C,Results_list!$C$67,SSP5_Baseline!$D:$D,Results_list!$D70,SSP5_Baseline!$B:$B,2040)) - (SUMIFS(SSP5_Baseline!$E:$E,SSP5_Baseline!$C:$C,Results_list!$C$67,SSP5_Baseline!$D:$D,Results_list!$D70,SSP5_Baseline!$B:$B,2025))) / (SUMIFS(SSP5_Baseline!$E:$E,SSP5_Baseline!$C:$C,Results_list!$C$67,SSP5_Baseline!$D:$D,Results_list!$D70,SSP5_Baseline!$B:$B,2025))</f>
        <v>3.3264693110936016E-4</v>
      </c>
      <c r="N70" s="16">
        <f>((SUMIFS(SSP5_VSI!$F:$F,SSP5_VSI!$C:$C,Results_list!$C$67,SSP5_VSI!$D:$D,Results_list!$D70,SSP5_VSI!$B:$B,2040)) - (SUMIFS(SSP5_VSI!$F:$F,SSP5_VSI!$C:$C,Results_list!$C$67,SSP5_VSI!$D:$D,Results_list!$D70,SSP5_VSI!$B:$B,2025))) / (SUMIFS(SSP5_VSI!$F:$F,SSP5_VSI!$C:$C,Results_list!$C$67,SSP5_VSI!$D:$D,Results_list!$D70,SSP5_VSI!$B:$B,2025))</f>
        <v>3.3458292073477465E-4</v>
      </c>
      <c r="O70" s="13">
        <f t="shared" si="11"/>
        <v>0</v>
      </c>
    </row>
    <row r="71" spans="2:15" x14ac:dyDescent="0.35">
      <c r="B71" s="89"/>
      <c r="C71" s="91"/>
      <c r="D71" t="s">
        <v>43</v>
      </c>
      <c r="F71" s="3" t="s">
        <v>91</v>
      </c>
      <c r="G71" s="12">
        <f>((SUMIFS(SSP1_Baseline!$E:$E,SSP1_Baseline!$C:$C,Results_list!$C$67,SSP1_Baseline!$D:$D,Results_list!$D71,SSP1_Baseline!$B:$B,2040)) - (SUMIFS(SSP1_Baseline!$E:$E,SSP1_Baseline!$C:$C,Results_list!$C$67,SSP1_Baseline!$D:$D,Results_list!$D71,SSP1_Baseline!$B:$B,2025))) / (SUMIFS(SSP1_Baseline!$E:$E,SSP1_Baseline!$C:$C,Results_list!$C$67,SSP1_Baseline!$D:$D,Results_list!$D71,SSP1_Baseline!$B:$B,2025))</f>
        <v>8.4034890973284482E-2</v>
      </c>
      <c r="H71" s="16">
        <f>((SUMIFS(SSP1_VSI!$F:$F,SSP1_VSI!$C:$C,Results_list!$C$67,SSP1_VSI!$D:$D,Results_list!$D71,SSP1_VSI!$B:$B,2040)) - (SUMIFS(SSP1_VSI!$F:$F,SSP1_VSI!$C:$C,Results_list!$C$67,SSP1_VSI!$D:$D,Results_list!$D71,SSP1_VSI!$B:$B,2025))) / (SUMIFS(SSP1_VSI!$F:$F,SSP1_VSI!$C:$C,Results_list!$C$67,SSP1_VSI!$D:$D,Results_list!$D71,SSP1_VSI!$B:$B,2025))</f>
        <v>8.4008444497930101E-2</v>
      </c>
      <c r="I71" s="13">
        <f t="shared" si="9"/>
        <v>0</v>
      </c>
      <c r="J71" s="12">
        <f>((SUMIFS(SSP2_Baseline!$E:$E,SSP2_Baseline!$C:$C,Results_list!$C$67,SSP2_Baseline!$D:$D,Results_list!$D71,SSP2_Baseline!$B:$B,2040)) - (SUMIFS(SSP2_Baseline!$E:$E,SSP2_Baseline!$C:$C,Results_list!$C$67,SSP2_Baseline!$D:$D,Results_list!$D71,SSP2_Baseline!$B:$B,2025))) / (SUMIFS(SSP2_Baseline!$E:$E,SSP2_Baseline!$C:$C,Results_list!$C$67,SSP2_Baseline!$D:$D,Results_list!$D71,SSP2_Baseline!$B:$B,2025))</f>
        <v>0.14817304279506352</v>
      </c>
      <c r="K71" s="16">
        <f>((SUMIFS(SSP2_VSI!$F:$F,SSP2_VSI!$C:$C,Results_list!$C$67,SSP2_VSI!$D:$D,Results_list!$D71,SSP2_VSI!$B:$B,2040)) - (SUMIFS(SSP2_VSI!$F:$F,SSP2_VSI!$C:$C,Results_list!$C$67,SSP2_VSI!$D:$D,Results_list!$D71,SSP2_VSI!$B:$B,2025))) / (SUMIFS(SSP2_VSI!$F:$F,SSP2_VSI!$C:$C,Results_list!$C$67,SSP2_VSI!$D:$D,Results_list!$D71,SSP2_VSI!$B:$B,2025))</f>
        <v>0.14815625885415282</v>
      </c>
      <c r="L71" s="13">
        <f t="shared" si="10"/>
        <v>0</v>
      </c>
      <c r="M71" s="12">
        <f>((SUMIFS(SSP5_Baseline!$E:$E,SSP5_Baseline!$C:$C,Results_list!$C$67,SSP5_Baseline!$D:$D,Results_list!$D71,SSP5_Baseline!$B:$B,2040)) - (SUMIFS(SSP5_Baseline!$E:$E,SSP5_Baseline!$C:$C,Results_list!$C$67,SSP5_Baseline!$D:$D,Results_list!$D71,SSP5_Baseline!$B:$B,2025))) / (SUMIFS(SSP5_Baseline!$E:$E,SSP5_Baseline!$C:$C,Results_list!$C$67,SSP5_Baseline!$D:$D,Results_list!$D71,SSP5_Baseline!$B:$B,2025))</f>
        <v>0.12431669754924742</v>
      </c>
      <c r="N71" s="16">
        <f>((SUMIFS(SSP5_VSI!$F:$F,SSP5_VSI!$C:$C,Results_list!$C$67,SSP5_VSI!$D:$D,Results_list!$D71,SSP5_VSI!$B:$B,2040)) - (SUMIFS(SSP5_VSI!$F:$F,SSP5_VSI!$C:$C,Results_list!$C$67,SSP5_VSI!$D:$D,Results_list!$D71,SSP5_VSI!$B:$B,2025))) / (SUMIFS(SSP5_VSI!$F:$F,SSP5_VSI!$C:$C,Results_list!$C$67,SSP5_VSI!$D:$D,Results_list!$D71,SSP5_VSI!$B:$B,2025))</f>
        <v>0.12429323259898506</v>
      </c>
      <c r="O71" s="13">
        <f t="shared" si="11"/>
        <v>0</v>
      </c>
    </row>
    <row r="72" spans="2:15" x14ac:dyDescent="0.35">
      <c r="B72" s="89"/>
      <c r="C72" s="91"/>
      <c r="D72" t="s">
        <v>136</v>
      </c>
      <c r="F72" s="3" t="s">
        <v>92</v>
      </c>
      <c r="G72" s="12">
        <f>((SUMIFS(SSP1_Baseline!$E:$E,SSP1_Baseline!$C:$C,Results_list!$C$67,SSP1_Baseline!$D:$D,Results_list!$D72,SSP1_Baseline!$B:$B,2040)) - (SUMIFS(SSP1_Baseline!$E:$E,SSP1_Baseline!$C:$C,Results_list!$C$67,SSP1_Baseline!$D:$D,Results_list!$D72,SSP1_Baseline!$B:$B,2025))) / (SUMIFS(SSP1_Baseline!$E:$E,SSP1_Baseline!$C:$C,Results_list!$C$67,SSP1_Baseline!$D:$D,Results_list!$D72,SSP1_Baseline!$B:$B,2025))</f>
        <v>-7.3665841120041972E-2</v>
      </c>
      <c r="H72" s="16">
        <f>((SUMIFS(SSP1_VSI!$F:$F,SSP1_VSI!$C:$C,Results_list!$C$67,SSP1_VSI!$D:$D,Results_list!$D72,SSP1_VSI!$B:$B,2040)) - (SUMIFS(SSP1_VSI!$F:$F,SSP1_VSI!$C:$C,Results_list!$C$67,SSP1_VSI!$D:$D,Results_list!$D72,SSP1_VSI!$B:$B,2025))) / (SUMIFS(SSP1_VSI!$F:$F,SSP1_VSI!$C:$C,Results_list!$C$67,SSP1_VSI!$D:$D,Results_list!$D72,SSP1_VSI!$B:$B,2025))</f>
        <v>-7.3710685933741429E-2</v>
      </c>
      <c r="I72" s="13">
        <f t="shared" si="9"/>
        <v>0</v>
      </c>
      <c r="J72" s="12">
        <f>((SUMIFS(SSP2_Baseline!$E:$E,SSP2_Baseline!$C:$C,Results_list!$C$67,SSP2_Baseline!$D:$D,Results_list!$D72,SSP2_Baseline!$B:$B,2040)) - (SUMIFS(SSP2_Baseline!$E:$E,SSP2_Baseline!$C:$C,Results_list!$C$67,SSP2_Baseline!$D:$D,Results_list!$D72,SSP2_Baseline!$B:$B,2025))) / (SUMIFS(SSP2_Baseline!$E:$E,SSP2_Baseline!$C:$C,Results_list!$C$67,SSP2_Baseline!$D:$D,Results_list!$D72,SSP2_Baseline!$B:$B,2025))</f>
        <v>2.4176184133285688E-2</v>
      </c>
      <c r="K72" s="16">
        <f>((SUMIFS(SSP2_VSI!$F:$F,SSP2_VSI!$C:$C,Results_list!$C$67,SSP2_VSI!$D:$D,Results_list!$D72,SSP2_VSI!$B:$B,2040)) - (SUMIFS(SSP2_VSI!$F:$F,SSP2_VSI!$C:$C,Results_list!$C$67,SSP2_VSI!$D:$D,Results_list!$D72,SSP2_VSI!$B:$B,2025))) / (SUMIFS(SSP2_VSI!$F:$F,SSP2_VSI!$C:$C,Results_list!$C$67,SSP2_VSI!$D:$D,Results_list!$D72,SSP2_VSI!$B:$B,2025))</f>
        <v>2.4171657607549597E-2</v>
      </c>
      <c r="L72" s="13">
        <f t="shared" si="10"/>
        <v>0</v>
      </c>
      <c r="M72" s="12">
        <f>((SUMIFS(SSP5_Baseline!$E:$E,SSP5_Baseline!$C:$C,Results_list!$C$67,SSP5_Baseline!$D:$D,Results_list!$D72,SSP5_Baseline!$B:$B,2040)) - (SUMIFS(SSP5_Baseline!$E:$E,SSP5_Baseline!$C:$C,Results_list!$C$67,SSP5_Baseline!$D:$D,Results_list!$D72,SSP5_Baseline!$B:$B,2025))) / (SUMIFS(SSP5_Baseline!$E:$E,SSP5_Baseline!$C:$C,Results_list!$C$67,SSP5_Baseline!$D:$D,Results_list!$D72,SSP5_Baseline!$B:$B,2025))</f>
        <v>-2.9877887131033894E-2</v>
      </c>
      <c r="N72" s="16">
        <f>((SUMIFS(SSP5_VSI!$F:$F,SSP5_VSI!$C:$C,Results_list!$C$67,SSP5_VSI!$D:$D,Results_list!$D72,SSP5_VSI!$B:$B,2040)) - (SUMIFS(SSP5_VSI!$F:$F,SSP5_VSI!$C:$C,Results_list!$C$67,SSP5_VSI!$D:$D,Results_list!$D72,SSP5_VSI!$B:$B,2025))) / (SUMIFS(SSP5_VSI!$F:$F,SSP5_VSI!$C:$C,Results_list!$C$67,SSP5_VSI!$D:$D,Results_list!$D72,SSP5_VSI!$B:$B,2025))</f>
        <v>-2.9874202759971557E-2</v>
      </c>
      <c r="O72" s="13">
        <f t="shared" si="11"/>
        <v>0</v>
      </c>
    </row>
    <row r="73" spans="2:15" ht="14.5" customHeight="1" x14ac:dyDescent="0.35">
      <c r="B73" s="89"/>
      <c r="C73" s="91"/>
      <c r="D73" t="s">
        <v>45</v>
      </c>
      <c r="F73" s="3" t="s">
        <v>93</v>
      </c>
      <c r="G73" s="12">
        <f>((SUMIFS(SSP1_Baseline!$E:$E,SSP1_Baseline!$C:$C,Results_list!$C$67,SSP1_Baseline!$D:$D,Results_list!$D73,SSP1_Baseline!$B:$B,2040)) - (SUMIFS(SSP1_Baseline!$E:$E,SSP1_Baseline!$C:$C,Results_list!$C$67,SSP1_Baseline!$D:$D,Results_list!$D73,SSP1_Baseline!$B:$B,2025))) / (SUMIFS(SSP1_Baseline!$E:$E,SSP1_Baseline!$C:$C,Results_list!$C$67,SSP1_Baseline!$D:$D,Results_list!$D73,SSP1_Baseline!$B:$B,2025))</f>
        <v>3.5605940347505603E-2</v>
      </c>
      <c r="H73" s="16">
        <f>((SUMIFS(SSP1_VSI!$F:$F,SSP1_VSI!$C:$C,Results_list!$C$67,SSP1_VSI!$D:$D,Results_list!$D73,SSP1_VSI!$B:$B,2040)) - (SUMIFS(SSP1_VSI!$F:$F,SSP1_VSI!$C:$C,Results_list!$C$67,SSP1_VSI!$D:$D,Results_list!$D73,SSP1_VSI!$B:$B,2025))) / (SUMIFS(SSP1_VSI!$F:$F,SSP1_VSI!$C:$C,Results_list!$C$67,SSP1_VSI!$D:$D,Results_list!$D73,SSP1_VSI!$B:$B,2025))</f>
        <v>3.458559168066544E-2</v>
      </c>
      <c r="I73" s="13">
        <f t="shared" si="9"/>
        <v>-1E-3</v>
      </c>
      <c r="J73" s="12">
        <f>((SUMIFS(SSP2_Baseline!$E:$E,SSP2_Baseline!$C:$C,Results_list!$C$67,SSP2_Baseline!$D:$D,Results_list!$D73,SSP2_Baseline!$B:$B,2040)) - (SUMIFS(SSP2_Baseline!$E:$E,SSP2_Baseline!$C:$C,Results_list!$C$67,SSP2_Baseline!$D:$D,Results_list!$D73,SSP2_Baseline!$B:$B,2025))) / (SUMIFS(SSP2_Baseline!$E:$E,SSP2_Baseline!$C:$C,Results_list!$C$67,SSP2_Baseline!$D:$D,Results_list!$D73,SSP2_Baseline!$B:$B,2025))</f>
        <v>5.1127093782798859E-2</v>
      </c>
      <c r="K73" s="16">
        <f>((SUMIFS(SSP2_VSI!$F:$F,SSP2_VSI!$C:$C,Results_list!$C$67,SSP2_VSI!$D:$D,Results_list!$D73,SSP2_VSI!$B:$B,2040)) - (SUMIFS(SSP2_VSI!$F:$F,SSP2_VSI!$C:$C,Results_list!$C$67,SSP2_VSI!$D:$D,Results_list!$D73,SSP2_VSI!$B:$B,2025))) / (SUMIFS(SSP2_VSI!$F:$F,SSP2_VSI!$C:$C,Results_list!$C$67,SSP2_VSI!$D:$D,Results_list!$D73,SSP2_VSI!$B:$B,2025))</f>
        <v>5.0097408734335366E-2</v>
      </c>
      <c r="L73" s="13">
        <f t="shared" si="10"/>
        <v>0</v>
      </c>
      <c r="M73" s="12">
        <f>((SUMIFS(SSP5_Baseline!$E:$E,SSP5_Baseline!$C:$C,Results_list!$C$67,SSP5_Baseline!$D:$D,Results_list!$D73,SSP5_Baseline!$B:$B,2040)) - (SUMIFS(SSP5_Baseline!$E:$E,SSP5_Baseline!$C:$C,Results_list!$C$67,SSP5_Baseline!$D:$D,Results_list!$D73,SSP5_Baseline!$B:$B,2025))) / (SUMIFS(SSP5_Baseline!$E:$E,SSP5_Baseline!$C:$C,Results_list!$C$67,SSP5_Baseline!$D:$D,Results_list!$D73,SSP5_Baseline!$B:$B,2025))</f>
        <v>4.5864556517262338E-2</v>
      </c>
      <c r="N73" s="16">
        <f>((SUMIFS(SSP5_VSI!$F:$F,SSP5_VSI!$C:$C,Results_list!$C$67,SSP5_VSI!$D:$D,Results_list!$D73,SSP5_VSI!$B:$B,2040)) - (SUMIFS(SSP5_VSI!$F:$F,SSP5_VSI!$C:$C,Results_list!$C$67,SSP5_VSI!$D:$D,Results_list!$D73,SSP5_VSI!$B:$B,2025))) / (SUMIFS(SSP5_VSI!$F:$F,SSP5_VSI!$C:$C,Results_list!$C$67,SSP5_VSI!$D:$D,Results_list!$D73,SSP5_VSI!$B:$B,2025))</f>
        <v>4.4801401469028557E-2</v>
      </c>
      <c r="O73" s="13">
        <f t="shared" si="11"/>
        <v>0</v>
      </c>
    </row>
    <row r="74" spans="2:15" x14ac:dyDescent="0.35">
      <c r="B74" s="89"/>
      <c r="C74" s="91"/>
      <c r="D74" t="s">
        <v>46</v>
      </c>
      <c r="F74" s="3" t="s">
        <v>94</v>
      </c>
      <c r="G74" s="12">
        <f>((SUMIFS(SSP1_Baseline!$E:$E,SSP1_Baseline!$C:$C,Results_list!$C$67,SSP1_Baseline!$D:$D,Results_list!$D74,SSP1_Baseline!$B:$B,2040)) - (SUMIFS(SSP1_Baseline!$E:$E,SSP1_Baseline!$C:$C,Results_list!$C$67,SSP1_Baseline!$D:$D,Results_list!$D74,SSP1_Baseline!$B:$B,2025))) / (SUMIFS(SSP1_Baseline!$E:$E,SSP1_Baseline!$C:$C,Results_list!$C$67,SSP1_Baseline!$D:$D,Results_list!$D74,SSP1_Baseline!$B:$B,2025))</f>
        <v>2.9350708027468477</v>
      </c>
      <c r="H74" s="16">
        <f>((SUMIFS(SSP1_VSI!$F:$F,SSP1_VSI!$C:$C,Results_list!$C$67,SSP1_VSI!$D:$D,Results_list!$D74,SSP1_VSI!$B:$B,2040)) - (SUMIFS(SSP1_VSI!$F:$F,SSP1_VSI!$C:$C,Results_list!$C$67,SSP1_VSI!$D:$D,Results_list!$D74,SSP1_VSI!$B:$B,2025))) / (SUMIFS(SSP1_VSI!$F:$F,SSP1_VSI!$C:$C,Results_list!$C$67,SSP1_VSI!$D:$D,Results_list!$D74,SSP1_VSI!$B:$B,2025))</f>
        <v>2.9350782584624451</v>
      </c>
      <c r="I74" s="13">
        <f t="shared" si="9"/>
        <v>0</v>
      </c>
      <c r="J74" s="12">
        <f>((SUMIFS(SSP2_Baseline!$E:$E,SSP2_Baseline!$C:$C,Results_list!$C$67,SSP2_Baseline!$D:$D,Results_list!$D74,SSP2_Baseline!$B:$B,2040)) - (SUMIFS(SSP2_Baseline!$E:$E,SSP2_Baseline!$C:$C,Results_list!$C$67,SSP2_Baseline!$D:$D,Results_list!$D74,SSP2_Baseline!$B:$B,2025))) / (SUMIFS(SSP2_Baseline!$E:$E,SSP2_Baseline!$C:$C,Results_list!$C$67,SSP2_Baseline!$D:$D,Results_list!$D74,SSP2_Baseline!$B:$B,2025))</f>
        <v>4.9708660777015625</v>
      </c>
      <c r="K74" s="16">
        <f>((SUMIFS(SSP2_VSI!$F:$F,SSP2_VSI!$C:$C,Results_list!$C$67,SSP2_VSI!$D:$D,Results_list!$D74,SSP2_VSI!$B:$B,2040)) - (SUMIFS(SSP2_VSI!$F:$F,SSP2_VSI!$C:$C,Results_list!$C$67,SSP2_VSI!$D:$D,Results_list!$D74,SSP2_VSI!$B:$B,2025))) / (SUMIFS(SSP2_VSI!$F:$F,SSP2_VSI!$C:$C,Results_list!$C$67,SSP2_VSI!$D:$D,Results_list!$D74,SSP2_VSI!$B:$B,2025))</f>
        <v>4.9707794075004124</v>
      </c>
      <c r="L74" s="13">
        <f t="shared" si="10"/>
        <v>0</v>
      </c>
      <c r="M74" s="12">
        <f>((SUMIFS(SSP5_Baseline!$E:$E,SSP5_Baseline!$C:$C,Results_list!$C$67,SSP5_Baseline!$D:$D,Results_list!$D74,SSP5_Baseline!$B:$B,2040)) - (SUMIFS(SSP5_Baseline!$E:$E,SSP5_Baseline!$C:$C,Results_list!$C$67,SSP5_Baseline!$D:$D,Results_list!$D74,SSP5_Baseline!$B:$B,2025))) / (SUMIFS(SSP5_Baseline!$E:$E,SSP5_Baseline!$C:$C,Results_list!$C$67,SSP5_Baseline!$D:$D,Results_list!$D74,SSP5_Baseline!$B:$B,2025))</f>
        <v>2.0856655481251787</v>
      </c>
      <c r="N74" s="16">
        <f>((SUMIFS(SSP5_VSI!$F:$F,SSP5_VSI!$C:$C,Results_list!$C$67,SSP5_VSI!$D:$D,Results_list!$D74,SSP5_VSI!$B:$B,2040)) - (SUMIFS(SSP5_VSI!$F:$F,SSP5_VSI!$C:$C,Results_list!$C$67,SSP5_VSI!$D:$D,Results_list!$D74,SSP5_VSI!$B:$B,2025))) / (SUMIFS(SSP5_VSI!$F:$F,SSP5_VSI!$C:$C,Results_list!$C$67,SSP5_VSI!$D:$D,Results_list!$D74,SSP5_VSI!$B:$B,2025))</f>
        <v>2.0856527934405356</v>
      </c>
      <c r="O74" s="13">
        <f t="shared" si="11"/>
        <v>0</v>
      </c>
    </row>
    <row r="75" spans="2:15" x14ac:dyDescent="0.35">
      <c r="B75" s="89"/>
      <c r="C75" s="91"/>
      <c r="D75" t="s">
        <v>47</v>
      </c>
      <c r="F75" s="3" t="s">
        <v>95</v>
      </c>
      <c r="G75" s="12">
        <f>((SUMIFS(SSP1_Baseline!$E:$E,SSP1_Baseline!$C:$C,Results_list!$C$67,SSP1_Baseline!$D:$D,Results_list!$D75,SSP1_Baseline!$B:$B,2040)) - (SUMIFS(SSP1_Baseline!$E:$E,SSP1_Baseline!$C:$C,Results_list!$C$67,SSP1_Baseline!$D:$D,Results_list!$D75,SSP1_Baseline!$B:$B,2025))) / (SUMIFS(SSP1_Baseline!$E:$E,SSP1_Baseline!$C:$C,Results_list!$C$67,SSP1_Baseline!$D:$D,Results_list!$D75,SSP1_Baseline!$B:$B,2025))</f>
        <v>2.2160432421688511E-2</v>
      </c>
      <c r="H75" s="16">
        <f>((SUMIFS(SSP1_VSI!$F:$F,SSP1_VSI!$C:$C,Results_list!$C$67,SSP1_VSI!$D:$D,Results_list!$D75,SSP1_VSI!$B:$B,2040)) - (SUMIFS(SSP1_VSI!$F:$F,SSP1_VSI!$C:$C,Results_list!$C$67,SSP1_VSI!$D:$D,Results_list!$D75,SSP1_VSI!$B:$B,2025))) / (SUMIFS(SSP1_VSI!$F:$F,SSP1_VSI!$C:$C,Results_list!$C$67,SSP1_VSI!$D:$D,Results_list!$D75,SSP1_VSI!$B:$B,2025))</f>
        <v>2.2163174800191275E-2</v>
      </c>
      <c r="I75" s="13">
        <f t="shared" si="9"/>
        <v>0</v>
      </c>
      <c r="J75" s="12">
        <f>((SUMIFS(SSP2_Baseline!$E:$E,SSP2_Baseline!$C:$C,Results_list!$C$67,SSP2_Baseline!$D:$D,Results_list!$D75,SSP2_Baseline!$B:$B,2040)) - (SUMIFS(SSP2_Baseline!$E:$E,SSP2_Baseline!$C:$C,Results_list!$C$67,SSP2_Baseline!$D:$D,Results_list!$D75,SSP2_Baseline!$B:$B,2025))) / (SUMIFS(SSP2_Baseline!$E:$E,SSP2_Baseline!$C:$C,Results_list!$C$67,SSP2_Baseline!$D:$D,Results_list!$D75,SSP2_Baseline!$B:$B,2025))</f>
        <v>8.5125813874408165E-2</v>
      </c>
      <c r="K75" s="16">
        <f>((SUMIFS(SSP2_VSI!$F:$F,SSP2_VSI!$C:$C,Results_list!$C$67,SSP2_VSI!$D:$D,Results_list!$D75,SSP2_VSI!$B:$B,2040)) - (SUMIFS(SSP2_VSI!$F:$F,SSP2_VSI!$C:$C,Results_list!$C$67,SSP2_VSI!$D:$D,Results_list!$D75,SSP2_VSI!$B:$B,2025))) / (SUMIFS(SSP2_VSI!$F:$F,SSP2_VSI!$C:$C,Results_list!$C$67,SSP2_VSI!$D:$D,Results_list!$D75,SSP2_VSI!$B:$B,2025))</f>
        <v>8.5126077659915964E-2</v>
      </c>
      <c r="L75" s="13">
        <f t="shared" si="10"/>
        <v>0</v>
      </c>
      <c r="M75" s="12">
        <f>((SUMIFS(SSP5_Baseline!$E:$E,SSP5_Baseline!$C:$C,Results_list!$C$67,SSP5_Baseline!$D:$D,Results_list!$D75,SSP5_Baseline!$B:$B,2040)) - (SUMIFS(SSP5_Baseline!$E:$E,SSP5_Baseline!$C:$C,Results_list!$C$67,SSP5_Baseline!$D:$D,Results_list!$D75,SSP5_Baseline!$B:$B,2025))) / (SUMIFS(SSP5_Baseline!$E:$E,SSP5_Baseline!$C:$C,Results_list!$C$67,SSP5_Baseline!$D:$D,Results_list!$D75,SSP5_Baseline!$B:$B,2025))</f>
        <v>1.9138166113117977E-3</v>
      </c>
      <c r="N75" s="16">
        <f>((SUMIFS(SSP5_VSI!$F:$F,SSP5_VSI!$C:$C,Results_list!$C$67,SSP5_VSI!$D:$D,Results_list!$D75,SSP5_VSI!$B:$B,2040)) - (SUMIFS(SSP5_VSI!$F:$F,SSP5_VSI!$C:$C,Results_list!$C$67,SSP5_VSI!$D:$D,Results_list!$D75,SSP5_VSI!$B:$B,2025))) / (SUMIFS(SSP5_VSI!$F:$F,SSP5_VSI!$C:$C,Results_list!$C$67,SSP5_VSI!$D:$D,Results_list!$D75,SSP5_VSI!$B:$B,2025))</f>
        <v>1.9298231970001263E-3</v>
      </c>
      <c r="O75" s="13">
        <f t="shared" si="11"/>
        <v>0</v>
      </c>
    </row>
    <row r="76" spans="2:15" x14ac:dyDescent="0.35">
      <c r="B76" s="89"/>
      <c r="C76" s="91"/>
      <c r="D76" t="s">
        <v>48</v>
      </c>
      <c r="F76" s="3" t="s">
        <v>96</v>
      </c>
      <c r="G76" s="12">
        <f>((SUMIFS(SSP1_Baseline!$E:$E,SSP1_Baseline!$C:$C,Results_list!$C$67,SSP1_Baseline!$D:$D,Results_list!$D76,SSP1_Baseline!$B:$B,2040)) - (SUMIFS(SSP1_Baseline!$E:$E,SSP1_Baseline!$C:$C,Results_list!$C$67,SSP1_Baseline!$D:$D,Results_list!$D76,SSP1_Baseline!$B:$B,2025))) / (SUMIFS(SSP1_Baseline!$E:$E,SSP1_Baseline!$C:$C,Results_list!$C$67,SSP1_Baseline!$D:$D,Results_list!$D76,SSP1_Baseline!$B:$B,2025))</f>
        <v>2.494730077053754E-4</v>
      </c>
      <c r="H76" s="16">
        <f>((SUMIFS(SSP1_VSI!$F:$F,SSP1_VSI!$C:$C,Results_list!$C$67,SSP1_VSI!$D:$D,Results_list!$D76,SSP1_VSI!$B:$B,2040)) - (SUMIFS(SSP1_VSI!$F:$F,SSP1_VSI!$C:$C,Results_list!$C$67,SSP1_VSI!$D:$D,Results_list!$D76,SSP1_VSI!$B:$B,2025))) / (SUMIFS(SSP1_VSI!$F:$F,SSP1_VSI!$C:$C,Results_list!$C$67,SSP1_VSI!$D:$D,Results_list!$D76,SSP1_VSI!$B:$B,2025))</f>
        <v>2.4950158630397548E-4</v>
      </c>
      <c r="I76" s="13">
        <f t="shared" si="9"/>
        <v>0</v>
      </c>
      <c r="J76" s="12">
        <f>((SUMIFS(SSP2_Baseline!$E:$E,SSP2_Baseline!$C:$C,Results_list!$C$67,SSP2_Baseline!$D:$D,Results_list!$D76,SSP2_Baseline!$B:$B,2040)) - (SUMIFS(SSP2_Baseline!$E:$E,SSP2_Baseline!$C:$C,Results_list!$C$67,SSP2_Baseline!$D:$D,Results_list!$D76,SSP2_Baseline!$B:$B,2025))) / (SUMIFS(SSP2_Baseline!$E:$E,SSP2_Baseline!$C:$C,Results_list!$C$67,SSP2_Baseline!$D:$D,Results_list!$D76,SSP2_Baseline!$B:$B,2025))</f>
        <v>3.119860119139311E-4</v>
      </c>
      <c r="K76" s="16">
        <f>((SUMIFS(SSP2_VSI!$F:$F,SSP2_VSI!$C:$C,Results_list!$C$67,SSP2_VSI!$D:$D,Results_list!$D76,SSP2_VSI!$B:$B,2040)) - (SUMIFS(SSP2_VSI!$F:$F,SSP2_VSI!$C:$C,Results_list!$C$67,SSP2_VSI!$D:$D,Results_list!$D76,SSP2_VSI!$B:$B,2025))) / (SUMIFS(SSP2_VSI!$F:$F,SSP2_VSI!$C:$C,Results_list!$C$67,SSP2_VSI!$D:$D,Results_list!$D76,SSP2_VSI!$B:$B,2025))</f>
        <v>3.1198064544317298E-4</v>
      </c>
      <c r="L76" s="13">
        <f t="shared" si="10"/>
        <v>0</v>
      </c>
      <c r="M76" s="12">
        <f>((SUMIFS(SSP5_Baseline!$E:$E,SSP5_Baseline!$C:$C,Results_list!$C$67,SSP5_Baseline!$D:$D,Results_list!$D76,SSP5_Baseline!$B:$B,2040)) - (SUMIFS(SSP5_Baseline!$E:$E,SSP5_Baseline!$C:$C,Results_list!$C$67,SSP5_Baseline!$D:$D,Results_list!$D76,SSP5_Baseline!$B:$B,2025))) / (SUMIFS(SSP5_Baseline!$E:$E,SSP5_Baseline!$C:$C,Results_list!$C$67,SSP5_Baseline!$D:$D,Results_list!$D76,SSP5_Baseline!$B:$B,2025))</f>
        <v>1.2347978398916646E-4</v>
      </c>
      <c r="N76" s="16">
        <f>((SUMIFS(SSP5_VSI!$F:$F,SSP5_VSI!$C:$C,Results_list!$C$67,SSP5_VSI!$D:$D,Results_list!$D76,SSP5_VSI!$B:$B,2040)) - (SUMIFS(SSP5_VSI!$F:$F,SSP5_VSI!$C:$C,Results_list!$C$67,SSP5_VSI!$D:$D,Results_list!$D76,SSP5_VSI!$B:$B,2025))) / (SUMIFS(SSP5_VSI!$F:$F,SSP5_VSI!$C:$C,Results_list!$C$67,SSP5_VSI!$D:$D,Results_list!$D76,SSP5_VSI!$B:$B,2025))</f>
        <v>1.2352576888450872E-4</v>
      </c>
      <c r="O76" s="13">
        <f t="shared" si="11"/>
        <v>0</v>
      </c>
    </row>
    <row r="77" spans="2:15" x14ac:dyDescent="0.35">
      <c r="B77" s="89"/>
      <c r="C77" s="91"/>
      <c r="D77" t="s">
        <v>49</v>
      </c>
      <c r="F77" s="3" t="s">
        <v>97</v>
      </c>
      <c r="G77" s="12">
        <f>((SUMIFS(SSP1_Baseline!$E:$E,SSP1_Baseline!$C:$C,Results_list!$C$67,SSP1_Baseline!$D:$D,Results_list!$D77,SSP1_Baseline!$B:$B,2040)) - (SUMIFS(SSP1_Baseline!$E:$E,SSP1_Baseline!$C:$C,Results_list!$C$67,SSP1_Baseline!$D:$D,Results_list!$D77,SSP1_Baseline!$B:$B,2025))) / (SUMIFS(SSP1_Baseline!$E:$E,SSP1_Baseline!$C:$C,Results_list!$C$67,SSP1_Baseline!$D:$D,Results_list!$D77,SSP1_Baseline!$B:$B,2025))</f>
        <v>4.5667495876583038E-2</v>
      </c>
      <c r="H77" s="16">
        <f>((SUMIFS(SSP1_VSI!$F:$F,SSP1_VSI!$C:$C,Results_list!$C$67,SSP1_VSI!$D:$D,Results_list!$D77,SSP1_VSI!$B:$B,2040)) - (SUMIFS(SSP1_VSI!$F:$F,SSP1_VSI!$C:$C,Results_list!$C$67,SSP1_VSI!$D:$D,Results_list!$D77,SSP1_VSI!$B:$B,2025))) / (SUMIFS(SSP1_VSI!$F:$F,SSP1_VSI!$C:$C,Results_list!$C$67,SSP1_VSI!$D:$D,Results_list!$D77,SSP1_VSI!$B:$B,2025))</f>
        <v>4.3365236422735889E-2</v>
      </c>
      <c r="I77" s="13">
        <f t="shared" si="9"/>
        <v>-2E-3</v>
      </c>
      <c r="J77" s="12">
        <f>((SUMIFS(SSP2_Baseline!$E:$E,SSP2_Baseline!$C:$C,Results_list!$C$67,SSP2_Baseline!$D:$D,Results_list!$D77,SSP2_Baseline!$B:$B,2040)) - (SUMIFS(SSP2_Baseline!$E:$E,SSP2_Baseline!$C:$C,Results_list!$C$67,SSP2_Baseline!$D:$D,Results_list!$D77,SSP2_Baseline!$B:$B,2025))) / (SUMIFS(SSP2_Baseline!$E:$E,SSP2_Baseline!$C:$C,Results_list!$C$67,SSP2_Baseline!$D:$D,Results_list!$D77,SSP2_Baseline!$B:$B,2025))</f>
        <v>8.470333858216883E-2</v>
      </c>
      <c r="K77" s="16">
        <f>((SUMIFS(SSP2_VSI!$F:$F,SSP2_VSI!$C:$C,Results_list!$C$67,SSP2_VSI!$D:$D,Results_list!$D77,SSP2_VSI!$B:$B,2040)) - (SUMIFS(SSP2_VSI!$F:$F,SSP2_VSI!$C:$C,Results_list!$C$67,SSP2_VSI!$D:$D,Results_list!$D77,SSP2_VSI!$B:$B,2025))) / (SUMIFS(SSP2_VSI!$F:$F,SSP2_VSI!$C:$C,Results_list!$C$67,SSP2_VSI!$D:$D,Results_list!$D77,SSP2_VSI!$B:$B,2025))</f>
        <v>8.2300393245228975E-2</v>
      </c>
      <c r="L77" s="13">
        <f t="shared" si="10"/>
        <v>0</v>
      </c>
      <c r="M77" s="12">
        <f>((SUMIFS(SSP5_Baseline!$E:$E,SSP5_Baseline!$C:$C,Results_list!$C$67,SSP5_Baseline!$D:$D,Results_list!$D77,SSP5_Baseline!$B:$B,2040)) - (SUMIFS(SSP5_Baseline!$E:$E,SSP5_Baseline!$C:$C,Results_list!$C$67,SSP5_Baseline!$D:$D,Results_list!$D77,SSP5_Baseline!$B:$B,2025))) / (SUMIFS(SSP5_Baseline!$E:$E,SSP5_Baseline!$C:$C,Results_list!$C$67,SSP5_Baseline!$D:$D,Results_list!$D77,SSP5_Baseline!$B:$B,2025))</f>
        <v>6.6312036134070634E-2</v>
      </c>
      <c r="N77" s="16">
        <f>((SUMIFS(SSP5_VSI!$F:$F,SSP5_VSI!$C:$C,Results_list!$C$67,SSP5_VSI!$D:$D,Results_list!$D77,SSP5_VSI!$B:$B,2040)) - (SUMIFS(SSP5_VSI!$F:$F,SSP5_VSI!$C:$C,Results_list!$C$67,SSP5_VSI!$D:$D,Results_list!$D77,SSP5_VSI!$B:$B,2025))) / (SUMIFS(SSP5_VSI!$F:$F,SSP5_VSI!$C:$C,Results_list!$C$67,SSP5_VSI!$D:$D,Results_list!$D77,SSP5_VSI!$B:$B,2025))</f>
        <v>6.3917308137373771E-2</v>
      </c>
      <c r="O77" s="13">
        <f t="shared" si="11"/>
        <v>0</v>
      </c>
    </row>
    <row r="78" spans="2:15" x14ac:dyDescent="0.35">
      <c r="B78" s="89"/>
      <c r="C78" s="91"/>
      <c r="D78" t="s">
        <v>50</v>
      </c>
      <c r="F78" s="3" t="s">
        <v>98</v>
      </c>
      <c r="G78" s="12">
        <f>((SUMIFS(SSP1_Baseline!$E:$E,SSP1_Baseline!$C:$C,Results_list!$C$67,SSP1_Baseline!$D:$D,Results_list!$D78,SSP1_Baseline!$B:$B,2040)) - (SUMIFS(SSP1_Baseline!$E:$E,SSP1_Baseline!$C:$C,Results_list!$C$67,SSP1_Baseline!$D:$D,Results_list!$D78,SSP1_Baseline!$B:$B,2025))) / (SUMIFS(SSP1_Baseline!$E:$E,SSP1_Baseline!$C:$C,Results_list!$C$67,SSP1_Baseline!$D:$D,Results_list!$D78,SSP1_Baseline!$B:$B,2025))</f>
        <v>-8.6025280022356959E-3</v>
      </c>
      <c r="H78" s="16">
        <f>((SUMIFS(SSP1_VSI!$F:$F,SSP1_VSI!$C:$C,Results_list!$C$67,SSP1_VSI!$D:$D,Results_list!$D78,SSP1_VSI!$B:$B,2040)) - (SUMIFS(SSP1_VSI!$F:$F,SSP1_VSI!$C:$C,Results_list!$C$67,SSP1_VSI!$D:$D,Results_list!$D78,SSP1_VSI!$B:$B,2025))) / (SUMIFS(SSP1_VSI!$F:$F,SSP1_VSI!$C:$C,Results_list!$C$67,SSP1_VSI!$D:$D,Results_list!$D78,SSP1_VSI!$B:$B,2025))</f>
        <v>-8.6029967475006689E-3</v>
      </c>
      <c r="I78" s="13">
        <f t="shared" si="9"/>
        <v>0</v>
      </c>
      <c r="J78" s="12">
        <f>((SUMIFS(SSP2_Baseline!$E:$E,SSP2_Baseline!$C:$C,Results_list!$C$67,SSP2_Baseline!$D:$D,Results_list!$D78,SSP2_Baseline!$B:$B,2040)) - (SUMIFS(SSP2_Baseline!$E:$E,SSP2_Baseline!$C:$C,Results_list!$C$67,SSP2_Baseline!$D:$D,Results_list!$D78,SSP2_Baseline!$B:$B,2025))) / (SUMIFS(SSP2_Baseline!$E:$E,SSP2_Baseline!$C:$C,Results_list!$C$67,SSP2_Baseline!$D:$D,Results_list!$D78,SSP2_Baseline!$B:$B,2025))</f>
        <v>4.1182773517575134E-2</v>
      </c>
      <c r="K78" s="16">
        <f>((SUMIFS(SSP2_VSI!$F:$F,SSP2_VSI!$C:$C,Results_list!$C$67,SSP2_VSI!$D:$D,Results_list!$D78,SSP2_VSI!$B:$B,2040)) - (SUMIFS(SSP2_VSI!$F:$F,SSP2_VSI!$C:$C,Results_list!$C$67,SSP2_VSI!$D:$D,Results_list!$D78,SSP2_VSI!$B:$B,2025))) / (SUMIFS(SSP2_VSI!$F:$F,SSP2_VSI!$C:$C,Results_list!$C$67,SSP2_VSI!$D:$D,Results_list!$D78,SSP2_VSI!$B:$B,2025))</f>
        <v>4.1182255814963438E-2</v>
      </c>
      <c r="L78" s="13">
        <f t="shared" si="10"/>
        <v>0</v>
      </c>
      <c r="M78" s="12">
        <f>((SUMIFS(SSP5_Baseline!$E:$E,SSP5_Baseline!$C:$C,Results_list!$C$67,SSP5_Baseline!$D:$D,Results_list!$D78,SSP5_Baseline!$B:$B,2040)) - (SUMIFS(SSP5_Baseline!$E:$E,SSP5_Baseline!$C:$C,Results_list!$C$67,SSP5_Baseline!$D:$D,Results_list!$D78,SSP5_Baseline!$B:$B,2025))) / (SUMIFS(SSP5_Baseline!$E:$E,SSP5_Baseline!$C:$C,Results_list!$C$67,SSP5_Baseline!$D:$D,Results_list!$D78,SSP5_Baseline!$B:$B,2025))</f>
        <v>4.2539256798624803E-2</v>
      </c>
      <c r="N78" s="16">
        <f>((SUMIFS(SSP5_VSI!$F:$F,SSP5_VSI!$C:$C,Results_list!$C$67,SSP5_VSI!$D:$D,Results_list!$D78,SSP5_VSI!$B:$B,2040)) - (SUMIFS(SSP5_VSI!$F:$F,SSP5_VSI!$C:$C,Results_list!$C$67,SSP5_VSI!$D:$D,Results_list!$D78,SSP5_VSI!$B:$B,2025))) / (SUMIFS(SSP5_VSI!$F:$F,SSP5_VSI!$C:$C,Results_list!$C$67,SSP5_VSI!$D:$D,Results_list!$D78,SSP5_VSI!$B:$B,2025))</f>
        <v>4.2541145449322103E-2</v>
      </c>
      <c r="O78" s="13">
        <f t="shared" si="11"/>
        <v>0</v>
      </c>
    </row>
    <row r="79" spans="2:15" x14ac:dyDescent="0.35">
      <c r="B79" s="89"/>
      <c r="C79" s="91"/>
      <c r="D79" t="s">
        <v>51</v>
      </c>
      <c r="F79" s="3" t="s">
        <v>99</v>
      </c>
      <c r="G79" s="12">
        <f>((SUMIFS(SSP1_Baseline!$E:$E,SSP1_Baseline!$C:$C,Results_list!$C$67,SSP1_Baseline!$D:$D,Results_list!$D79,SSP1_Baseline!$B:$B,2040)) - (SUMIFS(SSP1_Baseline!$E:$E,SSP1_Baseline!$C:$C,Results_list!$C$67,SSP1_Baseline!$D:$D,Results_list!$D79,SSP1_Baseline!$B:$B,2025))) / (SUMIFS(SSP1_Baseline!$E:$E,SSP1_Baseline!$C:$C,Results_list!$C$67,SSP1_Baseline!$D:$D,Results_list!$D79,SSP1_Baseline!$B:$B,2025))</f>
        <v>8.298836789519104E-2</v>
      </c>
      <c r="H79" s="16">
        <f>((SUMIFS(SSP1_VSI!$F:$F,SSP1_VSI!$C:$C,Results_list!$C$67,SSP1_VSI!$D:$D,Results_list!$D79,SSP1_VSI!$B:$B,2040)) - (SUMIFS(SSP1_VSI!$F:$F,SSP1_VSI!$C:$C,Results_list!$C$67,SSP1_VSI!$D:$D,Results_list!$D79,SSP1_VSI!$B:$B,2025))) / (SUMIFS(SSP1_VSI!$F:$F,SSP1_VSI!$C:$C,Results_list!$C$67,SSP1_VSI!$D:$D,Results_list!$D79,SSP1_VSI!$B:$B,2025))</f>
        <v>8.2987086254257519E-2</v>
      </c>
      <c r="I79" s="13">
        <f t="shared" si="9"/>
        <v>0</v>
      </c>
      <c r="J79" s="12">
        <f>((SUMIFS(SSP2_Baseline!$E:$E,SSP2_Baseline!$C:$C,Results_list!$C$67,SSP2_Baseline!$D:$D,Results_list!$D79,SSP2_Baseline!$B:$B,2040)) - (SUMIFS(SSP2_Baseline!$E:$E,SSP2_Baseline!$C:$C,Results_list!$C$67,SSP2_Baseline!$D:$D,Results_list!$D79,SSP2_Baseline!$B:$B,2025))) / (SUMIFS(SSP2_Baseline!$E:$E,SSP2_Baseline!$C:$C,Results_list!$C$67,SSP2_Baseline!$D:$D,Results_list!$D79,SSP2_Baseline!$B:$B,2025))</f>
        <v>9.4115504914199496E-2</v>
      </c>
      <c r="K79" s="16">
        <f>((SUMIFS(SSP2_VSI!$F:$F,SSP2_VSI!$C:$C,Results_list!$C$67,SSP2_VSI!$D:$D,Results_list!$D79,SSP2_VSI!$B:$B,2040)) - (SUMIFS(SSP2_VSI!$F:$F,SSP2_VSI!$C:$C,Results_list!$C$67,SSP2_VSI!$D:$D,Results_list!$D79,SSP2_VSI!$B:$B,2025))) / (SUMIFS(SSP2_VSI!$F:$F,SSP2_VSI!$C:$C,Results_list!$C$67,SSP2_VSI!$D:$D,Results_list!$D79,SSP2_VSI!$B:$B,2025))</f>
        <v>9.410209235289399E-2</v>
      </c>
      <c r="L79" s="13">
        <f t="shared" si="10"/>
        <v>0</v>
      </c>
      <c r="M79" s="12">
        <f>((SUMIFS(SSP5_Baseline!$E:$E,SSP5_Baseline!$C:$C,Results_list!$C$67,SSP5_Baseline!$D:$D,Results_list!$D79,SSP5_Baseline!$B:$B,2040)) - (SUMIFS(SSP5_Baseline!$E:$E,SSP5_Baseline!$C:$C,Results_list!$C$67,SSP5_Baseline!$D:$D,Results_list!$D79,SSP5_Baseline!$B:$B,2025))) / (SUMIFS(SSP5_Baseline!$E:$E,SSP5_Baseline!$C:$C,Results_list!$C$67,SSP5_Baseline!$D:$D,Results_list!$D79,SSP5_Baseline!$B:$B,2025))</f>
        <v>1.0938142039260957E-2</v>
      </c>
      <c r="N79" s="16">
        <f>((SUMIFS(SSP5_VSI!$F:$F,SSP5_VSI!$C:$C,Results_list!$C$67,SSP5_VSI!$D:$D,Results_list!$D79,SSP5_VSI!$B:$B,2040)) - (SUMIFS(SSP5_VSI!$F:$F,SSP5_VSI!$C:$C,Results_list!$C$67,SSP5_VSI!$D:$D,Results_list!$D79,SSP5_VSI!$B:$B,2025))) / (SUMIFS(SSP5_VSI!$F:$F,SSP5_VSI!$C:$C,Results_list!$C$67,SSP5_VSI!$D:$D,Results_list!$D79,SSP5_VSI!$B:$B,2025))</f>
        <v>1.094269249250017E-2</v>
      </c>
      <c r="O79" s="13">
        <f t="shared" si="11"/>
        <v>0</v>
      </c>
    </row>
    <row r="80" spans="2:15" x14ac:dyDescent="0.35">
      <c r="B80" s="89"/>
      <c r="C80" s="91"/>
      <c r="D80" t="s">
        <v>52</v>
      </c>
      <c r="F80" s="3" t="s">
        <v>100</v>
      </c>
      <c r="G80" s="12">
        <f>((SUMIFS(SSP1_Baseline!$E:$E,SSP1_Baseline!$C:$C,Results_list!$C$67,SSP1_Baseline!$D:$D,Results_list!$D80,SSP1_Baseline!$B:$B,2040)) - (SUMIFS(SSP1_Baseline!$E:$E,SSP1_Baseline!$C:$C,Results_list!$C$67,SSP1_Baseline!$D:$D,Results_list!$D80,SSP1_Baseline!$B:$B,2025))) / (SUMIFS(SSP1_Baseline!$E:$E,SSP1_Baseline!$C:$C,Results_list!$C$67,SSP1_Baseline!$D:$D,Results_list!$D80,SSP1_Baseline!$B:$B,2025))</f>
        <v>-0.25428059795744157</v>
      </c>
      <c r="H80" s="16">
        <f>((SUMIFS(SSP1_VSI!$F:$F,SSP1_VSI!$C:$C,Results_list!$C$67,SSP1_VSI!$D:$D,Results_list!$D80,SSP1_VSI!$B:$B,2040)) - (SUMIFS(SSP1_VSI!$F:$F,SSP1_VSI!$C:$C,Results_list!$C$67,SSP1_VSI!$D:$D,Results_list!$D80,SSP1_VSI!$B:$B,2025))) / (SUMIFS(SSP1_VSI!$F:$F,SSP1_VSI!$C:$C,Results_list!$C$67,SSP1_VSI!$D:$D,Results_list!$D80,SSP1_VSI!$B:$B,2025))</f>
        <v>-0.25421353429629806</v>
      </c>
      <c r="I80" s="13">
        <f t="shared" si="9"/>
        <v>0</v>
      </c>
      <c r="J80" s="12">
        <f>((SUMIFS(SSP2_Baseline!$E:$E,SSP2_Baseline!$C:$C,Results_list!$C$67,SSP2_Baseline!$D:$D,Results_list!$D80,SSP2_Baseline!$B:$B,2040)) - (SUMIFS(SSP2_Baseline!$E:$E,SSP2_Baseline!$C:$C,Results_list!$C$67,SSP2_Baseline!$D:$D,Results_list!$D80,SSP2_Baseline!$B:$B,2025))) / (SUMIFS(SSP2_Baseline!$E:$E,SSP2_Baseline!$C:$C,Results_list!$C$67,SSP2_Baseline!$D:$D,Results_list!$D80,SSP2_Baseline!$B:$B,2025))</f>
        <v>-0.26325900665229868</v>
      </c>
      <c r="K80" s="16">
        <f>((SUMIFS(SSP2_VSI!$F:$F,SSP2_VSI!$C:$C,Results_list!$C$67,SSP2_VSI!$D:$D,Results_list!$D80,SSP2_VSI!$B:$B,2040)) - (SUMIFS(SSP2_VSI!$F:$F,SSP2_VSI!$C:$C,Results_list!$C$67,SSP2_VSI!$D:$D,Results_list!$D80,SSP2_VSI!$B:$B,2025))) / (SUMIFS(SSP2_VSI!$F:$F,SSP2_VSI!$C:$C,Results_list!$C$67,SSP2_VSI!$D:$D,Results_list!$D80,SSP2_VSI!$B:$B,2025))</f>
        <v>-0.26314677742033171</v>
      </c>
      <c r="L80" s="13">
        <f t="shared" si="10"/>
        <v>0</v>
      </c>
      <c r="M80" s="12">
        <f>((SUMIFS(SSP5_Baseline!$E:$E,SSP5_Baseline!$C:$C,Results_list!$C$67,SSP5_Baseline!$D:$D,Results_list!$D80,SSP5_Baseline!$B:$B,2040)) - (SUMIFS(SSP5_Baseline!$E:$E,SSP5_Baseline!$C:$C,Results_list!$C$67,SSP5_Baseline!$D:$D,Results_list!$D80,SSP5_Baseline!$B:$B,2025))) / (SUMIFS(SSP5_Baseline!$E:$E,SSP5_Baseline!$C:$C,Results_list!$C$67,SSP5_Baseline!$D:$D,Results_list!$D80,SSP5_Baseline!$B:$B,2025))</f>
        <v>-0.22432338631894552</v>
      </c>
      <c r="N80" s="16">
        <f>((SUMIFS(SSP5_VSI!$F:$F,SSP5_VSI!$C:$C,Results_list!$C$67,SSP5_VSI!$D:$D,Results_list!$D80,SSP5_VSI!$B:$B,2040)) - (SUMIFS(SSP5_VSI!$F:$F,SSP5_VSI!$C:$C,Results_list!$C$67,SSP5_VSI!$D:$D,Results_list!$D80,SSP5_VSI!$B:$B,2025))) / (SUMIFS(SSP5_VSI!$F:$F,SSP5_VSI!$C:$C,Results_list!$C$67,SSP5_VSI!$D:$D,Results_list!$D80,SSP5_VSI!$B:$B,2025))</f>
        <v>-0.22423495947435601</v>
      </c>
      <c r="O80" s="13">
        <f t="shared" si="11"/>
        <v>0</v>
      </c>
    </row>
    <row r="81" spans="2:15" x14ac:dyDescent="0.35">
      <c r="B81" s="89"/>
      <c r="C81" s="91"/>
      <c r="D81" t="s">
        <v>53</v>
      </c>
      <c r="F81" s="3" t="s">
        <v>101</v>
      </c>
      <c r="G81" s="12">
        <f>((SUMIFS(SSP1_Baseline!$E:$E,SSP1_Baseline!$C:$C,Results_list!$C$67,SSP1_Baseline!$D:$D,Results_list!$D81,SSP1_Baseline!$B:$B,2040)) - (SUMIFS(SSP1_Baseline!$E:$E,SSP1_Baseline!$C:$C,Results_list!$C$67,SSP1_Baseline!$D:$D,Results_list!$D81,SSP1_Baseline!$B:$B,2025))) / (SUMIFS(SSP1_Baseline!$E:$E,SSP1_Baseline!$C:$C,Results_list!$C$67,SSP1_Baseline!$D:$D,Results_list!$D81,SSP1_Baseline!$B:$B,2025))</f>
        <v>-9.6221849197131157E-2</v>
      </c>
      <c r="H81" s="16">
        <f>((SUMIFS(SSP1_VSI!$F:$F,SSP1_VSI!$C:$C,Results_list!$C$67,SSP1_VSI!$D:$D,Results_list!$D81,SSP1_VSI!$B:$B,2040)) - (SUMIFS(SSP1_VSI!$F:$F,SSP1_VSI!$C:$C,Results_list!$C$67,SSP1_VSI!$D:$D,Results_list!$D81,SSP1_VSI!$B:$B,2025))) / (SUMIFS(SSP1_VSI!$F:$F,SSP1_VSI!$C:$C,Results_list!$C$67,SSP1_VSI!$D:$D,Results_list!$D81,SSP1_VSI!$B:$B,2025))</f>
        <v>-9.6256784956822078E-2</v>
      </c>
      <c r="I81" s="13">
        <f t="shared" si="9"/>
        <v>0</v>
      </c>
      <c r="J81" s="12">
        <f>((SUMIFS(SSP2_Baseline!$E:$E,SSP2_Baseline!$C:$C,Results_list!$C$67,SSP2_Baseline!$D:$D,Results_list!$D81,SSP2_Baseline!$B:$B,2040)) - (SUMIFS(SSP2_Baseline!$E:$E,SSP2_Baseline!$C:$C,Results_list!$C$67,SSP2_Baseline!$D:$D,Results_list!$D81,SSP2_Baseline!$B:$B,2025))) / (SUMIFS(SSP2_Baseline!$E:$E,SSP2_Baseline!$C:$C,Results_list!$C$67,SSP2_Baseline!$D:$D,Results_list!$D81,SSP2_Baseline!$B:$B,2025))</f>
        <v>5.8455182426969086E-3</v>
      </c>
      <c r="K81" s="16">
        <f>((SUMIFS(SSP2_VSI!$F:$F,SSP2_VSI!$C:$C,Results_list!$C$67,SSP2_VSI!$D:$D,Results_list!$D81,SSP2_VSI!$B:$B,2040)) - (SUMIFS(SSP2_VSI!$F:$F,SSP2_VSI!$C:$C,Results_list!$C$67,SSP2_VSI!$D:$D,Results_list!$D81,SSP2_VSI!$B:$B,2025))) / (SUMIFS(SSP2_VSI!$F:$F,SSP2_VSI!$C:$C,Results_list!$C$67,SSP2_VSI!$D:$D,Results_list!$D81,SSP2_VSI!$B:$B,2025))</f>
        <v>5.863665459870329E-3</v>
      </c>
      <c r="L81" s="13">
        <f t="shared" si="10"/>
        <v>0</v>
      </c>
      <c r="M81" s="12">
        <f>((SUMIFS(SSP5_Baseline!$E:$E,SSP5_Baseline!$C:$C,Results_list!$C$67,SSP5_Baseline!$D:$D,Results_list!$D81,SSP5_Baseline!$B:$B,2040)) - (SUMIFS(SSP5_Baseline!$E:$E,SSP5_Baseline!$C:$C,Results_list!$C$67,SSP5_Baseline!$D:$D,Results_list!$D81,SSP5_Baseline!$B:$B,2025))) / (SUMIFS(SSP5_Baseline!$E:$E,SSP5_Baseline!$C:$C,Results_list!$C$67,SSP5_Baseline!$D:$D,Results_list!$D81,SSP5_Baseline!$B:$B,2025))</f>
        <v>-2.8172059293897017E-2</v>
      </c>
      <c r="N81" s="16">
        <f>((SUMIFS(SSP5_VSI!$F:$F,SSP5_VSI!$C:$C,Results_list!$C$67,SSP5_VSI!$D:$D,Results_list!$D81,SSP5_VSI!$B:$B,2040)) - (SUMIFS(SSP5_VSI!$F:$F,SSP5_VSI!$C:$C,Results_list!$C$67,SSP5_VSI!$D:$D,Results_list!$D81,SSP5_VSI!$B:$B,2025))) / (SUMIFS(SSP5_VSI!$F:$F,SSP5_VSI!$C:$C,Results_list!$C$67,SSP5_VSI!$D:$D,Results_list!$D81,SSP5_VSI!$B:$B,2025))</f>
        <v>-2.8152763796828659E-2</v>
      </c>
      <c r="O81" s="13">
        <f t="shared" si="11"/>
        <v>0</v>
      </c>
    </row>
    <row r="82" spans="2:15" x14ac:dyDescent="0.35">
      <c r="B82" s="89"/>
      <c r="C82" s="91"/>
      <c r="D82" t="s">
        <v>54</v>
      </c>
      <c r="F82" s="3" t="s">
        <v>102</v>
      </c>
      <c r="G82" s="12">
        <f>((SUMIFS(SSP1_Baseline!$E:$E,SSP1_Baseline!$C:$C,Results_list!$C$67,SSP1_Baseline!$D:$D,Results_list!$D82,SSP1_Baseline!$B:$B,2040)) - (SUMIFS(SSP1_Baseline!$E:$E,SSP1_Baseline!$C:$C,Results_list!$C$67,SSP1_Baseline!$D:$D,Results_list!$D82,SSP1_Baseline!$B:$B,2025))) / (SUMIFS(SSP1_Baseline!$E:$E,SSP1_Baseline!$C:$C,Results_list!$C$67,SSP1_Baseline!$D:$D,Results_list!$D82,SSP1_Baseline!$B:$B,2025))</f>
        <v>1.0971405727822443E-3</v>
      </c>
      <c r="H82" s="16">
        <f>((SUMIFS(SSP1_VSI!$F:$F,SSP1_VSI!$C:$C,Results_list!$C$67,SSP1_VSI!$D:$D,Results_list!$D82,SSP1_VSI!$B:$B,2040)) - (SUMIFS(SSP1_VSI!$F:$F,SSP1_VSI!$C:$C,Results_list!$C$67,SSP1_VSI!$D:$D,Results_list!$D82,SSP1_VSI!$B:$B,2025))) / (SUMIFS(SSP1_VSI!$F:$F,SSP1_VSI!$C:$C,Results_list!$C$67,SSP1_VSI!$D:$D,Results_list!$D82,SSP1_VSI!$B:$B,2025))</f>
        <v>1.0971226416046785E-3</v>
      </c>
      <c r="I82" s="13">
        <f t="shared" si="9"/>
        <v>0</v>
      </c>
      <c r="J82" s="12">
        <f>((SUMIFS(SSP2_Baseline!$E:$E,SSP2_Baseline!$C:$C,Results_list!$C$67,SSP2_Baseline!$D:$D,Results_list!$D82,SSP2_Baseline!$B:$B,2040)) - (SUMIFS(SSP2_Baseline!$E:$E,SSP2_Baseline!$C:$C,Results_list!$C$67,SSP2_Baseline!$D:$D,Results_list!$D82,SSP2_Baseline!$B:$B,2025))) / (SUMIFS(SSP2_Baseline!$E:$E,SSP2_Baseline!$C:$C,Results_list!$C$67,SSP2_Baseline!$D:$D,Results_list!$D82,SSP2_Baseline!$B:$B,2025))</f>
        <v>2.8183917812420532E-3</v>
      </c>
      <c r="K82" s="16">
        <f>((SUMIFS(SSP2_VSI!$F:$F,SSP2_VSI!$C:$C,Results_list!$C$67,SSP2_VSI!$D:$D,Results_list!$D82,SSP2_VSI!$B:$B,2040)) - (SUMIFS(SSP2_VSI!$F:$F,SSP2_VSI!$C:$C,Results_list!$C$67,SSP2_VSI!$D:$D,Results_list!$D82,SSP2_VSI!$B:$B,2025))) / (SUMIFS(SSP2_VSI!$F:$F,SSP2_VSI!$C:$C,Results_list!$C$67,SSP2_VSI!$D:$D,Results_list!$D82,SSP2_VSI!$B:$B,2025))</f>
        <v>2.8183984354136498E-3</v>
      </c>
      <c r="L82" s="13">
        <f t="shared" si="10"/>
        <v>0</v>
      </c>
      <c r="M82" s="12">
        <f>((SUMIFS(SSP5_Baseline!$E:$E,SSP5_Baseline!$C:$C,Results_list!$C$67,SSP5_Baseline!$D:$D,Results_list!$D82,SSP5_Baseline!$B:$B,2040)) - (SUMIFS(SSP5_Baseline!$E:$E,SSP5_Baseline!$C:$C,Results_list!$C$67,SSP5_Baseline!$D:$D,Results_list!$D82,SSP5_Baseline!$B:$B,2025))) / (SUMIFS(SSP5_Baseline!$E:$E,SSP5_Baseline!$C:$C,Results_list!$C$67,SSP5_Baseline!$D:$D,Results_list!$D82,SSP5_Baseline!$B:$B,2025))</f>
        <v>4.7673867068620182E-4</v>
      </c>
      <c r="N82" s="16">
        <f>((SUMIFS(SSP5_VSI!$F:$F,SSP5_VSI!$C:$C,Results_list!$C$67,SSP5_VSI!$D:$D,Results_list!$D82,SSP5_VSI!$B:$B,2040)) - (SUMIFS(SSP5_VSI!$F:$F,SSP5_VSI!$C:$C,Results_list!$C$67,SSP5_VSI!$D:$D,Results_list!$D82,SSP5_VSI!$B:$B,2025))) / (SUMIFS(SSP5_VSI!$F:$F,SSP5_VSI!$C:$C,Results_list!$C$67,SSP5_VSI!$D:$D,Results_list!$D82,SSP5_VSI!$B:$B,2025))</f>
        <v>4.7698684505489188E-4</v>
      </c>
      <c r="O82" s="13">
        <f t="shared" si="11"/>
        <v>0</v>
      </c>
    </row>
    <row r="83" spans="2:15" x14ac:dyDescent="0.35">
      <c r="B83" s="89"/>
      <c r="C83" s="91"/>
      <c r="D83" t="s">
        <v>55</v>
      </c>
      <c r="F83" s="3" t="s">
        <v>103</v>
      </c>
      <c r="G83" s="12">
        <f>((SUMIFS(SSP1_Baseline!$E:$E,SSP1_Baseline!$C:$C,Results_list!$C$67,SSP1_Baseline!$D:$D,Results_list!$D83,SSP1_Baseline!$B:$B,2040)) - (SUMIFS(SSP1_Baseline!$E:$E,SSP1_Baseline!$C:$C,Results_list!$C$67,SSP1_Baseline!$D:$D,Results_list!$D83,SSP1_Baseline!$B:$B,2025))) / (SUMIFS(SSP1_Baseline!$E:$E,SSP1_Baseline!$C:$C,Results_list!$C$67,SSP1_Baseline!$D:$D,Results_list!$D83,SSP1_Baseline!$B:$B,2025))</f>
        <v>1.1091303779144101E-3</v>
      </c>
      <c r="H83" s="16">
        <f>((SUMIFS(SSP1_VSI!$F:$F,SSP1_VSI!$C:$C,Results_list!$C$67,SSP1_VSI!$D:$D,Results_list!$D83,SSP1_VSI!$B:$B,2040)) - (SUMIFS(SSP1_VSI!$F:$F,SSP1_VSI!$C:$C,Results_list!$C$67,SSP1_VSI!$D:$D,Results_list!$D83,SSP1_VSI!$B:$B,2025))) / (SUMIFS(SSP1_VSI!$F:$F,SSP1_VSI!$C:$C,Results_list!$C$67,SSP1_VSI!$D:$D,Results_list!$D83,SSP1_VSI!$B:$B,2025))</f>
        <v>1.1090360309326287E-3</v>
      </c>
      <c r="I83" s="13">
        <f t="shared" si="9"/>
        <v>0</v>
      </c>
      <c r="J83" s="12">
        <f>((SUMIFS(SSP2_Baseline!$E:$E,SSP2_Baseline!$C:$C,Results_list!$C$67,SSP2_Baseline!$D:$D,Results_list!$D83,SSP2_Baseline!$B:$B,2040)) - (SUMIFS(SSP2_Baseline!$E:$E,SSP2_Baseline!$C:$C,Results_list!$C$67,SSP2_Baseline!$D:$D,Results_list!$D83,SSP2_Baseline!$B:$B,2025))) / (SUMIFS(SSP2_Baseline!$E:$E,SSP2_Baseline!$C:$C,Results_list!$C$67,SSP2_Baseline!$D:$D,Results_list!$D83,SSP2_Baseline!$B:$B,2025))</f>
        <v>2.8693424434802477E-3</v>
      </c>
      <c r="K83" s="16">
        <f>((SUMIFS(SSP2_VSI!$F:$F,SSP2_VSI!$C:$C,Results_list!$C$67,SSP2_VSI!$D:$D,Results_list!$D83,SSP2_VSI!$B:$B,2040)) - (SUMIFS(SSP2_VSI!$F:$F,SSP2_VSI!$C:$C,Results_list!$C$67,SSP2_VSI!$D:$D,Results_list!$D83,SSP2_VSI!$B:$B,2025))) / (SUMIFS(SSP2_VSI!$F:$F,SSP2_VSI!$C:$C,Results_list!$C$67,SSP2_VSI!$D:$D,Results_list!$D83,SSP2_VSI!$B:$B,2025))</f>
        <v>2.8691735460649524E-3</v>
      </c>
      <c r="L83" s="13">
        <f t="shared" si="10"/>
        <v>0</v>
      </c>
      <c r="M83" s="12">
        <f>((SUMIFS(SSP5_Baseline!$E:$E,SSP5_Baseline!$C:$C,Results_list!$C$67,SSP5_Baseline!$D:$D,Results_list!$D83,SSP5_Baseline!$B:$B,2040)) - (SUMIFS(SSP5_Baseline!$E:$E,SSP5_Baseline!$C:$C,Results_list!$C$67,SSP5_Baseline!$D:$D,Results_list!$D83,SSP5_Baseline!$B:$B,2025))) / (SUMIFS(SSP5_Baseline!$E:$E,SSP5_Baseline!$C:$C,Results_list!$C$67,SSP5_Baseline!$D:$D,Results_list!$D83,SSP5_Baseline!$B:$B,2025))</f>
        <v>4.0101137603657579E-4</v>
      </c>
      <c r="N83" s="16">
        <f>((SUMIFS(SSP5_VSI!$F:$F,SSP5_VSI!$C:$C,Results_list!$C$67,SSP5_VSI!$D:$D,Results_list!$D83,SSP5_VSI!$B:$B,2040)) - (SUMIFS(SSP5_VSI!$F:$F,SSP5_VSI!$C:$C,Results_list!$C$67,SSP5_VSI!$D:$D,Results_list!$D83,SSP5_VSI!$B:$B,2025))) / (SUMIFS(SSP5_VSI!$F:$F,SSP5_VSI!$C:$C,Results_list!$C$67,SSP5_VSI!$D:$D,Results_list!$D83,SSP5_VSI!$B:$B,2025))</f>
        <v>4.0120834935407069E-4</v>
      </c>
      <c r="O83" s="13">
        <f t="shared" si="11"/>
        <v>0</v>
      </c>
    </row>
    <row r="84" spans="2:15" x14ac:dyDescent="0.35">
      <c r="B84" s="90"/>
      <c r="C84" s="92"/>
      <c r="D84" s="20" t="s">
        <v>56</v>
      </c>
      <c r="F84" s="9" t="s">
        <v>104</v>
      </c>
      <c r="G84" s="14">
        <f>((SUMIFS(SSP1_Baseline!$E:$E,SSP1_Baseline!$C:$C,Results_list!$C$67,SSP1_Baseline!$D:$D,Results_list!$D84,SSP1_Baseline!$B:$B,2040)) - (SUMIFS(SSP1_Baseline!$E:$E,SSP1_Baseline!$C:$C,Results_list!$C$67,SSP1_Baseline!$D:$D,Results_list!$D84,SSP1_Baseline!$B:$B,2025))) / (SUMIFS(SSP1_Baseline!$E:$E,SSP1_Baseline!$C:$C,Results_list!$C$67,SSP1_Baseline!$D:$D,Results_list!$D84,SSP1_Baseline!$B:$B,2025))</f>
        <v>-0.19469800827884767</v>
      </c>
      <c r="H84" s="17">
        <f>((SUMIFS(SSP1_VSI!$F:$F,SSP1_VSI!$C:$C,Results_list!$C$67,SSP1_VSI!$D:$D,Results_list!$D84,SSP1_VSI!$B:$B,2040)) - (SUMIFS(SSP1_VSI!$F:$F,SSP1_VSI!$C:$C,Results_list!$C$67,SSP1_VSI!$D:$D,Results_list!$D84,SSP1_VSI!$B:$B,2025))) / (SUMIFS(SSP1_VSI!$F:$F,SSP1_VSI!$C:$C,Results_list!$C$67,SSP1_VSI!$D:$D,Results_list!$D84,SSP1_VSI!$B:$B,2025))</f>
        <v>-0.19470519153119026</v>
      </c>
      <c r="I84" s="15">
        <f t="shared" si="9"/>
        <v>0</v>
      </c>
      <c r="J84" s="14">
        <f>((SUMIFS(SSP2_Baseline!$E:$E,SSP2_Baseline!$C:$C,Results_list!$C$67,SSP2_Baseline!$D:$D,Results_list!$D84,SSP2_Baseline!$B:$B,2040)) - (SUMIFS(SSP2_Baseline!$E:$E,SSP2_Baseline!$C:$C,Results_list!$C$67,SSP2_Baseline!$D:$D,Results_list!$D84,SSP2_Baseline!$B:$B,2025))) / (SUMIFS(SSP2_Baseline!$E:$E,SSP2_Baseline!$C:$C,Results_list!$C$67,SSP2_Baseline!$D:$D,Results_list!$D84,SSP2_Baseline!$B:$B,2025))</f>
        <v>-0.2920838055257296</v>
      </c>
      <c r="K84" s="17">
        <f>((SUMIFS(SSP2_VSI!$F:$F,SSP2_VSI!$C:$C,Results_list!$C$67,SSP2_VSI!$D:$D,Results_list!$D84,SSP2_VSI!$B:$B,2040)) - (SUMIFS(SSP2_VSI!$F:$F,SSP2_VSI!$C:$C,Results_list!$C$67,SSP2_VSI!$D:$D,Results_list!$D84,SSP2_VSI!$B:$B,2025))) / (SUMIFS(SSP2_VSI!$F:$F,SSP2_VSI!$C:$C,Results_list!$C$67,SSP2_VSI!$D:$D,Results_list!$D84,SSP2_VSI!$B:$B,2025))</f>
        <v>-0.29210096384249568</v>
      </c>
      <c r="L84" s="15">
        <f t="shared" si="10"/>
        <v>0</v>
      </c>
      <c r="M84" s="14">
        <f>((SUMIFS(SSP5_Baseline!$E:$E,SSP5_Baseline!$C:$C,Results_list!$C$67,SSP5_Baseline!$D:$D,Results_list!$D84,SSP5_Baseline!$B:$B,2040)) - (SUMIFS(SSP5_Baseline!$E:$E,SSP5_Baseline!$C:$C,Results_list!$C$67,SSP5_Baseline!$D:$D,Results_list!$D84,SSP5_Baseline!$B:$B,2025))) / (SUMIFS(SSP5_Baseline!$E:$E,SSP5_Baseline!$C:$C,Results_list!$C$67,SSP5_Baseline!$D:$D,Results_list!$D84,SSP5_Baseline!$B:$B,2025))</f>
        <v>-6.3498098515477955E-2</v>
      </c>
      <c r="N84" s="17">
        <f>((SUMIFS(SSP5_VSI!$F:$F,SSP5_VSI!$C:$C,Results_list!$C$67,SSP5_VSI!$D:$D,Results_list!$D84,SSP5_VSI!$B:$B,2040)) - (SUMIFS(SSP5_VSI!$F:$F,SSP5_VSI!$C:$C,Results_list!$C$67,SSP5_VSI!$D:$D,Results_list!$D84,SSP5_VSI!$B:$B,2025))) / (SUMIFS(SSP5_VSI!$F:$F,SSP5_VSI!$C:$C,Results_list!$C$67,SSP5_VSI!$D:$D,Results_list!$D84,SSP5_VSI!$B:$B,2025))</f>
        <v>-6.3489033446124277E-2</v>
      </c>
      <c r="O84" s="15">
        <f t="shared" si="11"/>
        <v>0</v>
      </c>
    </row>
    <row r="85" spans="2:15" x14ac:dyDescent="0.35">
      <c r="J85" s="21"/>
      <c r="K85" s="21"/>
    </row>
    <row r="86" spans="2:15" ht="19" customHeight="1" x14ac:dyDescent="0.35">
      <c r="F86" s="2"/>
      <c r="G86" s="78" t="s">
        <v>3</v>
      </c>
      <c r="H86" s="79"/>
      <c r="I86" s="79"/>
      <c r="J86" s="79"/>
      <c r="K86" s="79"/>
      <c r="L86" s="79"/>
      <c r="M86" s="79"/>
      <c r="N86" s="79"/>
      <c r="O86" s="80"/>
    </row>
    <row r="87" spans="2:15" ht="29" x14ac:dyDescent="0.35">
      <c r="B87" s="8" t="s">
        <v>30</v>
      </c>
      <c r="C87" s="8" t="s">
        <v>30</v>
      </c>
      <c r="D87" s="6" t="s">
        <v>106</v>
      </c>
      <c r="F87" s="7" t="s">
        <v>105</v>
      </c>
      <c r="G87" s="10" t="s">
        <v>0</v>
      </c>
      <c r="H87" s="11" t="s">
        <v>108</v>
      </c>
      <c r="I87" s="18" t="s">
        <v>107</v>
      </c>
      <c r="J87" s="10" t="s">
        <v>1</v>
      </c>
      <c r="K87" s="11" t="s">
        <v>109</v>
      </c>
      <c r="L87" s="18" t="s">
        <v>107</v>
      </c>
      <c r="M87" s="10" t="s">
        <v>2</v>
      </c>
      <c r="N87" s="11" t="s">
        <v>110</v>
      </c>
      <c r="O87" s="18" t="s">
        <v>107</v>
      </c>
    </row>
    <row r="88" spans="2:15" ht="14.5" customHeight="1" x14ac:dyDescent="0.35">
      <c r="B88" s="89" t="s">
        <v>114</v>
      </c>
      <c r="C88" s="89" t="s">
        <v>59</v>
      </c>
      <c r="D88" s="22" t="s">
        <v>38</v>
      </c>
      <c r="F88" s="3" t="s">
        <v>87</v>
      </c>
      <c r="G88" s="12">
        <f>((SUMIFS(SSP1_Baseline!$E:$E,SSP1_Baseline!$C:$C,Results_list!$C$88,SSP1_Baseline!$D:$D,Results_list!$D88,SSP1_Baseline!$B:$B,2040))
- (SUMIFS(SSP1_Baseline!$E:$E,SSP1_Baseline!$C:$C,Results_list!$C$88,SSP1_Baseline!$D:$D,Results_list!$D88,SSP1_Baseline!$B:$B,2025)))
/ (SUMIFS(SSP1_Baseline!$E:$E,SSP1_Baseline!$C:$C,Results_list!$C$88,SSP1_Baseline!$D:$D,Results_list!$D88,SSP1_Baseline!$B:$B,2025))</f>
        <v>-0.12812473410894953</v>
      </c>
      <c r="H88" s="16">
        <f>((SUMIFS(SSP1_VSI!$F:$F,SSP1_VSI!$C:$C,Results_list!$C$88,SSP1_VSI!$D:$D,Results_list!$D88,SSP1_VSI!$B:$B,2040))
- (SUMIFS(SSP1_VSI!$F:$F,SSP1_VSI!$C:$C,Results_list!$C$88,SSP1_VSI!$D:$D,Results_list!$D88,SSP1_VSI!$B:$B,2025)))
/ (SUMIFS(SSP1_VSI!$F:$F,SSP1_VSI!$C:$C,Results_list!$C$88,SSP1_VSI!$D:$D,Results_list!$D88,SSP1_VSI!$B:$B,2025))</f>
        <v>-0.12813638023893908</v>
      </c>
      <c r="I88" s="19">
        <f>ROUND(H88-G88,3)</f>
        <v>0</v>
      </c>
      <c r="J88" s="12">
        <f>((SUMIFS(SSP2_Baseline!$E:$E,SSP2_Baseline!$C:$C,Results_list!$C$88,SSP2_Baseline!$D:$D,Results_list!$D88,SSP2_Baseline!$B:$B,2040))
- (SUMIFS(SSP2_Baseline!$E:$E,SSP2_Baseline!$C:$C,Results_list!$C$88,SSP2_Baseline!$D:$D,Results_list!$D88,SSP2_Baseline!$B:$B,2025)))
/ (SUMIFS(SSP2_Baseline!$E:$E,SSP2_Baseline!$C:$C,Results_list!$C$88,SSP2_Baseline!$D:$D,Results_list!$D88,SSP2_Baseline!$B:$B,2025))</f>
        <v>0.44897635748829989</v>
      </c>
      <c r="K88" s="16">
        <f>((SUMIFS(SSP2_VSI!$F:$F,SSP2_VSI!$C:$C,Results_list!$C$88,SSP2_VSI!$D:$D,Results_list!$D88,SSP2_VSI!$B:$B,2040))
- (SUMIFS(SSP2_VSI!$F:$F,SSP2_VSI!$C:$C,Results_list!$C$88,SSP2_VSI!$D:$D,Results_list!$D88,SSP2_VSI!$B:$B,2025)))
/ (SUMIFS(SSP2_VSI!$F:$F,SSP2_VSI!$C:$C,Results_list!$C$88,SSP2_VSI!$D:$D,Results_list!$D88,SSP2_VSI!$B:$B,2025))</f>
        <v>0.44888683677351493</v>
      </c>
      <c r="L88" s="19">
        <f>ROUND(K88-J88,2)</f>
        <v>0</v>
      </c>
      <c r="M88" s="12">
        <f>((SUMIFS(SSP5_Baseline!$E:$E,SSP5_Baseline!$C:$C,Results_list!$C$88,SSP5_Baseline!$D:$D,Results_list!$D88,SSP5_Baseline!$B:$B,2040))
- (SUMIFS(SSP5_Baseline!$E:$E,SSP5_Baseline!$C:$C,Results_list!$C$88,SSP5_Baseline!$D:$D,Results_list!$D88,SSP5_Baseline!$B:$B,2025)))
/ (SUMIFS(SSP5_Baseline!$E:$E,SSP5_Baseline!$C:$C,Results_list!$C$88,SSP5_Baseline!$D:$D,Results_list!$D88,SSP5_Baseline!$B:$B,2025))</f>
        <v>0.74065321547887208</v>
      </c>
      <c r="N88" s="16">
        <f>((SUMIFS(SSP5_VSI!$F:$F,SSP5_VSI!$C:$C,Results_list!$C$88,SSP5_VSI!$D:$D,Results_list!$D88,SSP5_VSI!$B:$B,2040))
- (SUMIFS(SSP5_VSI!$F:$F,SSP5_VSI!$C:$C,Results_list!$C$88,SSP5_VSI!$D:$D,Results_list!$D88,SSP5_VSI!$B:$B,2025)))
/ (SUMIFS(SSP5_VSI!$F:$F,SSP5_VSI!$C:$C,Results_list!$C$88,SSP5_VSI!$D:$D,Results_list!$D88,SSP5_VSI!$B:$B,2025))</f>
        <v>0.74062306422257607</v>
      </c>
      <c r="O88" s="19">
        <f>ROUND(N88-M88,2)</f>
        <v>0</v>
      </c>
    </row>
    <row r="89" spans="2:15" x14ac:dyDescent="0.35">
      <c r="B89" s="89"/>
      <c r="C89" s="89"/>
      <c r="D89" s="22" t="s">
        <v>40</v>
      </c>
      <c r="F89" s="3" t="s">
        <v>88</v>
      </c>
      <c r="G89" s="12">
        <f>((SUMIFS(SSP1_Baseline!$E:$E,SSP1_Baseline!$C:$C,Results_list!$C$88,SSP1_Baseline!$D:$D,Results_list!$D89,SSP1_Baseline!$B:$B,2040)) - (SUMIFS(SSP1_Baseline!$E:$E,SSP1_Baseline!$C:$C,Results_list!$C$88,SSP1_Baseline!$D:$D,Results_list!$D89,SSP1_Baseline!$B:$B,2025))) / (SUMIFS(SSP1_Baseline!$E:$E,SSP1_Baseline!$C:$C,Results_list!$C$88,SSP1_Baseline!$D:$D,Results_list!$D89,SSP1_Baseline!$B:$B,2025))</f>
        <v>3.551037573173884E-2</v>
      </c>
      <c r="H89" s="16">
        <f>((SUMIFS(SSP1_VSI!$F:$F,SSP1_VSI!$C:$C,Results_list!$C$88,SSP1_VSI!$D:$D,Results_list!$D89,SSP1_VSI!$B:$B,2040)) - (SUMIFS(SSP1_VSI!$F:$F,SSP1_VSI!$C:$C,Results_list!$C$88,SSP1_VSI!$D:$D,Results_list!$D89,SSP1_VSI!$B:$B,2025))) / (SUMIFS(SSP1_VSI!$F:$F,SSP1_VSI!$C:$C,Results_list!$C$88,SSP1_VSI!$D:$D,Results_list!$D89,SSP1_VSI!$B:$B,2025))</f>
        <v>3.5503876286705316E-2</v>
      </c>
      <c r="I89" s="13">
        <f t="shared" ref="I89:I105" si="12">ROUND(H89-G89,3)</f>
        <v>0</v>
      </c>
      <c r="J89" s="12">
        <f>((SUMIFS(SSP2_Baseline!$E:$E,SSP2_Baseline!$C:$C,Results_list!$C$88,SSP2_Baseline!$D:$D,Results_list!$D89,SSP2_Baseline!$B:$B,2040)) - (SUMIFS(SSP2_Baseline!$E:$E,SSP2_Baseline!$C:$C,Results_list!$C$88,SSP2_Baseline!$D:$D,Results_list!$D89,SSP2_Baseline!$B:$B,2025))) / (SUMIFS(SSP2_Baseline!$E:$E,SSP2_Baseline!$C:$C,Results_list!$C$88,SSP2_Baseline!$D:$D,Results_list!$D89,SSP2_Baseline!$B:$B,2025))</f>
        <v>2.6727710460421862E-2</v>
      </c>
      <c r="K89" s="16">
        <f>((SUMIFS(SSP2_VSI!$F:$F,SSP2_VSI!$C:$C,Results_list!$C$88,SSP2_VSI!$D:$D,Results_list!$D89,SSP2_VSI!$B:$B,2040)) - (SUMIFS(SSP2_VSI!$F:$F,SSP2_VSI!$C:$C,Results_list!$C$88,SSP2_VSI!$D:$D,Results_list!$D89,SSP2_VSI!$B:$B,2025))) / (SUMIFS(SSP2_VSI!$F:$F,SSP2_VSI!$C:$C,Results_list!$C$88,SSP2_VSI!$D:$D,Results_list!$D89,SSP2_VSI!$B:$B,2025))</f>
        <v>2.6713407111711909E-2</v>
      </c>
      <c r="L89" s="13">
        <f t="shared" ref="L89:L105" si="13">ROUND(K89-J89,2)</f>
        <v>0</v>
      </c>
      <c r="M89" s="12">
        <f>((SUMIFS(SSP5_Baseline!$E:$E,SSP5_Baseline!$C:$C,Results_list!$C$88,SSP5_Baseline!$D:$D,Results_list!$D89,SSP5_Baseline!$B:$B,2040)) - (SUMIFS(SSP5_Baseline!$E:$E,SSP5_Baseline!$C:$C,Results_list!$C$88,SSP5_Baseline!$D:$D,Results_list!$D89,SSP5_Baseline!$B:$B,2025))) / (SUMIFS(SSP5_Baseline!$E:$E,SSP5_Baseline!$C:$C,Results_list!$C$88,SSP5_Baseline!$D:$D,Results_list!$D89,SSP5_Baseline!$B:$B,2025))</f>
        <v>-1.4159446527332205E-2</v>
      </c>
      <c r="N89" s="16">
        <f>((SUMIFS(SSP5_VSI!$F:$F,SSP5_VSI!$C:$C,Results_list!$C$88,SSP5_VSI!$D:$D,Results_list!$D89,SSP5_VSI!$B:$B,2040)) - (SUMIFS(SSP5_VSI!$F:$F,SSP5_VSI!$C:$C,Results_list!$C$88,SSP5_VSI!$D:$D,Results_list!$D89,SSP5_VSI!$B:$B,2025))) / (SUMIFS(SSP5_VSI!$F:$F,SSP5_VSI!$C:$C,Results_list!$C$88,SSP5_VSI!$D:$D,Results_list!$D89,SSP5_VSI!$B:$B,2025))</f>
        <v>-1.4174761489209197E-2</v>
      </c>
      <c r="O89" s="13">
        <f t="shared" ref="O89:O105" si="14">ROUND(N89-M89,2)</f>
        <v>0</v>
      </c>
    </row>
    <row r="90" spans="2:15" x14ac:dyDescent="0.35">
      <c r="B90" s="89"/>
      <c r="C90" s="89"/>
      <c r="D90" s="22" t="s">
        <v>41</v>
      </c>
      <c r="F90" s="3" t="s">
        <v>89</v>
      </c>
      <c r="G90" s="12">
        <f>((SUMIFS(SSP1_Baseline!$E:$E,SSP1_Baseline!$C:$C,Results_list!$C$88,SSP1_Baseline!$D:$D,Results_list!$D90,SSP1_Baseline!$B:$B,2040)) - (SUMIFS(SSP1_Baseline!$E:$E,SSP1_Baseline!$C:$C,Results_list!$C$88,SSP1_Baseline!$D:$D,Results_list!$D90,SSP1_Baseline!$B:$B,2025))) / (SUMIFS(SSP1_Baseline!$E:$E,SSP1_Baseline!$C:$C,Results_list!$C$88,SSP1_Baseline!$D:$D,Results_list!$D90,SSP1_Baseline!$B:$B,2025))</f>
        <v>1.0362538080171202E-2</v>
      </c>
      <c r="H90" s="16">
        <f>((SUMIFS(SSP1_VSI!$F:$F,SSP1_VSI!$C:$C,Results_list!$C$88,SSP1_VSI!$D:$D,Results_list!$D90,SSP1_VSI!$B:$B,2040)) - (SUMIFS(SSP1_VSI!$F:$F,SSP1_VSI!$C:$C,Results_list!$C$88,SSP1_VSI!$D:$D,Results_list!$D90,SSP1_VSI!$B:$B,2025))) / (SUMIFS(SSP1_VSI!$F:$F,SSP1_VSI!$C:$C,Results_list!$C$88,SSP1_VSI!$D:$D,Results_list!$D90,SSP1_VSI!$B:$B,2025))</f>
        <v>1.0077874835120772E-2</v>
      </c>
      <c r="I90" s="13">
        <f t="shared" si="12"/>
        <v>0</v>
      </c>
      <c r="J90" s="12">
        <f>((SUMIFS(SSP2_Baseline!$E:$E,SSP2_Baseline!$C:$C,Results_list!$C$88,SSP2_Baseline!$D:$D,Results_list!$D90,SSP2_Baseline!$B:$B,2040)) - (SUMIFS(SSP2_Baseline!$E:$E,SSP2_Baseline!$C:$C,Results_list!$C$88,SSP2_Baseline!$D:$D,Results_list!$D90,SSP2_Baseline!$B:$B,2025))) / (SUMIFS(SSP2_Baseline!$E:$E,SSP2_Baseline!$C:$C,Results_list!$C$88,SSP2_Baseline!$D:$D,Results_list!$D90,SSP2_Baseline!$B:$B,2025))</f>
        <v>2.0400314085211042E-2</v>
      </c>
      <c r="K90" s="16">
        <f>((SUMIFS(SSP2_VSI!$F:$F,SSP2_VSI!$C:$C,Results_list!$C$88,SSP2_VSI!$D:$D,Results_list!$D90,SSP2_VSI!$B:$B,2040)) - (SUMIFS(SSP2_VSI!$F:$F,SSP2_VSI!$C:$C,Results_list!$C$88,SSP2_VSI!$D:$D,Results_list!$D90,SSP2_VSI!$B:$B,2025))) / (SUMIFS(SSP2_VSI!$F:$F,SSP2_VSI!$C:$C,Results_list!$C$88,SSP2_VSI!$D:$D,Results_list!$D90,SSP2_VSI!$B:$B,2025))</f>
        <v>2.0149420604297679E-2</v>
      </c>
      <c r="L90" s="13">
        <f t="shared" si="13"/>
        <v>0</v>
      </c>
      <c r="M90" s="12">
        <f>((SUMIFS(SSP5_Baseline!$E:$E,SSP5_Baseline!$C:$C,Results_list!$C$88,SSP5_Baseline!$D:$D,Results_list!$D90,SSP5_Baseline!$B:$B,2040)) - (SUMIFS(SSP5_Baseline!$E:$E,SSP5_Baseline!$C:$C,Results_list!$C$88,SSP5_Baseline!$D:$D,Results_list!$D90,SSP5_Baseline!$B:$B,2025))) / (SUMIFS(SSP5_Baseline!$E:$E,SSP5_Baseline!$C:$C,Results_list!$C$88,SSP5_Baseline!$D:$D,Results_list!$D90,SSP5_Baseline!$B:$B,2025))</f>
        <v>3.6994165745168707E-2</v>
      </c>
      <c r="N90" s="16">
        <f>((SUMIFS(SSP5_VSI!$F:$F,SSP5_VSI!$C:$C,Results_list!$C$88,SSP5_VSI!$D:$D,Results_list!$D90,SSP5_VSI!$B:$B,2040)) - (SUMIFS(SSP5_VSI!$F:$F,SSP5_VSI!$C:$C,Results_list!$C$88,SSP5_VSI!$D:$D,Results_list!$D90,SSP5_VSI!$B:$B,2025))) / (SUMIFS(SSP5_VSI!$F:$F,SSP5_VSI!$C:$C,Results_list!$C$88,SSP5_VSI!$D:$D,Results_list!$D90,SSP5_VSI!$B:$B,2025))</f>
        <v>3.6722461410361319E-2</v>
      </c>
      <c r="O90" s="13">
        <f t="shared" si="14"/>
        <v>0</v>
      </c>
    </row>
    <row r="91" spans="2:15" x14ac:dyDescent="0.35">
      <c r="B91" s="89"/>
      <c r="C91" s="89"/>
      <c r="D91" s="22" t="s">
        <v>42</v>
      </c>
      <c r="F91" s="3" t="s">
        <v>90</v>
      </c>
      <c r="G91" s="12">
        <f>((SUMIFS(SSP1_Baseline!$E:$E,SSP1_Baseline!$C:$C,Results_list!$C$88,SSP1_Baseline!$D:$D,Results_list!$D91,SSP1_Baseline!$B:$B,2040)) - (SUMIFS(SSP1_Baseline!$E:$E,SSP1_Baseline!$C:$C,Results_list!$C$88,SSP1_Baseline!$D:$D,Results_list!$D91,SSP1_Baseline!$B:$B,2025))) / (SUMIFS(SSP1_Baseline!$E:$E,SSP1_Baseline!$C:$C,Results_list!$C$88,SSP1_Baseline!$D:$D,Results_list!$D91,SSP1_Baseline!$B:$B,2025))</f>
        <v>-1.5886215058972983E-5</v>
      </c>
      <c r="H91" s="16">
        <f>((SUMIFS(SSP1_VSI!$F:$F,SSP1_VSI!$C:$C,Results_list!$C$88,SSP1_VSI!$D:$D,Results_list!$D91,SSP1_VSI!$B:$B,2040)) - (SUMIFS(SSP1_VSI!$F:$F,SSP1_VSI!$C:$C,Results_list!$C$88,SSP1_VSI!$D:$D,Results_list!$D91,SSP1_VSI!$B:$B,2025))) / (SUMIFS(SSP1_VSI!$F:$F,SSP1_VSI!$C:$C,Results_list!$C$88,SSP1_VSI!$D:$D,Results_list!$D91,SSP1_VSI!$B:$B,2025))</f>
        <v>-2.1178952679805079E-5</v>
      </c>
      <c r="I91" s="13">
        <f t="shared" si="12"/>
        <v>0</v>
      </c>
      <c r="J91" s="12">
        <f>((SUMIFS(SSP2_Baseline!$E:$E,SSP2_Baseline!$C:$C,Results_list!$C$88,SSP2_Baseline!$D:$D,Results_list!$D91,SSP2_Baseline!$B:$B,2040)) - (SUMIFS(SSP2_Baseline!$E:$E,SSP2_Baseline!$C:$C,Results_list!$C$88,SSP2_Baseline!$D:$D,Results_list!$D91,SSP2_Baseline!$B:$B,2025))) / (SUMIFS(SSP2_Baseline!$E:$E,SSP2_Baseline!$C:$C,Results_list!$C$88,SSP2_Baseline!$D:$D,Results_list!$D91,SSP2_Baseline!$B:$B,2025))</f>
        <v>2.5098736738996839E-2</v>
      </c>
      <c r="K91" s="16">
        <f>((SUMIFS(SSP2_VSI!$F:$F,SSP2_VSI!$C:$C,Results_list!$C$88,SSP2_VSI!$D:$D,Results_list!$D91,SSP2_VSI!$B:$B,2040)) - (SUMIFS(SSP2_VSI!$F:$F,SSP2_VSI!$C:$C,Results_list!$C$88,SSP2_VSI!$D:$D,Results_list!$D91,SSP2_VSI!$B:$B,2025))) / (SUMIFS(SSP2_VSI!$F:$F,SSP2_VSI!$C:$C,Results_list!$C$88,SSP2_VSI!$D:$D,Results_list!$D91,SSP2_VSI!$B:$B,2025))</f>
        <v>2.5089555169024017E-2</v>
      </c>
      <c r="L91" s="13">
        <f t="shared" si="13"/>
        <v>0</v>
      </c>
      <c r="M91" s="12">
        <f>((SUMIFS(SSP5_Baseline!$E:$E,SSP5_Baseline!$C:$C,Results_list!$C$88,SSP5_Baseline!$D:$D,Results_list!$D91,SSP5_Baseline!$B:$B,2040)) - (SUMIFS(SSP5_Baseline!$E:$E,SSP5_Baseline!$C:$C,Results_list!$C$88,SSP5_Baseline!$D:$D,Results_list!$D91,SSP5_Baseline!$B:$B,2025))) / (SUMIFS(SSP5_Baseline!$E:$E,SSP5_Baseline!$C:$C,Results_list!$C$88,SSP5_Baseline!$D:$D,Results_list!$D91,SSP5_Baseline!$B:$B,2025))</f>
        <v>8.0109426108032709E-3</v>
      </c>
      <c r="N91" s="16">
        <f>((SUMIFS(SSP5_VSI!$F:$F,SSP5_VSI!$C:$C,Results_list!$C$88,SSP5_VSI!$D:$D,Results_list!$D91,SSP5_VSI!$B:$B,2040)) - (SUMIFS(SSP5_VSI!$F:$F,SSP5_VSI!$C:$C,Results_list!$C$88,SSP5_VSI!$D:$D,Results_list!$D91,SSP5_VSI!$B:$B,2025))) / (SUMIFS(SSP5_VSI!$F:$F,SSP5_VSI!$C:$C,Results_list!$C$88,SSP5_VSI!$D:$D,Results_list!$D91,SSP5_VSI!$B:$B,2025))</f>
        <v>8.0206085233824713E-3</v>
      </c>
      <c r="O91" s="13">
        <f t="shared" si="14"/>
        <v>0</v>
      </c>
    </row>
    <row r="92" spans="2:15" x14ac:dyDescent="0.35">
      <c r="B92" s="89"/>
      <c r="C92" s="89"/>
      <c r="D92" s="22" t="s">
        <v>43</v>
      </c>
      <c r="F92" s="3" t="s">
        <v>91</v>
      </c>
      <c r="G92" s="12">
        <f>((SUMIFS(SSP1_Baseline!$E:$E,SSP1_Baseline!$C:$C,Results_list!$C$88,SSP1_Baseline!$D:$D,Results_list!$D92,SSP1_Baseline!$B:$B,2040)) - (SUMIFS(SSP1_Baseline!$E:$E,SSP1_Baseline!$C:$C,Results_list!$C$88,SSP1_Baseline!$D:$D,Results_list!$D92,SSP1_Baseline!$B:$B,2025))) / (SUMIFS(SSP1_Baseline!$E:$E,SSP1_Baseline!$C:$C,Results_list!$C$88,SSP1_Baseline!$D:$D,Results_list!$D92,SSP1_Baseline!$B:$B,2025))</f>
        <v>-5.033682202088466E-3</v>
      </c>
      <c r="H92" s="16">
        <f>((SUMIFS(SSP1_VSI!$F:$F,SSP1_VSI!$C:$C,Results_list!$C$88,SSP1_VSI!$D:$D,Results_list!$D92,SSP1_VSI!$B:$B,2040)) - (SUMIFS(SSP1_VSI!$F:$F,SSP1_VSI!$C:$C,Results_list!$C$88,SSP1_VSI!$D:$D,Results_list!$D92,SSP1_VSI!$B:$B,2025))) / (SUMIFS(SSP1_VSI!$F:$F,SSP1_VSI!$C:$C,Results_list!$C$88,SSP1_VSI!$D:$D,Results_list!$D92,SSP1_VSI!$B:$B,2025))</f>
        <v>-5.0752829280514555E-3</v>
      </c>
      <c r="I92" s="13">
        <f t="shared" si="12"/>
        <v>0</v>
      </c>
      <c r="J92" s="12">
        <f>((SUMIFS(SSP2_Baseline!$E:$E,SSP2_Baseline!$C:$C,Results_list!$C$88,SSP2_Baseline!$D:$D,Results_list!$D92,SSP2_Baseline!$B:$B,2040)) - (SUMIFS(SSP2_Baseline!$E:$E,SSP2_Baseline!$C:$C,Results_list!$C$88,SSP2_Baseline!$D:$D,Results_list!$D92,SSP2_Baseline!$B:$B,2025))) / (SUMIFS(SSP2_Baseline!$E:$E,SSP2_Baseline!$C:$C,Results_list!$C$88,SSP2_Baseline!$D:$D,Results_list!$D92,SSP2_Baseline!$B:$B,2025))</f>
        <v>0.10401860444235379</v>
      </c>
      <c r="K92" s="16">
        <f>((SUMIFS(SSP2_VSI!$F:$F,SSP2_VSI!$C:$C,Results_list!$C$88,SSP2_VSI!$D:$D,Results_list!$D92,SSP2_VSI!$B:$B,2040)) - (SUMIFS(SSP2_VSI!$F:$F,SSP2_VSI!$C:$C,Results_list!$C$88,SSP2_VSI!$D:$D,Results_list!$D92,SSP2_VSI!$B:$B,2025))) / (SUMIFS(SSP2_VSI!$F:$F,SSP2_VSI!$C:$C,Results_list!$C$88,SSP2_VSI!$D:$D,Results_list!$D92,SSP2_VSI!$B:$B,2025))</f>
        <v>0.10400199509039205</v>
      </c>
      <c r="L92" s="13">
        <f t="shared" si="13"/>
        <v>0</v>
      </c>
      <c r="M92" s="12">
        <f>((SUMIFS(SSP5_Baseline!$E:$E,SSP5_Baseline!$C:$C,Results_list!$C$88,SSP5_Baseline!$D:$D,Results_list!$D92,SSP5_Baseline!$B:$B,2040)) - (SUMIFS(SSP5_Baseline!$E:$E,SSP5_Baseline!$C:$C,Results_list!$C$88,SSP5_Baseline!$D:$D,Results_list!$D92,SSP5_Baseline!$B:$B,2025))) / (SUMIFS(SSP5_Baseline!$E:$E,SSP5_Baseline!$C:$C,Results_list!$C$88,SSP5_Baseline!$D:$D,Results_list!$D92,SSP5_Baseline!$B:$B,2025))</f>
        <v>0.11734263481757352</v>
      </c>
      <c r="N92" s="16">
        <f>((SUMIFS(SSP5_VSI!$F:$F,SSP5_VSI!$C:$C,Results_list!$C$88,SSP5_VSI!$D:$D,Results_list!$D92,SSP5_VSI!$B:$B,2040)) - (SUMIFS(SSP5_VSI!$F:$F,SSP5_VSI!$C:$C,Results_list!$C$88,SSP5_VSI!$D:$D,Results_list!$D92,SSP5_VSI!$B:$B,2025))) / (SUMIFS(SSP5_VSI!$F:$F,SSP5_VSI!$C:$C,Results_list!$C$88,SSP5_VSI!$D:$D,Results_list!$D92,SSP5_VSI!$B:$B,2025))</f>
        <v>0.11730547813808775</v>
      </c>
      <c r="O92" s="13">
        <f t="shared" si="14"/>
        <v>0</v>
      </c>
    </row>
    <row r="93" spans="2:15" x14ac:dyDescent="0.35">
      <c r="B93" s="89"/>
      <c r="C93" s="89"/>
      <c r="D93" t="s">
        <v>136</v>
      </c>
      <c r="F93" s="3" t="s">
        <v>92</v>
      </c>
      <c r="G93" s="12">
        <f>((SUMIFS(SSP1_Baseline!$E:$E,SSP1_Baseline!$C:$C,Results_list!$C$88,SSP1_Baseline!$D:$D,Results_list!$D93,SSP1_Baseline!$B:$B,2040)) - (SUMIFS(SSP1_Baseline!$E:$E,SSP1_Baseline!$C:$C,Results_list!$C$88,SSP1_Baseline!$D:$D,Results_list!$D93,SSP1_Baseline!$B:$B,2025))) / (SUMIFS(SSP1_Baseline!$E:$E,SSP1_Baseline!$C:$C,Results_list!$C$88,SSP1_Baseline!$D:$D,Results_list!$D93,SSP1_Baseline!$B:$B,2025))</f>
        <v>-0.13831154552099884</v>
      </c>
      <c r="H93" s="16">
        <f>((SUMIFS(SSP1_VSI!$F:$F,SSP1_VSI!$C:$C,Results_list!$C$88,SSP1_VSI!$D:$D,Results_list!$D93,SSP1_VSI!$B:$B,2040)) - (SUMIFS(SSP1_VSI!$F:$F,SSP1_VSI!$C:$C,Results_list!$C$88,SSP1_VSI!$D:$D,Results_list!$D93,SSP1_VSI!$B:$B,2025))) / (SUMIFS(SSP1_VSI!$F:$F,SSP1_VSI!$C:$C,Results_list!$C$88,SSP1_VSI!$D:$D,Results_list!$D93,SSP1_VSI!$B:$B,2025))</f>
        <v>-0.1383841473584069</v>
      </c>
      <c r="I93" s="13">
        <f t="shared" si="12"/>
        <v>0</v>
      </c>
      <c r="J93" s="12">
        <f>((SUMIFS(SSP2_Baseline!$E:$E,SSP2_Baseline!$C:$C,Results_list!$C$88,SSP2_Baseline!$D:$D,Results_list!$D93,SSP2_Baseline!$B:$B,2040)) - (SUMIFS(SSP2_Baseline!$E:$E,SSP2_Baseline!$C:$C,Results_list!$C$88,SSP2_Baseline!$D:$D,Results_list!$D93,SSP2_Baseline!$B:$B,2025))) / (SUMIFS(SSP2_Baseline!$E:$E,SSP2_Baseline!$C:$C,Results_list!$C$88,SSP2_Baseline!$D:$D,Results_list!$D93,SSP2_Baseline!$B:$B,2025))</f>
        <v>-7.1974472316881588E-2</v>
      </c>
      <c r="K93" s="16">
        <f>((SUMIFS(SSP2_VSI!$F:$F,SSP2_VSI!$C:$C,Results_list!$C$88,SSP2_VSI!$D:$D,Results_list!$D93,SSP2_VSI!$B:$B,2040)) - (SUMIFS(SSP2_VSI!$F:$F,SSP2_VSI!$C:$C,Results_list!$C$88,SSP2_VSI!$D:$D,Results_list!$D93,SSP2_VSI!$B:$B,2025))) / (SUMIFS(SSP2_VSI!$F:$F,SSP2_VSI!$C:$C,Results_list!$C$88,SSP2_VSI!$D:$D,Results_list!$D93,SSP2_VSI!$B:$B,2025))</f>
        <v>-7.1971588373650558E-2</v>
      </c>
      <c r="L93" s="13">
        <f t="shared" si="13"/>
        <v>0</v>
      </c>
      <c r="M93" s="12">
        <f>((SUMIFS(SSP5_Baseline!$E:$E,SSP5_Baseline!$C:$C,Results_list!$C$88,SSP5_Baseline!$D:$D,Results_list!$D93,SSP5_Baseline!$B:$B,2040)) - (SUMIFS(SSP5_Baseline!$E:$E,SSP5_Baseline!$C:$C,Results_list!$C$88,SSP5_Baseline!$D:$D,Results_list!$D93,SSP5_Baseline!$B:$B,2025))) / (SUMIFS(SSP5_Baseline!$E:$E,SSP5_Baseline!$C:$C,Results_list!$C$88,SSP5_Baseline!$D:$D,Results_list!$D93,SSP5_Baseline!$B:$B,2025))</f>
        <v>-2.7576254944579735E-2</v>
      </c>
      <c r="N93" s="16">
        <f>((SUMIFS(SSP5_VSI!$F:$F,SSP5_VSI!$C:$C,Results_list!$C$88,SSP5_VSI!$D:$D,Results_list!$D93,SSP5_VSI!$B:$B,2040)) - (SUMIFS(SSP5_VSI!$F:$F,SSP5_VSI!$C:$C,Results_list!$C$88,SSP5_VSI!$D:$D,Results_list!$D93,SSP5_VSI!$B:$B,2025))) / (SUMIFS(SSP5_VSI!$F:$F,SSP5_VSI!$C:$C,Results_list!$C$88,SSP5_VSI!$D:$D,Results_list!$D93,SSP5_VSI!$B:$B,2025))</f>
        <v>-2.7558961234801269E-2</v>
      </c>
      <c r="O93" s="13">
        <f t="shared" si="14"/>
        <v>0</v>
      </c>
    </row>
    <row r="94" spans="2:15" ht="14.5" customHeight="1" x14ac:dyDescent="0.35">
      <c r="B94" s="89"/>
      <c r="C94" s="89"/>
      <c r="D94" s="22" t="s">
        <v>45</v>
      </c>
      <c r="F94" s="3" t="s">
        <v>93</v>
      </c>
      <c r="G94" s="12">
        <f>((SUMIFS(SSP1_Baseline!$E:$E,SSP1_Baseline!$C:$C,Results_list!$C$88,SSP1_Baseline!$D:$D,Results_list!$D94,SSP1_Baseline!$B:$B,2040)) - (SUMIFS(SSP1_Baseline!$E:$E,SSP1_Baseline!$C:$C,Results_list!$C$88,SSP1_Baseline!$D:$D,Results_list!$D94,SSP1_Baseline!$B:$B,2025))) / (SUMIFS(SSP1_Baseline!$E:$E,SSP1_Baseline!$C:$C,Results_list!$C$88,SSP1_Baseline!$D:$D,Results_list!$D94,SSP1_Baseline!$B:$B,2025))</f>
        <v>-7.4219596853658101E-2</v>
      </c>
      <c r="H94" s="16">
        <f>((SUMIFS(SSP1_VSI!$F:$F,SSP1_VSI!$C:$C,Results_list!$C$88,SSP1_VSI!$D:$D,Results_list!$D94,SSP1_VSI!$B:$B,2040)) - (SUMIFS(SSP1_VSI!$F:$F,SSP1_VSI!$C:$C,Results_list!$C$88,SSP1_VSI!$D:$D,Results_list!$D94,SSP1_VSI!$B:$B,2025))) / (SUMIFS(SSP1_VSI!$F:$F,SSP1_VSI!$C:$C,Results_list!$C$88,SSP1_VSI!$D:$D,Results_list!$D94,SSP1_VSI!$B:$B,2025))</f>
        <v>-7.5351002685930688E-2</v>
      </c>
      <c r="I94" s="13">
        <f t="shared" si="12"/>
        <v>-1E-3</v>
      </c>
      <c r="J94" s="12">
        <f>((SUMIFS(SSP2_Baseline!$E:$E,SSP2_Baseline!$C:$C,Results_list!$C$88,SSP2_Baseline!$D:$D,Results_list!$D94,SSP2_Baseline!$B:$B,2040)) - (SUMIFS(SSP2_Baseline!$E:$E,SSP2_Baseline!$C:$C,Results_list!$C$88,SSP2_Baseline!$D:$D,Results_list!$D94,SSP2_Baseline!$B:$B,2025))) / (SUMIFS(SSP2_Baseline!$E:$E,SSP2_Baseline!$C:$C,Results_list!$C$88,SSP2_Baseline!$D:$D,Results_list!$D94,SSP2_Baseline!$B:$B,2025))</f>
        <v>-6.0147190430606366E-2</v>
      </c>
      <c r="K94" s="16">
        <f>((SUMIFS(SSP2_VSI!$F:$F,SSP2_VSI!$C:$C,Results_list!$C$88,SSP2_VSI!$D:$D,Results_list!$D94,SSP2_VSI!$B:$B,2040)) - (SUMIFS(SSP2_VSI!$F:$F,SSP2_VSI!$C:$C,Results_list!$C$88,SSP2_VSI!$D:$D,Results_list!$D94,SSP2_VSI!$B:$B,2025))) / (SUMIFS(SSP2_VSI!$F:$F,SSP2_VSI!$C:$C,Results_list!$C$88,SSP2_VSI!$D:$D,Results_list!$D94,SSP2_VSI!$B:$B,2025))</f>
        <v>-6.1275749249950794E-2</v>
      </c>
      <c r="L94" s="13">
        <f t="shared" si="13"/>
        <v>0</v>
      </c>
      <c r="M94" s="12">
        <f>((SUMIFS(SSP5_Baseline!$E:$E,SSP5_Baseline!$C:$C,Results_list!$C$88,SSP5_Baseline!$D:$D,Results_list!$D94,SSP5_Baseline!$B:$B,2040)) - (SUMIFS(SSP5_Baseline!$E:$E,SSP5_Baseline!$C:$C,Results_list!$C$88,SSP5_Baseline!$D:$D,Results_list!$D94,SSP5_Baseline!$B:$B,2025))) / (SUMIFS(SSP5_Baseline!$E:$E,SSP5_Baseline!$C:$C,Results_list!$C$88,SSP5_Baseline!$D:$D,Results_list!$D94,SSP5_Baseline!$B:$B,2025))</f>
        <v>-5.2969202189236224E-2</v>
      </c>
      <c r="N94" s="16">
        <f>((SUMIFS(SSP5_VSI!$F:$F,SSP5_VSI!$C:$C,Results_list!$C$88,SSP5_VSI!$D:$D,Results_list!$D94,SSP5_VSI!$B:$B,2040)) - (SUMIFS(SSP5_VSI!$F:$F,SSP5_VSI!$C:$C,Results_list!$C$88,SSP5_VSI!$D:$D,Results_list!$D94,SSP5_VSI!$B:$B,2025))) / (SUMIFS(SSP5_VSI!$F:$F,SSP5_VSI!$C:$C,Results_list!$C$88,SSP5_VSI!$D:$D,Results_list!$D94,SSP5_VSI!$B:$B,2025))</f>
        <v>-5.4168165562460478E-2</v>
      </c>
      <c r="O94" s="13">
        <f t="shared" si="14"/>
        <v>0</v>
      </c>
    </row>
    <row r="95" spans="2:15" x14ac:dyDescent="0.35">
      <c r="B95" s="89"/>
      <c r="C95" s="89"/>
      <c r="D95" s="22" t="s">
        <v>46</v>
      </c>
      <c r="F95" s="3" t="s">
        <v>94</v>
      </c>
      <c r="G95" s="12">
        <f>((SUMIFS(SSP1_Baseline!$E:$E,SSP1_Baseline!$C:$C,Results_list!$C$88,SSP1_Baseline!$D:$D,Results_list!$D95,SSP1_Baseline!$B:$B,2040)) - (SUMIFS(SSP1_Baseline!$E:$E,SSP1_Baseline!$C:$C,Results_list!$C$88,SSP1_Baseline!$D:$D,Results_list!$D95,SSP1_Baseline!$B:$B,2025))) / (SUMIFS(SSP1_Baseline!$E:$E,SSP1_Baseline!$C:$C,Results_list!$C$88,SSP1_Baseline!$D:$D,Results_list!$D95,SSP1_Baseline!$B:$B,2025))</f>
        <v>1.5138976744529831</v>
      </c>
      <c r="H95" s="16">
        <f>((SUMIFS(SSP1_VSI!$F:$F,SSP1_VSI!$C:$C,Results_list!$C$88,SSP1_VSI!$D:$D,Results_list!$D95,SSP1_VSI!$B:$B,2040)) - (SUMIFS(SSP1_VSI!$F:$F,SSP1_VSI!$C:$C,Results_list!$C$88,SSP1_VSI!$D:$D,Results_list!$D95,SSP1_VSI!$B:$B,2025))) / (SUMIFS(SSP1_VSI!$F:$F,SSP1_VSI!$C:$C,Results_list!$C$88,SSP1_VSI!$D:$D,Results_list!$D95,SSP1_VSI!$B:$B,2025))</f>
        <v>1.5138958858704639</v>
      </c>
      <c r="I95" s="13">
        <f t="shared" si="12"/>
        <v>0</v>
      </c>
      <c r="J95" s="12">
        <f>((SUMIFS(SSP2_Baseline!$E:$E,SSP2_Baseline!$C:$C,Results_list!$C$88,SSP2_Baseline!$D:$D,Results_list!$D95,SSP2_Baseline!$B:$B,2040)) - (SUMIFS(SSP2_Baseline!$E:$E,SSP2_Baseline!$C:$C,Results_list!$C$88,SSP2_Baseline!$D:$D,Results_list!$D95,SSP2_Baseline!$B:$B,2025))) / (SUMIFS(SSP2_Baseline!$E:$E,SSP2_Baseline!$C:$C,Results_list!$C$88,SSP2_Baseline!$D:$D,Results_list!$D95,SSP2_Baseline!$B:$B,2025))</f>
        <v>4.7331358290266019</v>
      </c>
      <c r="K95" s="16">
        <f>((SUMIFS(SSP2_VSI!$F:$F,SSP2_VSI!$C:$C,Results_list!$C$88,SSP2_VSI!$D:$D,Results_list!$D95,SSP2_VSI!$B:$B,2040)) - (SUMIFS(SSP2_VSI!$F:$F,SSP2_VSI!$C:$C,Results_list!$C$88,SSP2_VSI!$D:$D,Results_list!$D95,SSP2_VSI!$B:$B,2025))) / (SUMIFS(SSP2_VSI!$F:$F,SSP2_VSI!$C:$C,Results_list!$C$88,SSP2_VSI!$D:$D,Results_list!$D95,SSP2_VSI!$B:$B,2025))</f>
        <v>4.7329711973566919</v>
      </c>
      <c r="L95" s="13">
        <f t="shared" si="13"/>
        <v>0</v>
      </c>
      <c r="M95" s="12">
        <f>((SUMIFS(SSP5_Baseline!$E:$E,SSP5_Baseline!$C:$C,Results_list!$C$88,SSP5_Baseline!$D:$D,Results_list!$D95,SSP5_Baseline!$B:$B,2040)) - (SUMIFS(SSP5_Baseline!$E:$E,SSP5_Baseline!$C:$C,Results_list!$C$88,SSP5_Baseline!$D:$D,Results_list!$D95,SSP5_Baseline!$B:$B,2025))) / (SUMIFS(SSP5_Baseline!$E:$E,SSP5_Baseline!$C:$C,Results_list!$C$88,SSP5_Baseline!$D:$D,Results_list!$D95,SSP5_Baseline!$B:$B,2025))</f>
        <v>2.9973899722501476</v>
      </c>
      <c r="N95" s="16">
        <f>((SUMIFS(SSP5_VSI!$F:$F,SSP5_VSI!$C:$C,Results_list!$C$88,SSP5_VSI!$D:$D,Results_list!$D95,SSP5_VSI!$B:$B,2040)) - (SUMIFS(SSP5_VSI!$F:$F,SSP5_VSI!$C:$C,Results_list!$C$88,SSP5_VSI!$D:$D,Results_list!$D95,SSP5_VSI!$B:$B,2025))) / (SUMIFS(SSP5_VSI!$F:$F,SSP5_VSI!$C:$C,Results_list!$C$88,SSP5_VSI!$D:$D,Results_list!$D95,SSP5_VSI!$B:$B,2025))</f>
        <v>2.9973068681118002</v>
      </c>
      <c r="O95" s="13">
        <f t="shared" si="14"/>
        <v>0</v>
      </c>
    </row>
    <row r="96" spans="2:15" x14ac:dyDescent="0.35">
      <c r="B96" s="89"/>
      <c r="C96" s="89"/>
      <c r="D96" s="22" t="s">
        <v>47</v>
      </c>
      <c r="F96" s="3" t="s">
        <v>95</v>
      </c>
      <c r="G96" s="12">
        <f>((SUMIFS(SSP1_Baseline!$E:$E,SSP1_Baseline!$C:$C,Results_list!$C$88,SSP1_Baseline!$D:$D,Results_list!$D96,SSP1_Baseline!$B:$B,2040)) - (SUMIFS(SSP1_Baseline!$E:$E,SSP1_Baseline!$C:$C,Results_list!$C$88,SSP1_Baseline!$D:$D,Results_list!$D96,SSP1_Baseline!$B:$B,2025))) / (SUMIFS(SSP1_Baseline!$E:$E,SSP1_Baseline!$C:$C,Results_list!$C$88,SSP1_Baseline!$D:$D,Results_list!$D96,SSP1_Baseline!$B:$B,2025))</f>
        <v>4.8814616386545521E-3</v>
      </c>
      <c r="H96" s="16">
        <f>((SUMIFS(SSP1_VSI!$F:$F,SSP1_VSI!$C:$C,Results_list!$C$88,SSP1_VSI!$D:$D,Results_list!$D96,SSP1_VSI!$B:$B,2040)) - (SUMIFS(SSP1_VSI!$F:$F,SSP1_VSI!$C:$C,Results_list!$C$88,SSP1_VSI!$D:$D,Results_list!$D96,SSP1_VSI!$B:$B,2025))) / (SUMIFS(SSP1_VSI!$F:$F,SSP1_VSI!$C:$C,Results_list!$C$88,SSP1_VSI!$D:$D,Results_list!$D96,SSP1_VSI!$B:$B,2025))</f>
        <v>4.8897220235159505E-3</v>
      </c>
      <c r="I96" s="13">
        <f t="shared" si="12"/>
        <v>0</v>
      </c>
      <c r="J96" s="12">
        <f>((SUMIFS(SSP2_Baseline!$E:$E,SSP2_Baseline!$C:$C,Results_list!$C$88,SSP2_Baseline!$D:$D,Results_list!$D96,SSP2_Baseline!$B:$B,2040)) - (SUMIFS(SSP2_Baseline!$E:$E,SSP2_Baseline!$C:$C,Results_list!$C$88,SSP2_Baseline!$D:$D,Results_list!$D96,SSP2_Baseline!$B:$B,2025))) / (SUMIFS(SSP2_Baseline!$E:$E,SSP2_Baseline!$C:$C,Results_list!$C$88,SSP2_Baseline!$D:$D,Results_list!$D96,SSP2_Baseline!$B:$B,2025))</f>
        <v>6.6508762128856216E-2</v>
      </c>
      <c r="K96" s="16">
        <f>((SUMIFS(SSP2_VSI!$F:$F,SSP2_VSI!$C:$C,Results_list!$C$88,SSP2_VSI!$D:$D,Results_list!$D96,SSP2_VSI!$B:$B,2040)) - (SUMIFS(SSP2_VSI!$F:$F,SSP2_VSI!$C:$C,Results_list!$C$88,SSP2_VSI!$D:$D,Results_list!$D96,SSP2_VSI!$B:$B,2025))) / (SUMIFS(SSP2_VSI!$F:$F,SSP2_VSI!$C:$C,Results_list!$C$88,SSP2_VSI!$D:$D,Results_list!$D96,SSP2_VSI!$B:$B,2025))</f>
        <v>6.6509808021937317E-2</v>
      </c>
      <c r="L96" s="13">
        <f t="shared" si="13"/>
        <v>0</v>
      </c>
      <c r="M96" s="12">
        <f>((SUMIFS(SSP5_Baseline!$E:$E,SSP5_Baseline!$C:$C,Results_list!$C$88,SSP5_Baseline!$D:$D,Results_list!$D96,SSP5_Baseline!$B:$B,2040)) - (SUMIFS(SSP5_Baseline!$E:$E,SSP5_Baseline!$C:$C,Results_list!$C$88,SSP5_Baseline!$D:$D,Results_list!$D96,SSP5_Baseline!$B:$B,2025))) / (SUMIFS(SSP5_Baseline!$E:$E,SSP5_Baseline!$C:$C,Results_list!$C$88,SSP5_Baseline!$D:$D,Results_list!$D96,SSP5_Baseline!$B:$B,2025))</f>
        <v>2.7167239910394249E-2</v>
      </c>
      <c r="N96" s="16">
        <f>((SUMIFS(SSP5_VSI!$F:$F,SSP5_VSI!$C:$C,Results_list!$C$88,SSP5_VSI!$D:$D,Results_list!$D96,SSP5_VSI!$B:$B,2040)) - (SUMIFS(SSP5_VSI!$F:$F,SSP5_VSI!$C:$C,Results_list!$C$88,SSP5_VSI!$D:$D,Results_list!$D96,SSP5_VSI!$B:$B,2025))) / (SUMIFS(SSP5_VSI!$F:$F,SSP5_VSI!$C:$C,Results_list!$C$88,SSP5_VSI!$D:$D,Results_list!$D96,SSP5_VSI!$B:$B,2025))</f>
        <v>2.7215828885381918E-2</v>
      </c>
      <c r="O96" s="13">
        <f t="shared" si="14"/>
        <v>0</v>
      </c>
    </row>
    <row r="97" spans="2:15" x14ac:dyDescent="0.35">
      <c r="B97" s="89"/>
      <c r="C97" s="89"/>
      <c r="D97" s="22" t="s">
        <v>48</v>
      </c>
      <c r="F97" s="3" t="s">
        <v>96</v>
      </c>
      <c r="G97" s="12">
        <f>((SUMIFS(SSP1_Baseline!$E:$E,SSP1_Baseline!$C:$C,Results_list!$C$88,SSP1_Baseline!$D:$D,Results_list!$D97,SSP1_Baseline!$B:$B,2040)) - (SUMIFS(SSP1_Baseline!$E:$E,SSP1_Baseline!$C:$C,Results_list!$C$88,SSP1_Baseline!$D:$D,Results_list!$D97,SSP1_Baseline!$B:$B,2025))) / (SUMIFS(SSP1_Baseline!$E:$E,SSP1_Baseline!$C:$C,Results_list!$C$88,SSP1_Baseline!$D:$D,Results_list!$D97,SSP1_Baseline!$B:$B,2025))</f>
        <v>5.6109135958218477E-4</v>
      </c>
      <c r="H97" s="16">
        <f>((SUMIFS(SSP1_VSI!$F:$F,SSP1_VSI!$C:$C,Results_list!$C$88,SSP1_VSI!$D:$D,Results_list!$D97,SSP1_VSI!$B:$B,2040)) - (SUMIFS(SSP1_VSI!$F:$F,SSP1_VSI!$C:$C,Results_list!$C$88,SSP1_VSI!$D:$D,Results_list!$D97,SSP1_VSI!$B:$B,2025))) / (SUMIFS(SSP1_VSI!$F:$F,SSP1_VSI!$C:$C,Results_list!$C$88,SSP1_VSI!$D:$D,Results_list!$D97,SSP1_VSI!$B:$B,2025))</f>
        <v>5.6115726035336306E-4</v>
      </c>
      <c r="I97" s="13">
        <f t="shared" si="12"/>
        <v>0</v>
      </c>
      <c r="J97" s="12">
        <f>((SUMIFS(SSP2_Baseline!$E:$E,SSP2_Baseline!$C:$C,Results_list!$C$88,SSP2_Baseline!$D:$D,Results_list!$D97,SSP2_Baseline!$B:$B,2040)) - (SUMIFS(SSP2_Baseline!$E:$E,SSP2_Baseline!$C:$C,Results_list!$C$88,SSP2_Baseline!$D:$D,Results_list!$D97,SSP2_Baseline!$B:$B,2025))) / (SUMIFS(SSP2_Baseline!$E:$E,SSP2_Baseline!$C:$C,Results_list!$C$88,SSP2_Baseline!$D:$D,Results_list!$D97,SSP2_Baseline!$B:$B,2025))</f>
        <v>5.6518773648807786E-4</v>
      </c>
      <c r="K97" s="16">
        <f>((SUMIFS(SSP2_VSI!$F:$F,SSP2_VSI!$C:$C,Results_list!$C$88,SSP2_VSI!$D:$D,Results_list!$D97,SSP2_VSI!$B:$B,2040)) - (SUMIFS(SSP2_VSI!$F:$F,SSP2_VSI!$C:$C,Results_list!$C$88,SSP2_VSI!$D:$D,Results_list!$D97,SSP2_VSI!$B:$B,2025))) / (SUMIFS(SSP2_VSI!$F:$F,SSP2_VSI!$C:$C,Results_list!$C$88,SSP2_VSI!$D:$D,Results_list!$D97,SSP2_VSI!$B:$B,2025))</f>
        <v>5.6522417581104792E-4</v>
      </c>
      <c r="L97" s="13">
        <f t="shared" si="13"/>
        <v>0</v>
      </c>
      <c r="M97" s="12">
        <f>((SUMIFS(SSP5_Baseline!$E:$E,SSP5_Baseline!$C:$C,Results_list!$C$88,SSP5_Baseline!$D:$D,Results_list!$D97,SSP5_Baseline!$B:$B,2040)) - (SUMIFS(SSP5_Baseline!$E:$E,SSP5_Baseline!$C:$C,Results_list!$C$88,SSP5_Baseline!$D:$D,Results_list!$D97,SSP5_Baseline!$B:$B,2025))) / (SUMIFS(SSP5_Baseline!$E:$E,SSP5_Baseline!$C:$C,Results_list!$C$88,SSP5_Baseline!$D:$D,Results_list!$D97,SSP5_Baseline!$B:$B,2025))</f>
        <v>4.5919990312851027E-4</v>
      </c>
      <c r="N97" s="16">
        <f>((SUMIFS(SSP5_VSI!$F:$F,SSP5_VSI!$C:$C,Results_list!$C$88,SSP5_VSI!$D:$D,Results_list!$D97,SSP5_VSI!$B:$B,2040)) - (SUMIFS(SSP5_VSI!$F:$F,SSP5_VSI!$C:$C,Results_list!$C$88,SSP5_VSI!$D:$D,Results_list!$D97,SSP5_VSI!$B:$B,2025))) / (SUMIFS(SSP5_VSI!$F:$F,SSP5_VSI!$C:$C,Results_list!$C$88,SSP5_VSI!$D:$D,Results_list!$D97,SSP5_VSI!$B:$B,2025))</f>
        <v>4.593073477402602E-4</v>
      </c>
      <c r="O97" s="13">
        <f t="shared" si="14"/>
        <v>0</v>
      </c>
    </row>
    <row r="98" spans="2:15" x14ac:dyDescent="0.35">
      <c r="B98" s="89"/>
      <c r="C98" s="89"/>
      <c r="D98" s="22" t="s">
        <v>49</v>
      </c>
      <c r="F98" s="3" t="s">
        <v>97</v>
      </c>
      <c r="G98" s="12">
        <f>((SUMIFS(SSP1_Baseline!$E:$E,SSP1_Baseline!$C:$C,Results_list!$C$88,SSP1_Baseline!$D:$D,Results_list!$D98,SSP1_Baseline!$B:$B,2040)) - (SUMIFS(SSP1_Baseline!$E:$E,SSP1_Baseline!$C:$C,Results_list!$C$88,SSP1_Baseline!$D:$D,Results_list!$D98,SSP1_Baseline!$B:$B,2025))) / (SUMIFS(SSP1_Baseline!$E:$E,SSP1_Baseline!$C:$C,Results_list!$C$88,SSP1_Baseline!$D:$D,Results_list!$D98,SSP1_Baseline!$B:$B,2025))</f>
        <v>-3.6211746943439559E-2</v>
      </c>
      <c r="H98" s="16">
        <f>((SUMIFS(SSP1_VSI!$F:$F,SSP1_VSI!$C:$C,Results_list!$C$88,SSP1_VSI!$D:$D,Results_list!$D98,SSP1_VSI!$B:$B,2040)) - (SUMIFS(SSP1_VSI!$F:$F,SSP1_VSI!$C:$C,Results_list!$C$88,SSP1_VSI!$D:$D,Results_list!$D98,SSP1_VSI!$B:$B,2025))) / (SUMIFS(SSP1_VSI!$F:$F,SSP1_VSI!$C:$C,Results_list!$C$88,SSP1_VSI!$D:$D,Results_list!$D98,SSP1_VSI!$B:$B,2025))</f>
        <v>-3.8978774152365281E-2</v>
      </c>
      <c r="I98" s="13">
        <f t="shared" si="12"/>
        <v>-3.0000000000000001E-3</v>
      </c>
      <c r="J98" s="12">
        <f>((SUMIFS(SSP2_Baseline!$E:$E,SSP2_Baseline!$C:$C,Results_list!$C$88,SSP2_Baseline!$D:$D,Results_list!$D98,SSP2_Baseline!$B:$B,2040)) - (SUMIFS(SSP2_Baseline!$E:$E,SSP2_Baseline!$C:$C,Results_list!$C$88,SSP2_Baseline!$D:$D,Results_list!$D98,SSP2_Baseline!$B:$B,2025))) / (SUMIFS(SSP2_Baseline!$E:$E,SSP2_Baseline!$C:$C,Results_list!$C$88,SSP2_Baseline!$D:$D,Results_list!$D98,SSP2_Baseline!$B:$B,2025))</f>
        <v>8.1489684503098514E-3</v>
      </c>
      <c r="K98" s="16">
        <f>((SUMIFS(SSP2_VSI!$F:$F,SSP2_VSI!$C:$C,Results_list!$C$88,SSP2_VSI!$D:$D,Results_list!$D98,SSP2_VSI!$B:$B,2040)) - (SUMIFS(SSP2_VSI!$F:$F,SSP2_VSI!$C:$C,Results_list!$C$88,SSP2_VSI!$D:$D,Results_list!$D98,SSP2_VSI!$B:$B,2025))) / (SUMIFS(SSP2_VSI!$F:$F,SSP2_VSI!$C:$C,Results_list!$C$88,SSP2_VSI!$D:$D,Results_list!$D98,SSP2_VSI!$B:$B,2025))</f>
        <v>5.2158951729635019E-3</v>
      </c>
      <c r="L98" s="13">
        <f t="shared" si="13"/>
        <v>0</v>
      </c>
      <c r="M98" s="12">
        <f>((SUMIFS(SSP5_Baseline!$E:$E,SSP5_Baseline!$C:$C,Results_list!$C$88,SSP5_Baseline!$D:$D,Results_list!$D98,SSP5_Baseline!$B:$B,2040)) - (SUMIFS(SSP5_Baseline!$E:$E,SSP5_Baseline!$C:$C,Results_list!$C$88,SSP5_Baseline!$D:$D,Results_list!$D98,SSP5_Baseline!$B:$B,2025))) / (SUMIFS(SSP5_Baseline!$E:$E,SSP5_Baseline!$C:$C,Results_list!$C$88,SSP5_Baseline!$D:$D,Results_list!$D98,SSP5_Baseline!$B:$B,2025))</f>
        <v>9.7395024891607559E-3</v>
      </c>
      <c r="N98" s="16">
        <f>((SUMIFS(SSP5_VSI!$F:$F,SSP5_VSI!$C:$C,Results_list!$C$88,SSP5_VSI!$D:$D,Results_list!$D98,SSP5_VSI!$B:$B,2040)) - (SUMIFS(SSP5_VSI!$F:$F,SSP5_VSI!$C:$C,Results_list!$C$88,SSP5_VSI!$D:$D,Results_list!$D98,SSP5_VSI!$B:$B,2025))) / (SUMIFS(SSP5_VSI!$F:$F,SSP5_VSI!$C:$C,Results_list!$C$88,SSP5_VSI!$D:$D,Results_list!$D98,SSP5_VSI!$B:$B,2025))</f>
        <v>6.8162063727081725E-3</v>
      </c>
      <c r="O98" s="13">
        <f t="shared" si="14"/>
        <v>0</v>
      </c>
    </row>
    <row r="99" spans="2:15" x14ac:dyDescent="0.35">
      <c r="B99" s="89"/>
      <c r="C99" s="89"/>
      <c r="D99" s="22" t="s">
        <v>50</v>
      </c>
      <c r="F99" s="3" t="s">
        <v>98</v>
      </c>
      <c r="G99" s="12">
        <f>((SUMIFS(SSP1_Baseline!$E:$E,SSP1_Baseline!$C:$C,Results_list!$C$88,SSP1_Baseline!$D:$D,Results_list!$D99,SSP1_Baseline!$B:$B,2040)) - (SUMIFS(SSP1_Baseline!$E:$E,SSP1_Baseline!$C:$C,Results_list!$C$88,SSP1_Baseline!$D:$D,Results_list!$D99,SSP1_Baseline!$B:$B,2025))) / (SUMIFS(SSP1_Baseline!$E:$E,SSP1_Baseline!$C:$C,Results_list!$C$88,SSP1_Baseline!$D:$D,Results_list!$D99,SSP1_Baseline!$B:$B,2025))</f>
        <v>-5.1111070040778639E-2</v>
      </c>
      <c r="H99" s="16">
        <f>((SUMIFS(SSP1_VSI!$F:$F,SSP1_VSI!$C:$C,Results_list!$C$88,SSP1_VSI!$D:$D,Results_list!$D99,SSP1_VSI!$B:$B,2040)) - (SUMIFS(SSP1_VSI!$F:$F,SSP1_VSI!$C:$C,Results_list!$C$88,SSP1_VSI!$D:$D,Results_list!$D99,SSP1_VSI!$B:$B,2025))) / (SUMIFS(SSP1_VSI!$F:$F,SSP1_VSI!$C:$C,Results_list!$C$88,SSP1_VSI!$D:$D,Results_list!$D99,SSP1_VSI!$B:$B,2025))</f>
        <v>-5.1113750642247213E-2</v>
      </c>
      <c r="I99" s="13">
        <f t="shared" si="12"/>
        <v>0</v>
      </c>
      <c r="J99" s="12">
        <f>((SUMIFS(SSP2_Baseline!$E:$E,SSP2_Baseline!$C:$C,Results_list!$C$88,SSP2_Baseline!$D:$D,Results_list!$D99,SSP2_Baseline!$B:$B,2040)) - (SUMIFS(SSP2_Baseline!$E:$E,SSP2_Baseline!$C:$C,Results_list!$C$88,SSP2_Baseline!$D:$D,Results_list!$D99,SSP2_Baseline!$B:$B,2025))) / (SUMIFS(SSP2_Baseline!$E:$E,SSP2_Baseline!$C:$C,Results_list!$C$88,SSP2_Baseline!$D:$D,Results_list!$D99,SSP2_Baseline!$B:$B,2025))</f>
        <v>7.6565859214751703E-2</v>
      </c>
      <c r="K99" s="16">
        <f>((SUMIFS(SSP2_VSI!$F:$F,SSP2_VSI!$C:$C,Results_list!$C$88,SSP2_VSI!$D:$D,Results_list!$D99,SSP2_VSI!$B:$B,2040)) - (SUMIFS(SSP2_VSI!$F:$F,SSP2_VSI!$C:$C,Results_list!$C$88,SSP2_VSI!$D:$D,Results_list!$D99,SSP2_VSI!$B:$B,2025))) / (SUMIFS(SSP2_VSI!$F:$F,SSP2_VSI!$C:$C,Results_list!$C$88,SSP2_VSI!$D:$D,Results_list!$D99,SSP2_VSI!$B:$B,2025))</f>
        <v>7.6566240348423395E-2</v>
      </c>
      <c r="L99" s="13">
        <f t="shared" si="13"/>
        <v>0</v>
      </c>
      <c r="M99" s="12">
        <f>((SUMIFS(SSP5_Baseline!$E:$E,SSP5_Baseline!$C:$C,Results_list!$C$88,SSP5_Baseline!$D:$D,Results_list!$D99,SSP5_Baseline!$B:$B,2040)) - (SUMIFS(SSP5_Baseline!$E:$E,SSP5_Baseline!$C:$C,Results_list!$C$88,SSP5_Baseline!$D:$D,Results_list!$D99,SSP5_Baseline!$B:$B,2025))) / (SUMIFS(SSP5_Baseline!$E:$E,SSP5_Baseline!$C:$C,Results_list!$C$88,SSP5_Baseline!$D:$D,Results_list!$D99,SSP5_Baseline!$B:$B,2025))</f>
        <v>0.11141995764977231</v>
      </c>
      <c r="N99" s="16">
        <f>((SUMIFS(SSP5_VSI!$F:$F,SSP5_VSI!$C:$C,Results_list!$C$88,SSP5_VSI!$D:$D,Results_list!$D99,SSP5_VSI!$B:$B,2040)) - (SUMIFS(SSP5_VSI!$F:$F,SSP5_VSI!$C:$C,Results_list!$C$88,SSP5_VSI!$D:$D,Results_list!$D99,SSP5_VSI!$B:$B,2025))) / (SUMIFS(SSP5_VSI!$F:$F,SSP5_VSI!$C:$C,Results_list!$C$88,SSP5_VSI!$D:$D,Results_list!$D99,SSP5_VSI!$B:$B,2025))</f>
        <v>0.11142449839571204</v>
      </c>
      <c r="O99" s="13">
        <f t="shared" si="14"/>
        <v>0</v>
      </c>
    </row>
    <row r="100" spans="2:15" x14ac:dyDescent="0.35">
      <c r="B100" s="89"/>
      <c r="C100" s="89"/>
      <c r="D100" s="22" t="s">
        <v>51</v>
      </c>
      <c r="F100" s="3" t="s">
        <v>99</v>
      </c>
      <c r="G100" s="12">
        <f>((SUMIFS(SSP1_Baseline!$E:$E,SSP1_Baseline!$C:$C,Results_list!$C$88,SSP1_Baseline!$D:$D,Results_list!$D100,SSP1_Baseline!$B:$B,2040)) - (SUMIFS(SSP1_Baseline!$E:$E,SSP1_Baseline!$C:$C,Results_list!$C$88,SSP1_Baseline!$D:$D,Results_list!$D100,SSP1_Baseline!$B:$B,2025))) / (SUMIFS(SSP1_Baseline!$E:$E,SSP1_Baseline!$C:$C,Results_list!$C$88,SSP1_Baseline!$D:$D,Results_list!$D100,SSP1_Baseline!$B:$B,2025))</f>
        <v>7.5749390329514374E-2</v>
      </c>
      <c r="H100" s="16">
        <f>((SUMIFS(SSP1_VSI!$F:$F,SSP1_VSI!$C:$C,Results_list!$C$88,SSP1_VSI!$D:$D,Results_list!$D100,SSP1_VSI!$B:$B,2040)) - (SUMIFS(SSP1_VSI!$F:$F,SSP1_VSI!$C:$C,Results_list!$C$88,SSP1_VSI!$D:$D,Results_list!$D100,SSP1_VSI!$B:$B,2025))) / (SUMIFS(SSP1_VSI!$F:$F,SSP1_VSI!$C:$C,Results_list!$C$88,SSP1_VSI!$D:$D,Results_list!$D100,SSP1_VSI!$B:$B,2025))</f>
        <v>7.5745194722871917E-2</v>
      </c>
      <c r="I100" s="13">
        <f t="shared" si="12"/>
        <v>0</v>
      </c>
      <c r="J100" s="12">
        <f>((SUMIFS(SSP2_Baseline!$E:$E,SSP2_Baseline!$C:$C,Results_list!$C$88,SSP2_Baseline!$D:$D,Results_list!$D100,SSP2_Baseline!$B:$B,2040)) - (SUMIFS(SSP2_Baseline!$E:$E,SSP2_Baseline!$C:$C,Results_list!$C$88,SSP2_Baseline!$D:$D,Results_list!$D100,SSP2_Baseline!$B:$B,2025))) / (SUMIFS(SSP2_Baseline!$E:$E,SSP2_Baseline!$C:$C,Results_list!$C$88,SSP2_Baseline!$D:$D,Results_list!$D100,SSP2_Baseline!$B:$B,2025))</f>
        <v>8.6227262675685645E-2</v>
      </c>
      <c r="K100" s="16">
        <f>((SUMIFS(SSP2_VSI!$F:$F,SSP2_VSI!$C:$C,Results_list!$C$88,SSP2_VSI!$D:$D,Results_list!$D100,SSP2_VSI!$B:$B,2040)) - (SUMIFS(SSP2_VSI!$F:$F,SSP2_VSI!$C:$C,Results_list!$C$88,SSP2_VSI!$D:$D,Results_list!$D100,SSP2_VSI!$B:$B,2025))) / (SUMIFS(SSP2_VSI!$F:$F,SSP2_VSI!$C:$C,Results_list!$C$88,SSP2_VSI!$D:$D,Results_list!$D100,SSP2_VSI!$B:$B,2025))</f>
        <v>8.6202174581705371E-2</v>
      </c>
      <c r="L100" s="13">
        <f t="shared" si="13"/>
        <v>0</v>
      </c>
      <c r="M100" s="12">
        <f>((SUMIFS(SSP5_Baseline!$E:$E,SSP5_Baseline!$C:$C,Results_list!$C$88,SSP5_Baseline!$D:$D,Results_list!$D100,SSP5_Baseline!$B:$B,2040)) - (SUMIFS(SSP5_Baseline!$E:$E,SSP5_Baseline!$C:$C,Results_list!$C$88,SSP5_Baseline!$D:$D,Results_list!$D100,SSP5_Baseline!$B:$B,2025))) / (SUMIFS(SSP5_Baseline!$E:$E,SSP5_Baseline!$C:$C,Results_list!$C$88,SSP5_Baseline!$D:$D,Results_list!$D100,SSP5_Baseline!$B:$B,2025))</f>
        <v>8.1452716951976138E-3</v>
      </c>
      <c r="N100" s="16">
        <f>((SUMIFS(SSP5_VSI!$F:$F,SSP5_VSI!$C:$C,Results_list!$C$88,SSP5_VSI!$D:$D,Results_list!$D100,SSP5_VSI!$B:$B,2040)) - (SUMIFS(SSP5_VSI!$F:$F,SSP5_VSI!$C:$C,Results_list!$C$88,SSP5_VSI!$D:$D,Results_list!$D100,SSP5_VSI!$B:$B,2025))) / (SUMIFS(SSP5_VSI!$F:$F,SSP5_VSI!$C:$C,Results_list!$C$88,SSP5_VSI!$D:$D,Results_list!$D100,SSP5_VSI!$B:$B,2025))</f>
        <v>8.1546647744381532E-3</v>
      </c>
      <c r="O100" s="13">
        <f t="shared" si="14"/>
        <v>0</v>
      </c>
    </row>
    <row r="101" spans="2:15" x14ac:dyDescent="0.35">
      <c r="B101" s="89"/>
      <c r="C101" s="89"/>
      <c r="D101" s="22" t="s">
        <v>52</v>
      </c>
      <c r="F101" s="3" t="s">
        <v>100</v>
      </c>
      <c r="G101" s="12">
        <f>((SUMIFS(SSP1_Baseline!$E:$E,SSP1_Baseline!$C:$C,Results_list!$C$88,SSP1_Baseline!$D:$D,Results_list!$D101,SSP1_Baseline!$B:$B,2040)) - (SUMIFS(SSP1_Baseline!$E:$E,SSP1_Baseline!$C:$C,Results_list!$C$88,SSP1_Baseline!$D:$D,Results_list!$D101,SSP1_Baseline!$B:$B,2025))) / (SUMIFS(SSP1_Baseline!$E:$E,SSP1_Baseline!$C:$C,Results_list!$C$88,SSP1_Baseline!$D:$D,Results_list!$D101,SSP1_Baseline!$B:$B,2025))</f>
        <v>-0.19360959201109337</v>
      </c>
      <c r="H101" s="16">
        <f>((SUMIFS(SSP1_VSI!$F:$F,SSP1_VSI!$C:$C,Results_list!$C$88,SSP1_VSI!$D:$D,Results_list!$D101,SSP1_VSI!$B:$B,2040)) - (SUMIFS(SSP1_VSI!$F:$F,SSP1_VSI!$C:$C,Results_list!$C$88,SSP1_VSI!$D:$D,Results_list!$D101,SSP1_VSI!$B:$B,2025))) / (SUMIFS(SSP1_VSI!$F:$F,SSP1_VSI!$C:$C,Results_list!$C$88,SSP1_VSI!$D:$D,Results_list!$D101,SSP1_VSI!$B:$B,2025))</f>
        <v>-0.19355305864065842</v>
      </c>
      <c r="I101" s="13">
        <f t="shared" si="12"/>
        <v>0</v>
      </c>
      <c r="J101" s="12">
        <f>((SUMIFS(SSP2_Baseline!$E:$E,SSP2_Baseline!$C:$C,Results_list!$C$88,SSP2_Baseline!$D:$D,Results_list!$D101,SSP2_Baseline!$B:$B,2040)) - (SUMIFS(SSP2_Baseline!$E:$E,SSP2_Baseline!$C:$C,Results_list!$C$88,SSP2_Baseline!$D:$D,Results_list!$D101,SSP2_Baseline!$B:$B,2025))) / (SUMIFS(SSP2_Baseline!$E:$E,SSP2_Baseline!$C:$C,Results_list!$C$88,SSP2_Baseline!$D:$D,Results_list!$D101,SSP2_Baseline!$B:$B,2025))</f>
        <v>-0.17218409376115995</v>
      </c>
      <c r="K101" s="16">
        <f>((SUMIFS(SSP2_VSI!$F:$F,SSP2_VSI!$C:$C,Results_list!$C$88,SSP2_VSI!$D:$D,Results_list!$D101,SSP2_VSI!$B:$B,2040)) - (SUMIFS(SSP2_VSI!$F:$F,SSP2_VSI!$C:$C,Results_list!$C$88,SSP2_VSI!$D:$D,Results_list!$D101,SSP2_VSI!$B:$B,2025))) / (SUMIFS(SSP2_VSI!$F:$F,SSP2_VSI!$C:$C,Results_list!$C$88,SSP2_VSI!$D:$D,Results_list!$D101,SSP2_VSI!$B:$B,2025))</f>
        <v>-0.17209164135770899</v>
      </c>
      <c r="L101" s="13">
        <f t="shared" si="13"/>
        <v>0</v>
      </c>
      <c r="M101" s="12">
        <f>((SUMIFS(SSP5_Baseline!$E:$E,SSP5_Baseline!$C:$C,Results_list!$C$88,SSP5_Baseline!$D:$D,Results_list!$D101,SSP5_Baseline!$B:$B,2040)) - (SUMIFS(SSP5_Baseline!$E:$E,SSP5_Baseline!$C:$C,Results_list!$C$88,SSP5_Baseline!$D:$D,Results_list!$D101,SSP5_Baseline!$B:$B,2025))) / (SUMIFS(SSP5_Baseline!$E:$E,SSP5_Baseline!$C:$C,Results_list!$C$88,SSP5_Baseline!$D:$D,Results_list!$D101,SSP5_Baseline!$B:$B,2025))</f>
        <v>-0.18150657871770198</v>
      </c>
      <c r="N101" s="16">
        <f>((SUMIFS(SSP5_VSI!$F:$F,SSP5_VSI!$C:$C,Results_list!$C$88,SSP5_VSI!$D:$D,Results_list!$D101,SSP5_VSI!$B:$B,2040)) - (SUMIFS(SSP5_VSI!$F:$F,SSP5_VSI!$C:$C,Results_list!$C$88,SSP5_VSI!$D:$D,Results_list!$D101,SSP5_VSI!$B:$B,2025))) / (SUMIFS(SSP5_VSI!$F:$F,SSP5_VSI!$C:$C,Results_list!$C$88,SSP5_VSI!$D:$D,Results_list!$D101,SSP5_VSI!$B:$B,2025))</f>
        <v>-0.18143878106461572</v>
      </c>
      <c r="O101" s="13">
        <f t="shared" si="14"/>
        <v>0</v>
      </c>
    </row>
    <row r="102" spans="2:15" x14ac:dyDescent="0.35">
      <c r="B102" s="89"/>
      <c r="C102" s="89"/>
      <c r="D102" s="22" t="s">
        <v>53</v>
      </c>
      <c r="F102" s="3" t="s">
        <v>101</v>
      </c>
      <c r="G102" s="12">
        <f>((SUMIFS(SSP1_Baseline!$E:$E,SSP1_Baseline!$C:$C,Results_list!$C$88,SSP1_Baseline!$D:$D,Results_list!$D102,SSP1_Baseline!$B:$B,2040)) - (SUMIFS(SSP1_Baseline!$E:$E,SSP1_Baseline!$C:$C,Results_list!$C$88,SSP1_Baseline!$D:$D,Results_list!$D102,SSP1_Baseline!$B:$B,2025))) / (SUMIFS(SSP1_Baseline!$E:$E,SSP1_Baseline!$C:$C,Results_list!$C$88,SSP1_Baseline!$D:$D,Results_list!$D102,SSP1_Baseline!$B:$B,2025))</f>
        <v>-0.15144692792546929</v>
      </c>
      <c r="H102" s="16">
        <f>((SUMIFS(SSP1_VSI!$F:$F,SSP1_VSI!$C:$C,Results_list!$C$88,SSP1_VSI!$D:$D,Results_list!$D102,SSP1_VSI!$B:$B,2040)) - (SUMIFS(SSP1_VSI!$F:$F,SSP1_VSI!$C:$C,Results_list!$C$88,SSP1_VSI!$D:$D,Results_list!$D102,SSP1_VSI!$B:$B,2025))) / (SUMIFS(SSP1_VSI!$F:$F,SSP1_VSI!$C:$C,Results_list!$C$88,SSP1_VSI!$D:$D,Results_list!$D102,SSP1_VSI!$B:$B,2025))</f>
        <v>-0.15151029086203979</v>
      </c>
      <c r="I102" s="13">
        <f t="shared" si="12"/>
        <v>0</v>
      </c>
      <c r="J102" s="12">
        <f>((SUMIFS(SSP2_Baseline!$E:$E,SSP2_Baseline!$C:$C,Results_list!$C$88,SSP2_Baseline!$D:$D,Results_list!$D102,SSP2_Baseline!$B:$B,2040)) - (SUMIFS(SSP2_Baseline!$E:$E,SSP2_Baseline!$C:$C,Results_list!$C$88,SSP2_Baseline!$D:$D,Results_list!$D102,SSP2_Baseline!$B:$B,2025))) / (SUMIFS(SSP2_Baseline!$E:$E,SSP2_Baseline!$C:$C,Results_list!$C$88,SSP2_Baseline!$D:$D,Results_list!$D102,SSP2_Baseline!$B:$B,2025))</f>
        <v>-9.3718739312086741E-2</v>
      </c>
      <c r="K102" s="16">
        <f>((SUMIFS(SSP2_VSI!$F:$F,SSP2_VSI!$C:$C,Results_list!$C$88,SSP2_VSI!$D:$D,Results_list!$D102,SSP2_VSI!$B:$B,2040)) - (SUMIFS(SSP2_VSI!$F:$F,SSP2_VSI!$C:$C,Results_list!$C$88,SSP2_VSI!$D:$D,Results_list!$D102,SSP2_VSI!$B:$B,2025))) / (SUMIFS(SSP2_VSI!$F:$F,SSP2_VSI!$C:$C,Results_list!$C$88,SSP2_VSI!$D:$D,Results_list!$D102,SSP2_VSI!$B:$B,2025))</f>
        <v>-9.3696629967749648E-2</v>
      </c>
      <c r="L102" s="13">
        <f t="shared" si="13"/>
        <v>0</v>
      </c>
      <c r="M102" s="12">
        <f>((SUMIFS(SSP5_Baseline!$E:$E,SSP5_Baseline!$C:$C,Results_list!$C$88,SSP5_Baseline!$D:$D,Results_list!$D102,SSP5_Baseline!$B:$B,2040)) - (SUMIFS(SSP5_Baseline!$E:$E,SSP5_Baseline!$C:$C,Results_list!$C$88,SSP5_Baseline!$D:$D,Results_list!$D102,SSP5_Baseline!$B:$B,2025))) / (SUMIFS(SSP5_Baseline!$E:$E,SSP5_Baseline!$C:$C,Results_list!$C$88,SSP5_Baseline!$D:$D,Results_list!$D102,SSP5_Baseline!$B:$B,2025))</f>
        <v>-2.4494732285205378E-2</v>
      </c>
      <c r="N102" s="16">
        <f>((SUMIFS(SSP5_VSI!$F:$F,SSP5_VSI!$C:$C,Results_list!$C$88,SSP5_VSI!$D:$D,Results_list!$D102,SSP5_VSI!$B:$B,2040)) - (SUMIFS(SSP5_VSI!$F:$F,SSP5_VSI!$C:$C,Results_list!$C$88,SSP5_VSI!$D:$D,Results_list!$D102,SSP5_VSI!$B:$B,2025))) / (SUMIFS(SSP5_VSI!$F:$F,SSP5_VSI!$C:$C,Results_list!$C$88,SSP5_VSI!$D:$D,Results_list!$D102,SSP5_VSI!$B:$B,2025))</f>
        <v>-2.446547241134836E-2</v>
      </c>
      <c r="O102" s="13">
        <f t="shared" si="14"/>
        <v>0</v>
      </c>
    </row>
    <row r="103" spans="2:15" x14ac:dyDescent="0.35">
      <c r="B103" s="89"/>
      <c r="C103" s="89"/>
      <c r="D103" s="22" t="s">
        <v>54</v>
      </c>
      <c r="F103" s="3" t="s">
        <v>102</v>
      </c>
      <c r="G103" s="12">
        <f>((SUMIFS(SSP1_Baseline!$E:$E,SSP1_Baseline!$C:$C,Results_list!$C$88,SSP1_Baseline!$D:$D,Results_list!$D103,SSP1_Baseline!$B:$B,2040)) - (SUMIFS(SSP1_Baseline!$E:$E,SSP1_Baseline!$C:$C,Results_list!$C$88,SSP1_Baseline!$D:$D,Results_list!$D103,SSP1_Baseline!$B:$B,2025))) / (SUMIFS(SSP1_Baseline!$E:$E,SSP1_Baseline!$C:$C,Results_list!$C$88,SSP1_Baseline!$D:$D,Results_list!$D103,SSP1_Baseline!$B:$B,2025))</f>
        <v>1.813949126825629E-3</v>
      </c>
      <c r="H103" s="16">
        <f>((SUMIFS(SSP1_VSI!$F:$F,SSP1_VSI!$C:$C,Results_list!$C$88,SSP1_VSI!$D:$D,Results_list!$D103,SSP1_VSI!$B:$B,2040)) - (SUMIFS(SSP1_VSI!$F:$F,SSP1_VSI!$C:$C,Results_list!$C$88,SSP1_VSI!$D:$D,Results_list!$D103,SSP1_VSI!$B:$B,2025))) / (SUMIFS(SSP1_VSI!$F:$F,SSP1_VSI!$C:$C,Results_list!$C$88,SSP1_VSI!$D:$D,Results_list!$D103,SSP1_VSI!$B:$B,2025))</f>
        <v>1.813828902897951E-3</v>
      </c>
      <c r="I103" s="13">
        <f t="shared" si="12"/>
        <v>0</v>
      </c>
      <c r="J103" s="12">
        <f>((SUMIFS(SSP2_Baseline!$E:$E,SSP2_Baseline!$C:$C,Results_list!$C$88,SSP2_Baseline!$D:$D,Results_list!$D103,SSP2_Baseline!$B:$B,2040)) - (SUMIFS(SSP2_Baseline!$E:$E,SSP2_Baseline!$C:$C,Results_list!$C$88,SSP2_Baseline!$D:$D,Results_list!$D103,SSP2_Baseline!$B:$B,2025))) / (SUMIFS(SSP2_Baseline!$E:$E,SSP2_Baseline!$C:$C,Results_list!$C$88,SSP2_Baseline!$D:$D,Results_list!$D103,SSP2_Baseline!$B:$B,2025))</f>
        <v>3.770409835148896E-3</v>
      </c>
      <c r="K103" s="16">
        <f>((SUMIFS(SSP2_VSI!$F:$F,SSP2_VSI!$C:$C,Results_list!$C$88,SSP2_VSI!$D:$D,Results_list!$D103,SSP2_VSI!$B:$B,2040)) - (SUMIFS(SSP2_VSI!$F:$F,SSP2_VSI!$C:$C,Results_list!$C$88,SSP2_VSI!$D:$D,Results_list!$D103,SSP2_VSI!$B:$B,2025))) / (SUMIFS(SSP2_VSI!$F:$F,SSP2_VSI!$C:$C,Results_list!$C$88,SSP2_VSI!$D:$D,Results_list!$D103,SSP2_VSI!$B:$B,2025))</f>
        <v>3.7705828363368389E-3</v>
      </c>
      <c r="L103" s="13">
        <f t="shared" si="13"/>
        <v>0</v>
      </c>
      <c r="M103" s="12">
        <f>((SUMIFS(SSP5_Baseline!$E:$E,SSP5_Baseline!$C:$C,Results_list!$C$88,SSP5_Baseline!$D:$D,Results_list!$D103,SSP5_Baseline!$B:$B,2040)) - (SUMIFS(SSP5_Baseline!$E:$E,SSP5_Baseline!$C:$C,Results_list!$C$88,SSP5_Baseline!$D:$D,Results_list!$D103,SSP5_Baseline!$B:$B,2025))) / (SUMIFS(SSP5_Baseline!$E:$E,SSP5_Baseline!$C:$C,Results_list!$C$88,SSP5_Baseline!$D:$D,Results_list!$D103,SSP5_Baseline!$B:$B,2025))</f>
        <v>2.1652069490994586E-3</v>
      </c>
      <c r="N103" s="16">
        <f>((SUMIFS(SSP5_VSI!$F:$F,SSP5_VSI!$C:$C,Results_list!$C$88,SSP5_VSI!$D:$D,Results_list!$D103,SSP5_VSI!$B:$B,2040)) - (SUMIFS(SSP5_VSI!$F:$F,SSP5_VSI!$C:$C,Results_list!$C$88,SSP5_VSI!$D:$D,Results_list!$D103,SSP5_VSI!$B:$B,2025))) / (SUMIFS(SSP5_VSI!$F:$F,SSP5_VSI!$C:$C,Results_list!$C$88,SSP5_VSI!$D:$D,Results_list!$D103,SSP5_VSI!$B:$B,2025))</f>
        <v>2.1659429833740282E-3</v>
      </c>
      <c r="O103" s="13">
        <f t="shared" si="14"/>
        <v>0</v>
      </c>
    </row>
    <row r="104" spans="2:15" x14ac:dyDescent="0.35">
      <c r="B104" s="89"/>
      <c r="C104" s="89"/>
      <c r="D104" s="22" t="s">
        <v>55</v>
      </c>
      <c r="F104" s="3" t="s">
        <v>103</v>
      </c>
      <c r="G104" s="12">
        <f>((SUMIFS(SSP1_Baseline!$E:$E,SSP1_Baseline!$C:$C,Results_list!$C$88,SSP1_Baseline!$D:$D,Results_list!$D104,SSP1_Baseline!$B:$B,2040)) - (SUMIFS(SSP1_Baseline!$E:$E,SSP1_Baseline!$C:$C,Results_list!$C$88,SSP1_Baseline!$D:$D,Results_list!$D104,SSP1_Baseline!$B:$B,2025))) / (SUMIFS(SSP1_Baseline!$E:$E,SSP1_Baseline!$C:$C,Results_list!$C$88,SSP1_Baseline!$D:$D,Results_list!$D104,SSP1_Baseline!$B:$B,2025))</f>
        <v>1.7270170247975292E-3</v>
      </c>
      <c r="H104" s="16">
        <f>((SUMIFS(SSP1_VSI!$F:$F,SSP1_VSI!$C:$C,Results_list!$C$88,SSP1_VSI!$D:$D,Results_list!$D104,SSP1_VSI!$B:$B,2040)) - (SUMIFS(SSP1_VSI!$F:$F,SSP1_VSI!$C:$C,Results_list!$C$88,SSP1_VSI!$D:$D,Results_list!$D104,SSP1_VSI!$B:$B,2025))) / (SUMIFS(SSP1_VSI!$F:$F,SSP1_VSI!$C:$C,Results_list!$C$88,SSP1_VSI!$D:$D,Results_list!$D104,SSP1_VSI!$B:$B,2025))</f>
        <v>1.7270226285301404E-3</v>
      </c>
      <c r="I104" s="13">
        <f t="shared" si="12"/>
        <v>0</v>
      </c>
      <c r="J104" s="12">
        <f>((SUMIFS(SSP2_Baseline!$E:$E,SSP2_Baseline!$C:$C,Results_list!$C$88,SSP2_Baseline!$D:$D,Results_list!$D104,SSP2_Baseline!$B:$B,2040)) - (SUMIFS(SSP2_Baseline!$E:$E,SSP2_Baseline!$C:$C,Results_list!$C$88,SSP2_Baseline!$D:$D,Results_list!$D104,SSP2_Baseline!$B:$B,2025))) / (SUMIFS(SSP2_Baseline!$E:$E,SSP2_Baseline!$C:$C,Results_list!$C$88,SSP2_Baseline!$D:$D,Results_list!$D104,SSP2_Baseline!$B:$B,2025))</f>
        <v>3.6429170619217822E-3</v>
      </c>
      <c r="K104" s="16">
        <f>((SUMIFS(SSP2_VSI!$F:$F,SSP2_VSI!$C:$C,Results_list!$C$88,SSP2_VSI!$D:$D,Results_list!$D104,SSP2_VSI!$B:$B,2040)) - (SUMIFS(SSP2_VSI!$F:$F,SSP2_VSI!$C:$C,Results_list!$C$88,SSP2_VSI!$D:$D,Results_list!$D104,SSP2_VSI!$B:$B,2025))) / (SUMIFS(SSP2_VSI!$F:$F,SSP2_VSI!$C:$C,Results_list!$C$88,SSP2_VSI!$D:$D,Results_list!$D104,SSP2_VSI!$B:$B,2025))</f>
        <v>3.6429792506665302E-3</v>
      </c>
      <c r="L104" s="13">
        <f t="shared" si="13"/>
        <v>0</v>
      </c>
      <c r="M104" s="12">
        <f>((SUMIFS(SSP5_Baseline!$E:$E,SSP5_Baseline!$C:$C,Results_list!$C$88,SSP5_Baseline!$D:$D,Results_list!$D104,SSP5_Baseline!$B:$B,2040)) - (SUMIFS(SSP5_Baseline!$E:$E,SSP5_Baseline!$C:$C,Results_list!$C$88,SSP5_Baseline!$D:$D,Results_list!$D104,SSP5_Baseline!$B:$B,2025))) / (SUMIFS(SSP5_Baseline!$E:$E,SSP5_Baseline!$C:$C,Results_list!$C$88,SSP5_Baseline!$D:$D,Results_list!$D104,SSP5_Baseline!$B:$B,2025))</f>
        <v>1.9100475449280361E-3</v>
      </c>
      <c r="N104" s="16">
        <f>((SUMIFS(SSP5_VSI!$F:$F,SSP5_VSI!$C:$C,Results_list!$C$88,SSP5_VSI!$D:$D,Results_list!$D104,SSP5_VSI!$B:$B,2040)) - (SUMIFS(SSP5_VSI!$F:$F,SSP5_VSI!$C:$C,Results_list!$C$88,SSP5_VSI!$D:$D,Results_list!$D104,SSP5_VSI!$B:$B,2025))) / (SUMIFS(SSP5_VSI!$F:$F,SSP5_VSI!$C:$C,Results_list!$C$88,SSP5_VSI!$D:$D,Results_list!$D104,SSP5_VSI!$B:$B,2025))</f>
        <v>1.9109968829847698E-3</v>
      </c>
      <c r="O104" s="13">
        <f t="shared" si="14"/>
        <v>0</v>
      </c>
    </row>
    <row r="105" spans="2:15" x14ac:dyDescent="0.35">
      <c r="B105" s="90"/>
      <c r="C105" s="90"/>
      <c r="D105" s="23" t="s">
        <v>56</v>
      </c>
      <c r="F105" s="9" t="s">
        <v>104</v>
      </c>
      <c r="G105" s="14">
        <f>((SUMIFS(SSP1_Baseline!$E:$E,SSP1_Baseline!$C:$C,Results_list!$C$88,SSP1_Baseline!$D:$D,Results_list!$D105,SSP1_Baseline!$B:$B,2040)) - (SUMIFS(SSP1_Baseline!$E:$E,SSP1_Baseline!$C:$C,Results_list!$C$88,SSP1_Baseline!$D:$D,Results_list!$D105,SSP1_Baseline!$B:$B,2025))) / (SUMIFS(SSP1_Baseline!$E:$E,SSP1_Baseline!$C:$C,Results_list!$C$88,SSP1_Baseline!$D:$D,Results_list!$D105,SSP1_Baseline!$B:$B,2025))</f>
        <v>-0.19388895129133427</v>
      </c>
      <c r="H105" s="17">
        <f>((SUMIFS(SSP1_VSI!$F:$F,SSP1_VSI!$C:$C,Results_list!$C$88,SSP1_VSI!$D:$D,Results_list!$D105,SSP1_VSI!$B:$B,2040)) - (SUMIFS(SSP1_VSI!$F:$F,SSP1_VSI!$C:$C,Results_list!$C$88,SSP1_VSI!$D:$D,Results_list!$D105,SSP1_VSI!$B:$B,2025))) / (SUMIFS(SSP1_VSI!$F:$F,SSP1_VSI!$C:$C,Results_list!$C$88,SSP1_VSI!$D:$D,Results_list!$D105,SSP1_VSI!$B:$B,2025))</f>
        <v>-0.19390442950632089</v>
      </c>
      <c r="I105" s="15">
        <f t="shared" si="12"/>
        <v>0</v>
      </c>
      <c r="J105" s="14">
        <f>((SUMIFS(SSP2_Baseline!$E:$E,SSP2_Baseline!$C:$C,Results_list!$C$88,SSP2_Baseline!$D:$D,Results_list!$D105,SSP2_Baseline!$B:$B,2040)) - (SUMIFS(SSP2_Baseline!$E:$E,SSP2_Baseline!$C:$C,Results_list!$C$88,SSP2_Baseline!$D:$D,Results_list!$D105,SSP2_Baseline!$B:$B,2025))) / (SUMIFS(SSP2_Baseline!$E:$E,SSP2_Baseline!$C:$C,Results_list!$C$88,SSP2_Baseline!$D:$D,Results_list!$D105,SSP2_Baseline!$B:$B,2025))</f>
        <v>-0.25045521312334307</v>
      </c>
      <c r="K105" s="17">
        <f>((SUMIFS(SSP2_VSI!$F:$F,SSP2_VSI!$C:$C,Results_list!$C$88,SSP2_VSI!$D:$D,Results_list!$D105,SSP2_VSI!$B:$B,2040)) - (SUMIFS(SSP2_VSI!$F:$F,SSP2_VSI!$C:$C,Results_list!$C$88,SSP2_VSI!$D:$D,Results_list!$D105,SSP2_VSI!$B:$B,2025))) / (SUMIFS(SSP2_VSI!$F:$F,SSP2_VSI!$C:$C,Results_list!$C$88,SSP2_VSI!$D:$D,Results_list!$D105,SSP2_VSI!$B:$B,2025))</f>
        <v>-0.25047263606462722</v>
      </c>
      <c r="L105" s="15">
        <f t="shared" si="13"/>
        <v>0</v>
      </c>
      <c r="M105" s="14">
        <f>((SUMIFS(SSP5_Baseline!$E:$E,SSP5_Baseline!$C:$C,Results_list!$C$88,SSP5_Baseline!$D:$D,Results_list!$D105,SSP5_Baseline!$B:$B,2040)) - (SUMIFS(SSP5_Baseline!$E:$E,SSP5_Baseline!$C:$C,Results_list!$C$88,SSP5_Baseline!$D:$D,Results_list!$D105,SSP5_Baseline!$B:$B,2025))) / (SUMIFS(SSP5_Baseline!$E:$E,SSP5_Baseline!$C:$C,Results_list!$C$88,SSP5_Baseline!$D:$D,Results_list!$D105,SSP5_Baseline!$B:$B,2025))</f>
        <v>-9.5372862298522793E-2</v>
      </c>
      <c r="N105" s="17">
        <f>((SUMIFS(SSP5_VSI!$F:$F,SSP5_VSI!$C:$C,Results_list!$C$88,SSP5_VSI!$D:$D,Results_list!$D105,SSP5_VSI!$B:$B,2040)) - (SUMIFS(SSP5_VSI!$F:$F,SSP5_VSI!$C:$C,Results_list!$C$88,SSP5_VSI!$D:$D,Results_list!$D105,SSP5_VSI!$B:$B,2025))) / (SUMIFS(SSP5_VSI!$F:$F,SSP5_VSI!$C:$C,Results_list!$C$88,SSP5_VSI!$D:$D,Results_list!$D105,SSP5_VSI!$B:$B,2025))</f>
        <v>-9.536464108742447E-2</v>
      </c>
      <c r="O105" s="15">
        <f t="shared" si="14"/>
        <v>0</v>
      </c>
    </row>
    <row r="107" spans="2:15" ht="19" customHeight="1" x14ac:dyDescent="0.35">
      <c r="F107" s="2"/>
      <c r="G107" s="78" t="s">
        <v>3</v>
      </c>
      <c r="H107" s="79"/>
      <c r="I107" s="79"/>
      <c r="J107" s="79"/>
      <c r="K107" s="79"/>
      <c r="L107" s="79"/>
      <c r="M107" s="79"/>
      <c r="N107" s="79"/>
      <c r="O107" s="80"/>
    </row>
    <row r="108" spans="2:15" ht="29" x14ac:dyDescent="0.35">
      <c r="B108" s="8" t="s">
        <v>30</v>
      </c>
      <c r="C108" s="8" t="s">
        <v>30</v>
      </c>
      <c r="D108" s="6" t="s">
        <v>106</v>
      </c>
      <c r="F108" s="7" t="s">
        <v>105</v>
      </c>
      <c r="G108" s="10" t="s">
        <v>0</v>
      </c>
      <c r="H108" s="11" t="s">
        <v>108</v>
      </c>
      <c r="I108" s="18" t="s">
        <v>107</v>
      </c>
      <c r="J108" s="10" t="s">
        <v>1</v>
      </c>
      <c r="K108" s="11" t="s">
        <v>109</v>
      </c>
      <c r="L108" s="18" t="s">
        <v>107</v>
      </c>
      <c r="M108" s="10" t="s">
        <v>2</v>
      </c>
      <c r="N108" s="11" t="s">
        <v>110</v>
      </c>
      <c r="O108" s="18" t="s">
        <v>107</v>
      </c>
    </row>
    <row r="109" spans="2:15" ht="14.5" customHeight="1" x14ac:dyDescent="0.35">
      <c r="B109" s="89" t="s">
        <v>116</v>
      </c>
      <c r="C109" s="89" t="s">
        <v>63</v>
      </c>
      <c r="D109" s="22" t="s">
        <v>38</v>
      </c>
      <c r="F109" s="3" t="s">
        <v>87</v>
      </c>
      <c r="G109" s="12">
        <f>((SUMIFS(SSP1_Baseline!$E:$E,SSP1_Baseline!$C:$C,Results_list!$C$109,SSP1_Baseline!$D:$D,Results_list!$D109,SSP1_Baseline!$B:$B,2040))
- (SUMIFS(SSP1_Baseline!$E:$E,SSP1_Baseline!$C:$C,Results_list!$C$109,SSP1_Baseline!$D:$D,Results_list!$D109,SSP1_Baseline!$B:$B,2025)))
/ (SUMIFS(SSP1_Baseline!$E:$E,SSP1_Baseline!$C:$C,Results_list!$C$109,SSP1_Baseline!$D:$D,Results_list!$D109,SSP1_Baseline!$B:$B,2025))</f>
        <v>-3.3906701266766317E-4</v>
      </c>
      <c r="H109" s="16">
        <f>((SUMIFS(SSP1_VSI!$F:$F,SSP1_VSI!$C:$C,Results_list!$C$109,SSP1_VSI!$D:$D,Results_list!$D109,SSP1_VSI!$B:$B,2040))
- (SUMIFS(SSP1_VSI!$F:$F,SSP1_VSI!$C:$C,Results_list!$C$109,SSP1_VSI!$D:$D,Results_list!$D109,SSP1_VSI!$B:$B,2025)))
/ (SUMIFS(SSP1_VSI!$F:$F,SSP1_VSI!$C:$C,Results_list!$C$109,SSP1_VSI!$D:$D,Results_list!$D109,SSP1_VSI!$B:$B,2025))</f>
        <v>-0.88399656954968553</v>
      </c>
      <c r="I109" s="19">
        <f>ROUND(H109-G109,3)</f>
        <v>-0.88400000000000001</v>
      </c>
      <c r="J109" s="12">
        <f>((SUMIFS(SSP2_Baseline!$E:$E,SSP2_Baseline!$C:$C,Results_list!$C$109,SSP2_Baseline!$D:$D,Results_list!$D109,SSP2_Baseline!$B:$B,2040))
- (SUMIFS(SSP2_Baseline!$E:$E,SSP2_Baseline!$C:$C,Results_list!$C$109,SSP2_Baseline!$D:$D,Results_list!$D109,SSP2_Baseline!$B:$B,2025)))
/ (SUMIFS(SSP2_Baseline!$E:$E,SSP2_Baseline!$C:$C,Results_list!$C$109,SSP2_Baseline!$D:$D,Results_list!$D109,SSP2_Baseline!$B:$B,2025))</f>
        <v>3.8610055664333961E-3</v>
      </c>
      <c r="K109" s="16">
        <f>((SUMIFS(SSP2_VSI!$F:$F,SSP2_VSI!$C:$C,Results_list!$C$109,SSP2_VSI!$D:$D,Results_list!$D109,SSP2_VSI!$B:$B,2040))
- (SUMIFS(SSP2_VSI!$F:$F,SSP2_VSI!$C:$C,Results_list!$C$109,SSP2_VSI!$D:$D,Results_list!$D109,SSP2_VSI!$B:$B,2025)))
/ (SUMIFS(SSP2_VSI!$F:$F,SSP2_VSI!$C:$C,Results_list!$C$109,SSP2_VSI!$D:$D,Results_list!$D109,SSP2_VSI!$B:$B,2025))</f>
        <v>-0.88793958366744719</v>
      </c>
      <c r="L109" s="19">
        <f>ROUND(K109-J109,2)</f>
        <v>-0.89</v>
      </c>
      <c r="M109" s="12">
        <f>((SUMIFS(SSP5_Baseline!$E:$E,SSP5_Baseline!$C:$C,Results_list!$C$109,SSP5_Baseline!$D:$D,Results_list!$D109,SSP5_Baseline!$B:$B,2040))
- (SUMIFS(SSP5_Baseline!$E:$E,SSP5_Baseline!$C:$C,Results_list!$C$109,SSP5_Baseline!$D:$D,Results_list!$D109,SSP5_Baseline!$B:$B,2025)))
/ (SUMIFS(SSP5_Baseline!$E:$E,SSP5_Baseline!$C:$C,Results_list!$C$109,SSP5_Baseline!$D:$D,Results_list!$D109,SSP5_Baseline!$B:$B,2025))</f>
        <v>5.6703685600594644E-3</v>
      </c>
      <c r="N109" s="16">
        <f>((SUMIFS(SSP5_VSI!$F:$F,SSP5_VSI!$C:$C,Results_list!$C$109,SSP5_VSI!$D:$D,Results_list!$D109,SSP5_VSI!$B:$B,2040))
- (SUMIFS(SSP5_VSI!$F:$F,SSP5_VSI!$C:$C,Results_list!$C$109,SSP5_VSI!$D:$D,Results_list!$D109,SSP5_VSI!$B:$B,2025)))
/ (SUMIFS(SSP5_VSI!$F:$F,SSP5_VSI!$C:$C,Results_list!$C$109,SSP5_VSI!$D:$D,Results_list!$D109,SSP5_VSI!$B:$B,2025))</f>
        <v>-0.88660769817512897</v>
      </c>
      <c r="O109" s="19">
        <f>ROUND(N109-M109,2)</f>
        <v>-0.89</v>
      </c>
    </row>
    <row r="110" spans="2:15" x14ac:dyDescent="0.35">
      <c r="B110" s="89"/>
      <c r="C110" s="89"/>
      <c r="D110" s="22" t="s">
        <v>40</v>
      </c>
      <c r="F110" s="3" t="s">
        <v>88</v>
      </c>
      <c r="G110" s="12">
        <f>((SUMIFS(SSP1_Baseline!$E:$E,SSP1_Baseline!$C:$C,Results_list!$C$109,SSP1_Baseline!$D:$D,Results_list!$D110,SSP1_Baseline!$B:$B,2040)) - (SUMIFS(SSP1_Baseline!$E:$E,SSP1_Baseline!$C:$C,Results_list!$C$109,SSP1_Baseline!$D:$D,Results_list!$D110,SSP1_Baseline!$B:$B,2025))) / (SUMIFS(SSP1_Baseline!$E:$E,SSP1_Baseline!$C:$C,Results_list!$C$109,SSP1_Baseline!$D:$D,Results_list!$D110,SSP1_Baseline!$B:$B,2025))</f>
        <v>-2.7762127407385431E-3</v>
      </c>
      <c r="H110" s="16">
        <f>((SUMIFS(SSP1_VSI!$F:$F,SSP1_VSI!$C:$C,Results_list!$C$109,SSP1_VSI!$D:$D,Results_list!$D110,SSP1_VSI!$B:$B,2040)) - (SUMIFS(SSP1_VSI!$F:$F,SSP1_VSI!$C:$C,Results_list!$C$109,SSP1_VSI!$D:$D,Results_list!$D110,SSP1_VSI!$B:$B,2025))) / (SUMIFS(SSP1_VSI!$F:$F,SSP1_VSI!$C:$C,Results_list!$C$109,SSP1_VSI!$D:$D,Results_list!$D110,SSP1_VSI!$B:$B,2025))</f>
        <v>-2.7776381667049782E-3</v>
      </c>
      <c r="I110" s="13">
        <f t="shared" ref="I110:I126" si="15">ROUND(H110-G110,3)</f>
        <v>0</v>
      </c>
      <c r="J110" s="12">
        <f>((SUMIFS(SSP2_Baseline!$E:$E,SSP2_Baseline!$C:$C,Results_list!$C$109,SSP2_Baseline!$D:$D,Results_list!$D110,SSP2_Baseline!$B:$B,2040)) - (SUMIFS(SSP2_Baseline!$E:$E,SSP2_Baseline!$C:$C,Results_list!$C$109,SSP2_Baseline!$D:$D,Results_list!$D110,SSP2_Baseline!$B:$B,2025))) / (SUMIFS(SSP2_Baseline!$E:$E,SSP2_Baseline!$C:$C,Results_list!$C$109,SSP2_Baseline!$D:$D,Results_list!$D110,SSP2_Baseline!$B:$B,2025))</f>
        <v>-2.9650428948088895E-3</v>
      </c>
      <c r="K110" s="16">
        <f>((SUMIFS(SSP2_VSI!$F:$F,SSP2_VSI!$C:$C,Results_list!$C$109,SSP2_VSI!$D:$D,Results_list!$D110,SSP2_VSI!$B:$B,2040)) - (SUMIFS(SSP2_VSI!$F:$F,SSP2_VSI!$C:$C,Results_list!$C$109,SSP2_VSI!$D:$D,Results_list!$D110,SSP2_VSI!$B:$B,2025))) / (SUMIFS(SSP2_VSI!$F:$F,SSP2_VSI!$C:$C,Results_list!$C$109,SSP2_VSI!$D:$D,Results_list!$D110,SSP2_VSI!$B:$B,2025))</f>
        <v>-2.9689070652507915E-3</v>
      </c>
      <c r="L110" s="13">
        <f t="shared" ref="L110:L126" si="16">ROUND(K110-J110,2)</f>
        <v>0</v>
      </c>
      <c r="M110" s="12">
        <f>((SUMIFS(SSP5_Baseline!$E:$E,SSP5_Baseline!$C:$C,Results_list!$C$109,SSP5_Baseline!$D:$D,Results_list!$D110,SSP5_Baseline!$B:$B,2040)) - (SUMIFS(SSP5_Baseline!$E:$E,SSP5_Baseline!$C:$C,Results_list!$C$109,SSP5_Baseline!$D:$D,Results_list!$D110,SSP5_Baseline!$B:$B,2025))) / (SUMIFS(SSP5_Baseline!$E:$E,SSP5_Baseline!$C:$C,Results_list!$C$109,SSP5_Baseline!$D:$D,Results_list!$D110,SSP5_Baseline!$B:$B,2025))</f>
        <v>-1.1450370029444502E-3</v>
      </c>
      <c r="N110" s="16">
        <f>((SUMIFS(SSP5_VSI!$F:$F,SSP5_VSI!$C:$C,Results_list!$C$109,SSP5_VSI!$D:$D,Results_list!$D110,SSP5_VSI!$B:$B,2040)) - (SUMIFS(SSP5_VSI!$F:$F,SSP5_VSI!$C:$C,Results_list!$C$109,SSP5_VSI!$D:$D,Results_list!$D110,SSP5_VSI!$B:$B,2025))) / (SUMIFS(SSP5_VSI!$F:$F,SSP5_VSI!$C:$C,Results_list!$C$109,SSP5_VSI!$D:$D,Results_list!$D110,SSP5_VSI!$B:$B,2025))</f>
        <v>-1.1502402119708264E-3</v>
      </c>
      <c r="O110" s="13">
        <f t="shared" ref="O110:O126" si="17">ROUND(N110-M110,2)</f>
        <v>0</v>
      </c>
    </row>
    <row r="111" spans="2:15" x14ac:dyDescent="0.35">
      <c r="B111" s="89"/>
      <c r="C111" s="89"/>
      <c r="D111" s="22" t="s">
        <v>41</v>
      </c>
      <c r="F111" s="3" t="s">
        <v>89</v>
      </c>
      <c r="G111" s="12">
        <f>((SUMIFS(SSP1_Baseline!$E:$E,SSP1_Baseline!$C:$C,Results_list!$C$109,SSP1_Baseline!$D:$D,Results_list!$D111,SSP1_Baseline!$B:$B,2040)) - (SUMIFS(SSP1_Baseline!$E:$E,SSP1_Baseline!$C:$C,Results_list!$C$109,SSP1_Baseline!$D:$D,Results_list!$D111,SSP1_Baseline!$B:$B,2025))) / (SUMIFS(SSP1_Baseline!$E:$E,SSP1_Baseline!$C:$C,Results_list!$C$109,SSP1_Baseline!$D:$D,Results_list!$D111,SSP1_Baseline!$B:$B,2025))</f>
        <v>-2.9952672379750089E-3</v>
      </c>
      <c r="H111" s="16">
        <f>((SUMIFS(SSP1_VSI!$F:$F,SSP1_VSI!$C:$C,Results_list!$C$109,SSP1_VSI!$D:$D,Results_list!$D111,SSP1_VSI!$B:$B,2040)) - (SUMIFS(SSP1_VSI!$F:$F,SSP1_VSI!$C:$C,Results_list!$C$109,SSP1_VSI!$D:$D,Results_list!$D111,SSP1_VSI!$B:$B,2025))) / (SUMIFS(SSP1_VSI!$F:$F,SSP1_VSI!$C:$C,Results_list!$C$109,SSP1_VSI!$D:$D,Results_list!$D111,SSP1_VSI!$B:$B,2025))</f>
        <v>-0.70835833572120088</v>
      </c>
      <c r="I111" s="13">
        <f t="shared" si="15"/>
        <v>-0.70499999999999996</v>
      </c>
      <c r="J111" s="12">
        <f>((SUMIFS(SSP2_Baseline!$E:$E,SSP2_Baseline!$C:$C,Results_list!$C$109,SSP2_Baseline!$D:$D,Results_list!$D111,SSP2_Baseline!$B:$B,2040)) - (SUMIFS(SSP2_Baseline!$E:$E,SSP2_Baseline!$C:$C,Results_list!$C$109,SSP2_Baseline!$D:$D,Results_list!$D111,SSP2_Baseline!$B:$B,2025))) / (SUMIFS(SSP2_Baseline!$E:$E,SSP2_Baseline!$C:$C,Results_list!$C$109,SSP2_Baseline!$D:$D,Results_list!$D111,SSP2_Baseline!$B:$B,2025))</f>
        <v>-2.5589609396331797E-3</v>
      </c>
      <c r="K111" s="16">
        <f>((SUMIFS(SSP2_VSI!$F:$F,SSP2_VSI!$C:$C,Results_list!$C$109,SSP2_VSI!$D:$D,Results_list!$D111,SSP2_VSI!$B:$B,2040)) - (SUMIFS(SSP2_VSI!$F:$F,SSP2_VSI!$C:$C,Results_list!$C$109,SSP2_VSI!$D:$D,Results_list!$D111,SSP2_VSI!$B:$B,2025))) / (SUMIFS(SSP2_VSI!$F:$F,SSP2_VSI!$C:$C,Results_list!$C$109,SSP2_VSI!$D:$D,Results_list!$D111,SSP2_VSI!$B:$B,2025))</f>
        <v>-0.7082593081664279</v>
      </c>
      <c r="L111" s="13">
        <f t="shared" si="16"/>
        <v>-0.71</v>
      </c>
      <c r="M111" s="12">
        <f>((SUMIFS(SSP5_Baseline!$E:$E,SSP5_Baseline!$C:$C,Results_list!$C$109,SSP5_Baseline!$D:$D,Results_list!$D111,SSP5_Baseline!$B:$B,2040)) - (SUMIFS(SSP5_Baseline!$E:$E,SSP5_Baseline!$C:$C,Results_list!$C$109,SSP5_Baseline!$D:$D,Results_list!$D111,SSP5_Baseline!$B:$B,2025))) / (SUMIFS(SSP5_Baseline!$E:$E,SSP5_Baseline!$C:$C,Results_list!$C$109,SSP5_Baseline!$D:$D,Results_list!$D111,SSP5_Baseline!$B:$B,2025))</f>
        <v>-1.6831720874821655E-3</v>
      </c>
      <c r="N111" s="16">
        <f>((SUMIFS(SSP5_VSI!$F:$F,SSP5_VSI!$C:$C,Results_list!$C$109,SSP5_VSI!$D:$D,Results_list!$D111,SSP5_VSI!$B:$B,2040)) - (SUMIFS(SSP5_VSI!$F:$F,SSP5_VSI!$C:$C,Results_list!$C$109,SSP5_VSI!$D:$D,Results_list!$D111,SSP5_VSI!$B:$B,2025))) / (SUMIFS(SSP5_VSI!$F:$F,SSP5_VSI!$C:$C,Results_list!$C$109,SSP5_VSI!$D:$D,Results_list!$D111,SSP5_VSI!$B:$B,2025))</f>
        <v>-0.70727495547400232</v>
      </c>
      <c r="O111" s="13">
        <f t="shared" si="17"/>
        <v>-0.71</v>
      </c>
    </row>
    <row r="112" spans="2:15" x14ac:dyDescent="0.35">
      <c r="B112" s="89"/>
      <c r="C112" s="89"/>
      <c r="D112" s="22" t="s">
        <v>42</v>
      </c>
      <c r="F112" s="3" t="s">
        <v>90</v>
      </c>
      <c r="G112" s="12">
        <f>((SUMIFS(SSP1_Baseline!$E:$E,SSP1_Baseline!$C:$C,Results_list!$C$109,SSP1_Baseline!$D:$D,Results_list!$D112,SSP1_Baseline!$B:$B,2040)) - (SUMIFS(SSP1_Baseline!$E:$E,SSP1_Baseline!$C:$C,Results_list!$C$109,SSP1_Baseline!$D:$D,Results_list!$D112,SSP1_Baseline!$B:$B,2025))) / (SUMIFS(SSP1_Baseline!$E:$E,SSP1_Baseline!$C:$C,Results_list!$C$109,SSP1_Baseline!$D:$D,Results_list!$D112,SSP1_Baseline!$B:$B,2025))</f>
        <v>-3.5323386003694015E-4</v>
      </c>
      <c r="H112" s="16">
        <f>((SUMIFS(SSP1_VSI!$F:$F,SSP1_VSI!$C:$C,Results_list!$C$109,SSP1_VSI!$D:$D,Results_list!$D112,SSP1_VSI!$B:$B,2040)) - (SUMIFS(SSP1_VSI!$F:$F,SSP1_VSI!$C:$C,Results_list!$C$109,SSP1_VSI!$D:$D,Results_list!$D112,SSP1_VSI!$B:$B,2025))) / (SUMIFS(SSP1_VSI!$F:$F,SSP1_VSI!$C:$C,Results_list!$C$109,SSP1_VSI!$D:$D,Results_list!$D112,SSP1_VSI!$B:$B,2025))</f>
        <v>-1.635571324170227E-2</v>
      </c>
      <c r="I112" s="13">
        <f t="shared" si="15"/>
        <v>-1.6E-2</v>
      </c>
      <c r="J112" s="12">
        <f>((SUMIFS(SSP2_Baseline!$E:$E,SSP2_Baseline!$C:$C,Results_list!$C$109,SSP2_Baseline!$D:$D,Results_list!$D112,SSP2_Baseline!$B:$B,2040)) - (SUMIFS(SSP2_Baseline!$E:$E,SSP2_Baseline!$C:$C,Results_list!$C$109,SSP2_Baseline!$D:$D,Results_list!$D112,SSP2_Baseline!$B:$B,2025))) / (SUMIFS(SSP2_Baseline!$E:$E,SSP2_Baseline!$C:$C,Results_list!$C$109,SSP2_Baseline!$D:$D,Results_list!$D112,SSP2_Baseline!$B:$B,2025))</f>
        <v>-1.5754563409595465E-5</v>
      </c>
      <c r="K112" s="16">
        <f>((SUMIFS(SSP2_VSI!$F:$F,SSP2_VSI!$C:$C,Results_list!$C$109,SSP2_VSI!$D:$D,Results_list!$D112,SSP2_VSI!$B:$B,2040)) - (SUMIFS(SSP2_VSI!$F:$F,SSP2_VSI!$C:$C,Results_list!$C$109,SSP2_VSI!$D:$D,Results_list!$D112,SSP2_VSI!$B:$B,2025))) / (SUMIFS(SSP2_VSI!$F:$F,SSP2_VSI!$C:$C,Results_list!$C$109,SSP2_VSI!$D:$D,Results_list!$D112,SSP2_VSI!$B:$B,2025))</f>
        <v>-1.6021139466426648E-2</v>
      </c>
      <c r="L112" s="13">
        <f t="shared" si="16"/>
        <v>-0.02</v>
      </c>
      <c r="M112" s="12">
        <f>((SUMIFS(SSP5_Baseline!$E:$E,SSP5_Baseline!$C:$C,Results_list!$C$109,SSP5_Baseline!$D:$D,Results_list!$D112,SSP5_Baseline!$B:$B,2040)) - (SUMIFS(SSP5_Baseline!$E:$E,SSP5_Baseline!$C:$C,Results_list!$C$109,SSP5_Baseline!$D:$D,Results_list!$D112,SSP5_Baseline!$B:$B,2025))) / (SUMIFS(SSP5_Baseline!$E:$E,SSP5_Baseline!$C:$C,Results_list!$C$109,SSP5_Baseline!$D:$D,Results_list!$D112,SSP5_Baseline!$B:$B,2025))</f>
        <v>1.383487255160798E-3</v>
      </c>
      <c r="N112" s="16">
        <f>((SUMIFS(SSP5_VSI!$F:$F,SSP5_VSI!$C:$C,Results_list!$C$109,SSP5_VSI!$D:$D,Results_list!$D112,SSP5_VSI!$B:$B,2040)) - (SUMIFS(SSP5_VSI!$F:$F,SSP5_VSI!$C:$C,Results_list!$C$109,SSP5_VSI!$D:$D,Results_list!$D112,SSP5_VSI!$B:$B,2025))) / (SUMIFS(SSP5_VSI!$F:$F,SSP5_VSI!$C:$C,Results_list!$C$109,SSP5_VSI!$D:$D,Results_list!$D112,SSP5_VSI!$B:$B,2025))</f>
        <v>-1.461197006499158E-2</v>
      </c>
      <c r="O112" s="13">
        <f t="shared" si="17"/>
        <v>-0.02</v>
      </c>
    </row>
    <row r="113" spans="2:15" x14ac:dyDescent="0.35">
      <c r="B113" s="89"/>
      <c r="C113" s="89"/>
      <c r="D113" s="22" t="s">
        <v>43</v>
      </c>
      <c r="F113" s="3" t="s">
        <v>91</v>
      </c>
      <c r="G113" s="12">
        <f>((SUMIFS(SSP1_Baseline!$E:$E,SSP1_Baseline!$C:$C,Results_list!$C$109,SSP1_Baseline!$D:$D,Results_list!$D113,SSP1_Baseline!$B:$B,2040)) - (SUMIFS(SSP1_Baseline!$E:$E,SSP1_Baseline!$C:$C,Results_list!$C$109,SSP1_Baseline!$D:$D,Results_list!$D113,SSP1_Baseline!$B:$B,2025))) / (SUMIFS(SSP1_Baseline!$E:$E,SSP1_Baseline!$C:$C,Results_list!$C$109,SSP1_Baseline!$D:$D,Results_list!$D113,SSP1_Baseline!$B:$B,2025))</f>
        <v>-3.8214764504935659E-3</v>
      </c>
      <c r="H113" s="16">
        <f>((SUMIFS(SSP1_VSI!$F:$F,SSP1_VSI!$C:$C,Results_list!$C$109,SSP1_VSI!$D:$D,Results_list!$D113,SSP1_VSI!$B:$B,2040)) - (SUMIFS(SSP1_VSI!$F:$F,SSP1_VSI!$C:$C,Results_list!$C$109,SSP1_VSI!$D:$D,Results_list!$D113,SSP1_VSI!$B:$B,2025))) / (SUMIFS(SSP1_VSI!$F:$F,SSP1_VSI!$C:$C,Results_list!$C$109,SSP1_VSI!$D:$D,Results_list!$D113,SSP1_VSI!$B:$B,2025))</f>
        <v>-0.7806043182885869</v>
      </c>
      <c r="I113" s="13">
        <f t="shared" si="15"/>
        <v>-0.77700000000000002</v>
      </c>
      <c r="J113" s="12">
        <f>((SUMIFS(SSP2_Baseline!$E:$E,SSP2_Baseline!$C:$C,Results_list!$C$109,SSP2_Baseline!$D:$D,Results_list!$D113,SSP2_Baseline!$B:$B,2040)) - (SUMIFS(SSP2_Baseline!$E:$E,SSP2_Baseline!$C:$C,Results_list!$C$109,SSP2_Baseline!$D:$D,Results_list!$D113,SSP2_Baseline!$B:$B,2025))) / (SUMIFS(SSP2_Baseline!$E:$E,SSP2_Baseline!$C:$C,Results_list!$C$109,SSP2_Baseline!$D:$D,Results_list!$D113,SSP2_Baseline!$B:$B,2025))</f>
        <v>4.2018065604512413E-5</v>
      </c>
      <c r="K113" s="16">
        <f>((SUMIFS(SSP2_VSI!$F:$F,SSP2_VSI!$C:$C,Results_list!$C$109,SSP2_VSI!$D:$D,Results_list!$D113,SSP2_VSI!$B:$B,2040)) - (SUMIFS(SSP2_VSI!$F:$F,SSP2_VSI!$C:$C,Results_list!$C$109,SSP2_VSI!$D:$D,Results_list!$D113,SSP2_VSI!$B:$B,2025))) / (SUMIFS(SSP2_VSI!$F:$F,SSP2_VSI!$C:$C,Results_list!$C$109,SSP2_VSI!$D:$D,Results_list!$D113,SSP2_VSI!$B:$B,2025))</f>
        <v>-0.78149207344698368</v>
      </c>
      <c r="L113" s="13">
        <f t="shared" si="16"/>
        <v>-0.78</v>
      </c>
      <c r="M113" s="12">
        <f>((SUMIFS(SSP5_Baseline!$E:$E,SSP5_Baseline!$C:$C,Results_list!$C$109,SSP5_Baseline!$D:$D,Results_list!$D113,SSP5_Baseline!$B:$B,2040)) - (SUMIFS(SSP5_Baseline!$E:$E,SSP5_Baseline!$C:$C,Results_list!$C$109,SSP5_Baseline!$D:$D,Results_list!$D113,SSP5_Baseline!$B:$B,2025))) / (SUMIFS(SSP5_Baseline!$E:$E,SSP5_Baseline!$C:$C,Results_list!$C$109,SSP5_Baseline!$D:$D,Results_list!$D113,SSP5_Baseline!$B:$B,2025))</f>
        <v>2.3325727146422002E-3</v>
      </c>
      <c r="N113" s="16">
        <f>((SUMIFS(SSP5_VSI!$F:$F,SSP5_VSI!$C:$C,Results_list!$C$109,SSP5_VSI!$D:$D,Results_list!$D113,SSP5_VSI!$B:$B,2040)) - (SUMIFS(SSP5_VSI!$F:$F,SSP5_VSI!$C:$C,Results_list!$C$109,SSP5_VSI!$D:$D,Results_list!$D113,SSP5_VSI!$B:$B,2025))) / (SUMIFS(SSP5_VSI!$F:$F,SSP5_VSI!$C:$C,Results_list!$C$109,SSP5_VSI!$D:$D,Results_list!$D113,SSP5_VSI!$B:$B,2025))</f>
        <v>-0.77922975598933542</v>
      </c>
      <c r="O113" s="13">
        <f t="shared" si="17"/>
        <v>-0.78</v>
      </c>
    </row>
    <row r="114" spans="2:15" x14ac:dyDescent="0.35">
      <c r="B114" s="89"/>
      <c r="C114" s="89"/>
      <c r="D114" t="s">
        <v>136</v>
      </c>
      <c r="F114" s="3" t="s">
        <v>92</v>
      </c>
      <c r="G114" s="12">
        <f>((SUMIFS(SSP1_Baseline!$E:$E,SSP1_Baseline!$C:$C,Results_list!$C$109,SSP1_Baseline!$D:$D,Results_list!$D114,SSP1_Baseline!$B:$B,2040)) - (SUMIFS(SSP1_Baseline!$E:$E,SSP1_Baseline!$C:$C,Results_list!$C$109,SSP1_Baseline!$D:$D,Results_list!$D114,SSP1_Baseline!$B:$B,2025))) / (SUMIFS(SSP1_Baseline!$E:$E,SSP1_Baseline!$C:$C,Results_list!$C$109,SSP1_Baseline!$D:$D,Results_list!$D114,SSP1_Baseline!$B:$B,2025))</f>
        <v>-8.1205579172266718E-3</v>
      </c>
      <c r="H114" s="16">
        <f>((SUMIFS(SSP1_VSI!$F:$F,SSP1_VSI!$C:$C,Results_list!$C$109,SSP1_VSI!$D:$D,Results_list!$D114,SSP1_VSI!$B:$B,2040)) - (SUMIFS(SSP1_VSI!$F:$F,SSP1_VSI!$C:$C,Results_list!$C$109,SSP1_VSI!$D:$D,Results_list!$D114,SSP1_VSI!$B:$B,2025))) / (SUMIFS(SSP1_VSI!$F:$F,SSP1_VSI!$C:$C,Results_list!$C$109,SSP1_VSI!$D:$D,Results_list!$D114,SSP1_VSI!$B:$B,2025))</f>
        <v>-0.35821603613600517</v>
      </c>
      <c r="I114" s="13">
        <f t="shared" si="15"/>
        <v>-0.35</v>
      </c>
      <c r="J114" s="12">
        <f>((SUMIFS(SSP2_Baseline!$E:$E,SSP2_Baseline!$C:$C,Results_list!$C$109,SSP2_Baseline!$D:$D,Results_list!$D114,SSP2_Baseline!$B:$B,2040)) - (SUMIFS(SSP2_Baseline!$E:$E,SSP2_Baseline!$C:$C,Results_list!$C$109,SSP2_Baseline!$D:$D,Results_list!$D114,SSP2_Baseline!$B:$B,2025))) / (SUMIFS(SSP2_Baseline!$E:$E,SSP2_Baseline!$C:$C,Results_list!$C$109,SSP2_Baseline!$D:$D,Results_list!$D114,SSP2_Baseline!$B:$B,2025))</f>
        <v>-3.6922963041039051E-3</v>
      </c>
      <c r="K114" s="16">
        <f>((SUMIFS(SSP2_VSI!$F:$F,SSP2_VSI!$C:$C,Results_list!$C$109,SSP2_VSI!$D:$D,Results_list!$D114,SSP2_VSI!$B:$B,2040)) - (SUMIFS(SSP2_VSI!$F:$F,SSP2_VSI!$C:$C,Results_list!$C$109,SSP2_VSI!$D:$D,Results_list!$D114,SSP2_VSI!$B:$B,2025))) / (SUMIFS(SSP2_VSI!$F:$F,SSP2_VSI!$C:$C,Results_list!$C$109,SSP2_VSI!$D:$D,Results_list!$D114,SSP2_VSI!$B:$B,2025))</f>
        <v>-0.35381261207132808</v>
      </c>
      <c r="L114" s="13">
        <f t="shared" si="16"/>
        <v>-0.35</v>
      </c>
      <c r="M114" s="12">
        <f>((SUMIFS(SSP5_Baseline!$E:$E,SSP5_Baseline!$C:$C,Results_list!$C$109,SSP5_Baseline!$D:$D,Results_list!$D114,SSP5_Baseline!$B:$B,2040)) - (SUMIFS(SSP5_Baseline!$E:$E,SSP5_Baseline!$C:$C,Results_list!$C$109,SSP5_Baseline!$D:$D,Results_list!$D114,SSP5_Baseline!$B:$B,2025))) / (SUMIFS(SSP5_Baseline!$E:$E,SSP5_Baseline!$C:$C,Results_list!$C$109,SSP5_Baseline!$D:$D,Results_list!$D114,SSP5_Baseline!$B:$B,2025))</f>
        <v>1.5682460996053024E-3</v>
      </c>
      <c r="N114" s="16">
        <f>((SUMIFS(SSP5_VSI!$F:$F,SSP5_VSI!$C:$C,Results_list!$C$109,SSP5_VSI!$D:$D,Results_list!$D114,SSP5_VSI!$B:$B,2040)) - (SUMIFS(SSP5_VSI!$F:$F,SSP5_VSI!$C:$C,Results_list!$C$109,SSP5_VSI!$D:$D,Results_list!$D114,SSP5_VSI!$B:$B,2025))) / (SUMIFS(SSP5_VSI!$F:$F,SSP5_VSI!$C:$C,Results_list!$C$109,SSP5_VSI!$D:$D,Results_list!$D114,SSP5_VSI!$B:$B,2025))</f>
        <v>-0.34804561692717273</v>
      </c>
      <c r="O114" s="13">
        <f t="shared" si="17"/>
        <v>-0.35</v>
      </c>
    </row>
    <row r="115" spans="2:15" ht="14.5" customHeight="1" x14ac:dyDescent="0.35">
      <c r="B115" s="89"/>
      <c r="C115" s="89"/>
      <c r="D115" s="22" t="s">
        <v>45</v>
      </c>
      <c r="F115" s="3" t="s">
        <v>93</v>
      </c>
      <c r="G115" s="12">
        <f>((SUMIFS(SSP1_Baseline!$E:$E,SSP1_Baseline!$C:$C,Results_list!$C$109,SSP1_Baseline!$D:$D,Results_list!$D115,SSP1_Baseline!$B:$B,2040)) - (SUMIFS(SSP1_Baseline!$E:$E,SSP1_Baseline!$C:$C,Results_list!$C$109,SSP1_Baseline!$D:$D,Results_list!$D115,SSP1_Baseline!$B:$B,2025))) / (SUMIFS(SSP1_Baseline!$E:$E,SSP1_Baseline!$C:$C,Results_list!$C$109,SSP1_Baseline!$D:$D,Results_list!$D115,SSP1_Baseline!$B:$B,2025))</f>
        <v>-2.4808487873088567E-2</v>
      </c>
      <c r="H115" s="16">
        <f>((SUMIFS(SSP1_VSI!$F:$F,SSP1_VSI!$C:$C,Results_list!$C$109,SSP1_VSI!$D:$D,Results_list!$D115,SSP1_VSI!$B:$B,2040)) - (SUMIFS(SSP1_VSI!$F:$F,SSP1_VSI!$C:$C,Results_list!$C$109,SSP1_VSI!$D:$D,Results_list!$D115,SSP1_VSI!$B:$B,2025))) / (SUMIFS(SSP1_VSI!$F:$F,SSP1_VSI!$C:$C,Results_list!$C$109,SSP1_VSI!$D:$D,Results_list!$D115,SSP1_VSI!$B:$B,2025))</f>
        <v>-0.76409755739518637</v>
      </c>
      <c r="I115" s="13">
        <f t="shared" si="15"/>
        <v>-0.73899999999999999</v>
      </c>
      <c r="J115" s="12">
        <f>((SUMIFS(SSP2_Baseline!$E:$E,SSP2_Baseline!$C:$C,Results_list!$C$109,SSP2_Baseline!$D:$D,Results_list!$D115,SSP2_Baseline!$B:$B,2040)) - (SUMIFS(SSP2_Baseline!$E:$E,SSP2_Baseline!$C:$C,Results_list!$C$109,SSP2_Baseline!$D:$D,Results_list!$D115,SSP2_Baseline!$B:$B,2025))) / (SUMIFS(SSP2_Baseline!$E:$E,SSP2_Baseline!$C:$C,Results_list!$C$109,SSP2_Baseline!$D:$D,Results_list!$D115,SSP2_Baseline!$B:$B,2025))</f>
        <v>-2.3646603226862139E-2</v>
      </c>
      <c r="K115" s="16">
        <f>((SUMIFS(SSP2_VSI!$F:$F,SSP2_VSI!$C:$C,Results_list!$C$109,SSP2_VSI!$D:$D,Results_list!$D115,SSP2_VSI!$B:$B,2040)) - (SUMIFS(SSP2_VSI!$F:$F,SSP2_VSI!$C:$C,Results_list!$C$109,SSP2_VSI!$D:$D,Results_list!$D115,SSP2_VSI!$B:$B,2025))) / (SUMIFS(SSP2_VSI!$F:$F,SSP2_VSI!$C:$C,Results_list!$C$109,SSP2_VSI!$D:$D,Results_list!$D115,SSP2_VSI!$B:$B,2025))</f>
        <v>-0.76417621785729095</v>
      </c>
      <c r="L115" s="13">
        <f t="shared" si="16"/>
        <v>-0.74</v>
      </c>
      <c r="M115" s="12">
        <f>((SUMIFS(SSP5_Baseline!$E:$E,SSP5_Baseline!$C:$C,Results_list!$C$109,SSP5_Baseline!$D:$D,Results_list!$D115,SSP5_Baseline!$B:$B,2040)) - (SUMIFS(SSP5_Baseline!$E:$E,SSP5_Baseline!$C:$C,Results_list!$C$109,SSP5_Baseline!$D:$D,Results_list!$D115,SSP5_Baseline!$B:$B,2025))) / (SUMIFS(SSP5_Baseline!$E:$E,SSP5_Baseline!$C:$C,Results_list!$C$109,SSP5_Baseline!$D:$D,Results_list!$D115,SSP5_Baseline!$B:$B,2025))</f>
        <v>-2.3170027265685664E-2</v>
      </c>
      <c r="N115" s="16">
        <f>((SUMIFS(SSP5_VSI!$F:$F,SSP5_VSI!$C:$C,Results_list!$C$109,SSP5_VSI!$D:$D,Results_list!$D115,SSP5_VSI!$B:$B,2040)) - (SUMIFS(SSP5_VSI!$F:$F,SSP5_VSI!$C:$C,Results_list!$C$109,SSP5_VSI!$D:$D,Results_list!$D115,SSP5_VSI!$B:$B,2025))) / (SUMIFS(SSP5_VSI!$F:$F,SSP5_VSI!$C:$C,Results_list!$C$109,SSP5_VSI!$D:$D,Results_list!$D115,SSP5_VSI!$B:$B,2025))</f>
        <v>-0.76390992966546545</v>
      </c>
      <c r="O115" s="13">
        <f t="shared" si="17"/>
        <v>-0.74</v>
      </c>
    </row>
    <row r="116" spans="2:15" x14ac:dyDescent="0.35">
      <c r="B116" s="89"/>
      <c r="C116" s="89"/>
      <c r="D116" s="22" t="s">
        <v>46</v>
      </c>
      <c r="F116" s="3" t="s">
        <v>94</v>
      </c>
      <c r="G116" s="12">
        <f>((SUMIFS(SSP1_Baseline!$E:$E,SSP1_Baseline!$C:$C,Results_list!$C$109,SSP1_Baseline!$D:$D,Results_list!$D116,SSP1_Baseline!$B:$B,2040)) - (SUMIFS(SSP1_Baseline!$E:$E,SSP1_Baseline!$C:$C,Results_list!$C$109,SSP1_Baseline!$D:$D,Results_list!$D116,SSP1_Baseline!$B:$B,2025))) / (SUMIFS(SSP1_Baseline!$E:$E,SSP1_Baseline!$C:$C,Results_list!$C$109,SSP1_Baseline!$D:$D,Results_list!$D116,SSP1_Baseline!$B:$B,2025))</f>
        <v>0.35885836563767243</v>
      </c>
      <c r="H116" s="16">
        <f>((SUMIFS(SSP1_VSI!$F:$F,SSP1_VSI!$C:$C,Results_list!$C$109,SSP1_VSI!$D:$D,Results_list!$D116,SSP1_VSI!$B:$B,2040)) - (SUMIFS(SSP1_VSI!$F:$F,SSP1_VSI!$C:$C,Results_list!$C$109,SSP1_VSI!$D:$D,Results_list!$D116,SSP1_VSI!$B:$B,2025))) / (SUMIFS(SSP1_VSI!$F:$F,SSP1_VSI!$C:$C,Results_list!$C$109,SSP1_VSI!$D:$D,Results_list!$D116,SSP1_VSI!$B:$B,2025))</f>
        <v>0.35886958764215277</v>
      </c>
      <c r="I116" s="13">
        <f t="shared" si="15"/>
        <v>0</v>
      </c>
      <c r="J116" s="12">
        <f>((SUMIFS(SSP2_Baseline!$E:$E,SSP2_Baseline!$C:$C,Results_list!$C$109,SSP2_Baseline!$D:$D,Results_list!$D116,SSP2_Baseline!$B:$B,2040)) - (SUMIFS(SSP2_Baseline!$E:$E,SSP2_Baseline!$C:$C,Results_list!$C$109,SSP2_Baseline!$D:$D,Results_list!$D116,SSP2_Baseline!$B:$B,2025))) / (SUMIFS(SSP2_Baseline!$E:$E,SSP2_Baseline!$C:$C,Results_list!$C$109,SSP2_Baseline!$D:$D,Results_list!$D116,SSP2_Baseline!$B:$B,2025))</f>
        <v>0.20418181782045314</v>
      </c>
      <c r="K116" s="16">
        <f>((SUMIFS(SSP2_VSI!$F:$F,SSP2_VSI!$C:$C,Results_list!$C$109,SSP2_VSI!$D:$D,Results_list!$D116,SSP2_VSI!$B:$B,2040)) - (SUMIFS(SSP2_VSI!$F:$F,SSP2_VSI!$C:$C,Results_list!$C$109,SSP2_VSI!$D:$D,Results_list!$D116,SSP2_VSI!$B:$B,2025))) / (SUMIFS(SSP2_VSI!$F:$F,SSP2_VSI!$C:$C,Results_list!$C$109,SSP2_VSI!$D:$D,Results_list!$D116,SSP2_VSI!$B:$B,2025))</f>
        <v>0.20413599003969285</v>
      </c>
      <c r="L116" s="13">
        <f t="shared" si="16"/>
        <v>0</v>
      </c>
      <c r="M116" s="12">
        <f>((SUMIFS(SSP5_Baseline!$E:$E,SSP5_Baseline!$C:$C,Results_list!$C$109,SSP5_Baseline!$D:$D,Results_list!$D116,SSP5_Baseline!$B:$B,2040)) - (SUMIFS(SSP5_Baseline!$E:$E,SSP5_Baseline!$C:$C,Results_list!$C$109,SSP5_Baseline!$D:$D,Results_list!$D116,SSP5_Baseline!$B:$B,2025))) / (SUMIFS(SSP5_Baseline!$E:$E,SSP5_Baseline!$C:$C,Results_list!$C$109,SSP5_Baseline!$D:$D,Results_list!$D116,SSP5_Baseline!$B:$B,2025))</f>
        <v>0.14763757713803868</v>
      </c>
      <c r="N116" s="16">
        <f>((SUMIFS(SSP5_VSI!$F:$F,SSP5_VSI!$C:$C,Results_list!$C$109,SSP5_VSI!$D:$D,Results_list!$D116,SSP5_VSI!$B:$B,2040)) - (SUMIFS(SSP5_VSI!$F:$F,SSP5_VSI!$C:$C,Results_list!$C$109,SSP5_VSI!$D:$D,Results_list!$D116,SSP5_VSI!$B:$B,2025))) / (SUMIFS(SSP5_VSI!$F:$F,SSP5_VSI!$C:$C,Results_list!$C$109,SSP5_VSI!$D:$D,Results_list!$D116,SSP5_VSI!$B:$B,2025))</f>
        <v>0.14765431971796097</v>
      </c>
      <c r="O116" s="13">
        <f t="shared" si="17"/>
        <v>0</v>
      </c>
    </row>
    <row r="117" spans="2:15" x14ac:dyDescent="0.35">
      <c r="B117" s="89"/>
      <c r="C117" s="89"/>
      <c r="D117" s="22" t="s">
        <v>47</v>
      </c>
      <c r="F117" s="3" t="s">
        <v>95</v>
      </c>
      <c r="G117" s="12">
        <f>((SUMIFS(SSP1_Baseline!$E:$E,SSP1_Baseline!$C:$C,Results_list!$C$109,SSP1_Baseline!$D:$D,Results_list!$D117,SSP1_Baseline!$B:$B,2040)) - (SUMIFS(SSP1_Baseline!$E:$E,SSP1_Baseline!$C:$C,Results_list!$C$109,SSP1_Baseline!$D:$D,Results_list!$D117,SSP1_Baseline!$B:$B,2025))) / (SUMIFS(SSP1_Baseline!$E:$E,SSP1_Baseline!$C:$C,Results_list!$C$109,SSP1_Baseline!$D:$D,Results_list!$D117,SSP1_Baseline!$B:$B,2025))</f>
        <v>-6.874799600864221E-4</v>
      </c>
      <c r="H117" s="16">
        <f>((SUMIFS(SSP1_VSI!$F:$F,SSP1_VSI!$C:$C,Results_list!$C$109,SSP1_VSI!$D:$D,Results_list!$D117,SSP1_VSI!$B:$B,2040)) - (SUMIFS(SSP1_VSI!$F:$F,SSP1_VSI!$C:$C,Results_list!$C$109,SSP1_VSI!$D:$D,Results_list!$D117,SSP1_VSI!$B:$B,2025))) / (SUMIFS(SSP1_VSI!$F:$F,SSP1_VSI!$C:$C,Results_list!$C$109,SSP1_VSI!$D:$D,Results_list!$D117,SSP1_VSI!$B:$B,2025))</f>
        <v>-6.8538632398227272E-4</v>
      </c>
      <c r="I117" s="13">
        <f t="shared" si="15"/>
        <v>0</v>
      </c>
      <c r="J117" s="12">
        <f>((SUMIFS(SSP2_Baseline!$E:$E,SSP2_Baseline!$C:$C,Results_list!$C$109,SSP2_Baseline!$D:$D,Results_list!$D117,SSP2_Baseline!$B:$B,2040)) - (SUMIFS(SSP2_Baseline!$E:$E,SSP2_Baseline!$C:$C,Results_list!$C$109,SSP2_Baseline!$D:$D,Results_list!$D117,SSP2_Baseline!$B:$B,2025))) / (SUMIFS(SSP2_Baseline!$E:$E,SSP2_Baseline!$C:$C,Results_list!$C$109,SSP2_Baseline!$D:$D,Results_list!$D117,SSP2_Baseline!$B:$B,2025))</f>
        <v>-8.4600207999169208E-5</v>
      </c>
      <c r="K117" s="16">
        <f>((SUMIFS(SSP2_VSI!$F:$F,SSP2_VSI!$C:$C,Results_list!$C$109,SSP2_VSI!$D:$D,Results_list!$D117,SSP2_VSI!$B:$B,2040)) - (SUMIFS(SSP2_VSI!$F:$F,SSP2_VSI!$C:$C,Results_list!$C$109,SSP2_VSI!$D:$D,Results_list!$D117,SSP2_VSI!$B:$B,2025))) / (SUMIFS(SSP2_VSI!$F:$F,SSP2_VSI!$C:$C,Results_list!$C$109,SSP2_VSI!$D:$D,Results_list!$D117,SSP2_VSI!$B:$B,2025))</f>
        <v>-8.4087156039927734E-5</v>
      </c>
      <c r="L117" s="13">
        <f t="shared" si="16"/>
        <v>0</v>
      </c>
      <c r="M117" s="12">
        <f>((SUMIFS(SSP5_Baseline!$E:$E,SSP5_Baseline!$C:$C,Results_list!$C$109,SSP5_Baseline!$D:$D,Results_list!$D117,SSP5_Baseline!$B:$B,2040)) - (SUMIFS(SSP5_Baseline!$E:$E,SSP5_Baseline!$C:$C,Results_list!$C$109,SSP5_Baseline!$D:$D,Results_list!$D117,SSP5_Baseline!$B:$B,2025))) / (SUMIFS(SSP5_Baseline!$E:$E,SSP5_Baseline!$C:$C,Results_list!$C$109,SSP5_Baseline!$D:$D,Results_list!$D117,SSP5_Baseline!$B:$B,2025))</f>
        <v>3.590859294071499E-3</v>
      </c>
      <c r="N117" s="16">
        <f>((SUMIFS(SSP5_VSI!$F:$F,SSP5_VSI!$C:$C,Results_list!$C$109,SSP5_VSI!$D:$D,Results_list!$D117,SSP5_VSI!$B:$B,2040)) - (SUMIFS(SSP5_VSI!$F:$F,SSP5_VSI!$C:$C,Results_list!$C$109,SSP5_VSI!$D:$D,Results_list!$D117,SSP5_VSI!$B:$B,2025))) / (SUMIFS(SSP5_VSI!$F:$F,SSP5_VSI!$C:$C,Results_list!$C$109,SSP5_VSI!$D:$D,Results_list!$D117,SSP5_VSI!$B:$B,2025))</f>
        <v>3.6016070281178038E-3</v>
      </c>
      <c r="O117" s="13">
        <f t="shared" si="17"/>
        <v>0</v>
      </c>
    </row>
    <row r="118" spans="2:15" x14ac:dyDescent="0.35">
      <c r="B118" s="89"/>
      <c r="C118" s="89"/>
      <c r="D118" s="22" t="s">
        <v>48</v>
      </c>
      <c r="F118" s="3" t="s">
        <v>96</v>
      </c>
      <c r="G118" s="12">
        <f>((SUMIFS(SSP1_Baseline!$E:$E,SSP1_Baseline!$C:$C,Results_list!$C$109,SSP1_Baseline!$D:$D,Results_list!$D118,SSP1_Baseline!$B:$B,2040)) - (SUMIFS(SSP1_Baseline!$E:$E,SSP1_Baseline!$C:$C,Results_list!$C$109,SSP1_Baseline!$D:$D,Results_list!$D118,SSP1_Baseline!$B:$B,2025))) / (SUMIFS(SSP1_Baseline!$E:$E,SSP1_Baseline!$C:$C,Results_list!$C$109,SSP1_Baseline!$D:$D,Results_list!$D118,SSP1_Baseline!$B:$B,2025))</f>
        <v>1.870216106086594E-6</v>
      </c>
      <c r="H118" s="16">
        <f>((SUMIFS(SSP1_VSI!$F:$F,SSP1_VSI!$C:$C,Results_list!$C$109,SSP1_VSI!$D:$D,Results_list!$D118,SSP1_VSI!$B:$B,2040)) - (SUMIFS(SSP1_VSI!$F:$F,SSP1_VSI!$C:$C,Results_list!$C$109,SSP1_VSI!$D:$D,Results_list!$D118,SSP1_VSI!$B:$B,2025))) / (SUMIFS(SSP1_VSI!$F:$F,SSP1_VSI!$C:$C,Results_list!$C$109,SSP1_VSI!$D:$D,Results_list!$D118,SSP1_VSI!$B:$B,2025))</f>
        <v>1.98549382077418E-6</v>
      </c>
      <c r="I118" s="13">
        <f t="shared" si="15"/>
        <v>0</v>
      </c>
      <c r="J118" s="12">
        <f>((SUMIFS(SSP2_Baseline!$E:$E,SSP2_Baseline!$C:$C,Results_list!$C$109,SSP2_Baseline!$D:$D,Results_list!$D118,SSP2_Baseline!$B:$B,2040)) - (SUMIFS(SSP2_Baseline!$E:$E,SSP2_Baseline!$C:$C,Results_list!$C$109,SSP2_Baseline!$D:$D,Results_list!$D118,SSP2_Baseline!$B:$B,2025))) / (SUMIFS(SSP2_Baseline!$E:$E,SSP2_Baseline!$C:$C,Results_list!$C$109,SSP2_Baseline!$D:$D,Results_list!$D118,SSP2_Baseline!$B:$B,2025))</f>
        <v>-1.5820662905416535E-4</v>
      </c>
      <c r="K118" s="16">
        <f>((SUMIFS(SSP2_VSI!$F:$F,SSP2_VSI!$C:$C,Results_list!$C$109,SSP2_VSI!$D:$D,Results_list!$D118,SSP2_VSI!$B:$B,2040)) - (SUMIFS(SSP2_VSI!$F:$F,SSP2_VSI!$C:$C,Results_list!$C$109,SSP2_VSI!$D:$D,Results_list!$D118,SSP2_VSI!$B:$B,2025))) / (SUMIFS(SSP2_VSI!$F:$F,SSP2_VSI!$C:$C,Results_list!$C$109,SSP2_VSI!$D:$D,Results_list!$D118,SSP2_VSI!$B:$B,2025))</f>
        <v>-1.5819777100984535E-4</v>
      </c>
      <c r="L118" s="13">
        <f t="shared" si="16"/>
        <v>0</v>
      </c>
      <c r="M118" s="12">
        <f>((SUMIFS(SSP5_Baseline!$E:$E,SSP5_Baseline!$C:$C,Results_list!$C$109,SSP5_Baseline!$D:$D,Results_list!$D118,SSP5_Baseline!$B:$B,2040)) - (SUMIFS(SSP5_Baseline!$E:$E,SSP5_Baseline!$C:$C,Results_list!$C$109,SSP5_Baseline!$D:$D,Results_list!$D118,SSP5_Baseline!$B:$B,2025))) / (SUMIFS(SSP5_Baseline!$E:$E,SSP5_Baseline!$C:$C,Results_list!$C$109,SSP5_Baseline!$D:$D,Results_list!$D118,SSP5_Baseline!$B:$B,2025))</f>
        <v>-2.7533391353064141E-5</v>
      </c>
      <c r="N118" s="16">
        <f>((SUMIFS(SSP5_VSI!$F:$F,SSP5_VSI!$C:$C,Results_list!$C$109,SSP5_VSI!$D:$D,Results_list!$D118,SSP5_VSI!$B:$B,2040)) - (SUMIFS(SSP5_VSI!$F:$F,SSP5_VSI!$C:$C,Results_list!$C$109,SSP5_VSI!$D:$D,Results_list!$D118,SSP5_VSI!$B:$B,2025))) / (SUMIFS(SSP5_VSI!$F:$F,SSP5_VSI!$C:$C,Results_list!$C$109,SSP5_VSI!$D:$D,Results_list!$D118,SSP5_VSI!$B:$B,2025))</f>
        <v>-2.7352226641542524E-5</v>
      </c>
      <c r="O118" s="13">
        <f t="shared" si="17"/>
        <v>0</v>
      </c>
    </row>
    <row r="119" spans="2:15" x14ac:dyDescent="0.35">
      <c r="B119" s="89"/>
      <c r="C119" s="89"/>
      <c r="D119" s="22" t="s">
        <v>49</v>
      </c>
      <c r="F119" s="3" t="s">
        <v>97</v>
      </c>
      <c r="G119" s="12">
        <f>((SUMIFS(SSP1_Baseline!$E:$E,SSP1_Baseline!$C:$C,Results_list!$C$109,SSP1_Baseline!$D:$D,Results_list!$D119,SSP1_Baseline!$B:$B,2040)) - (SUMIFS(SSP1_Baseline!$E:$E,SSP1_Baseline!$C:$C,Results_list!$C$109,SSP1_Baseline!$D:$D,Results_list!$D119,SSP1_Baseline!$B:$B,2025))) / (SUMIFS(SSP1_Baseline!$E:$E,SSP1_Baseline!$C:$C,Results_list!$C$109,SSP1_Baseline!$D:$D,Results_list!$D119,SSP1_Baseline!$B:$B,2025))</f>
        <v>-4.816839780613774E-3</v>
      </c>
      <c r="H119" s="16">
        <f>((SUMIFS(SSP1_VSI!$F:$F,SSP1_VSI!$C:$C,Results_list!$C$109,SSP1_VSI!$D:$D,Results_list!$D119,SSP1_VSI!$B:$B,2040)) - (SUMIFS(SSP1_VSI!$F:$F,SSP1_VSI!$C:$C,Results_list!$C$109,SSP1_VSI!$D:$D,Results_list!$D119,SSP1_VSI!$B:$B,2025))) / (SUMIFS(SSP1_VSI!$F:$F,SSP1_VSI!$C:$C,Results_list!$C$109,SSP1_VSI!$D:$D,Results_list!$D119,SSP1_VSI!$B:$B,2025))</f>
        <v>-0.81181161121326972</v>
      </c>
      <c r="I119" s="13">
        <f t="shared" si="15"/>
        <v>-0.80700000000000005</v>
      </c>
      <c r="J119" s="12">
        <f>((SUMIFS(SSP2_Baseline!$E:$E,SSP2_Baseline!$C:$C,Results_list!$C$109,SSP2_Baseline!$D:$D,Results_list!$D119,SSP2_Baseline!$B:$B,2040)) - (SUMIFS(SSP2_Baseline!$E:$E,SSP2_Baseline!$C:$C,Results_list!$C$109,SSP2_Baseline!$D:$D,Results_list!$D119,SSP2_Baseline!$B:$B,2025))) / (SUMIFS(SSP2_Baseline!$E:$E,SSP2_Baseline!$C:$C,Results_list!$C$109,SSP2_Baseline!$D:$D,Results_list!$D119,SSP2_Baseline!$B:$B,2025))</f>
        <v>-2.686020537612905E-3</v>
      </c>
      <c r="K119" s="16">
        <f>((SUMIFS(SSP2_VSI!$F:$F,SSP2_VSI!$C:$C,Results_list!$C$109,SSP2_VSI!$D:$D,Results_list!$D119,SSP2_VSI!$B:$B,2040)) - (SUMIFS(SSP2_VSI!$F:$F,SSP2_VSI!$C:$C,Results_list!$C$109,SSP2_VSI!$D:$D,Results_list!$D119,SSP2_VSI!$B:$B,2025))) / (SUMIFS(SSP2_VSI!$F:$F,SSP2_VSI!$C:$C,Results_list!$C$109,SSP2_VSI!$D:$D,Results_list!$D119,SSP2_VSI!$B:$B,2025))</f>
        <v>-0.81127180415041589</v>
      </c>
      <c r="L119" s="13">
        <f t="shared" si="16"/>
        <v>-0.81</v>
      </c>
      <c r="M119" s="12">
        <f>((SUMIFS(SSP5_Baseline!$E:$E,SSP5_Baseline!$C:$C,Results_list!$C$109,SSP5_Baseline!$D:$D,Results_list!$D119,SSP5_Baseline!$B:$B,2040)) - (SUMIFS(SSP5_Baseline!$E:$E,SSP5_Baseline!$C:$C,Results_list!$C$109,SSP5_Baseline!$D:$D,Results_list!$D119,SSP5_Baseline!$B:$B,2025))) / (SUMIFS(SSP5_Baseline!$E:$E,SSP5_Baseline!$C:$C,Results_list!$C$109,SSP5_Baseline!$D:$D,Results_list!$D119,SSP5_Baseline!$B:$B,2025))</f>
        <v>-2.3401696599574485E-3</v>
      </c>
      <c r="N119" s="16">
        <f>((SUMIFS(SSP5_VSI!$F:$F,SSP5_VSI!$C:$C,Results_list!$C$109,SSP5_VSI!$D:$D,Results_list!$D119,SSP5_VSI!$B:$B,2040)) - (SUMIFS(SSP5_VSI!$F:$F,SSP5_VSI!$C:$C,Results_list!$C$109,SSP5_VSI!$D:$D,Results_list!$D119,SSP5_VSI!$B:$B,2025))) / (SUMIFS(SSP5_VSI!$F:$F,SSP5_VSI!$C:$C,Results_list!$C$109,SSP5_VSI!$D:$D,Results_list!$D119,SSP5_VSI!$B:$B,2025))</f>
        <v>-0.81086985881302198</v>
      </c>
      <c r="O119" s="13">
        <f t="shared" si="17"/>
        <v>-0.81</v>
      </c>
    </row>
    <row r="120" spans="2:15" x14ac:dyDescent="0.35">
      <c r="B120" s="89"/>
      <c r="C120" s="89"/>
      <c r="D120" s="22" t="s">
        <v>50</v>
      </c>
      <c r="F120" s="3" t="s">
        <v>98</v>
      </c>
      <c r="G120" s="12">
        <f>((SUMIFS(SSP1_Baseline!$E:$E,SSP1_Baseline!$C:$C,Results_list!$C$109,SSP1_Baseline!$D:$D,Results_list!$D120,SSP1_Baseline!$B:$B,2040)) - (SUMIFS(SSP1_Baseline!$E:$E,SSP1_Baseline!$C:$C,Results_list!$C$109,SSP1_Baseline!$D:$D,Results_list!$D120,SSP1_Baseline!$B:$B,2025))) / (SUMIFS(SSP1_Baseline!$E:$E,SSP1_Baseline!$C:$C,Results_list!$C$109,SSP1_Baseline!$D:$D,Results_list!$D120,SSP1_Baseline!$B:$B,2025))</f>
        <v>-2.8293614539733631E-2</v>
      </c>
      <c r="H120" s="16">
        <f>((SUMIFS(SSP1_VSI!$F:$F,SSP1_VSI!$C:$C,Results_list!$C$109,SSP1_VSI!$D:$D,Results_list!$D120,SSP1_VSI!$B:$B,2040)) - (SUMIFS(SSP1_VSI!$F:$F,SSP1_VSI!$C:$C,Results_list!$C$109,SSP1_VSI!$D:$D,Results_list!$D120,SSP1_VSI!$B:$B,2025))) / (SUMIFS(SSP1_VSI!$F:$F,SSP1_VSI!$C:$C,Results_list!$C$109,SSP1_VSI!$D:$D,Results_list!$D120,SSP1_VSI!$B:$B,2025))</f>
        <v>-2.830188184153859E-2</v>
      </c>
      <c r="I120" s="13">
        <f t="shared" si="15"/>
        <v>0</v>
      </c>
      <c r="J120" s="12">
        <f>((SUMIFS(SSP2_Baseline!$E:$E,SSP2_Baseline!$C:$C,Results_list!$C$109,SSP2_Baseline!$D:$D,Results_list!$D120,SSP2_Baseline!$B:$B,2040)) - (SUMIFS(SSP2_Baseline!$E:$E,SSP2_Baseline!$C:$C,Results_list!$C$109,SSP2_Baseline!$D:$D,Results_list!$D120,SSP2_Baseline!$B:$B,2025))) / (SUMIFS(SSP2_Baseline!$E:$E,SSP2_Baseline!$C:$C,Results_list!$C$109,SSP2_Baseline!$D:$D,Results_list!$D120,SSP2_Baseline!$B:$B,2025))</f>
        <v>4.8997777384610482E-2</v>
      </c>
      <c r="K120" s="16">
        <f>((SUMIFS(SSP2_VSI!$F:$F,SSP2_VSI!$C:$C,Results_list!$C$109,SSP2_VSI!$D:$D,Results_list!$D120,SSP2_VSI!$B:$B,2040)) - (SUMIFS(SSP2_VSI!$F:$F,SSP2_VSI!$C:$C,Results_list!$C$109,SSP2_VSI!$D:$D,Results_list!$D120,SSP2_VSI!$B:$B,2025))) / (SUMIFS(SSP2_VSI!$F:$F,SSP2_VSI!$C:$C,Results_list!$C$109,SSP2_VSI!$D:$D,Results_list!$D120,SSP2_VSI!$B:$B,2025))</f>
        <v>4.8995352455764758E-2</v>
      </c>
      <c r="L120" s="13">
        <f t="shared" si="16"/>
        <v>0</v>
      </c>
      <c r="M120" s="12">
        <f>((SUMIFS(SSP5_Baseline!$E:$E,SSP5_Baseline!$C:$C,Results_list!$C$109,SSP5_Baseline!$D:$D,Results_list!$D120,SSP5_Baseline!$B:$B,2040)) - (SUMIFS(SSP5_Baseline!$E:$E,SSP5_Baseline!$C:$C,Results_list!$C$109,SSP5_Baseline!$D:$D,Results_list!$D120,SSP5_Baseline!$B:$B,2025))) / (SUMIFS(SSP5_Baseline!$E:$E,SSP5_Baseline!$C:$C,Results_list!$C$109,SSP5_Baseline!$D:$D,Results_list!$D120,SSP5_Baseline!$B:$B,2025))</f>
        <v>7.8466452254923491E-2</v>
      </c>
      <c r="N120" s="16">
        <f>((SUMIFS(SSP5_VSI!$F:$F,SSP5_VSI!$C:$C,Results_list!$C$109,SSP5_VSI!$D:$D,Results_list!$D120,SSP5_VSI!$B:$B,2040)) - (SUMIFS(SSP5_VSI!$F:$F,SSP5_VSI!$C:$C,Results_list!$C$109,SSP5_VSI!$D:$D,Results_list!$D120,SSP5_VSI!$B:$B,2025))) / (SUMIFS(SSP5_VSI!$F:$F,SSP5_VSI!$C:$C,Results_list!$C$109,SSP5_VSI!$D:$D,Results_list!$D120,SSP5_VSI!$B:$B,2025))</f>
        <v>7.8488250545212052E-2</v>
      </c>
      <c r="O120" s="13">
        <f t="shared" si="17"/>
        <v>0</v>
      </c>
    </row>
    <row r="121" spans="2:15" x14ac:dyDescent="0.35">
      <c r="B121" s="89"/>
      <c r="C121" s="89"/>
      <c r="D121" s="22" t="s">
        <v>51</v>
      </c>
      <c r="F121" s="3" t="s">
        <v>99</v>
      </c>
      <c r="G121" s="12">
        <f>((SUMIFS(SSP1_Baseline!$E:$E,SSP1_Baseline!$C:$C,Results_list!$C$109,SSP1_Baseline!$D:$D,Results_list!$D121,SSP1_Baseline!$B:$B,2040)) - (SUMIFS(SSP1_Baseline!$E:$E,SSP1_Baseline!$C:$C,Results_list!$C$109,SSP1_Baseline!$D:$D,Results_list!$D121,SSP1_Baseline!$B:$B,2025))) / (SUMIFS(SSP1_Baseline!$E:$E,SSP1_Baseline!$C:$C,Results_list!$C$109,SSP1_Baseline!$D:$D,Results_list!$D121,SSP1_Baseline!$B:$B,2025))</f>
        <v>1.734200481548837E-3</v>
      </c>
      <c r="H121" s="16">
        <f>((SUMIFS(SSP1_VSI!$F:$F,SSP1_VSI!$C:$C,Results_list!$C$109,SSP1_VSI!$D:$D,Results_list!$D121,SSP1_VSI!$B:$B,2040)) - (SUMIFS(SSP1_VSI!$F:$F,SSP1_VSI!$C:$C,Results_list!$C$109,SSP1_VSI!$D:$D,Results_list!$D121,SSP1_VSI!$B:$B,2025))) / (SUMIFS(SSP1_VSI!$F:$F,SSP1_VSI!$C:$C,Results_list!$C$109,SSP1_VSI!$D:$D,Results_list!$D121,SSP1_VSI!$B:$B,2025))</f>
        <v>1.7327303743326858E-3</v>
      </c>
      <c r="I121" s="13">
        <f t="shared" si="15"/>
        <v>0</v>
      </c>
      <c r="J121" s="12">
        <f>((SUMIFS(SSP2_Baseline!$E:$E,SSP2_Baseline!$C:$C,Results_list!$C$109,SSP2_Baseline!$D:$D,Results_list!$D121,SSP2_Baseline!$B:$B,2040)) - (SUMIFS(SSP2_Baseline!$E:$E,SSP2_Baseline!$C:$C,Results_list!$C$109,SSP2_Baseline!$D:$D,Results_list!$D121,SSP2_Baseline!$B:$B,2025))) / (SUMIFS(SSP2_Baseline!$E:$E,SSP2_Baseline!$C:$C,Results_list!$C$109,SSP2_Baseline!$D:$D,Results_list!$D121,SSP2_Baseline!$B:$B,2025))</f>
        <v>2.2354183527902717E-3</v>
      </c>
      <c r="K121" s="16">
        <f>((SUMIFS(SSP2_VSI!$F:$F,SSP2_VSI!$C:$C,Results_list!$C$109,SSP2_VSI!$D:$D,Results_list!$D121,SSP2_VSI!$B:$B,2040)) - (SUMIFS(SSP2_VSI!$F:$F,SSP2_VSI!$C:$C,Results_list!$C$109,SSP2_VSI!$D:$D,Results_list!$D121,SSP2_VSI!$B:$B,2025))) / (SUMIFS(SSP2_VSI!$F:$F,SSP2_VSI!$C:$C,Results_list!$C$109,SSP2_VSI!$D:$D,Results_list!$D121,SSP2_VSI!$B:$B,2025))</f>
        <v>2.2239595543992905E-3</v>
      </c>
      <c r="L121" s="13">
        <f t="shared" si="16"/>
        <v>0</v>
      </c>
      <c r="M121" s="12">
        <f>((SUMIFS(SSP5_Baseline!$E:$E,SSP5_Baseline!$C:$C,Results_list!$C$109,SSP5_Baseline!$D:$D,Results_list!$D121,SSP5_Baseline!$B:$B,2040)) - (SUMIFS(SSP5_Baseline!$E:$E,SSP5_Baseline!$C:$C,Results_list!$C$109,SSP5_Baseline!$D:$D,Results_list!$D121,SSP5_Baseline!$B:$B,2025))) / (SUMIFS(SSP5_Baseline!$E:$E,SSP5_Baseline!$C:$C,Results_list!$C$109,SSP5_Baseline!$D:$D,Results_list!$D121,SSP5_Baseline!$B:$B,2025))</f>
        <v>2.5345109110463243E-4</v>
      </c>
      <c r="N121" s="16">
        <f>((SUMIFS(SSP5_VSI!$F:$F,SSP5_VSI!$C:$C,Results_list!$C$109,SSP5_VSI!$D:$D,Results_list!$D121,SSP5_VSI!$B:$B,2040)) - (SUMIFS(SSP5_VSI!$F:$F,SSP5_VSI!$C:$C,Results_list!$C$109,SSP5_VSI!$D:$D,Results_list!$D121,SSP5_VSI!$B:$B,2025))) / (SUMIFS(SSP5_VSI!$F:$F,SSP5_VSI!$C:$C,Results_list!$C$109,SSP5_VSI!$D:$D,Results_list!$D121,SSP5_VSI!$B:$B,2025))</f>
        <v>2.5760172369694535E-4</v>
      </c>
      <c r="O121" s="13">
        <f t="shared" si="17"/>
        <v>0</v>
      </c>
    </row>
    <row r="122" spans="2:15" x14ac:dyDescent="0.35">
      <c r="B122" s="89"/>
      <c r="C122" s="89"/>
      <c r="D122" s="22" t="s">
        <v>52</v>
      </c>
      <c r="F122" s="3" t="s">
        <v>100</v>
      </c>
      <c r="G122" s="12">
        <f>((SUMIFS(SSP1_Baseline!$E:$E,SSP1_Baseline!$C:$C,Results_list!$C$109,SSP1_Baseline!$D:$D,Results_list!$D122,SSP1_Baseline!$B:$B,2040)) - (SUMIFS(SSP1_Baseline!$E:$E,SSP1_Baseline!$C:$C,Results_list!$C$109,SSP1_Baseline!$D:$D,Results_list!$D122,SSP1_Baseline!$B:$B,2025))) / (SUMIFS(SSP1_Baseline!$E:$E,SSP1_Baseline!$C:$C,Results_list!$C$109,SSP1_Baseline!$D:$D,Results_list!$D122,SSP1_Baseline!$B:$B,2025))</f>
        <v>-4.1203551197350738E-2</v>
      </c>
      <c r="H122" s="16">
        <f>((SUMIFS(SSP1_VSI!$F:$F,SSP1_VSI!$C:$C,Results_list!$C$109,SSP1_VSI!$D:$D,Results_list!$D122,SSP1_VSI!$B:$B,2040)) - (SUMIFS(SSP1_VSI!$F:$F,SSP1_VSI!$C:$C,Results_list!$C$109,SSP1_VSI!$D:$D,Results_list!$D122,SSP1_VSI!$B:$B,2025))) / (SUMIFS(SSP1_VSI!$F:$F,SSP1_VSI!$C:$C,Results_list!$C$109,SSP1_VSI!$D:$D,Results_list!$D122,SSP1_VSI!$B:$B,2025))</f>
        <v>-4.1095892553472825E-2</v>
      </c>
      <c r="I122" s="13">
        <f t="shared" si="15"/>
        <v>0</v>
      </c>
      <c r="J122" s="12">
        <f>((SUMIFS(SSP2_Baseline!$E:$E,SSP2_Baseline!$C:$C,Results_list!$C$109,SSP2_Baseline!$D:$D,Results_list!$D122,SSP2_Baseline!$B:$B,2040)) - (SUMIFS(SSP2_Baseline!$E:$E,SSP2_Baseline!$C:$C,Results_list!$C$109,SSP2_Baseline!$D:$D,Results_list!$D122,SSP2_Baseline!$B:$B,2025))) / (SUMIFS(SSP2_Baseline!$E:$E,SSP2_Baseline!$C:$C,Results_list!$C$109,SSP2_Baseline!$D:$D,Results_list!$D122,SSP2_Baseline!$B:$B,2025))</f>
        <v>-2.3148132292357945E-2</v>
      </c>
      <c r="K122" s="16">
        <f>((SUMIFS(SSP2_VSI!$F:$F,SSP2_VSI!$C:$C,Results_list!$C$109,SSP2_VSI!$D:$D,Results_list!$D122,SSP2_VSI!$B:$B,2040)) - (SUMIFS(SSP2_VSI!$F:$F,SSP2_VSI!$C:$C,Results_list!$C$109,SSP2_VSI!$D:$D,Results_list!$D122,SSP2_VSI!$B:$B,2025))) / (SUMIFS(SSP2_VSI!$F:$F,SSP2_VSI!$C:$C,Results_list!$C$109,SSP2_VSI!$D:$D,Results_list!$D122,SSP2_VSI!$B:$B,2025))</f>
        <v>-2.2990517632733274E-2</v>
      </c>
      <c r="L122" s="13">
        <f t="shared" si="16"/>
        <v>0</v>
      </c>
      <c r="M122" s="12">
        <f>((SUMIFS(SSP5_Baseline!$E:$E,SSP5_Baseline!$C:$C,Results_list!$C$109,SSP5_Baseline!$D:$D,Results_list!$D122,SSP5_Baseline!$B:$B,2040)) - (SUMIFS(SSP5_Baseline!$E:$E,SSP5_Baseline!$C:$C,Results_list!$C$109,SSP5_Baseline!$D:$D,Results_list!$D122,SSP5_Baseline!$B:$B,2025))) / (SUMIFS(SSP5_Baseline!$E:$E,SSP5_Baseline!$C:$C,Results_list!$C$109,SSP5_Baseline!$D:$D,Results_list!$D122,SSP5_Baseline!$B:$B,2025))</f>
        <v>-3.9815535757783044E-2</v>
      </c>
      <c r="N122" s="16">
        <f>((SUMIFS(SSP5_VSI!$F:$F,SSP5_VSI!$C:$C,Results_list!$C$109,SSP5_VSI!$D:$D,Results_list!$D122,SSP5_VSI!$B:$B,2040)) - (SUMIFS(SSP5_VSI!$F:$F,SSP5_VSI!$C:$C,Results_list!$C$109,SSP5_VSI!$D:$D,Results_list!$D122,SSP5_VSI!$B:$B,2025))) / (SUMIFS(SSP5_VSI!$F:$F,SSP5_VSI!$C:$C,Results_list!$C$109,SSP5_VSI!$D:$D,Results_list!$D122,SSP5_VSI!$B:$B,2025))</f>
        <v>-3.970232713745464E-2</v>
      </c>
      <c r="O122" s="13">
        <f t="shared" si="17"/>
        <v>0</v>
      </c>
    </row>
    <row r="123" spans="2:15" x14ac:dyDescent="0.35">
      <c r="B123" s="89"/>
      <c r="C123" s="89"/>
      <c r="D123" s="22" t="s">
        <v>53</v>
      </c>
      <c r="F123" s="3" t="s">
        <v>101</v>
      </c>
      <c r="G123" s="12">
        <f>((SUMIFS(SSP1_Baseline!$E:$E,SSP1_Baseline!$C:$C,Results_list!$C$109,SSP1_Baseline!$D:$D,Results_list!$D123,SSP1_Baseline!$B:$B,2040)) - (SUMIFS(SSP1_Baseline!$E:$E,SSP1_Baseline!$C:$C,Results_list!$C$109,SSP1_Baseline!$D:$D,Results_list!$D123,SSP1_Baseline!$B:$B,2025))) / (SUMIFS(SSP1_Baseline!$E:$E,SSP1_Baseline!$C:$C,Results_list!$C$109,SSP1_Baseline!$D:$D,Results_list!$D123,SSP1_Baseline!$B:$B,2025))</f>
        <v>-7.7235406150677269E-3</v>
      </c>
      <c r="H123" s="16">
        <f>((SUMIFS(SSP1_VSI!$F:$F,SSP1_VSI!$C:$C,Results_list!$C$109,SSP1_VSI!$D:$D,Results_list!$D123,SSP1_VSI!$B:$B,2040)) - (SUMIFS(SSP1_VSI!$F:$F,SSP1_VSI!$C:$C,Results_list!$C$109,SSP1_VSI!$D:$D,Results_list!$D123,SSP1_VSI!$B:$B,2025))) / (SUMIFS(SSP1_VSI!$F:$F,SSP1_VSI!$C:$C,Results_list!$C$109,SSP1_VSI!$D:$D,Results_list!$D123,SSP1_VSI!$B:$B,2025))</f>
        <v>-7.7370738172453154E-3</v>
      </c>
      <c r="I123" s="13">
        <f t="shared" si="15"/>
        <v>0</v>
      </c>
      <c r="J123" s="12">
        <f>((SUMIFS(SSP2_Baseline!$E:$E,SSP2_Baseline!$C:$C,Results_list!$C$109,SSP2_Baseline!$D:$D,Results_list!$D123,SSP2_Baseline!$B:$B,2040)) - (SUMIFS(SSP2_Baseline!$E:$E,SSP2_Baseline!$C:$C,Results_list!$C$109,SSP2_Baseline!$D:$D,Results_list!$D123,SSP2_Baseline!$B:$B,2025))) / (SUMIFS(SSP2_Baseline!$E:$E,SSP2_Baseline!$C:$C,Results_list!$C$109,SSP2_Baseline!$D:$D,Results_list!$D123,SSP2_Baseline!$B:$B,2025))</f>
        <v>-4.3272594795712221E-3</v>
      </c>
      <c r="K123" s="16">
        <f>((SUMIFS(SSP2_VSI!$F:$F,SSP2_VSI!$C:$C,Results_list!$C$109,SSP2_VSI!$D:$D,Results_list!$D123,SSP2_VSI!$B:$B,2040)) - (SUMIFS(SSP2_VSI!$F:$F,SSP2_VSI!$C:$C,Results_list!$C$109,SSP2_VSI!$D:$D,Results_list!$D123,SSP2_VSI!$B:$B,2025))) / (SUMIFS(SSP2_VSI!$F:$F,SSP2_VSI!$C:$C,Results_list!$C$109,SSP2_VSI!$D:$D,Results_list!$D123,SSP2_VSI!$B:$B,2025))</f>
        <v>-4.3184226168551734E-3</v>
      </c>
      <c r="L123" s="13">
        <f t="shared" si="16"/>
        <v>0</v>
      </c>
      <c r="M123" s="12">
        <f>((SUMIFS(SSP5_Baseline!$E:$E,SSP5_Baseline!$C:$C,Results_list!$C$109,SSP5_Baseline!$D:$D,Results_list!$D123,SSP5_Baseline!$B:$B,2040)) - (SUMIFS(SSP5_Baseline!$E:$E,SSP5_Baseline!$C:$C,Results_list!$C$109,SSP5_Baseline!$D:$D,Results_list!$D123,SSP5_Baseline!$B:$B,2025))) / (SUMIFS(SSP5_Baseline!$E:$E,SSP5_Baseline!$C:$C,Results_list!$C$109,SSP5_Baseline!$D:$D,Results_list!$D123,SSP5_Baseline!$B:$B,2025))</f>
        <v>1.7002271467320411E-3</v>
      </c>
      <c r="N123" s="16">
        <f>((SUMIFS(SSP5_VSI!$F:$F,SSP5_VSI!$C:$C,Results_list!$C$109,SSP5_VSI!$D:$D,Results_list!$D123,SSP5_VSI!$B:$B,2040)) - (SUMIFS(SSP5_VSI!$F:$F,SSP5_VSI!$C:$C,Results_list!$C$109,SSP5_VSI!$D:$D,Results_list!$D123,SSP5_VSI!$B:$B,2025))) / (SUMIFS(SSP5_VSI!$F:$F,SSP5_VSI!$C:$C,Results_list!$C$109,SSP5_VSI!$D:$D,Results_list!$D123,SSP5_VSI!$B:$B,2025))</f>
        <v>1.7089065067030587E-3</v>
      </c>
      <c r="O123" s="13">
        <f t="shared" si="17"/>
        <v>0</v>
      </c>
    </row>
    <row r="124" spans="2:15" x14ac:dyDescent="0.35">
      <c r="B124" s="89"/>
      <c r="C124" s="89"/>
      <c r="D124" s="22" t="s">
        <v>54</v>
      </c>
      <c r="F124" s="3" t="s">
        <v>102</v>
      </c>
      <c r="G124" s="12">
        <f>((SUMIFS(SSP1_Baseline!$E:$E,SSP1_Baseline!$C:$C,Results_list!$C$109,SSP1_Baseline!$D:$D,Results_list!$D124,SSP1_Baseline!$B:$B,2040)) - (SUMIFS(SSP1_Baseline!$E:$E,SSP1_Baseline!$C:$C,Results_list!$C$109,SSP1_Baseline!$D:$D,Results_list!$D124,SSP1_Baseline!$B:$B,2025))) / (SUMIFS(SSP1_Baseline!$E:$E,SSP1_Baseline!$C:$C,Results_list!$C$109,SSP1_Baseline!$D:$D,Results_list!$D124,SSP1_Baseline!$B:$B,2025))</f>
        <v>3.2908823496329156E-5</v>
      </c>
      <c r="H124" s="16">
        <f>((SUMIFS(SSP1_VSI!$F:$F,SSP1_VSI!$C:$C,Results_list!$C$109,SSP1_VSI!$D:$D,Results_list!$D124,SSP1_VSI!$B:$B,2040)) - (SUMIFS(SSP1_VSI!$F:$F,SSP1_VSI!$C:$C,Results_list!$C$109,SSP1_VSI!$D:$D,Results_list!$D124,SSP1_VSI!$B:$B,2025))) / (SUMIFS(SSP1_VSI!$F:$F,SSP1_VSI!$C:$C,Results_list!$C$109,SSP1_VSI!$D:$D,Results_list!$D124,SSP1_VSI!$B:$B,2025))</f>
        <v>-1.0950479794864358E-3</v>
      </c>
      <c r="I124" s="13">
        <f t="shared" si="15"/>
        <v>-1E-3</v>
      </c>
      <c r="J124" s="12">
        <f>((SUMIFS(SSP2_Baseline!$E:$E,SSP2_Baseline!$C:$C,Results_list!$C$109,SSP2_Baseline!$D:$D,Results_list!$D124,SSP2_Baseline!$B:$B,2040)) - (SUMIFS(SSP2_Baseline!$E:$E,SSP2_Baseline!$C:$C,Results_list!$C$109,SSP2_Baseline!$D:$D,Results_list!$D124,SSP2_Baseline!$B:$B,2025))) / (SUMIFS(SSP2_Baseline!$E:$E,SSP2_Baseline!$C:$C,Results_list!$C$109,SSP2_Baseline!$D:$D,Results_list!$D124,SSP2_Baseline!$B:$B,2025))</f>
        <v>6.1600512815514858E-5</v>
      </c>
      <c r="K124" s="16">
        <f>((SUMIFS(SSP2_VSI!$F:$F,SSP2_VSI!$C:$C,Results_list!$C$109,SSP2_VSI!$D:$D,Results_list!$D124,SSP2_VSI!$B:$B,2040)) - (SUMIFS(SSP2_VSI!$F:$F,SSP2_VSI!$C:$C,Results_list!$C$109,SSP2_VSI!$D:$D,Results_list!$D124,SSP2_VSI!$B:$B,2025))) / (SUMIFS(SSP2_VSI!$F:$F,SSP2_VSI!$C:$C,Results_list!$C$109,SSP2_VSI!$D:$D,Results_list!$D124,SSP2_VSI!$B:$B,2025))</f>
        <v>-1.0663780935351362E-3</v>
      </c>
      <c r="L124" s="13">
        <f t="shared" si="16"/>
        <v>0</v>
      </c>
      <c r="M124" s="12">
        <f>((SUMIFS(SSP5_Baseline!$E:$E,SSP5_Baseline!$C:$C,Results_list!$C$109,SSP5_Baseline!$D:$D,Results_list!$D124,SSP5_Baseline!$B:$B,2040)) - (SUMIFS(SSP5_Baseline!$E:$E,SSP5_Baseline!$C:$C,Results_list!$C$109,SSP5_Baseline!$D:$D,Results_list!$D124,SSP5_Baseline!$B:$B,2025))) / (SUMIFS(SSP5_Baseline!$E:$E,SSP5_Baseline!$C:$C,Results_list!$C$109,SSP5_Baseline!$D:$D,Results_list!$D124,SSP5_Baseline!$B:$B,2025))</f>
        <v>1.1614567210161978E-4</v>
      </c>
      <c r="N124" s="16">
        <f>((SUMIFS(SSP5_VSI!$F:$F,SSP5_VSI!$C:$C,Results_list!$C$109,SSP5_VSI!$D:$D,Results_list!$D124,SSP5_VSI!$B:$B,2040)) - (SUMIFS(SSP5_VSI!$F:$F,SSP5_VSI!$C:$C,Results_list!$C$109,SSP5_VSI!$D:$D,Results_list!$D124,SSP5_VSI!$B:$B,2025))) / (SUMIFS(SSP5_VSI!$F:$F,SSP5_VSI!$C:$C,Results_list!$C$109,SSP5_VSI!$D:$D,Results_list!$D124,SSP5_VSI!$B:$B,2025))</f>
        <v>-1.0116595130486832E-3</v>
      </c>
      <c r="O124" s="13">
        <f t="shared" si="17"/>
        <v>0</v>
      </c>
    </row>
    <row r="125" spans="2:15" x14ac:dyDescent="0.35">
      <c r="B125" s="89"/>
      <c r="C125" s="89"/>
      <c r="D125" s="22" t="s">
        <v>55</v>
      </c>
      <c r="F125" s="3" t="s">
        <v>103</v>
      </c>
      <c r="G125" s="12">
        <f>((SUMIFS(SSP1_Baseline!$E:$E,SSP1_Baseline!$C:$C,Results_list!$C$109,SSP1_Baseline!$D:$D,Results_list!$D125,SSP1_Baseline!$B:$B,2040)) - (SUMIFS(SSP1_Baseline!$E:$E,SSP1_Baseline!$C:$C,Results_list!$C$109,SSP1_Baseline!$D:$D,Results_list!$D125,SSP1_Baseline!$B:$B,2025))) / (SUMIFS(SSP1_Baseline!$E:$E,SSP1_Baseline!$C:$C,Results_list!$C$109,SSP1_Baseline!$D:$D,Results_list!$D125,SSP1_Baseline!$B:$B,2025))</f>
        <v>2.5304989172128024E-5</v>
      </c>
      <c r="H125" s="16">
        <f>((SUMIFS(SSP1_VSI!$F:$F,SSP1_VSI!$C:$C,Results_list!$C$109,SSP1_VSI!$D:$D,Results_list!$D125,SSP1_VSI!$B:$B,2040)) - (SUMIFS(SSP1_VSI!$F:$F,SSP1_VSI!$C:$C,Results_list!$C$109,SSP1_VSI!$D:$D,Results_list!$D125,SSP1_VSI!$B:$B,2025))) / (SUMIFS(SSP1_VSI!$F:$F,SSP1_VSI!$C:$C,Results_list!$C$109,SSP1_VSI!$D:$D,Results_list!$D125,SSP1_VSI!$B:$B,2025))</f>
        <v>-0.13837088348770149</v>
      </c>
      <c r="I125" s="13">
        <f t="shared" si="15"/>
        <v>-0.13800000000000001</v>
      </c>
      <c r="J125" s="12">
        <f>((SUMIFS(SSP2_Baseline!$E:$E,SSP2_Baseline!$C:$C,Results_list!$C$109,SSP2_Baseline!$D:$D,Results_list!$D125,SSP2_Baseline!$B:$B,2040)) - (SUMIFS(SSP2_Baseline!$E:$E,SSP2_Baseline!$C:$C,Results_list!$C$109,SSP2_Baseline!$D:$D,Results_list!$D125,SSP2_Baseline!$B:$B,2025))) / (SUMIFS(SSP2_Baseline!$E:$E,SSP2_Baseline!$C:$C,Results_list!$C$109,SSP2_Baseline!$D:$D,Results_list!$D125,SSP2_Baseline!$B:$B,2025))</f>
        <v>4.7065674618190308E-5</v>
      </c>
      <c r="K125" s="16">
        <f>((SUMIFS(SSP2_VSI!$F:$F,SSP2_VSI!$C:$C,Results_list!$C$109,SSP2_VSI!$D:$D,Results_list!$D125,SSP2_VSI!$B:$B,2040)) - (SUMIFS(SSP2_VSI!$F:$F,SSP2_VSI!$C:$C,Results_list!$C$109,SSP2_VSI!$D:$D,Results_list!$D125,SSP2_VSI!$B:$B,2025))) / (SUMIFS(SSP2_VSI!$F:$F,SSP2_VSI!$C:$C,Results_list!$C$109,SSP2_VSI!$D:$D,Results_list!$D125,SSP2_VSI!$B:$B,2025))</f>
        <v>-0.13835135827173975</v>
      </c>
      <c r="L125" s="13">
        <f t="shared" si="16"/>
        <v>-0.14000000000000001</v>
      </c>
      <c r="M125" s="12">
        <f>((SUMIFS(SSP5_Baseline!$E:$E,SSP5_Baseline!$C:$C,Results_list!$C$109,SSP5_Baseline!$D:$D,Results_list!$D125,SSP5_Baseline!$B:$B,2040)) - (SUMIFS(SSP5_Baseline!$E:$E,SSP5_Baseline!$C:$C,Results_list!$C$109,SSP5_Baseline!$D:$D,Results_list!$D125,SSP5_Baseline!$B:$B,2025))) / (SUMIFS(SSP5_Baseline!$E:$E,SSP5_Baseline!$C:$C,Results_list!$C$109,SSP5_Baseline!$D:$D,Results_list!$D125,SSP5_Baseline!$B:$B,2025))</f>
        <v>9.4672479949753935E-5</v>
      </c>
      <c r="N125" s="16">
        <f>((SUMIFS(SSP5_VSI!$F:$F,SSP5_VSI!$C:$C,Results_list!$C$109,SSP5_VSI!$D:$D,Results_list!$D125,SSP5_VSI!$B:$B,2040)) - (SUMIFS(SSP5_VSI!$F:$F,SSP5_VSI!$C:$C,Results_list!$C$109,SSP5_VSI!$D:$D,Results_list!$D125,SSP5_VSI!$B:$B,2025))) / (SUMIFS(SSP5_VSI!$F:$F,SSP5_VSI!$C:$C,Results_list!$C$109,SSP5_VSI!$D:$D,Results_list!$D125,SSP5_VSI!$B:$B,2025))</f>
        <v>-0.13830261394986954</v>
      </c>
      <c r="O125" s="13">
        <f t="shared" si="17"/>
        <v>-0.14000000000000001</v>
      </c>
    </row>
    <row r="126" spans="2:15" x14ac:dyDescent="0.35">
      <c r="B126" s="90"/>
      <c r="C126" s="90"/>
      <c r="D126" s="23" t="s">
        <v>56</v>
      </c>
      <c r="F126" s="9" t="s">
        <v>104</v>
      </c>
      <c r="G126" s="14">
        <f>((SUMIFS(SSP1_Baseline!$E:$E,SSP1_Baseline!$C:$C,Results_list!$C$109,SSP1_Baseline!$D:$D,Results_list!$D126,SSP1_Baseline!$B:$B,2040)) - (SUMIFS(SSP1_Baseline!$E:$E,SSP1_Baseline!$C:$C,Results_list!$C$109,SSP1_Baseline!$D:$D,Results_list!$D126,SSP1_Baseline!$B:$B,2025))) / (SUMIFS(SSP1_Baseline!$E:$E,SSP1_Baseline!$C:$C,Results_list!$C$109,SSP1_Baseline!$D:$D,Results_list!$D126,SSP1_Baseline!$B:$B,2025))</f>
        <v>-1.1043854827802468E-2</v>
      </c>
      <c r="H126" s="17">
        <f>((SUMIFS(SSP1_VSI!$F:$F,SSP1_VSI!$C:$C,Results_list!$C$109,SSP1_VSI!$D:$D,Results_list!$D126,SSP1_VSI!$B:$B,2040)) - (SUMIFS(SSP1_VSI!$F:$F,SSP1_VSI!$C:$C,Results_list!$C$109,SSP1_VSI!$D:$D,Results_list!$D126,SSP1_VSI!$B:$B,2025))) / (SUMIFS(SSP1_VSI!$F:$F,SSP1_VSI!$C:$C,Results_list!$C$109,SSP1_VSI!$D:$D,Results_list!$D126,SSP1_VSI!$B:$B,2025))</f>
        <v>-1.1046014752425838E-2</v>
      </c>
      <c r="I126" s="15">
        <f t="shared" si="15"/>
        <v>0</v>
      </c>
      <c r="J126" s="14">
        <f>((SUMIFS(SSP2_Baseline!$E:$E,SSP2_Baseline!$C:$C,Results_list!$C$109,SSP2_Baseline!$D:$D,Results_list!$D126,SSP2_Baseline!$B:$B,2040)) - (SUMIFS(SSP2_Baseline!$E:$E,SSP2_Baseline!$C:$C,Results_list!$C$109,SSP2_Baseline!$D:$D,Results_list!$D126,SSP2_Baseline!$B:$B,2025))) / (SUMIFS(SSP2_Baseline!$E:$E,SSP2_Baseline!$C:$C,Results_list!$C$109,SSP2_Baseline!$D:$D,Results_list!$D126,SSP2_Baseline!$B:$B,2025))</f>
        <v>-1.3647151800600697E-2</v>
      </c>
      <c r="K126" s="17">
        <f>((SUMIFS(SSP2_VSI!$F:$F,SSP2_VSI!$C:$C,Results_list!$C$109,SSP2_VSI!$D:$D,Results_list!$D126,SSP2_VSI!$B:$B,2040)) - (SUMIFS(SSP2_VSI!$F:$F,SSP2_VSI!$C:$C,Results_list!$C$109,SSP2_VSI!$D:$D,Results_list!$D126,SSP2_VSI!$B:$B,2025))) / (SUMIFS(SSP2_VSI!$F:$F,SSP2_VSI!$C:$C,Results_list!$C$109,SSP2_VSI!$D:$D,Results_list!$D126,SSP2_VSI!$B:$B,2025))</f>
        <v>-1.3652351865198626E-2</v>
      </c>
      <c r="L126" s="15">
        <f t="shared" si="16"/>
        <v>0</v>
      </c>
      <c r="M126" s="14">
        <f>((SUMIFS(SSP5_Baseline!$E:$E,SSP5_Baseline!$C:$C,Results_list!$C$109,SSP5_Baseline!$D:$D,Results_list!$D126,SSP5_Baseline!$B:$B,2040)) - (SUMIFS(SSP5_Baseline!$E:$E,SSP5_Baseline!$C:$C,Results_list!$C$109,SSP5_Baseline!$D:$D,Results_list!$D126,SSP5_Baseline!$B:$B,2025))) / (SUMIFS(SSP5_Baseline!$E:$E,SSP5_Baseline!$C:$C,Results_list!$C$109,SSP5_Baseline!$D:$D,Results_list!$D126,SSP5_Baseline!$B:$B,2025))</f>
        <v>-5.9467991940359323E-3</v>
      </c>
      <c r="N126" s="17">
        <f>((SUMIFS(SSP5_VSI!$F:$F,SSP5_VSI!$C:$C,Results_list!$C$109,SSP5_VSI!$D:$D,Results_list!$D126,SSP5_VSI!$B:$B,2040)) - (SUMIFS(SSP5_VSI!$F:$F,SSP5_VSI!$C:$C,Results_list!$C$109,SSP5_VSI!$D:$D,Results_list!$D126,SSP5_VSI!$B:$B,2025))) / (SUMIFS(SSP5_VSI!$F:$F,SSP5_VSI!$C:$C,Results_list!$C$109,SSP5_VSI!$D:$D,Results_list!$D126,SSP5_VSI!$B:$B,2025))</f>
        <v>-5.939368189811986E-3</v>
      </c>
      <c r="O126" s="15">
        <f t="shared" si="17"/>
        <v>0</v>
      </c>
    </row>
    <row r="128" spans="2:15" ht="19" customHeight="1" x14ac:dyDescent="0.35">
      <c r="F128" s="2"/>
      <c r="G128" s="78" t="s">
        <v>3</v>
      </c>
      <c r="H128" s="79"/>
      <c r="I128" s="79"/>
      <c r="J128" s="79"/>
      <c r="K128" s="79"/>
      <c r="L128" s="79"/>
      <c r="M128" s="79"/>
      <c r="N128" s="79"/>
      <c r="O128" s="80"/>
    </row>
    <row r="129" spans="2:15" ht="29" x14ac:dyDescent="0.35">
      <c r="B129" s="8" t="s">
        <v>30</v>
      </c>
      <c r="C129" s="8" t="s">
        <v>30</v>
      </c>
      <c r="D129" s="6" t="s">
        <v>106</v>
      </c>
      <c r="F129" s="7" t="s">
        <v>105</v>
      </c>
      <c r="G129" s="10" t="s">
        <v>0</v>
      </c>
      <c r="H129" s="11" t="s">
        <v>108</v>
      </c>
      <c r="I129" s="18" t="s">
        <v>107</v>
      </c>
      <c r="J129" s="10" t="s">
        <v>1</v>
      </c>
      <c r="K129" s="11" t="s">
        <v>109</v>
      </c>
      <c r="L129" s="18" t="s">
        <v>107</v>
      </c>
      <c r="M129" s="10" t="s">
        <v>2</v>
      </c>
      <c r="N129" s="11" t="s">
        <v>110</v>
      </c>
      <c r="O129" s="18" t="s">
        <v>107</v>
      </c>
    </row>
    <row r="130" spans="2:15" ht="14.5" customHeight="1" x14ac:dyDescent="0.35">
      <c r="B130" s="89" t="s">
        <v>115</v>
      </c>
      <c r="C130" s="89" t="s">
        <v>61</v>
      </c>
      <c r="D130" s="22" t="s">
        <v>38</v>
      </c>
      <c r="F130" s="3" t="s">
        <v>87</v>
      </c>
      <c r="G130" s="12">
        <f>((SUMIFS(SSP1_Baseline!$E:$E,SSP1_Baseline!$C:$C,Results_list!$C$130,SSP1_Baseline!$D:$D,Results_list!$D130,SSP1_Baseline!$B:$B,2040))
- (SUMIFS(SSP1_Baseline!$E:$E,SSP1_Baseline!$C:$C,Results_list!$C$130,SSP1_Baseline!$D:$D,Results_list!$D130,SSP1_Baseline!$B:$B,2025)))
/ (SUMIFS(SSP1_Baseline!$E:$E,SSP1_Baseline!$C:$C,Results_list!$C$130,SSP1_Baseline!$D:$D,Results_list!$D130,SSP1_Baseline!$B:$B,2025))</f>
        <v>-6.0792318782618926E-2</v>
      </c>
      <c r="H130" s="16">
        <f>((SUMIFS(SSP1_VSI!$F:$F,SSP1_VSI!$C:$C,Results_list!$C$130,SSP1_VSI!$D:$D,Results_list!$D130,SSP1_VSI!$B:$B,2040))
- (SUMIFS(SSP1_VSI!$F:$F,SSP1_VSI!$C:$C,Results_list!$C$130,SSP1_VSI!$D:$D,Results_list!$D130,SSP1_VSI!$B:$B,2025)))
/ (SUMIFS(SSP1_VSI!$F:$F,SSP1_VSI!$C:$C,Results_list!$C$130,SSP1_VSI!$D:$D,Results_list!$D130,SSP1_VSI!$B:$B,2025))</f>
        <v>-0.1466845697604558</v>
      </c>
      <c r="I130" s="19">
        <f>ROUND(H130-G130,3)</f>
        <v>-8.5999999999999993E-2</v>
      </c>
      <c r="J130" s="12">
        <f>((SUMIFS(SSP2_Baseline!$E:$E,SSP2_Baseline!$C:$C,Results_list!$C$130,SSP2_Baseline!$D:$D,Results_list!$D130,SSP2_Baseline!$B:$B,2040))
- (SUMIFS(SSP2_Baseline!$E:$E,SSP2_Baseline!$C:$C,Results_list!$C$130,SSP2_Baseline!$D:$D,Results_list!$D130,SSP2_Baseline!$B:$B,2025)))
/ (SUMIFS(SSP2_Baseline!$E:$E,SSP2_Baseline!$C:$C,Results_list!$C$130,SSP2_Baseline!$D:$D,Results_list!$D130,SSP2_Baseline!$B:$B,2025))</f>
        <v>0.32983976204437315</v>
      </c>
      <c r="K130" s="16">
        <f>((SUMIFS(SSP2_VSI!$F:$F,SSP2_VSI!$C:$C,Results_list!$C$130,SSP2_VSI!$D:$D,Results_list!$D130,SSP2_VSI!$B:$B,2040))
- (SUMIFS(SSP2_VSI!$F:$F,SSP2_VSI!$C:$C,Results_list!$C$130,SSP2_VSI!$D:$D,Results_list!$D130,SSP2_VSI!$B:$B,2025)))
/ (SUMIFS(SSP2_VSI!$F:$F,SSP2_VSI!$C:$C,Results_list!$C$130,SSP2_VSI!$D:$D,Results_list!$D130,SSP2_VSI!$B:$B,2025))</f>
        <v>0.16561932130258133</v>
      </c>
      <c r="L130" s="19">
        <f>ROUND(K130-J130,2)</f>
        <v>-0.16</v>
      </c>
      <c r="M130" s="12">
        <f>((SUMIFS(SSP5_Baseline!$E:$E,SSP5_Baseline!$C:$C,Results_list!$C$130,SSP5_Baseline!$D:$D,Results_list!$D130,SSP5_Baseline!$B:$B,2040))
- (SUMIFS(SSP5_Baseline!$E:$E,SSP5_Baseline!$C:$C,Results_list!$C$130,SSP5_Baseline!$D:$D,Results_list!$D130,SSP5_Baseline!$B:$B,2025)))
/ (SUMIFS(SSP5_Baseline!$E:$E,SSP5_Baseline!$C:$C,Results_list!$C$130,SSP5_Baseline!$D:$D,Results_list!$D130,SSP5_Baseline!$B:$B,2025))</f>
        <v>0.53528019598641363</v>
      </c>
      <c r="N130" s="16">
        <f>((SUMIFS(SSP5_VSI!$F:$F,SSP5_VSI!$C:$C,Results_list!$C$130,SSP5_VSI!$D:$D,Results_list!$D130,SSP5_VSI!$B:$B,2040))
- (SUMIFS(SSP5_VSI!$F:$F,SSP5_VSI!$C:$C,Results_list!$C$130,SSP5_VSI!$D:$D,Results_list!$D130,SSP5_VSI!$B:$B,2025)))
/ (SUMIFS(SSP5_VSI!$F:$F,SSP5_VSI!$C:$C,Results_list!$C$130,SSP5_VSI!$D:$D,Results_list!$D130,SSP5_VSI!$B:$B,2025))</f>
        <v>0.36207163920893753</v>
      </c>
      <c r="O130" s="19">
        <f>ROUND(N130-M130,2)</f>
        <v>-0.17</v>
      </c>
    </row>
    <row r="131" spans="2:15" x14ac:dyDescent="0.35">
      <c r="B131" s="89"/>
      <c r="C131" s="89"/>
      <c r="D131" s="22" t="s">
        <v>40</v>
      </c>
      <c r="F131" s="3" t="s">
        <v>88</v>
      </c>
      <c r="G131" s="12">
        <f>((SUMIFS(SSP1_Baseline!$E:$E,SSP1_Baseline!$C:$C,Results_list!$C$130,SSP1_Baseline!$D:$D,Results_list!$D131,SSP1_Baseline!$B:$B,2040)) - (SUMIFS(SSP1_Baseline!$E:$E,SSP1_Baseline!$C:$C,Results_list!$C$130,SSP1_Baseline!$D:$D,Results_list!$D131,SSP1_Baseline!$B:$B,2025))) / (SUMIFS(SSP1_Baseline!$E:$E,SSP1_Baseline!$C:$C,Results_list!$C$130,SSP1_Baseline!$D:$D,Results_list!$D131,SSP1_Baseline!$B:$B,2025))</f>
        <v>2.6067838306918806E-2</v>
      </c>
      <c r="H131" s="16">
        <f>((SUMIFS(SSP1_VSI!$F:$F,SSP1_VSI!$C:$C,Results_list!$C$130,SSP1_VSI!$D:$D,Results_list!$D131,SSP1_VSI!$B:$B,2040)) - (SUMIFS(SSP1_VSI!$F:$F,SSP1_VSI!$C:$C,Results_list!$C$130,SSP1_VSI!$D:$D,Results_list!$D131,SSP1_VSI!$B:$B,2025))) / (SUMIFS(SSP1_VSI!$F:$F,SSP1_VSI!$C:$C,Results_list!$C$130,SSP1_VSI!$D:$D,Results_list!$D131,SSP1_VSI!$B:$B,2025))</f>
        <v>2.6051227524195305E-2</v>
      </c>
      <c r="I131" s="13">
        <f t="shared" ref="I131:I147" si="18">ROUND(H131-G131,3)</f>
        <v>0</v>
      </c>
      <c r="J131" s="12">
        <f>((SUMIFS(SSP2_Baseline!$E:$E,SSP2_Baseline!$C:$C,Results_list!$C$130,SSP2_Baseline!$D:$D,Results_list!$D131,SSP2_Baseline!$B:$B,2040)) - (SUMIFS(SSP2_Baseline!$E:$E,SSP2_Baseline!$C:$C,Results_list!$C$130,SSP2_Baseline!$D:$D,Results_list!$D131,SSP2_Baseline!$B:$B,2025))) / (SUMIFS(SSP2_Baseline!$E:$E,SSP2_Baseline!$C:$C,Results_list!$C$130,SSP2_Baseline!$D:$D,Results_list!$D131,SSP2_Baseline!$B:$B,2025))</f>
        <v>1.9768393578845619E-2</v>
      </c>
      <c r="K131" s="16">
        <f>((SUMIFS(SSP2_VSI!$F:$F,SSP2_VSI!$C:$C,Results_list!$C$130,SSP2_VSI!$D:$D,Results_list!$D131,SSP2_VSI!$B:$B,2040)) - (SUMIFS(SSP2_VSI!$F:$F,SSP2_VSI!$C:$C,Results_list!$C$130,SSP2_VSI!$D:$D,Results_list!$D131,SSP2_VSI!$B:$B,2025))) / (SUMIFS(SSP2_VSI!$F:$F,SSP2_VSI!$C:$C,Results_list!$C$130,SSP2_VSI!$D:$D,Results_list!$D131,SSP2_VSI!$B:$B,2025))</f>
        <v>1.9725086542484244E-2</v>
      </c>
      <c r="L131" s="13">
        <f t="shared" ref="L131:L147" si="19">ROUND(K131-J131,2)</f>
        <v>0</v>
      </c>
      <c r="M131" s="12">
        <f>((SUMIFS(SSP5_Baseline!$E:$E,SSP5_Baseline!$C:$C,Results_list!$C$130,SSP5_Baseline!$D:$D,Results_list!$D131,SSP5_Baseline!$B:$B,2040)) - (SUMIFS(SSP5_Baseline!$E:$E,SSP5_Baseline!$C:$C,Results_list!$C$130,SSP5_Baseline!$D:$D,Results_list!$D131,SSP5_Baseline!$B:$B,2025))) / (SUMIFS(SSP5_Baseline!$E:$E,SSP5_Baseline!$C:$C,Results_list!$C$130,SSP5_Baseline!$D:$D,Results_list!$D131,SSP5_Baseline!$B:$B,2025))</f>
        <v>-5.0113640557137989E-3</v>
      </c>
      <c r="N131" s="16">
        <f>((SUMIFS(SSP5_VSI!$F:$F,SSP5_VSI!$C:$C,Results_list!$C$130,SSP5_VSI!$D:$D,Results_list!$D131,SSP5_VSI!$B:$B,2040)) - (SUMIFS(SSP5_VSI!$F:$F,SSP5_VSI!$C:$C,Results_list!$C$130,SSP5_VSI!$D:$D,Results_list!$D131,SSP5_VSI!$B:$B,2025))) / (SUMIFS(SSP5_VSI!$F:$F,SSP5_VSI!$C:$C,Results_list!$C$130,SSP5_VSI!$D:$D,Results_list!$D131,SSP5_VSI!$B:$B,2025))</f>
        <v>-5.0476416936009261E-3</v>
      </c>
      <c r="O131" s="13">
        <f t="shared" ref="O131:O147" si="20">ROUND(N131-M131,2)</f>
        <v>0</v>
      </c>
    </row>
    <row r="132" spans="2:15" x14ac:dyDescent="0.35">
      <c r="B132" s="89"/>
      <c r="C132" s="89"/>
      <c r="D132" s="22" t="s">
        <v>41</v>
      </c>
      <c r="F132" s="3" t="s">
        <v>89</v>
      </c>
      <c r="G132" s="12">
        <f>((SUMIFS(SSP1_Baseline!$E:$E,SSP1_Baseline!$C:$C,Results_list!$C$130,SSP1_Baseline!$D:$D,Results_list!$D132,SSP1_Baseline!$B:$B,2040)) - (SUMIFS(SSP1_Baseline!$E:$E,SSP1_Baseline!$C:$C,Results_list!$C$130,SSP1_Baseline!$D:$D,Results_list!$D132,SSP1_Baseline!$B:$B,2025))) / (SUMIFS(SSP1_Baseline!$E:$E,SSP1_Baseline!$C:$C,Results_list!$C$130,SSP1_Baseline!$D:$D,Results_list!$D132,SSP1_Baseline!$B:$B,2025))</f>
        <v>-2.6462710717314411E-3</v>
      </c>
      <c r="H132" s="16">
        <f>((SUMIFS(SSP1_VSI!$F:$F,SSP1_VSI!$C:$C,Results_list!$C$130,SSP1_VSI!$D:$D,Results_list!$D132,SSP1_VSI!$B:$B,2040)) - (SUMIFS(SSP1_VSI!$F:$F,SSP1_VSI!$C:$C,Results_list!$C$130,SSP1_VSI!$D:$D,Results_list!$D132,SSP1_VSI!$B:$B,2025))) / (SUMIFS(SSP1_VSI!$F:$F,SSP1_VSI!$C:$C,Results_list!$C$130,SSP1_VSI!$D:$D,Results_list!$D132,SSP1_VSI!$B:$B,2025))</f>
        <v>-0.70917185677437589</v>
      </c>
      <c r="I132" s="13">
        <f t="shared" si="18"/>
        <v>-0.70699999999999996</v>
      </c>
      <c r="J132" s="12">
        <f>((SUMIFS(SSP2_Baseline!$E:$E,SSP2_Baseline!$C:$C,Results_list!$C$130,SSP2_Baseline!$D:$D,Results_list!$D132,SSP2_Baseline!$B:$B,2040)) - (SUMIFS(SSP2_Baseline!$E:$E,SSP2_Baseline!$C:$C,Results_list!$C$130,SSP2_Baseline!$D:$D,Results_list!$D132,SSP2_Baseline!$B:$B,2025))) / (SUMIFS(SSP2_Baseline!$E:$E,SSP2_Baseline!$C:$C,Results_list!$C$130,SSP2_Baseline!$D:$D,Results_list!$D132,SSP2_Baseline!$B:$B,2025))</f>
        <v>-1.5017204696393316E-3</v>
      </c>
      <c r="K132" s="16">
        <f>((SUMIFS(SSP2_VSI!$F:$F,SSP2_VSI!$C:$C,Results_list!$C$130,SSP2_VSI!$D:$D,Results_list!$D132,SSP2_VSI!$B:$B,2040)) - (SUMIFS(SSP2_VSI!$F:$F,SSP2_VSI!$C:$C,Results_list!$C$130,SSP2_VSI!$D:$D,Results_list!$D132,SSP2_VSI!$B:$B,2025))) / (SUMIFS(SSP2_VSI!$F:$F,SSP2_VSI!$C:$C,Results_list!$C$130,SSP2_VSI!$D:$D,Results_list!$D132,SSP2_VSI!$B:$B,2025))</f>
        <v>-0.70900238270475147</v>
      </c>
      <c r="L132" s="13">
        <f t="shared" si="19"/>
        <v>-0.71</v>
      </c>
      <c r="M132" s="12">
        <f>((SUMIFS(SSP5_Baseline!$E:$E,SSP5_Baseline!$C:$C,Results_list!$C$130,SSP5_Baseline!$D:$D,Results_list!$D132,SSP5_Baseline!$B:$B,2040)) - (SUMIFS(SSP5_Baseline!$E:$E,SSP5_Baseline!$C:$C,Results_list!$C$130,SSP5_Baseline!$D:$D,Results_list!$D132,SSP5_Baseline!$B:$B,2025))) / (SUMIFS(SSP5_Baseline!$E:$E,SSP5_Baseline!$C:$C,Results_list!$C$130,SSP5_Baseline!$D:$D,Results_list!$D132,SSP5_Baseline!$B:$B,2025))</f>
        <v>4.8458728905570129E-3</v>
      </c>
      <c r="N132" s="16">
        <f>((SUMIFS(SSP5_VSI!$F:$F,SSP5_VSI!$C:$C,Results_list!$C$130,SSP5_VSI!$D:$D,Results_list!$D132,SSP5_VSI!$B:$B,2040)) - (SUMIFS(SSP5_VSI!$F:$F,SSP5_VSI!$C:$C,Results_list!$C$130,SSP5_VSI!$D:$D,Results_list!$D132,SSP5_VSI!$B:$B,2025))) / (SUMIFS(SSP5_VSI!$F:$F,SSP5_VSI!$C:$C,Results_list!$C$130,SSP5_VSI!$D:$D,Results_list!$D132,SSP5_VSI!$B:$B,2025))</f>
        <v>-0.70162148949115966</v>
      </c>
      <c r="O132" s="13">
        <f t="shared" si="20"/>
        <v>-0.71</v>
      </c>
    </row>
    <row r="133" spans="2:15" x14ac:dyDescent="0.35">
      <c r="B133" s="89"/>
      <c r="C133" s="89"/>
      <c r="D133" s="22" t="s">
        <v>42</v>
      </c>
      <c r="F133" s="3" t="s">
        <v>90</v>
      </c>
      <c r="G133" s="12">
        <f>((SUMIFS(SSP1_Baseline!$E:$E,SSP1_Baseline!$C:$C,Results_list!$C$130,SSP1_Baseline!$D:$D,Results_list!$D133,SSP1_Baseline!$B:$B,2040)) - (SUMIFS(SSP1_Baseline!$E:$E,SSP1_Baseline!$C:$C,Results_list!$C$130,SSP1_Baseline!$D:$D,Results_list!$D133,SSP1_Baseline!$B:$B,2025))) / (SUMIFS(SSP1_Baseline!$E:$E,SSP1_Baseline!$C:$C,Results_list!$C$130,SSP1_Baseline!$D:$D,Results_list!$D133,SSP1_Baseline!$B:$B,2025))</f>
        <v>-1.3739170229360562E-2</v>
      </c>
      <c r="H133" s="16">
        <f>((SUMIFS(SSP1_VSI!$F:$F,SSP1_VSI!$C:$C,Results_list!$C$130,SSP1_VSI!$D:$D,Results_list!$D133,SSP1_VSI!$B:$B,2040)) - (SUMIFS(SSP1_VSI!$F:$F,SSP1_VSI!$C:$C,Results_list!$C$130,SSP1_VSI!$D:$D,Results_list!$D133,SSP1_VSI!$B:$B,2025))) / (SUMIFS(SSP1_VSI!$F:$F,SSP1_VSI!$C:$C,Results_list!$C$130,SSP1_VSI!$D:$D,Results_list!$D133,SSP1_VSI!$B:$B,2025))</f>
        <v>-6.4057450063753962E-2</v>
      </c>
      <c r="I133" s="13">
        <f t="shared" si="18"/>
        <v>-0.05</v>
      </c>
      <c r="J133" s="12">
        <f>((SUMIFS(SSP2_Baseline!$E:$E,SSP2_Baseline!$C:$C,Results_list!$C$130,SSP2_Baseline!$D:$D,Results_list!$D133,SSP2_Baseline!$B:$B,2040)) - (SUMIFS(SSP2_Baseline!$E:$E,SSP2_Baseline!$C:$C,Results_list!$C$130,SSP2_Baseline!$D:$D,Results_list!$D133,SSP2_Baseline!$B:$B,2025))) / (SUMIFS(SSP2_Baseline!$E:$E,SSP2_Baseline!$C:$C,Results_list!$C$130,SSP2_Baseline!$D:$D,Results_list!$D133,SSP2_Baseline!$B:$B,2025))</f>
        <v>6.8806885354495114E-3</v>
      </c>
      <c r="K133" s="16">
        <f>((SUMIFS(SSP2_VSI!$F:$F,SSP2_VSI!$C:$C,Results_list!$C$130,SSP2_VSI!$D:$D,Results_list!$D133,SSP2_VSI!$B:$B,2040)) - (SUMIFS(SSP2_VSI!$F:$F,SSP2_VSI!$C:$C,Results_list!$C$130,SSP2_VSI!$D:$D,Results_list!$D133,SSP2_VSI!$B:$B,2025))) / (SUMIFS(SSP2_VSI!$F:$F,SSP2_VSI!$C:$C,Results_list!$C$130,SSP2_VSI!$D:$D,Results_list!$D133,SSP2_VSI!$B:$B,2025))</f>
        <v>-4.3500875894758533E-2</v>
      </c>
      <c r="L133" s="13">
        <f t="shared" si="19"/>
        <v>-0.05</v>
      </c>
      <c r="M133" s="12">
        <f>((SUMIFS(SSP5_Baseline!$E:$E,SSP5_Baseline!$C:$C,Results_list!$C$130,SSP5_Baseline!$D:$D,Results_list!$D133,SSP5_Baseline!$B:$B,2040)) - (SUMIFS(SSP5_Baseline!$E:$E,SSP5_Baseline!$C:$C,Results_list!$C$130,SSP5_Baseline!$D:$D,Results_list!$D133,SSP5_Baseline!$B:$B,2025))) / (SUMIFS(SSP5_Baseline!$E:$E,SSP5_Baseline!$C:$C,Results_list!$C$130,SSP5_Baseline!$D:$D,Results_list!$D133,SSP5_Baseline!$B:$B,2025))</f>
        <v>1.485922765910345E-2</v>
      </c>
      <c r="N133" s="16">
        <f>((SUMIFS(SSP5_VSI!$F:$F,SSP5_VSI!$C:$C,Results_list!$C$130,SSP5_VSI!$D:$D,Results_list!$D133,SSP5_VSI!$B:$B,2040)) - (SUMIFS(SSP5_VSI!$F:$F,SSP5_VSI!$C:$C,Results_list!$C$130,SSP5_VSI!$D:$D,Results_list!$D133,SSP5_VSI!$B:$B,2025))) / (SUMIFS(SSP5_VSI!$F:$F,SSP5_VSI!$C:$C,Results_list!$C$130,SSP5_VSI!$D:$D,Results_list!$D133,SSP5_VSI!$B:$B,2025))</f>
        <v>-3.5383819400636951E-2</v>
      </c>
      <c r="O133" s="13">
        <f t="shared" si="20"/>
        <v>-0.05</v>
      </c>
    </row>
    <row r="134" spans="2:15" x14ac:dyDescent="0.35">
      <c r="B134" s="89"/>
      <c r="C134" s="89"/>
      <c r="D134" s="22" t="s">
        <v>43</v>
      </c>
      <c r="F134" s="3" t="s">
        <v>91</v>
      </c>
      <c r="G134" s="12">
        <f>((SUMIFS(SSP1_Baseline!$E:$E,SSP1_Baseline!$C:$C,Results_list!$C$130,SSP1_Baseline!$D:$D,Results_list!$D134,SSP1_Baseline!$B:$B,2040)) - (SUMIFS(SSP1_Baseline!$E:$E,SSP1_Baseline!$C:$C,Results_list!$C$130,SSP1_Baseline!$D:$D,Results_list!$D134,SSP1_Baseline!$B:$B,2025))) / (SUMIFS(SSP1_Baseline!$E:$E,SSP1_Baseline!$C:$C,Results_list!$C$130,SSP1_Baseline!$D:$D,Results_list!$D134,SSP1_Baseline!$B:$B,2025))</f>
        <v>-1.0318123096041619E-2</v>
      </c>
      <c r="H134" s="16">
        <f>((SUMIFS(SSP1_VSI!$F:$F,SSP1_VSI!$C:$C,Results_list!$C$130,SSP1_VSI!$D:$D,Results_list!$D134,SSP1_VSI!$B:$B,2040)) - (SUMIFS(SSP1_VSI!$F:$F,SSP1_VSI!$C:$C,Results_list!$C$130,SSP1_VSI!$D:$D,Results_list!$D134,SSP1_VSI!$B:$B,2025))) / (SUMIFS(SSP1_VSI!$F:$F,SSP1_VSI!$C:$C,Results_list!$C$130,SSP1_VSI!$D:$D,Results_list!$D134,SSP1_VSI!$B:$B,2025))</f>
        <v>-1.0373862657116588E-2</v>
      </c>
      <c r="I134" s="13">
        <f t="shared" si="18"/>
        <v>0</v>
      </c>
      <c r="J134" s="12">
        <f>((SUMIFS(SSP2_Baseline!$E:$E,SSP2_Baseline!$C:$C,Results_list!$C$130,SSP2_Baseline!$D:$D,Results_list!$D134,SSP2_Baseline!$B:$B,2040)) - (SUMIFS(SSP2_Baseline!$E:$E,SSP2_Baseline!$C:$C,Results_list!$C$130,SSP2_Baseline!$D:$D,Results_list!$D134,SSP2_Baseline!$B:$B,2025))) / (SUMIFS(SSP2_Baseline!$E:$E,SSP2_Baseline!$C:$C,Results_list!$C$130,SSP2_Baseline!$D:$D,Results_list!$D134,SSP2_Baseline!$B:$B,2025))</f>
        <v>3.4838983762479125E-2</v>
      </c>
      <c r="K134" s="16">
        <f>((SUMIFS(SSP2_VSI!$F:$F,SSP2_VSI!$C:$C,Results_list!$C$130,SSP2_VSI!$D:$D,Results_list!$D134,SSP2_VSI!$B:$B,2040)) - (SUMIFS(SSP2_VSI!$F:$F,SSP2_VSI!$C:$C,Results_list!$C$130,SSP2_VSI!$D:$D,Results_list!$D134,SSP2_VSI!$B:$B,2025))) / (SUMIFS(SSP2_VSI!$F:$F,SSP2_VSI!$C:$C,Results_list!$C$130,SSP2_VSI!$D:$D,Results_list!$D134,SSP2_VSI!$B:$B,2025))</f>
        <v>3.4845816043783583E-2</v>
      </c>
      <c r="L134" s="13">
        <f t="shared" si="19"/>
        <v>0</v>
      </c>
      <c r="M134" s="12">
        <f>((SUMIFS(SSP5_Baseline!$E:$E,SSP5_Baseline!$C:$C,Results_list!$C$130,SSP5_Baseline!$D:$D,Results_list!$D134,SSP5_Baseline!$B:$B,2040)) - (SUMIFS(SSP5_Baseline!$E:$E,SSP5_Baseline!$C:$C,Results_list!$C$130,SSP5_Baseline!$D:$D,Results_list!$D134,SSP5_Baseline!$B:$B,2025))) / (SUMIFS(SSP5_Baseline!$E:$E,SSP5_Baseline!$C:$C,Results_list!$C$130,SSP5_Baseline!$D:$D,Results_list!$D134,SSP5_Baseline!$B:$B,2025))</f>
        <v>5.5095015868767076E-2</v>
      </c>
      <c r="N134" s="16">
        <f>((SUMIFS(SSP5_VSI!$F:$F,SSP5_VSI!$C:$C,Results_list!$C$130,SSP5_VSI!$D:$D,Results_list!$D134,SSP5_VSI!$B:$B,2040)) - (SUMIFS(SSP5_VSI!$F:$F,SSP5_VSI!$C:$C,Results_list!$C$130,SSP5_VSI!$D:$D,Results_list!$D134,SSP5_VSI!$B:$B,2025))) / (SUMIFS(SSP5_VSI!$F:$F,SSP5_VSI!$C:$C,Results_list!$C$130,SSP5_VSI!$D:$D,Results_list!$D134,SSP5_VSI!$B:$B,2025))</f>
        <v>5.5060358173928327E-2</v>
      </c>
      <c r="O134" s="13">
        <f t="shared" si="20"/>
        <v>0</v>
      </c>
    </row>
    <row r="135" spans="2:15" x14ac:dyDescent="0.35">
      <c r="B135" s="89"/>
      <c r="C135" s="89"/>
      <c r="D135" t="s">
        <v>136</v>
      </c>
      <c r="F135" s="3" t="s">
        <v>92</v>
      </c>
      <c r="G135" s="12">
        <f>((SUMIFS(SSP1_Baseline!$E:$E,SSP1_Baseline!$C:$C,Results_list!$C$130,SSP1_Baseline!$D:$D,Results_list!$D135,SSP1_Baseline!$B:$B,2040)) - (SUMIFS(SSP1_Baseline!$E:$E,SSP1_Baseline!$C:$C,Results_list!$C$130,SSP1_Baseline!$D:$D,Results_list!$D135,SSP1_Baseline!$B:$B,2025))) / (SUMIFS(SSP1_Baseline!$E:$E,SSP1_Baseline!$C:$C,Results_list!$C$130,SSP1_Baseline!$D:$D,Results_list!$D135,SSP1_Baseline!$B:$B,2025))</f>
        <v>-0.11982817040108909</v>
      </c>
      <c r="H135" s="16">
        <f>((SUMIFS(SSP1_VSI!$F:$F,SSP1_VSI!$C:$C,Results_list!$C$130,SSP1_VSI!$D:$D,Results_list!$D135,SSP1_VSI!$B:$B,2040)) - (SUMIFS(SSP1_VSI!$F:$F,SSP1_VSI!$C:$C,Results_list!$C$130,SSP1_VSI!$D:$D,Results_list!$D135,SSP1_VSI!$B:$B,2025))) / (SUMIFS(SSP1_VSI!$F:$F,SSP1_VSI!$C:$C,Results_list!$C$130,SSP1_VSI!$D:$D,Results_list!$D135,SSP1_VSI!$B:$B,2025))</f>
        <v>-0.15877197159433859</v>
      </c>
      <c r="I135" s="13">
        <f t="shared" si="18"/>
        <v>-3.9E-2</v>
      </c>
      <c r="J135" s="12">
        <f>((SUMIFS(SSP2_Baseline!$E:$E,SSP2_Baseline!$C:$C,Results_list!$C$130,SSP2_Baseline!$D:$D,Results_list!$D135,SSP2_Baseline!$B:$B,2040)) - (SUMIFS(SSP2_Baseline!$E:$E,SSP2_Baseline!$C:$C,Results_list!$C$130,SSP2_Baseline!$D:$D,Results_list!$D135,SSP2_Baseline!$B:$B,2025))) / (SUMIFS(SSP2_Baseline!$E:$E,SSP2_Baseline!$C:$C,Results_list!$C$130,SSP2_Baseline!$D:$D,Results_list!$D135,SSP2_Baseline!$B:$B,2025))</f>
        <v>-9.0955513749561206E-2</v>
      </c>
      <c r="K135" s="16">
        <f>((SUMIFS(SSP2_VSI!$F:$F,SSP2_VSI!$C:$C,Results_list!$C$130,SSP2_VSI!$D:$D,Results_list!$D135,SSP2_VSI!$B:$B,2040)) - (SUMIFS(SSP2_VSI!$F:$F,SSP2_VSI!$C:$C,Results_list!$C$130,SSP2_VSI!$D:$D,Results_list!$D135,SSP2_VSI!$B:$B,2025))) / (SUMIFS(SSP2_VSI!$F:$F,SSP2_VSI!$C:$C,Results_list!$C$130,SSP2_VSI!$D:$D,Results_list!$D135,SSP2_VSI!$B:$B,2025))</f>
        <v>-0.1298499429160534</v>
      </c>
      <c r="L135" s="13">
        <f t="shared" si="19"/>
        <v>-0.04</v>
      </c>
      <c r="M135" s="12">
        <f>((SUMIFS(SSP5_Baseline!$E:$E,SSP5_Baseline!$C:$C,Results_list!$C$130,SSP5_Baseline!$D:$D,Results_list!$D135,SSP5_Baseline!$B:$B,2040)) - (SUMIFS(SSP5_Baseline!$E:$E,SSP5_Baseline!$C:$C,Results_list!$C$130,SSP5_Baseline!$D:$D,Results_list!$D135,SSP5_Baseline!$B:$B,2025))) / (SUMIFS(SSP5_Baseline!$E:$E,SSP5_Baseline!$C:$C,Results_list!$C$130,SSP5_Baseline!$D:$D,Results_list!$D135,SSP5_Baseline!$B:$B,2025))</f>
        <v>-7.3739554203349836E-3</v>
      </c>
      <c r="N135" s="16">
        <f>((SUMIFS(SSP5_VSI!$F:$F,SSP5_VSI!$C:$C,Results_list!$C$130,SSP5_VSI!$D:$D,Results_list!$D135,SSP5_VSI!$B:$B,2040)) - (SUMIFS(SSP5_VSI!$F:$F,SSP5_VSI!$C:$C,Results_list!$C$130,SSP5_VSI!$D:$D,Results_list!$D135,SSP5_VSI!$B:$B,2025))) / (SUMIFS(SSP5_VSI!$F:$F,SSP5_VSI!$C:$C,Results_list!$C$130,SSP5_VSI!$D:$D,Results_list!$D135,SSP5_VSI!$B:$B,2025))</f>
        <v>-4.5443652199641506E-2</v>
      </c>
      <c r="O135" s="13">
        <f t="shared" si="20"/>
        <v>-0.04</v>
      </c>
    </row>
    <row r="136" spans="2:15" ht="14.5" customHeight="1" x14ac:dyDescent="0.35">
      <c r="B136" s="89"/>
      <c r="C136" s="89"/>
      <c r="D136" s="22" t="s">
        <v>45</v>
      </c>
      <c r="F136" s="3" t="s">
        <v>93</v>
      </c>
      <c r="G136" s="12">
        <f>((SUMIFS(SSP1_Baseline!$E:$E,SSP1_Baseline!$C:$C,Results_list!$C$130,SSP1_Baseline!$D:$D,Results_list!$D136,SSP1_Baseline!$B:$B,2040)) - (SUMIFS(SSP1_Baseline!$E:$E,SSP1_Baseline!$C:$C,Results_list!$C$130,SSP1_Baseline!$D:$D,Results_list!$D136,SSP1_Baseline!$B:$B,2025))) / (SUMIFS(SSP1_Baseline!$E:$E,SSP1_Baseline!$C:$C,Results_list!$C$130,SSP1_Baseline!$D:$D,Results_list!$D136,SSP1_Baseline!$B:$B,2025))</f>
        <v>-8.9391548167719204E-3</v>
      </c>
      <c r="H136" s="16">
        <f>((SUMIFS(SSP1_VSI!$F:$F,SSP1_VSI!$C:$C,Results_list!$C$130,SSP1_VSI!$D:$D,Results_list!$D136,SSP1_VSI!$B:$B,2040)) - (SUMIFS(SSP1_VSI!$F:$F,SSP1_VSI!$C:$C,Results_list!$C$130,SSP1_VSI!$D:$D,Results_list!$D136,SSP1_VSI!$B:$B,2025))) / (SUMIFS(SSP1_VSI!$F:$F,SSP1_VSI!$C:$C,Results_list!$C$130,SSP1_VSI!$D:$D,Results_list!$D136,SSP1_VSI!$B:$B,2025))</f>
        <v>-0.90639117761858279</v>
      </c>
      <c r="I136" s="13">
        <f t="shared" si="18"/>
        <v>-0.89700000000000002</v>
      </c>
      <c r="J136" s="12">
        <f>((SUMIFS(SSP2_Baseline!$E:$E,SSP2_Baseline!$C:$C,Results_list!$C$130,SSP2_Baseline!$D:$D,Results_list!$D136,SSP2_Baseline!$B:$B,2040)) - (SUMIFS(SSP2_Baseline!$E:$E,SSP2_Baseline!$C:$C,Results_list!$C$130,SSP2_Baseline!$D:$D,Results_list!$D136,SSP2_Baseline!$B:$B,2025))) / (SUMIFS(SSP2_Baseline!$E:$E,SSP2_Baseline!$C:$C,Results_list!$C$130,SSP2_Baseline!$D:$D,Results_list!$D136,SSP2_Baseline!$B:$B,2025))</f>
        <v>-8.5738345648767277E-3</v>
      </c>
      <c r="K136" s="16">
        <f>((SUMIFS(SSP2_VSI!$F:$F,SSP2_VSI!$C:$C,Results_list!$C$130,SSP2_VSI!$D:$D,Results_list!$D136,SSP2_VSI!$B:$B,2040)) - (SUMIFS(SSP2_VSI!$F:$F,SSP2_VSI!$C:$C,Results_list!$C$130,SSP2_VSI!$D:$D,Results_list!$D136,SSP2_VSI!$B:$B,2025))) / (SUMIFS(SSP2_VSI!$F:$F,SSP2_VSI!$C:$C,Results_list!$C$130,SSP2_VSI!$D:$D,Results_list!$D136,SSP2_VSI!$B:$B,2025))</f>
        <v>-0.90748697942178591</v>
      </c>
      <c r="L136" s="13">
        <f t="shared" si="19"/>
        <v>-0.9</v>
      </c>
      <c r="M136" s="12">
        <f>((SUMIFS(SSP5_Baseline!$E:$E,SSP5_Baseline!$C:$C,Results_list!$C$130,SSP5_Baseline!$D:$D,Results_list!$D136,SSP5_Baseline!$B:$B,2040)) - (SUMIFS(SSP5_Baseline!$E:$E,SSP5_Baseline!$C:$C,Results_list!$C$130,SSP5_Baseline!$D:$D,Results_list!$D136,SSP5_Baseline!$B:$B,2025))) / (SUMIFS(SSP5_Baseline!$E:$E,SSP5_Baseline!$C:$C,Results_list!$C$130,SSP5_Baseline!$D:$D,Results_list!$D136,SSP5_Baseline!$B:$B,2025))</f>
        <v>-7.6689719481084582E-3</v>
      </c>
      <c r="N136" s="16">
        <f>((SUMIFS(SSP5_VSI!$F:$F,SSP5_VSI!$C:$C,Results_list!$C$130,SSP5_VSI!$D:$D,Results_list!$D136,SSP5_VSI!$B:$B,2040)) - (SUMIFS(SSP5_VSI!$F:$F,SSP5_VSI!$C:$C,Results_list!$C$130,SSP5_VSI!$D:$D,Results_list!$D136,SSP5_VSI!$B:$B,2025))) / (SUMIFS(SSP5_VSI!$F:$F,SSP5_VSI!$C:$C,Results_list!$C$130,SSP5_VSI!$D:$D,Results_list!$D136,SSP5_VSI!$B:$B,2025))</f>
        <v>-0.90668778115981552</v>
      </c>
      <c r="O136" s="13">
        <f t="shared" si="20"/>
        <v>-0.9</v>
      </c>
    </row>
    <row r="137" spans="2:15" x14ac:dyDescent="0.35">
      <c r="B137" s="89"/>
      <c r="C137" s="89"/>
      <c r="D137" s="22" t="s">
        <v>46</v>
      </c>
      <c r="F137" s="3" t="s">
        <v>94</v>
      </c>
      <c r="G137" s="12">
        <f>((SUMIFS(SSP1_Baseline!$E:$E,SSP1_Baseline!$C:$C,Results_list!$C$130,SSP1_Baseline!$D:$D,Results_list!$D137,SSP1_Baseline!$B:$B,2040)) - (SUMIFS(SSP1_Baseline!$E:$E,SSP1_Baseline!$C:$C,Results_list!$C$130,SSP1_Baseline!$D:$D,Results_list!$D137,SSP1_Baseline!$B:$B,2025))) / (SUMIFS(SSP1_Baseline!$E:$E,SSP1_Baseline!$C:$C,Results_list!$C$130,SSP1_Baseline!$D:$D,Results_list!$D137,SSP1_Baseline!$B:$B,2025))</f>
        <v>1.536069074342759</v>
      </c>
      <c r="H137" s="16">
        <f>((SUMIFS(SSP1_VSI!$F:$F,SSP1_VSI!$C:$C,Results_list!$C$130,SSP1_VSI!$D:$D,Results_list!$D137,SSP1_VSI!$B:$B,2040)) - (SUMIFS(SSP1_VSI!$F:$F,SSP1_VSI!$C:$C,Results_list!$C$130,SSP1_VSI!$D:$D,Results_list!$D137,SSP1_VSI!$B:$B,2025))) / (SUMIFS(SSP1_VSI!$F:$F,SSP1_VSI!$C:$C,Results_list!$C$130,SSP1_VSI!$D:$D,Results_list!$D137,SSP1_VSI!$B:$B,2025))</f>
        <v>1.5360192733102269</v>
      </c>
      <c r="I137" s="13">
        <f t="shared" si="18"/>
        <v>0</v>
      </c>
      <c r="J137" s="12">
        <f>((SUMIFS(SSP2_Baseline!$E:$E,SSP2_Baseline!$C:$C,Results_list!$C$130,SSP2_Baseline!$D:$D,Results_list!$D137,SSP2_Baseline!$B:$B,2040)) - (SUMIFS(SSP2_Baseline!$E:$E,SSP2_Baseline!$C:$C,Results_list!$C$130,SSP2_Baseline!$D:$D,Results_list!$D137,SSP2_Baseline!$B:$B,2025))) / (SUMIFS(SSP2_Baseline!$E:$E,SSP2_Baseline!$C:$C,Results_list!$C$130,SSP2_Baseline!$D:$D,Results_list!$D137,SSP2_Baseline!$B:$B,2025))</f>
        <v>2.3594012069588959</v>
      </c>
      <c r="K137" s="16">
        <f>((SUMIFS(SSP2_VSI!$F:$F,SSP2_VSI!$C:$C,Results_list!$C$130,SSP2_VSI!$D:$D,Results_list!$D137,SSP2_VSI!$B:$B,2040)) - (SUMIFS(SSP2_VSI!$F:$F,SSP2_VSI!$C:$C,Results_list!$C$130,SSP2_VSI!$D:$D,Results_list!$D137,SSP2_VSI!$B:$B,2025))) / (SUMIFS(SSP2_VSI!$F:$F,SSP2_VSI!$C:$C,Results_list!$C$130,SSP2_VSI!$D:$D,Results_list!$D137,SSP2_VSI!$B:$B,2025))</f>
        <v>2.3593175305385539</v>
      </c>
      <c r="L137" s="13">
        <f t="shared" si="19"/>
        <v>0</v>
      </c>
      <c r="M137" s="12">
        <f>((SUMIFS(SSP5_Baseline!$E:$E,SSP5_Baseline!$C:$C,Results_list!$C$130,SSP5_Baseline!$D:$D,Results_list!$D137,SSP5_Baseline!$B:$B,2040)) - (SUMIFS(SSP5_Baseline!$E:$E,SSP5_Baseline!$C:$C,Results_list!$C$130,SSP5_Baseline!$D:$D,Results_list!$D137,SSP5_Baseline!$B:$B,2025))) / (SUMIFS(SSP5_Baseline!$E:$E,SSP5_Baseline!$C:$C,Results_list!$C$130,SSP5_Baseline!$D:$D,Results_list!$D137,SSP5_Baseline!$B:$B,2025))</f>
        <v>0.93869987444379266</v>
      </c>
      <c r="N137" s="16">
        <f>((SUMIFS(SSP5_VSI!$F:$F,SSP5_VSI!$C:$C,Results_list!$C$130,SSP5_VSI!$D:$D,Results_list!$D137,SSP5_VSI!$B:$B,2040)) - (SUMIFS(SSP5_VSI!$F:$F,SSP5_VSI!$C:$C,Results_list!$C$130,SSP5_VSI!$D:$D,Results_list!$D137,SSP5_VSI!$B:$B,2025))) / (SUMIFS(SSP5_VSI!$F:$F,SSP5_VSI!$C:$C,Results_list!$C$130,SSP5_VSI!$D:$D,Results_list!$D137,SSP5_VSI!$B:$B,2025))</f>
        <v>0.93869941767979126</v>
      </c>
      <c r="O137" s="13">
        <f t="shared" si="20"/>
        <v>0</v>
      </c>
    </row>
    <row r="138" spans="2:15" x14ac:dyDescent="0.35">
      <c r="B138" s="89"/>
      <c r="C138" s="89"/>
      <c r="D138" s="22" t="s">
        <v>47</v>
      </c>
      <c r="F138" s="3" t="s">
        <v>95</v>
      </c>
      <c r="G138" s="12">
        <f>((SUMIFS(SSP1_Baseline!$E:$E,SSP1_Baseline!$C:$C,Results_list!$C$130,SSP1_Baseline!$D:$D,Results_list!$D138,SSP1_Baseline!$B:$B,2040)) - (SUMIFS(SSP1_Baseline!$E:$E,SSP1_Baseline!$C:$C,Results_list!$C$130,SSP1_Baseline!$D:$D,Results_list!$D138,SSP1_Baseline!$B:$B,2025))) / (SUMIFS(SSP1_Baseline!$E:$E,SSP1_Baseline!$C:$C,Results_list!$C$130,SSP1_Baseline!$D:$D,Results_list!$D138,SSP1_Baseline!$B:$B,2025))</f>
        <v>-2.8308014111623918E-2</v>
      </c>
      <c r="H138" s="16">
        <f>((SUMIFS(SSP1_VSI!$F:$F,SSP1_VSI!$C:$C,Results_list!$C$130,SSP1_VSI!$D:$D,Results_list!$D138,SSP1_VSI!$B:$B,2040)) - (SUMIFS(SSP1_VSI!$F:$F,SSP1_VSI!$C:$C,Results_list!$C$130,SSP1_VSI!$D:$D,Results_list!$D138,SSP1_VSI!$B:$B,2025))) / (SUMIFS(SSP1_VSI!$F:$F,SSP1_VSI!$C:$C,Results_list!$C$130,SSP1_VSI!$D:$D,Results_list!$D138,SSP1_VSI!$B:$B,2025))</f>
        <v>-2.8289279426388359E-2</v>
      </c>
      <c r="I138" s="13">
        <f t="shared" si="18"/>
        <v>0</v>
      </c>
      <c r="J138" s="12">
        <f>((SUMIFS(SSP2_Baseline!$E:$E,SSP2_Baseline!$C:$C,Results_list!$C$130,SSP2_Baseline!$D:$D,Results_list!$D138,SSP2_Baseline!$B:$B,2040)) - (SUMIFS(SSP2_Baseline!$E:$E,SSP2_Baseline!$C:$C,Results_list!$C$130,SSP2_Baseline!$D:$D,Results_list!$D138,SSP2_Baseline!$B:$B,2025))) / (SUMIFS(SSP2_Baseline!$E:$E,SSP2_Baseline!$C:$C,Results_list!$C$130,SSP2_Baseline!$D:$D,Results_list!$D138,SSP2_Baseline!$B:$B,2025))</f>
        <v>2.1507786382850575E-2</v>
      </c>
      <c r="K138" s="16">
        <f>((SUMIFS(SSP2_VSI!$F:$F,SSP2_VSI!$C:$C,Results_list!$C$130,SSP2_VSI!$D:$D,Results_list!$D138,SSP2_VSI!$B:$B,2040)) - (SUMIFS(SSP2_VSI!$F:$F,SSP2_VSI!$C:$C,Results_list!$C$130,SSP2_VSI!$D:$D,Results_list!$D138,SSP2_VSI!$B:$B,2025))) / (SUMIFS(SSP2_VSI!$F:$F,SSP2_VSI!$C:$C,Results_list!$C$130,SSP2_VSI!$D:$D,Results_list!$D138,SSP2_VSI!$B:$B,2025))</f>
        <v>2.1514189932867814E-2</v>
      </c>
      <c r="L138" s="13">
        <f t="shared" si="19"/>
        <v>0</v>
      </c>
      <c r="M138" s="12">
        <f>((SUMIFS(SSP5_Baseline!$E:$E,SSP5_Baseline!$C:$C,Results_list!$C$130,SSP5_Baseline!$D:$D,Results_list!$D138,SSP5_Baseline!$B:$B,2040)) - (SUMIFS(SSP5_Baseline!$E:$E,SSP5_Baseline!$C:$C,Results_list!$C$130,SSP5_Baseline!$D:$D,Results_list!$D138,SSP5_Baseline!$B:$B,2025))) / (SUMIFS(SSP5_Baseline!$E:$E,SSP5_Baseline!$C:$C,Results_list!$C$130,SSP5_Baseline!$D:$D,Results_list!$D138,SSP5_Baseline!$B:$B,2025))</f>
        <v>4.8251994260624063E-2</v>
      </c>
      <c r="N138" s="16">
        <f>((SUMIFS(SSP5_VSI!$F:$F,SSP5_VSI!$C:$C,Results_list!$C$130,SSP5_VSI!$D:$D,Results_list!$D138,SSP5_VSI!$B:$B,2040)) - (SUMIFS(SSP5_VSI!$F:$F,SSP5_VSI!$C:$C,Results_list!$C$130,SSP5_VSI!$D:$D,Results_list!$D138,SSP5_VSI!$B:$B,2025))) / (SUMIFS(SSP5_VSI!$F:$F,SSP5_VSI!$C:$C,Results_list!$C$130,SSP5_VSI!$D:$D,Results_list!$D138,SSP5_VSI!$B:$B,2025))</f>
        <v>4.8353471749519414E-2</v>
      </c>
      <c r="O138" s="13">
        <f t="shared" si="20"/>
        <v>0</v>
      </c>
    </row>
    <row r="139" spans="2:15" x14ac:dyDescent="0.35">
      <c r="B139" s="89"/>
      <c r="C139" s="89"/>
      <c r="D139" s="22" t="s">
        <v>48</v>
      </c>
      <c r="F139" s="3" t="s">
        <v>96</v>
      </c>
      <c r="G139" s="12">
        <f>((SUMIFS(SSP1_Baseline!$E:$E,SSP1_Baseline!$C:$C,Results_list!$C$130,SSP1_Baseline!$D:$D,Results_list!$D139,SSP1_Baseline!$B:$B,2040)) - (SUMIFS(SSP1_Baseline!$E:$E,SSP1_Baseline!$C:$C,Results_list!$C$130,SSP1_Baseline!$D:$D,Results_list!$D139,SSP1_Baseline!$B:$B,2025))) / (SUMIFS(SSP1_Baseline!$E:$E,SSP1_Baseline!$C:$C,Results_list!$C$130,SSP1_Baseline!$D:$D,Results_list!$D139,SSP1_Baseline!$B:$B,2025))</f>
        <v>4.9512707238549825E-4</v>
      </c>
      <c r="H139" s="16">
        <f>((SUMIFS(SSP1_VSI!$F:$F,SSP1_VSI!$C:$C,Results_list!$C$130,SSP1_VSI!$D:$D,Results_list!$D139,SSP1_VSI!$B:$B,2040)) - (SUMIFS(SSP1_VSI!$F:$F,SSP1_VSI!$C:$C,Results_list!$C$130,SSP1_VSI!$D:$D,Results_list!$D139,SSP1_VSI!$B:$B,2025))) / (SUMIFS(SSP1_VSI!$F:$F,SSP1_VSI!$C:$C,Results_list!$C$130,SSP1_VSI!$D:$D,Results_list!$D139,SSP1_VSI!$B:$B,2025))</f>
        <v>4.9520260450238893E-4</v>
      </c>
      <c r="I139" s="13">
        <f t="shared" si="18"/>
        <v>0</v>
      </c>
      <c r="J139" s="12">
        <f>((SUMIFS(SSP2_Baseline!$E:$E,SSP2_Baseline!$C:$C,Results_list!$C$130,SSP2_Baseline!$D:$D,Results_list!$D139,SSP2_Baseline!$B:$B,2040)) - (SUMIFS(SSP2_Baseline!$E:$E,SSP2_Baseline!$C:$C,Results_list!$C$130,SSP2_Baseline!$D:$D,Results_list!$D139,SSP2_Baseline!$B:$B,2025))) / (SUMIFS(SSP2_Baseline!$E:$E,SSP2_Baseline!$C:$C,Results_list!$C$130,SSP2_Baseline!$D:$D,Results_list!$D139,SSP2_Baseline!$B:$B,2025))</f>
        <v>4.2802739266654759E-4</v>
      </c>
      <c r="K139" s="16">
        <f>((SUMIFS(SSP2_VSI!$F:$F,SSP2_VSI!$C:$C,Results_list!$C$130,SSP2_VSI!$D:$D,Results_list!$D139,SSP2_VSI!$B:$B,2040)) - (SUMIFS(SSP2_VSI!$F:$F,SSP2_VSI!$C:$C,Results_list!$C$130,SSP2_VSI!$D:$D,Results_list!$D139,SSP2_VSI!$B:$B,2025))) / (SUMIFS(SSP2_VSI!$F:$F,SSP2_VSI!$C:$C,Results_list!$C$130,SSP2_VSI!$D:$D,Results_list!$D139,SSP2_VSI!$B:$B,2025))</f>
        <v>4.2835024497512583E-4</v>
      </c>
      <c r="L139" s="13">
        <f t="shared" si="19"/>
        <v>0</v>
      </c>
      <c r="M139" s="12">
        <f>((SUMIFS(SSP5_Baseline!$E:$E,SSP5_Baseline!$C:$C,Results_list!$C$130,SSP5_Baseline!$D:$D,Results_list!$D139,SSP5_Baseline!$B:$B,2040)) - (SUMIFS(SSP5_Baseline!$E:$E,SSP5_Baseline!$C:$C,Results_list!$C$130,SSP5_Baseline!$D:$D,Results_list!$D139,SSP5_Baseline!$B:$B,2025))) / (SUMIFS(SSP5_Baseline!$E:$E,SSP5_Baseline!$C:$C,Results_list!$C$130,SSP5_Baseline!$D:$D,Results_list!$D139,SSP5_Baseline!$B:$B,2025))</f>
        <v>1.9081705737493884E-4</v>
      </c>
      <c r="N139" s="16">
        <f>((SUMIFS(SSP5_VSI!$F:$F,SSP5_VSI!$C:$C,Results_list!$C$130,SSP5_VSI!$D:$D,Results_list!$D139,SSP5_VSI!$B:$B,2040)) - (SUMIFS(SSP5_VSI!$F:$F,SSP5_VSI!$C:$C,Results_list!$C$130,SSP5_VSI!$D:$D,Results_list!$D139,SSP5_VSI!$B:$B,2025))) / (SUMIFS(SSP5_VSI!$F:$F,SSP5_VSI!$C:$C,Results_list!$C$130,SSP5_VSI!$D:$D,Results_list!$D139,SSP5_VSI!$B:$B,2025))</f>
        <v>1.909803960342538E-4</v>
      </c>
      <c r="O139" s="13">
        <f t="shared" si="20"/>
        <v>0</v>
      </c>
    </row>
    <row r="140" spans="2:15" x14ac:dyDescent="0.35">
      <c r="B140" s="89"/>
      <c r="C140" s="89"/>
      <c r="D140" s="22" t="s">
        <v>49</v>
      </c>
      <c r="F140" s="3" t="s">
        <v>97</v>
      </c>
      <c r="G140" s="12">
        <f>((SUMIFS(SSP1_Baseline!$E:$E,SSP1_Baseline!$C:$C,Results_list!$C$130,SSP1_Baseline!$D:$D,Results_list!$D140,SSP1_Baseline!$B:$B,2040)) - (SUMIFS(SSP1_Baseline!$E:$E,SSP1_Baseline!$C:$C,Results_list!$C$130,SSP1_Baseline!$D:$D,Results_list!$D140,SSP1_Baseline!$B:$B,2025))) / (SUMIFS(SSP1_Baseline!$E:$E,SSP1_Baseline!$C:$C,Results_list!$C$130,SSP1_Baseline!$D:$D,Results_list!$D140,SSP1_Baseline!$B:$B,2025))</f>
        <v>-2.0583599685812877E-3</v>
      </c>
      <c r="H140" s="16">
        <f>((SUMIFS(SSP1_VSI!$F:$F,SSP1_VSI!$C:$C,Results_list!$C$130,SSP1_VSI!$D:$D,Results_list!$D140,SSP1_VSI!$B:$B,2040)) - (SUMIFS(SSP1_VSI!$F:$F,SSP1_VSI!$C:$C,Results_list!$C$130,SSP1_VSI!$D:$D,Results_list!$D140,SSP1_VSI!$B:$B,2025))) / (SUMIFS(SSP1_VSI!$F:$F,SSP1_VSI!$C:$C,Results_list!$C$130,SSP1_VSI!$D:$D,Results_list!$D140,SSP1_VSI!$B:$B,2025))</f>
        <v>-0.93768194571367158</v>
      </c>
      <c r="I140" s="13">
        <f t="shared" si="18"/>
        <v>-0.93600000000000005</v>
      </c>
      <c r="J140" s="12">
        <f>((SUMIFS(SSP2_Baseline!$E:$E,SSP2_Baseline!$C:$C,Results_list!$C$130,SSP2_Baseline!$D:$D,Results_list!$D140,SSP2_Baseline!$B:$B,2040)) - (SUMIFS(SSP2_Baseline!$E:$E,SSP2_Baseline!$C:$C,Results_list!$C$130,SSP2_Baseline!$D:$D,Results_list!$D140,SSP2_Baseline!$B:$B,2025))) / (SUMIFS(SSP2_Baseline!$E:$E,SSP2_Baseline!$C:$C,Results_list!$C$130,SSP2_Baseline!$D:$D,Results_list!$D140,SSP2_Baseline!$B:$B,2025))</f>
        <v>-1.5022864340956037E-3</v>
      </c>
      <c r="K140" s="16">
        <f>((SUMIFS(SSP2_VSI!$F:$F,SSP2_VSI!$C:$C,Results_list!$C$130,SSP2_VSI!$D:$D,Results_list!$D140,SSP2_VSI!$B:$B,2040)) - (SUMIFS(SSP2_VSI!$F:$F,SSP2_VSI!$C:$C,Results_list!$C$130,SSP2_VSI!$D:$D,Results_list!$D140,SSP2_VSI!$B:$B,2025))) / (SUMIFS(SSP2_VSI!$F:$F,SSP2_VSI!$C:$C,Results_list!$C$130,SSP2_VSI!$D:$D,Results_list!$D140,SSP2_VSI!$B:$B,2025))</f>
        <v>-0.93779058050740915</v>
      </c>
      <c r="L140" s="13">
        <f t="shared" si="19"/>
        <v>-0.94</v>
      </c>
      <c r="M140" s="12">
        <f>((SUMIFS(SSP5_Baseline!$E:$E,SSP5_Baseline!$C:$C,Results_list!$C$130,SSP5_Baseline!$D:$D,Results_list!$D140,SSP5_Baseline!$B:$B,2040)) - (SUMIFS(SSP5_Baseline!$E:$E,SSP5_Baseline!$C:$C,Results_list!$C$130,SSP5_Baseline!$D:$D,Results_list!$D140,SSP5_Baseline!$B:$B,2025))) / (SUMIFS(SSP5_Baseline!$E:$E,SSP5_Baseline!$C:$C,Results_list!$C$130,SSP5_Baseline!$D:$D,Results_list!$D140,SSP5_Baseline!$B:$B,2025))</f>
        <v>-1.2181346203292971E-3</v>
      </c>
      <c r="N140" s="16">
        <f>((SUMIFS(SSP5_VSI!$F:$F,SSP5_VSI!$C:$C,Results_list!$C$130,SSP5_VSI!$D:$D,Results_list!$D140,SSP5_VSI!$B:$B,2040)) - (SUMIFS(SSP5_VSI!$F:$F,SSP5_VSI!$C:$C,Results_list!$C$130,SSP5_VSI!$D:$D,Results_list!$D140,SSP5_VSI!$B:$B,2025))) / (SUMIFS(SSP5_VSI!$F:$F,SSP5_VSI!$C:$C,Results_list!$C$130,SSP5_VSI!$D:$D,Results_list!$D140,SSP5_VSI!$B:$B,2025))</f>
        <v>-0.93726387664908972</v>
      </c>
      <c r="O140" s="13">
        <f t="shared" si="20"/>
        <v>-0.94</v>
      </c>
    </row>
    <row r="141" spans="2:15" x14ac:dyDescent="0.35">
      <c r="B141" s="89"/>
      <c r="C141" s="89"/>
      <c r="D141" s="22" t="s">
        <v>50</v>
      </c>
      <c r="F141" s="3" t="s">
        <v>98</v>
      </c>
      <c r="G141" s="12">
        <f>((SUMIFS(SSP1_Baseline!$E:$E,SSP1_Baseline!$C:$C,Results_list!$C$130,SSP1_Baseline!$D:$D,Results_list!$D141,SSP1_Baseline!$B:$B,2040)) - (SUMIFS(SSP1_Baseline!$E:$E,SSP1_Baseline!$C:$C,Results_list!$C$130,SSP1_Baseline!$D:$D,Results_list!$D141,SSP1_Baseline!$B:$B,2025))) / (SUMIFS(SSP1_Baseline!$E:$E,SSP1_Baseline!$C:$C,Results_list!$C$130,SSP1_Baseline!$D:$D,Results_list!$D141,SSP1_Baseline!$B:$B,2025))</f>
        <v>-4.8408631097272545E-2</v>
      </c>
      <c r="H141" s="16">
        <f>((SUMIFS(SSP1_VSI!$F:$F,SSP1_VSI!$C:$C,Results_list!$C$130,SSP1_VSI!$D:$D,Results_list!$D141,SSP1_VSI!$B:$B,2040)) - (SUMIFS(SSP1_VSI!$F:$F,SSP1_VSI!$C:$C,Results_list!$C$130,SSP1_VSI!$D:$D,Results_list!$D141,SSP1_VSI!$B:$B,2025))) / (SUMIFS(SSP1_VSI!$F:$F,SSP1_VSI!$C:$C,Results_list!$C$130,SSP1_VSI!$D:$D,Results_list!$D141,SSP1_VSI!$B:$B,2025))</f>
        <v>-4.8421019604524926E-2</v>
      </c>
      <c r="I141" s="13">
        <f t="shared" si="18"/>
        <v>0</v>
      </c>
      <c r="J141" s="12">
        <f>((SUMIFS(SSP2_Baseline!$E:$E,SSP2_Baseline!$C:$C,Results_list!$C$130,SSP2_Baseline!$D:$D,Results_list!$D141,SSP2_Baseline!$B:$B,2040)) - (SUMIFS(SSP2_Baseline!$E:$E,SSP2_Baseline!$C:$C,Results_list!$C$130,SSP2_Baseline!$D:$D,Results_list!$D141,SSP2_Baseline!$B:$B,2025))) / (SUMIFS(SSP2_Baseline!$E:$E,SSP2_Baseline!$C:$C,Results_list!$C$130,SSP2_Baseline!$D:$D,Results_list!$D141,SSP2_Baseline!$B:$B,2025))</f>
        <v>1.7965036416041403E-2</v>
      </c>
      <c r="K141" s="16">
        <f>((SUMIFS(SSP2_VSI!$F:$F,SSP2_VSI!$C:$C,Results_list!$C$130,SSP2_VSI!$D:$D,Results_list!$D141,SSP2_VSI!$B:$B,2040)) - (SUMIFS(SSP2_VSI!$F:$F,SSP2_VSI!$C:$C,Results_list!$C$130,SSP2_VSI!$D:$D,Results_list!$D141,SSP2_VSI!$B:$B,2025))) / (SUMIFS(SSP2_VSI!$F:$F,SSP2_VSI!$C:$C,Results_list!$C$130,SSP2_VSI!$D:$D,Results_list!$D141,SSP2_VSI!$B:$B,2025))</f>
        <v>1.7970143439059783E-2</v>
      </c>
      <c r="L141" s="13">
        <f t="shared" si="19"/>
        <v>0</v>
      </c>
      <c r="M141" s="12">
        <f>((SUMIFS(SSP5_Baseline!$E:$E,SSP5_Baseline!$C:$C,Results_list!$C$130,SSP5_Baseline!$D:$D,Results_list!$D141,SSP5_Baseline!$B:$B,2040)) - (SUMIFS(SSP5_Baseline!$E:$E,SSP5_Baseline!$C:$C,Results_list!$C$130,SSP5_Baseline!$D:$D,Results_list!$D141,SSP5_Baseline!$B:$B,2025))) / (SUMIFS(SSP5_Baseline!$E:$E,SSP5_Baseline!$C:$C,Results_list!$C$130,SSP5_Baseline!$D:$D,Results_list!$D141,SSP5_Baseline!$B:$B,2025))</f>
        <v>4.8260296432189938E-2</v>
      </c>
      <c r="N141" s="16">
        <f>((SUMIFS(SSP5_VSI!$F:$F,SSP5_VSI!$C:$C,Results_list!$C$130,SSP5_VSI!$D:$D,Results_list!$D141,SSP5_VSI!$B:$B,2040)) - (SUMIFS(SSP5_VSI!$F:$F,SSP5_VSI!$C:$C,Results_list!$C$130,SSP5_VSI!$D:$D,Results_list!$D141,SSP5_VSI!$B:$B,2025))) / (SUMIFS(SSP5_VSI!$F:$F,SSP5_VSI!$C:$C,Results_list!$C$130,SSP5_VSI!$D:$D,Results_list!$D141,SSP5_VSI!$B:$B,2025))</f>
        <v>4.8269351566582019E-2</v>
      </c>
      <c r="O141" s="13">
        <f t="shared" si="20"/>
        <v>0</v>
      </c>
    </row>
    <row r="142" spans="2:15" x14ac:dyDescent="0.35">
      <c r="B142" s="89"/>
      <c r="C142" s="89"/>
      <c r="D142" s="22" t="s">
        <v>51</v>
      </c>
      <c r="F142" s="3" t="s">
        <v>99</v>
      </c>
      <c r="G142" s="12">
        <f>((SUMIFS(SSP1_Baseline!$E:$E,SSP1_Baseline!$C:$C,Results_list!$C$130,SSP1_Baseline!$D:$D,Results_list!$D142,SSP1_Baseline!$B:$B,2040)) - (SUMIFS(SSP1_Baseline!$E:$E,SSP1_Baseline!$C:$C,Results_list!$C$130,SSP1_Baseline!$D:$D,Results_list!$D142,SSP1_Baseline!$B:$B,2025))) / (SUMIFS(SSP1_Baseline!$E:$E,SSP1_Baseline!$C:$C,Results_list!$C$130,SSP1_Baseline!$D:$D,Results_list!$D142,SSP1_Baseline!$B:$B,2025))</f>
        <v>6.8635431478974801E-2</v>
      </c>
      <c r="H142" s="16">
        <f>((SUMIFS(SSP1_VSI!$F:$F,SSP1_VSI!$C:$C,Results_list!$C$130,SSP1_VSI!$D:$D,Results_list!$D142,SSP1_VSI!$B:$B,2040)) - (SUMIFS(SSP1_VSI!$F:$F,SSP1_VSI!$C:$C,Results_list!$C$130,SSP1_VSI!$D:$D,Results_list!$D142,SSP1_VSI!$B:$B,2025))) / (SUMIFS(SSP1_VSI!$F:$F,SSP1_VSI!$C:$C,Results_list!$C$130,SSP1_VSI!$D:$D,Results_list!$D142,SSP1_VSI!$B:$B,2025))</f>
        <v>6.8625224803319063E-2</v>
      </c>
      <c r="I142" s="13">
        <f t="shared" si="18"/>
        <v>0</v>
      </c>
      <c r="J142" s="12">
        <f>((SUMIFS(SSP2_Baseline!$E:$E,SSP2_Baseline!$C:$C,Results_list!$C$130,SSP2_Baseline!$D:$D,Results_list!$D142,SSP2_Baseline!$B:$B,2040)) - (SUMIFS(SSP2_Baseline!$E:$E,SSP2_Baseline!$C:$C,Results_list!$C$130,SSP2_Baseline!$D:$D,Results_list!$D142,SSP2_Baseline!$B:$B,2025))) / (SUMIFS(SSP2_Baseline!$E:$E,SSP2_Baseline!$C:$C,Results_list!$C$130,SSP2_Baseline!$D:$D,Results_list!$D142,SSP2_Baseline!$B:$B,2025))</f>
        <v>7.3147433577181897E-2</v>
      </c>
      <c r="K142" s="16">
        <f>((SUMIFS(SSP2_VSI!$F:$F,SSP2_VSI!$C:$C,Results_list!$C$130,SSP2_VSI!$D:$D,Results_list!$D142,SSP2_VSI!$B:$B,2040)) - (SUMIFS(SSP2_VSI!$F:$F,SSP2_VSI!$C:$C,Results_list!$C$130,SSP2_VSI!$D:$D,Results_list!$D142,SSP2_VSI!$B:$B,2025))) / (SUMIFS(SSP2_VSI!$F:$F,SSP2_VSI!$C:$C,Results_list!$C$130,SSP2_VSI!$D:$D,Results_list!$D142,SSP2_VSI!$B:$B,2025))</f>
        <v>7.3131247995221083E-2</v>
      </c>
      <c r="L142" s="13">
        <f t="shared" si="19"/>
        <v>0</v>
      </c>
      <c r="M142" s="12">
        <f>((SUMIFS(SSP5_Baseline!$E:$E,SSP5_Baseline!$C:$C,Results_list!$C$130,SSP5_Baseline!$D:$D,Results_list!$D142,SSP5_Baseline!$B:$B,2040)) - (SUMIFS(SSP5_Baseline!$E:$E,SSP5_Baseline!$C:$C,Results_list!$C$130,SSP5_Baseline!$D:$D,Results_list!$D142,SSP5_Baseline!$B:$B,2025))) / (SUMIFS(SSP5_Baseline!$E:$E,SSP5_Baseline!$C:$C,Results_list!$C$130,SSP5_Baseline!$D:$D,Results_list!$D142,SSP5_Baseline!$B:$B,2025))</f>
        <v>9.8381972498270357E-3</v>
      </c>
      <c r="N142" s="16">
        <f>((SUMIFS(SSP5_VSI!$F:$F,SSP5_VSI!$C:$C,Results_list!$C$130,SSP5_VSI!$D:$D,Results_list!$D142,SSP5_VSI!$B:$B,2040)) - (SUMIFS(SSP5_VSI!$F:$F,SSP5_VSI!$C:$C,Results_list!$C$130,SSP5_VSI!$D:$D,Results_list!$D142,SSP5_VSI!$B:$B,2025))) / (SUMIFS(SSP5_VSI!$F:$F,SSP5_VSI!$C:$C,Results_list!$C$130,SSP5_VSI!$D:$D,Results_list!$D142,SSP5_VSI!$B:$B,2025))</f>
        <v>9.8460608279616699E-3</v>
      </c>
      <c r="O142" s="13">
        <f t="shared" si="20"/>
        <v>0</v>
      </c>
    </row>
    <row r="143" spans="2:15" x14ac:dyDescent="0.35">
      <c r="B143" s="89"/>
      <c r="C143" s="89"/>
      <c r="D143" s="22" t="s">
        <v>52</v>
      </c>
      <c r="F143" s="3" t="s">
        <v>100</v>
      </c>
      <c r="G143" s="12">
        <f>((SUMIFS(SSP1_Baseline!$E:$E,SSP1_Baseline!$C:$C,Results_list!$C$130,SSP1_Baseline!$D:$D,Results_list!$D143,SSP1_Baseline!$B:$B,2040)) - (SUMIFS(SSP1_Baseline!$E:$E,SSP1_Baseline!$C:$C,Results_list!$C$130,SSP1_Baseline!$D:$D,Results_list!$D143,SSP1_Baseline!$B:$B,2025))) / (SUMIFS(SSP1_Baseline!$E:$E,SSP1_Baseline!$C:$C,Results_list!$C$130,SSP1_Baseline!$D:$D,Results_list!$D143,SSP1_Baseline!$B:$B,2025))</f>
        <v>-0.400377198612068</v>
      </c>
      <c r="H143" s="16">
        <f>((SUMIFS(SSP1_VSI!$F:$F,SSP1_VSI!$C:$C,Results_list!$C$130,SSP1_VSI!$D:$D,Results_list!$D143,SSP1_VSI!$B:$B,2040)) - (SUMIFS(SSP1_VSI!$F:$F,SSP1_VSI!$C:$C,Results_list!$C$130,SSP1_VSI!$D:$D,Results_list!$D143,SSP1_VSI!$B:$B,2025))) / (SUMIFS(SSP1_VSI!$F:$F,SSP1_VSI!$C:$C,Results_list!$C$130,SSP1_VSI!$D:$D,Results_list!$D143,SSP1_VSI!$B:$B,2025))</f>
        <v>-0.40029858656548711</v>
      </c>
      <c r="I143" s="13">
        <f t="shared" si="18"/>
        <v>0</v>
      </c>
      <c r="J143" s="12">
        <f>((SUMIFS(SSP2_Baseline!$E:$E,SSP2_Baseline!$C:$C,Results_list!$C$130,SSP2_Baseline!$D:$D,Results_list!$D143,SSP2_Baseline!$B:$B,2040)) - (SUMIFS(SSP2_Baseline!$E:$E,SSP2_Baseline!$C:$C,Results_list!$C$130,SSP2_Baseline!$D:$D,Results_list!$D143,SSP2_Baseline!$B:$B,2025))) / (SUMIFS(SSP2_Baseline!$E:$E,SSP2_Baseline!$C:$C,Results_list!$C$130,SSP2_Baseline!$D:$D,Results_list!$D143,SSP2_Baseline!$B:$B,2025))</f>
        <v>-0.32447485589638275</v>
      </c>
      <c r="K143" s="16">
        <f>((SUMIFS(SSP2_VSI!$F:$F,SSP2_VSI!$C:$C,Results_list!$C$130,SSP2_VSI!$D:$D,Results_list!$D143,SSP2_VSI!$B:$B,2040)) - (SUMIFS(SSP2_VSI!$F:$F,SSP2_VSI!$C:$C,Results_list!$C$130,SSP2_VSI!$D:$D,Results_list!$D143,SSP2_VSI!$B:$B,2025))) / (SUMIFS(SSP2_VSI!$F:$F,SSP2_VSI!$C:$C,Results_list!$C$130,SSP2_VSI!$D:$D,Results_list!$D143,SSP2_VSI!$B:$B,2025))</f>
        <v>-0.32427373190231129</v>
      </c>
      <c r="L143" s="13">
        <f t="shared" si="19"/>
        <v>0</v>
      </c>
      <c r="M143" s="12">
        <f>((SUMIFS(SSP5_Baseline!$E:$E,SSP5_Baseline!$C:$C,Results_list!$C$130,SSP5_Baseline!$D:$D,Results_list!$D143,SSP5_Baseline!$B:$B,2040)) - (SUMIFS(SSP5_Baseline!$E:$E,SSP5_Baseline!$C:$C,Results_list!$C$130,SSP5_Baseline!$D:$D,Results_list!$D143,SSP5_Baseline!$B:$B,2025))) / (SUMIFS(SSP5_Baseline!$E:$E,SSP5_Baseline!$C:$C,Results_list!$C$130,SSP5_Baseline!$D:$D,Results_list!$D143,SSP5_Baseline!$B:$B,2025))</f>
        <v>-0.38326402412148597</v>
      </c>
      <c r="N143" s="16">
        <f>((SUMIFS(SSP5_VSI!$F:$F,SSP5_VSI!$C:$C,Results_list!$C$130,SSP5_VSI!$D:$D,Results_list!$D143,SSP5_VSI!$B:$B,2040)) - (SUMIFS(SSP5_VSI!$F:$F,SSP5_VSI!$C:$C,Results_list!$C$130,SSP5_VSI!$D:$D,Results_list!$D143,SSP5_VSI!$B:$B,2025))) / (SUMIFS(SSP5_VSI!$F:$F,SSP5_VSI!$C:$C,Results_list!$C$130,SSP5_VSI!$D:$D,Results_list!$D143,SSP5_VSI!$B:$B,2025))</f>
        <v>-0.38312384659826099</v>
      </c>
      <c r="O143" s="13">
        <f t="shared" si="20"/>
        <v>0</v>
      </c>
    </row>
    <row r="144" spans="2:15" x14ac:dyDescent="0.35">
      <c r="B144" s="89"/>
      <c r="C144" s="89"/>
      <c r="D144" s="22" t="s">
        <v>53</v>
      </c>
      <c r="F144" s="3" t="s">
        <v>101</v>
      </c>
      <c r="G144" s="12">
        <f>((SUMIFS(SSP1_Baseline!$E:$E,SSP1_Baseline!$C:$C,Results_list!$C$130,SSP1_Baseline!$D:$D,Results_list!$D144,SSP1_Baseline!$B:$B,2040)) - (SUMIFS(SSP1_Baseline!$E:$E,SSP1_Baseline!$C:$C,Results_list!$C$130,SSP1_Baseline!$D:$D,Results_list!$D144,SSP1_Baseline!$B:$B,2025))) / (SUMIFS(SSP1_Baseline!$E:$E,SSP1_Baseline!$C:$C,Results_list!$C$130,SSP1_Baseline!$D:$D,Results_list!$D144,SSP1_Baseline!$B:$B,2025))</f>
        <v>-0.14270734741235741</v>
      </c>
      <c r="H144" s="16">
        <f>((SUMIFS(SSP1_VSI!$F:$F,SSP1_VSI!$C:$C,Results_list!$C$130,SSP1_VSI!$D:$D,Results_list!$D144,SSP1_VSI!$B:$B,2040)) - (SUMIFS(SSP1_VSI!$F:$F,SSP1_VSI!$C:$C,Results_list!$C$130,SSP1_VSI!$D:$D,Results_list!$D144,SSP1_VSI!$B:$B,2025))) / (SUMIFS(SSP1_VSI!$F:$F,SSP1_VSI!$C:$C,Results_list!$C$130,SSP1_VSI!$D:$D,Results_list!$D144,SSP1_VSI!$B:$B,2025))</f>
        <v>-0.1428053621050851</v>
      </c>
      <c r="I144" s="13">
        <f t="shared" si="18"/>
        <v>0</v>
      </c>
      <c r="J144" s="12">
        <f>((SUMIFS(SSP2_Baseline!$E:$E,SSP2_Baseline!$C:$C,Results_list!$C$130,SSP2_Baseline!$D:$D,Results_list!$D144,SSP2_Baseline!$B:$B,2040)) - (SUMIFS(SSP2_Baseline!$E:$E,SSP2_Baseline!$C:$C,Results_list!$C$130,SSP2_Baseline!$D:$D,Results_list!$D144,SSP2_Baseline!$B:$B,2025))) / (SUMIFS(SSP2_Baseline!$E:$E,SSP2_Baseline!$C:$C,Results_list!$C$130,SSP2_Baseline!$D:$D,Results_list!$D144,SSP2_Baseline!$B:$B,2025))</f>
        <v>-0.11293703287987725</v>
      </c>
      <c r="K144" s="16">
        <f>((SUMIFS(SSP2_VSI!$F:$F,SSP2_VSI!$C:$C,Results_list!$C$130,SSP2_VSI!$D:$D,Results_list!$D144,SSP2_VSI!$B:$B,2040)) - (SUMIFS(SSP2_VSI!$F:$F,SSP2_VSI!$C:$C,Results_list!$C$130,SSP2_VSI!$D:$D,Results_list!$D144,SSP2_VSI!$B:$B,2025))) / (SUMIFS(SSP2_VSI!$F:$F,SSP2_VSI!$C:$C,Results_list!$C$130,SSP2_VSI!$D:$D,Results_list!$D144,SSP2_VSI!$B:$B,2025))</f>
        <v>-0.11290487138401338</v>
      </c>
      <c r="L144" s="13">
        <f t="shared" si="19"/>
        <v>0</v>
      </c>
      <c r="M144" s="12">
        <f>((SUMIFS(SSP5_Baseline!$E:$E,SSP5_Baseline!$C:$C,Results_list!$C$130,SSP5_Baseline!$D:$D,Results_list!$D144,SSP5_Baseline!$B:$B,2040)) - (SUMIFS(SSP5_Baseline!$E:$E,SSP5_Baseline!$C:$C,Results_list!$C$130,SSP5_Baseline!$D:$D,Results_list!$D144,SSP5_Baseline!$B:$B,2025))) / (SUMIFS(SSP5_Baseline!$E:$E,SSP5_Baseline!$C:$C,Results_list!$C$130,SSP5_Baseline!$D:$D,Results_list!$D144,SSP5_Baseline!$B:$B,2025))</f>
        <v>4.0110246777034734E-3</v>
      </c>
      <c r="N144" s="16">
        <f>((SUMIFS(SSP5_VSI!$F:$F,SSP5_VSI!$C:$C,Results_list!$C$130,SSP5_VSI!$D:$D,Results_list!$D144,SSP5_VSI!$B:$B,2040)) - (SUMIFS(SSP5_VSI!$F:$F,SSP5_VSI!$C:$C,Results_list!$C$130,SSP5_VSI!$D:$D,Results_list!$D144,SSP5_VSI!$B:$B,2025))) / (SUMIFS(SSP5_VSI!$F:$F,SSP5_VSI!$C:$C,Results_list!$C$130,SSP5_VSI!$D:$D,Results_list!$D144,SSP5_VSI!$B:$B,2025))</f>
        <v>4.0476202384943719E-3</v>
      </c>
      <c r="O144" s="13">
        <f t="shared" si="20"/>
        <v>0</v>
      </c>
    </row>
    <row r="145" spans="2:15" x14ac:dyDescent="0.35">
      <c r="B145" s="89"/>
      <c r="C145" s="89"/>
      <c r="D145" s="22" t="s">
        <v>54</v>
      </c>
      <c r="F145" s="3" t="s">
        <v>102</v>
      </c>
      <c r="G145" s="12">
        <f>((SUMIFS(SSP1_Baseline!$E:$E,SSP1_Baseline!$C:$C,Results_list!$C$130,SSP1_Baseline!$D:$D,Results_list!$D145,SSP1_Baseline!$B:$B,2040)) - (SUMIFS(SSP1_Baseline!$E:$E,SSP1_Baseline!$C:$C,Results_list!$C$130,SSP1_Baseline!$D:$D,Results_list!$D145,SSP1_Baseline!$B:$B,2025))) / (SUMIFS(SSP1_Baseline!$E:$E,SSP1_Baseline!$C:$C,Results_list!$C$130,SSP1_Baseline!$D:$D,Results_list!$D145,SSP1_Baseline!$B:$B,2025))</f>
        <v>6.4136248040605926E-4</v>
      </c>
      <c r="H145" s="16">
        <f>((SUMIFS(SSP1_VSI!$F:$F,SSP1_VSI!$C:$C,Results_list!$C$130,SSP1_VSI!$D:$D,Results_list!$D145,SSP1_VSI!$B:$B,2040)) - (SUMIFS(SSP1_VSI!$F:$F,SSP1_VSI!$C:$C,Results_list!$C$130,SSP1_VSI!$D:$D,Results_list!$D145,SSP1_VSI!$B:$B,2025))) / (SUMIFS(SSP1_VSI!$F:$F,SSP1_VSI!$C:$C,Results_list!$C$130,SSP1_VSI!$D:$D,Results_list!$D145,SSP1_VSI!$B:$B,2025))</f>
        <v>6.1478223074938859E-4</v>
      </c>
      <c r="I145" s="13">
        <f t="shared" si="18"/>
        <v>0</v>
      </c>
      <c r="J145" s="12">
        <f>((SUMIFS(SSP2_Baseline!$E:$E,SSP2_Baseline!$C:$C,Results_list!$C$130,SSP2_Baseline!$D:$D,Results_list!$D145,SSP2_Baseline!$B:$B,2040)) - (SUMIFS(SSP2_Baseline!$E:$E,SSP2_Baseline!$C:$C,Results_list!$C$130,SSP2_Baseline!$D:$D,Results_list!$D145,SSP2_Baseline!$B:$B,2025))) / (SUMIFS(SSP2_Baseline!$E:$E,SSP2_Baseline!$C:$C,Results_list!$C$130,SSP2_Baseline!$D:$D,Results_list!$D145,SSP2_Baseline!$B:$B,2025))</f>
        <v>2.1083268756728136E-3</v>
      </c>
      <c r="K145" s="16">
        <f>((SUMIFS(SSP2_VSI!$F:$F,SSP2_VSI!$C:$C,Results_list!$C$130,SSP2_VSI!$D:$D,Results_list!$D145,SSP2_VSI!$B:$B,2040)) - (SUMIFS(SSP2_VSI!$F:$F,SSP2_VSI!$C:$C,Results_list!$C$130,SSP2_VSI!$D:$D,Results_list!$D145,SSP2_VSI!$B:$B,2025))) / (SUMIFS(SSP2_VSI!$F:$F,SSP2_VSI!$C:$C,Results_list!$C$130,SSP2_VSI!$D:$D,Results_list!$D145,SSP2_VSI!$B:$B,2025))</f>
        <v>2.0842893249152202E-3</v>
      </c>
      <c r="L145" s="13">
        <f t="shared" si="19"/>
        <v>0</v>
      </c>
      <c r="M145" s="12">
        <f>((SUMIFS(SSP5_Baseline!$E:$E,SSP5_Baseline!$C:$C,Results_list!$C$130,SSP5_Baseline!$D:$D,Results_list!$D145,SSP5_Baseline!$B:$B,2040)) - (SUMIFS(SSP5_Baseline!$E:$E,SSP5_Baseline!$C:$C,Results_list!$C$130,SSP5_Baseline!$D:$D,Results_list!$D145,SSP5_Baseline!$B:$B,2025))) / (SUMIFS(SSP5_Baseline!$E:$E,SSP5_Baseline!$C:$C,Results_list!$C$130,SSP5_Baseline!$D:$D,Results_list!$D145,SSP5_Baseline!$B:$B,2025))</f>
        <v>1.9488070315309333E-3</v>
      </c>
      <c r="N145" s="16">
        <f>((SUMIFS(SSP5_VSI!$F:$F,SSP5_VSI!$C:$C,Results_list!$C$130,SSP5_VSI!$D:$D,Results_list!$D145,SSP5_VSI!$B:$B,2040)) - (SUMIFS(SSP5_VSI!$F:$F,SSP5_VSI!$C:$C,Results_list!$C$130,SSP5_VSI!$D:$D,Results_list!$D145,SSP5_VSI!$B:$B,2025))) / (SUMIFS(SSP5_VSI!$F:$F,SSP5_VSI!$C:$C,Results_list!$C$130,SSP5_VSI!$D:$D,Results_list!$D145,SSP5_VSI!$B:$B,2025))</f>
        <v>1.9241545125233185E-3</v>
      </c>
      <c r="O145" s="13">
        <f t="shared" si="20"/>
        <v>0</v>
      </c>
    </row>
    <row r="146" spans="2:15" x14ac:dyDescent="0.35">
      <c r="B146" s="89"/>
      <c r="C146" s="89"/>
      <c r="D146" s="22" t="s">
        <v>55</v>
      </c>
      <c r="F146" s="3" t="s">
        <v>103</v>
      </c>
      <c r="G146" s="12">
        <f>((SUMIFS(SSP1_Baseline!$E:$E,SSP1_Baseline!$C:$C,Results_list!$C$130,SSP1_Baseline!$D:$D,Results_list!$D146,SSP1_Baseline!$B:$B,2040)) - (SUMIFS(SSP1_Baseline!$E:$E,SSP1_Baseline!$C:$C,Results_list!$C$130,SSP1_Baseline!$D:$D,Results_list!$D146,SSP1_Baseline!$B:$B,2025))) / (SUMIFS(SSP1_Baseline!$E:$E,SSP1_Baseline!$C:$C,Results_list!$C$130,SSP1_Baseline!$D:$D,Results_list!$D146,SSP1_Baseline!$B:$B,2025))</f>
        <v>5.5526635863593877E-4</v>
      </c>
      <c r="H146" s="16">
        <f>((SUMIFS(SSP1_VSI!$F:$F,SSP1_VSI!$C:$C,Results_list!$C$130,SSP1_VSI!$D:$D,Results_list!$D146,SSP1_VSI!$B:$B,2040)) - (SUMIFS(SSP1_VSI!$F:$F,SSP1_VSI!$C:$C,Results_list!$C$130,SSP1_VSI!$D:$D,Results_list!$D146,SSP1_VSI!$B:$B,2025))) / (SUMIFS(SSP1_VSI!$F:$F,SSP1_VSI!$C:$C,Results_list!$C$130,SSP1_VSI!$D:$D,Results_list!$D146,SSP1_VSI!$B:$B,2025))</f>
        <v>-2.5816381973073014E-3</v>
      </c>
      <c r="I146" s="13">
        <f t="shared" si="18"/>
        <v>-3.0000000000000001E-3</v>
      </c>
      <c r="J146" s="12">
        <f>((SUMIFS(SSP2_Baseline!$E:$E,SSP2_Baseline!$C:$C,Results_list!$C$130,SSP2_Baseline!$D:$D,Results_list!$D146,SSP2_Baseline!$B:$B,2040)) - (SUMIFS(SSP2_Baseline!$E:$E,SSP2_Baseline!$C:$C,Results_list!$C$130,SSP2_Baseline!$D:$D,Results_list!$D146,SSP2_Baseline!$B:$B,2025))) / (SUMIFS(SSP2_Baseline!$E:$E,SSP2_Baseline!$C:$C,Results_list!$C$130,SSP2_Baseline!$D:$D,Results_list!$D146,SSP2_Baseline!$B:$B,2025))</f>
        <v>2.0199148744182442E-3</v>
      </c>
      <c r="K146" s="16">
        <f>((SUMIFS(SSP2_VSI!$F:$F,SSP2_VSI!$C:$C,Results_list!$C$130,SSP2_VSI!$D:$D,Results_list!$D146,SSP2_VSI!$B:$B,2040)) - (SUMIFS(SSP2_VSI!$F:$F,SSP2_VSI!$C:$C,Results_list!$C$130,SSP2_VSI!$D:$D,Results_list!$D146,SSP2_VSI!$B:$B,2025))) / (SUMIFS(SSP2_VSI!$F:$F,SSP2_VSI!$C:$C,Results_list!$C$130,SSP2_VSI!$D:$D,Results_list!$D146,SSP2_VSI!$B:$B,2025))</f>
        <v>-1.1155711751818789E-3</v>
      </c>
      <c r="L146" s="13">
        <f t="shared" si="19"/>
        <v>0</v>
      </c>
      <c r="M146" s="12">
        <f>((SUMIFS(SSP5_Baseline!$E:$E,SSP5_Baseline!$C:$C,Results_list!$C$130,SSP5_Baseline!$D:$D,Results_list!$D146,SSP5_Baseline!$B:$B,2040)) - (SUMIFS(SSP5_Baseline!$E:$E,SSP5_Baseline!$C:$C,Results_list!$C$130,SSP5_Baseline!$D:$D,Results_list!$D146,SSP5_Baseline!$B:$B,2025))) / (SUMIFS(SSP5_Baseline!$E:$E,SSP5_Baseline!$C:$C,Results_list!$C$130,SSP5_Baseline!$D:$D,Results_list!$D146,SSP5_Baseline!$B:$B,2025))</f>
        <v>1.7867562916474222E-3</v>
      </c>
      <c r="N146" s="16">
        <f>((SUMIFS(SSP5_VSI!$F:$F,SSP5_VSI!$C:$C,Results_list!$C$130,SSP5_VSI!$D:$D,Results_list!$D146,SSP5_VSI!$B:$B,2040)) - (SUMIFS(SSP5_VSI!$F:$F,SSP5_VSI!$C:$C,Results_list!$C$130,SSP5_VSI!$D:$D,Results_list!$D146,SSP5_VSI!$B:$B,2025))) / (SUMIFS(SSP5_VSI!$F:$F,SSP5_VSI!$C:$C,Results_list!$C$130,SSP5_VSI!$D:$D,Results_list!$D146,SSP5_VSI!$B:$B,2025))</f>
        <v>-1.3492371228734316E-3</v>
      </c>
      <c r="O146" s="13">
        <f t="shared" si="20"/>
        <v>0</v>
      </c>
    </row>
    <row r="147" spans="2:15" x14ac:dyDescent="0.35">
      <c r="B147" s="90"/>
      <c r="C147" s="90"/>
      <c r="D147" s="23" t="s">
        <v>56</v>
      </c>
      <c r="F147" s="9" t="s">
        <v>104</v>
      </c>
      <c r="G147" s="14">
        <f>((SUMIFS(SSP1_Baseline!$E:$E,SSP1_Baseline!$C:$C,Results_list!$C$130,SSP1_Baseline!$D:$D,Results_list!$D147,SSP1_Baseline!$B:$B,2040)) - (SUMIFS(SSP1_Baseline!$E:$E,SSP1_Baseline!$C:$C,Results_list!$C$130,SSP1_Baseline!$D:$D,Results_list!$D147,SSP1_Baseline!$B:$B,2025))) / (SUMIFS(SSP1_Baseline!$E:$E,SSP1_Baseline!$C:$C,Results_list!$C$130,SSP1_Baseline!$D:$D,Results_list!$D147,SSP1_Baseline!$B:$B,2025))</f>
        <v>-0.16538872696401724</v>
      </c>
      <c r="H147" s="17">
        <f>((SUMIFS(SSP1_VSI!$F:$F,SSP1_VSI!$C:$C,Results_list!$C$130,SSP1_VSI!$D:$D,Results_list!$D147,SSP1_VSI!$B:$B,2040)) - (SUMIFS(SSP1_VSI!$F:$F,SSP1_VSI!$C:$C,Results_list!$C$130,SSP1_VSI!$D:$D,Results_list!$D147,SSP1_VSI!$B:$B,2025))) / (SUMIFS(SSP1_VSI!$F:$F,SSP1_VSI!$C:$C,Results_list!$C$130,SSP1_VSI!$D:$D,Results_list!$D147,SSP1_VSI!$B:$B,2025))</f>
        <v>-0.16543962069113596</v>
      </c>
      <c r="I147" s="15">
        <f t="shared" si="18"/>
        <v>0</v>
      </c>
      <c r="J147" s="14">
        <f>((SUMIFS(SSP2_Baseline!$E:$E,SSP2_Baseline!$C:$C,Results_list!$C$130,SSP2_Baseline!$D:$D,Results_list!$D147,SSP2_Baseline!$B:$B,2040)) - (SUMIFS(SSP2_Baseline!$E:$E,SSP2_Baseline!$C:$C,Results_list!$C$130,SSP2_Baseline!$D:$D,Results_list!$D147,SSP2_Baseline!$B:$B,2025))) / (SUMIFS(SSP2_Baseline!$E:$E,SSP2_Baseline!$C:$C,Results_list!$C$130,SSP2_Baseline!$D:$D,Results_list!$D147,SSP2_Baseline!$B:$B,2025))</f>
        <v>-0.22014162054549766</v>
      </c>
      <c r="K147" s="17">
        <f>((SUMIFS(SSP2_VSI!$F:$F,SSP2_VSI!$C:$C,Results_list!$C$130,SSP2_VSI!$D:$D,Results_list!$D147,SSP2_VSI!$B:$B,2040)) - (SUMIFS(SSP2_VSI!$F:$F,SSP2_VSI!$C:$C,Results_list!$C$130,SSP2_VSI!$D:$D,Results_list!$D147,SSP2_VSI!$B:$B,2025))) / (SUMIFS(SSP2_VSI!$F:$F,SSP2_VSI!$C:$C,Results_list!$C$130,SSP2_VSI!$D:$D,Results_list!$D147,SSP2_VSI!$B:$B,2025))</f>
        <v>-0.22015429045950838</v>
      </c>
      <c r="L147" s="15">
        <f t="shared" si="19"/>
        <v>0</v>
      </c>
      <c r="M147" s="14">
        <f>((SUMIFS(SSP5_Baseline!$E:$E,SSP5_Baseline!$C:$C,Results_list!$C$130,SSP5_Baseline!$D:$D,Results_list!$D147,SSP5_Baseline!$B:$B,2040)) - (SUMIFS(SSP5_Baseline!$E:$E,SSP5_Baseline!$C:$C,Results_list!$C$130,SSP5_Baseline!$D:$D,Results_list!$D147,SSP5_Baseline!$B:$B,2025))) / (SUMIFS(SSP5_Baseline!$E:$E,SSP5_Baseline!$C:$C,Results_list!$C$130,SSP5_Baseline!$D:$D,Results_list!$D147,SSP5_Baseline!$B:$B,2025))</f>
        <v>-3.4177048322427982E-2</v>
      </c>
      <c r="N147" s="17">
        <f>((SUMIFS(SSP5_VSI!$F:$F,SSP5_VSI!$C:$C,Results_list!$C$130,SSP5_VSI!$D:$D,Results_list!$D147,SSP5_VSI!$B:$B,2040)) - (SUMIFS(SSP5_VSI!$F:$F,SSP5_VSI!$C:$C,Results_list!$C$130,SSP5_VSI!$D:$D,Results_list!$D147,SSP5_VSI!$B:$B,2025))) / (SUMIFS(SSP5_VSI!$F:$F,SSP5_VSI!$C:$C,Results_list!$C$130,SSP5_VSI!$D:$D,Results_list!$D147,SSP5_VSI!$B:$B,2025))</f>
        <v>-3.417352875887069E-2</v>
      </c>
      <c r="O147" s="15">
        <f t="shared" si="20"/>
        <v>0</v>
      </c>
    </row>
    <row r="149" spans="2:15" ht="19" customHeight="1" x14ac:dyDescent="0.35">
      <c r="F149" s="2"/>
      <c r="G149" s="78" t="s">
        <v>3</v>
      </c>
      <c r="H149" s="79"/>
      <c r="I149" s="79"/>
      <c r="J149" s="79"/>
      <c r="K149" s="79"/>
      <c r="L149" s="79"/>
      <c r="M149" s="79"/>
      <c r="N149" s="79"/>
      <c r="O149" s="80"/>
    </row>
    <row r="150" spans="2:15" ht="29" x14ac:dyDescent="0.35">
      <c r="B150" s="8" t="s">
        <v>30</v>
      </c>
      <c r="C150" s="8" t="s">
        <v>30</v>
      </c>
      <c r="D150" s="6" t="s">
        <v>106</v>
      </c>
      <c r="F150" s="7" t="s">
        <v>105</v>
      </c>
      <c r="G150" s="10" t="s">
        <v>0</v>
      </c>
      <c r="H150" s="11" t="s">
        <v>108</v>
      </c>
      <c r="I150" s="18" t="s">
        <v>107</v>
      </c>
      <c r="J150" s="10" t="s">
        <v>1</v>
      </c>
      <c r="K150" s="11" t="s">
        <v>109</v>
      </c>
      <c r="L150" s="18" t="s">
        <v>107</v>
      </c>
      <c r="M150" s="10" t="s">
        <v>2</v>
      </c>
      <c r="N150" s="11" t="s">
        <v>110</v>
      </c>
      <c r="O150" s="18" t="s">
        <v>107</v>
      </c>
    </row>
    <row r="151" spans="2:15" ht="14.5" customHeight="1" x14ac:dyDescent="0.35">
      <c r="B151" s="89" t="s">
        <v>117</v>
      </c>
      <c r="C151" s="91" t="s">
        <v>65</v>
      </c>
      <c r="D151" t="s">
        <v>38</v>
      </c>
      <c r="F151" s="3" t="s">
        <v>87</v>
      </c>
      <c r="G151" s="12">
        <f>((SUMIFS(SSP1_Baseline!$E:$E,SSP1_Baseline!$C:$C,Results_list!$C$151,SSP1_Baseline!$D:$D,Results_list!$D151,SSP1_Baseline!$B:$B,2040))
- (SUMIFS(SSP1_Baseline!$E:$E,SSP1_Baseline!$C:$C,Results_list!$C$151,SSP1_Baseline!$D:$D,Results_list!$D151,SSP1_Baseline!$B:$B,2025)))
/ (SUMIFS(SSP1_Baseline!$E:$E,SSP1_Baseline!$C:$C,Results_list!$C$151,SSP1_Baseline!$D:$D,Results_list!$D151,SSP1_Baseline!$B:$B,2025))</f>
        <v>-2.4117525478010195E-2</v>
      </c>
      <c r="H151" s="16">
        <f>((SUMIFS(SSP1_VSI!$F:$F,SSP1_VSI!$C:$C,Results_list!$C$151,SSP1_VSI!$D:$D,Results_list!$D151,SSP1_VSI!$B:$B,2040))
- (SUMIFS(SSP1_VSI!$F:$F,SSP1_VSI!$C:$C,Results_list!$C$151,SSP1_VSI!$D:$D,Results_list!$D151,SSP1_VSI!$B:$B,2025)))
/ (SUMIFS(SSP1_VSI!$F:$F,SSP1_VSI!$C:$C,Results_list!$C$151,SSP1_VSI!$D:$D,Results_list!$D151,SSP1_VSI!$B:$B,2025))</f>
        <v>-3.0268481715841081E-2</v>
      </c>
      <c r="I151" s="19">
        <f>ROUND(H151-G151,3)</f>
        <v>-6.0000000000000001E-3</v>
      </c>
      <c r="J151" s="12">
        <f>((SUMIFS(SSP2_Baseline!$E:$E,SSP2_Baseline!$C:$C,Results_list!$C$151,SSP2_Baseline!$D:$D,Results_list!$D151,SSP2_Baseline!$B:$B,2040))
- (SUMIFS(SSP2_Baseline!$E:$E,SSP2_Baseline!$C:$C,Results_list!$C$151,SSP2_Baseline!$D:$D,Results_list!$D151,SSP2_Baseline!$B:$B,2025)))
/ (SUMIFS(SSP2_Baseline!$E:$E,SSP2_Baseline!$C:$C,Results_list!$C$151,SSP2_Baseline!$D:$D,Results_list!$D151,SSP2_Baseline!$B:$B,2025))</f>
        <v>7.3634475856926229E-2</v>
      </c>
      <c r="K151" s="16">
        <f>((SUMIFS(SSP2_VSI!$F:$F,SSP2_VSI!$C:$C,Results_list!$C$151,SSP2_VSI!$D:$D,Results_list!$D151,SSP2_VSI!$B:$B,2040))
- (SUMIFS(SSP2_VSI!$F:$F,SSP2_VSI!$C:$C,Results_list!$C$151,SSP2_VSI!$D:$D,Results_list!$D151,SSP2_VSI!$B:$B,2025)))
/ (SUMIFS(SSP2_VSI!$F:$F,SSP2_VSI!$C:$C,Results_list!$C$151,SSP2_VSI!$D:$D,Results_list!$D151,SSP2_VSI!$B:$B,2025))</f>
        <v>6.6264283727975826E-2</v>
      </c>
      <c r="L151" s="19">
        <f>ROUND(K151-J151,2)</f>
        <v>-0.01</v>
      </c>
      <c r="M151" s="12">
        <f>((SUMIFS(SSP5_Baseline!$E:$E,SSP5_Baseline!$C:$C,Results_list!$C$151,SSP5_Baseline!$D:$D,Results_list!$D151,SSP5_Baseline!$B:$B,2040))
- (SUMIFS(SSP5_Baseline!$E:$E,SSP5_Baseline!$C:$C,Results_list!$C$151,SSP5_Baseline!$D:$D,Results_list!$D151,SSP5_Baseline!$B:$B,2025)))
/ (SUMIFS(SSP5_Baseline!$E:$E,SSP5_Baseline!$C:$C,Results_list!$C$151,SSP5_Baseline!$D:$D,Results_list!$D151,SSP5_Baseline!$B:$B,2025))</f>
        <v>0.10950624282893597</v>
      </c>
      <c r="N151" s="16">
        <f>((SUMIFS(SSP5_VSI!$F:$F,SSP5_VSI!$C:$C,Results_list!$C$151,SSP5_VSI!$D:$D,Results_list!$D151,SSP5_VSI!$B:$B,2040))
- (SUMIFS(SSP5_VSI!$F:$F,SSP5_VSI!$C:$C,Results_list!$C$151,SSP5_VSI!$D:$D,Results_list!$D151,SSP5_VSI!$B:$B,2025)))
/ (SUMIFS(SSP5_VSI!$F:$F,SSP5_VSI!$C:$C,Results_list!$C$151,SSP5_VSI!$D:$D,Results_list!$D151,SSP5_VSI!$B:$B,2025))</f>
        <v>0.10207119948011843</v>
      </c>
      <c r="O151" s="19">
        <f>ROUND(N151-M151,2)</f>
        <v>-0.01</v>
      </c>
    </row>
    <row r="152" spans="2:15" x14ac:dyDescent="0.35">
      <c r="B152" s="89"/>
      <c r="C152" s="91"/>
      <c r="D152" t="s">
        <v>40</v>
      </c>
      <c r="F152" s="3" t="s">
        <v>88</v>
      </c>
      <c r="G152" s="12">
        <f>((SUMIFS(SSP1_Baseline!$E:$E,SSP1_Baseline!$C:$C,Results_list!$C$151,SSP1_Baseline!$D:$D,Results_list!$D152,SSP1_Baseline!$B:$B,2040)) - (SUMIFS(SSP1_Baseline!$E:$E,SSP1_Baseline!$C:$C,Results_list!$C$151,SSP1_Baseline!$D:$D,Results_list!$D152,SSP1_Baseline!$B:$B,2025))) / (SUMIFS(SSP1_Baseline!$E:$E,SSP1_Baseline!$C:$C,Results_list!$C$151,SSP1_Baseline!$D:$D,Results_list!$D152,SSP1_Baseline!$B:$B,2025))</f>
        <v>-3.3833372607660846E-2</v>
      </c>
      <c r="H152" s="16">
        <f>((SUMIFS(SSP1_VSI!$F:$F,SSP1_VSI!$C:$C,Results_list!$C$151,SSP1_VSI!$D:$D,Results_list!$D152,SSP1_VSI!$B:$B,2040)) - (SUMIFS(SSP1_VSI!$F:$F,SSP1_VSI!$C:$C,Results_list!$C$151,SSP1_VSI!$D:$D,Results_list!$D152,SSP1_VSI!$B:$B,2025))) / (SUMIFS(SSP1_VSI!$F:$F,SSP1_VSI!$C:$C,Results_list!$C$151,SSP1_VSI!$D:$D,Results_list!$D152,SSP1_VSI!$B:$B,2025))</f>
        <v>-3.3837084323939143E-2</v>
      </c>
      <c r="I152" s="13">
        <f t="shared" ref="I152:I168" si="21">ROUND(H152-G152,3)</f>
        <v>0</v>
      </c>
      <c r="J152" s="12">
        <f>((SUMIFS(SSP2_Baseline!$E:$E,SSP2_Baseline!$C:$C,Results_list!$C$151,SSP2_Baseline!$D:$D,Results_list!$D152,SSP2_Baseline!$B:$B,2040)) - (SUMIFS(SSP2_Baseline!$E:$E,SSP2_Baseline!$C:$C,Results_list!$C$151,SSP2_Baseline!$D:$D,Results_list!$D152,SSP2_Baseline!$B:$B,2025))) / (SUMIFS(SSP2_Baseline!$E:$E,SSP2_Baseline!$C:$C,Results_list!$C$151,SSP2_Baseline!$D:$D,Results_list!$D152,SSP2_Baseline!$B:$B,2025))</f>
        <v>-3.668308007207878E-2</v>
      </c>
      <c r="K152" s="16">
        <f>((SUMIFS(SSP2_VSI!$F:$F,SSP2_VSI!$C:$C,Results_list!$C$151,SSP2_VSI!$D:$D,Results_list!$D152,SSP2_VSI!$B:$B,2040)) - (SUMIFS(SSP2_VSI!$F:$F,SSP2_VSI!$C:$C,Results_list!$C$151,SSP2_VSI!$D:$D,Results_list!$D152,SSP2_VSI!$B:$B,2025))) / (SUMIFS(SSP2_VSI!$F:$F,SSP2_VSI!$C:$C,Results_list!$C$151,SSP2_VSI!$D:$D,Results_list!$D152,SSP2_VSI!$B:$B,2025))</f>
        <v>-3.6691889987989182E-2</v>
      </c>
      <c r="L152" s="13">
        <f t="shared" ref="L152:L168" si="22">ROUND(K152-J152,2)</f>
        <v>0</v>
      </c>
      <c r="M152" s="12">
        <f>((SUMIFS(SSP5_Baseline!$E:$E,SSP5_Baseline!$C:$C,Results_list!$C$151,SSP5_Baseline!$D:$D,Results_list!$D152,SSP5_Baseline!$B:$B,2040)) - (SUMIFS(SSP5_Baseline!$E:$E,SSP5_Baseline!$C:$C,Results_list!$C$151,SSP5_Baseline!$D:$D,Results_list!$D152,SSP5_Baseline!$B:$B,2025))) / (SUMIFS(SSP5_Baseline!$E:$E,SSP5_Baseline!$C:$C,Results_list!$C$151,SSP5_Baseline!$D:$D,Results_list!$D152,SSP5_Baseline!$B:$B,2025))</f>
        <v>-2.3644706154830608E-2</v>
      </c>
      <c r="N152" s="16">
        <f>((SUMIFS(SSP5_VSI!$F:$F,SSP5_VSI!$C:$C,Results_list!$C$151,SSP5_VSI!$D:$D,Results_list!$D152,SSP5_VSI!$B:$B,2040)) - (SUMIFS(SSP5_VSI!$F:$F,SSP5_VSI!$C:$C,Results_list!$C$151,SSP5_VSI!$D:$D,Results_list!$D152,SSP5_VSI!$B:$B,2025))) / (SUMIFS(SSP5_VSI!$F:$F,SSP5_VSI!$C:$C,Results_list!$C$151,SSP5_VSI!$D:$D,Results_list!$D152,SSP5_VSI!$B:$B,2025))</f>
        <v>-2.3663315136722731E-2</v>
      </c>
      <c r="O152" s="13">
        <f t="shared" ref="O152:O168" si="23">ROUND(N152-M152,2)</f>
        <v>0</v>
      </c>
    </row>
    <row r="153" spans="2:15" x14ac:dyDescent="0.35">
      <c r="B153" s="89"/>
      <c r="C153" s="91"/>
      <c r="D153" t="s">
        <v>41</v>
      </c>
      <c r="F153" s="3" t="s">
        <v>89</v>
      </c>
      <c r="G153" s="12">
        <f>((SUMIFS(SSP1_Baseline!$E:$E,SSP1_Baseline!$C:$C,Results_list!$C$151,SSP1_Baseline!$D:$D,Results_list!$D153,SSP1_Baseline!$B:$B,2040)) - (SUMIFS(SSP1_Baseline!$E:$E,SSP1_Baseline!$C:$C,Results_list!$C$151,SSP1_Baseline!$D:$D,Results_list!$D153,SSP1_Baseline!$B:$B,2025))) / (SUMIFS(SSP1_Baseline!$E:$E,SSP1_Baseline!$C:$C,Results_list!$C$151,SSP1_Baseline!$D:$D,Results_list!$D153,SSP1_Baseline!$B:$B,2025))</f>
        <v>-7.5031317976352215E-3</v>
      </c>
      <c r="H153" s="16">
        <f>((SUMIFS(SSP1_VSI!$F:$F,SSP1_VSI!$C:$C,Results_list!$C$151,SSP1_VSI!$D:$D,Results_list!$D153,SSP1_VSI!$B:$B,2040)) - (SUMIFS(SSP1_VSI!$F:$F,SSP1_VSI!$C:$C,Results_list!$C$151,SSP1_VSI!$D:$D,Results_list!$D153,SSP1_VSI!$B:$B,2025))) / (SUMIFS(SSP1_VSI!$F:$F,SSP1_VSI!$C:$C,Results_list!$C$151,SSP1_VSI!$D:$D,Results_list!$D153,SSP1_VSI!$B:$B,2025))</f>
        <v>-0.44702639309807951</v>
      </c>
      <c r="I153" s="13">
        <f t="shared" si="21"/>
        <v>-0.44</v>
      </c>
      <c r="J153" s="12">
        <f>((SUMIFS(SSP2_Baseline!$E:$E,SSP2_Baseline!$C:$C,Results_list!$C$151,SSP2_Baseline!$D:$D,Results_list!$D153,SSP2_Baseline!$B:$B,2040)) - (SUMIFS(SSP2_Baseline!$E:$E,SSP2_Baseline!$C:$C,Results_list!$C$151,SSP2_Baseline!$D:$D,Results_list!$D153,SSP2_Baseline!$B:$B,2025))) / (SUMIFS(SSP2_Baseline!$E:$E,SSP2_Baseline!$C:$C,Results_list!$C$151,SSP2_Baseline!$D:$D,Results_list!$D153,SSP2_Baseline!$B:$B,2025))</f>
        <v>-6.0406738576797873E-3</v>
      </c>
      <c r="K153" s="16">
        <f>((SUMIFS(SSP2_VSI!$F:$F,SSP2_VSI!$C:$C,Results_list!$C$151,SSP2_VSI!$D:$D,Results_list!$D153,SSP2_VSI!$B:$B,2040)) - (SUMIFS(SSP2_VSI!$F:$F,SSP2_VSI!$C:$C,Results_list!$C$151,SSP2_VSI!$D:$D,Results_list!$D153,SSP2_VSI!$B:$B,2025))) / (SUMIFS(SSP2_VSI!$F:$F,SSP2_VSI!$C:$C,Results_list!$C$151,SSP2_VSI!$D:$D,Results_list!$D153,SSP2_VSI!$B:$B,2025))</f>
        <v>-0.44623412941637369</v>
      </c>
      <c r="L153" s="13">
        <f t="shared" si="22"/>
        <v>-0.44</v>
      </c>
      <c r="M153" s="12">
        <f>((SUMIFS(SSP5_Baseline!$E:$E,SSP5_Baseline!$C:$C,Results_list!$C$151,SSP5_Baseline!$D:$D,Results_list!$D153,SSP5_Baseline!$B:$B,2040)) - (SUMIFS(SSP5_Baseline!$E:$E,SSP5_Baseline!$C:$C,Results_list!$C$151,SSP5_Baseline!$D:$D,Results_list!$D153,SSP5_Baseline!$B:$B,2025))) / (SUMIFS(SSP5_Baseline!$E:$E,SSP5_Baseline!$C:$C,Results_list!$C$151,SSP5_Baseline!$D:$D,Results_list!$D153,SSP5_Baseline!$B:$B,2025))</f>
        <v>-4.2805239119990549E-3</v>
      </c>
      <c r="N153" s="16">
        <f>((SUMIFS(SSP5_VSI!$F:$F,SSP5_VSI!$C:$C,Results_list!$C$151,SSP5_VSI!$D:$D,Results_list!$D153,SSP5_VSI!$B:$B,2040)) - (SUMIFS(SSP5_VSI!$F:$F,SSP5_VSI!$C:$C,Results_list!$C$151,SSP5_VSI!$D:$D,Results_list!$D153,SSP5_VSI!$B:$B,2025))) / (SUMIFS(SSP5_VSI!$F:$F,SSP5_VSI!$C:$C,Results_list!$C$151,SSP5_VSI!$D:$D,Results_list!$D153,SSP5_VSI!$B:$B,2025))</f>
        <v>-0.44438438932201418</v>
      </c>
      <c r="O153" s="13">
        <f t="shared" si="23"/>
        <v>-0.44</v>
      </c>
    </row>
    <row r="154" spans="2:15" x14ac:dyDescent="0.35">
      <c r="B154" s="89"/>
      <c r="C154" s="91"/>
      <c r="D154" t="s">
        <v>42</v>
      </c>
      <c r="F154" s="3" t="s">
        <v>90</v>
      </c>
      <c r="G154" s="12">
        <f>((SUMIFS(SSP1_Baseline!$E:$E,SSP1_Baseline!$C:$C,Results_list!$C$151,SSP1_Baseline!$D:$D,Results_list!$D154,SSP1_Baseline!$B:$B,2040)) - (SUMIFS(SSP1_Baseline!$E:$E,SSP1_Baseline!$C:$C,Results_list!$C$151,SSP1_Baseline!$D:$D,Results_list!$D154,SSP1_Baseline!$B:$B,2025))) / (SUMIFS(SSP1_Baseline!$E:$E,SSP1_Baseline!$C:$C,Results_list!$C$151,SSP1_Baseline!$D:$D,Results_list!$D154,SSP1_Baseline!$B:$B,2025))</f>
        <v>-4.0082817555418919E-3</v>
      </c>
      <c r="H154" s="16">
        <f>((SUMIFS(SSP1_VSI!$F:$F,SSP1_VSI!$C:$C,Results_list!$C$151,SSP1_VSI!$D:$D,Results_list!$D154,SSP1_VSI!$B:$B,2040)) - (SUMIFS(SSP1_VSI!$F:$F,SSP1_VSI!$C:$C,Results_list!$C$151,SSP1_VSI!$D:$D,Results_list!$D154,SSP1_VSI!$B:$B,2025))) / (SUMIFS(SSP1_VSI!$F:$F,SSP1_VSI!$C:$C,Results_list!$C$151,SSP1_VSI!$D:$D,Results_list!$D154,SSP1_VSI!$B:$B,2025))</f>
        <v>-2.0879538749756409E-2</v>
      </c>
      <c r="I154" s="13">
        <f t="shared" si="21"/>
        <v>-1.7000000000000001E-2</v>
      </c>
      <c r="J154" s="12">
        <f>((SUMIFS(SSP2_Baseline!$E:$E,SSP2_Baseline!$C:$C,Results_list!$C$151,SSP2_Baseline!$D:$D,Results_list!$D154,SSP2_Baseline!$B:$B,2040)) - (SUMIFS(SSP2_Baseline!$E:$E,SSP2_Baseline!$C:$C,Results_list!$C$151,SSP2_Baseline!$D:$D,Results_list!$D154,SSP2_Baseline!$B:$B,2025))) / (SUMIFS(SSP2_Baseline!$E:$E,SSP2_Baseline!$C:$C,Results_list!$C$151,SSP2_Baseline!$D:$D,Results_list!$D154,SSP2_Baseline!$B:$B,2025))</f>
        <v>-9.883053753676819E-4</v>
      </c>
      <c r="K154" s="16">
        <f>((SUMIFS(SSP2_VSI!$F:$F,SSP2_VSI!$C:$C,Results_list!$C$151,SSP2_VSI!$D:$D,Results_list!$D154,SSP2_VSI!$B:$B,2040)) - (SUMIFS(SSP2_VSI!$F:$F,SSP2_VSI!$C:$C,Results_list!$C$151,SSP2_VSI!$D:$D,Results_list!$D154,SSP2_VSI!$B:$B,2025))) / (SUMIFS(SSP2_VSI!$F:$F,SSP2_VSI!$C:$C,Results_list!$C$151,SSP2_VSI!$D:$D,Results_list!$D154,SSP2_VSI!$B:$B,2025))</f>
        <v>-1.7892844358433246E-2</v>
      </c>
      <c r="L154" s="13">
        <f t="shared" si="22"/>
        <v>-0.02</v>
      </c>
      <c r="M154" s="12">
        <f>((SUMIFS(SSP5_Baseline!$E:$E,SSP5_Baseline!$C:$C,Results_list!$C$151,SSP5_Baseline!$D:$D,Results_list!$D154,SSP5_Baseline!$B:$B,2040)) - (SUMIFS(SSP5_Baseline!$E:$E,SSP5_Baseline!$C:$C,Results_list!$C$151,SSP5_Baseline!$D:$D,Results_list!$D154,SSP5_Baseline!$B:$B,2025))) / (SUMIFS(SSP5_Baseline!$E:$E,SSP5_Baseline!$C:$C,Results_list!$C$151,SSP5_Baseline!$D:$D,Results_list!$D154,SSP5_Baseline!$B:$B,2025))</f>
        <v>6.3629101054866214E-3</v>
      </c>
      <c r="N154" s="16">
        <f>((SUMIFS(SSP5_VSI!$F:$F,SSP5_VSI!$C:$C,Results_list!$C$151,SSP5_VSI!$D:$D,Results_list!$D154,SSP5_VSI!$B:$B,2040)) - (SUMIFS(SSP5_VSI!$F:$F,SSP5_VSI!$C:$C,Results_list!$C$151,SSP5_VSI!$D:$D,Results_list!$D154,SSP5_VSI!$B:$B,2025))) / (SUMIFS(SSP5_VSI!$F:$F,SSP5_VSI!$C:$C,Results_list!$C$151,SSP5_VSI!$D:$D,Results_list!$D154,SSP5_VSI!$B:$B,2025))</f>
        <v>-1.0497248614119537E-2</v>
      </c>
      <c r="O154" s="13">
        <f t="shared" si="23"/>
        <v>-0.02</v>
      </c>
    </row>
    <row r="155" spans="2:15" x14ac:dyDescent="0.35">
      <c r="B155" s="89"/>
      <c r="C155" s="91"/>
      <c r="D155" t="s">
        <v>43</v>
      </c>
      <c r="F155" s="3" t="s">
        <v>91</v>
      </c>
      <c r="G155" s="12">
        <f>((SUMIFS(SSP1_Baseline!$E:$E,SSP1_Baseline!$C:$C,Results_list!$C$151,SSP1_Baseline!$D:$D,Results_list!$D155,SSP1_Baseline!$B:$B,2040)) - (SUMIFS(SSP1_Baseline!$E:$E,SSP1_Baseline!$C:$C,Results_list!$C$151,SSP1_Baseline!$D:$D,Results_list!$D155,SSP1_Baseline!$B:$B,2025))) / (SUMIFS(SSP1_Baseline!$E:$E,SSP1_Baseline!$C:$C,Results_list!$C$151,SSP1_Baseline!$D:$D,Results_list!$D155,SSP1_Baseline!$B:$B,2025))</f>
        <v>-1.4076227680998801E-2</v>
      </c>
      <c r="H155" s="16">
        <f>((SUMIFS(SSP1_VSI!$F:$F,SSP1_VSI!$C:$C,Results_list!$C$151,SSP1_VSI!$D:$D,Results_list!$D155,SSP1_VSI!$B:$B,2040)) - (SUMIFS(SSP1_VSI!$F:$F,SSP1_VSI!$C:$C,Results_list!$C$151,SSP1_VSI!$D:$D,Results_list!$D155,SSP1_VSI!$B:$B,2025))) / (SUMIFS(SSP1_VSI!$F:$F,SSP1_VSI!$C:$C,Results_list!$C$151,SSP1_VSI!$D:$D,Results_list!$D155,SSP1_VSI!$B:$B,2025))</f>
        <v>-0.43435231274485381</v>
      </c>
      <c r="I155" s="13">
        <f t="shared" si="21"/>
        <v>-0.42</v>
      </c>
      <c r="J155" s="12">
        <f>((SUMIFS(SSP2_Baseline!$E:$E,SSP2_Baseline!$C:$C,Results_list!$C$151,SSP2_Baseline!$D:$D,Results_list!$D155,SSP2_Baseline!$B:$B,2040)) - (SUMIFS(SSP2_Baseline!$E:$E,SSP2_Baseline!$C:$C,Results_list!$C$151,SSP2_Baseline!$D:$D,Results_list!$D155,SSP2_Baseline!$B:$B,2025))) / (SUMIFS(SSP2_Baseline!$E:$E,SSP2_Baseline!$C:$C,Results_list!$C$151,SSP2_Baseline!$D:$D,Results_list!$D155,SSP2_Baseline!$B:$B,2025))</f>
        <v>1.0773397520492488E-2</v>
      </c>
      <c r="K155" s="16">
        <f>((SUMIFS(SSP2_VSI!$F:$F,SSP2_VSI!$C:$C,Results_list!$C$151,SSP2_VSI!$D:$D,Results_list!$D155,SSP2_VSI!$B:$B,2040)) - (SUMIFS(SSP2_VSI!$F:$F,SSP2_VSI!$C:$C,Results_list!$C$151,SSP2_VSI!$D:$D,Results_list!$D155,SSP2_VSI!$B:$B,2025))) / (SUMIFS(SSP2_VSI!$F:$F,SSP2_VSI!$C:$C,Results_list!$C$151,SSP2_VSI!$D:$D,Results_list!$D155,SSP2_VSI!$B:$B,2025))</f>
        <v>-0.42781388358449673</v>
      </c>
      <c r="L155" s="13">
        <f t="shared" si="22"/>
        <v>-0.44</v>
      </c>
      <c r="M155" s="12">
        <f>((SUMIFS(SSP5_Baseline!$E:$E,SSP5_Baseline!$C:$C,Results_list!$C$151,SSP5_Baseline!$D:$D,Results_list!$D155,SSP5_Baseline!$B:$B,2040)) - (SUMIFS(SSP5_Baseline!$E:$E,SSP5_Baseline!$C:$C,Results_list!$C$151,SSP5_Baseline!$D:$D,Results_list!$D155,SSP5_Baseline!$B:$B,2025))) / (SUMIFS(SSP5_Baseline!$E:$E,SSP5_Baseline!$C:$C,Results_list!$C$151,SSP5_Baseline!$D:$D,Results_list!$D155,SSP5_Baseline!$B:$B,2025))</f>
        <v>2.0796274555421379E-2</v>
      </c>
      <c r="N155" s="16">
        <f>((SUMIFS(SSP5_VSI!$F:$F,SSP5_VSI!$C:$C,Results_list!$C$151,SSP5_VSI!$D:$D,Results_list!$D155,SSP5_VSI!$B:$B,2040)) - (SUMIFS(SSP5_VSI!$F:$F,SSP5_VSI!$C:$C,Results_list!$C$151,SSP5_VSI!$D:$D,Results_list!$D155,SSP5_VSI!$B:$B,2025))) / (SUMIFS(SSP5_VSI!$F:$F,SSP5_VSI!$C:$C,Results_list!$C$151,SSP5_VSI!$D:$D,Results_list!$D155,SSP5_VSI!$B:$B,2025))</f>
        <v>-0.41865710937730249</v>
      </c>
      <c r="O155" s="13">
        <f t="shared" si="23"/>
        <v>-0.44</v>
      </c>
    </row>
    <row r="156" spans="2:15" ht="14.5" customHeight="1" x14ac:dyDescent="0.35">
      <c r="B156" s="89"/>
      <c r="C156" s="91"/>
      <c r="D156" t="s">
        <v>136</v>
      </c>
      <c r="F156" s="3" t="s">
        <v>92</v>
      </c>
      <c r="G156" s="12">
        <f>((SUMIFS(SSP1_Baseline!$E:$E,SSP1_Baseline!$C:$C,Results_list!$C$151,SSP1_Baseline!$D:$D,Results_list!$D156,SSP1_Baseline!$B:$B,2040)) - (SUMIFS(SSP1_Baseline!$E:$E,SSP1_Baseline!$C:$C,Results_list!$C$151,SSP1_Baseline!$D:$D,Results_list!$D156,SSP1_Baseline!$B:$B,2025))) / (SUMIFS(SSP1_Baseline!$E:$E,SSP1_Baseline!$C:$C,Results_list!$C$151,SSP1_Baseline!$D:$D,Results_list!$D156,SSP1_Baseline!$B:$B,2025))</f>
        <v>-2.4760071818799856E-2</v>
      </c>
      <c r="H156" s="16">
        <f>((SUMIFS(SSP1_VSI!$F:$F,SSP1_VSI!$C:$C,Results_list!$C$151,SSP1_VSI!$D:$D,Results_list!$D156,SSP1_VSI!$B:$B,2040)) - (SUMIFS(SSP1_VSI!$F:$F,SSP1_VSI!$C:$C,Results_list!$C$151,SSP1_VSI!$D:$D,Results_list!$D156,SSP1_VSI!$B:$B,2025))) / (SUMIFS(SSP1_VSI!$F:$F,SSP1_VSI!$C:$C,Results_list!$C$151,SSP1_VSI!$D:$D,Results_list!$D156,SSP1_VSI!$B:$B,2025))</f>
        <v>-0.2627982153250818</v>
      </c>
      <c r="I156" s="13">
        <f t="shared" si="21"/>
        <v>-0.23799999999999999</v>
      </c>
      <c r="J156" s="12">
        <f>((SUMIFS(SSP2_Baseline!$E:$E,SSP2_Baseline!$C:$C,Results_list!$C$151,SSP2_Baseline!$D:$D,Results_list!$D156,SSP2_Baseline!$B:$B,2040)) - (SUMIFS(SSP2_Baseline!$E:$E,SSP2_Baseline!$C:$C,Results_list!$C$151,SSP2_Baseline!$D:$D,Results_list!$D156,SSP2_Baseline!$B:$B,2025))) / (SUMIFS(SSP2_Baseline!$E:$E,SSP2_Baseline!$C:$C,Results_list!$C$151,SSP2_Baseline!$D:$D,Results_list!$D156,SSP2_Baseline!$B:$B,2025))</f>
        <v>-1.6711535173790173E-2</v>
      </c>
      <c r="K156" s="16">
        <f>((SUMIFS(SSP2_VSI!$F:$F,SSP2_VSI!$C:$C,Results_list!$C$151,SSP2_VSI!$D:$D,Results_list!$D156,SSP2_VSI!$B:$B,2040)) - (SUMIFS(SSP2_VSI!$F:$F,SSP2_VSI!$C:$C,Results_list!$C$151,SSP2_VSI!$D:$D,Results_list!$D156,SSP2_VSI!$B:$B,2025))) / (SUMIFS(SSP2_VSI!$F:$F,SSP2_VSI!$C:$C,Results_list!$C$151,SSP2_VSI!$D:$D,Results_list!$D156,SSP2_VSI!$B:$B,2025))</f>
        <v>-0.25447434454687407</v>
      </c>
      <c r="L156" s="13">
        <f t="shared" si="22"/>
        <v>-0.24</v>
      </c>
      <c r="M156" s="12">
        <f>((SUMIFS(SSP5_Baseline!$E:$E,SSP5_Baseline!$C:$C,Results_list!$C$151,SSP5_Baseline!$D:$D,Results_list!$D156,SSP5_Baseline!$B:$B,2040)) - (SUMIFS(SSP5_Baseline!$E:$E,SSP5_Baseline!$C:$C,Results_list!$C$151,SSP5_Baseline!$D:$D,Results_list!$D156,SSP5_Baseline!$B:$B,2025))) / (SUMIFS(SSP5_Baseline!$E:$E,SSP5_Baseline!$C:$C,Results_list!$C$151,SSP5_Baseline!$D:$D,Results_list!$D156,SSP5_Baseline!$B:$B,2025))</f>
        <v>-5.4548344515732991E-3</v>
      </c>
      <c r="N156" s="16">
        <f>((SUMIFS(SSP5_VSI!$F:$F,SSP5_VSI!$C:$C,Results_list!$C$151,SSP5_VSI!$D:$D,Results_list!$D156,SSP5_VSI!$B:$B,2040)) - (SUMIFS(SSP5_VSI!$F:$F,SSP5_VSI!$C:$C,Results_list!$C$151,SSP5_VSI!$D:$D,Results_list!$D156,SSP5_VSI!$B:$B,2025))) / (SUMIFS(SSP5_VSI!$F:$F,SSP5_VSI!$C:$C,Results_list!$C$151,SSP5_VSI!$D:$D,Results_list!$D156,SSP5_VSI!$B:$B,2025))</f>
        <v>-0.24252375938482271</v>
      </c>
      <c r="O156" s="13">
        <f t="shared" si="23"/>
        <v>-0.24</v>
      </c>
    </row>
    <row r="157" spans="2:15" x14ac:dyDescent="0.35">
      <c r="B157" s="89"/>
      <c r="C157" s="91"/>
      <c r="D157" t="s">
        <v>45</v>
      </c>
      <c r="F157" s="3" t="s">
        <v>93</v>
      </c>
      <c r="G157" s="12">
        <f>((SUMIFS(SSP1_Baseline!$E:$E,SSP1_Baseline!$C:$C,Results_list!$C$151,SSP1_Baseline!$D:$D,Results_list!$D157,SSP1_Baseline!$B:$B,2040)) - (SUMIFS(SSP1_Baseline!$E:$E,SSP1_Baseline!$C:$C,Results_list!$C$151,SSP1_Baseline!$D:$D,Results_list!$D157,SSP1_Baseline!$B:$B,2025))) / (SUMIFS(SSP1_Baseline!$E:$E,SSP1_Baseline!$C:$C,Results_list!$C$151,SSP1_Baseline!$D:$D,Results_list!$D157,SSP1_Baseline!$B:$B,2025))</f>
        <v>-3.7590875957735984E-2</v>
      </c>
      <c r="H157" s="16">
        <f>((SUMIFS(SSP1_VSI!$F:$F,SSP1_VSI!$C:$C,Results_list!$C$151,SSP1_VSI!$D:$D,Results_list!$D157,SSP1_VSI!$B:$B,2040)) - (SUMIFS(SSP1_VSI!$F:$F,SSP1_VSI!$C:$C,Results_list!$C$151,SSP1_VSI!$D:$D,Results_list!$D157,SSP1_VSI!$B:$B,2025))) / (SUMIFS(SSP1_VSI!$F:$F,SSP1_VSI!$C:$C,Results_list!$C$151,SSP1_VSI!$D:$D,Results_list!$D157,SSP1_VSI!$B:$B,2025))</f>
        <v>-0.48570748237807426</v>
      </c>
      <c r="I157" s="13">
        <f t="shared" si="21"/>
        <v>-0.44800000000000001</v>
      </c>
      <c r="J157" s="12">
        <f>((SUMIFS(SSP2_Baseline!$E:$E,SSP2_Baseline!$C:$C,Results_list!$C$151,SSP2_Baseline!$D:$D,Results_list!$D157,SSP2_Baseline!$B:$B,2040)) - (SUMIFS(SSP2_Baseline!$E:$E,SSP2_Baseline!$C:$C,Results_list!$C$151,SSP2_Baseline!$D:$D,Results_list!$D157,SSP2_Baseline!$B:$B,2025))) / (SUMIFS(SSP2_Baseline!$E:$E,SSP2_Baseline!$C:$C,Results_list!$C$151,SSP2_Baseline!$D:$D,Results_list!$D157,SSP2_Baseline!$B:$B,2025))</f>
        <v>-3.2941579968920012E-2</v>
      </c>
      <c r="K157" s="16">
        <f>((SUMIFS(SSP2_VSI!$F:$F,SSP2_VSI!$C:$C,Results_list!$C$151,SSP2_VSI!$D:$D,Results_list!$D157,SSP2_VSI!$B:$B,2040)) - (SUMIFS(SSP2_VSI!$F:$F,SSP2_VSI!$C:$C,Results_list!$C$151,SSP2_VSI!$D:$D,Results_list!$D157,SSP2_VSI!$B:$B,2025))) / (SUMIFS(SSP2_VSI!$F:$F,SSP2_VSI!$C:$C,Results_list!$C$151,SSP2_VSI!$D:$D,Results_list!$D157,SSP2_VSI!$B:$B,2025))</f>
        <v>-0.48441560015902446</v>
      </c>
      <c r="L157" s="13">
        <f t="shared" si="22"/>
        <v>-0.45</v>
      </c>
      <c r="M157" s="12">
        <f>((SUMIFS(SSP5_Baseline!$E:$E,SSP5_Baseline!$C:$C,Results_list!$C$151,SSP5_Baseline!$D:$D,Results_list!$D157,SSP5_Baseline!$B:$B,2040)) - (SUMIFS(SSP5_Baseline!$E:$E,SSP5_Baseline!$C:$C,Results_list!$C$151,SSP5_Baseline!$D:$D,Results_list!$D157,SSP5_Baseline!$B:$B,2025))) / (SUMIFS(SSP5_Baseline!$E:$E,SSP5_Baseline!$C:$C,Results_list!$C$151,SSP5_Baseline!$D:$D,Results_list!$D157,SSP5_Baseline!$B:$B,2025))</f>
        <v>-3.0742387269323497E-2</v>
      </c>
      <c r="N157" s="16">
        <f>((SUMIFS(SSP5_VSI!$F:$F,SSP5_VSI!$C:$C,Results_list!$C$151,SSP5_VSI!$D:$D,Results_list!$D157,SSP5_VSI!$B:$B,2040)) - (SUMIFS(SSP5_VSI!$F:$F,SSP5_VSI!$C:$C,Results_list!$C$151,SSP5_VSI!$D:$D,Results_list!$D157,SSP5_VSI!$B:$B,2025))) / (SUMIFS(SSP5_VSI!$F:$F,SSP5_VSI!$C:$C,Results_list!$C$151,SSP5_VSI!$D:$D,Results_list!$D157,SSP5_VSI!$B:$B,2025))</f>
        <v>-0.48277886895413058</v>
      </c>
      <c r="O157" s="13">
        <f t="shared" si="23"/>
        <v>-0.45</v>
      </c>
    </row>
    <row r="158" spans="2:15" x14ac:dyDescent="0.35">
      <c r="B158" s="89"/>
      <c r="C158" s="91"/>
      <c r="D158" t="s">
        <v>46</v>
      </c>
      <c r="F158" s="3" t="s">
        <v>94</v>
      </c>
      <c r="G158" s="12">
        <f>((SUMIFS(SSP1_Baseline!$E:$E,SSP1_Baseline!$C:$C,Results_list!$C$151,SSP1_Baseline!$D:$D,Results_list!$D158,SSP1_Baseline!$B:$B,2040)) - (SUMIFS(SSP1_Baseline!$E:$E,SSP1_Baseline!$C:$C,Results_list!$C$151,SSP1_Baseline!$D:$D,Results_list!$D158,SSP1_Baseline!$B:$B,2025))) / (SUMIFS(SSP1_Baseline!$E:$E,SSP1_Baseline!$C:$C,Results_list!$C$151,SSP1_Baseline!$D:$D,Results_list!$D158,SSP1_Baseline!$B:$B,2025))</f>
        <v>0.48536778325484536</v>
      </c>
      <c r="H158" s="16">
        <f>((SUMIFS(SSP1_VSI!$F:$F,SSP1_VSI!$C:$C,Results_list!$C$151,SSP1_VSI!$D:$D,Results_list!$D158,SSP1_VSI!$B:$B,2040)) - (SUMIFS(SSP1_VSI!$F:$F,SSP1_VSI!$C:$C,Results_list!$C$151,SSP1_VSI!$D:$D,Results_list!$D158,SSP1_VSI!$B:$B,2025))) / (SUMIFS(SSP1_VSI!$F:$F,SSP1_VSI!$C:$C,Results_list!$C$151,SSP1_VSI!$D:$D,Results_list!$D158,SSP1_VSI!$B:$B,2025))</f>
        <v>0.48538490391771472</v>
      </c>
      <c r="I158" s="13">
        <f t="shared" si="21"/>
        <v>0</v>
      </c>
      <c r="J158" s="12">
        <f>((SUMIFS(SSP2_Baseline!$E:$E,SSP2_Baseline!$C:$C,Results_list!$C$151,SSP2_Baseline!$D:$D,Results_list!$D158,SSP2_Baseline!$B:$B,2040)) - (SUMIFS(SSP2_Baseline!$E:$E,SSP2_Baseline!$C:$C,Results_list!$C$151,SSP2_Baseline!$D:$D,Results_list!$D158,SSP2_Baseline!$B:$B,2025))) / (SUMIFS(SSP2_Baseline!$E:$E,SSP2_Baseline!$C:$C,Results_list!$C$151,SSP2_Baseline!$D:$D,Results_list!$D158,SSP2_Baseline!$B:$B,2025))</f>
        <v>1.0819458357092164</v>
      </c>
      <c r="K158" s="16">
        <f>((SUMIFS(SSP2_VSI!$F:$F,SSP2_VSI!$C:$C,Results_list!$C$151,SSP2_VSI!$D:$D,Results_list!$D158,SSP2_VSI!$B:$B,2040)) - (SUMIFS(SSP2_VSI!$F:$F,SSP2_VSI!$C:$C,Results_list!$C$151,SSP2_VSI!$D:$D,Results_list!$D158,SSP2_VSI!$B:$B,2025))) / (SUMIFS(SSP2_VSI!$F:$F,SSP2_VSI!$C:$C,Results_list!$C$151,SSP2_VSI!$D:$D,Results_list!$D158,SSP2_VSI!$B:$B,2025))</f>
        <v>1.0818256479654256</v>
      </c>
      <c r="L158" s="13">
        <f t="shared" si="22"/>
        <v>0</v>
      </c>
      <c r="M158" s="12">
        <f>((SUMIFS(SSP5_Baseline!$E:$E,SSP5_Baseline!$C:$C,Results_list!$C$151,SSP5_Baseline!$D:$D,Results_list!$D158,SSP5_Baseline!$B:$B,2040)) - (SUMIFS(SSP5_Baseline!$E:$E,SSP5_Baseline!$C:$C,Results_list!$C$151,SSP5_Baseline!$D:$D,Results_list!$D158,SSP5_Baseline!$B:$B,2025))) / (SUMIFS(SSP5_Baseline!$E:$E,SSP5_Baseline!$C:$C,Results_list!$C$151,SSP5_Baseline!$D:$D,Results_list!$D158,SSP5_Baseline!$B:$B,2025))</f>
        <v>1.0486988662893415</v>
      </c>
      <c r="N158" s="16">
        <f>((SUMIFS(SSP5_VSI!$F:$F,SSP5_VSI!$C:$C,Results_list!$C$151,SSP5_VSI!$D:$D,Results_list!$D158,SSP5_VSI!$B:$B,2040)) - (SUMIFS(SSP5_VSI!$F:$F,SSP5_VSI!$C:$C,Results_list!$C$151,SSP5_VSI!$D:$D,Results_list!$D158,SSP5_VSI!$B:$B,2025))) / (SUMIFS(SSP5_VSI!$F:$F,SSP5_VSI!$C:$C,Results_list!$C$151,SSP5_VSI!$D:$D,Results_list!$D158,SSP5_VSI!$B:$B,2025))</f>
        <v>1.0487089286638174</v>
      </c>
      <c r="O158" s="13">
        <f t="shared" si="23"/>
        <v>0</v>
      </c>
    </row>
    <row r="159" spans="2:15" x14ac:dyDescent="0.35">
      <c r="B159" s="89"/>
      <c r="C159" s="91"/>
      <c r="D159" t="s">
        <v>47</v>
      </c>
      <c r="F159" s="3" t="s">
        <v>95</v>
      </c>
      <c r="G159" s="12">
        <f>((SUMIFS(SSP1_Baseline!$E:$E,SSP1_Baseline!$C:$C,Results_list!$C$151,SSP1_Baseline!$D:$D,Results_list!$D159,SSP1_Baseline!$B:$B,2040)) - (SUMIFS(SSP1_Baseline!$E:$E,SSP1_Baseline!$C:$C,Results_list!$C$151,SSP1_Baseline!$D:$D,Results_list!$D159,SSP1_Baseline!$B:$B,2025))) / (SUMIFS(SSP1_Baseline!$E:$E,SSP1_Baseline!$C:$C,Results_list!$C$151,SSP1_Baseline!$D:$D,Results_list!$D159,SSP1_Baseline!$B:$B,2025))</f>
        <v>-3.9075528945815945E-3</v>
      </c>
      <c r="H159" s="16">
        <f>((SUMIFS(SSP1_VSI!$F:$F,SSP1_VSI!$C:$C,Results_list!$C$151,SSP1_VSI!$D:$D,Results_list!$D159,SSP1_VSI!$B:$B,2040)) - (SUMIFS(SSP1_VSI!$F:$F,SSP1_VSI!$C:$C,Results_list!$C$151,SSP1_VSI!$D:$D,Results_list!$D159,SSP1_VSI!$B:$B,2025))) / (SUMIFS(SSP1_VSI!$F:$F,SSP1_VSI!$C:$C,Results_list!$C$151,SSP1_VSI!$D:$D,Results_list!$D159,SSP1_VSI!$B:$B,2025))</f>
        <v>-3.8995916044577499E-3</v>
      </c>
      <c r="I159" s="13">
        <f t="shared" si="21"/>
        <v>0</v>
      </c>
      <c r="J159" s="12">
        <f>((SUMIFS(SSP2_Baseline!$E:$E,SSP2_Baseline!$C:$C,Results_list!$C$151,SSP2_Baseline!$D:$D,Results_list!$D159,SSP2_Baseline!$B:$B,2040)) - (SUMIFS(SSP2_Baseline!$E:$E,SSP2_Baseline!$C:$C,Results_list!$C$151,SSP2_Baseline!$D:$D,Results_list!$D159,SSP2_Baseline!$B:$B,2025))) / (SUMIFS(SSP2_Baseline!$E:$E,SSP2_Baseline!$C:$C,Results_list!$C$151,SSP2_Baseline!$D:$D,Results_list!$D159,SSP2_Baseline!$B:$B,2025))</f>
        <v>1.0788614553919774E-3</v>
      </c>
      <c r="K159" s="16">
        <f>((SUMIFS(SSP2_VSI!$F:$F,SSP2_VSI!$C:$C,Results_list!$C$151,SSP2_VSI!$D:$D,Results_list!$D159,SSP2_VSI!$B:$B,2040)) - (SUMIFS(SSP2_VSI!$F:$F,SSP2_VSI!$C:$C,Results_list!$C$151,SSP2_VSI!$D:$D,Results_list!$D159,SSP2_VSI!$B:$B,2025))) / (SUMIFS(SSP2_VSI!$F:$F,SSP2_VSI!$C:$C,Results_list!$C$151,SSP2_VSI!$D:$D,Results_list!$D159,SSP2_VSI!$B:$B,2025))</f>
        <v>1.080522331680836E-3</v>
      </c>
      <c r="L159" s="13">
        <f t="shared" si="22"/>
        <v>0</v>
      </c>
      <c r="M159" s="12">
        <f>((SUMIFS(SSP5_Baseline!$E:$E,SSP5_Baseline!$C:$C,Results_list!$C$151,SSP5_Baseline!$D:$D,Results_list!$D159,SSP5_Baseline!$B:$B,2040)) - (SUMIFS(SSP5_Baseline!$E:$E,SSP5_Baseline!$C:$C,Results_list!$C$151,SSP5_Baseline!$D:$D,Results_list!$D159,SSP5_Baseline!$B:$B,2025))) / (SUMIFS(SSP5_Baseline!$E:$E,SSP5_Baseline!$C:$C,Results_list!$C$151,SSP5_Baseline!$D:$D,Results_list!$D159,SSP5_Baseline!$B:$B,2025))</f>
        <v>2.0321154885512581E-2</v>
      </c>
      <c r="N159" s="16">
        <f>((SUMIFS(SSP5_VSI!$F:$F,SSP5_VSI!$C:$C,Results_list!$C$151,SSP5_VSI!$D:$D,Results_list!$D159,SSP5_VSI!$B:$B,2040)) - (SUMIFS(SSP5_VSI!$F:$F,SSP5_VSI!$C:$C,Results_list!$C$151,SSP5_VSI!$D:$D,Results_list!$D159,SSP5_VSI!$B:$B,2025))) / (SUMIFS(SSP5_VSI!$F:$F,SSP5_VSI!$C:$C,Results_list!$C$151,SSP5_VSI!$D:$D,Results_list!$D159,SSP5_VSI!$B:$B,2025))</f>
        <v>2.0362333891365672E-2</v>
      </c>
      <c r="O159" s="13">
        <f t="shared" si="23"/>
        <v>0</v>
      </c>
    </row>
    <row r="160" spans="2:15" x14ac:dyDescent="0.35">
      <c r="B160" s="89"/>
      <c r="C160" s="91"/>
      <c r="D160" t="s">
        <v>48</v>
      </c>
      <c r="F160" s="3" t="s">
        <v>96</v>
      </c>
      <c r="G160" s="12">
        <f>((SUMIFS(SSP1_Baseline!$E:$E,SSP1_Baseline!$C:$C,Results_list!$C$151,SSP1_Baseline!$D:$D,Results_list!$D160,SSP1_Baseline!$B:$B,2040)) - (SUMIFS(SSP1_Baseline!$E:$E,SSP1_Baseline!$C:$C,Results_list!$C$151,SSP1_Baseline!$D:$D,Results_list!$D160,SSP1_Baseline!$B:$B,2025))) / (SUMIFS(SSP1_Baseline!$E:$E,SSP1_Baseline!$C:$C,Results_list!$C$151,SSP1_Baseline!$D:$D,Results_list!$D160,SSP1_Baseline!$B:$B,2025))</f>
        <v>-8.1823351016027061E-4</v>
      </c>
      <c r="H160" s="16">
        <f>((SUMIFS(SSP1_VSI!$F:$F,SSP1_VSI!$C:$C,Results_list!$C$151,SSP1_VSI!$D:$D,Results_list!$D160,SSP1_VSI!$B:$B,2040)) - (SUMIFS(SSP1_VSI!$F:$F,SSP1_VSI!$C:$C,Results_list!$C$151,SSP1_VSI!$D:$D,Results_list!$D160,SSP1_VSI!$B:$B,2025))) / (SUMIFS(SSP1_VSI!$F:$F,SSP1_VSI!$C:$C,Results_list!$C$151,SSP1_VSI!$D:$D,Results_list!$D160,SSP1_VSI!$B:$B,2025))</f>
        <v>-8.1763159369306864E-4</v>
      </c>
      <c r="I160" s="13">
        <f t="shared" si="21"/>
        <v>0</v>
      </c>
      <c r="J160" s="12">
        <f>((SUMIFS(SSP2_Baseline!$E:$E,SSP2_Baseline!$C:$C,Results_list!$C$151,SSP2_Baseline!$D:$D,Results_list!$D160,SSP2_Baseline!$B:$B,2040)) - (SUMIFS(SSP2_Baseline!$E:$E,SSP2_Baseline!$C:$C,Results_list!$C$151,SSP2_Baseline!$D:$D,Results_list!$D160,SSP2_Baseline!$B:$B,2025))) / (SUMIFS(SSP2_Baseline!$E:$E,SSP2_Baseline!$C:$C,Results_list!$C$151,SSP2_Baseline!$D:$D,Results_list!$D160,SSP2_Baseline!$B:$B,2025))</f>
        <v>-9.4883178192099813E-4</v>
      </c>
      <c r="K160" s="16">
        <f>((SUMIFS(SSP2_VSI!$F:$F,SSP2_VSI!$C:$C,Results_list!$C$151,SSP2_VSI!$D:$D,Results_list!$D160,SSP2_VSI!$B:$B,2040)) - (SUMIFS(SSP2_VSI!$F:$F,SSP2_VSI!$C:$C,Results_list!$C$151,SSP2_VSI!$D:$D,Results_list!$D160,SSP2_VSI!$B:$B,2025))) / (SUMIFS(SSP2_VSI!$F:$F,SSP2_VSI!$C:$C,Results_list!$C$151,SSP2_VSI!$D:$D,Results_list!$D160,SSP2_VSI!$B:$B,2025))</f>
        <v>-9.490628219396166E-4</v>
      </c>
      <c r="L160" s="13">
        <f t="shared" si="22"/>
        <v>0</v>
      </c>
      <c r="M160" s="12">
        <f>((SUMIFS(SSP5_Baseline!$E:$E,SSP5_Baseline!$C:$C,Results_list!$C$151,SSP5_Baseline!$D:$D,Results_list!$D160,SSP5_Baseline!$B:$B,2040)) - (SUMIFS(SSP5_Baseline!$E:$E,SSP5_Baseline!$C:$C,Results_list!$C$151,SSP5_Baseline!$D:$D,Results_list!$D160,SSP5_Baseline!$B:$B,2025))) / (SUMIFS(SSP5_Baseline!$E:$E,SSP5_Baseline!$C:$C,Results_list!$C$151,SSP5_Baseline!$D:$D,Results_list!$D160,SSP5_Baseline!$B:$B,2025))</f>
        <v>-4.5357398059346724E-4</v>
      </c>
      <c r="N160" s="16">
        <f>((SUMIFS(SSP5_VSI!$F:$F,SSP5_VSI!$C:$C,Results_list!$C$151,SSP5_VSI!$D:$D,Results_list!$D160,SSP5_VSI!$B:$B,2040)) - (SUMIFS(SSP5_VSI!$F:$F,SSP5_VSI!$C:$C,Results_list!$C$151,SSP5_VSI!$D:$D,Results_list!$D160,SSP5_VSI!$B:$B,2025))) / (SUMIFS(SSP5_VSI!$F:$F,SSP5_VSI!$C:$C,Results_list!$C$151,SSP5_VSI!$D:$D,Results_list!$D160,SSP5_VSI!$B:$B,2025))</f>
        <v>-4.526131837207825E-4</v>
      </c>
      <c r="O160" s="13">
        <f t="shared" si="23"/>
        <v>0</v>
      </c>
    </row>
    <row r="161" spans="2:15" x14ac:dyDescent="0.35">
      <c r="B161" s="89"/>
      <c r="C161" s="91"/>
      <c r="D161" t="s">
        <v>49</v>
      </c>
      <c r="F161" s="3" t="s">
        <v>97</v>
      </c>
      <c r="G161" s="12">
        <f>((SUMIFS(SSP1_Baseline!$E:$E,SSP1_Baseline!$C:$C,Results_list!$C$151,SSP1_Baseline!$D:$D,Results_list!$D161,SSP1_Baseline!$B:$B,2040)) - (SUMIFS(SSP1_Baseline!$E:$E,SSP1_Baseline!$C:$C,Results_list!$C$151,SSP1_Baseline!$D:$D,Results_list!$D161,SSP1_Baseline!$B:$B,2025))) / (SUMIFS(SSP1_Baseline!$E:$E,SSP1_Baseline!$C:$C,Results_list!$C$151,SSP1_Baseline!$D:$D,Results_list!$D161,SSP1_Baseline!$B:$B,2025))</f>
        <v>-1.363554635718328E-2</v>
      </c>
      <c r="H161" s="16">
        <f>((SUMIFS(SSP1_VSI!$F:$F,SSP1_VSI!$C:$C,Results_list!$C$151,SSP1_VSI!$D:$D,Results_list!$D161,SSP1_VSI!$B:$B,2040)) - (SUMIFS(SSP1_VSI!$F:$F,SSP1_VSI!$C:$C,Results_list!$C$151,SSP1_VSI!$D:$D,Results_list!$D161,SSP1_VSI!$B:$B,2025))) / (SUMIFS(SSP1_VSI!$F:$F,SSP1_VSI!$C:$C,Results_list!$C$151,SSP1_VSI!$D:$D,Results_list!$D161,SSP1_VSI!$B:$B,2025))</f>
        <v>-0.5152841723791558</v>
      </c>
      <c r="I161" s="13">
        <f t="shared" si="21"/>
        <v>-0.502</v>
      </c>
      <c r="J161" s="12">
        <f>((SUMIFS(SSP2_Baseline!$E:$E,SSP2_Baseline!$C:$C,Results_list!$C$151,SSP2_Baseline!$D:$D,Results_list!$D161,SSP2_Baseline!$B:$B,2040)) - (SUMIFS(SSP2_Baseline!$E:$E,SSP2_Baseline!$C:$C,Results_list!$C$151,SSP2_Baseline!$D:$D,Results_list!$D161,SSP2_Baseline!$B:$B,2025))) / (SUMIFS(SSP2_Baseline!$E:$E,SSP2_Baseline!$C:$C,Results_list!$C$151,SSP2_Baseline!$D:$D,Results_list!$D161,SSP2_Baseline!$B:$B,2025))</f>
        <v>-3.6015377104757509E-3</v>
      </c>
      <c r="K161" s="16">
        <f>((SUMIFS(SSP2_VSI!$F:$F,SSP2_VSI!$C:$C,Results_list!$C$151,SSP2_VSI!$D:$D,Results_list!$D161,SSP2_VSI!$B:$B,2040)) - (SUMIFS(SSP2_VSI!$F:$F,SSP2_VSI!$C:$C,Results_list!$C$151,SSP2_VSI!$D:$D,Results_list!$D161,SSP2_VSI!$B:$B,2025))) / (SUMIFS(SSP2_VSI!$F:$F,SSP2_VSI!$C:$C,Results_list!$C$151,SSP2_VSI!$D:$D,Results_list!$D161,SSP2_VSI!$B:$B,2025))</f>
        <v>-0.51203694564185975</v>
      </c>
      <c r="L161" s="13">
        <f t="shared" si="22"/>
        <v>-0.51</v>
      </c>
      <c r="M161" s="12">
        <f>((SUMIFS(SSP5_Baseline!$E:$E,SSP5_Baseline!$C:$C,Results_list!$C$151,SSP5_Baseline!$D:$D,Results_list!$D161,SSP5_Baseline!$B:$B,2040)) - (SUMIFS(SSP5_Baseline!$E:$E,SSP5_Baseline!$C:$C,Results_list!$C$151,SSP5_Baseline!$D:$D,Results_list!$D161,SSP5_Baseline!$B:$B,2025))) / (SUMIFS(SSP5_Baseline!$E:$E,SSP5_Baseline!$C:$C,Results_list!$C$151,SSP5_Baseline!$D:$D,Results_list!$D161,SSP5_Baseline!$B:$B,2025))</f>
        <v>-9.3363778660912351E-4</v>
      </c>
      <c r="N161" s="16">
        <f>((SUMIFS(SSP5_VSI!$F:$F,SSP5_VSI!$C:$C,Results_list!$C$151,SSP5_VSI!$D:$D,Results_list!$D161,SSP5_VSI!$B:$B,2040)) - (SUMIFS(SSP5_VSI!$F:$F,SSP5_VSI!$C:$C,Results_list!$C$151,SSP5_VSI!$D:$D,Results_list!$D161,SSP5_VSI!$B:$B,2025))) / (SUMIFS(SSP5_VSI!$F:$F,SSP5_VSI!$C:$C,Results_list!$C$151,SSP5_VSI!$D:$D,Results_list!$D161,SSP5_VSI!$B:$B,2025))</f>
        <v>-0.50972079852905416</v>
      </c>
      <c r="O161" s="13">
        <f t="shared" si="23"/>
        <v>-0.51</v>
      </c>
    </row>
    <row r="162" spans="2:15" x14ac:dyDescent="0.35">
      <c r="B162" s="89"/>
      <c r="C162" s="91"/>
      <c r="D162" t="s">
        <v>50</v>
      </c>
      <c r="F162" s="3" t="s">
        <v>98</v>
      </c>
      <c r="G162" s="12">
        <f>((SUMIFS(SSP1_Baseline!$E:$E,SSP1_Baseline!$C:$C,Results_list!$C$151,SSP1_Baseline!$D:$D,Results_list!$D162,SSP1_Baseline!$B:$B,2040)) - (SUMIFS(SSP1_Baseline!$E:$E,SSP1_Baseline!$C:$C,Results_list!$C$151,SSP1_Baseline!$D:$D,Results_list!$D162,SSP1_Baseline!$B:$B,2025))) / (SUMIFS(SSP1_Baseline!$E:$E,SSP1_Baseline!$C:$C,Results_list!$C$151,SSP1_Baseline!$D:$D,Results_list!$D162,SSP1_Baseline!$B:$B,2025))</f>
        <v>-7.7046563485249922E-2</v>
      </c>
      <c r="H162" s="16">
        <f>((SUMIFS(SSP1_VSI!$F:$F,SSP1_VSI!$C:$C,Results_list!$C$151,SSP1_VSI!$D:$D,Results_list!$D162,SSP1_VSI!$B:$B,2040)) - (SUMIFS(SSP1_VSI!$F:$F,SSP1_VSI!$C:$C,Results_list!$C$151,SSP1_VSI!$D:$D,Results_list!$D162,SSP1_VSI!$B:$B,2025))) / (SUMIFS(SSP1_VSI!$F:$F,SSP1_VSI!$C:$C,Results_list!$C$151,SSP1_VSI!$D:$D,Results_list!$D162,SSP1_VSI!$B:$B,2025))</f>
        <v>-7.7047840571968715E-2</v>
      </c>
      <c r="I162" s="13">
        <f t="shared" si="21"/>
        <v>0</v>
      </c>
      <c r="J162" s="12">
        <f>((SUMIFS(SSP2_Baseline!$E:$E,SSP2_Baseline!$C:$C,Results_list!$C$151,SSP2_Baseline!$D:$D,Results_list!$D162,SSP2_Baseline!$B:$B,2040)) - (SUMIFS(SSP2_Baseline!$E:$E,SSP2_Baseline!$C:$C,Results_list!$C$151,SSP2_Baseline!$D:$D,Results_list!$D162,SSP2_Baseline!$B:$B,2025))) / (SUMIFS(SSP2_Baseline!$E:$E,SSP2_Baseline!$C:$C,Results_list!$C$151,SSP2_Baseline!$D:$D,Results_list!$D162,SSP2_Baseline!$B:$B,2025))</f>
        <v>0.33318964933088224</v>
      </c>
      <c r="K162" s="16">
        <f>((SUMIFS(SSP2_VSI!$F:$F,SSP2_VSI!$C:$C,Results_list!$C$151,SSP2_VSI!$D:$D,Results_list!$D162,SSP2_VSI!$B:$B,2040)) - (SUMIFS(SSP2_VSI!$F:$F,SSP2_VSI!$C:$C,Results_list!$C$151,SSP2_VSI!$D:$D,Results_list!$D162,SSP2_VSI!$B:$B,2025))) / (SUMIFS(SSP2_VSI!$F:$F,SSP2_VSI!$C:$C,Results_list!$C$151,SSP2_VSI!$D:$D,Results_list!$D162,SSP2_VSI!$B:$B,2025))</f>
        <v>0.33318579456078434</v>
      </c>
      <c r="L162" s="13">
        <f t="shared" si="22"/>
        <v>0</v>
      </c>
      <c r="M162" s="12">
        <f>((SUMIFS(SSP5_Baseline!$E:$E,SSP5_Baseline!$C:$C,Results_list!$C$151,SSP5_Baseline!$D:$D,Results_list!$D162,SSP5_Baseline!$B:$B,2040)) - (SUMIFS(SSP5_Baseline!$E:$E,SSP5_Baseline!$C:$C,Results_list!$C$151,SSP5_Baseline!$D:$D,Results_list!$D162,SSP5_Baseline!$B:$B,2025))) / (SUMIFS(SSP5_Baseline!$E:$E,SSP5_Baseline!$C:$C,Results_list!$C$151,SSP5_Baseline!$D:$D,Results_list!$D162,SSP5_Baseline!$B:$B,2025))</f>
        <v>0.5167109763056098</v>
      </c>
      <c r="N162" s="16">
        <f>((SUMIFS(SSP5_VSI!$F:$F,SSP5_VSI!$C:$C,Results_list!$C$151,SSP5_VSI!$D:$D,Results_list!$D162,SSP5_VSI!$B:$B,2040)) - (SUMIFS(SSP5_VSI!$F:$F,SSP5_VSI!$C:$C,Results_list!$C$151,SSP5_VSI!$D:$D,Results_list!$D162,SSP5_VSI!$B:$B,2025))) / (SUMIFS(SSP5_VSI!$F:$F,SSP5_VSI!$C:$C,Results_list!$C$151,SSP5_VSI!$D:$D,Results_list!$D162,SSP5_VSI!$B:$B,2025))</f>
        <v>0.51672723045198676</v>
      </c>
      <c r="O162" s="13">
        <f t="shared" si="23"/>
        <v>0</v>
      </c>
    </row>
    <row r="163" spans="2:15" x14ac:dyDescent="0.35">
      <c r="B163" s="89"/>
      <c r="C163" s="91"/>
      <c r="D163" t="s">
        <v>51</v>
      </c>
      <c r="F163" s="3" t="s">
        <v>99</v>
      </c>
      <c r="G163" s="12">
        <f>((SUMIFS(SSP1_Baseline!$E:$E,SSP1_Baseline!$C:$C,Results_list!$C$151,SSP1_Baseline!$D:$D,Results_list!$D163,SSP1_Baseline!$B:$B,2040)) - (SUMIFS(SSP1_Baseline!$E:$E,SSP1_Baseline!$C:$C,Results_list!$C$151,SSP1_Baseline!$D:$D,Results_list!$D163,SSP1_Baseline!$B:$B,2025))) / (SUMIFS(SSP1_Baseline!$E:$E,SSP1_Baseline!$C:$C,Results_list!$C$151,SSP1_Baseline!$D:$D,Results_list!$D163,SSP1_Baseline!$B:$B,2025))</f>
        <v>9.8704874080630641E-4</v>
      </c>
      <c r="H163" s="16">
        <f>((SUMIFS(SSP1_VSI!$F:$F,SSP1_VSI!$C:$C,Results_list!$C$151,SSP1_VSI!$D:$D,Results_list!$D163,SSP1_VSI!$B:$B,2040)) - (SUMIFS(SSP1_VSI!$F:$F,SSP1_VSI!$C:$C,Results_list!$C$151,SSP1_VSI!$D:$D,Results_list!$D163,SSP1_VSI!$B:$B,2025))) / (SUMIFS(SSP1_VSI!$F:$F,SSP1_VSI!$C:$C,Results_list!$C$151,SSP1_VSI!$D:$D,Results_list!$D163,SSP1_VSI!$B:$B,2025))</f>
        <v>9.8350251844153431E-4</v>
      </c>
      <c r="I163" s="13">
        <f t="shared" si="21"/>
        <v>0</v>
      </c>
      <c r="J163" s="12">
        <f>((SUMIFS(SSP2_Baseline!$E:$E,SSP2_Baseline!$C:$C,Results_list!$C$151,SSP2_Baseline!$D:$D,Results_list!$D163,SSP2_Baseline!$B:$B,2040)) - (SUMIFS(SSP2_Baseline!$E:$E,SSP2_Baseline!$C:$C,Results_list!$C$151,SSP2_Baseline!$D:$D,Results_list!$D163,SSP2_Baseline!$B:$B,2025))) / (SUMIFS(SSP2_Baseline!$E:$E,SSP2_Baseline!$C:$C,Results_list!$C$151,SSP2_Baseline!$D:$D,Results_list!$D163,SSP2_Baseline!$B:$B,2025))</f>
        <v>4.3959630494294667E-3</v>
      </c>
      <c r="K163" s="16">
        <f>((SUMIFS(SSP2_VSI!$F:$F,SSP2_VSI!$C:$C,Results_list!$C$151,SSP2_VSI!$D:$D,Results_list!$D163,SSP2_VSI!$B:$B,2040)) - (SUMIFS(SSP2_VSI!$F:$F,SSP2_VSI!$C:$C,Results_list!$C$151,SSP2_VSI!$D:$D,Results_list!$D163,SSP2_VSI!$B:$B,2025))) / (SUMIFS(SSP2_VSI!$F:$F,SSP2_VSI!$C:$C,Results_list!$C$151,SSP2_VSI!$D:$D,Results_list!$D163,SSP2_VSI!$B:$B,2025))</f>
        <v>4.3521285653914006E-3</v>
      </c>
      <c r="L163" s="13">
        <f t="shared" si="22"/>
        <v>0</v>
      </c>
      <c r="M163" s="12">
        <f>((SUMIFS(SSP5_Baseline!$E:$E,SSP5_Baseline!$C:$C,Results_list!$C$151,SSP5_Baseline!$D:$D,Results_list!$D163,SSP5_Baseline!$B:$B,2040)) - (SUMIFS(SSP5_Baseline!$E:$E,SSP5_Baseline!$C:$C,Results_list!$C$151,SSP5_Baseline!$D:$D,Results_list!$D163,SSP5_Baseline!$B:$B,2025))) / (SUMIFS(SSP5_Baseline!$E:$E,SSP5_Baseline!$C:$C,Results_list!$C$151,SSP5_Baseline!$D:$D,Results_list!$D163,SSP5_Baseline!$B:$B,2025))</f>
        <v>-4.3757435105389458E-3</v>
      </c>
      <c r="N163" s="16">
        <f>((SUMIFS(SSP5_VSI!$F:$F,SSP5_VSI!$C:$C,Results_list!$C$151,SSP5_VSI!$D:$D,Results_list!$D163,SSP5_VSI!$B:$B,2040)) - (SUMIFS(SSP5_VSI!$F:$F,SSP5_VSI!$C:$C,Results_list!$C$151,SSP5_VSI!$D:$D,Results_list!$D163,SSP5_VSI!$B:$B,2025))) / (SUMIFS(SSP5_VSI!$F:$F,SSP5_VSI!$C:$C,Results_list!$C$151,SSP5_VSI!$D:$D,Results_list!$D163,SSP5_VSI!$B:$B,2025))</f>
        <v>-4.3602262791357467E-3</v>
      </c>
      <c r="O163" s="13">
        <f t="shared" si="23"/>
        <v>0</v>
      </c>
    </row>
    <row r="164" spans="2:15" x14ac:dyDescent="0.35">
      <c r="B164" s="89"/>
      <c r="C164" s="91"/>
      <c r="D164" t="s">
        <v>52</v>
      </c>
      <c r="F164" s="3" t="s">
        <v>100</v>
      </c>
      <c r="G164" s="12">
        <f>((SUMIFS(SSP1_Baseline!$E:$E,SSP1_Baseline!$C:$C,Results_list!$C$151,SSP1_Baseline!$D:$D,Results_list!$D164,SSP1_Baseline!$B:$B,2040)) - (SUMIFS(SSP1_Baseline!$E:$E,SSP1_Baseline!$C:$C,Results_list!$C$151,SSP1_Baseline!$D:$D,Results_list!$D164,SSP1_Baseline!$B:$B,2025))) / (SUMIFS(SSP1_Baseline!$E:$E,SSP1_Baseline!$C:$C,Results_list!$C$151,SSP1_Baseline!$D:$D,Results_list!$D164,SSP1_Baseline!$B:$B,2025))</f>
        <v>-0.20629906013926108</v>
      </c>
      <c r="H164" s="16">
        <f>((SUMIFS(SSP1_VSI!$F:$F,SSP1_VSI!$C:$C,Results_list!$C$151,SSP1_VSI!$D:$D,Results_list!$D164,SSP1_VSI!$B:$B,2040)) - (SUMIFS(SSP1_VSI!$F:$F,SSP1_VSI!$C:$C,Results_list!$C$151,SSP1_VSI!$D:$D,Results_list!$D164,SSP1_VSI!$B:$B,2025))) / (SUMIFS(SSP1_VSI!$F:$F,SSP1_VSI!$C:$C,Results_list!$C$151,SSP1_VSI!$D:$D,Results_list!$D164,SSP1_VSI!$B:$B,2025))</f>
        <v>-0.20612809914185495</v>
      </c>
      <c r="I164" s="13">
        <f t="shared" si="21"/>
        <v>0</v>
      </c>
      <c r="J164" s="12">
        <f>((SUMIFS(SSP2_Baseline!$E:$E,SSP2_Baseline!$C:$C,Results_list!$C$151,SSP2_Baseline!$D:$D,Results_list!$D164,SSP2_Baseline!$B:$B,2040)) - (SUMIFS(SSP2_Baseline!$E:$E,SSP2_Baseline!$C:$C,Results_list!$C$151,SSP2_Baseline!$D:$D,Results_list!$D164,SSP2_Baseline!$B:$B,2025))) / (SUMIFS(SSP2_Baseline!$E:$E,SSP2_Baseline!$C:$C,Results_list!$C$151,SSP2_Baseline!$D:$D,Results_list!$D164,SSP2_Baseline!$B:$B,2025))</f>
        <v>-0.14772476474322421</v>
      </c>
      <c r="K164" s="16">
        <f>((SUMIFS(SSP2_VSI!$F:$F,SSP2_VSI!$C:$C,Results_list!$C$151,SSP2_VSI!$D:$D,Results_list!$D164,SSP2_VSI!$B:$B,2040)) - (SUMIFS(SSP2_VSI!$F:$F,SSP2_VSI!$C:$C,Results_list!$C$151,SSP2_VSI!$D:$D,Results_list!$D164,SSP2_VSI!$B:$B,2025))) / (SUMIFS(SSP2_VSI!$F:$F,SSP2_VSI!$C:$C,Results_list!$C$151,SSP2_VSI!$D:$D,Results_list!$D164,SSP2_VSI!$B:$B,2025))</f>
        <v>-0.14744918836268159</v>
      </c>
      <c r="L164" s="13">
        <f t="shared" si="22"/>
        <v>0</v>
      </c>
      <c r="M164" s="12">
        <f>((SUMIFS(SSP5_Baseline!$E:$E,SSP5_Baseline!$C:$C,Results_list!$C$151,SSP5_Baseline!$D:$D,Results_list!$D164,SSP5_Baseline!$B:$B,2040)) - (SUMIFS(SSP5_Baseline!$E:$E,SSP5_Baseline!$C:$C,Results_list!$C$151,SSP5_Baseline!$D:$D,Results_list!$D164,SSP5_Baseline!$B:$B,2025))) / (SUMIFS(SSP5_Baseline!$E:$E,SSP5_Baseline!$C:$C,Results_list!$C$151,SSP5_Baseline!$D:$D,Results_list!$D164,SSP5_Baseline!$B:$B,2025))</f>
        <v>-0.18686595152043717</v>
      </c>
      <c r="N164" s="16">
        <f>((SUMIFS(SSP5_VSI!$F:$F,SSP5_VSI!$C:$C,Results_list!$C$151,SSP5_VSI!$D:$D,Results_list!$D164,SSP5_VSI!$B:$B,2040)) - (SUMIFS(SSP5_VSI!$F:$F,SSP5_VSI!$C:$C,Results_list!$C$151,SSP5_VSI!$D:$D,Results_list!$D164,SSP5_VSI!$B:$B,2025))) / (SUMIFS(SSP5_VSI!$F:$F,SSP5_VSI!$C:$C,Results_list!$C$151,SSP5_VSI!$D:$D,Results_list!$D164,SSP5_VSI!$B:$B,2025))</f>
        <v>-0.18666727844981226</v>
      </c>
      <c r="O164" s="13">
        <f t="shared" si="23"/>
        <v>0</v>
      </c>
    </row>
    <row r="165" spans="2:15" x14ac:dyDescent="0.35">
      <c r="B165" s="89"/>
      <c r="C165" s="91"/>
      <c r="D165" t="s">
        <v>53</v>
      </c>
      <c r="F165" s="3" t="s">
        <v>101</v>
      </c>
      <c r="G165" s="12">
        <f>((SUMIFS(SSP1_Baseline!$E:$E,SSP1_Baseline!$C:$C,Results_list!$C$151,SSP1_Baseline!$D:$D,Results_list!$D165,SSP1_Baseline!$B:$B,2040)) - (SUMIFS(SSP1_Baseline!$E:$E,SSP1_Baseline!$C:$C,Results_list!$C$151,SSP1_Baseline!$D:$D,Results_list!$D165,SSP1_Baseline!$B:$B,2025))) / (SUMIFS(SSP1_Baseline!$E:$E,SSP1_Baseline!$C:$C,Results_list!$C$151,SSP1_Baseline!$D:$D,Results_list!$D165,SSP1_Baseline!$B:$B,2025))</f>
        <v>-4.0689028752644824E-2</v>
      </c>
      <c r="H165" s="16">
        <f>((SUMIFS(SSP1_VSI!$F:$F,SSP1_VSI!$C:$C,Results_list!$C$151,SSP1_VSI!$D:$D,Results_list!$D165,SSP1_VSI!$B:$B,2040)) - (SUMIFS(SSP1_VSI!$F:$F,SSP1_VSI!$C:$C,Results_list!$C$151,SSP1_VSI!$D:$D,Results_list!$D165,SSP1_VSI!$B:$B,2025))) / (SUMIFS(SSP1_VSI!$F:$F,SSP1_VSI!$C:$C,Results_list!$C$151,SSP1_VSI!$D:$D,Results_list!$D165,SSP1_VSI!$B:$B,2025))</f>
        <v>-4.0712614712473387E-2</v>
      </c>
      <c r="I165" s="13">
        <f t="shared" si="21"/>
        <v>0</v>
      </c>
      <c r="J165" s="12">
        <f>((SUMIFS(SSP2_Baseline!$E:$E,SSP2_Baseline!$C:$C,Results_list!$C$151,SSP2_Baseline!$D:$D,Results_list!$D165,SSP2_Baseline!$B:$B,2040)) - (SUMIFS(SSP2_Baseline!$E:$E,SSP2_Baseline!$C:$C,Results_list!$C$151,SSP2_Baseline!$D:$D,Results_list!$D165,SSP2_Baseline!$B:$B,2025))) / (SUMIFS(SSP2_Baseline!$E:$E,SSP2_Baseline!$C:$C,Results_list!$C$151,SSP2_Baseline!$D:$D,Results_list!$D165,SSP2_Baseline!$B:$B,2025))</f>
        <v>-3.179523720607276E-2</v>
      </c>
      <c r="K165" s="16">
        <f>((SUMIFS(SSP2_VSI!$F:$F,SSP2_VSI!$C:$C,Results_list!$C$151,SSP2_VSI!$D:$D,Results_list!$D165,SSP2_VSI!$B:$B,2040)) - (SUMIFS(SSP2_VSI!$F:$F,SSP2_VSI!$C:$C,Results_list!$C$151,SSP2_VSI!$D:$D,Results_list!$D165,SSP2_VSI!$B:$B,2025))) / (SUMIFS(SSP2_VSI!$F:$F,SSP2_VSI!$C:$C,Results_list!$C$151,SSP2_VSI!$D:$D,Results_list!$D165,SSP2_VSI!$B:$B,2025))</f>
        <v>-3.1781952284600463E-2</v>
      </c>
      <c r="L165" s="13">
        <f t="shared" si="22"/>
        <v>0</v>
      </c>
      <c r="M165" s="12">
        <f>((SUMIFS(SSP5_Baseline!$E:$E,SSP5_Baseline!$C:$C,Results_list!$C$151,SSP5_Baseline!$D:$D,Results_list!$D165,SSP5_Baseline!$B:$B,2040)) - (SUMIFS(SSP5_Baseline!$E:$E,SSP5_Baseline!$C:$C,Results_list!$C$151,SSP5_Baseline!$D:$D,Results_list!$D165,SSP5_Baseline!$B:$B,2025))) / (SUMIFS(SSP5_Baseline!$E:$E,SSP5_Baseline!$C:$C,Results_list!$C$151,SSP5_Baseline!$D:$D,Results_list!$D165,SSP5_Baseline!$B:$B,2025))</f>
        <v>-1.2707416662019739E-2</v>
      </c>
      <c r="N165" s="16">
        <f>((SUMIFS(SSP5_VSI!$F:$F,SSP5_VSI!$C:$C,Results_list!$C$151,SSP5_VSI!$D:$D,Results_list!$D165,SSP5_VSI!$B:$B,2040)) - (SUMIFS(SSP5_VSI!$F:$F,SSP5_VSI!$C:$C,Results_list!$C$151,SSP5_VSI!$D:$D,Results_list!$D165,SSP5_VSI!$B:$B,2025))) / (SUMIFS(SSP5_VSI!$F:$F,SSP5_VSI!$C:$C,Results_list!$C$151,SSP5_VSI!$D:$D,Results_list!$D165,SSP5_VSI!$B:$B,2025))</f>
        <v>-1.2691050864607744E-2</v>
      </c>
      <c r="O165" s="13">
        <f t="shared" si="23"/>
        <v>0</v>
      </c>
    </row>
    <row r="166" spans="2:15" x14ac:dyDescent="0.35">
      <c r="B166" s="89"/>
      <c r="C166" s="91"/>
      <c r="D166" t="s">
        <v>54</v>
      </c>
      <c r="F166" s="3" t="s">
        <v>102</v>
      </c>
      <c r="G166" s="12">
        <f>((SUMIFS(SSP1_Baseline!$E:$E,SSP1_Baseline!$C:$C,Results_list!$C$151,SSP1_Baseline!$D:$D,Results_list!$D166,SSP1_Baseline!$B:$B,2040)) - (SUMIFS(SSP1_Baseline!$E:$E,SSP1_Baseline!$C:$C,Results_list!$C$151,SSP1_Baseline!$D:$D,Results_list!$D166,SSP1_Baseline!$B:$B,2025))) / (SUMIFS(SSP1_Baseline!$E:$E,SSP1_Baseline!$C:$C,Results_list!$C$151,SSP1_Baseline!$D:$D,Results_list!$D166,SSP1_Baseline!$B:$B,2025))</f>
        <v>5.1829416749454718E-4</v>
      </c>
      <c r="H166" s="16">
        <f>((SUMIFS(SSP1_VSI!$F:$F,SSP1_VSI!$C:$C,Results_list!$C$151,SSP1_VSI!$D:$D,Results_list!$D166,SSP1_VSI!$B:$B,2040)) - (SUMIFS(SSP1_VSI!$F:$F,SSP1_VSI!$C:$C,Results_list!$C$151,SSP1_VSI!$D:$D,Results_list!$D166,SSP1_VSI!$B:$B,2025))) / (SUMIFS(SSP1_VSI!$F:$F,SSP1_VSI!$C:$C,Results_list!$C$151,SSP1_VSI!$D:$D,Results_list!$D166,SSP1_VSI!$B:$B,2025))</f>
        <v>5.1031206429343317E-4</v>
      </c>
      <c r="I166" s="13">
        <f t="shared" si="21"/>
        <v>0</v>
      </c>
      <c r="J166" s="12">
        <f>((SUMIFS(SSP2_Baseline!$E:$E,SSP2_Baseline!$C:$C,Results_list!$C$151,SSP2_Baseline!$D:$D,Results_list!$D166,SSP2_Baseline!$B:$B,2040)) - (SUMIFS(SSP2_Baseline!$E:$E,SSP2_Baseline!$C:$C,Results_list!$C$151,SSP2_Baseline!$D:$D,Results_list!$D166,SSP2_Baseline!$B:$B,2025))) / (SUMIFS(SSP2_Baseline!$E:$E,SSP2_Baseline!$C:$C,Results_list!$C$151,SSP2_Baseline!$D:$D,Results_list!$D166,SSP2_Baseline!$B:$B,2025))</f>
        <v>8.7881833595597231E-4</v>
      </c>
      <c r="K166" s="16">
        <f>((SUMIFS(SSP2_VSI!$F:$F,SSP2_VSI!$C:$C,Results_list!$C$151,SSP2_VSI!$D:$D,Results_list!$D166,SSP2_VSI!$B:$B,2040)) - (SUMIFS(SSP2_VSI!$F:$F,SSP2_VSI!$C:$C,Results_list!$C$151,SSP2_VSI!$D:$D,Results_list!$D166,SSP2_VSI!$B:$B,2025))) / (SUMIFS(SSP2_VSI!$F:$F,SSP2_VSI!$C:$C,Results_list!$C$151,SSP2_VSI!$D:$D,Results_list!$D166,SSP2_VSI!$B:$B,2025))</f>
        <v>8.7074239870069169E-4</v>
      </c>
      <c r="L166" s="13">
        <f t="shared" si="22"/>
        <v>0</v>
      </c>
      <c r="M166" s="12">
        <f>((SUMIFS(SSP5_Baseline!$E:$E,SSP5_Baseline!$C:$C,Results_list!$C$151,SSP5_Baseline!$D:$D,Results_list!$D166,SSP5_Baseline!$B:$B,2040)) - (SUMIFS(SSP5_Baseline!$E:$E,SSP5_Baseline!$C:$C,Results_list!$C$151,SSP5_Baseline!$D:$D,Results_list!$D166,SSP5_Baseline!$B:$B,2025))) / (SUMIFS(SSP5_Baseline!$E:$E,SSP5_Baseline!$C:$C,Results_list!$C$151,SSP5_Baseline!$D:$D,Results_list!$D166,SSP5_Baseline!$B:$B,2025))</f>
        <v>1.1842178578238235E-3</v>
      </c>
      <c r="N166" s="16">
        <f>((SUMIFS(SSP5_VSI!$F:$F,SSP5_VSI!$C:$C,Results_list!$C$151,SSP5_VSI!$D:$D,Results_list!$D166,SSP5_VSI!$B:$B,2040)) - (SUMIFS(SSP5_VSI!$F:$F,SSP5_VSI!$C:$C,Results_list!$C$151,SSP5_VSI!$D:$D,Results_list!$D166,SSP5_VSI!$B:$B,2025))) / (SUMIFS(SSP5_VSI!$F:$F,SSP5_VSI!$C:$C,Results_list!$C$151,SSP5_VSI!$D:$D,Results_list!$D166,SSP5_VSI!$B:$B,2025))</f>
        <v>1.1769556513403457E-3</v>
      </c>
      <c r="O166" s="13">
        <f t="shared" si="23"/>
        <v>0</v>
      </c>
    </row>
    <row r="167" spans="2:15" x14ac:dyDescent="0.35">
      <c r="B167" s="89"/>
      <c r="C167" s="91"/>
      <c r="D167" t="s">
        <v>55</v>
      </c>
      <c r="F167" s="3" t="s">
        <v>103</v>
      </c>
      <c r="G167" s="12">
        <f>((SUMIFS(SSP1_Baseline!$E:$E,SSP1_Baseline!$C:$C,Results_list!$C$151,SSP1_Baseline!$D:$D,Results_list!$D167,SSP1_Baseline!$B:$B,2040)) - (SUMIFS(SSP1_Baseline!$E:$E,SSP1_Baseline!$C:$C,Results_list!$C$151,SSP1_Baseline!$D:$D,Results_list!$D167,SSP1_Baseline!$B:$B,2025))) / (SUMIFS(SSP1_Baseline!$E:$E,SSP1_Baseline!$C:$C,Results_list!$C$151,SSP1_Baseline!$D:$D,Results_list!$D167,SSP1_Baseline!$B:$B,2025))</f>
        <v>3.8250576858492248E-4</v>
      </c>
      <c r="H167" s="16">
        <f>((SUMIFS(SSP1_VSI!$F:$F,SSP1_VSI!$C:$C,Results_list!$C$151,SSP1_VSI!$D:$D,Results_list!$D167,SSP1_VSI!$B:$B,2040)) - (SUMIFS(SSP1_VSI!$F:$F,SSP1_VSI!$C:$C,Results_list!$C$151,SSP1_VSI!$D:$D,Results_list!$D167,SSP1_VSI!$B:$B,2025))) / (SUMIFS(SSP1_VSI!$F:$F,SSP1_VSI!$C:$C,Results_list!$C$151,SSP1_VSI!$D:$D,Results_list!$D167,SSP1_VSI!$B:$B,2025))</f>
        <v>-3.9008146631841636E-4</v>
      </c>
      <c r="I167" s="13">
        <f t="shared" si="21"/>
        <v>-1E-3</v>
      </c>
      <c r="J167" s="12">
        <f>((SUMIFS(SSP2_Baseline!$E:$E,SSP2_Baseline!$C:$C,Results_list!$C$151,SSP2_Baseline!$D:$D,Results_list!$D167,SSP2_Baseline!$B:$B,2040)) - (SUMIFS(SSP2_Baseline!$E:$E,SSP2_Baseline!$C:$C,Results_list!$C$151,SSP2_Baseline!$D:$D,Results_list!$D167,SSP2_Baseline!$B:$B,2025))) / (SUMIFS(SSP2_Baseline!$E:$E,SSP2_Baseline!$C:$C,Results_list!$C$151,SSP2_Baseline!$D:$D,Results_list!$D167,SSP2_Baseline!$B:$B,2025))</f>
        <v>6.3705776424625874E-4</v>
      </c>
      <c r="K167" s="16">
        <f>((SUMIFS(SSP2_VSI!$F:$F,SSP2_VSI!$C:$C,Results_list!$C$151,SSP2_VSI!$D:$D,Results_list!$D167,SSP2_VSI!$B:$B,2040)) - (SUMIFS(SSP2_VSI!$F:$F,SSP2_VSI!$C:$C,Results_list!$C$151,SSP2_VSI!$D:$D,Results_list!$D167,SSP2_VSI!$B:$B,2025))) / (SUMIFS(SSP2_VSI!$F:$F,SSP2_VSI!$C:$C,Results_list!$C$151,SSP2_VSI!$D:$D,Results_list!$D167,SSP2_VSI!$B:$B,2025))</f>
        <v>-1.359828899868111E-4</v>
      </c>
      <c r="L167" s="13">
        <f t="shared" si="22"/>
        <v>0</v>
      </c>
      <c r="M167" s="12">
        <f>((SUMIFS(SSP5_Baseline!$E:$E,SSP5_Baseline!$C:$C,Results_list!$C$151,SSP5_Baseline!$D:$D,Results_list!$D167,SSP5_Baseline!$B:$B,2040)) - (SUMIFS(SSP5_Baseline!$E:$E,SSP5_Baseline!$C:$C,Results_list!$C$151,SSP5_Baseline!$D:$D,Results_list!$D167,SSP5_Baseline!$B:$B,2025))) / (SUMIFS(SSP5_Baseline!$E:$E,SSP5_Baseline!$C:$C,Results_list!$C$151,SSP5_Baseline!$D:$D,Results_list!$D167,SSP5_Baseline!$B:$B,2025))</f>
        <v>8.8888661165258869E-4</v>
      </c>
      <c r="N167" s="16">
        <f>((SUMIFS(SSP5_VSI!$F:$F,SSP5_VSI!$C:$C,Results_list!$C$151,SSP5_VSI!$D:$D,Results_list!$D167,SSP5_VSI!$B:$B,2040)) - (SUMIFS(SSP5_VSI!$F:$F,SSP5_VSI!$C:$C,Results_list!$C$151,SSP5_VSI!$D:$D,Results_list!$D167,SSP5_VSI!$B:$B,2025))) / (SUMIFS(SSP5_VSI!$F:$F,SSP5_VSI!$C:$C,Results_list!$C$151,SSP5_VSI!$D:$D,Results_list!$D167,SSP5_VSI!$B:$B,2025))</f>
        <v>1.168388440630714E-4</v>
      </c>
      <c r="O167" s="13">
        <f t="shared" si="23"/>
        <v>0</v>
      </c>
    </row>
    <row r="168" spans="2:15" x14ac:dyDescent="0.35">
      <c r="B168" s="90"/>
      <c r="C168" s="92"/>
      <c r="D168" t="s">
        <v>56</v>
      </c>
      <c r="F168" s="9" t="s">
        <v>104</v>
      </c>
      <c r="G168" s="14">
        <f>((SUMIFS(SSP1_Baseline!$E:$E,SSP1_Baseline!$C:$C,Results_list!$C$151,SSP1_Baseline!$D:$D,Results_list!$D168,SSP1_Baseline!$B:$B,2040)) - (SUMIFS(SSP1_Baseline!$E:$E,SSP1_Baseline!$C:$C,Results_list!$C$151,SSP1_Baseline!$D:$D,Results_list!$D168,SSP1_Baseline!$B:$B,2025))) / (SUMIFS(SSP1_Baseline!$E:$E,SSP1_Baseline!$C:$C,Results_list!$C$151,SSP1_Baseline!$D:$D,Results_list!$D168,SSP1_Baseline!$B:$B,2025))</f>
        <v>-0.14606688008691288</v>
      </c>
      <c r="H168" s="17">
        <f>((SUMIFS(SSP1_VSI!$F:$F,SSP1_VSI!$C:$C,Results_list!$C$151,SSP1_VSI!$D:$D,Results_list!$D168,SSP1_VSI!$B:$B,2040)) - (SUMIFS(SSP1_VSI!$F:$F,SSP1_VSI!$C:$C,Results_list!$C$151,SSP1_VSI!$D:$D,Results_list!$D168,SSP1_VSI!$B:$B,2025))) / (SUMIFS(SSP1_VSI!$F:$F,SSP1_VSI!$C:$C,Results_list!$C$151,SSP1_VSI!$D:$D,Results_list!$D168,SSP1_VSI!$B:$B,2025))</f>
        <v>-0.14607208424990148</v>
      </c>
      <c r="I168" s="15">
        <f t="shared" si="21"/>
        <v>0</v>
      </c>
      <c r="J168" s="14">
        <f>((SUMIFS(SSP2_Baseline!$E:$E,SSP2_Baseline!$C:$C,Results_list!$C$151,SSP2_Baseline!$D:$D,Results_list!$D168,SSP2_Baseline!$B:$B,2040)) - (SUMIFS(SSP2_Baseline!$E:$E,SSP2_Baseline!$C:$C,Results_list!$C$151,SSP2_Baseline!$D:$D,Results_list!$D168,SSP2_Baseline!$B:$B,2025))) / (SUMIFS(SSP2_Baseline!$E:$E,SSP2_Baseline!$C:$C,Results_list!$C$151,SSP2_Baseline!$D:$D,Results_list!$D168,SSP2_Baseline!$B:$B,2025))</f>
        <v>-0.1548211993282442</v>
      </c>
      <c r="K168" s="17">
        <f>((SUMIFS(SSP2_VSI!$F:$F,SSP2_VSI!$C:$C,Results_list!$C$151,SSP2_VSI!$D:$D,Results_list!$D168,SSP2_VSI!$B:$B,2040)) - (SUMIFS(SSP2_VSI!$F:$F,SSP2_VSI!$C:$C,Results_list!$C$151,SSP2_VSI!$D:$D,Results_list!$D168,SSP2_VSI!$B:$B,2025))) / (SUMIFS(SSP2_VSI!$F:$F,SSP2_VSI!$C:$C,Results_list!$C$151,SSP2_VSI!$D:$D,Results_list!$D168,SSP2_VSI!$B:$B,2025))</f>
        <v>-0.15484157920456229</v>
      </c>
      <c r="L168" s="15">
        <f t="shared" si="22"/>
        <v>0</v>
      </c>
      <c r="M168" s="14">
        <f>((SUMIFS(SSP5_Baseline!$E:$E,SSP5_Baseline!$C:$C,Results_list!$C$151,SSP5_Baseline!$D:$D,Results_list!$D168,SSP5_Baseline!$B:$B,2040)) - (SUMIFS(SSP5_Baseline!$E:$E,SSP5_Baseline!$C:$C,Results_list!$C$151,SSP5_Baseline!$D:$D,Results_list!$D168,SSP5_Baseline!$B:$B,2025))) / (SUMIFS(SSP5_Baseline!$E:$E,SSP5_Baseline!$C:$C,Results_list!$C$151,SSP5_Baseline!$D:$D,Results_list!$D168,SSP5_Baseline!$B:$B,2025))</f>
        <v>-0.13140317033180526</v>
      </c>
      <c r="N168" s="17">
        <f>((SUMIFS(SSP5_VSI!$F:$F,SSP5_VSI!$C:$C,Results_list!$C$151,SSP5_VSI!$D:$D,Results_list!$D168,SSP5_VSI!$B:$B,2040)) - (SUMIFS(SSP5_VSI!$F:$F,SSP5_VSI!$C:$C,Results_list!$C$151,SSP5_VSI!$D:$D,Results_list!$D168,SSP5_VSI!$B:$B,2025))) / (SUMIFS(SSP5_VSI!$F:$F,SSP5_VSI!$C:$C,Results_list!$C$151,SSP5_VSI!$D:$D,Results_list!$D168,SSP5_VSI!$B:$B,2025))</f>
        <v>-0.1313897446458519</v>
      </c>
      <c r="O168" s="15">
        <f t="shared" si="23"/>
        <v>0</v>
      </c>
    </row>
    <row r="170" spans="2:15" ht="19" customHeight="1" x14ac:dyDescent="0.35">
      <c r="F170" s="2"/>
      <c r="G170" s="78" t="s">
        <v>3</v>
      </c>
      <c r="H170" s="79"/>
      <c r="I170" s="79"/>
      <c r="J170" s="79"/>
      <c r="K170" s="79"/>
      <c r="L170" s="79"/>
      <c r="M170" s="79"/>
      <c r="N170" s="79"/>
      <c r="O170" s="80"/>
    </row>
    <row r="171" spans="2:15" ht="29" x14ac:dyDescent="0.35">
      <c r="B171" s="8" t="s">
        <v>30</v>
      </c>
      <c r="C171" s="8" t="s">
        <v>30</v>
      </c>
      <c r="D171" s="6" t="s">
        <v>106</v>
      </c>
      <c r="F171" s="7" t="s">
        <v>105</v>
      </c>
      <c r="G171" s="10" t="s">
        <v>0</v>
      </c>
      <c r="H171" s="11" t="s">
        <v>108</v>
      </c>
      <c r="I171" s="18" t="s">
        <v>107</v>
      </c>
      <c r="J171" s="10" t="s">
        <v>1</v>
      </c>
      <c r="K171" s="11" t="s">
        <v>109</v>
      </c>
      <c r="L171" s="18" t="s">
        <v>107</v>
      </c>
      <c r="M171" s="10" t="s">
        <v>2</v>
      </c>
      <c r="N171" s="11" t="s">
        <v>110</v>
      </c>
      <c r="O171" s="18" t="s">
        <v>107</v>
      </c>
    </row>
    <row r="172" spans="2:15" ht="14.5" customHeight="1" x14ac:dyDescent="0.35">
      <c r="B172" s="89" t="s">
        <v>111</v>
      </c>
      <c r="C172" s="91" t="s">
        <v>67</v>
      </c>
      <c r="D172" t="s">
        <v>38</v>
      </c>
      <c r="F172" s="3" t="s">
        <v>87</v>
      </c>
      <c r="G172" s="12">
        <f>((SUMIFS(SSP1_Baseline!$E:$E,SSP1_Baseline!$C:$C,Results_list!$C$172,SSP1_Baseline!$D:$D,Results_list!$D172,SSP1_Baseline!$B:$B,2040))
- (SUMIFS(SSP1_Baseline!$E:$E,SSP1_Baseline!$C:$C,Results_list!$C$172,SSP1_Baseline!$D:$D,Results_list!$D172,SSP1_Baseline!$B:$B,2025)))
/ (SUMIFS(SSP1_Baseline!$E:$E,SSP1_Baseline!$C:$C,Results_list!$C$172,SSP1_Baseline!$D:$D,Results_list!$D172,SSP1_Baseline!$B:$B,2025))</f>
        <v>-2.9815760675074715E-2</v>
      </c>
      <c r="H172" s="16">
        <f>((SUMIFS(SSP1_VSI!$F:$F,SSP1_VSI!$C:$C,Results_list!$C$172,SSP1_VSI!$D:$D,Results_list!$D172,SSP1_VSI!$B:$B,2040))
- (SUMIFS(SSP1_VSI!$F:$F,SSP1_VSI!$C:$C,Results_list!$C$172,SSP1_VSI!$D:$D,Results_list!$D172,SSP1_VSI!$B:$B,2025)))
/ (SUMIFS(SSP1_VSI!$F:$F,SSP1_VSI!$C:$C,Results_list!$C$172,SSP1_VSI!$D:$D,Results_list!$D172,SSP1_VSI!$B:$B,2025))</f>
        <v>-0.4525173576271968</v>
      </c>
      <c r="I172" s="19">
        <f>ROUND(H172-G172,3)</f>
        <v>-0.42299999999999999</v>
      </c>
      <c r="J172" s="12">
        <f>((SUMIFS(SSP2_Baseline!$E:$E,SSP2_Baseline!$C:$C,Results_list!$C$172,SSP2_Baseline!$D:$D,Results_list!$D172,SSP2_Baseline!$B:$B,2040))
- (SUMIFS(SSP2_Baseline!$E:$E,SSP2_Baseline!$C:$C,Results_list!$C$172,SSP2_Baseline!$D:$D,Results_list!$D172,SSP2_Baseline!$B:$B,2025)))
/ (SUMIFS(SSP2_Baseline!$E:$E,SSP2_Baseline!$C:$C,Results_list!$C$172,SSP2_Baseline!$D:$D,Results_list!$D172,SSP2_Baseline!$B:$B,2025))</f>
        <v>0.21024329970996894</v>
      </c>
      <c r="K172" s="16">
        <f>((SUMIFS(SSP2_VSI!$F:$F,SSP2_VSI!$C:$C,Results_list!$C$172,SSP2_VSI!$D:$D,Results_list!$D172,SSP2_VSI!$B:$B,2040))
- (SUMIFS(SSP2_VSI!$F:$F,SSP2_VSI!$C:$C,Results_list!$C$172,SSP2_VSI!$D:$D,Results_list!$D172,SSP2_VSI!$B:$B,2025)))
/ (SUMIFS(SSP2_VSI!$F:$F,SSP2_VSI!$C:$C,Results_list!$C$172,SSP2_VSI!$D:$D,Results_list!$D172,SSP2_VSI!$B:$B,2025))</f>
        <v>-0.44407422433544147</v>
      </c>
      <c r="L172" s="19">
        <f>ROUND(K172-J172,2)</f>
        <v>-0.65</v>
      </c>
      <c r="M172" s="12">
        <f>((SUMIFS(SSP5_Baseline!$E:$E,SSP5_Baseline!$C:$C,Results_list!$C$172,SSP5_Baseline!$D:$D,Results_list!$D172,SSP5_Baseline!$B:$B,2040))
- (SUMIFS(SSP5_Baseline!$E:$E,SSP5_Baseline!$C:$C,Results_list!$C$172,SSP5_Baseline!$D:$D,Results_list!$D172,SSP5_Baseline!$B:$B,2025)))
/ (SUMIFS(SSP5_Baseline!$E:$E,SSP5_Baseline!$C:$C,Results_list!$C$172,SSP5_Baseline!$D:$D,Results_list!$D172,SSP5_Baseline!$B:$B,2025))</f>
        <v>0.32932003188652886</v>
      </c>
      <c r="N172" s="16">
        <f>((SUMIFS(SSP5_VSI!$F:$F,SSP5_VSI!$C:$C,Results_list!$C$172,SSP5_VSI!$D:$D,Results_list!$D172,SSP5_VSI!$B:$B,2040))
- (SUMIFS(SSP5_VSI!$F:$F,SSP5_VSI!$C:$C,Results_list!$C$172,SSP5_VSI!$D:$D,Results_list!$D172,SSP5_VSI!$B:$B,2025)))
/ (SUMIFS(SSP5_VSI!$F:$F,SSP5_VSI!$C:$C,Results_list!$C$172,SSP5_VSI!$D:$D,Results_list!$D172,SSP5_VSI!$B:$B,2025))</f>
        <v>-0.34664111165029798</v>
      </c>
      <c r="O172" s="19">
        <f>ROUND(N172-M172,2)</f>
        <v>-0.68</v>
      </c>
    </row>
    <row r="173" spans="2:15" x14ac:dyDescent="0.35">
      <c r="B173" s="89"/>
      <c r="C173" s="91"/>
      <c r="D173" t="s">
        <v>40</v>
      </c>
      <c r="F173" s="3" t="s">
        <v>88</v>
      </c>
      <c r="G173" s="12">
        <f>((SUMIFS(SSP1_Baseline!$E:$E,SSP1_Baseline!$C:$C,Results_list!$C$172,SSP1_Baseline!$D:$D,Results_list!$D173,SSP1_Baseline!$B:$B,2040)) - (SUMIFS(SSP1_Baseline!$E:$E,SSP1_Baseline!$C:$C,Results_list!$C$172,SSP1_Baseline!$D:$D,Results_list!$D173,SSP1_Baseline!$B:$B,2025))) / (SUMIFS(SSP1_Baseline!$E:$E,SSP1_Baseline!$C:$C,Results_list!$C$172,SSP1_Baseline!$D:$D,Results_list!$D173,SSP1_Baseline!$B:$B,2025))</f>
        <v>-9.6336160342578164E-2</v>
      </c>
      <c r="H173" s="16">
        <f>((SUMIFS(SSP1_VSI!$F:$F,SSP1_VSI!$C:$C,Results_list!$C$172,SSP1_VSI!$D:$D,Results_list!$D173,SSP1_VSI!$B:$B,2040)) - (SUMIFS(SSP1_VSI!$F:$F,SSP1_VSI!$C:$C,Results_list!$C$172,SSP1_VSI!$D:$D,Results_list!$D173,SSP1_VSI!$B:$B,2025))) / (SUMIFS(SSP1_VSI!$F:$F,SSP1_VSI!$C:$C,Results_list!$C$172,SSP1_VSI!$D:$D,Results_list!$D173,SSP1_VSI!$B:$B,2025))</f>
        <v>-9.6350106620325685E-2</v>
      </c>
      <c r="I173" s="13">
        <f t="shared" ref="I173:I189" si="24">ROUND(H173-G173,3)</f>
        <v>0</v>
      </c>
      <c r="J173" s="12">
        <f>((SUMIFS(SSP2_Baseline!$E:$E,SSP2_Baseline!$C:$C,Results_list!$C$172,SSP2_Baseline!$D:$D,Results_list!$D173,SSP2_Baseline!$B:$B,2040)) - (SUMIFS(SSP2_Baseline!$E:$E,SSP2_Baseline!$C:$C,Results_list!$C$172,SSP2_Baseline!$D:$D,Results_list!$D173,SSP2_Baseline!$B:$B,2025))) / (SUMIFS(SSP2_Baseline!$E:$E,SSP2_Baseline!$C:$C,Results_list!$C$172,SSP2_Baseline!$D:$D,Results_list!$D173,SSP2_Baseline!$B:$B,2025))</f>
        <v>-0.10670232891461931</v>
      </c>
      <c r="K173" s="16">
        <f>((SUMIFS(SSP2_VSI!$F:$F,SSP2_VSI!$C:$C,Results_list!$C$172,SSP2_VSI!$D:$D,Results_list!$D173,SSP2_VSI!$B:$B,2040)) - (SUMIFS(SSP2_VSI!$F:$F,SSP2_VSI!$C:$C,Results_list!$C$172,SSP2_VSI!$D:$D,Results_list!$D173,SSP2_VSI!$B:$B,2025))) / (SUMIFS(SSP2_VSI!$F:$F,SSP2_VSI!$C:$C,Results_list!$C$172,SSP2_VSI!$D:$D,Results_list!$D173,SSP2_VSI!$B:$B,2025))</f>
        <v>-0.10678150883846443</v>
      </c>
      <c r="L173" s="13">
        <f t="shared" ref="L173:L189" si="25">ROUND(K173-J173,2)</f>
        <v>0</v>
      </c>
      <c r="M173" s="12">
        <f>((SUMIFS(SSP5_Baseline!$E:$E,SSP5_Baseline!$C:$C,Results_list!$C$172,SSP5_Baseline!$D:$D,Results_list!$D173,SSP5_Baseline!$B:$B,2040)) - (SUMIFS(SSP5_Baseline!$E:$E,SSP5_Baseline!$C:$C,Results_list!$C$172,SSP5_Baseline!$D:$D,Results_list!$D173,SSP5_Baseline!$B:$B,2025))) / (SUMIFS(SSP5_Baseline!$E:$E,SSP5_Baseline!$C:$C,Results_list!$C$172,SSP5_Baseline!$D:$D,Results_list!$D173,SSP5_Baseline!$B:$B,2025))</f>
        <v>-6.438938606392583E-2</v>
      </c>
      <c r="N173" s="16">
        <f>((SUMIFS(SSP5_VSI!$F:$F,SSP5_VSI!$C:$C,Results_list!$C$172,SSP5_VSI!$D:$D,Results_list!$D173,SSP5_VSI!$B:$B,2040)) - (SUMIFS(SSP5_VSI!$F:$F,SSP5_VSI!$C:$C,Results_list!$C$172,SSP5_VSI!$D:$D,Results_list!$D173,SSP5_VSI!$B:$B,2025))) / (SUMIFS(SSP5_VSI!$F:$F,SSP5_VSI!$C:$C,Results_list!$C$172,SSP5_VSI!$D:$D,Results_list!$D173,SSP5_VSI!$B:$B,2025))</f>
        <v>-6.4498618136919358E-2</v>
      </c>
      <c r="O173" s="13">
        <f t="shared" ref="O173:O189" si="26">ROUND(N173-M173,2)</f>
        <v>0</v>
      </c>
    </row>
    <row r="174" spans="2:15" x14ac:dyDescent="0.35">
      <c r="B174" s="89"/>
      <c r="C174" s="91"/>
      <c r="D174" t="s">
        <v>41</v>
      </c>
      <c r="F174" s="3" t="s">
        <v>89</v>
      </c>
      <c r="G174" s="12">
        <f>((SUMIFS(SSP1_Baseline!$E:$E,SSP1_Baseline!$C:$C,Results_list!$C$172,SSP1_Baseline!$D:$D,Results_list!$D174,SSP1_Baseline!$B:$B,2040)) - (SUMIFS(SSP1_Baseline!$E:$E,SSP1_Baseline!$C:$C,Results_list!$C$172,SSP1_Baseline!$D:$D,Results_list!$D174,SSP1_Baseline!$B:$B,2025))) / (SUMIFS(SSP1_Baseline!$E:$E,SSP1_Baseline!$C:$C,Results_list!$C$172,SSP1_Baseline!$D:$D,Results_list!$D174,SSP1_Baseline!$B:$B,2025))</f>
        <v>-6.144733126899353E-2</v>
      </c>
      <c r="H174" s="16">
        <f>((SUMIFS(SSP1_VSI!$F:$F,SSP1_VSI!$C:$C,Results_list!$C$172,SSP1_VSI!$D:$D,Results_list!$D174,SSP1_VSI!$B:$B,2040)) - (SUMIFS(SSP1_VSI!$F:$F,SSP1_VSI!$C:$C,Results_list!$C$172,SSP1_VSI!$D:$D,Results_list!$D174,SSP1_VSI!$B:$B,2025))) / (SUMIFS(SSP1_VSI!$F:$F,SSP1_VSI!$C:$C,Results_list!$C$172,SSP1_VSI!$D:$D,Results_list!$D174,SSP1_VSI!$B:$B,2025))</f>
        <v>-0.17150136700261673</v>
      </c>
      <c r="I174" s="13">
        <f t="shared" si="24"/>
        <v>-0.11</v>
      </c>
      <c r="J174" s="12">
        <f>((SUMIFS(SSP2_Baseline!$E:$E,SSP2_Baseline!$C:$C,Results_list!$C$172,SSP2_Baseline!$D:$D,Results_list!$D174,SSP2_Baseline!$B:$B,2040)) - (SUMIFS(SSP2_Baseline!$E:$E,SSP2_Baseline!$C:$C,Results_list!$C$172,SSP2_Baseline!$D:$D,Results_list!$D174,SSP2_Baseline!$B:$B,2025))) / (SUMIFS(SSP2_Baseline!$E:$E,SSP2_Baseline!$C:$C,Results_list!$C$172,SSP2_Baseline!$D:$D,Results_list!$D174,SSP2_Baseline!$B:$B,2025))</f>
        <v>-5.7366747504736471E-2</v>
      </c>
      <c r="K174" s="16">
        <f>((SUMIFS(SSP2_VSI!$F:$F,SSP2_VSI!$C:$C,Results_list!$C$172,SSP2_VSI!$D:$D,Results_list!$D174,SSP2_VSI!$B:$B,2040)) - (SUMIFS(SSP2_VSI!$F:$F,SSP2_VSI!$C:$C,Results_list!$C$172,SSP2_VSI!$D:$D,Results_list!$D174,SSP2_VSI!$B:$B,2025))) / (SUMIFS(SSP2_VSI!$F:$F,SSP2_VSI!$C:$C,Results_list!$C$172,SSP2_VSI!$D:$D,Results_list!$D174,SSP2_VSI!$B:$B,2025))</f>
        <v>-0.16819810083773332</v>
      </c>
      <c r="L174" s="13">
        <f t="shared" si="25"/>
        <v>-0.11</v>
      </c>
      <c r="M174" s="12">
        <f>((SUMIFS(SSP5_Baseline!$E:$E,SSP5_Baseline!$C:$C,Results_list!$C$172,SSP5_Baseline!$D:$D,Results_list!$D174,SSP5_Baseline!$B:$B,2040)) - (SUMIFS(SSP5_Baseline!$E:$E,SSP5_Baseline!$C:$C,Results_list!$C$172,SSP5_Baseline!$D:$D,Results_list!$D174,SSP5_Baseline!$B:$B,2025))) / (SUMIFS(SSP5_Baseline!$E:$E,SSP5_Baseline!$C:$C,Results_list!$C$172,SSP5_Baseline!$D:$D,Results_list!$D174,SSP5_Baseline!$B:$B,2025))</f>
        <v>-3.8784823882947808E-2</v>
      </c>
      <c r="N174" s="16">
        <f>((SUMIFS(SSP5_VSI!$F:$F,SSP5_VSI!$C:$C,Results_list!$C$172,SSP5_VSI!$D:$D,Results_list!$D174,SSP5_VSI!$B:$B,2040)) - (SUMIFS(SSP5_VSI!$F:$F,SSP5_VSI!$C:$C,Results_list!$C$172,SSP5_VSI!$D:$D,Results_list!$D174,SSP5_VSI!$B:$B,2025))) / (SUMIFS(SSP5_VSI!$F:$F,SSP5_VSI!$C:$C,Results_list!$C$172,SSP5_VSI!$D:$D,Results_list!$D174,SSP5_VSI!$B:$B,2025))</f>
        <v>-0.14941585004329597</v>
      </c>
      <c r="O174" s="13">
        <f t="shared" si="26"/>
        <v>-0.11</v>
      </c>
    </row>
    <row r="175" spans="2:15" x14ac:dyDescent="0.35">
      <c r="B175" s="89"/>
      <c r="C175" s="91"/>
      <c r="D175" t="s">
        <v>42</v>
      </c>
      <c r="F175" s="3" t="s">
        <v>90</v>
      </c>
      <c r="G175" s="12">
        <f>((SUMIFS(SSP1_Baseline!$E:$E,SSP1_Baseline!$C:$C,Results_list!$C$172,SSP1_Baseline!$D:$D,Results_list!$D175,SSP1_Baseline!$B:$B,2040)) - (SUMIFS(SSP1_Baseline!$E:$E,SSP1_Baseline!$C:$C,Results_list!$C$172,SSP1_Baseline!$D:$D,Results_list!$D175,SSP1_Baseline!$B:$B,2025))) / (SUMIFS(SSP1_Baseline!$E:$E,SSP1_Baseline!$C:$C,Results_list!$C$172,SSP1_Baseline!$D:$D,Results_list!$D175,SSP1_Baseline!$B:$B,2025))</f>
        <v>-7.6204879288303681E-3</v>
      </c>
      <c r="H175" s="16">
        <f>((SUMIFS(SSP1_VSI!$F:$F,SSP1_VSI!$C:$C,Results_list!$C$172,SSP1_VSI!$D:$D,Results_list!$D175,SSP1_VSI!$B:$B,2040)) - (SUMIFS(SSP1_VSI!$F:$F,SSP1_VSI!$C:$C,Results_list!$C$172,SSP1_VSI!$D:$D,Results_list!$D175,SSP1_VSI!$B:$B,2025))) / (SUMIFS(SSP1_VSI!$F:$F,SSP1_VSI!$C:$C,Results_list!$C$172,SSP1_VSI!$D:$D,Results_list!$D175,SSP1_VSI!$B:$B,2025))</f>
        <v>-0.19500893734608241</v>
      </c>
      <c r="I175" s="13">
        <f t="shared" si="24"/>
        <v>-0.187</v>
      </c>
      <c r="J175" s="12">
        <f>((SUMIFS(SSP2_Baseline!$E:$E,SSP2_Baseline!$C:$C,Results_list!$C$172,SSP2_Baseline!$D:$D,Results_list!$D175,SSP2_Baseline!$B:$B,2040)) - (SUMIFS(SSP2_Baseline!$E:$E,SSP2_Baseline!$C:$C,Results_list!$C$172,SSP2_Baseline!$D:$D,Results_list!$D175,SSP2_Baseline!$B:$B,2025))) / (SUMIFS(SSP2_Baseline!$E:$E,SSP2_Baseline!$C:$C,Results_list!$C$172,SSP2_Baseline!$D:$D,Results_list!$D175,SSP2_Baseline!$B:$B,2025))</f>
        <v>6.3941726864954129E-4</v>
      </c>
      <c r="K175" s="16">
        <f>((SUMIFS(SSP2_VSI!$F:$F,SSP2_VSI!$C:$C,Results_list!$C$172,SSP2_VSI!$D:$D,Results_list!$D175,SSP2_VSI!$B:$B,2040)) - (SUMIFS(SSP2_VSI!$F:$F,SSP2_VSI!$C:$C,Results_list!$C$172,SSP2_VSI!$D:$D,Results_list!$D175,SSP2_VSI!$B:$B,2025))) / (SUMIFS(SSP2_VSI!$F:$F,SSP2_VSI!$C:$C,Results_list!$C$172,SSP2_VSI!$D:$D,Results_list!$D175,SSP2_VSI!$B:$B,2025))</f>
        <v>-0.18739845468444274</v>
      </c>
      <c r="L175" s="13">
        <f t="shared" si="25"/>
        <v>-0.19</v>
      </c>
      <c r="M175" s="12">
        <f>((SUMIFS(SSP5_Baseline!$E:$E,SSP5_Baseline!$C:$C,Results_list!$C$172,SSP5_Baseline!$D:$D,Results_list!$D175,SSP5_Baseline!$B:$B,2040)) - (SUMIFS(SSP5_Baseline!$E:$E,SSP5_Baseline!$C:$C,Results_list!$C$172,SSP5_Baseline!$D:$D,Results_list!$D175,SSP5_Baseline!$B:$B,2025))) / (SUMIFS(SSP5_Baseline!$E:$E,SSP5_Baseline!$C:$C,Results_list!$C$172,SSP5_Baseline!$D:$D,Results_list!$D175,SSP5_Baseline!$B:$B,2025))</f>
        <v>9.194927848234084E-3</v>
      </c>
      <c r="N175" s="16">
        <f>((SUMIFS(SSP5_VSI!$F:$F,SSP5_VSI!$C:$C,Results_list!$C$172,SSP5_VSI!$D:$D,Results_list!$D175,SSP5_VSI!$B:$B,2040)) - (SUMIFS(SSP5_VSI!$F:$F,SSP5_VSI!$C:$C,Results_list!$C$172,SSP5_VSI!$D:$D,Results_list!$D175,SSP5_VSI!$B:$B,2025))) / (SUMIFS(SSP5_VSI!$F:$F,SSP5_VSI!$C:$C,Results_list!$C$172,SSP5_VSI!$D:$D,Results_list!$D175,SSP5_VSI!$B:$B,2025))</f>
        <v>-0.17855671039545323</v>
      </c>
      <c r="O175" s="13">
        <f t="shared" si="26"/>
        <v>-0.19</v>
      </c>
    </row>
    <row r="176" spans="2:15" x14ac:dyDescent="0.35">
      <c r="B176" s="89"/>
      <c r="C176" s="91"/>
      <c r="D176" t="s">
        <v>43</v>
      </c>
      <c r="F176" s="3" t="s">
        <v>91</v>
      </c>
      <c r="G176" s="12">
        <f>((SUMIFS(SSP1_Baseline!$E:$E,SSP1_Baseline!$C:$C,Results_list!$C$172,SSP1_Baseline!$D:$D,Results_list!$D176,SSP1_Baseline!$B:$B,2040)) - (SUMIFS(SSP1_Baseline!$E:$E,SSP1_Baseline!$C:$C,Results_list!$C$172,SSP1_Baseline!$D:$D,Results_list!$D176,SSP1_Baseline!$B:$B,2025))) / (SUMIFS(SSP1_Baseline!$E:$E,SSP1_Baseline!$C:$C,Results_list!$C$172,SSP1_Baseline!$D:$D,Results_list!$D176,SSP1_Baseline!$B:$B,2025))</f>
        <v>-5.5168274330635883E-2</v>
      </c>
      <c r="H176" s="16">
        <f>((SUMIFS(SSP1_VSI!$F:$F,SSP1_VSI!$C:$C,Results_list!$C$172,SSP1_VSI!$D:$D,Results_list!$D176,SSP1_VSI!$B:$B,2040)) - (SUMIFS(SSP1_VSI!$F:$F,SSP1_VSI!$C:$C,Results_list!$C$172,SSP1_VSI!$D:$D,Results_list!$D176,SSP1_VSI!$B:$B,2025))) / (SUMIFS(SSP1_VSI!$F:$F,SSP1_VSI!$C:$C,Results_list!$C$172,SSP1_VSI!$D:$D,Results_list!$D176,SSP1_VSI!$B:$B,2025))</f>
        <v>-0.12465136523574492</v>
      </c>
      <c r="I176" s="13">
        <f t="shared" si="24"/>
        <v>-6.9000000000000006E-2</v>
      </c>
      <c r="J176" s="12">
        <f>((SUMIFS(SSP2_Baseline!$E:$E,SSP2_Baseline!$C:$C,Results_list!$C$172,SSP2_Baseline!$D:$D,Results_list!$D176,SSP2_Baseline!$B:$B,2040)) - (SUMIFS(SSP2_Baseline!$E:$E,SSP2_Baseline!$C:$C,Results_list!$C$172,SSP2_Baseline!$D:$D,Results_list!$D176,SSP2_Baseline!$B:$B,2025))) / (SUMIFS(SSP2_Baseline!$E:$E,SSP2_Baseline!$C:$C,Results_list!$C$172,SSP2_Baseline!$D:$D,Results_list!$D176,SSP2_Baseline!$B:$B,2025))</f>
        <v>9.1156131480888761E-3</v>
      </c>
      <c r="K176" s="16">
        <f>((SUMIFS(SSP2_VSI!$F:$F,SSP2_VSI!$C:$C,Results_list!$C$172,SSP2_VSI!$D:$D,Results_list!$D176,SSP2_VSI!$B:$B,2040)) - (SUMIFS(SSP2_VSI!$F:$F,SSP2_VSI!$C:$C,Results_list!$C$172,SSP2_VSI!$D:$D,Results_list!$D176,SSP2_VSI!$B:$B,2025))) / (SUMIFS(SSP2_VSI!$F:$F,SSP2_VSI!$C:$C,Results_list!$C$172,SSP2_VSI!$D:$D,Results_list!$D176,SSP2_VSI!$B:$B,2025))</f>
        <v>-6.8195764006980353E-2</v>
      </c>
      <c r="L176" s="13">
        <f t="shared" si="25"/>
        <v>-0.08</v>
      </c>
      <c r="M176" s="12">
        <f>((SUMIFS(SSP5_Baseline!$E:$E,SSP5_Baseline!$C:$C,Results_list!$C$172,SSP5_Baseline!$D:$D,Results_list!$D176,SSP5_Baseline!$B:$B,2040)) - (SUMIFS(SSP5_Baseline!$E:$E,SSP5_Baseline!$C:$C,Results_list!$C$172,SSP5_Baseline!$D:$D,Results_list!$D176,SSP5_Baseline!$B:$B,2025))) / (SUMIFS(SSP5_Baseline!$E:$E,SSP5_Baseline!$C:$C,Results_list!$C$172,SSP5_Baseline!$D:$D,Results_list!$D176,SSP5_Baseline!$B:$B,2025))</f>
        <v>3.2415181074940853E-2</v>
      </c>
      <c r="N176" s="16">
        <f>((SUMIFS(SSP5_VSI!$F:$F,SSP5_VSI!$C:$C,Results_list!$C$172,SSP5_VSI!$D:$D,Results_list!$D176,SSP5_VSI!$B:$B,2040)) - (SUMIFS(SSP5_VSI!$F:$F,SSP5_VSI!$C:$C,Results_list!$C$172,SSP5_VSI!$D:$D,Results_list!$D176,SSP5_VSI!$B:$B,2025))) / (SUMIFS(SSP5_VSI!$F:$F,SSP5_VSI!$C:$C,Results_list!$C$172,SSP5_VSI!$D:$D,Results_list!$D176,SSP5_VSI!$B:$B,2025))</f>
        <v>-4.5452141211525764E-2</v>
      </c>
      <c r="O176" s="13">
        <f t="shared" si="26"/>
        <v>-0.08</v>
      </c>
    </row>
    <row r="177" spans="2:15" x14ac:dyDescent="0.35">
      <c r="B177" s="89"/>
      <c r="C177" s="91"/>
      <c r="D177" t="s">
        <v>136</v>
      </c>
      <c r="F177" s="3" t="s">
        <v>92</v>
      </c>
      <c r="G177" s="12">
        <f>((SUMIFS(SSP1_Baseline!$E:$E,SSP1_Baseline!$C:$C,Results_list!$C$172,SSP1_Baseline!$D:$D,Results_list!$D177,SSP1_Baseline!$B:$B,2040)) - (SUMIFS(SSP1_Baseline!$E:$E,SSP1_Baseline!$C:$C,Results_list!$C$172,SSP1_Baseline!$D:$D,Results_list!$D177,SSP1_Baseline!$B:$B,2025))) / (SUMIFS(SSP1_Baseline!$E:$E,SSP1_Baseline!$C:$C,Results_list!$C$172,SSP1_Baseline!$D:$D,Results_list!$D177,SSP1_Baseline!$B:$B,2025))</f>
        <v>-6.638824105949398E-2</v>
      </c>
      <c r="H177" s="16">
        <f>((SUMIFS(SSP1_VSI!$F:$F,SSP1_VSI!$C:$C,Results_list!$C$172,SSP1_VSI!$D:$D,Results_list!$D177,SSP1_VSI!$B:$B,2040)) - (SUMIFS(SSP1_VSI!$F:$F,SSP1_VSI!$C:$C,Results_list!$C$172,SSP1_VSI!$D:$D,Results_list!$D177,SSP1_VSI!$B:$B,2025))) / (SUMIFS(SSP1_VSI!$F:$F,SSP1_VSI!$C:$C,Results_list!$C$172,SSP1_VSI!$D:$D,Results_list!$D177,SSP1_VSI!$B:$B,2025))</f>
        <v>-9.2776614502722954E-2</v>
      </c>
      <c r="I177" s="13">
        <f t="shared" si="24"/>
        <v>-2.5999999999999999E-2</v>
      </c>
      <c r="J177" s="12">
        <f>((SUMIFS(SSP2_Baseline!$E:$E,SSP2_Baseline!$C:$C,Results_list!$C$172,SSP2_Baseline!$D:$D,Results_list!$D177,SSP2_Baseline!$B:$B,2040)) - (SUMIFS(SSP2_Baseline!$E:$E,SSP2_Baseline!$C:$C,Results_list!$C$172,SSP2_Baseline!$D:$D,Results_list!$D177,SSP2_Baseline!$B:$B,2025))) / (SUMIFS(SSP2_Baseline!$E:$E,SSP2_Baseline!$C:$C,Results_list!$C$172,SSP2_Baseline!$D:$D,Results_list!$D177,SSP2_Baseline!$B:$B,2025))</f>
        <v>-4.507845917382397E-2</v>
      </c>
      <c r="K177" s="16">
        <f>((SUMIFS(SSP2_VSI!$F:$F,SSP2_VSI!$C:$C,Results_list!$C$172,SSP2_VSI!$D:$D,Results_list!$D177,SSP2_VSI!$B:$B,2040)) - (SUMIFS(SSP2_VSI!$F:$F,SSP2_VSI!$C:$C,Results_list!$C$172,SSP2_VSI!$D:$D,Results_list!$D177,SSP2_VSI!$B:$B,2025))) / (SUMIFS(SSP2_VSI!$F:$F,SSP2_VSI!$C:$C,Results_list!$C$172,SSP2_VSI!$D:$D,Results_list!$D177,SSP2_VSI!$B:$B,2025))</f>
        <v>-7.2585412689497503E-2</v>
      </c>
      <c r="L177" s="13">
        <f t="shared" si="25"/>
        <v>-0.03</v>
      </c>
      <c r="M177" s="12">
        <f>((SUMIFS(SSP5_Baseline!$E:$E,SSP5_Baseline!$C:$C,Results_list!$C$172,SSP5_Baseline!$D:$D,Results_list!$D177,SSP5_Baseline!$B:$B,2040)) - (SUMIFS(SSP5_Baseline!$E:$E,SSP5_Baseline!$C:$C,Results_list!$C$172,SSP5_Baseline!$D:$D,Results_list!$D177,SSP5_Baseline!$B:$B,2025))) / (SUMIFS(SSP5_Baseline!$E:$E,SSP5_Baseline!$C:$C,Results_list!$C$172,SSP5_Baseline!$D:$D,Results_list!$D177,SSP5_Baseline!$B:$B,2025))</f>
        <v>-1.3749476524180199E-2</v>
      </c>
      <c r="N177" s="16">
        <f>((SUMIFS(SSP5_VSI!$F:$F,SSP5_VSI!$C:$C,Results_list!$C$172,SSP5_VSI!$D:$D,Results_list!$D177,SSP5_VSI!$B:$B,2040)) - (SUMIFS(SSP5_VSI!$F:$F,SSP5_VSI!$C:$C,Results_list!$C$172,SSP5_VSI!$D:$D,Results_list!$D177,SSP5_VSI!$B:$B,2025))) / (SUMIFS(SSP5_VSI!$F:$F,SSP5_VSI!$C:$C,Results_list!$C$172,SSP5_VSI!$D:$D,Results_list!$D177,SSP5_VSI!$B:$B,2025))</f>
        <v>-4.1406904696464256E-2</v>
      </c>
      <c r="O177" s="13">
        <f t="shared" si="26"/>
        <v>-0.03</v>
      </c>
    </row>
    <row r="178" spans="2:15" x14ac:dyDescent="0.35">
      <c r="B178" s="89"/>
      <c r="C178" s="91"/>
      <c r="D178" t="s">
        <v>45</v>
      </c>
      <c r="F178" s="3" t="s">
        <v>93</v>
      </c>
      <c r="G178" s="12">
        <f>((SUMIFS(SSP1_Baseline!$E:$E,SSP1_Baseline!$C:$C,Results_list!$C$172,SSP1_Baseline!$D:$D,Results_list!$D178,SSP1_Baseline!$B:$B,2040)) - (SUMIFS(SSP1_Baseline!$E:$E,SSP1_Baseline!$C:$C,Results_list!$C$172,SSP1_Baseline!$D:$D,Results_list!$D178,SSP1_Baseline!$B:$B,2025))) / (SUMIFS(SSP1_Baseline!$E:$E,SSP1_Baseline!$C:$C,Results_list!$C$172,SSP1_Baseline!$D:$D,Results_list!$D178,SSP1_Baseline!$B:$B,2025))</f>
        <v>-5.7606986861813148E-2</v>
      </c>
      <c r="H178" s="16">
        <f>((SUMIFS(SSP1_VSI!$F:$F,SSP1_VSI!$C:$C,Results_list!$C$172,SSP1_VSI!$D:$D,Results_list!$D178,SSP1_VSI!$B:$B,2040)) - (SUMIFS(SSP1_VSI!$F:$F,SSP1_VSI!$C:$C,Results_list!$C$172,SSP1_VSI!$D:$D,Results_list!$D178,SSP1_VSI!$B:$B,2025))) / (SUMIFS(SSP1_VSI!$F:$F,SSP1_VSI!$C:$C,Results_list!$C$172,SSP1_VSI!$D:$D,Results_list!$D178,SSP1_VSI!$B:$B,2025))</f>
        <v>-0.45089685120395839</v>
      </c>
      <c r="I178" s="13">
        <f t="shared" si="24"/>
        <v>-0.39300000000000002</v>
      </c>
      <c r="J178" s="12">
        <f>((SUMIFS(SSP2_Baseline!$E:$E,SSP2_Baseline!$C:$C,Results_list!$C$172,SSP2_Baseline!$D:$D,Results_list!$D178,SSP2_Baseline!$B:$B,2040)) - (SUMIFS(SSP2_Baseline!$E:$E,SSP2_Baseline!$C:$C,Results_list!$C$172,SSP2_Baseline!$D:$D,Results_list!$D178,SSP2_Baseline!$B:$B,2025))) / (SUMIFS(SSP2_Baseline!$E:$E,SSP2_Baseline!$C:$C,Results_list!$C$172,SSP2_Baseline!$D:$D,Results_list!$D178,SSP2_Baseline!$B:$B,2025))</f>
        <v>-5.1482598058036073E-2</v>
      </c>
      <c r="K178" s="16">
        <f>((SUMIFS(SSP2_VSI!$F:$F,SSP2_VSI!$C:$C,Results_list!$C$172,SSP2_VSI!$D:$D,Results_list!$D178,SSP2_VSI!$B:$B,2040)) - (SUMIFS(SSP2_VSI!$F:$F,SSP2_VSI!$C:$C,Results_list!$C$172,SSP2_VSI!$D:$D,Results_list!$D178,SSP2_VSI!$B:$B,2025))) / (SUMIFS(SSP2_VSI!$F:$F,SSP2_VSI!$C:$C,Results_list!$C$172,SSP2_VSI!$D:$D,Results_list!$D178,SSP2_VSI!$B:$B,2025))</f>
        <v>-0.45047974573683808</v>
      </c>
      <c r="L178" s="13">
        <f t="shared" si="25"/>
        <v>-0.4</v>
      </c>
      <c r="M178" s="12">
        <f>((SUMIFS(SSP5_Baseline!$E:$E,SSP5_Baseline!$C:$C,Results_list!$C$172,SSP5_Baseline!$D:$D,Results_list!$D178,SSP5_Baseline!$B:$B,2040)) - (SUMIFS(SSP5_Baseline!$E:$E,SSP5_Baseline!$C:$C,Results_list!$C$172,SSP5_Baseline!$D:$D,Results_list!$D178,SSP5_Baseline!$B:$B,2025))) / (SUMIFS(SSP5_Baseline!$E:$E,SSP5_Baseline!$C:$C,Results_list!$C$172,SSP5_Baseline!$D:$D,Results_list!$D178,SSP5_Baseline!$B:$B,2025))</f>
        <v>-4.7496337754158076E-2</v>
      </c>
      <c r="N178" s="16">
        <f>((SUMIFS(SSP5_VSI!$F:$F,SSP5_VSI!$C:$C,Results_list!$C$172,SSP5_VSI!$D:$D,Results_list!$D178,SSP5_VSI!$B:$B,2040)) - (SUMIFS(SSP5_VSI!$F:$F,SSP5_VSI!$C:$C,Results_list!$C$172,SSP5_VSI!$D:$D,Results_list!$D178,SSP5_VSI!$B:$B,2025))) / (SUMIFS(SSP5_VSI!$F:$F,SSP5_VSI!$C:$C,Results_list!$C$172,SSP5_VSI!$D:$D,Results_list!$D178,SSP5_VSI!$B:$B,2025))</f>
        <v>-0.44806225337001016</v>
      </c>
      <c r="O178" s="13">
        <f t="shared" si="26"/>
        <v>-0.4</v>
      </c>
    </row>
    <row r="179" spans="2:15" x14ac:dyDescent="0.35">
      <c r="B179" s="89"/>
      <c r="C179" s="91"/>
      <c r="D179" t="s">
        <v>46</v>
      </c>
      <c r="F179" s="3" t="s">
        <v>94</v>
      </c>
      <c r="G179" s="12">
        <f>((SUMIFS(SSP1_Baseline!$E:$E,SSP1_Baseline!$C:$C,Results_list!$C$172,SSP1_Baseline!$D:$D,Results_list!$D179,SSP1_Baseline!$B:$B,2040)) - (SUMIFS(SSP1_Baseline!$E:$E,SSP1_Baseline!$C:$C,Results_list!$C$172,SSP1_Baseline!$D:$D,Results_list!$D179,SSP1_Baseline!$B:$B,2025))) / (SUMIFS(SSP1_Baseline!$E:$E,SSP1_Baseline!$C:$C,Results_list!$C$172,SSP1_Baseline!$D:$D,Results_list!$D179,SSP1_Baseline!$B:$B,2025))</f>
        <v>0.95850305199430796</v>
      </c>
      <c r="H179" s="16">
        <f>((SUMIFS(SSP1_VSI!$F:$F,SSP1_VSI!$C:$C,Results_list!$C$172,SSP1_VSI!$D:$D,Results_list!$D179,SSP1_VSI!$B:$B,2040)) - (SUMIFS(SSP1_VSI!$F:$F,SSP1_VSI!$C:$C,Results_list!$C$172,SSP1_VSI!$D:$D,Results_list!$D179,SSP1_VSI!$B:$B,2025))) / (SUMIFS(SSP1_VSI!$F:$F,SSP1_VSI!$C:$C,Results_list!$C$172,SSP1_VSI!$D:$D,Results_list!$D179,SSP1_VSI!$B:$B,2025))</f>
        <v>0.95846016113658483</v>
      </c>
      <c r="I179" s="13">
        <f t="shared" si="24"/>
        <v>0</v>
      </c>
      <c r="J179" s="12">
        <f>((SUMIFS(SSP2_Baseline!$E:$E,SSP2_Baseline!$C:$C,Results_list!$C$172,SSP2_Baseline!$D:$D,Results_list!$D179,SSP2_Baseline!$B:$B,2040)) - (SUMIFS(SSP2_Baseline!$E:$E,SSP2_Baseline!$C:$C,Results_list!$C$172,SSP2_Baseline!$D:$D,Results_list!$D179,SSP2_Baseline!$B:$B,2025))) / (SUMIFS(SSP2_Baseline!$E:$E,SSP2_Baseline!$C:$C,Results_list!$C$172,SSP2_Baseline!$D:$D,Results_list!$D179,SSP2_Baseline!$B:$B,2025))</f>
        <v>2.9843560695753721</v>
      </c>
      <c r="K179" s="16">
        <f>((SUMIFS(SSP2_VSI!$F:$F,SSP2_VSI!$C:$C,Results_list!$C$172,SSP2_VSI!$D:$D,Results_list!$D179,SSP2_VSI!$B:$B,2040)) - (SUMIFS(SSP2_VSI!$F:$F,SSP2_VSI!$C:$C,Results_list!$C$172,SSP2_VSI!$D:$D,Results_list!$D179,SSP2_VSI!$B:$B,2025))) / (SUMIFS(SSP2_VSI!$F:$F,SSP2_VSI!$C:$C,Results_list!$C$172,SSP2_VSI!$D:$D,Results_list!$D179,SSP2_VSI!$B:$B,2025))</f>
        <v>2.9835997689963185</v>
      </c>
      <c r="L179" s="13">
        <f t="shared" si="25"/>
        <v>0</v>
      </c>
      <c r="M179" s="12">
        <f>((SUMIFS(SSP5_Baseline!$E:$E,SSP5_Baseline!$C:$C,Results_list!$C$172,SSP5_Baseline!$D:$D,Results_list!$D179,SSP5_Baseline!$B:$B,2040)) - (SUMIFS(SSP5_Baseline!$E:$E,SSP5_Baseline!$C:$C,Results_list!$C$172,SSP5_Baseline!$D:$D,Results_list!$D179,SSP5_Baseline!$B:$B,2025))) / (SUMIFS(SSP5_Baseline!$E:$E,SSP5_Baseline!$C:$C,Results_list!$C$172,SSP5_Baseline!$D:$D,Results_list!$D179,SSP5_Baseline!$B:$B,2025))</f>
        <v>2.9222859875020615</v>
      </c>
      <c r="N179" s="16">
        <f>((SUMIFS(SSP5_VSI!$F:$F,SSP5_VSI!$C:$C,Results_list!$C$172,SSP5_VSI!$D:$D,Results_list!$D179,SSP5_VSI!$B:$B,2040)) - (SUMIFS(SSP5_VSI!$F:$F,SSP5_VSI!$C:$C,Results_list!$C$172,SSP5_VSI!$D:$D,Results_list!$D179,SSP5_VSI!$B:$B,2025))) / (SUMIFS(SSP5_VSI!$F:$F,SSP5_VSI!$C:$C,Results_list!$C$172,SSP5_VSI!$D:$D,Results_list!$D179,SSP5_VSI!$B:$B,2025))</f>
        <v>2.921698524353705</v>
      </c>
      <c r="O179" s="13">
        <f t="shared" si="26"/>
        <v>0</v>
      </c>
    </row>
    <row r="180" spans="2:15" x14ac:dyDescent="0.35">
      <c r="B180" s="89"/>
      <c r="C180" s="91"/>
      <c r="D180" t="s">
        <v>47</v>
      </c>
      <c r="F180" s="3" t="s">
        <v>95</v>
      </c>
      <c r="G180" s="12">
        <f>((SUMIFS(SSP1_Baseline!$E:$E,SSP1_Baseline!$C:$C,Results_list!$C$172,SSP1_Baseline!$D:$D,Results_list!$D180,SSP1_Baseline!$B:$B,2040)) - (SUMIFS(SSP1_Baseline!$E:$E,SSP1_Baseline!$C:$C,Results_list!$C$172,SSP1_Baseline!$D:$D,Results_list!$D180,SSP1_Baseline!$B:$B,2025))) / (SUMIFS(SSP1_Baseline!$E:$E,SSP1_Baseline!$C:$C,Results_list!$C$172,SSP1_Baseline!$D:$D,Results_list!$D180,SSP1_Baseline!$B:$B,2025))</f>
        <v>-4.5145642683800585E-2</v>
      </c>
      <c r="H180" s="16">
        <f>((SUMIFS(SSP1_VSI!$F:$F,SSP1_VSI!$C:$C,Results_list!$C$172,SSP1_VSI!$D:$D,Results_list!$D180,SSP1_VSI!$B:$B,2040)) - (SUMIFS(SSP1_VSI!$F:$F,SSP1_VSI!$C:$C,Results_list!$C$172,SSP1_VSI!$D:$D,Results_list!$D180,SSP1_VSI!$B:$B,2025))) / (SUMIFS(SSP1_VSI!$F:$F,SSP1_VSI!$C:$C,Results_list!$C$172,SSP1_VSI!$D:$D,Results_list!$D180,SSP1_VSI!$B:$B,2025))</f>
        <v>-4.4968652030637893E-2</v>
      </c>
      <c r="I180" s="13">
        <f t="shared" si="24"/>
        <v>0</v>
      </c>
      <c r="J180" s="12">
        <f>((SUMIFS(SSP2_Baseline!$E:$E,SSP2_Baseline!$C:$C,Results_list!$C$172,SSP2_Baseline!$D:$D,Results_list!$D180,SSP2_Baseline!$B:$B,2040)) - (SUMIFS(SSP2_Baseline!$E:$E,SSP2_Baseline!$C:$C,Results_list!$C$172,SSP2_Baseline!$D:$D,Results_list!$D180,SSP2_Baseline!$B:$B,2025))) / (SUMIFS(SSP2_Baseline!$E:$E,SSP2_Baseline!$C:$C,Results_list!$C$172,SSP2_Baseline!$D:$D,Results_list!$D180,SSP2_Baseline!$B:$B,2025))</f>
        <v>3.5216483275399436E-3</v>
      </c>
      <c r="K180" s="16">
        <f>((SUMIFS(SSP2_VSI!$F:$F,SSP2_VSI!$C:$C,Results_list!$C$172,SSP2_VSI!$D:$D,Results_list!$D180,SSP2_VSI!$B:$B,2040)) - (SUMIFS(SSP2_VSI!$F:$F,SSP2_VSI!$C:$C,Results_list!$C$172,SSP2_VSI!$D:$D,Results_list!$D180,SSP2_VSI!$B:$B,2025))) / (SUMIFS(SSP2_VSI!$F:$F,SSP2_VSI!$C:$C,Results_list!$C$172,SSP2_VSI!$D:$D,Results_list!$D180,SSP2_VSI!$B:$B,2025))</f>
        <v>3.573768775252513E-3</v>
      </c>
      <c r="L180" s="13">
        <f t="shared" si="25"/>
        <v>0</v>
      </c>
      <c r="M180" s="12">
        <f>((SUMIFS(SSP5_Baseline!$E:$E,SSP5_Baseline!$C:$C,Results_list!$C$172,SSP5_Baseline!$D:$D,Results_list!$D180,SSP5_Baseline!$B:$B,2040)) - (SUMIFS(SSP5_Baseline!$E:$E,SSP5_Baseline!$C:$C,Results_list!$C$172,SSP5_Baseline!$D:$D,Results_list!$D180,SSP5_Baseline!$B:$B,2025))) / (SUMIFS(SSP5_Baseline!$E:$E,SSP5_Baseline!$C:$C,Results_list!$C$172,SSP5_Baseline!$D:$D,Results_list!$D180,SSP5_Baseline!$B:$B,2025))</f>
        <v>7.5419184167166392E-2</v>
      </c>
      <c r="N180" s="16">
        <f>((SUMIFS(SSP5_VSI!$F:$F,SSP5_VSI!$C:$C,Results_list!$C$172,SSP5_VSI!$D:$D,Results_list!$D180,SSP5_VSI!$B:$B,2040)) - (SUMIFS(SSP5_VSI!$F:$F,SSP5_VSI!$C:$C,Results_list!$C$172,SSP5_VSI!$D:$D,Results_list!$D180,SSP5_VSI!$B:$B,2025))) / (SUMIFS(SSP5_VSI!$F:$F,SSP5_VSI!$C:$C,Results_list!$C$172,SSP5_VSI!$D:$D,Results_list!$D180,SSP5_VSI!$B:$B,2025))</f>
        <v>7.6261162618247044E-2</v>
      </c>
      <c r="O180" s="13">
        <f t="shared" si="26"/>
        <v>0</v>
      </c>
    </row>
    <row r="181" spans="2:15" x14ac:dyDescent="0.35">
      <c r="B181" s="89"/>
      <c r="C181" s="91"/>
      <c r="D181" t="s">
        <v>48</v>
      </c>
      <c r="F181" s="3" t="s">
        <v>96</v>
      </c>
      <c r="G181" s="12">
        <f>((SUMIFS(SSP1_Baseline!$E:$E,SSP1_Baseline!$C:$C,Results_list!$C$172,SSP1_Baseline!$D:$D,Results_list!$D181,SSP1_Baseline!$B:$B,2040)) - (SUMIFS(SSP1_Baseline!$E:$E,SSP1_Baseline!$C:$C,Results_list!$C$172,SSP1_Baseline!$D:$D,Results_list!$D181,SSP1_Baseline!$B:$B,2025))) / (SUMIFS(SSP1_Baseline!$E:$E,SSP1_Baseline!$C:$C,Results_list!$C$172,SSP1_Baseline!$D:$D,Results_list!$D181,SSP1_Baseline!$B:$B,2025))</f>
        <v>1.2947058784967266E-5</v>
      </c>
      <c r="H181" s="16">
        <f>((SUMIFS(SSP1_VSI!$F:$F,SSP1_VSI!$C:$C,Results_list!$C$172,SSP1_VSI!$D:$D,Results_list!$D181,SSP1_VSI!$B:$B,2040)) - (SUMIFS(SSP1_VSI!$F:$F,SSP1_VSI!$C:$C,Results_list!$C$172,SSP1_VSI!$D:$D,Results_list!$D181,SSP1_VSI!$B:$B,2025))) / (SUMIFS(SSP1_VSI!$F:$F,SSP1_VSI!$C:$C,Results_list!$C$172,SSP1_VSI!$D:$D,Results_list!$D181,SSP1_VSI!$B:$B,2025))</f>
        <v>1.3132578607183546E-5</v>
      </c>
      <c r="I181" s="13">
        <f t="shared" si="24"/>
        <v>0</v>
      </c>
      <c r="J181" s="12">
        <f>((SUMIFS(SSP2_Baseline!$E:$E,SSP2_Baseline!$C:$C,Results_list!$C$172,SSP2_Baseline!$D:$D,Results_list!$D181,SSP2_Baseline!$B:$B,2040)) - (SUMIFS(SSP2_Baseline!$E:$E,SSP2_Baseline!$C:$C,Results_list!$C$172,SSP2_Baseline!$D:$D,Results_list!$D181,SSP2_Baseline!$B:$B,2025))) / (SUMIFS(SSP2_Baseline!$E:$E,SSP2_Baseline!$C:$C,Results_list!$C$172,SSP2_Baseline!$D:$D,Results_list!$D181,SSP2_Baseline!$B:$B,2025))</f>
        <v>-2.6929412615464803E-4</v>
      </c>
      <c r="K181" s="16">
        <f>((SUMIFS(SSP2_VSI!$F:$F,SSP2_VSI!$C:$C,Results_list!$C$172,SSP2_VSI!$D:$D,Results_list!$D181,SSP2_VSI!$B:$B,2040)) - (SUMIFS(SSP2_VSI!$F:$F,SSP2_VSI!$C:$C,Results_list!$C$172,SSP2_VSI!$D:$D,Results_list!$D181,SSP2_VSI!$B:$B,2025))) / (SUMIFS(SSP2_VSI!$F:$F,SSP2_VSI!$C:$C,Results_list!$C$172,SSP2_VSI!$D:$D,Results_list!$D181,SSP2_VSI!$B:$B,2025))</f>
        <v>-2.6901060613996019E-4</v>
      </c>
      <c r="L181" s="13">
        <f t="shared" si="25"/>
        <v>0</v>
      </c>
      <c r="M181" s="12">
        <f>((SUMIFS(SSP5_Baseline!$E:$E,SSP5_Baseline!$C:$C,Results_list!$C$172,SSP5_Baseline!$D:$D,Results_list!$D181,SSP5_Baseline!$B:$B,2040)) - (SUMIFS(SSP5_Baseline!$E:$E,SSP5_Baseline!$C:$C,Results_list!$C$172,SSP5_Baseline!$D:$D,Results_list!$D181,SSP5_Baseline!$B:$B,2025))) / (SUMIFS(SSP5_Baseline!$E:$E,SSP5_Baseline!$C:$C,Results_list!$C$172,SSP5_Baseline!$D:$D,Results_list!$D181,SSP5_Baseline!$B:$B,2025))</f>
        <v>-4.1486148848421157E-6</v>
      </c>
      <c r="N181" s="16">
        <f>((SUMIFS(SSP5_VSI!$F:$F,SSP5_VSI!$C:$C,Results_list!$C$172,SSP5_VSI!$D:$D,Results_list!$D181,SSP5_VSI!$B:$B,2040)) - (SUMIFS(SSP5_VSI!$F:$F,SSP5_VSI!$C:$C,Results_list!$C$172,SSP5_VSI!$D:$D,Results_list!$D181,SSP5_VSI!$B:$B,2025))) / (SUMIFS(SSP5_VSI!$F:$F,SSP5_VSI!$C:$C,Results_list!$C$172,SSP5_VSI!$D:$D,Results_list!$D181,SSP5_VSI!$B:$B,2025))</f>
        <v>-3.8624118597618735E-6</v>
      </c>
      <c r="O181" s="13">
        <f t="shared" si="26"/>
        <v>0</v>
      </c>
    </row>
    <row r="182" spans="2:15" x14ac:dyDescent="0.35">
      <c r="B182" s="89"/>
      <c r="C182" s="91"/>
      <c r="D182" t="s">
        <v>49</v>
      </c>
      <c r="F182" s="3" t="s">
        <v>97</v>
      </c>
      <c r="G182" s="12">
        <f>((SUMIFS(SSP1_Baseline!$E:$E,SSP1_Baseline!$C:$C,Results_list!$C$172,SSP1_Baseline!$D:$D,Results_list!$D182,SSP1_Baseline!$B:$B,2040)) - (SUMIFS(SSP1_Baseline!$E:$E,SSP1_Baseline!$C:$C,Results_list!$C$172,SSP1_Baseline!$D:$D,Results_list!$D182,SSP1_Baseline!$B:$B,2025))) / (SUMIFS(SSP1_Baseline!$E:$E,SSP1_Baseline!$C:$C,Results_list!$C$172,SSP1_Baseline!$D:$D,Results_list!$D182,SSP1_Baseline!$B:$B,2025))</f>
        <v>-3.1397744619394631E-2</v>
      </c>
      <c r="H182" s="16">
        <f>((SUMIFS(SSP1_VSI!$F:$F,SSP1_VSI!$C:$C,Results_list!$C$172,SSP1_VSI!$D:$D,Results_list!$D182,SSP1_VSI!$B:$B,2040)) - (SUMIFS(SSP1_VSI!$F:$F,SSP1_VSI!$C:$C,Results_list!$C$172,SSP1_VSI!$D:$D,Results_list!$D182,SSP1_VSI!$B:$B,2025))) / (SUMIFS(SSP1_VSI!$F:$F,SSP1_VSI!$C:$C,Results_list!$C$172,SSP1_VSI!$D:$D,Results_list!$D182,SSP1_VSI!$B:$B,2025))</f>
        <v>-0.48047229701415534</v>
      </c>
      <c r="I182" s="13">
        <f t="shared" si="24"/>
        <v>-0.44900000000000001</v>
      </c>
      <c r="J182" s="12">
        <f>((SUMIFS(SSP2_Baseline!$E:$E,SSP2_Baseline!$C:$C,Results_list!$C$172,SSP2_Baseline!$D:$D,Results_list!$D182,SSP2_Baseline!$B:$B,2040)) - (SUMIFS(SSP2_Baseline!$E:$E,SSP2_Baseline!$C:$C,Results_list!$C$172,SSP2_Baseline!$D:$D,Results_list!$D182,SSP2_Baseline!$B:$B,2025))) / (SUMIFS(SSP2_Baseline!$E:$E,SSP2_Baseline!$C:$C,Results_list!$C$172,SSP2_Baseline!$D:$D,Results_list!$D182,SSP2_Baseline!$B:$B,2025))</f>
        <v>-1.6683638835694646E-2</v>
      </c>
      <c r="K182" s="16">
        <f>((SUMIFS(SSP2_VSI!$F:$F,SSP2_VSI!$C:$C,Results_list!$C$172,SSP2_VSI!$D:$D,Results_list!$D182,SSP2_VSI!$B:$B,2040)) - (SUMIFS(SSP2_VSI!$F:$F,SSP2_VSI!$C:$C,Results_list!$C$172,SSP2_VSI!$D:$D,Results_list!$D182,SSP2_VSI!$B:$B,2025))) / (SUMIFS(SSP2_VSI!$F:$F,SSP2_VSI!$C:$C,Results_list!$C$172,SSP2_VSI!$D:$D,Results_list!$D182,SSP2_VSI!$B:$B,2025))</f>
        <v>-0.47451647870417313</v>
      </c>
      <c r="L182" s="13">
        <f t="shared" si="25"/>
        <v>-0.46</v>
      </c>
      <c r="M182" s="12">
        <f>((SUMIFS(SSP5_Baseline!$E:$E,SSP5_Baseline!$C:$C,Results_list!$C$172,SSP5_Baseline!$D:$D,Results_list!$D182,SSP5_Baseline!$B:$B,2040)) - (SUMIFS(SSP5_Baseline!$E:$E,SSP5_Baseline!$C:$C,Results_list!$C$172,SSP5_Baseline!$D:$D,Results_list!$D182,SSP5_Baseline!$B:$B,2025))) / (SUMIFS(SSP5_Baseline!$E:$E,SSP5_Baseline!$C:$C,Results_list!$C$172,SSP5_Baseline!$D:$D,Results_list!$D182,SSP5_Baseline!$B:$B,2025))</f>
        <v>-1.4674948786830096E-2</v>
      </c>
      <c r="N182" s="16">
        <f>((SUMIFS(SSP5_VSI!$F:$F,SSP5_VSI!$C:$C,Results_list!$C$172,SSP5_VSI!$D:$D,Results_list!$D182,SSP5_VSI!$B:$B,2040)) - (SUMIFS(SSP5_VSI!$F:$F,SSP5_VSI!$C:$C,Results_list!$C$172,SSP5_VSI!$D:$D,Results_list!$D182,SSP5_VSI!$B:$B,2025))) / (SUMIFS(SSP5_VSI!$F:$F,SSP5_VSI!$C:$C,Results_list!$C$172,SSP5_VSI!$D:$D,Results_list!$D182,SSP5_VSI!$B:$B,2025))</f>
        <v>-0.47287088510552694</v>
      </c>
      <c r="O182" s="13">
        <f t="shared" si="26"/>
        <v>-0.46</v>
      </c>
    </row>
    <row r="183" spans="2:15" x14ac:dyDescent="0.35">
      <c r="B183" s="89"/>
      <c r="C183" s="91"/>
      <c r="D183" t="s">
        <v>50</v>
      </c>
      <c r="F183" s="3" t="s">
        <v>98</v>
      </c>
      <c r="G183" s="12">
        <f>((SUMIFS(SSP1_Baseline!$E:$E,SSP1_Baseline!$C:$C,Results_list!$C$172,SSP1_Baseline!$D:$D,Results_list!$D183,SSP1_Baseline!$B:$B,2040)) - (SUMIFS(SSP1_Baseline!$E:$E,SSP1_Baseline!$C:$C,Results_list!$C$172,SSP1_Baseline!$D:$D,Results_list!$D183,SSP1_Baseline!$B:$B,2025))) / (SUMIFS(SSP1_Baseline!$E:$E,SSP1_Baseline!$C:$C,Results_list!$C$172,SSP1_Baseline!$D:$D,Results_list!$D183,SSP1_Baseline!$B:$B,2025))</f>
        <v>-3.2687592755484593E-2</v>
      </c>
      <c r="H183" s="16">
        <f>((SUMIFS(SSP1_VSI!$F:$F,SSP1_VSI!$C:$C,Results_list!$C$172,SSP1_VSI!$D:$D,Results_list!$D183,SSP1_VSI!$B:$B,2040)) - (SUMIFS(SSP1_VSI!$F:$F,SSP1_VSI!$C:$C,Results_list!$C$172,SSP1_VSI!$D:$D,Results_list!$D183,SSP1_VSI!$B:$B,2025))) / (SUMIFS(SSP1_VSI!$F:$F,SSP1_VSI!$C:$C,Results_list!$C$172,SSP1_VSI!$D:$D,Results_list!$D183,SSP1_VSI!$B:$B,2025))</f>
        <v>-3.270139334931918E-2</v>
      </c>
      <c r="I183" s="13">
        <f t="shared" si="24"/>
        <v>0</v>
      </c>
      <c r="J183" s="12">
        <f>((SUMIFS(SSP2_Baseline!$E:$E,SSP2_Baseline!$C:$C,Results_list!$C$172,SSP2_Baseline!$D:$D,Results_list!$D183,SSP2_Baseline!$B:$B,2040)) - (SUMIFS(SSP2_Baseline!$E:$E,SSP2_Baseline!$C:$C,Results_list!$C$172,SSP2_Baseline!$D:$D,Results_list!$D183,SSP2_Baseline!$B:$B,2025))) / (SUMIFS(SSP2_Baseline!$E:$E,SSP2_Baseline!$C:$C,Results_list!$C$172,SSP2_Baseline!$D:$D,Results_list!$D183,SSP2_Baseline!$B:$B,2025))</f>
        <v>4.1162228414321919E-2</v>
      </c>
      <c r="K183" s="16">
        <f>((SUMIFS(SSP2_VSI!$F:$F,SSP2_VSI!$C:$C,Results_list!$C$172,SSP2_VSI!$D:$D,Results_list!$D183,SSP2_VSI!$B:$B,2040)) - (SUMIFS(SSP2_VSI!$F:$F,SSP2_VSI!$C:$C,Results_list!$C$172,SSP2_VSI!$D:$D,Results_list!$D183,SSP2_VSI!$B:$B,2025))) / (SUMIFS(SSP2_VSI!$F:$F,SSP2_VSI!$C:$C,Results_list!$C$172,SSP2_VSI!$D:$D,Results_list!$D183,SSP2_VSI!$B:$B,2025))</f>
        <v>4.1167355799086536E-2</v>
      </c>
      <c r="L183" s="13">
        <f t="shared" si="25"/>
        <v>0</v>
      </c>
      <c r="M183" s="12">
        <f>((SUMIFS(SSP5_Baseline!$E:$E,SSP5_Baseline!$C:$C,Results_list!$C$172,SSP5_Baseline!$D:$D,Results_list!$D183,SSP5_Baseline!$B:$B,2040)) - (SUMIFS(SSP5_Baseline!$E:$E,SSP5_Baseline!$C:$C,Results_list!$C$172,SSP5_Baseline!$D:$D,Results_list!$D183,SSP5_Baseline!$B:$B,2025))) / (SUMIFS(SSP5_Baseline!$E:$E,SSP5_Baseline!$C:$C,Results_list!$C$172,SSP5_Baseline!$D:$D,Results_list!$D183,SSP5_Baseline!$B:$B,2025))</f>
        <v>6.3962571452112177E-2</v>
      </c>
      <c r="N183" s="16">
        <f>((SUMIFS(SSP5_VSI!$F:$F,SSP5_VSI!$C:$C,Results_list!$C$172,SSP5_VSI!$D:$D,Results_list!$D183,SSP5_VSI!$B:$B,2040)) - (SUMIFS(SSP5_VSI!$F:$F,SSP5_VSI!$C:$C,Results_list!$C$172,SSP5_VSI!$D:$D,Results_list!$D183,SSP5_VSI!$B:$B,2025))) / (SUMIFS(SSP5_VSI!$F:$F,SSP5_VSI!$C:$C,Results_list!$C$172,SSP5_VSI!$D:$D,Results_list!$D183,SSP5_VSI!$B:$B,2025))</f>
        <v>6.3976532620449986E-2</v>
      </c>
      <c r="O183" s="13">
        <f t="shared" si="26"/>
        <v>0</v>
      </c>
    </row>
    <row r="184" spans="2:15" x14ac:dyDescent="0.35">
      <c r="B184" s="89"/>
      <c r="C184" s="91"/>
      <c r="D184" t="s">
        <v>51</v>
      </c>
      <c r="F184" s="3" t="s">
        <v>99</v>
      </c>
      <c r="G184" s="12">
        <f>((SUMIFS(SSP1_Baseline!$E:$E,SSP1_Baseline!$C:$C,Results_list!$C$172,SSP1_Baseline!$D:$D,Results_list!$D184,SSP1_Baseline!$B:$B,2040)) - (SUMIFS(SSP1_Baseline!$E:$E,SSP1_Baseline!$C:$C,Results_list!$C$172,SSP1_Baseline!$D:$D,Results_list!$D184,SSP1_Baseline!$B:$B,2025))) / (SUMIFS(SSP1_Baseline!$E:$E,SSP1_Baseline!$C:$C,Results_list!$C$172,SSP1_Baseline!$D:$D,Results_list!$D184,SSP1_Baseline!$B:$B,2025))</f>
        <v>2.630024004132489E-2</v>
      </c>
      <c r="H184" s="16">
        <f>((SUMIFS(SSP1_VSI!$F:$F,SSP1_VSI!$C:$C,Results_list!$C$172,SSP1_VSI!$D:$D,Results_list!$D184,SSP1_VSI!$B:$B,2040)) - (SUMIFS(SSP1_VSI!$F:$F,SSP1_VSI!$C:$C,Results_list!$C$172,SSP1_VSI!$D:$D,Results_list!$D184,SSP1_VSI!$B:$B,2025))) / (SUMIFS(SSP1_VSI!$F:$F,SSP1_VSI!$C:$C,Results_list!$C$172,SSP1_VSI!$D:$D,Results_list!$D184,SSP1_VSI!$B:$B,2025))</f>
        <v>2.6261337790366636E-2</v>
      </c>
      <c r="I184" s="13">
        <f t="shared" si="24"/>
        <v>0</v>
      </c>
      <c r="J184" s="12">
        <f>((SUMIFS(SSP2_Baseline!$E:$E,SSP2_Baseline!$C:$C,Results_list!$C$172,SSP2_Baseline!$D:$D,Results_list!$D184,SSP2_Baseline!$B:$B,2040)) - (SUMIFS(SSP2_Baseline!$E:$E,SSP2_Baseline!$C:$C,Results_list!$C$172,SSP2_Baseline!$D:$D,Results_list!$D184,SSP2_Baseline!$B:$B,2025))) / (SUMIFS(SSP2_Baseline!$E:$E,SSP2_Baseline!$C:$C,Results_list!$C$172,SSP2_Baseline!$D:$D,Results_list!$D184,SSP2_Baseline!$B:$B,2025))</f>
        <v>3.3083819821434879E-2</v>
      </c>
      <c r="K184" s="16">
        <f>((SUMIFS(SSP2_VSI!$F:$F,SSP2_VSI!$C:$C,Results_list!$C$172,SSP2_VSI!$D:$D,Results_list!$D184,SSP2_VSI!$B:$B,2040)) - (SUMIFS(SSP2_VSI!$F:$F,SSP2_VSI!$C:$C,Results_list!$C$172,SSP2_VSI!$D:$D,Results_list!$D184,SSP2_VSI!$B:$B,2025))) / (SUMIFS(SSP2_VSI!$F:$F,SSP2_VSI!$C:$C,Results_list!$C$172,SSP2_VSI!$D:$D,Results_list!$D184,SSP2_VSI!$B:$B,2025))</f>
        <v>3.2958893373805163E-2</v>
      </c>
      <c r="L184" s="13">
        <f t="shared" si="25"/>
        <v>0</v>
      </c>
      <c r="M184" s="12">
        <f>((SUMIFS(SSP5_Baseline!$E:$E,SSP5_Baseline!$C:$C,Results_list!$C$172,SSP5_Baseline!$D:$D,Results_list!$D184,SSP5_Baseline!$B:$B,2040)) - (SUMIFS(SSP5_Baseline!$E:$E,SSP5_Baseline!$C:$C,Results_list!$C$172,SSP5_Baseline!$D:$D,Results_list!$D184,SSP5_Baseline!$B:$B,2025))) / (SUMIFS(SSP5_Baseline!$E:$E,SSP5_Baseline!$C:$C,Results_list!$C$172,SSP5_Baseline!$D:$D,Results_list!$D184,SSP5_Baseline!$B:$B,2025))</f>
        <v>-1.664888317315914E-3</v>
      </c>
      <c r="N184" s="16">
        <f>((SUMIFS(SSP5_VSI!$F:$F,SSP5_VSI!$C:$C,Results_list!$C$172,SSP5_VSI!$D:$D,Results_list!$D184,SSP5_VSI!$B:$B,2040)) - (SUMIFS(SSP5_VSI!$F:$F,SSP5_VSI!$C:$C,Results_list!$C$172,SSP5_VSI!$D:$D,Results_list!$D184,SSP5_VSI!$B:$B,2025))) / (SUMIFS(SSP5_VSI!$F:$F,SSP5_VSI!$C:$C,Results_list!$C$172,SSP5_VSI!$D:$D,Results_list!$D184,SSP5_VSI!$B:$B,2025))</f>
        <v>-1.6152325012559778E-3</v>
      </c>
      <c r="O184" s="13">
        <f t="shared" si="26"/>
        <v>0</v>
      </c>
    </row>
    <row r="185" spans="2:15" x14ac:dyDescent="0.35">
      <c r="B185" s="89"/>
      <c r="C185" s="91"/>
      <c r="D185" t="s">
        <v>52</v>
      </c>
      <c r="F185" s="3" t="s">
        <v>100</v>
      </c>
      <c r="G185" s="12">
        <f>((SUMIFS(SSP1_Baseline!$E:$E,SSP1_Baseline!$C:$C,Results_list!$C$172,SSP1_Baseline!$D:$D,Results_list!$D185,SSP1_Baseline!$B:$B,2040)) - (SUMIFS(SSP1_Baseline!$E:$E,SSP1_Baseline!$C:$C,Results_list!$C$172,SSP1_Baseline!$D:$D,Results_list!$D185,SSP1_Baseline!$B:$B,2025))) / (SUMIFS(SSP1_Baseline!$E:$E,SSP1_Baseline!$C:$C,Results_list!$C$172,SSP1_Baseline!$D:$D,Results_list!$D185,SSP1_Baseline!$B:$B,2025))</f>
        <v>-2.8771972023571526E-2</v>
      </c>
      <c r="H185" s="16">
        <f>((SUMIFS(SSP1_VSI!$F:$F,SSP1_VSI!$C:$C,Results_list!$C$172,SSP1_VSI!$D:$D,Results_list!$D185,SSP1_VSI!$B:$B,2040)) - (SUMIFS(SSP1_VSI!$F:$F,SSP1_VSI!$C:$C,Results_list!$C$172,SSP1_VSI!$D:$D,Results_list!$D185,SSP1_VSI!$B:$B,2025))) / (SUMIFS(SSP1_VSI!$F:$F,SSP1_VSI!$C:$C,Results_list!$C$172,SSP1_VSI!$D:$D,Results_list!$D185,SSP1_VSI!$B:$B,2025))</f>
        <v>-2.8715410318225675E-2</v>
      </c>
      <c r="I185" s="13">
        <f t="shared" si="24"/>
        <v>0</v>
      </c>
      <c r="J185" s="12">
        <f>((SUMIFS(SSP2_Baseline!$E:$E,SSP2_Baseline!$C:$C,Results_list!$C$172,SSP2_Baseline!$D:$D,Results_list!$D185,SSP2_Baseline!$B:$B,2040)) - (SUMIFS(SSP2_Baseline!$E:$E,SSP2_Baseline!$C:$C,Results_list!$C$172,SSP2_Baseline!$D:$D,Results_list!$D185,SSP2_Baseline!$B:$B,2025))) / (SUMIFS(SSP2_Baseline!$E:$E,SSP2_Baseline!$C:$C,Results_list!$C$172,SSP2_Baseline!$D:$D,Results_list!$D185,SSP2_Baseline!$B:$B,2025))</f>
        <v>-2.6210603987261525E-2</v>
      </c>
      <c r="K185" s="16">
        <f>((SUMIFS(SSP2_VSI!$F:$F,SSP2_VSI!$C:$C,Results_list!$C$172,SSP2_VSI!$D:$D,Results_list!$D185,SSP2_VSI!$B:$B,2040)) - (SUMIFS(SSP2_VSI!$F:$F,SSP2_VSI!$C:$C,Results_list!$C$172,SSP2_VSI!$D:$D,Results_list!$D185,SSP2_VSI!$B:$B,2025))) / (SUMIFS(SSP2_VSI!$F:$F,SSP2_VSI!$C:$C,Results_list!$C$172,SSP2_VSI!$D:$D,Results_list!$D185,SSP2_VSI!$B:$B,2025))</f>
        <v>-2.6126373745802903E-2</v>
      </c>
      <c r="L185" s="13">
        <f t="shared" si="25"/>
        <v>0</v>
      </c>
      <c r="M185" s="12">
        <f>((SUMIFS(SSP5_Baseline!$E:$E,SSP5_Baseline!$C:$C,Results_list!$C$172,SSP5_Baseline!$D:$D,Results_list!$D185,SSP5_Baseline!$B:$B,2040)) - (SUMIFS(SSP5_Baseline!$E:$E,SSP5_Baseline!$C:$C,Results_list!$C$172,SSP5_Baseline!$D:$D,Results_list!$D185,SSP5_Baseline!$B:$B,2025))) / (SUMIFS(SSP5_Baseline!$E:$E,SSP5_Baseline!$C:$C,Results_list!$C$172,SSP5_Baseline!$D:$D,Results_list!$D185,SSP5_Baseline!$B:$B,2025))</f>
        <v>-2.6838670077501077E-2</v>
      </c>
      <c r="N185" s="16">
        <f>((SUMIFS(SSP5_VSI!$F:$F,SSP5_VSI!$C:$C,Results_list!$C$172,SSP5_VSI!$D:$D,Results_list!$D185,SSP5_VSI!$B:$B,2040)) - (SUMIFS(SSP5_VSI!$F:$F,SSP5_VSI!$C:$C,Results_list!$C$172,SSP5_VSI!$D:$D,Results_list!$D185,SSP5_VSI!$B:$B,2025))) / (SUMIFS(SSP5_VSI!$F:$F,SSP5_VSI!$C:$C,Results_list!$C$172,SSP5_VSI!$D:$D,Results_list!$D185,SSP5_VSI!$B:$B,2025))</f>
        <v>-2.6778450995559228E-2</v>
      </c>
      <c r="O185" s="13">
        <f t="shared" si="26"/>
        <v>0</v>
      </c>
    </row>
    <row r="186" spans="2:15" x14ac:dyDescent="0.35">
      <c r="B186" s="89"/>
      <c r="C186" s="91"/>
      <c r="D186" t="s">
        <v>53</v>
      </c>
      <c r="F186" s="3" t="s">
        <v>101</v>
      </c>
      <c r="G186" s="12">
        <f>((SUMIFS(SSP1_Baseline!$E:$E,SSP1_Baseline!$C:$C,Results_list!$C$172,SSP1_Baseline!$D:$D,Results_list!$D186,SSP1_Baseline!$B:$B,2040)) - (SUMIFS(SSP1_Baseline!$E:$E,SSP1_Baseline!$C:$C,Results_list!$C$172,SSP1_Baseline!$D:$D,Results_list!$D186,SSP1_Baseline!$B:$B,2025))) / (SUMIFS(SSP1_Baseline!$E:$E,SSP1_Baseline!$C:$C,Results_list!$C$172,SSP1_Baseline!$D:$D,Results_list!$D186,SSP1_Baseline!$B:$B,2025))</f>
        <v>-7.2328050335532995E-2</v>
      </c>
      <c r="H186" s="16">
        <f>((SUMIFS(SSP1_VSI!$F:$F,SSP1_VSI!$C:$C,Results_list!$C$172,SSP1_VSI!$D:$D,Results_list!$D186,SSP1_VSI!$B:$B,2040)) - (SUMIFS(SSP1_VSI!$F:$F,SSP1_VSI!$C:$C,Results_list!$C$172,SSP1_VSI!$D:$D,Results_list!$D186,SSP1_VSI!$B:$B,2025))) / (SUMIFS(SSP1_VSI!$F:$F,SSP1_VSI!$C:$C,Results_list!$C$172,SSP1_VSI!$D:$D,Results_list!$D186,SSP1_VSI!$B:$B,2025))</f>
        <v>-7.2467331689571896E-2</v>
      </c>
      <c r="I186" s="13">
        <f t="shared" si="24"/>
        <v>0</v>
      </c>
      <c r="J186" s="12">
        <f>((SUMIFS(SSP2_Baseline!$E:$E,SSP2_Baseline!$C:$C,Results_list!$C$172,SSP2_Baseline!$D:$D,Results_list!$D186,SSP2_Baseline!$B:$B,2040)) - (SUMIFS(SSP2_Baseline!$E:$E,SSP2_Baseline!$C:$C,Results_list!$C$172,SSP2_Baseline!$D:$D,Results_list!$D186,SSP2_Baseline!$B:$B,2025))) / (SUMIFS(SSP2_Baseline!$E:$E,SSP2_Baseline!$C:$C,Results_list!$C$172,SSP2_Baseline!$D:$D,Results_list!$D186,SSP2_Baseline!$B:$B,2025))</f>
        <v>-7.2405368368018475E-2</v>
      </c>
      <c r="K186" s="16">
        <f>((SUMIFS(SSP2_VSI!$F:$F,SSP2_VSI!$C:$C,Results_list!$C$172,SSP2_VSI!$D:$D,Results_list!$D186,SSP2_VSI!$B:$B,2040)) - (SUMIFS(SSP2_VSI!$F:$F,SSP2_VSI!$C:$C,Results_list!$C$172,SSP2_VSI!$D:$D,Results_list!$D186,SSP2_VSI!$B:$B,2025))) / (SUMIFS(SSP2_VSI!$F:$F,SSP2_VSI!$C:$C,Results_list!$C$172,SSP2_VSI!$D:$D,Results_list!$D186,SSP2_VSI!$B:$B,2025))</f>
        <v>-7.2340625029323299E-2</v>
      </c>
      <c r="L186" s="13">
        <f t="shared" si="25"/>
        <v>0</v>
      </c>
      <c r="M186" s="12">
        <f>((SUMIFS(SSP5_Baseline!$E:$E,SSP5_Baseline!$C:$C,Results_list!$C$172,SSP5_Baseline!$D:$D,Results_list!$D186,SSP5_Baseline!$B:$B,2040)) - (SUMIFS(SSP5_Baseline!$E:$E,SSP5_Baseline!$C:$C,Results_list!$C$172,SSP5_Baseline!$D:$D,Results_list!$D186,SSP5_Baseline!$B:$B,2025))) / (SUMIFS(SSP5_Baseline!$E:$E,SSP5_Baseline!$C:$C,Results_list!$C$172,SSP5_Baseline!$D:$D,Results_list!$D186,SSP5_Baseline!$B:$B,2025))</f>
        <v>-2.0715359123670309E-2</v>
      </c>
      <c r="N186" s="16">
        <f>((SUMIFS(SSP5_VSI!$F:$F,SSP5_VSI!$C:$C,Results_list!$C$172,SSP5_VSI!$D:$D,Results_list!$D186,SSP5_VSI!$B:$B,2040)) - (SUMIFS(SSP5_VSI!$F:$F,SSP5_VSI!$C:$C,Results_list!$C$172,SSP5_VSI!$D:$D,Results_list!$D186,SSP5_VSI!$B:$B,2025))) / (SUMIFS(SSP5_VSI!$F:$F,SSP5_VSI!$C:$C,Results_list!$C$172,SSP5_VSI!$D:$D,Results_list!$D186,SSP5_VSI!$B:$B,2025))</f>
        <v>-2.0651024627104931E-2</v>
      </c>
      <c r="O186" s="13">
        <f t="shared" si="26"/>
        <v>0</v>
      </c>
    </row>
    <row r="187" spans="2:15" x14ac:dyDescent="0.35">
      <c r="B187" s="89"/>
      <c r="C187" s="91"/>
      <c r="D187" t="s">
        <v>54</v>
      </c>
      <c r="F187" s="3" t="s">
        <v>102</v>
      </c>
      <c r="G187" s="12">
        <f>((SUMIFS(SSP1_Baseline!$E:$E,SSP1_Baseline!$C:$C,Results_list!$C$172,SSP1_Baseline!$D:$D,Results_list!$D187,SSP1_Baseline!$B:$B,2040)) - (SUMIFS(SSP1_Baseline!$E:$E,SSP1_Baseline!$C:$C,Results_list!$C$172,SSP1_Baseline!$D:$D,Results_list!$D187,SSP1_Baseline!$B:$B,2025))) / (SUMIFS(SSP1_Baseline!$E:$E,SSP1_Baseline!$C:$C,Results_list!$C$172,SSP1_Baseline!$D:$D,Results_list!$D187,SSP1_Baseline!$B:$B,2025))</f>
        <v>4.9017537678486614E-3</v>
      </c>
      <c r="H187" s="16">
        <f>((SUMIFS(SSP1_VSI!$F:$F,SSP1_VSI!$C:$C,Results_list!$C$172,SSP1_VSI!$D:$D,Results_list!$D187,SSP1_VSI!$B:$B,2040)) - (SUMIFS(SSP1_VSI!$F:$F,SSP1_VSI!$C:$C,Results_list!$C$172,SSP1_VSI!$D:$D,Results_list!$D187,SSP1_VSI!$B:$B,2025))) / (SUMIFS(SSP1_VSI!$F:$F,SSP1_VSI!$C:$C,Results_list!$C$172,SSP1_VSI!$D:$D,Results_list!$D187,SSP1_VSI!$B:$B,2025))</f>
        <v>3.7164262716314978E-3</v>
      </c>
      <c r="I187" s="13">
        <f t="shared" si="24"/>
        <v>-1E-3</v>
      </c>
      <c r="J187" s="12">
        <f>((SUMIFS(SSP2_Baseline!$E:$E,SSP2_Baseline!$C:$C,Results_list!$C$172,SSP2_Baseline!$D:$D,Results_list!$D187,SSP2_Baseline!$B:$B,2040)) - (SUMIFS(SSP2_Baseline!$E:$E,SSP2_Baseline!$C:$C,Results_list!$C$172,SSP2_Baseline!$D:$D,Results_list!$D187,SSP2_Baseline!$B:$B,2025))) / (SUMIFS(SSP2_Baseline!$E:$E,SSP2_Baseline!$C:$C,Results_list!$C$172,SSP2_Baseline!$D:$D,Results_list!$D187,SSP2_Baseline!$B:$B,2025))</f>
        <v>8.0789517703038858E-3</v>
      </c>
      <c r="K187" s="16">
        <f>((SUMIFS(SSP2_VSI!$F:$F,SSP2_VSI!$C:$C,Results_list!$C$172,SSP2_VSI!$D:$D,Results_list!$D187,SSP2_VSI!$B:$B,2040)) - (SUMIFS(SSP2_VSI!$F:$F,SSP2_VSI!$C:$C,Results_list!$C$172,SSP2_VSI!$D:$D,Results_list!$D187,SSP2_VSI!$B:$B,2025))) / (SUMIFS(SSP2_VSI!$F:$F,SSP2_VSI!$C:$C,Results_list!$C$172,SSP2_VSI!$D:$D,Results_list!$D187,SSP2_VSI!$B:$B,2025))</f>
        <v>6.9005230807644754E-3</v>
      </c>
      <c r="L187" s="13">
        <f t="shared" si="25"/>
        <v>0</v>
      </c>
      <c r="M187" s="12">
        <f>((SUMIFS(SSP5_Baseline!$E:$E,SSP5_Baseline!$C:$C,Results_list!$C$172,SSP5_Baseline!$D:$D,Results_list!$D187,SSP5_Baseline!$B:$B,2040)) - (SUMIFS(SSP5_Baseline!$E:$E,SSP5_Baseline!$C:$C,Results_list!$C$172,SSP5_Baseline!$D:$D,Results_list!$D187,SSP5_Baseline!$B:$B,2025))) / (SUMIFS(SSP5_Baseline!$E:$E,SSP5_Baseline!$C:$C,Results_list!$C$172,SSP5_Baseline!$D:$D,Results_list!$D187,SSP5_Baseline!$B:$B,2025))</f>
        <v>8.5080006647160686E-3</v>
      </c>
      <c r="N187" s="16">
        <f>((SUMIFS(SSP5_VSI!$F:$F,SSP5_VSI!$C:$C,Results_list!$C$172,SSP5_VSI!$D:$D,Results_list!$D187,SSP5_VSI!$B:$B,2040)) - (SUMIFS(SSP5_VSI!$F:$F,SSP5_VSI!$C:$C,Results_list!$C$172,SSP5_VSI!$D:$D,Results_list!$D187,SSP5_VSI!$B:$B,2025))) / (SUMIFS(SSP5_VSI!$F:$F,SSP5_VSI!$C:$C,Results_list!$C$172,SSP5_VSI!$D:$D,Results_list!$D187,SSP5_VSI!$B:$B,2025))</f>
        <v>7.3402653834331302E-3</v>
      </c>
      <c r="O187" s="13">
        <f t="shared" si="26"/>
        <v>0</v>
      </c>
    </row>
    <row r="188" spans="2:15" x14ac:dyDescent="0.35">
      <c r="B188" s="89"/>
      <c r="C188" s="91"/>
      <c r="D188" t="s">
        <v>55</v>
      </c>
      <c r="F188" s="3" t="s">
        <v>103</v>
      </c>
      <c r="G188" s="12">
        <f>((SUMIFS(SSP1_Baseline!$E:$E,SSP1_Baseline!$C:$C,Results_list!$C$172,SSP1_Baseline!$D:$D,Results_list!$D188,SSP1_Baseline!$B:$B,2040)) - (SUMIFS(SSP1_Baseline!$E:$E,SSP1_Baseline!$C:$C,Results_list!$C$172,SSP1_Baseline!$D:$D,Results_list!$D188,SSP1_Baseline!$B:$B,2025))) / (SUMIFS(SSP1_Baseline!$E:$E,SSP1_Baseline!$C:$C,Results_list!$C$172,SSP1_Baseline!$D:$D,Results_list!$D188,SSP1_Baseline!$B:$B,2025))</f>
        <v>4.415485896994917E-3</v>
      </c>
      <c r="H188" s="16">
        <f>((SUMIFS(SSP1_VSI!$F:$F,SSP1_VSI!$C:$C,Results_list!$C$172,SSP1_VSI!$D:$D,Results_list!$D188,SSP1_VSI!$B:$B,2040)) - (SUMIFS(SSP1_VSI!$F:$F,SSP1_VSI!$C:$C,Results_list!$C$172,SSP1_VSI!$D:$D,Results_list!$D188,SSP1_VSI!$B:$B,2025))) / (SUMIFS(SSP1_VSI!$F:$F,SSP1_VSI!$C:$C,Results_list!$C$172,SSP1_VSI!$D:$D,Results_list!$D188,SSP1_VSI!$B:$B,2025))</f>
        <v>-5.4050474623325247E-2</v>
      </c>
      <c r="I188" s="13">
        <f t="shared" si="24"/>
        <v>-5.8000000000000003E-2</v>
      </c>
      <c r="J188" s="12">
        <f>((SUMIFS(SSP2_Baseline!$E:$E,SSP2_Baseline!$C:$C,Results_list!$C$172,SSP2_Baseline!$D:$D,Results_list!$D188,SSP2_Baseline!$B:$B,2040)) - (SUMIFS(SSP2_Baseline!$E:$E,SSP2_Baseline!$C:$C,Results_list!$C$172,SSP2_Baseline!$D:$D,Results_list!$D188,SSP2_Baseline!$B:$B,2025))) / (SUMIFS(SSP2_Baseline!$E:$E,SSP2_Baseline!$C:$C,Results_list!$C$172,SSP2_Baseline!$D:$D,Results_list!$D188,SSP2_Baseline!$B:$B,2025))</f>
        <v>7.3373827214629171E-3</v>
      </c>
      <c r="K188" s="16">
        <f>((SUMIFS(SSP2_VSI!$F:$F,SSP2_VSI!$C:$C,Results_list!$C$172,SSP2_VSI!$D:$D,Results_list!$D188,SSP2_VSI!$B:$B,2040)) - (SUMIFS(SSP2_VSI!$F:$F,SSP2_VSI!$C:$C,Results_list!$C$172,SSP2_VSI!$D:$D,Results_list!$D188,SSP2_VSI!$B:$B,2025))) / (SUMIFS(SSP2_VSI!$F:$F,SSP2_VSI!$C:$C,Results_list!$C$172,SSP2_VSI!$D:$D,Results_list!$D188,SSP2_VSI!$B:$B,2025))</f>
        <v>-5.1278635592388266E-2</v>
      </c>
      <c r="L188" s="13">
        <f t="shared" si="25"/>
        <v>-0.06</v>
      </c>
      <c r="M188" s="12">
        <f>((SUMIFS(SSP5_Baseline!$E:$E,SSP5_Baseline!$C:$C,Results_list!$C$172,SSP5_Baseline!$D:$D,Results_list!$D188,SSP5_Baseline!$B:$B,2040)) - (SUMIFS(SSP5_Baseline!$E:$E,SSP5_Baseline!$C:$C,Results_list!$C$172,SSP5_Baseline!$D:$D,Results_list!$D188,SSP5_Baseline!$B:$B,2025))) / (SUMIFS(SSP5_Baseline!$E:$E,SSP5_Baseline!$C:$C,Results_list!$C$172,SSP5_Baseline!$D:$D,Results_list!$D188,SSP5_Baseline!$B:$B,2025))</f>
        <v>7.4677395359472676E-3</v>
      </c>
      <c r="N188" s="16">
        <f>((SUMIFS(SSP5_VSI!$F:$F,SSP5_VSI!$C:$C,Results_list!$C$172,SSP5_VSI!$D:$D,Results_list!$D188,SSP5_VSI!$B:$B,2040)) - (SUMIFS(SSP5_VSI!$F:$F,SSP5_VSI!$C:$C,Results_list!$C$172,SSP5_VSI!$D:$D,Results_list!$D188,SSP5_VSI!$B:$B,2025))) / (SUMIFS(SSP5_VSI!$F:$F,SSP5_VSI!$C:$C,Results_list!$C$172,SSP5_VSI!$D:$D,Results_list!$D188,SSP5_VSI!$B:$B,2025))</f>
        <v>-5.1168794466019289E-2</v>
      </c>
      <c r="O188" s="13">
        <f t="shared" si="26"/>
        <v>-0.06</v>
      </c>
    </row>
    <row r="189" spans="2:15" x14ac:dyDescent="0.35">
      <c r="B189" s="90"/>
      <c r="C189" s="92"/>
      <c r="D189" t="s">
        <v>56</v>
      </c>
      <c r="F189" s="9" t="s">
        <v>104</v>
      </c>
      <c r="G189" s="14">
        <f>((SUMIFS(SSP1_Baseline!$E:$E,SSP1_Baseline!$C:$C,Results_list!$C$172,SSP1_Baseline!$D:$D,Results_list!$D189,SSP1_Baseline!$B:$B,2040)) - (SUMIFS(SSP1_Baseline!$E:$E,SSP1_Baseline!$C:$C,Results_list!$C$172,SSP1_Baseline!$D:$D,Results_list!$D189,SSP1_Baseline!$B:$B,2025))) / (SUMIFS(SSP1_Baseline!$E:$E,SSP1_Baseline!$C:$C,Results_list!$C$172,SSP1_Baseline!$D:$D,Results_list!$D189,SSP1_Baseline!$B:$B,2025))</f>
        <v>-9.2782362716901517E-2</v>
      </c>
      <c r="H189" s="17">
        <f>((SUMIFS(SSP1_VSI!$F:$F,SSP1_VSI!$C:$C,Results_list!$C$172,SSP1_VSI!$D:$D,Results_list!$D189,SSP1_VSI!$B:$B,2040)) - (SUMIFS(SSP1_VSI!$F:$F,SSP1_VSI!$C:$C,Results_list!$C$172,SSP1_VSI!$D:$D,Results_list!$D189,SSP1_VSI!$B:$B,2025))) / (SUMIFS(SSP1_VSI!$F:$F,SSP1_VSI!$C:$C,Results_list!$C$172,SSP1_VSI!$D:$D,Results_list!$D189,SSP1_VSI!$B:$B,2025))</f>
        <v>-9.282944227706634E-2</v>
      </c>
      <c r="I189" s="15">
        <f t="shared" si="24"/>
        <v>0</v>
      </c>
      <c r="J189" s="14">
        <f>((SUMIFS(SSP2_Baseline!$E:$E,SSP2_Baseline!$C:$C,Results_list!$C$172,SSP2_Baseline!$D:$D,Results_list!$D189,SSP2_Baseline!$B:$B,2040)) - (SUMIFS(SSP2_Baseline!$E:$E,SSP2_Baseline!$C:$C,Results_list!$C$172,SSP2_Baseline!$D:$D,Results_list!$D189,SSP2_Baseline!$B:$B,2025))) / (SUMIFS(SSP2_Baseline!$E:$E,SSP2_Baseline!$C:$C,Results_list!$C$172,SSP2_Baseline!$D:$D,Results_list!$D189,SSP2_Baseline!$B:$B,2025))</f>
        <v>-0.11155840089941758</v>
      </c>
      <c r="K189" s="17">
        <f>((SUMIFS(SSP2_VSI!$F:$F,SSP2_VSI!$C:$C,Results_list!$C$172,SSP2_VSI!$D:$D,Results_list!$D189,SSP2_VSI!$B:$B,2040)) - (SUMIFS(SSP2_VSI!$F:$F,SSP2_VSI!$C:$C,Results_list!$C$172,SSP2_VSI!$D:$D,Results_list!$D189,SSP2_VSI!$B:$B,2025))) / (SUMIFS(SSP2_VSI!$F:$F,SSP2_VSI!$C:$C,Results_list!$C$172,SSP2_VSI!$D:$D,Results_list!$D189,SSP2_VSI!$B:$B,2025))</f>
        <v>-0.11157001350916999</v>
      </c>
      <c r="L189" s="15">
        <f t="shared" si="25"/>
        <v>0</v>
      </c>
      <c r="M189" s="14">
        <f>((SUMIFS(SSP5_Baseline!$E:$E,SSP5_Baseline!$C:$C,Results_list!$C$172,SSP5_Baseline!$D:$D,Results_list!$D189,SSP5_Baseline!$B:$B,2040)) - (SUMIFS(SSP5_Baseline!$E:$E,SSP5_Baseline!$C:$C,Results_list!$C$172,SSP5_Baseline!$D:$D,Results_list!$D189,SSP5_Baseline!$B:$B,2025))) / (SUMIFS(SSP5_Baseline!$E:$E,SSP5_Baseline!$C:$C,Results_list!$C$172,SSP5_Baseline!$D:$D,Results_list!$D189,SSP5_Baseline!$B:$B,2025))</f>
        <v>-5.3723508569788442E-2</v>
      </c>
      <c r="N189" s="17">
        <f>((SUMIFS(SSP5_VSI!$F:$F,SSP5_VSI!$C:$C,Results_list!$C$172,SSP5_VSI!$D:$D,Results_list!$D189,SSP5_VSI!$B:$B,2040)) - (SUMIFS(SSP5_VSI!$F:$F,SSP5_VSI!$C:$C,Results_list!$C$172,SSP5_VSI!$D:$D,Results_list!$D189,SSP5_VSI!$B:$B,2025))) / (SUMIFS(SSP5_VSI!$F:$F,SSP5_VSI!$C:$C,Results_list!$C$172,SSP5_VSI!$D:$D,Results_list!$D189,SSP5_VSI!$B:$B,2025))</f>
        <v>-5.3710639782228932E-2</v>
      </c>
      <c r="O189" s="15">
        <f t="shared" si="26"/>
        <v>0</v>
      </c>
    </row>
    <row r="191" spans="2:15" ht="19" customHeight="1" x14ac:dyDescent="0.35">
      <c r="F191" s="2"/>
      <c r="G191" s="78" t="s">
        <v>3</v>
      </c>
      <c r="H191" s="79"/>
      <c r="I191" s="79"/>
      <c r="J191" s="79"/>
      <c r="K191" s="79"/>
      <c r="L191" s="79"/>
      <c r="M191" s="79"/>
      <c r="N191" s="79"/>
      <c r="O191" s="80"/>
    </row>
    <row r="192" spans="2:15" ht="29" x14ac:dyDescent="0.35">
      <c r="B192" s="8" t="s">
        <v>30</v>
      </c>
      <c r="C192" s="8" t="s">
        <v>30</v>
      </c>
      <c r="D192" s="6" t="s">
        <v>106</v>
      </c>
      <c r="E192" s="18" t="s">
        <v>131</v>
      </c>
      <c r="F192" s="7" t="s">
        <v>105</v>
      </c>
      <c r="G192" s="10" t="s">
        <v>0</v>
      </c>
      <c r="H192" s="11" t="s">
        <v>108</v>
      </c>
      <c r="I192" s="18" t="s">
        <v>107</v>
      </c>
      <c r="J192" s="10" t="s">
        <v>1</v>
      </c>
      <c r="K192" s="11" t="s">
        <v>109</v>
      </c>
      <c r="L192" s="18" t="s">
        <v>107</v>
      </c>
      <c r="M192" s="10" t="s">
        <v>2</v>
      </c>
      <c r="N192" s="11" t="s">
        <v>110</v>
      </c>
      <c r="O192" s="18" t="s">
        <v>107</v>
      </c>
    </row>
    <row r="193" spans="2:15" ht="14.5" customHeight="1" x14ac:dyDescent="0.35">
      <c r="B193" s="83" t="s">
        <v>118</v>
      </c>
      <c r="C193" s="85" t="s">
        <v>69</v>
      </c>
      <c r="D193" t="s">
        <v>38</v>
      </c>
      <c r="E193" s="24" t="s">
        <v>70</v>
      </c>
      <c r="F193" s="3" t="s">
        <v>87</v>
      </c>
      <c r="G193" s="12">
        <f>((SUMIFS(SSP1_Baseline!$E:$E,SSP1_Baseline!$C:$C,Results_list!$C$193,SSP1_Baseline!$D:$D,Results_list!$D193,SSP1_Baseline!$B:$B,2040,SSP1_Baseline!I:I,Results_list!E193))
- (SUMIFS(SSP1_Baseline!$E:$E,SSP1_Baseline!$C:$C,Results_list!$C$193,SSP1_Baseline!$D:$D,Results_list!$D193,SSP1_Baseline!$B:$B,2025,SSP1_Baseline!I:I,Results_list!E193)))
/ (SUMIFS(SSP1_Baseline!$E:$E,SSP1_Baseline!$C:$C,Results_list!$C$193,SSP1_Baseline!$D:$D,Results_list!$D193,SSP1_Baseline!$B:$B,2025,SSP1_Baseline!I:I,Results_list!E193))</f>
        <v>0.12826051731472404</v>
      </c>
      <c r="H193" s="16">
        <f>((SUMIFS(SSP1_VSI!$F:$F,SSP1_VSI!$C:$C,Results_list!$C$193,SSP1_VSI!$D:$D,Results_list!$D193,SSP1_VSI!$B:$B,2040,SSP1_VSI!I:I,Results_list!E193))
- (SUMIFS(SSP1_VSI!$F:$F,SSP1_VSI!$C:$C,Results_list!$C$193,SSP1_VSI!$D:$D,Results_list!$D193,SSP1_VSI!$B:$B,2025,SSP1_VSI!I:I,Results_list!E193)))
/ (SUMIFS(SSP1_VSI!$F:$F,SSP1_VSI!$C:$C,Results_list!$C$193,SSP1_VSI!$D:$D,Results_list!$D193,SSP1_VSI!$B:$B,2025,SSP1_VSI!I:I,Results_list!E193))</f>
        <v>0.12830844610968578</v>
      </c>
      <c r="I193" s="19">
        <f>ROUND(H193-G193,3)</f>
        <v>0</v>
      </c>
      <c r="J193" s="12">
        <f>((SUMIFS(SSP2_Baseline!$E:$E,SSP2_Baseline!$C:$C,Results_list!$C$193,SSP2_Baseline!$D:$D,Results_list!$D193,SSP2_Baseline!$B:$B,2040,SSP2_Baseline!I:I,Results_list!E193))
- (SUMIFS(SSP2_Baseline!$E:$E,SSP2_Baseline!$C:$C,Results_list!$C$193,SSP2_Baseline!$D:$D,Results_list!$D193,SSP2_Baseline!$B:$B,2025,SSP2_Baseline!I:I,Results_list!E193)))
/ (SUMIFS(SSP2_Baseline!$E:$E,SSP2_Baseline!$C:$C,Results_list!$C$193,SSP2_Baseline!$D:$D,Results_list!$D193,SSP2_Baseline!$B:$B,2025,SSP2_Baseline!I:I,Results_list!E193))</f>
        <v>0.99152569952812308</v>
      </c>
      <c r="K193" s="16">
        <f>((SUMIFS(SSP2_VSI!$F:$F,SSP2_VSI!$C:$C,Results_list!$C$193,SSP2_VSI!$D:$D,Results_list!$D193,SSP2_VSI!$B:$B,2040,SSP2_VSI!I:I,Results_list!E193))
- (SUMIFS(SSP2_VSI!$F:$F,SSP2_VSI!$C:$C,Results_list!$C$193,SSP2_VSI!$D:$D,Results_list!$D193,SSP2_VSI!$B:$B,2025,SSP2_VSI!I:I,Results_list!E193)))
/ (SUMIFS(SSP2_VSI!$F:$F,SSP2_VSI!$C:$C,Results_list!$C$193,SSP2_VSI!$D:$D,Results_list!$D193,SSP2_VSI!$B:$B,2025,SSP2_VSI!I:I,Results_list!E193))</f>
        <v>0.99129021715783716</v>
      </c>
      <c r="L193" s="19">
        <f>ROUND(K193-J193,2)</f>
        <v>0</v>
      </c>
      <c r="M193" s="12">
        <f>((SUMIFS(SSP5_Baseline!$E:$E,SSP5_Baseline!$C:$C,Results_list!$C$193,SSP5_Baseline!$D:$D,Results_list!$D193,SSP5_Baseline!$B:$B,2040,SSP5_Baseline!I:I,Results_list!E193))
- (SUMIFS(SSP5_Baseline!$E:$E,SSP5_Baseline!$C:$C,Results_list!$C$193,SSP5_Baseline!$D:$D,Results_list!$D193,SSP5_Baseline!$B:$B,2025,SSP5_Baseline!I:I,Results_list!E193)))
/ (SUMIFS(SSP5_Baseline!$E:$E,SSP5_Baseline!$C:$C,Results_list!$C$193,SSP5_Baseline!$D:$D,Results_list!$D193,SSP5_Baseline!$B:$B,2025,SSP5_Baseline!I:I,Results_list!E193))</f>
        <v>1.718084344494305</v>
      </c>
      <c r="N193" s="16">
        <f>((SUMIFS(SSP5_VSI!$F:$F,SSP5_VSI!$C:$C,Results_list!$C$193,SSP5_VSI!$D:$D,Results_list!$D193,SSP5_VSI!$B:$B,2040,SSP5_VSI!I:I,Results_list!E193))
- (SUMIFS(SSP5_VSI!$F:$F,SSP5_VSI!$C:$C,Results_list!$C$193,SSP5_VSI!$D:$D,Results_list!$D193,SSP5_VSI!$B:$B,2025,SSP5_VSI!I:I,Results_list!E193)))
/ (SUMIFS(SSP5_VSI!$F:$F,SSP5_VSI!$C:$C,Results_list!$C$193,SSP5_VSI!$D:$D,Results_list!$D193,SSP5_VSI!$B:$B,2025,SSP5_VSI!I:I,Results_list!E193))</f>
        <v>1.7183063856876326</v>
      </c>
      <c r="O193" s="19">
        <f>ROUND(N193-M193,2)</f>
        <v>0</v>
      </c>
    </row>
    <row r="194" spans="2:15" x14ac:dyDescent="0.35">
      <c r="B194" s="83"/>
      <c r="C194" s="85"/>
      <c r="D194" t="s">
        <v>40</v>
      </c>
      <c r="E194" s="25" t="s">
        <v>70</v>
      </c>
      <c r="F194" s="3" t="s">
        <v>88</v>
      </c>
      <c r="G194" s="12">
        <f>((SUMIFS(SSP1_Baseline!$E:$E,SSP1_Baseline!$C:$C,Results_list!$C$193,SSP1_Baseline!$D:$D,Results_list!$D194,SSP1_Baseline!$B:$B,2040,SSP1_Baseline!I:I,Results_list!E194))
- (SUMIFS(SSP1_Baseline!$E:$E,SSP1_Baseline!$C:$C,Results_list!$C$193,SSP1_Baseline!$D:$D,Results_list!$D194,SSP1_Baseline!$B:$B,2025,SSP1_Baseline!I:I,Results_list!E194)))
/ (SUMIFS(SSP1_Baseline!$E:$E,SSP1_Baseline!$C:$C,Results_list!$C$193,SSP1_Baseline!$D:$D,Results_list!$D194,SSP1_Baseline!$B:$B,2025,SSP1_Baseline!I:I,Results_list!E194))</f>
        <v>2.1467295658327449E-2</v>
      </c>
      <c r="H194" s="16">
        <f>((SUMIFS(SSP1_VSI!$F:$F,SSP1_VSI!$C:$C,Results_list!$C$193,SSP1_VSI!$D:$D,Results_list!$D194,SSP1_VSI!$B:$B,2040,SSP1_VSI!I:I,Results_list!E194))
- (SUMIFS(SSP1_VSI!$F:$F,SSP1_VSI!$C:$C,Results_list!$C$193,SSP1_VSI!$D:$D,Results_list!$D194,SSP1_VSI!$B:$B,2025,SSP1_VSI!I:I,Results_list!E194)))
/ (SUMIFS(SSP1_VSI!$F:$F,SSP1_VSI!$C:$C,Results_list!$C$193,SSP1_VSI!$D:$D,Results_list!$D194,SSP1_VSI!$B:$B,2025,SSP1_VSI!I:I,Results_list!E194))</f>
        <v>2.1462943948267532E-2</v>
      </c>
      <c r="I194" s="13">
        <f t="shared" ref="I194:I210" si="27">ROUND(H194-G194,3)</f>
        <v>0</v>
      </c>
      <c r="J194" s="12">
        <f>((SUMIFS(SSP2_Baseline!$E:$E,SSP2_Baseline!$C:$C,Results_list!$C$193,SSP2_Baseline!$D:$D,Results_list!$D194,SSP2_Baseline!$B:$B,2040,SSP2_Baseline!I:I,Results_list!E194))
- (SUMIFS(SSP2_Baseline!$E:$E,SSP2_Baseline!$C:$C,Results_list!$C$193,SSP2_Baseline!$D:$D,Results_list!$D194,SSP2_Baseline!$B:$B,2025,SSP2_Baseline!I:I,Results_list!E194)))
/ (SUMIFS(SSP2_Baseline!$E:$E,SSP2_Baseline!$C:$C,Results_list!$C$193,SSP2_Baseline!$D:$D,Results_list!$D194,SSP2_Baseline!$B:$B,2025,SSP2_Baseline!I:I,Results_list!E194))</f>
        <v>3.6801415727143768E-3</v>
      </c>
      <c r="K194" s="16">
        <f>((SUMIFS(SSP2_VSI!$F:$F,SSP2_VSI!$C:$C,Results_list!$C$193,SSP2_VSI!$D:$D,Results_list!$D194,SSP2_VSI!$B:$B,2040,SSP2_VSI!I:I,Results_list!E194))
- (SUMIFS(SSP2_VSI!$F:$F,SSP2_VSI!$C:$C,Results_list!$C$193,SSP2_VSI!$D:$D,Results_list!$D194,SSP2_VSI!$B:$B,2025,SSP2_VSI!I:I,Results_list!E194)))
/ (SUMIFS(SSP2_VSI!$F:$F,SSP2_VSI!$C:$C,Results_list!$C$193,SSP2_VSI!$D:$D,Results_list!$D194,SSP2_VSI!$B:$B,2025,SSP2_VSI!I:I,Results_list!E194))</f>
        <v>3.6696506912191449E-3</v>
      </c>
      <c r="L194" s="13">
        <f t="shared" ref="L194:L210" si="28">ROUND(K194-J194,2)</f>
        <v>0</v>
      </c>
      <c r="M194" s="12">
        <f>((SUMIFS(SSP5_Baseline!$E:$E,SSP5_Baseline!$C:$C,Results_list!$C$193,SSP5_Baseline!$D:$D,Results_list!$D194,SSP5_Baseline!$B:$B,2040,SSP5_Baseline!I:I,Results_list!E194))
- (SUMIFS(SSP5_Baseline!$E:$E,SSP5_Baseline!$C:$C,Results_list!$C$193,SSP5_Baseline!$D:$D,Results_list!$D194,SSP5_Baseline!$B:$B,2025,SSP5_Baseline!I:I,Results_list!E194)))
/ (SUMIFS(SSP5_Baseline!$E:$E,SSP5_Baseline!$C:$C,Results_list!$C$193,SSP5_Baseline!$D:$D,Results_list!$D194,SSP5_Baseline!$B:$B,2025,SSP5_Baseline!I:I,Results_list!E194))</f>
        <v>-1.3034158565925734E-2</v>
      </c>
      <c r="N194" s="16">
        <f>((SUMIFS(SSP5_VSI!$F:$F,SSP5_VSI!$C:$C,Results_list!$C$193,SSP5_VSI!$D:$D,Results_list!$D194,SSP5_VSI!$B:$B,2040,SSP5_VSI!I:I,Results_list!E194))
- (SUMIFS(SSP5_VSI!$F:$F,SSP5_VSI!$C:$C,Results_list!$C$193,SSP5_VSI!$D:$D,Results_list!$D194,SSP5_VSI!$B:$B,2025,SSP5_VSI!I:I,Results_list!E194)))
/ (SUMIFS(SSP5_VSI!$F:$F,SSP5_VSI!$C:$C,Results_list!$C$193,SSP5_VSI!$D:$D,Results_list!$D194,SSP5_VSI!$B:$B,2025,SSP5_VSI!I:I,Results_list!E194))</f>
        <v>-1.304394368770195E-2</v>
      </c>
      <c r="O194" s="13">
        <f t="shared" ref="O194:O210" si="29">ROUND(N194-M194,2)</f>
        <v>0</v>
      </c>
    </row>
    <row r="195" spans="2:15" x14ac:dyDescent="0.35">
      <c r="B195" s="83"/>
      <c r="C195" s="85"/>
      <c r="D195" t="s">
        <v>41</v>
      </c>
      <c r="E195" s="25" t="s">
        <v>70</v>
      </c>
      <c r="F195" s="3" t="s">
        <v>89</v>
      </c>
      <c r="G195" s="12">
        <f>((SUMIFS(SSP1_Baseline!$E:$E,SSP1_Baseline!$C:$C,Results_list!$C$193,SSP1_Baseline!$D:$D,Results_list!$D195,SSP1_Baseline!$B:$B,2040,SSP1_Baseline!I:I,Results_list!E195))
- (SUMIFS(SSP1_Baseline!$E:$E,SSP1_Baseline!$C:$C,Results_list!$C$193,SSP1_Baseline!$D:$D,Results_list!$D195,SSP1_Baseline!$B:$B,2025,SSP1_Baseline!I:I,Results_list!E195)))
/ (SUMIFS(SSP1_Baseline!$E:$E,SSP1_Baseline!$C:$C,Results_list!$C$193,SSP1_Baseline!$D:$D,Results_list!$D195,SSP1_Baseline!$B:$B,2025,SSP1_Baseline!I:I,Results_list!E195))</f>
        <v>-3.3175882511564656E-2</v>
      </c>
      <c r="H195" s="16">
        <f>((SUMIFS(SSP1_VSI!$F:$F,SSP1_VSI!$C:$C,Results_list!$C$193,SSP1_VSI!$D:$D,Results_list!$D195,SSP1_VSI!$B:$B,2040,SSP1_VSI!I:I,Results_list!E195))
- (SUMIFS(SSP1_VSI!$F:$F,SSP1_VSI!$C:$C,Results_list!$C$193,SSP1_VSI!$D:$D,Results_list!$D195,SSP1_VSI!$B:$B,2025,SSP1_VSI!I:I,Results_list!E195)))
/ (SUMIFS(SSP1_VSI!$F:$F,SSP1_VSI!$C:$C,Results_list!$C$193,SSP1_VSI!$D:$D,Results_list!$D195,SSP1_VSI!$B:$B,2025,SSP1_VSI!I:I,Results_list!E195))</f>
        <v>-3.3204055120494617E-2</v>
      </c>
      <c r="I195" s="13">
        <f t="shared" si="27"/>
        <v>0</v>
      </c>
      <c r="J195" s="12">
        <f>((SUMIFS(SSP2_Baseline!$E:$E,SSP2_Baseline!$C:$C,Results_list!$C$193,SSP2_Baseline!$D:$D,Results_list!$D195,SSP2_Baseline!$B:$B,2040,SSP2_Baseline!I:I,Results_list!E195))
- (SUMIFS(SSP2_Baseline!$E:$E,SSP2_Baseline!$C:$C,Results_list!$C$193,SSP2_Baseline!$D:$D,Results_list!$D195,SSP2_Baseline!$B:$B,2025,SSP2_Baseline!I:I,Results_list!E195)))
/ (SUMIFS(SSP2_Baseline!$E:$E,SSP2_Baseline!$C:$C,Results_list!$C$193,SSP2_Baseline!$D:$D,Results_list!$D195,SSP2_Baseline!$B:$B,2025,SSP2_Baseline!I:I,Results_list!E195))</f>
        <v>-3.3528273659316446E-2</v>
      </c>
      <c r="K195" s="16">
        <f>((SUMIFS(SSP2_VSI!$F:$F,SSP2_VSI!$C:$C,Results_list!$C$193,SSP2_VSI!$D:$D,Results_list!$D195,SSP2_VSI!$B:$B,2040,SSP2_VSI!I:I,Results_list!E195))
- (SUMIFS(SSP2_VSI!$F:$F,SSP2_VSI!$C:$C,Results_list!$C$193,SSP2_VSI!$D:$D,Results_list!$D195,SSP2_VSI!$B:$B,2025,SSP2_VSI!I:I,Results_list!E195)))
/ (SUMIFS(SSP2_VSI!$F:$F,SSP2_VSI!$C:$C,Results_list!$C$193,SSP2_VSI!$D:$D,Results_list!$D195,SSP2_VSI!$B:$B,2025,SSP2_VSI!I:I,Results_list!E195))</f>
        <v>-3.3518386271584509E-2</v>
      </c>
      <c r="L195" s="13">
        <f t="shared" si="28"/>
        <v>0</v>
      </c>
      <c r="M195" s="12">
        <f>((SUMIFS(SSP5_Baseline!$E:$E,SSP5_Baseline!$C:$C,Results_list!$C$193,SSP5_Baseline!$D:$D,Results_list!$D195,SSP5_Baseline!$B:$B,2040,SSP5_Baseline!I:I,Results_list!E195))
- (SUMIFS(SSP5_Baseline!$E:$E,SSP5_Baseline!$C:$C,Results_list!$C$193,SSP5_Baseline!$D:$D,Results_list!$D195,SSP5_Baseline!$B:$B,2025,SSP5_Baseline!I:I,Results_list!E195)))
/ (SUMIFS(SSP5_Baseline!$E:$E,SSP5_Baseline!$C:$C,Results_list!$C$193,SSP5_Baseline!$D:$D,Results_list!$D195,SSP5_Baseline!$B:$B,2025,SSP5_Baseline!I:I,Results_list!E195))</f>
        <v>2.3608564044689036E-2</v>
      </c>
      <c r="N195" s="16">
        <f>((SUMIFS(SSP5_VSI!$F:$F,SSP5_VSI!$C:$C,Results_list!$C$193,SSP5_VSI!$D:$D,Results_list!$D195,SSP5_VSI!$B:$B,2040,SSP5_VSI!I:I,Results_list!E195))
- (SUMIFS(SSP5_VSI!$F:$F,SSP5_VSI!$C:$C,Results_list!$C$193,SSP5_VSI!$D:$D,Results_list!$D195,SSP5_VSI!$B:$B,2025,SSP5_VSI!I:I,Results_list!E195)))
/ (SUMIFS(SSP5_VSI!$F:$F,SSP5_VSI!$C:$C,Results_list!$C$193,SSP5_VSI!$D:$D,Results_list!$D195,SSP5_VSI!$B:$B,2025,SSP5_VSI!I:I,Results_list!E195))</f>
        <v>2.3593729660601595E-2</v>
      </c>
      <c r="O195" s="13">
        <f t="shared" si="29"/>
        <v>0</v>
      </c>
    </row>
    <row r="196" spans="2:15" x14ac:dyDescent="0.35">
      <c r="B196" s="83"/>
      <c r="C196" s="85"/>
      <c r="D196" t="s">
        <v>42</v>
      </c>
      <c r="E196" s="25" t="s">
        <v>70</v>
      </c>
      <c r="F196" s="3" t="s">
        <v>90</v>
      </c>
      <c r="G196" s="12">
        <f>((SUMIFS(SSP1_Baseline!$E:$E,SSP1_Baseline!$C:$C,Results_list!$C$193,SSP1_Baseline!$D:$D,Results_list!$D196,SSP1_Baseline!$B:$B,2040,SSP1_Baseline!I:I,Results_list!E196))
- (SUMIFS(SSP1_Baseline!$E:$E,SSP1_Baseline!$C:$C,Results_list!$C$193,SSP1_Baseline!$D:$D,Results_list!$D196,SSP1_Baseline!$B:$B,2025,SSP1_Baseline!I:I,Results_list!E196)))
/ (SUMIFS(SSP1_Baseline!$E:$E,SSP1_Baseline!$C:$C,Results_list!$C$193,SSP1_Baseline!$D:$D,Results_list!$D196,SSP1_Baseline!$B:$B,2025,SSP1_Baseline!I:I,Results_list!E196))</f>
        <v>-0.38944949139500645</v>
      </c>
      <c r="H196" s="16">
        <f>((SUMIFS(SSP1_VSI!$F:$F,SSP1_VSI!$C:$C,Results_list!$C$193,SSP1_VSI!$D:$D,Results_list!$D196,SSP1_VSI!$B:$B,2040,SSP1_VSI!I:I,Results_list!E196))
- (SUMIFS(SSP1_VSI!$F:$F,SSP1_VSI!$C:$C,Results_list!$C$193,SSP1_VSI!$D:$D,Results_list!$D196,SSP1_VSI!$B:$B,2025,SSP1_VSI!I:I,Results_list!E196)))
/ (SUMIFS(SSP1_VSI!$F:$F,SSP1_VSI!$C:$C,Results_list!$C$193,SSP1_VSI!$D:$D,Results_list!$D196,SSP1_VSI!$B:$B,2025,SSP1_VSI!I:I,Results_list!E196))</f>
        <v>-0.38941529617882165</v>
      </c>
      <c r="I196" s="13">
        <f t="shared" si="27"/>
        <v>0</v>
      </c>
      <c r="J196" s="12">
        <f>((SUMIFS(SSP2_Baseline!$E:$E,SSP2_Baseline!$C:$C,Results_list!$C$193,SSP2_Baseline!$D:$D,Results_list!$D196,SSP2_Baseline!$B:$B,2040,SSP2_Baseline!I:I,Results_list!E196))
- (SUMIFS(SSP2_Baseline!$E:$E,SSP2_Baseline!$C:$C,Results_list!$C$193,SSP2_Baseline!$D:$D,Results_list!$D196,SSP2_Baseline!$B:$B,2025,SSP2_Baseline!I:I,Results_list!E196)))
/ (SUMIFS(SSP2_Baseline!$E:$E,SSP2_Baseline!$C:$C,Results_list!$C$193,SSP2_Baseline!$D:$D,Results_list!$D196,SSP2_Baseline!$B:$B,2025,SSP2_Baseline!I:I,Results_list!E196))</f>
        <v>-0.32661289343659805</v>
      </c>
      <c r="K196" s="16">
        <f>((SUMIFS(SSP2_VSI!$F:$F,SSP2_VSI!$C:$C,Results_list!$C$193,SSP2_VSI!$D:$D,Results_list!$D196,SSP2_VSI!$B:$B,2040,SSP2_VSI!I:I,Results_list!E196))
- (SUMIFS(SSP2_VSI!$F:$F,SSP2_VSI!$C:$C,Results_list!$C$193,SSP2_VSI!$D:$D,Results_list!$D196,SSP2_VSI!$B:$B,2025,SSP2_VSI!I:I,Results_list!E196)))
/ (SUMIFS(SSP2_VSI!$F:$F,SSP2_VSI!$C:$C,Results_list!$C$193,SSP2_VSI!$D:$D,Results_list!$D196,SSP2_VSI!$B:$B,2025,SSP2_VSI!I:I,Results_list!E196))</f>
        <v>-0.32659883560792091</v>
      </c>
      <c r="L196" s="13">
        <f t="shared" si="28"/>
        <v>0</v>
      </c>
      <c r="M196" s="12">
        <f>((SUMIFS(SSP5_Baseline!$E:$E,SSP5_Baseline!$C:$C,Results_list!$C$193,SSP5_Baseline!$D:$D,Results_list!$D196,SSP5_Baseline!$B:$B,2040,SSP5_Baseline!I:I,Results_list!E196))
- (SUMIFS(SSP5_Baseline!$E:$E,SSP5_Baseline!$C:$C,Results_list!$C$193,SSP5_Baseline!$D:$D,Results_list!$D196,SSP5_Baseline!$B:$B,2025,SSP5_Baseline!I:I,Results_list!E196)))
/ (SUMIFS(SSP5_Baseline!$E:$E,SSP5_Baseline!$C:$C,Results_list!$C$193,SSP5_Baseline!$D:$D,Results_list!$D196,SSP5_Baseline!$B:$B,2025,SSP5_Baseline!I:I,Results_list!E196))</f>
        <v>-0.29884366231214993</v>
      </c>
      <c r="N196" s="16">
        <f>((SUMIFS(SSP5_VSI!$F:$F,SSP5_VSI!$C:$C,Results_list!$C$193,SSP5_VSI!$D:$D,Results_list!$D196,SSP5_VSI!$B:$B,2040,SSP5_VSI!I:I,Results_list!E196))
- (SUMIFS(SSP5_VSI!$F:$F,SSP5_VSI!$C:$C,Results_list!$C$193,SSP5_VSI!$D:$D,Results_list!$D196,SSP5_VSI!$B:$B,2025,SSP5_VSI!I:I,Results_list!E196)))
/ (SUMIFS(SSP5_VSI!$F:$F,SSP5_VSI!$C:$C,Results_list!$C$193,SSP5_VSI!$D:$D,Results_list!$D196,SSP5_VSI!$B:$B,2025,SSP5_VSI!I:I,Results_list!E196))</f>
        <v>-0.29865924658394877</v>
      </c>
      <c r="O196" s="13">
        <f t="shared" si="29"/>
        <v>0</v>
      </c>
    </row>
    <row r="197" spans="2:15" x14ac:dyDescent="0.35">
      <c r="B197" s="83"/>
      <c r="C197" s="85"/>
      <c r="D197" t="s">
        <v>43</v>
      </c>
      <c r="E197" s="25" t="s">
        <v>70</v>
      </c>
      <c r="F197" s="3" t="s">
        <v>91</v>
      </c>
      <c r="G197" s="12">
        <f>((SUMIFS(SSP1_Baseline!$E:$E,SSP1_Baseline!$C:$C,Results_list!$C$193,SSP1_Baseline!$D:$D,Results_list!$D197,SSP1_Baseline!$B:$B,2040,SSP1_Baseline!I:I,Results_list!E197))
- (SUMIFS(SSP1_Baseline!$E:$E,SSP1_Baseline!$C:$C,Results_list!$C$193,SSP1_Baseline!$D:$D,Results_list!$D197,SSP1_Baseline!$B:$B,2025,SSP1_Baseline!I:I,Results_list!E197)))
/ (SUMIFS(SSP1_Baseline!$E:$E,SSP1_Baseline!$C:$C,Results_list!$C$193,SSP1_Baseline!$D:$D,Results_list!$D197,SSP1_Baseline!$B:$B,2025,SSP1_Baseline!I:I,Results_list!E197))</f>
        <v>-5.2836116087343912E-2</v>
      </c>
      <c r="H197" s="16">
        <f>((SUMIFS(SSP1_VSI!$F:$F,SSP1_VSI!$C:$C,Results_list!$C$193,SSP1_VSI!$D:$D,Results_list!$D197,SSP1_VSI!$B:$B,2040,SSP1_VSI!I:I,Results_list!E197))
- (SUMIFS(SSP1_VSI!$F:$F,SSP1_VSI!$C:$C,Results_list!$C$193,SSP1_VSI!$D:$D,Results_list!$D197,SSP1_VSI!$B:$B,2025,SSP1_VSI!I:I,Results_list!E197)))
/ (SUMIFS(SSP1_VSI!$F:$F,SSP1_VSI!$C:$C,Results_list!$C$193,SSP1_VSI!$D:$D,Results_list!$D197,SSP1_VSI!$B:$B,2025,SSP1_VSI!I:I,Results_list!E197))</f>
        <v>-5.2850193002484155E-2</v>
      </c>
      <c r="I197" s="13">
        <f t="shared" si="27"/>
        <v>0</v>
      </c>
      <c r="J197" s="12">
        <f>((SUMIFS(SSP2_Baseline!$E:$E,SSP2_Baseline!$C:$C,Results_list!$C$193,SSP2_Baseline!$D:$D,Results_list!$D197,SSP2_Baseline!$B:$B,2040,SSP2_Baseline!I:I,Results_list!E197))
- (SUMIFS(SSP2_Baseline!$E:$E,SSP2_Baseline!$C:$C,Results_list!$C$193,SSP2_Baseline!$D:$D,Results_list!$D197,SSP2_Baseline!$B:$B,2025,SSP2_Baseline!I:I,Results_list!E197)))
/ (SUMIFS(SSP2_Baseline!$E:$E,SSP2_Baseline!$C:$C,Results_list!$C$193,SSP2_Baseline!$D:$D,Results_list!$D197,SSP2_Baseline!$B:$B,2025,SSP2_Baseline!I:I,Results_list!E197))</f>
        <v>-4.2380880830381239E-2</v>
      </c>
      <c r="K197" s="16">
        <f>((SUMIFS(SSP2_VSI!$F:$F,SSP2_VSI!$C:$C,Results_list!$C$193,SSP2_VSI!$D:$D,Results_list!$D197,SSP2_VSI!$B:$B,2040,SSP2_VSI!I:I,Results_list!E197))
- (SUMIFS(SSP2_VSI!$F:$F,SSP2_VSI!$C:$C,Results_list!$C$193,SSP2_VSI!$D:$D,Results_list!$D197,SSP2_VSI!$B:$B,2025,SSP2_VSI!I:I,Results_list!E197)))
/ (SUMIFS(SSP2_VSI!$F:$F,SSP2_VSI!$C:$C,Results_list!$C$193,SSP2_VSI!$D:$D,Results_list!$D197,SSP2_VSI!$B:$B,2025,SSP2_VSI!I:I,Results_list!E197))</f>
        <v>-4.2367491933103768E-2</v>
      </c>
      <c r="L197" s="13">
        <f t="shared" si="28"/>
        <v>0</v>
      </c>
      <c r="M197" s="12">
        <f>((SUMIFS(SSP5_Baseline!$E:$E,SSP5_Baseline!$C:$C,Results_list!$C$193,SSP5_Baseline!$D:$D,Results_list!$D197,SSP5_Baseline!$B:$B,2040,SSP5_Baseline!I:I,Results_list!E197))
- (SUMIFS(SSP5_Baseline!$E:$E,SSP5_Baseline!$C:$C,Results_list!$C$193,SSP5_Baseline!$D:$D,Results_list!$D197,SSP5_Baseline!$B:$B,2025,SSP5_Baseline!I:I,Results_list!E197)))
/ (SUMIFS(SSP5_Baseline!$E:$E,SSP5_Baseline!$C:$C,Results_list!$C$193,SSP5_Baseline!$D:$D,Results_list!$D197,SSP5_Baseline!$B:$B,2025,SSP5_Baseline!I:I,Results_list!E197))</f>
        <v>1.1810484538794297E-2</v>
      </c>
      <c r="N197" s="16">
        <f>((SUMIFS(SSP5_VSI!$F:$F,SSP5_VSI!$C:$C,Results_list!$C$193,SSP5_VSI!$D:$D,Results_list!$D197,SSP5_VSI!$B:$B,2040,SSP5_VSI!I:I,Results_list!E197))
- (SUMIFS(SSP5_VSI!$F:$F,SSP5_VSI!$C:$C,Results_list!$C$193,SSP5_VSI!$D:$D,Results_list!$D197,SSP5_VSI!$B:$B,2025,SSP5_VSI!I:I,Results_list!E197)))
/ (SUMIFS(SSP5_VSI!$F:$F,SSP5_VSI!$C:$C,Results_list!$C$193,SSP5_VSI!$D:$D,Results_list!$D197,SSP5_VSI!$B:$B,2025,SSP5_VSI!I:I,Results_list!E197))</f>
        <v>1.1806706548715736E-2</v>
      </c>
      <c r="O197" s="13">
        <f t="shared" si="29"/>
        <v>0</v>
      </c>
    </row>
    <row r="198" spans="2:15" x14ac:dyDescent="0.35">
      <c r="B198" s="83"/>
      <c r="C198" s="85"/>
      <c r="D198" t="s">
        <v>136</v>
      </c>
      <c r="E198" s="25" t="s">
        <v>70</v>
      </c>
      <c r="F198" s="3" t="s">
        <v>92</v>
      </c>
      <c r="G198" s="12">
        <f>((SUMIFS(SSP1_Baseline!$E:$E,SSP1_Baseline!$C:$C,Results_list!$C$193,SSP1_Baseline!$D:$D,Results_list!$D198,SSP1_Baseline!$B:$B,2040,SSP1_Baseline!I:I,Results_list!E198))
- (SUMIFS(SSP1_Baseline!$E:$E,SSP1_Baseline!$C:$C,Results_list!$C$193,SSP1_Baseline!$D:$D,Results_list!$D198,SSP1_Baseline!$B:$B,2025,SSP1_Baseline!I:I,Results_list!E198)))
/ (SUMIFS(SSP1_Baseline!$E:$E,SSP1_Baseline!$C:$C,Results_list!$C$193,SSP1_Baseline!$D:$D,Results_list!$D198,SSP1_Baseline!$B:$B,2025,SSP1_Baseline!I:I,Results_list!E198))</f>
        <v>-0.21904344231043815</v>
      </c>
      <c r="H198" s="16">
        <f>((SUMIFS(SSP1_VSI!$F:$F,SSP1_VSI!$C:$C,Results_list!$C$193,SSP1_VSI!$D:$D,Results_list!$D198,SSP1_VSI!$B:$B,2040,SSP1_VSI!I:I,Results_list!E198))
- (SUMIFS(SSP1_VSI!$F:$F,SSP1_VSI!$C:$C,Results_list!$C$193,SSP1_VSI!$D:$D,Results_list!$D198,SSP1_VSI!$B:$B,2025,SSP1_VSI!I:I,Results_list!E198)))
/ (SUMIFS(SSP1_VSI!$F:$F,SSP1_VSI!$C:$C,Results_list!$C$193,SSP1_VSI!$D:$D,Results_list!$D198,SSP1_VSI!$B:$B,2025,SSP1_VSI!I:I,Results_list!E198))</f>
        <v>-0.21911840651449629</v>
      </c>
      <c r="I198" s="13">
        <f t="shared" si="27"/>
        <v>0</v>
      </c>
      <c r="J198" s="12">
        <f>((SUMIFS(SSP2_Baseline!$E:$E,SSP2_Baseline!$C:$C,Results_list!$C$193,SSP2_Baseline!$D:$D,Results_list!$D198,SSP2_Baseline!$B:$B,2040,SSP2_Baseline!I:I,Results_list!E198))
- (SUMIFS(SSP2_Baseline!$E:$E,SSP2_Baseline!$C:$C,Results_list!$C$193,SSP2_Baseline!$D:$D,Results_list!$D198,SSP2_Baseline!$B:$B,2025,SSP2_Baseline!I:I,Results_list!E198)))
/ (SUMIFS(SSP2_Baseline!$E:$E,SSP2_Baseline!$C:$C,Results_list!$C$193,SSP2_Baseline!$D:$D,Results_list!$D198,SSP2_Baseline!$B:$B,2025,SSP2_Baseline!I:I,Results_list!E198))</f>
        <v>-0.18475494948115276</v>
      </c>
      <c r="K198" s="16">
        <f>((SUMIFS(SSP2_VSI!$F:$F,SSP2_VSI!$C:$C,Results_list!$C$193,SSP2_VSI!$D:$D,Results_list!$D198,SSP2_VSI!$B:$B,2040,SSP2_VSI!I:I,Results_list!E198))
- (SUMIFS(SSP2_VSI!$F:$F,SSP2_VSI!$C:$C,Results_list!$C$193,SSP2_VSI!$D:$D,Results_list!$D198,SSP2_VSI!$B:$B,2025,SSP2_VSI!I:I,Results_list!E198)))
/ (SUMIFS(SSP2_VSI!$F:$F,SSP2_VSI!$C:$C,Results_list!$C$193,SSP2_VSI!$D:$D,Results_list!$D198,SSP2_VSI!$B:$B,2025,SSP2_VSI!I:I,Results_list!E198))</f>
        <v>-0.18474410381566833</v>
      </c>
      <c r="L198" s="13">
        <f t="shared" si="28"/>
        <v>0</v>
      </c>
      <c r="M198" s="12">
        <f>((SUMIFS(SSP5_Baseline!$E:$E,SSP5_Baseline!$C:$C,Results_list!$C$193,SSP5_Baseline!$D:$D,Results_list!$D198,SSP5_Baseline!$B:$B,2040,SSP5_Baseline!I:I,Results_list!E198))
- (SUMIFS(SSP5_Baseline!$E:$E,SSP5_Baseline!$C:$C,Results_list!$C$193,SSP5_Baseline!$D:$D,Results_list!$D198,SSP5_Baseline!$B:$B,2025,SSP5_Baseline!I:I,Results_list!E198)))
/ (SUMIFS(SSP5_Baseline!$E:$E,SSP5_Baseline!$C:$C,Results_list!$C$193,SSP5_Baseline!$D:$D,Results_list!$D198,SSP5_Baseline!$B:$B,2025,SSP5_Baseline!I:I,Results_list!E198))</f>
        <v>6.2861863375654359E-2</v>
      </c>
      <c r="N198" s="16">
        <f>((SUMIFS(SSP5_VSI!$F:$F,SSP5_VSI!$C:$C,Results_list!$C$193,SSP5_VSI!$D:$D,Results_list!$D198,SSP5_VSI!$B:$B,2040,SSP5_VSI!I:I,Results_list!E198))
- (SUMIFS(SSP5_VSI!$F:$F,SSP5_VSI!$C:$C,Results_list!$C$193,SSP5_VSI!$D:$D,Results_list!$D198,SSP5_VSI!$B:$B,2025,SSP5_VSI!I:I,Results_list!E198)))
/ (SUMIFS(SSP5_VSI!$F:$F,SSP5_VSI!$C:$C,Results_list!$C$193,SSP5_VSI!$D:$D,Results_list!$D198,SSP5_VSI!$B:$B,2025,SSP5_VSI!I:I,Results_list!E198))</f>
        <v>6.2883172819678104E-2</v>
      </c>
      <c r="O198" s="13">
        <f t="shared" si="29"/>
        <v>0</v>
      </c>
    </row>
    <row r="199" spans="2:15" x14ac:dyDescent="0.35">
      <c r="B199" s="83"/>
      <c r="C199" s="85"/>
      <c r="D199" t="s">
        <v>45</v>
      </c>
      <c r="E199" s="25" t="s">
        <v>70</v>
      </c>
      <c r="F199" s="3" t="s">
        <v>93</v>
      </c>
      <c r="G199" s="12">
        <f>((SUMIFS(SSP1_Baseline!$E:$E,SSP1_Baseline!$C:$C,Results_list!$C$193,SSP1_Baseline!$D:$D,Results_list!$D199,SSP1_Baseline!$B:$B,2040,SSP1_Baseline!I:I,Results_list!E199))
- (SUMIFS(SSP1_Baseline!$E:$E,SSP1_Baseline!$C:$C,Results_list!$C$193,SSP1_Baseline!$D:$D,Results_list!$D199,SSP1_Baseline!$B:$B,2025,SSP1_Baseline!I:I,Results_list!E199)))
/ (SUMIFS(SSP1_Baseline!$E:$E,SSP1_Baseline!$C:$C,Results_list!$C$193,SSP1_Baseline!$D:$D,Results_list!$D199,SSP1_Baseline!$B:$B,2025,SSP1_Baseline!I:I,Results_list!E199))</f>
        <v>-3.6122443002751972E-3</v>
      </c>
      <c r="H199" s="16">
        <f>((SUMIFS(SSP1_VSI!$F:$F,SSP1_VSI!$C:$C,Results_list!$C$193,SSP1_VSI!$D:$D,Results_list!$D199,SSP1_VSI!$B:$B,2040,SSP1_VSI!I:I,Results_list!E199))
- (SUMIFS(SSP1_VSI!$F:$F,SSP1_VSI!$C:$C,Results_list!$C$193,SSP1_VSI!$D:$D,Results_list!$D199,SSP1_VSI!$B:$B,2025,SSP1_VSI!I:I,Results_list!E199)))
/ (SUMIFS(SSP1_VSI!$F:$F,SSP1_VSI!$C:$C,Results_list!$C$193,SSP1_VSI!$D:$D,Results_list!$D199,SSP1_VSI!$B:$B,2025,SSP1_VSI!I:I,Results_list!E199))</f>
        <v>-0.90426325964706422</v>
      </c>
      <c r="I199" s="13">
        <f t="shared" si="27"/>
        <v>-0.90100000000000002</v>
      </c>
      <c r="J199" s="12">
        <f>((SUMIFS(SSP2_Baseline!$E:$E,SSP2_Baseline!$C:$C,Results_list!$C$193,SSP2_Baseline!$D:$D,Results_list!$D199,SSP2_Baseline!$B:$B,2040,SSP2_Baseline!I:I,Results_list!E199))
- (SUMIFS(SSP2_Baseline!$E:$E,SSP2_Baseline!$C:$C,Results_list!$C$193,SSP2_Baseline!$D:$D,Results_list!$D199,SSP2_Baseline!$B:$B,2025,SSP2_Baseline!I:I,Results_list!E199)))
/ (SUMIFS(SSP2_Baseline!$E:$E,SSP2_Baseline!$C:$C,Results_list!$C$193,SSP2_Baseline!$D:$D,Results_list!$D199,SSP2_Baseline!$B:$B,2025,SSP2_Baseline!I:I,Results_list!E199))</f>
        <v>-3.6391607420875891E-3</v>
      </c>
      <c r="K199" s="16">
        <f>((SUMIFS(SSP2_VSI!$F:$F,SSP2_VSI!$C:$C,Results_list!$C$193,SSP2_VSI!$D:$D,Results_list!$D199,SSP2_VSI!$B:$B,2040,SSP2_VSI!I:I,Results_list!E199))
- (SUMIFS(SSP2_VSI!$F:$F,SSP2_VSI!$C:$C,Results_list!$C$193,SSP2_VSI!$D:$D,Results_list!$D199,SSP2_VSI!$B:$B,2025,SSP2_VSI!I:I,Results_list!E199)))
/ (SUMIFS(SSP2_VSI!$F:$F,SSP2_VSI!$C:$C,Results_list!$C$193,SSP2_VSI!$D:$D,Results_list!$D199,SSP2_VSI!$B:$B,2025,SSP2_VSI!I:I,Results_list!E199))</f>
        <v>-0.90382542368142493</v>
      </c>
      <c r="L199" s="13">
        <f t="shared" si="28"/>
        <v>-0.9</v>
      </c>
      <c r="M199" s="12">
        <f>((SUMIFS(SSP5_Baseline!$E:$E,SSP5_Baseline!$C:$C,Results_list!$C$193,SSP5_Baseline!$D:$D,Results_list!$D199,SSP5_Baseline!$B:$B,2040,SSP5_Baseline!I:I,Results_list!E199))
- (SUMIFS(SSP5_Baseline!$E:$E,SSP5_Baseline!$C:$C,Results_list!$C$193,SSP5_Baseline!$D:$D,Results_list!$D199,SSP5_Baseline!$B:$B,2025,SSP5_Baseline!I:I,Results_list!E199)))
/ (SUMIFS(SSP5_Baseline!$E:$E,SSP5_Baseline!$C:$C,Results_list!$C$193,SSP5_Baseline!$D:$D,Results_list!$D199,SSP5_Baseline!$B:$B,2025,SSP5_Baseline!I:I,Results_list!E199))</f>
        <v>-6.6855924258683354E-4</v>
      </c>
      <c r="N199" s="16">
        <f>((SUMIFS(SSP5_VSI!$F:$F,SSP5_VSI!$C:$C,Results_list!$C$193,SSP5_VSI!$D:$D,Results_list!$D199,SSP5_VSI!$B:$B,2040,SSP5_VSI!I:I,Results_list!E199))
- (SUMIFS(SSP5_VSI!$F:$F,SSP5_VSI!$C:$C,Results_list!$C$193,SSP5_VSI!$D:$D,Results_list!$D199,SSP5_VSI!$B:$B,2025,SSP5_VSI!I:I,Results_list!E199)))
/ (SUMIFS(SSP5_VSI!$F:$F,SSP5_VSI!$C:$C,Results_list!$C$193,SSP5_VSI!$D:$D,Results_list!$D199,SSP5_VSI!$B:$B,2025,SSP5_VSI!I:I,Results_list!E199))</f>
        <v>-0.90238075248565486</v>
      </c>
      <c r="O199" s="13">
        <f t="shared" si="29"/>
        <v>-0.9</v>
      </c>
    </row>
    <row r="200" spans="2:15" x14ac:dyDescent="0.35">
      <c r="B200" s="83"/>
      <c r="C200" s="85"/>
      <c r="D200" t="s">
        <v>46</v>
      </c>
      <c r="E200" s="25" t="s">
        <v>70</v>
      </c>
      <c r="F200" s="3" t="s">
        <v>94</v>
      </c>
      <c r="G200" s="12">
        <f>((SUMIFS(SSP1_Baseline!$E:$E,SSP1_Baseline!$C:$C,Results_list!$C$193,SSP1_Baseline!$D:$D,Results_list!$D200,SSP1_Baseline!$B:$B,2040,SSP1_Baseline!I:I,Results_list!E200))
- (SUMIFS(SSP1_Baseline!$E:$E,SSP1_Baseline!$C:$C,Results_list!$C$193,SSP1_Baseline!$D:$D,Results_list!$D200,SSP1_Baseline!$B:$B,2025,SSP1_Baseline!I:I,Results_list!E200)))
/ (SUMIFS(SSP1_Baseline!$E:$E,SSP1_Baseline!$C:$C,Results_list!$C$193,SSP1_Baseline!$D:$D,Results_list!$D200,SSP1_Baseline!$B:$B,2025,SSP1_Baseline!I:I,Results_list!E200))</f>
        <v>2.9751593042402908</v>
      </c>
      <c r="H200" s="16">
        <f>((SUMIFS(SSP1_VSI!$F:$F,SSP1_VSI!$C:$C,Results_list!$C$193,SSP1_VSI!$D:$D,Results_list!$D200,SSP1_VSI!$B:$B,2040,SSP1_VSI!I:I,Results_list!E200))
- (SUMIFS(SSP1_VSI!$F:$F,SSP1_VSI!$C:$C,Results_list!$C$193,SSP1_VSI!$D:$D,Results_list!$D200,SSP1_VSI!$B:$B,2025,SSP1_VSI!I:I,Results_list!E200)))
/ (SUMIFS(SSP1_VSI!$F:$F,SSP1_VSI!$C:$C,Results_list!$C$193,SSP1_VSI!$D:$D,Results_list!$D200,SSP1_VSI!$B:$B,2025,SSP1_VSI!I:I,Results_list!E200))</f>
        <v>2.9750386817022547</v>
      </c>
      <c r="I200" s="13">
        <f t="shared" si="27"/>
        <v>0</v>
      </c>
      <c r="J200" s="12">
        <f>((SUMIFS(SSP2_Baseline!$E:$E,SSP2_Baseline!$C:$C,Results_list!$C$193,SSP2_Baseline!$D:$D,Results_list!$D200,SSP2_Baseline!$B:$B,2040,SSP2_Baseline!I:I,Results_list!E200))
- (SUMIFS(SSP2_Baseline!$E:$E,SSP2_Baseline!$C:$C,Results_list!$C$193,SSP2_Baseline!$D:$D,Results_list!$D200,SSP2_Baseline!$B:$B,2025,SSP2_Baseline!I:I,Results_list!E200)))
/ (SUMIFS(SSP2_Baseline!$E:$E,SSP2_Baseline!$C:$C,Results_list!$C$193,SSP2_Baseline!$D:$D,Results_list!$D200,SSP2_Baseline!$B:$B,2025,SSP2_Baseline!I:I,Results_list!E200))</f>
        <v>3.7994202214901205</v>
      </c>
      <c r="K200" s="16">
        <f>((SUMIFS(SSP2_VSI!$F:$F,SSP2_VSI!$C:$C,Results_list!$C$193,SSP2_VSI!$D:$D,Results_list!$D200,SSP2_VSI!$B:$B,2040,SSP2_VSI!I:I,Results_list!E200))
- (SUMIFS(SSP2_VSI!$F:$F,SSP2_VSI!$C:$C,Results_list!$C$193,SSP2_VSI!$D:$D,Results_list!$D200,SSP2_VSI!$B:$B,2025,SSP2_VSI!I:I,Results_list!E200)))
/ (SUMIFS(SSP2_VSI!$F:$F,SSP2_VSI!$C:$C,Results_list!$C$193,SSP2_VSI!$D:$D,Results_list!$D200,SSP2_VSI!$B:$B,2025,SSP2_VSI!I:I,Results_list!E200))</f>
        <v>3.7991460198799918</v>
      </c>
      <c r="L200" s="13">
        <f t="shared" si="28"/>
        <v>0</v>
      </c>
      <c r="M200" s="12">
        <f>((SUMIFS(SSP5_Baseline!$E:$E,SSP5_Baseline!$C:$C,Results_list!$C$193,SSP5_Baseline!$D:$D,Results_list!$D200,SSP5_Baseline!$B:$B,2040,SSP5_Baseline!I:I,Results_list!E200))
- (SUMIFS(SSP5_Baseline!$E:$E,SSP5_Baseline!$C:$C,Results_list!$C$193,SSP5_Baseline!$D:$D,Results_list!$D200,SSP5_Baseline!$B:$B,2025,SSP5_Baseline!I:I,Results_list!E200)))
/ (SUMIFS(SSP5_Baseline!$E:$E,SSP5_Baseline!$C:$C,Results_list!$C$193,SSP5_Baseline!$D:$D,Results_list!$D200,SSP5_Baseline!$B:$B,2025,SSP5_Baseline!I:I,Results_list!E200))</f>
        <v>1.6623530731421354</v>
      </c>
      <c r="N200" s="16">
        <f>((SUMIFS(SSP5_VSI!$F:$F,SSP5_VSI!$C:$C,Results_list!$C$193,SSP5_VSI!$D:$D,Results_list!$D200,SSP5_VSI!$B:$B,2040,SSP5_VSI!I:I,Results_list!E200))
- (SUMIFS(SSP5_VSI!$F:$F,SSP5_VSI!$C:$C,Results_list!$C$193,SSP5_VSI!$D:$D,Results_list!$D200,SSP5_VSI!$B:$B,2025,SSP5_VSI!I:I,Results_list!E200)))
/ (SUMIFS(SSP5_VSI!$F:$F,SSP5_VSI!$C:$C,Results_list!$C$193,SSP5_VSI!$D:$D,Results_list!$D200,SSP5_VSI!$B:$B,2025,SSP5_VSI!I:I,Results_list!E200))</f>
        <v>1.6622768810607402</v>
      </c>
      <c r="O200" s="13">
        <f t="shared" si="29"/>
        <v>0</v>
      </c>
    </row>
    <row r="201" spans="2:15" x14ac:dyDescent="0.35">
      <c r="B201" s="83"/>
      <c r="C201" s="85"/>
      <c r="D201" t="s">
        <v>47</v>
      </c>
      <c r="E201" s="25" t="s">
        <v>70</v>
      </c>
      <c r="F201" s="3" t="s">
        <v>95</v>
      </c>
      <c r="G201" s="12">
        <f>((SUMIFS(SSP1_Baseline!$E:$E,SSP1_Baseline!$C:$C,Results_list!$C$193,SSP1_Baseline!$D:$D,Results_list!$D201,SSP1_Baseline!$B:$B,2040,SSP1_Baseline!I:I,Results_list!E201))
- (SUMIFS(SSP1_Baseline!$E:$E,SSP1_Baseline!$C:$C,Results_list!$C$193,SSP1_Baseline!$D:$D,Results_list!$D201,SSP1_Baseline!$B:$B,2025,SSP1_Baseline!I:I,Results_list!E201)))
/ (SUMIFS(SSP1_Baseline!$E:$E,SSP1_Baseline!$C:$C,Results_list!$C$193,SSP1_Baseline!$D:$D,Results_list!$D201,SSP1_Baseline!$B:$B,2025,SSP1_Baseline!I:I,Results_list!E201))</f>
        <v>-0.53999557366443751</v>
      </c>
      <c r="H201" s="16">
        <f>((SUMIFS(SSP1_VSI!$F:$F,SSP1_VSI!$C:$C,Results_list!$C$193,SSP1_VSI!$D:$D,Results_list!$D201,SSP1_VSI!$B:$B,2040,SSP1_VSI!I:I,Results_list!E201))
- (SUMIFS(SSP1_VSI!$F:$F,SSP1_VSI!$C:$C,Results_list!$C$193,SSP1_VSI!$D:$D,Results_list!$D201,SSP1_VSI!$B:$B,2025,SSP1_VSI!I:I,Results_list!E201)))
/ (SUMIFS(SSP1_VSI!$F:$F,SSP1_VSI!$C:$C,Results_list!$C$193,SSP1_VSI!$D:$D,Results_list!$D201,SSP1_VSI!$B:$B,2025,SSP1_VSI!I:I,Results_list!E201))</f>
        <v>-0.53994196953031903</v>
      </c>
      <c r="I201" s="13">
        <f t="shared" si="27"/>
        <v>0</v>
      </c>
      <c r="J201" s="12">
        <f>((SUMIFS(SSP2_Baseline!$E:$E,SSP2_Baseline!$C:$C,Results_list!$C$193,SSP2_Baseline!$D:$D,Results_list!$D201,SSP2_Baseline!$B:$B,2040,SSP2_Baseline!I:I,Results_list!E201))
- (SUMIFS(SSP2_Baseline!$E:$E,SSP2_Baseline!$C:$C,Results_list!$C$193,SSP2_Baseline!$D:$D,Results_list!$D201,SSP2_Baseline!$B:$B,2025,SSP2_Baseline!I:I,Results_list!E201)))
/ (SUMIFS(SSP2_Baseline!$E:$E,SSP2_Baseline!$C:$C,Results_list!$C$193,SSP2_Baseline!$D:$D,Results_list!$D201,SSP2_Baseline!$B:$B,2025,SSP2_Baseline!I:I,Results_list!E201))</f>
        <v>-0.44167798819894971</v>
      </c>
      <c r="K201" s="16">
        <f>((SUMIFS(SSP2_VSI!$F:$F,SSP2_VSI!$C:$C,Results_list!$C$193,SSP2_VSI!$D:$D,Results_list!$D201,SSP2_VSI!$B:$B,2040,SSP2_VSI!I:I,Results_list!E201))
- (SUMIFS(SSP2_VSI!$F:$F,SSP2_VSI!$C:$C,Results_list!$C$193,SSP2_VSI!$D:$D,Results_list!$D201,SSP2_VSI!$B:$B,2025,SSP2_VSI!I:I,Results_list!E201)))
/ (SUMIFS(SSP2_VSI!$F:$F,SSP2_VSI!$C:$C,Results_list!$C$193,SSP2_VSI!$D:$D,Results_list!$D201,SSP2_VSI!$B:$B,2025,SSP2_VSI!I:I,Results_list!E201))</f>
        <v>-0.44165536654280557</v>
      </c>
      <c r="L201" s="13">
        <f t="shared" si="28"/>
        <v>0</v>
      </c>
      <c r="M201" s="12">
        <f>((SUMIFS(SSP5_Baseline!$E:$E,SSP5_Baseline!$C:$C,Results_list!$C$193,SSP5_Baseline!$D:$D,Results_list!$D201,SSP5_Baseline!$B:$B,2040,SSP5_Baseline!I:I,Results_list!E201))
- (SUMIFS(SSP5_Baseline!$E:$E,SSP5_Baseline!$C:$C,Results_list!$C$193,SSP5_Baseline!$D:$D,Results_list!$D201,SSP5_Baseline!$B:$B,2025,SSP5_Baseline!I:I,Results_list!E201)))
/ (SUMIFS(SSP5_Baseline!$E:$E,SSP5_Baseline!$C:$C,Results_list!$C$193,SSP5_Baseline!$D:$D,Results_list!$D201,SSP5_Baseline!$B:$B,2025,SSP5_Baseline!I:I,Results_list!E201))</f>
        <v>-0.45184468373740394</v>
      </c>
      <c r="N201" s="16">
        <f>((SUMIFS(SSP5_VSI!$F:$F,SSP5_VSI!$C:$C,Results_list!$C$193,SSP5_VSI!$D:$D,Results_list!$D201,SSP5_VSI!$B:$B,2040,SSP5_VSI!I:I,Results_list!E201))
- (SUMIFS(SSP5_VSI!$F:$F,SSP5_VSI!$C:$C,Results_list!$C$193,SSP5_VSI!$D:$D,Results_list!$D201,SSP5_VSI!$B:$B,2025,SSP5_VSI!I:I,Results_list!E201)))
/ (SUMIFS(SSP5_VSI!$F:$F,SSP5_VSI!$C:$C,Results_list!$C$193,SSP5_VSI!$D:$D,Results_list!$D201,SSP5_VSI!$B:$B,2025,SSP5_VSI!I:I,Results_list!E201))</f>
        <v>-0.45152266547026448</v>
      </c>
      <c r="O201" s="13">
        <f t="shared" si="29"/>
        <v>0</v>
      </c>
    </row>
    <row r="202" spans="2:15" x14ac:dyDescent="0.35">
      <c r="B202" s="83"/>
      <c r="C202" s="85"/>
      <c r="D202" t="s">
        <v>48</v>
      </c>
      <c r="E202" s="25" t="s">
        <v>70</v>
      </c>
      <c r="F202" s="3" t="s">
        <v>96</v>
      </c>
      <c r="G202" s="12">
        <f>((SUMIFS(SSP1_Baseline!$E:$E,SSP1_Baseline!$C:$C,Results_list!$C$193,SSP1_Baseline!$D:$D,Results_list!$D202,SSP1_Baseline!$B:$B,2040,SSP1_Baseline!I:I,Results_list!E202))
- (SUMIFS(SSP1_Baseline!$E:$E,SSP1_Baseline!$C:$C,Results_list!$C$193,SSP1_Baseline!$D:$D,Results_list!$D202,SSP1_Baseline!$B:$B,2025,SSP1_Baseline!I:I,Results_list!E202)))
/ (SUMIFS(SSP1_Baseline!$E:$E,SSP1_Baseline!$C:$C,Results_list!$C$193,SSP1_Baseline!$D:$D,Results_list!$D202,SSP1_Baseline!$B:$B,2025,SSP1_Baseline!I:I,Results_list!E202))</f>
        <v>1.9241169055940822E-3</v>
      </c>
      <c r="H202" s="16">
        <f>((SUMIFS(SSP1_VSI!$F:$F,SSP1_VSI!$C:$C,Results_list!$C$193,SSP1_VSI!$D:$D,Results_list!$D202,SSP1_VSI!$B:$B,2040,SSP1_VSI!I:I,Results_list!E202))
- (SUMIFS(SSP1_VSI!$F:$F,SSP1_VSI!$C:$C,Results_list!$C$193,SSP1_VSI!$D:$D,Results_list!$D202,SSP1_VSI!$B:$B,2025,SSP1_VSI!I:I,Results_list!E202)))
/ (SUMIFS(SSP1_VSI!$F:$F,SSP1_VSI!$C:$C,Results_list!$C$193,SSP1_VSI!$D:$D,Results_list!$D202,SSP1_VSI!$B:$B,2025,SSP1_VSI!I:I,Results_list!E202))</f>
        <v>1.9282937297977461E-3</v>
      </c>
      <c r="I202" s="13">
        <f t="shared" si="27"/>
        <v>0</v>
      </c>
      <c r="J202" s="12">
        <f>((SUMIFS(SSP2_Baseline!$E:$E,SSP2_Baseline!$C:$C,Results_list!$C$193,SSP2_Baseline!$D:$D,Results_list!$D202,SSP2_Baseline!$B:$B,2040,SSP2_Baseline!I:I,Results_list!E202))
- (SUMIFS(SSP2_Baseline!$E:$E,SSP2_Baseline!$C:$C,Results_list!$C$193,SSP2_Baseline!$D:$D,Results_list!$D202,SSP2_Baseline!$B:$B,2025,SSP2_Baseline!I:I,Results_list!E202)))
/ (SUMIFS(SSP2_Baseline!$E:$E,SSP2_Baseline!$C:$C,Results_list!$C$193,SSP2_Baseline!$D:$D,Results_list!$D202,SSP2_Baseline!$B:$B,2025,SSP2_Baseline!I:I,Results_list!E202))</f>
        <v>-2.0032589249330261E-2</v>
      </c>
      <c r="K202" s="16">
        <f>((SUMIFS(SSP2_VSI!$F:$F,SSP2_VSI!$C:$C,Results_list!$C$193,SSP2_VSI!$D:$D,Results_list!$D202,SSP2_VSI!$B:$B,2040,SSP2_VSI!I:I,Results_list!E202))
- (SUMIFS(SSP2_VSI!$F:$F,SSP2_VSI!$C:$C,Results_list!$C$193,SSP2_VSI!$D:$D,Results_list!$D202,SSP2_VSI!$B:$B,2025,SSP2_VSI!I:I,Results_list!E202)))
/ (SUMIFS(SSP2_VSI!$F:$F,SSP2_VSI!$C:$C,Results_list!$C$193,SSP2_VSI!$D:$D,Results_list!$D202,SSP2_VSI!$B:$B,2025,SSP2_VSI!I:I,Results_list!E202))</f>
        <v>-2.0021408397722529E-2</v>
      </c>
      <c r="L202" s="13">
        <f t="shared" si="28"/>
        <v>0</v>
      </c>
      <c r="M202" s="12">
        <f>((SUMIFS(SSP5_Baseline!$E:$E,SSP5_Baseline!$C:$C,Results_list!$C$193,SSP5_Baseline!$D:$D,Results_list!$D202,SSP5_Baseline!$B:$B,2040,SSP5_Baseline!I:I,Results_list!E202))
- (SUMIFS(SSP5_Baseline!$E:$E,SSP5_Baseline!$C:$C,Results_list!$C$193,SSP5_Baseline!$D:$D,Results_list!$D202,SSP5_Baseline!$B:$B,2025,SSP5_Baseline!I:I,Results_list!E202)))
/ (SUMIFS(SSP5_Baseline!$E:$E,SSP5_Baseline!$C:$C,Results_list!$C$193,SSP5_Baseline!$D:$D,Results_list!$D202,SSP5_Baseline!$B:$B,2025,SSP5_Baseline!I:I,Results_list!E202))</f>
        <v>-2.3481506369006824E-2</v>
      </c>
      <c r="N202" s="16">
        <f>((SUMIFS(SSP5_VSI!$F:$F,SSP5_VSI!$C:$C,Results_list!$C$193,SSP5_VSI!$D:$D,Results_list!$D202,SSP5_VSI!$B:$B,2040,SSP5_VSI!I:I,Results_list!E202))
- (SUMIFS(SSP5_VSI!$F:$F,SSP5_VSI!$C:$C,Results_list!$C$193,SSP5_VSI!$D:$D,Results_list!$D202,SSP5_VSI!$B:$B,2025,SSP5_VSI!I:I,Results_list!E202)))
/ (SUMIFS(SSP5_VSI!$F:$F,SSP5_VSI!$C:$C,Results_list!$C$193,SSP5_VSI!$D:$D,Results_list!$D202,SSP5_VSI!$B:$B,2025,SSP5_VSI!I:I,Results_list!E202))</f>
        <v>-2.3472868295165306E-2</v>
      </c>
      <c r="O202" s="13">
        <f t="shared" si="29"/>
        <v>0</v>
      </c>
    </row>
    <row r="203" spans="2:15" x14ac:dyDescent="0.35">
      <c r="B203" s="83"/>
      <c r="C203" s="85"/>
      <c r="D203" t="s">
        <v>49</v>
      </c>
      <c r="E203" s="25" t="s">
        <v>70</v>
      </c>
      <c r="F203" s="3" t="s">
        <v>97</v>
      </c>
      <c r="G203" s="12">
        <f>((SUMIFS(SSP1_Baseline!$E:$E,SSP1_Baseline!$C:$C,Results_list!$C$193,SSP1_Baseline!$D:$D,Results_list!$D203,SSP1_Baseline!$B:$B,2040,SSP1_Baseline!I:I,Results_list!E203))
- (SUMIFS(SSP1_Baseline!$E:$E,SSP1_Baseline!$C:$C,Results_list!$C$193,SSP1_Baseline!$D:$D,Results_list!$D203,SSP1_Baseline!$B:$B,2025,SSP1_Baseline!I:I,Results_list!E203)))
/ (SUMIFS(SSP1_Baseline!$E:$E,SSP1_Baseline!$C:$C,Results_list!$C$193,SSP1_Baseline!$D:$D,Results_list!$D203,SSP1_Baseline!$B:$B,2025,SSP1_Baseline!I:I,Results_list!E203))</f>
        <v>-8.2563195561787733E-2</v>
      </c>
      <c r="H203" s="16">
        <f>((SUMIFS(SSP1_VSI!$F:$F,SSP1_VSI!$C:$C,Results_list!$C$193,SSP1_VSI!$D:$D,Results_list!$D203,SSP1_VSI!$B:$B,2040,SSP1_VSI!I:I,Results_list!E203))
- (SUMIFS(SSP1_VSI!$F:$F,SSP1_VSI!$C:$C,Results_list!$C$193,SSP1_VSI!$D:$D,Results_list!$D203,SSP1_VSI!$B:$B,2025,SSP1_VSI!I:I,Results_list!E203)))
/ (SUMIFS(SSP1_VSI!$F:$F,SSP1_VSI!$C:$C,Results_list!$C$193,SSP1_VSI!$D:$D,Results_list!$D203,SSP1_VSI!$B:$B,2025,SSP1_VSI!I:I,Results_list!E203))</f>
        <v>-8.2637060604276044E-2</v>
      </c>
      <c r="I203" s="13">
        <f t="shared" si="27"/>
        <v>0</v>
      </c>
      <c r="J203" s="12">
        <f>((SUMIFS(SSP2_Baseline!$E:$E,SSP2_Baseline!$C:$C,Results_list!$C$193,SSP2_Baseline!$D:$D,Results_list!$D203,SSP2_Baseline!$B:$B,2040,SSP2_Baseline!I:I,Results_list!E203))
- (SUMIFS(SSP2_Baseline!$E:$E,SSP2_Baseline!$C:$C,Results_list!$C$193,SSP2_Baseline!$D:$D,Results_list!$D203,SSP2_Baseline!$B:$B,2025,SSP2_Baseline!I:I,Results_list!E203)))
/ (SUMIFS(SSP2_Baseline!$E:$E,SSP2_Baseline!$C:$C,Results_list!$C$193,SSP2_Baseline!$D:$D,Results_list!$D203,SSP2_Baseline!$B:$B,2025,SSP2_Baseline!I:I,Results_list!E203))</f>
        <v>-7.8176022031667528E-2</v>
      </c>
      <c r="K203" s="16">
        <f>((SUMIFS(SSP2_VSI!$F:$F,SSP2_VSI!$C:$C,Results_list!$C$193,SSP2_VSI!$D:$D,Results_list!$D203,SSP2_VSI!$B:$B,2040,SSP2_VSI!I:I,Results_list!E203))
- (SUMIFS(SSP2_VSI!$F:$F,SSP2_VSI!$C:$C,Results_list!$C$193,SSP2_VSI!$D:$D,Results_list!$D203,SSP2_VSI!$B:$B,2025,SSP2_VSI!I:I,Results_list!E203)))
/ (SUMIFS(SSP2_VSI!$F:$F,SSP2_VSI!$C:$C,Results_list!$C$193,SSP2_VSI!$D:$D,Results_list!$D203,SSP2_VSI!$B:$B,2025,SSP2_VSI!I:I,Results_list!E203))</f>
        <v>-7.8163036635492386E-2</v>
      </c>
      <c r="L203" s="13">
        <f t="shared" si="28"/>
        <v>0</v>
      </c>
      <c r="M203" s="12">
        <f>((SUMIFS(SSP5_Baseline!$E:$E,SSP5_Baseline!$C:$C,Results_list!$C$193,SSP5_Baseline!$D:$D,Results_list!$D203,SSP5_Baseline!$B:$B,2040,SSP5_Baseline!I:I,Results_list!E203))
- (SUMIFS(SSP5_Baseline!$E:$E,SSP5_Baseline!$C:$C,Results_list!$C$193,SSP5_Baseline!$D:$D,Results_list!$D203,SSP5_Baseline!$B:$B,2025,SSP5_Baseline!I:I,Results_list!E203)))
/ (SUMIFS(SSP5_Baseline!$E:$E,SSP5_Baseline!$C:$C,Results_list!$C$193,SSP5_Baseline!$D:$D,Results_list!$D203,SSP5_Baseline!$B:$B,2025,SSP5_Baseline!I:I,Results_list!E203))</f>
        <v>-7.160489237077434E-3</v>
      </c>
      <c r="N203" s="16">
        <f>((SUMIFS(SSP5_VSI!$F:$F,SSP5_VSI!$C:$C,Results_list!$C$193,SSP5_VSI!$D:$D,Results_list!$D203,SSP5_VSI!$B:$B,2040,SSP5_VSI!I:I,Results_list!E203))
- (SUMIFS(SSP5_VSI!$F:$F,SSP5_VSI!$C:$C,Results_list!$C$193,SSP5_VSI!$D:$D,Results_list!$D203,SSP5_VSI!$B:$B,2025,SSP5_VSI!I:I,Results_list!E203)))
/ (SUMIFS(SSP5_VSI!$F:$F,SSP5_VSI!$C:$C,Results_list!$C$193,SSP5_VSI!$D:$D,Results_list!$D203,SSP5_VSI!$B:$B,2025,SSP5_VSI!I:I,Results_list!E203))</f>
        <v>-7.2244703718958624E-3</v>
      </c>
      <c r="O203" s="13">
        <f t="shared" si="29"/>
        <v>0</v>
      </c>
    </row>
    <row r="204" spans="2:15" x14ac:dyDescent="0.35">
      <c r="B204" s="83"/>
      <c r="C204" s="85"/>
      <c r="D204" t="s">
        <v>50</v>
      </c>
      <c r="E204" s="25" t="s">
        <v>70</v>
      </c>
      <c r="F204" s="3" t="s">
        <v>98</v>
      </c>
      <c r="G204" s="12">
        <f>((SUMIFS(SSP1_Baseline!$E:$E,SSP1_Baseline!$C:$C,Results_list!$C$193,SSP1_Baseline!$D:$D,Results_list!$D204,SSP1_Baseline!$B:$B,2040,SSP1_Baseline!I:I,Results_list!E204))
- (SUMIFS(SSP1_Baseline!$E:$E,SSP1_Baseline!$C:$C,Results_list!$C$193,SSP1_Baseline!$D:$D,Results_list!$D204,SSP1_Baseline!$B:$B,2025,SSP1_Baseline!I:I,Results_list!E204)))
/ (SUMIFS(SSP1_Baseline!$E:$E,SSP1_Baseline!$C:$C,Results_list!$C$193,SSP1_Baseline!$D:$D,Results_list!$D204,SSP1_Baseline!$B:$B,2025,SSP1_Baseline!I:I,Results_list!E204))</f>
        <v>-9.4877194973081488E-2</v>
      </c>
      <c r="H204" s="16">
        <f>((SUMIFS(SSP1_VSI!$F:$F,SSP1_VSI!$C:$C,Results_list!$C$193,SSP1_VSI!$D:$D,Results_list!$D204,SSP1_VSI!$B:$B,2040,SSP1_VSI!I:I,Results_list!E204))
- (SUMIFS(SSP1_VSI!$F:$F,SSP1_VSI!$C:$C,Results_list!$C$193,SSP1_VSI!$D:$D,Results_list!$D204,SSP1_VSI!$B:$B,2025,SSP1_VSI!I:I,Results_list!E204)))
/ (SUMIFS(SSP1_VSI!$F:$F,SSP1_VSI!$C:$C,Results_list!$C$193,SSP1_VSI!$D:$D,Results_list!$D204,SSP1_VSI!$B:$B,2025,SSP1_VSI!I:I,Results_list!E204))</f>
        <v>-9.488285501938297E-2</v>
      </c>
      <c r="I204" s="13">
        <f t="shared" si="27"/>
        <v>0</v>
      </c>
      <c r="J204" s="12">
        <f>((SUMIFS(SSP2_Baseline!$E:$E,SSP2_Baseline!$C:$C,Results_list!$C$193,SSP2_Baseline!$D:$D,Results_list!$D204,SSP2_Baseline!$B:$B,2040,SSP2_Baseline!I:I,Results_list!E204))
- (SUMIFS(SSP2_Baseline!$E:$E,SSP2_Baseline!$C:$C,Results_list!$C$193,SSP2_Baseline!$D:$D,Results_list!$D204,SSP2_Baseline!$B:$B,2025,SSP2_Baseline!I:I,Results_list!E204)))
/ (SUMIFS(SSP2_Baseline!$E:$E,SSP2_Baseline!$C:$C,Results_list!$C$193,SSP2_Baseline!$D:$D,Results_list!$D204,SSP2_Baseline!$B:$B,2025,SSP2_Baseline!I:I,Results_list!E204))</f>
        <v>-8.287410443540906E-2</v>
      </c>
      <c r="K204" s="16">
        <f>((SUMIFS(SSP2_VSI!$F:$F,SSP2_VSI!$C:$C,Results_list!$C$193,SSP2_VSI!$D:$D,Results_list!$D204,SSP2_VSI!$B:$B,2040,SSP2_VSI!I:I,Results_list!E204))
- (SUMIFS(SSP2_VSI!$F:$F,SSP2_VSI!$C:$C,Results_list!$C$193,SSP2_VSI!$D:$D,Results_list!$D204,SSP2_VSI!$B:$B,2025,SSP2_VSI!I:I,Results_list!E204)))
/ (SUMIFS(SSP2_VSI!$F:$F,SSP2_VSI!$C:$C,Results_list!$C$193,SSP2_VSI!$D:$D,Results_list!$D204,SSP2_VSI!$B:$B,2025,SSP2_VSI!I:I,Results_list!E204))</f>
        <v>-8.2873067647400711E-2</v>
      </c>
      <c r="L204" s="13">
        <f t="shared" si="28"/>
        <v>0</v>
      </c>
      <c r="M204" s="12">
        <f>((SUMIFS(SSP5_Baseline!$E:$E,SSP5_Baseline!$C:$C,Results_list!$C$193,SSP5_Baseline!$D:$D,Results_list!$D204,SSP5_Baseline!$B:$B,2040,SSP5_Baseline!I:I,Results_list!E204))
- (SUMIFS(SSP5_Baseline!$E:$E,SSP5_Baseline!$C:$C,Results_list!$C$193,SSP5_Baseline!$D:$D,Results_list!$D204,SSP5_Baseline!$B:$B,2025,SSP5_Baseline!I:I,Results_list!E204)))
/ (SUMIFS(SSP5_Baseline!$E:$E,SSP5_Baseline!$C:$C,Results_list!$C$193,SSP5_Baseline!$D:$D,Results_list!$D204,SSP5_Baseline!$B:$B,2025,SSP5_Baseline!I:I,Results_list!E204))</f>
        <v>-4.1676865255797238E-2</v>
      </c>
      <c r="N204" s="16">
        <f>((SUMIFS(SSP5_VSI!$F:$F,SSP5_VSI!$C:$C,Results_list!$C$193,SSP5_VSI!$D:$D,Results_list!$D204,SSP5_VSI!$B:$B,2040,SSP5_VSI!I:I,Results_list!E204))
- (SUMIFS(SSP5_VSI!$F:$F,SSP5_VSI!$C:$C,Results_list!$C$193,SSP5_VSI!$D:$D,Results_list!$D204,SSP5_VSI!$B:$B,2025,SSP5_VSI!I:I,Results_list!E204)))
/ (SUMIFS(SSP5_VSI!$F:$F,SSP5_VSI!$C:$C,Results_list!$C$193,SSP5_VSI!$D:$D,Results_list!$D204,SSP5_VSI!$B:$B,2025,SSP5_VSI!I:I,Results_list!E204))</f>
        <v>-4.1672012764434031E-2</v>
      </c>
      <c r="O204" s="13">
        <f t="shared" si="29"/>
        <v>0</v>
      </c>
    </row>
    <row r="205" spans="2:15" x14ac:dyDescent="0.35">
      <c r="B205" s="83"/>
      <c r="C205" s="85"/>
      <c r="D205" t="s">
        <v>51</v>
      </c>
      <c r="E205" s="25" t="s">
        <v>70</v>
      </c>
      <c r="F205" s="3" t="s">
        <v>99</v>
      </c>
      <c r="G205" s="12">
        <f>((SUMIFS(SSP1_Baseline!$E:$E,SSP1_Baseline!$C:$C,Results_list!$C$193,SSP1_Baseline!$D:$D,Results_list!$D205,SSP1_Baseline!$B:$B,2040,SSP1_Baseline!I:I,Results_list!E205))
- (SUMIFS(SSP1_Baseline!$E:$E,SSP1_Baseline!$C:$C,Results_list!$C$193,SSP1_Baseline!$D:$D,Results_list!$D205,SSP1_Baseline!$B:$B,2025,SSP1_Baseline!I:I,Results_list!E205)))
/ (SUMIFS(SSP1_Baseline!$E:$E,SSP1_Baseline!$C:$C,Results_list!$C$193,SSP1_Baseline!$D:$D,Results_list!$D205,SSP1_Baseline!$B:$B,2025,SSP1_Baseline!I:I,Results_list!E205))</f>
        <v>1.3594753520441129E-2</v>
      </c>
      <c r="H205" s="16">
        <f>((SUMIFS(SSP1_VSI!$F:$F,SSP1_VSI!$C:$C,Results_list!$C$193,SSP1_VSI!$D:$D,Results_list!$D205,SSP1_VSI!$B:$B,2040,SSP1_VSI!I:I,Results_list!E205))
- (SUMIFS(SSP1_VSI!$F:$F,SSP1_VSI!$C:$C,Results_list!$C$193,SSP1_VSI!$D:$D,Results_list!$D205,SSP1_VSI!$B:$B,2025,SSP1_VSI!I:I,Results_list!E205)))
/ (SUMIFS(SSP1_VSI!$F:$F,SSP1_VSI!$C:$C,Results_list!$C$193,SSP1_VSI!$D:$D,Results_list!$D205,SSP1_VSI!$B:$B,2025,SSP1_VSI!I:I,Results_list!E205))</f>
        <v>1.3593409858434588E-2</v>
      </c>
      <c r="I205" s="13">
        <f t="shared" si="27"/>
        <v>0</v>
      </c>
      <c r="J205" s="12">
        <f>((SUMIFS(SSP2_Baseline!$E:$E,SSP2_Baseline!$C:$C,Results_list!$C$193,SSP2_Baseline!$D:$D,Results_list!$D205,SSP2_Baseline!$B:$B,2040,SSP2_Baseline!I:I,Results_list!E205))
- (SUMIFS(SSP2_Baseline!$E:$E,SSP2_Baseline!$C:$C,Results_list!$C$193,SSP2_Baseline!$D:$D,Results_list!$D205,SSP2_Baseline!$B:$B,2025,SSP2_Baseline!I:I,Results_list!E205)))
/ (SUMIFS(SSP2_Baseline!$E:$E,SSP2_Baseline!$C:$C,Results_list!$C$193,SSP2_Baseline!$D:$D,Results_list!$D205,SSP2_Baseline!$B:$B,2025,SSP2_Baseline!I:I,Results_list!E205))</f>
        <v>1.5027475216025351E-2</v>
      </c>
      <c r="K205" s="16">
        <f>((SUMIFS(SSP2_VSI!$F:$F,SSP2_VSI!$C:$C,Results_list!$C$193,SSP2_VSI!$D:$D,Results_list!$D205,SSP2_VSI!$B:$B,2040,SSP2_VSI!I:I,Results_list!E205))
- (SUMIFS(SSP2_VSI!$F:$F,SSP2_VSI!$C:$C,Results_list!$C$193,SSP2_VSI!$D:$D,Results_list!$D205,SSP2_VSI!$B:$B,2025,SSP2_VSI!I:I,Results_list!E205)))
/ (SUMIFS(SSP2_VSI!$F:$F,SSP2_VSI!$C:$C,Results_list!$C$193,SSP2_VSI!$D:$D,Results_list!$D205,SSP2_VSI!$B:$B,2025,SSP2_VSI!I:I,Results_list!E205))</f>
        <v>1.5023404468099976E-2</v>
      </c>
      <c r="L205" s="13">
        <f t="shared" si="28"/>
        <v>0</v>
      </c>
      <c r="M205" s="12">
        <f>((SUMIFS(SSP5_Baseline!$E:$E,SSP5_Baseline!$C:$C,Results_list!$C$193,SSP5_Baseline!$D:$D,Results_list!$D205,SSP5_Baseline!$B:$B,2040,SSP5_Baseline!I:I,Results_list!E205))
- (SUMIFS(SSP5_Baseline!$E:$E,SSP5_Baseline!$C:$C,Results_list!$C$193,SSP5_Baseline!$D:$D,Results_list!$D205,SSP5_Baseline!$B:$B,2025,SSP5_Baseline!I:I,Results_list!E205)))
/ (SUMIFS(SSP5_Baseline!$E:$E,SSP5_Baseline!$C:$C,Results_list!$C$193,SSP5_Baseline!$D:$D,Results_list!$D205,SSP5_Baseline!$B:$B,2025,SSP5_Baseline!I:I,Results_list!E205))</f>
        <v>1.1821943953972734E-3</v>
      </c>
      <c r="N205" s="16">
        <f>((SUMIFS(SSP5_VSI!$F:$F,SSP5_VSI!$C:$C,Results_list!$C$193,SSP5_VSI!$D:$D,Results_list!$D205,SSP5_VSI!$B:$B,2040,SSP5_VSI!I:I,Results_list!E205))
- (SUMIFS(SSP5_VSI!$F:$F,SSP5_VSI!$C:$C,Results_list!$C$193,SSP5_VSI!$D:$D,Results_list!$D205,SSP5_VSI!$B:$B,2025,SSP5_VSI!I:I,Results_list!E205)))
/ (SUMIFS(SSP5_VSI!$F:$F,SSP5_VSI!$C:$C,Results_list!$C$193,SSP5_VSI!$D:$D,Results_list!$D205,SSP5_VSI!$B:$B,2025,SSP5_VSI!I:I,Results_list!E205))</f>
        <v>1.183654766364472E-3</v>
      </c>
      <c r="O205" s="13">
        <f t="shared" si="29"/>
        <v>0</v>
      </c>
    </row>
    <row r="206" spans="2:15" x14ac:dyDescent="0.35">
      <c r="B206" s="83"/>
      <c r="C206" s="85"/>
      <c r="D206" t="s">
        <v>52</v>
      </c>
      <c r="E206" s="25" t="s">
        <v>70</v>
      </c>
      <c r="F206" s="3" t="s">
        <v>100</v>
      </c>
      <c r="G206" s="12">
        <f>((SUMIFS(SSP1_Baseline!$E:$E,SSP1_Baseline!$C:$C,Results_list!$C$193,SSP1_Baseline!$D:$D,Results_list!$D206,SSP1_Baseline!$B:$B,2040,SSP1_Baseline!I:I,Results_list!E206))
- (SUMIFS(SSP1_Baseline!$E:$E,SSP1_Baseline!$C:$C,Results_list!$C$193,SSP1_Baseline!$D:$D,Results_list!$D206,SSP1_Baseline!$B:$B,2025,SSP1_Baseline!I:I,Results_list!E206)))
/ (SUMIFS(SSP1_Baseline!$E:$E,SSP1_Baseline!$C:$C,Results_list!$C$193,SSP1_Baseline!$D:$D,Results_list!$D206,SSP1_Baseline!$B:$B,2025,SSP1_Baseline!I:I,Results_list!E206))</f>
        <v>-0.43666259065065877</v>
      </c>
      <c r="H206" s="16">
        <f>((SUMIFS(SSP1_VSI!$F:$F,SSP1_VSI!$C:$C,Results_list!$C$193,SSP1_VSI!$D:$D,Results_list!$D206,SSP1_VSI!$B:$B,2040,SSP1_VSI!I:I,Results_list!E206))
- (SUMIFS(SSP1_VSI!$F:$F,SSP1_VSI!$C:$C,Results_list!$C$193,SSP1_VSI!$D:$D,Results_list!$D206,SSP1_VSI!$B:$B,2025,SSP1_VSI!I:I,Results_list!E206)))
/ (SUMIFS(SSP1_VSI!$F:$F,SSP1_VSI!$C:$C,Results_list!$C$193,SSP1_VSI!$D:$D,Results_list!$D206,SSP1_VSI!$B:$B,2025,SSP1_VSI!I:I,Results_list!E206))</f>
        <v>-0.43664264918430035</v>
      </c>
      <c r="I206" s="13">
        <f t="shared" si="27"/>
        <v>0</v>
      </c>
      <c r="J206" s="12">
        <f>((SUMIFS(SSP2_Baseline!$E:$E,SSP2_Baseline!$C:$C,Results_list!$C$193,SSP2_Baseline!$D:$D,Results_list!$D206,SSP2_Baseline!$B:$B,2040,SSP2_Baseline!I:I,Results_list!E206))
- (SUMIFS(SSP2_Baseline!$E:$E,SSP2_Baseline!$C:$C,Results_list!$C$193,SSP2_Baseline!$D:$D,Results_list!$D206,SSP2_Baseline!$B:$B,2025,SSP2_Baseline!I:I,Results_list!E206)))
/ (SUMIFS(SSP2_Baseline!$E:$E,SSP2_Baseline!$C:$C,Results_list!$C$193,SSP2_Baseline!$D:$D,Results_list!$D206,SSP2_Baseline!$B:$B,2025,SSP2_Baseline!I:I,Results_list!E206))</f>
        <v>-0.49534560250257087</v>
      </c>
      <c r="K206" s="16">
        <f>((SUMIFS(SSP2_VSI!$F:$F,SSP2_VSI!$C:$C,Results_list!$C$193,SSP2_VSI!$D:$D,Results_list!$D206,SSP2_VSI!$B:$B,2040,SSP2_VSI!I:I,Results_list!E206))
- (SUMIFS(SSP2_VSI!$F:$F,SSP2_VSI!$C:$C,Results_list!$C$193,SSP2_VSI!$D:$D,Results_list!$D206,SSP2_VSI!$B:$B,2025,SSP2_VSI!I:I,Results_list!E206)))
/ (SUMIFS(SSP2_VSI!$F:$F,SSP2_VSI!$C:$C,Results_list!$C$193,SSP2_VSI!$D:$D,Results_list!$D206,SSP2_VSI!$B:$B,2025,SSP2_VSI!I:I,Results_list!E206))</f>
        <v>-0.49529367600423768</v>
      </c>
      <c r="L206" s="13">
        <f t="shared" si="28"/>
        <v>0</v>
      </c>
      <c r="M206" s="12">
        <f>((SUMIFS(SSP5_Baseline!$E:$E,SSP5_Baseline!$C:$C,Results_list!$C$193,SSP5_Baseline!$D:$D,Results_list!$D206,SSP5_Baseline!$B:$B,2040,SSP5_Baseline!I:I,Results_list!E206))
- (SUMIFS(SSP5_Baseline!$E:$E,SSP5_Baseline!$C:$C,Results_list!$C$193,SSP5_Baseline!$D:$D,Results_list!$D206,SSP5_Baseline!$B:$B,2025,SSP5_Baseline!I:I,Results_list!E206)))
/ (SUMIFS(SSP5_Baseline!$E:$E,SSP5_Baseline!$C:$C,Results_list!$C$193,SSP5_Baseline!$D:$D,Results_list!$D206,SSP5_Baseline!$B:$B,2025,SSP5_Baseline!I:I,Results_list!E206))</f>
        <v>-0.57510775249657775</v>
      </c>
      <c r="N206" s="16">
        <f>((SUMIFS(SSP5_VSI!$F:$F,SSP5_VSI!$C:$C,Results_list!$C$193,SSP5_VSI!$D:$D,Results_list!$D206,SSP5_VSI!$B:$B,2040,SSP5_VSI!I:I,Results_list!E206))
- (SUMIFS(SSP5_VSI!$F:$F,SSP5_VSI!$C:$C,Results_list!$C$193,SSP5_VSI!$D:$D,Results_list!$D206,SSP5_VSI!$B:$B,2025,SSP5_VSI!I:I,Results_list!E206)))
/ (SUMIFS(SSP5_VSI!$F:$F,SSP5_VSI!$C:$C,Results_list!$C$193,SSP5_VSI!$D:$D,Results_list!$D206,SSP5_VSI!$B:$B,2025,SSP5_VSI!I:I,Results_list!E206))</f>
        <v>-0.57507357635843126</v>
      </c>
      <c r="O206" s="13">
        <f t="shared" si="29"/>
        <v>0</v>
      </c>
    </row>
    <row r="207" spans="2:15" x14ac:dyDescent="0.35">
      <c r="B207" s="83"/>
      <c r="C207" s="85"/>
      <c r="D207" t="s">
        <v>53</v>
      </c>
      <c r="E207" s="25" t="s">
        <v>70</v>
      </c>
      <c r="F207" s="3" t="s">
        <v>101</v>
      </c>
      <c r="G207" s="12">
        <f>((SUMIFS(SSP1_Baseline!$E:$E,SSP1_Baseline!$C:$C,Results_list!$C$193,SSP1_Baseline!$D:$D,Results_list!$D207,SSP1_Baseline!$B:$B,2040,SSP1_Baseline!I:I,Results_list!E207))
- (SUMIFS(SSP1_Baseline!$E:$E,SSP1_Baseline!$C:$C,Results_list!$C$193,SSP1_Baseline!$D:$D,Results_list!$D207,SSP1_Baseline!$B:$B,2025,SSP1_Baseline!I:I,Results_list!E207)))
/ (SUMIFS(SSP1_Baseline!$E:$E,SSP1_Baseline!$C:$C,Results_list!$C$193,SSP1_Baseline!$D:$D,Results_list!$D207,SSP1_Baseline!$B:$B,2025,SSP1_Baseline!I:I,Results_list!E207))</f>
        <v>-0.27804766887481619</v>
      </c>
      <c r="H207" s="16">
        <f>((SUMIFS(SSP1_VSI!$F:$F,SSP1_VSI!$C:$C,Results_list!$C$193,SSP1_VSI!$D:$D,Results_list!$D207,SSP1_VSI!$B:$B,2040,SSP1_VSI!I:I,Results_list!E207))
- (SUMIFS(SSP1_VSI!$F:$F,SSP1_VSI!$C:$C,Results_list!$C$193,SSP1_VSI!$D:$D,Results_list!$D207,SSP1_VSI!$B:$B,2025,SSP1_VSI!I:I,Results_list!E207)))
/ (SUMIFS(SSP1_VSI!$F:$F,SSP1_VSI!$C:$C,Results_list!$C$193,SSP1_VSI!$D:$D,Results_list!$D207,SSP1_VSI!$B:$B,2025,SSP1_VSI!I:I,Results_list!E207))</f>
        <v>-0.27815083667108836</v>
      </c>
      <c r="I207" s="13">
        <f t="shared" si="27"/>
        <v>0</v>
      </c>
      <c r="J207" s="12">
        <f>((SUMIFS(SSP2_Baseline!$E:$E,SSP2_Baseline!$C:$C,Results_list!$C$193,SSP2_Baseline!$D:$D,Results_list!$D207,SSP2_Baseline!$B:$B,2040,SSP2_Baseline!I:I,Results_list!E207))
- (SUMIFS(SSP2_Baseline!$E:$E,SSP2_Baseline!$C:$C,Results_list!$C$193,SSP2_Baseline!$D:$D,Results_list!$D207,SSP2_Baseline!$B:$B,2025,SSP2_Baseline!I:I,Results_list!E207)))
/ (SUMIFS(SSP2_Baseline!$E:$E,SSP2_Baseline!$C:$C,Results_list!$C$193,SSP2_Baseline!$D:$D,Results_list!$D207,SSP2_Baseline!$B:$B,2025,SSP2_Baseline!I:I,Results_list!E207))</f>
        <v>-0.23361722720542977</v>
      </c>
      <c r="K207" s="16">
        <f>((SUMIFS(SSP2_VSI!$F:$F,SSP2_VSI!$C:$C,Results_list!$C$193,SSP2_VSI!$D:$D,Results_list!$D207,SSP2_VSI!$B:$B,2040,SSP2_VSI!I:I,Results_list!E207))
- (SUMIFS(SSP2_VSI!$F:$F,SSP2_VSI!$C:$C,Results_list!$C$193,SSP2_VSI!$D:$D,Results_list!$D207,SSP2_VSI!$B:$B,2025,SSP2_VSI!I:I,Results_list!E207)))
/ (SUMIFS(SSP2_VSI!$F:$F,SSP2_VSI!$C:$C,Results_list!$C$193,SSP2_VSI!$D:$D,Results_list!$D207,SSP2_VSI!$B:$B,2025,SSP2_VSI!I:I,Results_list!E207))</f>
        <v>-0.23361136015077838</v>
      </c>
      <c r="L207" s="13">
        <f t="shared" si="28"/>
        <v>0</v>
      </c>
      <c r="M207" s="12">
        <f>((SUMIFS(SSP5_Baseline!$E:$E,SSP5_Baseline!$C:$C,Results_list!$C$193,SSP5_Baseline!$D:$D,Results_list!$D207,SSP5_Baseline!$B:$B,2040,SSP5_Baseline!I:I,Results_list!E207))
- (SUMIFS(SSP5_Baseline!$E:$E,SSP5_Baseline!$C:$C,Results_list!$C$193,SSP5_Baseline!$D:$D,Results_list!$D207,SSP5_Baseline!$B:$B,2025,SSP5_Baseline!I:I,Results_list!E207)))
/ (SUMIFS(SSP5_Baseline!$E:$E,SSP5_Baseline!$C:$C,Results_list!$C$193,SSP5_Baseline!$D:$D,Results_list!$D207,SSP5_Baseline!$B:$B,2025,SSP5_Baseline!I:I,Results_list!E207))</f>
        <v>0.18768810077470366</v>
      </c>
      <c r="N207" s="16">
        <f>((SUMIFS(SSP5_VSI!$F:$F,SSP5_VSI!$C:$C,Results_list!$C$193,SSP5_VSI!$D:$D,Results_list!$D207,SSP5_VSI!$B:$B,2040,SSP5_VSI!I:I,Results_list!E207))
- (SUMIFS(SSP5_VSI!$F:$F,SSP5_VSI!$C:$C,Results_list!$C$193,SSP5_VSI!$D:$D,Results_list!$D207,SSP5_VSI!$B:$B,2025,SSP5_VSI!I:I,Results_list!E207)))
/ (SUMIFS(SSP5_VSI!$F:$F,SSP5_VSI!$C:$C,Results_list!$C$193,SSP5_VSI!$D:$D,Results_list!$D207,SSP5_VSI!$B:$B,2025,SSP5_VSI!I:I,Results_list!E207))</f>
        <v>0.18772705026508055</v>
      </c>
      <c r="O207" s="13">
        <f t="shared" si="29"/>
        <v>0</v>
      </c>
    </row>
    <row r="208" spans="2:15" x14ac:dyDescent="0.35">
      <c r="B208" s="83"/>
      <c r="C208" s="85"/>
      <c r="D208" t="s">
        <v>54</v>
      </c>
      <c r="E208" s="25" t="s">
        <v>70</v>
      </c>
      <c r="F208" s="3" t="s">
        <v>102</v>
      </c>
      <c r="G208" s="12">
        <f>((SUMIFS(SSP1_Baseline!$E:$E,SSP1_Baseline!$C:$C,Results_list!$C$193,SSP1_Baseline!$D:$D,Results_list!$D208,SSP1_Baseline!$B:$B,2040,SSP1_Baseline!I:I,Results_list!E208))
- (SUMIFS(SSP1_Baseline!$E:$E,SSP1_Baseline!$C:$C,Results_list!$C$193,SSP1_Baseline!$D:$D,Results_list!$D208,SSP1_Baseline!$B:$B,2025,SSP1_Baseline!I:I,Results_list!E208)))
/ (SUMIFS(SSP1_Baseline!$E:$E,SSP1_Baseline!$C:$C,Results_list!$C$193,SSP1_Baseline!$D:$D,Results_list!$D208,SSP1_Baseline!$B:$B,2025,SSP1_Baseline!I:I,Results_list!E208))</f>
        <v>-0.23302196966456465</v>
      </c>
      <c r="H208" s="16">
        <f>((SUMIFS(SSP1_VSI!$F:$F,SSP1_VSI!$C:$C,Results_list!$C$193,SSP1_VSI!$D:$D,Results_list!$D208,SSP1_VSI!$B:$B,2040,SSP1_VSI!I:I,Results_list!E208))
- (SUMIFS(SSP1_VSI!$F:$F,SSP1_VSI!$C:$C,Results_list!$C$193,SSP1_VSI!$D:$D,Results_list!$D208,SSP1_VSI!$B:$B,2025,SSP1_VSI!I:I,Results_list!E208)))
/ (SUMIFS(SSP1_VSI!$F:$F,SSP1_VSI!$C:$C,Results_list!$C$193,SSP1_VSI!$D:$D,Results_list!$D208,SSP1_VSI!$B:$B,2025,SSP1_VSI!I:I,Results_list!E208))</f>
        <v>-0.23301150434776483</v>
      </c>
      <c r="I208" s="13">
        <f t="shared" si="27"/>
        <v>0</v>
      </c>
      <c r="J208" s="12">
        <f>((SUMIFS(SSP2_Baseline!$E:$E,SSP2_Baseline!$C:$C,Results_list!$C$193,SSP2_Baseline!$D:$D,Results_list!$D208,SSP2_Baseline!$B:$B,2040,SSP2_Baseline!I:I,Results_list!E208))
- (SUMIFS(SSP2_Baseline!$E:$E,SSP2_Baseline!$C:$C,Results_list!$C$193,SSP2_Baseline!$D:$D,Results_list!$D208,SSP2_Baseline!$B:$B,2025,SSP2_Baseline!I:I,Results_list!E208)))
/ (SUMIFS(SSP2_Baseline!$E:$E,SSP2_Baseline!$C:$C,Results_list!$C$193,SSP2_Baseline!$D:$D,Results_list!$D208,SSP2_Baseline!$B:$B,2025,SSP2_Baseline!I:I,Results_list!E208))</f>
        <v>-0.17938481994708802</v>
      </c>
      <c r="K208" s="16">
        <f>((SUMIFS(SSP2_VSI!$F:$F,SSP2_VSI!$C:$C,Results_list!$C$193,SSP2_VSI!$D:$D,Results_list!$D208,SSP2_VSI!$B:$B,2040,SSP2_VSI!I:I,Results_list!E208))
- (SUMIFS(SSP2_VSI!$F:$F,SSP2_VSI!$C:$C,Results_list!$C$193,SSP2_VSI!$D:$D,Results_list!$D208,SSP2_VSI!$B:$B,2025,SSP2_VSI!I:I,Results_list!E208)))
/ (SUMIFS(SSP2_VSI!$F:$F,SSP2_VSI!$C:$C,Results_list!$C$193,SSP2_VSI!$D:$D,Results_list!$D208,SSP2_VSI!$B:$B,2025,SSP2_VSI!I:I,Results_list!E208))</f>
        <v>-0.17929377477478775</v>
      </c>
      <c r="L208" s="13">
        <f t="shared" si="28"/>
        <v>0</v>
      </c>
      <c r="M208" s="12">
        <f>((SUMIFS(SSP5_Baseline!$E:$E,SSP5_Baseline!$C:$C,Results_list!$C$193,SSP5_Baseline!$D:$D,Results_list!$D208,SSP5_Baseline!$B:$B,2040,SSP5_Baseline!I:I,Results_list!E208))
- (SUMIFS(SSP5_Baseline!$E:$E,SSP5_Baseline!$C:$C,Results_list!$C$193,SSP5_Baseline!$D:$D,Results_list!$D208,SSP5_Baseline!$B:$B,2025,SSP5_Baseline!I:I,Results_list!E208)))
/ (SUMIFS(SSP5_Baseline!$E:$E,SSP5_Baseline!$C:$C,Results_list!$C$193,SSP5_Baseline!$D:$D,Results_list!$D208,SSP5_Baseline!$B:$B,2025,SSP5_Baseline!I:I,Results_list!E208))</f>
        <v>-0.20419209593689264</v>
      </c>
      <c r="N208" s="16">
        <f>((SUMIFS(SSP5_VSI!$F:$F,SSP5_VSI!$C:$C,Results_list!$C$193,SSP5_VSI!$D:$D,Results_list!$D208,SSP5_VSI!$B:$B,2040,SSP5_VSI!I:I,Results_list!E208))
- (SUMIFS(SSP5_VSI!$F:$F,SSP5_VSI!$C:$C,Results_list!$C$193,SSP5_VSI!$D:$D,Results_list!$D208,SSP5_VSI!$B:$B,2025,SSP5_VSI!I:I,Results_list!E208)))
/ (SUMIFS(SSP5_VSI!$F:$F,SSP5_VSI!$C:$C,Results_list!$C$193,SSP5_VSI!$D:$D,Results_list!$D208,SSP5_VSI!$B:$B,2025,SSP5_VSI!I:I,Results_list!E208))</f>
        <v>-0.20408378586373208</v>
      </c>
      <c r="O208" s="13">
        <f t="shared" si="29"/>
        <v>0</v>
      </c>
    </row>
    <row r="209" spans="2:15" x14ac:dyDescent="0.35">
      <c r="B209" s="83"/>
      <c r="C209" s="85"/>
      <c r="D209" t="s">
        <v>55</v>
      </c>
      <c r="E209" s="25" t="s">
        <v>70</v>
      </c>
      <c r="F209" s="3" t="s">
        <v>103</v>
      </c>
      <c r="G209" s="12">
        <f>((SUMIFS(SSP1_Baseline!$E:$E,SSP1_Baseline!$C:$C,Results_list!$C$193,SSP1_Baseline!$D:$D,Results_list!$D209,SSP1_Baseline!$B:$B,2040,SSP1_Baseline!I:I,Results_list!E209))
- (SUMIFS(SSP1_Baseline!$E:$E,SSP1_Baseline!$C:$C,Results_list!$C$193,SSP1_Baseline!$D:$D,Results_list!$D209,SSP1_Baseline!$B:$B,2025,SSP1_Baseline!I:I,Results_list!E209)))
/ (SUMIFS(SSP1_Baseline!$E:$E,SSP1_Baseline!$C:$C,Results_list!$C$193,SSP1_Baseline!$D:$D,Results_list!$D209,SSP1_Baseline!$B:$B,2025,SSP1_Baseline!I:I,Results_list!E209))</f>
        <v>-0.23865283779493113</v>
      </c>
      <c r="H209" s="16">
        <f>((SUMIFS(SSP1_VSI!$F:$F,SSP1_VSI!$C:$C,Results_list!$C$193,SSP1_VSI!$D:$D,Results_list!$D209,SSP1_VSI!$B:$B,2040,SSP1_VSI!I:I,Results_list!E209))
- (SUMIFS(SSP1_VSI!$F:$F,SSP1_VSI!$C:$C,Results_list!$C$193,SSP1_VSI!$D:$D,Results_list!$D209,SSP1_VSI!$B:$B,2025,SSP1_VSI!I:I,Results_list!E209)))
/ (SUMIFS(SSP1_VSI!$F:$F,SSP1_VSI!$C:$C,Results_list!$C$193,SSP1_VSI!$D:$D,Results_list!$D209,SSP1_VSI!$B:$B,2025,SSP1_VSI!I:I,Results_list!E209))</f>
        <v>-0.23864375312436564</v>
      </c>
      <c r="I209" s="13">
        <f t="shared" si="27"/>
        <v>0</v>
      </c>
      <c r="J209" s="12">
        <f>((SUMIFS(SSP2_Baseline!$E:$E,SSP2_Baseline!$C:$C,Results_list!$C$193,SSP2_Baseline!$D:$D,Results_list!$D209,SSP2_Baseline!$B:$B,2040,SSP2_Baseline!I:I,Results_list!E209))
- (SUMIFS(SSP2_Baseline!$E:$E,SSP2_Baseline!$C:$C,Results_list!$C$193,SSP2_Baseline!$D:$D,Results_list!$D209,SSP2_Baseline!$B:$B,2025,SSP2_Baseline!I:I,Results_list!E209)))
/ (SUMIFS(SSP2_Baseline!$E:$E,SSP2_Baseline!$C:$C,Results_list!$C$193,SSP2_Baseline!$D:$D,Results_list!$D209,SSP2_Baseline!$B:$B,2025,SSP2_Baseline!I:I,Results_list!E209))</f>
        <v>-0.1866179521083296</v>
      </c>
      <c r="K209" s="16">
        <f>((SUMIFS(SSP2_VSI!$F:$F,SSP2_VSI!$C:$C,Results_list!$C$193,SSP2_VSI!$D:$D,Results_list!$D209,SSP2_VSI!$B:$B,2040,SSP2_VSI!I:I,Results_list!E209))
- (SUMIFS(SSP2_VSI!$F:$F,SSP2_VSI!$C:$C,Results_list!$C$193,SSP2_VSI!$D:$D,Results_list!$D209,SSP2_VSI!$B:$B,2025,SSP2_VSI!I:I,Results_list!E209)))
/ (SUMIFS(SSP2_VSI!$F:$F,SSP2_VSI!$C:$C,Results_list!$C$193,SSP2_VSI!$D:$D,Results_list!$D209,SSP2_VSI!$B:$B,2025,SSP2_VSI!I:I,Results_list!E209))</f>
        <v>-0.18654493205231279</v>
      </c>
      <c r="L209" s="13">
        <f t="shared" si="28"/>
        <v>0</v>
      </c>
      <c r="M209" s="12">
        <f>((SUMIFS(SSP5_Baseline!$E:$E,SSP5_Baseline!$C:$C,Results_list!$C$193,SSP5_Baseline!$D:$D,Results_list!$D209,SSP5_Baseline!$B:$B,2040,SSP5_Baseline!I:I,Results_list!E209))
- (SUMIFS(SSP5_Baseline!$E:$E,SSP5_Baseline!$C:$C,Results_list!$C$193,SSP5_Baseline!$D:$D,Results_list!$D209,SSP5_Baseline!$B:$B,2025,SSP5_Baseline!I:I,Results_list!E209)))
/ (SUMIFS(SSP5_Baseline!$E:$E,SSP5_Baseline!$C:$C,Results_list!$C$193,SSP5_Baseline!$D:$D,Results_list!$D209,SSP5_Baseline!$B:$B,2025,SSP5_Baseline!I:I,Results_list!E209))</f>
        <v>-0.21002054719963734</v>
      </c>
      <c r="N209" s="16">
        <f>((SUMIFS(SSP5_VSI!$F:$F,SSP5_VSI!$C:$C,Results_list!$C$193,SSP5_VSI!$D:$D,Results_list!$D209,SSP5_VSI!$B:$B,2040,SSP5_VSI!I:I,Results_list!E209))
- (SUMIFS(SSP5_VSI!$F:$F,SSP5_VSI!$C:$C,Results_list!$C$193,SSP5_VSI!$D:$D,Results_list!$D209,SSP5_VSI!$B:$B,2025,SSP5_VSI!I:I,Results_list!E209)))
/ (SUMIFS(SSP5_VSI!$F:$F,SSP5_VSI!$C:$C,Results_list!$C$193,SSP5_VSI!$D:$D,Results_list!$D209,SSP5_VSI!$B:$B,2025,SSP5_VSI!I:I,Results_list!E209))</f>
        <v>-0.20990905561839646</v>
      </c>
      <c r="O209" s="13">
        <f t="shared" si="29"/>
        <v>0</v>
      </c>
    </row>
    <row r="210" spans="2:15" x14ac:dyDescent="0.35">
      <c r="B210" s="84"/>
      <c r="C210" s="86"/>
      <c r="D210" t="s">
        <v>56</v>
      </c>
      <c r="E210" s="26" t="s">
        <v>70</v>
      </c>
      <c r="F210" s="9" t="s">
        <v>104</v>
      </c>
      <c r="G210" s="14">
        <f>((SUMIFS(SSP1_Baseline!$E:$E,SSP1_Baseline!$C:$C,Results_list!$C$193,SSP1_Baseline!$D:$D,Results_list!$D210,SSP1_Baseline!$B:$B,2040,SSP1_Baseline!I:I,Results_list!E210))
- (SUMIFS(SSP1_Baseline!$E:$E,SSP1_Baseline!$C:$C,Results_list!$C$193,SSP1_Baseline!$D:$D,Results_list!$D210,SSP1_Baseline!$B:$B,2025,SSP1_Baseline!I:I,Results_list!E210)))
/ (SUMIFS(SSP1_Baseline!$E:$E,SSP1_Baseline!$C:$C,Results_list!$C$193,SSP1_Baseline!$D:$D,Results_list!$D210,SSP1_Baseline!$B:$B,2025,SSP1_Baseline!I:I,Results_list!E210))</f>
        <v>-0.26601480247443465</v>
      </c>
      <c r="H210" s="17">
        <f>((SUMIFS(SSP1_VSI!$F:$F,SSP1_VSI!$C:$C,Results_list!$C$193,SSP1_VSI!$D:$D,Results_list!$D210,SSP1_VSI!$B:$B,2040,SSP1_VSI!I:I,Results_list!E210))
- (SUMIFS(SSP1_VSI!$F:$F,SSP1_VSI!$C:$C,Results_list!$C$193,SSP1_VSI!$D:$D,Results_list!$D210,SSP1_VSI!$B:$B,2025,SSP1_VSI!I:I,Results_list!E210)))
/ (SUMIFS(SSP1_VSI!$F:$F,SSP1_VSI!$C:$C,Results_list!$C$193,SSP1_VSI!$D:$D,Results_list!$D210,SSP1_VSI!$B:$B,2025,SSP1_VSI!I:I,Results_list!E210))</f>
        <v>-0.26608276013399657</v>
      </c>
      <c r="I210" s="15">
        <f t="shared" si="27"/>
        <v>0</v>
      </c>
      <c r="J210" s="14">
        <f>((SUMIFS(SSP2_Baseline!$E:$E,SSP2_Baseline!$C:$C,Results_list!$C$193,SSP2_Baseline!$D:$D,Results_list!$D210,SSP2_Baseline!$B:$B,2040,SSP2_Baseline!I:I,Results_list!E210))
- (SUMIFS(SSP2_Baseline!$E:$E,SSP2_Baseline!$C:$C,Results_list!$C$193,SSP2_Baseline!$D:$D,Results_list!$D210,SSP2_Baseline!$B:$B,2025,SSP2_Baseline!I:I,Results_list!E210)))
/ (SUMIFS(SSP2_Baseline!$E:$E,SSP2_Baseline!$C:$C,Results_list!$C$193,SSP2_Baseline!$D:$D,Results_list!$D210,SSP2_Baseline!$B:$B,2025,SSP2_Baseline!I:I,Results_list!E210))</f>
        <v>-0.30733714228839271</v>
      </c>
      <c r="K210" s="17">
        <f>((SUMIFS(SSP2_VSI!$F:$F,SSP2_VSI!$C:$C,Results_list!$C$193,SSP2_VSI!$D:$D,Results_list!$D210,SSP2_VSI!$B:$B,2040,SSP2_VSI!I:I,Results_list!E210))
- (SUMIFS(SSP2_VSI!$F:$F,SSP2_VSI!$C:$C,Results_list!$C$193,SSP2_VSI!$D:$D,Results_list!$D210,SSP2_VSI!$B:$B,2025,SSP2_VSI!I:I,Results_list!E210)))
/ (SUMIFS(SSP2_VSI!$F:$F,SSP2_VSI!$C:$C,Results_list!$C$193,SSP2_VSI!$D:$D,Results_list!$D210,SSP2_VSI!$B:$B,2025,SSP2_VSI!I:I,Results_list!E210))</f>
        <v>-0.30737832737016046</v>
      </c>
      <c r="L210" s="15">
        <f t="shared" si="28"/>
        <v>0</v>
      </c>
      <c r="M210" s="14">
        <f>((SUMIFS(SSP5_Baseline!$E:$E,SSP5_Baseline!$C:$C,Results_list!$C$193,SSP5_Baseline!$D:$D,Results_list!$D210,SSP5_Baseline!$B:$B,2040,SSP5_Baseline!I:I,Results_list!E210))
- (SUMIFS(SSP5_Baseline!$E:$E,SSP5_Baseline!$C:$C,Results_list!$C$193,SSP5_Baseline!$D:$D,Results_list!$D210,SSP5_Baseline!$B:$B,2025,SSP5_Baseline!I:I,Results_list!E210)))
/ (SUMIFS(SSP5_Baseline!$E:$E,SSP5_Baseline!$C:$C,Results_list!$C$193,SSP5_Baseline!$D:$D,Results_list!$D210,SSP5_Baseline!$B:$B,2025,SSP5_Baseline!I:I,Results_list!E210))</f>
        <v>0.3110924067941454</v>
      </c>
      <c r="N210" s="17">
        <f>((SUMIFS(SSP5_VSI!$F:$F,SSP5_VSI!$C:$C,Results_list!$C$193,SSP5_VSI!$D:$D,Results_list!$D210,SSP5_VSI!$B:$B,2040,SSP5_VSI!I:I,Results_list!E210))
- (SUMIFS(SSP5_VSI!$F:$F,SSP5_VSI!$C:$C,Results_list!$C$193,SSP5_VSI!$D:$D,Results_list!$D210,SSP5_VSI!$B:$B,2025,SSP5_VSI!I:I,Results_list!E210)))
/ (SUMIFS(SSP5_VSI!$F:$F,SSP5_VSI!$C:$C,Results_list!$C$193,SSP5_VSI!$D:$D,Results_list!$D210,SSP5_VSI!$B:$B,2025,SSP5_VSI!I:I,Results_list!E210))</f>
        <v>0.31113118395383926</v>
      </c>
      <c r="O210" s="15">
        <f t="shared" si="29"/>
        <v>0</v>
      </c>
    </row>
    <row r="212" spans="2:15" ht="19" customHeight="1" x14ac:dyDescent="0.35">
      <c r="F212" s="2"/>
      <c r="G212" s="78" t="s">
        <v>3</v>
      </c>
      <c r="H212" s="79"/>
      <c r="I212" s="79"/>
      <c r="J212" s="79"/>
      <c r="K212" s="79"/>
      <c r="L212" s="79"/>
      <c r="M212" s="79"/>
      <c r="N212" s="79"/>
      <c r="O212" s="80"/>
    </row>
    <row r="213" spans="2:15" ht="29" x14ac:dyDescent="0.35">
      <c r="B213" s="8" t="s">
        <v>30</v>
      </c>
      <c r="C213" s="8" t="s">
        <v>30</v>
      </c>
      <c r="D213" s="6" t="s">
        <v>106</v>
      </c>
      <c r="E213" s="18" t="s">
        <v>131</v>
      </c>
      <c r="F213" s="7" t="s">
        <v>105</v>
      </c>
      <c r="G213" s="10" t="s">
        <v>0</v>
      </c>
      <c r="H213" s="11" t="s">
        <v>108</v>
      </c>
      <c r="I213" s="18" t="s">
        <v>107</v>
      </c>
      <c r="J213" s="10" t="s">
        <v>1</v>
      </c>
      <c r="K213" s="11" t="s">
        <v>109</v>
      </c>
      <c r="L213" s="18" t="s">
        <v>107</v>
      </c>
      <c r="M213" s="10" t="s">
        <v>2</v>
      </c>
      <c r="N213" s="11" t="s">
        <v>110</v>
      </c>
      <c r="O213" s="18" t="s">
        <v>107</v>
      </c>
    </row>
    <row r="214" spans="2:15" ht="14.5" customHeight="1" x14ac:dyDescent="0.35">
      <c r="B214" s="83" t="s">
        <v>119</v>
      </c>
      <c r="C214" s="83" t="s">
        <v>69</v>
      </c>
      <c r="D214" s="22" t="s">
        <v>38</v>
      </c>
      <c r="E214" s="24" t="s">
        <v>71</v>
      </c>
      <c r="F214" s="3" t="s">
        <v>87</v>
      </c>
      <c r="G214" s="12">
        <f>((SUMIFS(SSP1_Baseline!$E:$E,SSP1_Baseline!$C:$C,Results_list!$C$214,SSP1_Baseline!$D:$D,Results_list!$D214,SSP1_Baseline!$B:$B,2040,SSP1_Baseline!I:I,Results_list!E214))
- (SUMIFS(SSP1_Baseline!$E:$E,SSP1_Baseline!$C:$C,Results_list!$C$214,SSP1_Baseline!$D:$D,Results_list!$D214,SSP1_Baseline!$B:$B,2025,SSP1_Baseline!I:I,Results_list!E214)))
/ (SUMIFS(SSP1_Baseline!$E:$E,SSP1_Baseline!$C:$C,Results_list!$C$214,SSP1_Baseline!$D:$D,Results_list!$D214,SSP1_Baseline!$B:$B,2025,SSP1_Baseline!I:I,Results_list!E214))</f>
        <v>0.13342065330601136</v>
      </c>
      <c r="H214" s="16">
        <f>((SUMIFS(SSP1_VSI!$F:$F,SSP1_VSI!$C:$C,Results_list!$C$214,SSP1_VSI!$D:$D,Results_list!$D214,SSP1_VSI!$B:$B,2040,SSP1_VSI!I:I,Results_list!E214))
- (SUMIFS(SSP1_VSI!$F:$F,SSP1_VSI!$C:$C,Results_list!$C$214,SSP1_VSI!$D:$D,Results_list!$D214,SSP1_VSI!$B:$B,2025,SSP1_VSI!I:I,Results_list!E214)))
/ (SUMIFS(SSP1_VSI!$F:$F,SSP1_VSI!$C:$C,Results_list!$C$214,SSP1_VSI!$D:$D,Results_list!$D214,SSP1_VSI!$B:$B,2025,SSP1_VSI!I:I,Results_list!E214))</f>
        <v>0.13345486771631793</v>
      </c>
      <c r="I214" s="19">
        <f>ROUND(H214-G214,3)</f>
        <v>0</v>
      </c>
      <c r="J214" s="12">
        <f>((SUMIFS(SSP2_Baseline!$E:$E,SSP2_Baseline!$C:$C,Results_list!$C$214,SSP2_Baseline!$D:$D,Results_list!$D214,SSP2_Baseline!$B:$B,2040,SSP2_Baseline!I:I,Results_list!E214))
- (SUMIFS(SSP2_Baseline!$E:$E,SSP2_Baseline!$C:$C,Results_list!$C$214,SSP2_Baseline!$D:$D,Results_list!$D214,SSP2_Baseline!$B:$B,2025,SSP2_Baseline!I:I,Results_list!E214)))
/ (SUMIFS(SSP2_Baseline!$E:$E,SSP2_Baseline!$C:$C,Results_list!$C$214,SSP2_Baseline!$D:$D,Results_list!$D214,SSP2_Baseline!$B:$B,2025,SSP2_Baseline!I:I,Results_list!E214))</f>
        <v>1.4947907428636931</v>
      </c>
      <c r="K214" s="16">
        <f>((SUMIFS(SSP2_VSI!$F:$F,SSP2_VSI!$C:$C,Results_list!$C$214,SSP2_VSI!$D:$D,Results_list!$D214,SSP2_VSI!$B:$B,2040,SSP2_VSI!I:I,Results_list!E214))
- (SUMIFS(SSP2_VSI!$F:$F,SSP2_VSI!$C:$C,Results_list!$C$214,SSP2_VSI!$D:$D,Results_list!$D214,SSP2_VSI!$B:$B,2025,SSP2_VSI!I:I,Results_list!E214)))
/ (SUMIFS(SSP2_VSI!$F:$F,SSP2_VSI!$C:$C,Results_list!$C$214,SSP2_VSI!$D:$D,Results_list!$D214,SSP2_VSI!$B:$B,2025,SSP2_VSI!I:I,Results_list!E214))</f>
        <v>1.4945223135474399</v>
      </c>
      <c r="L214" s="19">
        <f>ROUND(K214-J214,2)</f>
        <v>0</v>
      </c>
      <c r="M214" s="12">
        <f>((SUMIFS(SSP5_Baseline!$E:$E,SSP5_Baseline!$C:$C,Results_list!$C$214,SSP5_Baseline!$D:$D,Results_list!$D214,SSP5_Baseline!$B:$B,2040,SSP5_Baseline!I:I,Results_list!E214))
- (SUMIFS(SSP5_Baseline!$E:$E,SSP5_Baseline!$C:$C,Results_list!$C$214,SSP5_Baseline!$D:$D,Results_list!$D214,SSP5_Baseline!$B:$B,2025,SSP5_Baseline!I:I,Results_list!E214)))
/ (SUMIFS(SSP5_Baseline!$E:$E,SSP5_Baseline!$C:$C,Results_list!$C$214,SSP5_Baseline!$D:$D,Results_list!$D214,SSP5_Baseline!$B:$B,2025,SSP5_Baseline!I:I,Results_list!E214))</f>
        <v>2.9787815208062671</v>
      </c>
      <c r="N214" s="16">
        <f>((SUMIFS(SSP5_VSI!$F:$F,SSP5_VSI!$C:$C,Results_list!$C$214,SSP5_VSI!$D:$D,Results_list!$D214,SSP5_VSI!$B:$B,2040,SSP5_VSI!I:I,Results_list!E214)) - (SUMIFS(SSP5_VSI!$F:$F,SSP5_VSI!$C:$C,Results_list!$C$214,SSP5_VSI!$D:$D,Results_list!$D214,SSP5_VSI!$B:$B,2025,SSP5_VSI!I:I,Results_list!E214))) / (SUMIFS(SSP5_VSI!$F:$F,SSP5_VSI!$C:$C,Results_list!$C$214,SSP5_VSI!$D:$D,Results_list!$D214,SSP5_VSI!$B:$B,2025,SSP5_VSI!I:I,Results_list!E214))</f>
        <v>2.979118004805644</v>
      </c>
      <c r="O214" s="19">
        <f>ROUND(N214-M214,2)</f>
        <v>0</v>
      </c>
    </row>
    <row r="215" spans="2:15" x14ac:dyDescent="0.35">
      <c r="B215" s="83"/>
      <c r="C215" s="83"/>
      <c r="D215" s="22" t="s">
        <v>40</v>
      </c>
      <c r="E215" s="25" t="s">
        <v>71</v>
      </c>
      <c r="F215" s="3" t="s">
        <v>88</v>
      </c>
      <c r="G215" s="12">
        <f>((SUMIFS(SSP1_Baseline!$E:$E,SSP1_Baseline!$C:$C,Results_list!$C$214,SSP1_Baseline!$D:$D,Results_list!$D215,SSP1_Baseline!$B:$B,2040,SSP1_Baseline!I:I,Results_list!E215))
- (SUMIFS(SSP1_Baseline!$E:$E,SSP1_Baseline!$C:$C,Results_list!$C$214,SSP1_Baseline!$D:$D,Results_list!$D215,SSP1_Baseline!$B:$B,2025,SSP1_Baseline!I:I,Results_list!E215)))
/ (SUMIFS(SSP1_Baseline!$E:$E,SSP1_Baseline!$C:$C,Results_list!$C$214,SSP1_Baseline!$D:$D,Results_list!$D215,SSP1_Baseline!$B:$B,2025,SSP1_Baseline!I:I,Results_list!E215))</f>
        <v>-4.6293478642547792E-2</v>
      </c>
      <c r="H215" s="16">
        <f>((SUMIFS(SSP1_VSI!$F:$F,SSP1_VSI!$C:$C,Results_list!$C$214,SSP1_VSI!$D:$D,Results_list!$D215,SSP1_VSI!$B:$B,2040,SSP1_VSI!I:I,Results_list!E215))
- (SUMIFS(SSP1_VSI!$F:$F,SSP1_VSI!$C:$C,Results_list!$C$214,SSP1_VSI!$D:$D,Results_list!$D215,SSP1_VSI!$B:$B,2025,SSP1_VSI!I:I,Results_list!E215)))
/ (SUMIFS(SSP1_VSI!$F:$F,SSP1_VSI!$C:$C,Results_list!$C$214,SSP1_VSI!$D:$D,Results_list!$D215,SSP1_VSI!$B:$B,2025,SSP1_VSI!I:I,Results_list!E215))</f>
        <v>-4.629414606961408E-2</v>
      </c>
      <c r="I215" s="13">
        <f t="shared" ref="I215:I231" si="30">ROUND(H215-G215,3)</f>
        <v>0</v>
      </c>
      <c r="J215" s="12">
        <f>((SUMIFS(SSP2_Baseline!$E:$E,SSP2_Baseline!$C:$C,Results_list!$C$214,SSP2_Baseline!$D:$D,Results_list!$D215,SSP2_Baseline!$B:$B,2040,SSP2_Baseline!I:I,Results_list!E215))
- (SUMIFS(SSP2_Baseline!$E:$E,SSP2_Baseline!$C:$C,Results_list!$C$214,SSP2_Baseline!$D:$D,Results_list!$D215,SSP2_Baseline!$B:$B,2025,SSP2_Baseline!I:I,Results_list!E215)))
/ (SUMIFS(SSP2_Baseline!$E:$E,SSP2_Baseline!$C:$C,Results_list!$C$214,SSP2_Baseline!$D:$D,Results_list!$D215,SSP2_Baseline!$B:$B,2025,SSP2_Baseline!I:I,Results_list!E215))</f>
        <v>-4.4550650233418497E-2</v>
      </c>
      <c r="K215" s="16">
        <f>((SUMIFS(SSP2_VSI!$F:$F,SSP2_VSI!$C:$C,Results_list!$C$214,SSP2_VSI!$D:$D,Results_list!$D215,SSP2_VSI!$B:$B,2040,SSP2_VSI!I:I,Results_list!E215))
- (SUMIFS(SSP2_VSI!$F:$F,SSP2_VSI!$C:$C,Results_list!$C$214,SSP2_VSI!$D:$D,Results_list!$D215,SSP2_VSI!$B:$B,2025,SSP2_VSI!I:I,Results_list!E215)))
/ (SUMIFS(SSP2_VSI!$F:$F,SSP2_VSI!$C:$C,Results_list!$C$214,SSP2_VSI!$D:$D,Results_list!$D215,SSP2_VSI!$B:$B,2025,SSP2_VSI!I:I,Results_list!E215))</f>
        <v>-4.4551562942636257E-2</v>
      </c>
      <c r="L215" s="13">
        <f t="shared" ref="L215:L231" si="31">ROUND(K215-J215,2)</f>
        <v>0</v>
      </c>
      <c r="M215" s="12">
        <f>((SUMIFS(SSP5_Baseline!$E:$E,SSP5_Baseline!$C:$C,Results_list!$C$214,SSP5_Baseline!$D:$D,Results_list!$D215,SSP5_Baseline!$B:$B,2040,SSP5_Baseline!I:I,Results_list!E215))
- (SUMIFS(SSP5_Baseline!$E:$E,SSP5_Baseline!$C:$C,Results_list!$C$214,SSP5_Baseline!$D:$D,Results_list!$D215,SSP5_Baseline!$B:$B,2025,SSP5_Baseline!I:I,Results_list!E215)))
/ (SUMIFS(SSP5_Baseline!$E:$E,SSP5_Baseline!$C:$C,Results_list!$C$214,SSP5_Baseline!$D:$D,Results_list!$D215,SSP5_Baseline!$B:$B,2025,SSP5_Baseline!I:I,Results_list!E215))</f>
        <v>-2.7917378104772104E-3</v>
      </c>
      <c r="N215" s="16">
        <f>((SUMIFS(SSP5_VSI!$F:$F,SSP5_VSI!$C:$C,Results_list!$C$214,SSP5_VSI!$D:$D,Results_list!$D215,SSP5_VSI!$B:$B,2040,SSP5_VSI!I:I,Results_list!E215)) - (SUMIFS(SSP5_VSI!$F:$F,SSP5_VSI!$C:$C,Results_list!$C$214,SSP5_VSI!$D:$D,Results_list!$D215,SSP5_VSI!$B:$B,2025,SSP5_VSI!I:I,Results_list!E215))) / (SUMIFS(SSP5_VSI!$F:$F,SSP5_VSI!$C:$C,Results_list!$C$214,SSP5_VSI!$D:$D,Results_list!$D215,SSP5_VSI!$B:$B,2025,SSP5_VSI!I:I,Results_list!E215))</f>
        <v>-2.7953062254803427E-3</v>
      </c>
      <c r="O215" s="13">
        <f t="shared" ref="O215:O231" si="32">ROUND(N215-M215,2)</f>
        <v>0</v>
      </c>
    </row>
    <row r="216" spans="2:15" x14ac:dyDescent="0.35">
      <c r="B216" s="83"/>
      <c r="C216" s="83"/>
      <c r="D216" s="22" t="s">
        <v>41</v>
      </c>
      <c r="E216" s="25" t="s">
        <v>71</v>
      </c>
      <c r="F216" s="3" t="s">
        <v>89</v>
      </c>
      <c r="G216" s="12">
        <f>((SUMIFS(SSP1_Baseline!$E:$E,SSP1_Baseline!$C:$C,Results_list!$C$214,SSP1_Baseline!$D:$D,Results_list!$D216,SSP1_Baseline!$B:$B,2040,SSP1_Baseline!I:I,Results_list!E216))
- (SUMIFS(SSP1_Baseline!$E:$E,SSP1_Baseline!$C:$C,Results_list!$C$214,SSP1_Baseline!$D:$D,Results_list!$D216,SSP1_Baseline!$B:$B,2025,SSP1_Baseline!I:I,Results_list!E216)))
/ (SUMIFS(SSP1_Baseline!$E:$E,SSP1_Baseline!$C:$C,Results_list!$C$214,SSP1_Baseline!$D:$D,Results_list!$D216,SSP1_Baseline!$B:$B,2025,SSP1_Baseline!I:I,Results_list!E216))</f>
        <v>-7.1549204811625591E-2</v>
      </c>
      <c r="H216" s="16">
        <f>((SUMIFS(SSP1_VSI!$F:$F,SSP1_VSI!$C:$C,Results_list!$C$214,SSP1_VSI!$D:$D,Results_list!$D216,SSP1_VSI!$B:$B,2040,SSP1_VSI!I:I,Results_list!E216))
- (SUMIFS(SSP1_VSI!$F:$F,SSP1_VSI!$C:$C,Results_list!$C$214,SSP1_VSI!$D:$D,Results_list!$D216,SSP1_VSI!$B:$B,2025,SSP1_VSI!I:I,Results_list!E216)))
/ (SUMIFS(SSP1_VSI!$F:$F,SSP1_VSI!$C:$C,Results_list!$C$214,SSP1_VSI!$D:$D,Results_list!$D216,SSP1_VSI!$B:$B,2025,SSP1_VSI!I:I,Results_list!E216))</f>
        <v>-7.1556234991728127E-2</v>
      </c>
      <c r="I216" s="13">
        <f t="shared" si="30"/>
        <v>0</v>
      </c>
      <c r="J216" s="12">
        <f>((SUMIFS(SSP2_Baseline!$E:$E,SSP2_Baseline!$C:$C,Results_list!$C$214,SSP2_Baseline!$D:$D,Results_list!$D216,SSP2_Baseline!$B:$B,2040,SSP2_Baseline!I:I,Results_list!E216))
- (SUMIFS(SSP2_Baseline!$E:$E,SSP2_Baseline!$C:$C,Results_list!$C$214,SSP2_Baseline!$D:$D,Results_list!$D216,SSP2_Baseline!$B:$B,2025,SSP2_Baseline!I:I,Results_list!E216)))
/ (SUMIFS(SSP2_Baseline!$E:$E,SSP2_Baseline!$C:$C,Results_list!$C$214,SSP2_Baseline!$D:$D,Results_list!$D216,SSP2_Baseline!$B:$B,2025,SSP2_Baseline!I:I,Results_list!E216))</f>
        <v>-7.0043883238800828E-2</v>
      </c>
      <c r="K216" s="16">
        <f>((SUMIFS(SSP2_VSI!$F:$F,SSP2_VSI!$C:$C,Results_list!$C$214,SSP2_VSI!$D:$D,Results_list!$D216,SSP2_VSI!$B:$B,2040,SSP2_VSI!I:I,Results_list!E216))
- (SUMIFS(SSP2_VSI!$F:$F,SSP2_VSI!$C:$C,Results_list!$C$214,SSP2_VSI!$D:$D,Results_list!$D216,SSP2_VSI!$B:$B,2025,SSP2_VSI!I:I,Results_list!E216)))
/ (SUMIFS(SSP2_VSI!$F:$F,SSP2_VSI!$C:$C,Results_list!$C$214,SSP2_VSI!$D:$D,Results_list!$D216,SSP2_VSI!$B:$B,2025,SSP2_VSI!I:I,Results_list!E216))</f>
        <v>-7.0042113846555537E-2</v>
      </c>
      <c r="L216" s="13">
        <f t="shared" si="31"/>
        <v>0</v>
      </c>
      <c r="M216" s="12">
        <f>((SUMIFS(SSP5_Baseline!$E:$E,SSP5_Baseline!$C:$C,Results_list!$C$214,SSP5_Baseline!$D:$D,Results_list!$D216,SSP5_Baseline!$B:$B,2040,SSP5_Baseline!I:I,Results_list!E216))
- (SUMIFS(SSP5_Baseline!$E:$E,SSP5_Baseline!$C:$C,Results_list!$C$214,SSP5_Baseline!$D:$D,Results_list!$D216,SSP5_Baseline!$B:$B,2025,SSP5_Baseline!I:I,Results_list!E216)))
/ (SUMIFS(SSP5_Baseline!$E:$E,SSP5_Baseline!$C:$C,Results_list!$C$214,SSP5_Baseline!$D:$D,Results_list!$D216,SSP5_Baseline!$B:$B,2025,SSP5_Baseline!I:I,Results_list!E216))</f>
        <v>-3.298686773316345E-2</v>
      </c>
      <c r="N216" s="16">
        <f>((SUMIFS(SSP5_VSI!$F:$F,SSP5_VSI!$C:$C,Results_list!$C$214,SSP5_VSI!$D:$D,Results_list!$D216,SSP5_VSI!$B:$B,2040,SSP5_VSI!I:I,Results_list!E216)) - (SUMIFS(SSP5_VSI!$F:$F,SSP5_VSI!$C:$C,Results_list!$C$214,SSP5_VSI!$D:$D,Results_list!$D216,SSP5_VSI!$B:$B,2025,SSP5_VSI!I:I,Results_list!E216))) / (SUMIFS(SSP5_VSI!$F:$F,SSP5_VSI!$C:$C,Results_list!$C$214,SSP5_VSI!$D:$D,Results_list!$D216,SSP5_VSI!$B:$B,2025,SSP5_VSI!I:I,Results_list!E216))</f>
        <v>-3.2989858739036253E-2</v>
      </c>
      <c r="O216" s="13">
        <f t="shared" si="32"/>
        <v>0</v>
      </c>
    </row>
    <row r="217" spans="2:15" x14ac:dyDescent="0.35">
      <c r="B217" s="83"/>
      <c r="C217" s="83"/>
      <c r="D217" s="22" t="s">
        <v>42</v>
      </c>
      <c r="E217" s="25" t="s">
        <v>71</v>
      </c>
      <c r="F217" s="3" t="s">
        <v>90</v>
      </c>
      <c r="G217" s="12">
        <f>((SUMIFS(SSP1_Baseline!$E:$E,SSP1_Baseline!$C:$C,Results_list!$C$214,SSP1_Baseline!$D:$D,Results_list!$D217,SSP1_Baseline!$B:$B,2040,SSP1_Baseline!I:I,Results_list!E217))
- (SUMIFS(SSP1_Baseline!$E:$E,SSP1_Baseline!$C:$C,Results_list!$C$214,SSP1_Baseline!$D:$D,Results_list!$D217,SSP1_Baseline!$B:$B,2025,SSP1_Baseline!I:I,Results_list!E217)))
/ (SUMIFS(SSP1_Baseline!$E:$E,SSP1_Baseline!$C:$C,Results_list!$C$214,SSP1_Baseline!$D:$D,Results_list!$D217,SSP1_Baseline!$B:$B,2025,SSP1_Baseline!I:I,Results_list!E217))</f>
        <v>-0.2564032671397854</v>
      </c>
      <c r="H217" s="16">
        <f>((SUMIFS(SSP1_VSI!$F:$F,SSP1_VSI!$C:$C,Results_list!$C$214,SSP1_VSI!$D:$D,Results_list!$D217,SSP1_VSI!$B:$B,2040,SSP1_VSI!I:I,Results_list!E217))
- (SUMIFS(SSP1_VSI!$F:$F,SSP1_VSI!$C:$C,Results_list!$C$214,SSP1_VSI!$D:$D,Results_list!$D217,SSP1_VSI!$B:$B,2025,SSP1_VSI!I:I,Results_list!E217)))
/ (SUMIFS(SSP1_VSI!$F:$F,SSP1_VSI!$C:$C,Results_list!$C$214,SSP1_VSI!$D:$D,Results_list!$D217,SSP1_VSI!$B:$B,2025,SSP1_VSI!I:I,Results_list!E217))</f>
        <v>-0.25638981595775912</v>
      </c>
      <c r="I217" s="13">
        <f t="shared" si="30"/>
        <v>0</v>
      </c>
      <c r="J217" s="12">
        <f>((SUMIFS(SSP2_Baseline!$E:$E,SSP2_Baseline!$C:$C,Results_list!$C$214,SSP2_Baseline!$D:$D,Results_list!$D217,SSP2_Baseline!$B:$B,2040,SSP2_Baseline!I:I,Results_list!E217))
- (SUMIFS(SSP2_Baseline!$E:$E,SSP2_Baseline!$C:$C,Results_list!$C$214,SSP2_Baseline!$D:$D,Results_list!$D217,SSP2_Baseline!$B:$B,2025,SSP2_Baseline!I:I,Results_list!E217)))
/ (SUMIFS(SSP2_Baseline!$E:$E,SSP2_Baseline!$C:$C,Results_list!$C$214,SSP2_Baseline!$D:$D,Results_list!$D217,SSP2_Baseline!$B:$B,2025,SSP2_Baseline!I:I,Results_list!E217))</f>
        <v>-0.25808199040057733</v>
      </c>
      <c r="K217" s="16">
        <f>((SUMIFS(SSP2_VSI!$F:$F,SSP2_VSI!$C:$C,Results_list!$C$214,SSP2_VSI!$D:$D,Results_list!$D217,SSP2_VSI!$B:$B,2040,SSP2_VSI!I:I,Results_list!E217))
- (SUMIFS(SSP2_VSI!$F:$F,SSP2_VSI!$C:$C,Results_list!$C$214,SSP2_VSI!$D:$D,Results_list!$D217,SSP2_VSI!$B:$B,2025,SSP2_VSI!I:I,Results_list!E217)))
/ (SUMIFS(SSP2_VSI!$F:$F,SSP2_VSI!$C:$C,Results_list!$C$214,SSP2_VSI!$D:$D,Results_list!$D217,SSP2_VSI!$B:$B,2025,SSP2_VSI!I:I,Results_list!E217))</f>
        <v>-0.25809018469689377</v>
      </c>
      <c r="L217" s="13">
        <f t="shared" si="31"/>
        <v>0</v>
      </c>
      <c r="M217" s="12">
        <f>((SUMIFS(SSP5_Baseline!$E:$E,SSP5_Baseline!$C:$C,Results_list!$C$214,SSP5_Baseline!$D:$D,Results_list!$D217,SSP5_Baseline!$B:$B,2040,SSP5_Baseline!I:I,Results_list!E217))
- (SUMIFS(SSP5_Baseline!$E:$E,SSP5_Baseline!$C:$C,Results_list!$C$214,SSP5_Baseline!$D:$D,Results_list!$D217,SSP5_Baseline!$B:$B,2025,SSP5_Baseline!I:I,Results_list!E217)))
/ (SUMIFS(SSP5_Baseline!$E:$E,SSP5_Baseline!$C:$C,Results_list!$C$214,SSP5_Baseline!$D:$D,Results_list!$D217,SSP5_Baseline!$B:$B,2025,SSP5_Baseline!I:I,Results_list!E217))</f>
        <v>0.31461424062623367</v>
      </c>
      <c r="N217" s="16">
        <f>((SUMIFS(SSP5_VSI!$F:$F,SSP5_VSI!$C:$C,Results_list!$C$214,SSP5_VSI!$D:$D,Results_list!$D217,SSP5_VSI!$B:$B,2040,SSP5_VSI!I:I,Results_list!E217)) - (SUMIFS(SSP5_VSI!$F:$F,SSP5_VSI!$C:$C,Results_list!$C$214,SSP5_VSI!$D:$D,Results_list!$D217,SSP5_VSI!$B:$B,2025,SSP5_VSI!I:I,Results_list!E217))) / (SUMIFS(SSP5_VSI!$F:$F,SSP5_VSI!$C:$C,Results_list!$C$214,SSP5_VSI!$D:$D,Results_list!$D217,SSP5_VSI!$B:$B,2025,SSP5_VSI!I:I,Results_list!E217))</f>
        <v>0.31467670409920256</v>
      </c>
      <c r="O217" s="13">
        <f t="shared" si="32"/>
        <v>0</v>
      </c>
    </row>
    <row r="218" spans="2:15" x14ac:dyDescent="0.35">
      <c r="B218" s="83"/>
      <c r="C218" s="83"/>
      <c r="D218" s="22" t="s">
        <v>43</v>
      </c>
      <c r="E218" s="25" t="s">
        <v>71</v>
      </c>
      <c r="F218" s="3" t="s">
        <v>91</v>
      </c>
      <c r="G218" s="12">
        <f>((SUMIFS(SSP1_Baseline!$E:$E,SSP1_Baseline!$C:$C,Results_list!$C$214,SSP1_Baseline!$D:$D,Results_list!$D218,SSP1_Baseline!$B:$B,2040,SSP1_Baseline!I:I,Results_list!E218))
- (SUMIFS(SSP1_Baseline!$E:$E,SSP1_Baseline!$C:$C,Results_list!$C$214,SSP1_Baseline!$D:$D,Results_list!$D218,SSP1_Baseline!$B:$B,2025,SSP1_Baseline!I:I,Results_list!E218)))
/ (SUMIFS(SSP1_Baseline!$E:$E,SSP1_Baseline!$C:$C,Results_list!$C$214,SSP1_Baseline!$D:$D,Results_list!$D218,SSP1_Baseline!$B:$B,2025,SSP1_Baseline!I:I,Results_list!E218))</f>
        <v>-7.7691259824348824E-2</v>
      </c>
      <c r="H218" s="16">
        <f>((SUMIFS(SSP1_VSI!$F:$F,SSP1_VSI!$C:$C,Results_list!$C$214,SSP1_VSI!$D:$D,Results_list!$D218,SSP1_VSI!$B:$B,2040,SSP1_VSI!I:I,Results_list!E218))
- (SUMIFS(SSP1_VSI!$F:$F,SSP1_VSI!$C:$C,Results_list!$C$214,SSP1_VSI!$D:$D,Results_list!$D218,SSP1_VSI!$B:$B,2025,SSP1_VSI!I:I,Results_list!E218)))
/ (SUMIFS(SSP1_VSI!$F:$F,SSP1_VSI!$C:$C,Results_list!$C$214,SSP1_VSI!$D:$D,Results_list!$D218,SSP1_VSI!$B:$B,2025,SSP1_VSI!I:I,Results_list!E218))</f>
        <v>-7.7693854417284672E-2</v>
      </c>
      <c r="I218" s="13">
        <f t="shared" si="30"/>
        <v>0</v>
      </c>
      <c r="J218" s="12">
        <f>((SUMIFS(SSP2_Baseline!$E:$E,SSP2_Baseline!$C:$C,Results_list!$C$214,SSP2_Baseline!$D:$D,Results_list!$D218,SSP2_Baseline!$B:$B,2040,SSP2_Baseline!I:I,Results_list!E218))
- (SUMIFS(SSP2_Baseline!$E:$E,SSP2_Baseline!$C:$C,Results_list!$C$214,SSP2_Baseline!$D:$D,Results_list!$D218,SSP2_Baseline!$B:$B,2025,SSP2_Baseline!I:I,Results_list!E218)))
/ (SUMIFS(SSP2_Baseline!$E:$E,SSP2_Baseline!$C:$C,Results_list!$C$214,SSP2_Baseline!$D:$D,Results_list!$D218,SSP2_Baseline!$B:$B,2025,SSP2_Baseline!I:I,Results_list!E218))</f>
        <v>-6.0168149103966381E-2</v>
      </c>
      <c r="K218" s="16">
        <f>((SUMIFS(SSP2_VSI!$F:$F,SSP2_VSI!$C:$C,Results_list!$C$214,SSP2_VSI!$D:$D,Results_list!$D218,SSP2_VSI!$B:$B,2040,SSP2_VSI!I:I,Results_list!E218))
- (SUMIFS(SSP2_VSI!$F:$F,SSP2_VSI!$C:$C,Results_list!$C$214,SSP2_VSI!$D:$D,Results_list!$D218,SSP2_VSI!$B:$B,2025,SSP2_VSI!I:I,Results_list!E218)))
/ (SUMIFS(SSP2_VSI!$F:$F,SSP2_VSI!$C:$C,Results_list!$C$214,SSP2_VSI!$D:$D,Results_list!$D218,SSP2_VSI!$B:$B,2025,SSP2_VSI!I:I,Results_list!E218))</f>
        <v>-6.0166438821147139E-2</v>
      </c>
      <c r="L218" s="13">
        <f t="shared" si="31"/>
        <v>0</v>
      </c>
      <c r="M218" s="12">
        <f>((SUMIFS(SSP5_Baseline!$E:$E,SSP5_Baseline!$C:$C,Results_list!$C$214,SSP5_Baseline!$D:$D,Results_list!$D218,SSP5_Baseline!$B:$B,2040,SSP5_Baseline!I:I,Results_list!E218))
- (SUMIFS(SSP5_Baseline!$E:$E,SSP5_Baseline!$C:$C,Results_list!$C$214,SSP5_Baseline!$D:$D,Results_list!$D218,SSP5_Baseline!$B:$B,2025,SSP5_Baseline!I:I,Results_list!E218)))
/ (SUMIFS(SSP5_Baseline!$E:$E,SSP5_Baseline!$C:$C,Results_list!$C$214,SSP5_Baseline!$D:$D,Results_list!$D218,SSP5_Baseline!$B:$B,2025,SSP5_Baseline!I:I,Results_list!E218))</f>
        <v>-5.2699724429085713E-3</v>
      </c>
      <c r="N218" s="16">
        <f>((SUMIFS(SSP5_VSI!$F:$F,SSP5_VSI!$C:$C,Results_list!$C$214,SSP5_VSI!$D:$D,Results_list!$D218,SSP5_VSI!$B:$B,2040,SSP5_VSI!I:I,Results_list!E218)) - (SUMIFS(SSP5_VSI!$F:$F,SSP5_VSI!$C:$C,Results_list!$C$214,SSP5_VSI!$D:$D,Results_list!$D218,SSP5_VSI!$B:$B,2025,SSP5_VSI!I:I,Results_list!E218))) / (SUMIFS(SSP5_VSI!$F:$F,SSP5_VSI!$C:$C,Results_list!$C$214,SSP5_VSI!$D:$D,Results_list!$D218,SSP5_VSI!$B:$B,2025,SSP5_VSI!I:I,Results_list!E218))</f>
        <v>-5.2682379716707311E-3</v>
      </c>
      <c r="O218" s="13">
        <f t="shared" si="32"/>
        <v>0</v>
      </c>
    </row>
    <row r="219" spans="2:15" x14ac:dyDescent="0.35">
      <c r="B219" s="83"/>
      <c r="C219" s="83"/>
      <c r="D219" t="s">
        <v>136</v>
      </c>
      <c r="E219" s="25" t="s">
        <v>71</v>
      </c>
      <c r="F219" s="3" t="s">
        <v>92</v>
      </c>
      <c r="G219" s="12">
        <f>((SUMIFS(SSP1_Baseline!$E:$E,SSP1_Baseline!$C:$C,Results_list!$C$214,SSP1_Baseline!$D:$D,Results_list!$D219,SSP1_Baseline!$B:$B,2040,SSP1_Baseline!I:I,Results_list!E219))
- (SUMIFS(SSP1_Baseline!$E:$E,SSP1_Baseline!$C:$C,Results_list!$C$214,SSP1_Baseline!$D:$D,Results_list!$D219,SSP1_Baseline!$B:$B,2025,SSP1_Baseline!I:I,Results_list!E219)))
/ (SUMIFS(SSP1_Baseline!$E:$E,SSP1_Baseline!$C:$C,Results_list!$C$214,SSP1_Baseline!$D:$D,Results_list!$D219,SSP1_Baseline!$B:$B,2025,SSP1_Baseline!I:I,Results_list!E219))</f>
        <v>-0.28656628042968696</v>
      </c>
      <c r="H219" s="16">
        <f>((SUMIFS(SSP1_VSI!$F:$F,SSP1_VSI!$C:$C,Results_list!$C$214,SSP1_VSI!$D:$D,Results_list!$D219,SSP1_VSI!$B:$B,2040,SSP1_VSI!I:I,Results_list!E219))
- (SUMIFS(SSP1_VSI!$F:$F,SSP1_VSI!$C:$C,Results_list!$C$214,SSP1_VSI!$D:$D,Results_list!$D219,SSP1_VSI!$B:$B,2025,SSP1_VSI!I:I,Results_list!E219)))
/ (SUMIFS(SSP1_VSI!$F:$F,SSP1_VSI!$C:$C,Results_list!$C$214,SSP1_VSI!$D:$D,Results_list!$D219,SSP1_VSI!$B:$B,2025,SSP1_VSI!I:I,Results_list!E219))</f>
        <v>-0.28658221747849727</v>
      </c>
      <c r="I219" s="13">
        <f t="shared" si="30"/>
        <v>0</v>
      </c>
      <c r="J219" s="12">
        <f>((SUMIFS(SSP2_Baseline!$E:$E,SSP2_Baseline!$C:$C,Results_list!$C$214,SSP2_Baseline!$D:$D,Results_list!$D219,SSP2_Baseline!$B:$B,2040,SSP2_Baseline!I:I,Results_list!E219))
- (SUMIFS(SSP2_Baseline!$E:$E,SSP2_Baseline!$C:$C,Results_list!$C$214,SSP2_Baseline!$D:$D,Results_list!$D219,SSP2_Baseline!$B:$B,2025,SSP2_Baseline!I:I,Results_list!E219)))
/ (SUMIFS(SSP2_Baseline!$E:$E,SSP2_Baseline!$C:$C,Results_list!$C$214,SSP2_Baseline!$D:$D,Results_list!$D219,SSP2_Baseline!$B:$B,2025,SSP2_Baseline!I:I,Results_list!E219))</f>
        <v>-0.26832961235222619</v>
      </c>
      <c r="K219" s="16">
        <f>((SUMIFS(SSP2_VSI!$F:$F,SSP2_VSI!$C:$C,Results_list!$C$214,SSP2_VSI!$D:$D,Results_list!$D219,SSP2_VSI!$B:$B,2040,SSP2_VSI!I:I,Results_list!E219))
- (SUMIFS(SSP2_VSI!$F:$F,SSP2_VSI!$C:$C,Results_list!$C$214,SSP2_VSI!$D:$D,Results_list!$D219,SSP2_VSI!$B:$B,2025,SSP2_VSI!I:I,Results_list!E219)))
/ (SUMIFS(SSP2_VSI!$F:$F,SSP2_VSI!$C:$C,Results_list!$C$214,SSP2_VSI!$D:$D,Results_list!$D219,SSP2_VSI!$B:$B,2025,SSP2_VSI!I:I,Results_list!E219))</f>
        <v>-0.26832909512948183</v>
      </c>
      <c r="L219" s="13">
        <f t="shared" si="31"/>
        <v>0</v>
      </c>
      <c r="M219" s="12">
        <f>((SUMIFS(SSP5_Baseline!$E:$E,SSP5_Baseline!$C:$C,Results_list!$C$214,SSP5_Baseline!$D:$D,Results_list!$D219,SSP5_Baseline!$B:$B,2040,SSP5_Baseline!I:I,Results_list!E219))
- (SUMIFS(SSP5_Baseline!$E:$E,SSP5_Baseline!$C:$C,Results_list!$C$214,SSP5_Baseline!$D:$D,Results_list!$D219,SSP5_Baseline!$B:$B,2025,SSP5_Baseline!I:I,Results_list!E219)))
/ (SUMIFS(SSP5_Baseline!$E:$E,SSP5_Baseline!$C:$C,Results_list!$C$214,SSP5_Baseline!$D:$D,Results_list!$D219,SSP5_Baseline!$B:$B,2025,SSP5_Baseline!I:I,Results_list!E219))</f>
        <v>1.8304236445062183E-2</v>
      </c>
      <c r="N219" s="16">
        <f>((SUMIFS(SSP5_VSI!$F:$F,SSP5_VSI!$C:$C,Results_list!$C$214,SSP5_VSI!$D:$D,Results_list!$D219,SSP5_VSI!$B:$B,2040,SSP5_VSI!I:I,Results_list!E219)) - (SUMIFS(SSP5_VSI!$F:$F,SSP5_VSI!$C:$C,Results_list!$C$214,SSP5_VSI!$D:$D,Results_list!$D219,SSP5_VSI!$B:$B,2025,SSP5_VSI!I:I,Results_list!E219))) / (SUMIFS(SSP5_VSI!$F:$F,SSP5_VSI!$C:$C,Results_list!$C$214,SSP5_VSI!$D:$D,Results_list!$D219,SSP5_VSI!$B:$B,2025,SSP5_VSI!I:I,Results_list!E219))</f>
        <v>1.8320826605278187E-2</v>
      </c>
      <c r="O219" s="13">
        <f t="shared" si="32"/>
        <v>0</v>
      </c>
    </row>
    <row r="220" spans="2:15" x14ac:dyDescent="0.35">
      <c r="B220" s="83"/>
      <c r="C220" s="83"/>
      <c r="D220" s="22" t="s">
        <v>45</v>
      </c>
      <c r="E220" s="25" t="s">
        <v>71</v>
      </c>
      <c r="F220" s="3" t="s">
        <v>93</v>
      </c>
      <c r="G220" s="12">
        <f>((SUMIFS(SSP1_Baseline!$E:$E,SSP1_Baseline!$C:$C,Results_list!$C$214,SSP1_Baseline!$D:$D,Results_list!$D220,SSP1_Baseline!$B:$B,2040,SSP1_Baseline!I:I,Results_list!E220))
- (SUMIFS(SSP1_Baseline!$E:$E,SSP1_Baseline!$C:$C,Results_list!$C$214,SSP1_Baseline!$D:$D,Results_list!$D220,SSP1_Baseline!$B:$B,2025,SSP1_Baseline!I:I,Results_list!E220)))
/ (SUMIFS(SSP1_Baseline!$E:$E,SSP1_Baseline!$C:$C,Results_list!$C$214,SSP1_Baseline!$D:$D,Results_list!$D220,SSP1_Baseline!$B:$B,2025,SSP1_Baseline!I:I,Results_list!E220))</f>
        <v>-1.373628925798117E-2</v>
      </c>
      <c r="H220" s="16">
        <f>((SUMIFS(SSP1_VSI!$F:$F,SSP1_VSI!$C:$C,Results_list!$C$214,SSP1_VSI!$D:$D,Results_list!$D220,SSP1_VSI!$B:$B,2040,SSP1_VSI!I:I,Results_list!E220))
- (SUMIFS(SSP1_VSI!$F:$F,SSP1_VSI!$C:$C,Results_list!$C$214,SSP1_VSI!$D:$D,Results_list!$D220,SSP1_VSI!$B:$B,2025,SSP1_VSI!I:I,Results_list!E220)))
/ (SUMIFS(SSP1_VSI!$F:$F,SSP1_VSI!$C:$C,Results_list!$C$214,SSP1_VSI!$D:$D,Results_list!$D220,SSP1_VSI!$B:$B,2025,SSP1_VSI!I:I,Results_list!E220))</f>
        <v>-0.90485887995433512</v>
      </c>
      <c r="I220" s="13">
        <f t="shared" si="30"/>
        <v>-0.89100000000000001</v>
      </c>
      <c r="J220" s="12">
        <f>((SUMIFS(SSP2_Baseline!$E:$E,SSP2_Baseline!$C:$C,Results_list!$C$214,SSP2_Baseline!$D:$D,Results_list!$D220,SSP2_Baseline!$B:$B,2040,SSP2_Baseline!I:I,Results_list!E220))
- (SUMIFS(SSP2_Baseline!$E:$E,SSP2_Baseline!$C:$C,Results_list!$C$214,SSP2_Baseline!$D:$D,Results_list!$D220,SSP2_Baseline!$B:$B,2025,SSP2_Baseline!I:I,Results_list!E220)))
/ (SUMIFS(SSP2_Baseline!$E:$E,SSP2_Baseline!$C:$C,Results_list!$C$214,SSP2_Baseline!$D:$D,Results_list!$D220,SSP2_Baseline!$B:$B,2025,SSP2_Baseline!I:I,Results_list!E220))</f>
        <v>-1.3705926860054181E-2</v>
      </c>
      <c r="K220" s="16">
        <f>((SUMIFS(SSP2_VSI!$F:$F,SSP2_VSI!$C:$C,Results_list!$C$214,SSP2_VSI!$D:$D,Results_list!$D220,SSP2_VSI!$B:$B,2040,SSP2_VSI!I:I,Results_list!E220))
- (SUMIFS(SSP2_VSI!$F:$F,SSP2_VSI!$C:$C,Results_list!$C$214,SSP2_VSI!$D:$D,Results_list!$D220,SSP2_VSI!$B:$B,2025,SSP2_VSI!I:I,Results_list!E220)))
/ (SUMIFS(SSP2_VSI!$F:$F,SSP2_VSI!$C:$C,Results_list!$C$214,SSP2_VSI!$D:$D,Results_list!$D220,SSP2_VSI!$B:$B,2025,SSP2_VSI!I:I,Results_list!E220))</f>
        <v>-0.90636304161940418</v>
      </c>
      <c r="L220" s="13">
        <f t="shared" si="31"/>
        <v>-0.89</v>
      </c>
      <c r="M220" s="12">
        <f>((SUMIFS(SSP5_Baseline!$E:$E,SSP5_Baseline!$C:$C,Results_list!$C$214,SSP5_Baseline!$D:$D,Results_list!$D220,SSP5_Baseline!$B:$B,2040,SSP5_Baseline!I:I,Results_list!E220))
- (SUMIFS(SSP5_Baseline!$E:$E,SSP5_Baseline!$C:$C,Results_list!$C$214,SSP5_Baseline!$D:$D,Results_list!$D220,SSP5_Baseline!$B:$B,2025,SSP5_Baseline!I:I,Results_list!E220)))
/ (SUMIFS(SSP5_Baseline!$E:$E,SSP5_Baseline!$C:$C,Results_list!$C$214,SSP5_Baseline!$D:$D,Results_list!$D220,SSP5_Baseline!$B:$B,2025,SSP5_Baseline!I:I,Results_list!E220))</f>
        <v>-1.1540582085200739E-2</v>
      </c>
      <c r="N220" s="16">
        <f>((SUMIFS(SSP5_VSI!$F:$F,SSP5_VSI!$C:$C,Results_list!$C$214,SSP5_VSI!$D:$D,Results_list!$D220,SSP5_VSI!$B:$B,2040,SSP5_VSI!I:I,Results_list!E220)) - (SUMIFS(SSP5_VSI!$F:$F,SSP5_VSI!$C:$C,Results_list!$C$214,SSP5_VSI!$D:$D,Results_list!$D220,SSP5_VSI!$B:$B,2025,SSP5_VSI!I:I,Results_list!E220))) / (SUMIFS(SSP5_VSI!$F:$F,SSP5_VSI!$C:$C,Results_list!$C$214,SSP5_VSI!$D:$D,Results_list!$D220,SSP5_VSI!$B:$B,2025,SSP5_VSI!I:I,Results_list!E220))</f>
        <v>-0.90508530868392723</v>
      </c>
      <c r="O220" s="13">
        <f t="shared" si="32"/>
        <v>-0.89</v>
      </c>
    </row>
    <row r="221" spans="2:15" x14ac:dyDescent="0.35">
      <c r="B221" s="83"/>
      <c r="C221" s="83"/>
      <c r="D221" s="22" t="s">
        <v>46</v>
      </c>
      <c r="E221" s="25" t="s">
        <v>71</v>
      </c>
      <c r="F221" s="3" t="s">
        <v>94</v>
      </c>
      <c r="G221" s="12">
        <f>((SUMIFS(SSP1_Baseline!$E:$E,SSP1_Baseline!$C:$C,Results_list!$C$214,SSP1_Baseline!$D:$D,Results_list!$D221,SSP1_Baseline!$B:$B,2040,SSP1_Baseline!I:I,Results_list!E221))
- (SUMIFS(SSP1_Baseline!$E:$E,SSP1_Baseline!$C:$C,Results_list!$C$214,SSP1_Baseline!$D:$D,Results_list!$D221,SSP1_Baseline!$B:$B,2025,SSP1_Baseline!I:I,Results_list!E221)))
/ (SUMIFS(SSP1_Baseline!$E:$E,SSP1_Baseline!$C:$C,Results_list!$C$214,SSP1_Baseline!$D:$D,Results_list!$D221,SSP1_Baseline!$B:$B,2025,SSP1_Baseline!I:I,Results_list!E221))</f>
        <v>1.6838986471960991</v>
      </c>
      <c r="H221" s="16">
        <f>((SUMIFS(SSP1_VSI!$F:$F,SSP1_VSI!$C:$C,Results_list!$C$214,SSP1_VSI!$D:$D,Results_list!$D221,SSP1_VSI!$B:$B,2040,SSP1_VSI!I:I,Results_list!E221))
- (SUMIFS(SSP1_VSI!$F:$F,SSP1_VSI!$C:$C,Results_list!$C$214,SSP1_VSI!$D:$D,Results_list!$D221,SSP1_VSI!$B:$B,2025,SSP1_VSI!I:I,Results_list!E221)))
/ (SUMIFS(SSP1_VSI!$F:$F,SSP1_VSI!$C:$C,Results_list!$C$214,SSP1_VSI!$D:$D,Results_list!$D221,SSP1_VSI!$B:$B,2025,SSP1_VSI!I:I,Results_list!E221))</f>
        <v>1.6839263871474244</v>
      </c>
      <c r="I221" s="13">
        <f t="shared" si="30"/>
        <v>0</v>
      </c>
      <c r="J221" s="12">
        <f>((SUMIFS(SSP2_Baseline!$E:$E,SSP2_Baseline!$C:$C,Results_list!$C$214,SSP2_Baseline!$D:$D,Results_list!$D221,SSP2_Baseline!$B:$B,2040,SSP2_Baseline!I:I,Results_list!E221))
- (SUMIFS(SSP2_Baseline!$E:$E,SSP2_Baseline!$C:$C,Results_list!$C$214,SSP2_Baseline!$D:$D,Results_list!$D221,SSP2_Baseline!$B:$B,2025,SSP2_Baseline!I:I,Results_list!E221)))
/ (SUMIFS(SSP2_Baseline!$E:$E,SSP2_Baseline!$C:$C,Results_list!$C$214,SSP2_Baseline!$D:$D,Results_list!$D221,SSP2_Baseline!$B:$B,2025,SSP2_Baseline!I:I,Results_list!E221))</f>
        <v>2.6235351557328879</v>
      </c>
      <c r="K221" s="16">
        <f>((SUMIFS(SSP2_VSI!$F:$F,SSP2_VSI!$C:$C,Results_list!$C$214,SSP2_VSI!$D:$D,Results_list!$D221,SSP2_VSI!$B:$B,2040,SSP2_VSI!I:I,Results_list!E221))
- (SUMIFS(SSP2_VSI!$F:$F,SSP2_VSI!$C:$C,Results_list!$C$214,SSP2_VSI!$D:$D,Results_list!$D221,SSP2_VSI!$B:$B,2025,SSP2_VSI!I:I,Results_list!E221)))
/ (SUMIFS(SSP2_VSI!$F:$F,SSP2_VSI!$C:$C,Results_list!$C$214,SSP2_VSI!$D:$D,Results_list!$D221,SSP2_VSI!$B:$B,2025,SSP2_VSI!I:I,Results_list!E221))</f>
        <v>2.6233400785433547</v>
      </c>
      <c r="L221" s="13">
        <f t="shared" si="31"/>
        <v>0</v>
      </c>
      <c r="M221" s="12">
        <f>((SUMIFS(SSP5_Baseline!$E:$E,SSP5_Baseline!$C:$C,Results_list!$C$214,SSP5_Baseline!$D:$D,Results_list!$D221,SSP5_Baseline!$B:$B,2040,SSP5_Baseline!I:I,Results_list!E221))
- (SUMIFS(SSP5_Baseline!$E:$E,SSP5_Baseline!$C:$C,Results_list!$C$214,SSP5_Baseline!$D:$D,Results_list!$D221,SSP5_Baseline!$B:$B,2025,SSP5_Baseline!I:I,Results_list!E221)))
/ (SUMIFS(SSP5_Baseline!$E:$E,SSP5_Baseline!$C:$C,Results_list!$C$214,SSP5_Baseline!$D:$D,Results_list!$D221,SSP5_Baseline!$B:$B,2025,SSP5_Baseline!I:I,Results_list!E221))</f>
        <v>1.3244332650999797</v>
      </c>
      <c r="N221" s="16">
        <f>((SUMIFS(SSP5_VSI!$F:$F,SSP5_VSI!$C:$C,Results_list!$C$214,SSP5_VSI!$D:$D,Results_list!$D221,SSP5_VSI!$B:$B,2040,SSP5_VSI!I:I,Results_list!E221)) - (SUMIFS(SSP5_VSI!$F:$F,SSP5_VSI!$C:$C,Results_list!$C$214,SSP5_VSI!$D:$D,Results_list!$D221,SSP5_VSI!$B:$B,2025,SSP5_VSI!I:I,Results_list!E221))) / (SUMIFS(SSP5_VSI!$F:$F,SSP5_VSI!$C:$C,Results_list!$C$214,SSP5_VSI!$D:$D,Results_list!$D221,SSP5_VSI!$B:$B,2025,SSP5_VSI!I:I,Results_list!E221))</f>
        <v>1.3244599293297581</v>
      </c>
      <c r="O221" s="13">
        <f t="shared" si="32"/>
        <v>0</v>
      </c>
    </row>
    <row r="222" spans="2:15" x14ac:dyDescent="0.35">
      <c r="B222" s="83"/>
      <c r="C222" s="83"/>
      <c r="D222" s="22" t="s">
        <v>47</v>
      </c>
      <c r="E222" s="25" t="s">
        <v>71</v>
      </c>
      <c r="F222" s="3" t="s">
        <v>95</v>
      </c>
      <c r="G222" s="12">
        <f>((SUMIFS(SSP1_Baseline!$E:$E,SSP1_Baseline!$C:$C,Results_list!$C$214,SSP1_Baseline!$D:$D,Results_list!$D222,SSP1_Baseline!$B:$B,2040,SSP1_Baseline!I:I,Results_list!E222))
- (SUMIFS(SSP1_Baseline!$E:$E,SSP1_Baseline!$C:$C,Results_list!$C$214,SSP1_Baseline!$D:$D,Results_list!$D222,SSP1_Baseline!$B:$B,2025,SSP1_Baseline!I:I,Results_list!E222)))
/ (SUMIFS(SSP1_Baseline!$E:$E,SSP1_Baseline!$C:$C,Results_list!$C$214,SSP1_Baseline!$D:$D,Results_list!$D222,SSP1_Baseline!$B:$B,2025,SSP1_Baseline!I:I,Results_list!E222))</f>
        <v>-0.34608864068928347</v>
      </c>
      <c r="H222" s="16">
        <f>((SUMIFS(SSP1_VSI!$F:$F,SSP1_VSI!$C:$C,Results_list!$C$214,SSP1_VSI!$D:$D,Results_list!$D222,SSP1_VSI!$B:$B,2040,SSP1_VSI!I:I,Results_list!E222))
- (SUMIFS(SSP1_VSI!$F:$F,SSP1_VSI!$C:$C,Results_list!$C$214,SSP1_VSI!$D:$D,Results_list!$D222,SSP1_VSI!$B:$B,2025,SSP1_VSI!I:I,Results_list!E222)))
/ (SUMIFS(SSP1_VSI!$F:$F,SSP1_VSI!$C:$C,Results_list!$C$214,SSP1_VSI!$D:$D,Results_list!$D222,SSP1_VSI!$B:$B,2025,SSP1_VSI!I:I,Results_list!E222))</f>
        <v>-0.34606919983201456</v>
      </c>
      <c r="I222" s="13">
        <f t="shared" si="30"/>
        <v>0</v>
      </c>
      <c r="J222" s="12">
        <f>((SUMIFS(SSP2_Baseline!$E:$E,SSP2_Baseline!$C:$C,Results_list!$C$214,SSP2_Baseline!$D:$D,Results_list!$D222,SSP2_Baseline!$B:$B,2040,SSP2_Baseline!I:I,Results_list!E222))
- (SUMIFS(SSP2_Baseline!$E:$E,SSP2_Baseline!$C:$C,Results_list!$C$214,SSP2_Baseline!$D:$D,Results_list!$D222,SSP2_Baseline!$B:$B,2025,SSP2_Baseline!I:I,Results_list!E222)))
/ (SUMIFS(SSP2_Baseline!$E:$E,SSP2_Baseline!$C:$C,Results_list!$C$214,SSP2_Baseline!$D:$D,Results_list!$D222,SSP2_Baseline!$B:$B,2025,SSP2_Baseline!I:I,Results_list!E222))</f>
        <v>-0.36161945067983531</v>
      </c>
      <c r="K222" s="16">
        <f>((SUMIFS(SSP2_VSI!$F:$F,SSP2_VSI!$C:$C,Results_list!$C$214,SSP2_VSI!$D:$D,Results_list!$D222,SSP2_VSI!$B:$B,2040,SSP2_VSI!I:I,Results_list!E222))
- (SUMIFS(SSP2_VSI!$F:$F,SSP2_VSI!$C:$C,Results_list!$C$214,SSP2_VSI!$D:$D,Results_list!$D222,SSP2_VSI!$B:$B,2025,SSP2_VSI!I:I,Results_list!E222)))
/ (SUMIFS(SSP2_VSI!$F:$F,SSP2_VSI!$C:$C,Results_list!$C$214,SSP2_VSI!$D:$D,Results_list!$D222,SSP2_VSI!$B:$B,2025,SSP2_VSI!I:I,Results_list!E222))</f>
        <v>-0.36161271947091989</v>
      </c>
      <c r="L222" s="13">
        <f t="shared" si="31"/>
        <v>0</v>
      </c>
      <c r="M222" s="12">
        <f>((SUMIFS(SSP5_Baseline!$E:$E,SSP5_Baseline!$C:$C,Results_list!$C$214,SSP5_Baseline!$D:$D,Results_list!$D222,SSP5_Baseline!$B:$B,2040,SSP5_Baseline!I:I,Results_list!E222))
- (SUMIFS(SSP5_Baseline!$E:$E,SSP5_Baseline!$C:$C,Results_list!$C$214,SSP5_Baseline!$D:$D,Results_list!$D222,SSP5_Baseline!$B:$B,2025,SSP5_Baseline!I:I,Results_list!E222)))
/ (SUMIFS(SSP5_Baseline!$E:$E,SSP5_Baseline!$C:$C,Results_list!$C$214,SSP5_Baseline!$D:$D,Results_list!$D222,SSP5_Baseline!$B:$B,2025,SSP5_Baseline!I:I,Results_list!E222))</f>
        <v>0.53958546133319352</v>
      </c>
      <c r="N222" s="16">
        <f>((SUMIFS(SSP5_VSI!$F:$F,SSP5_VSI!$C:$C,Results_list!$C$214,SSP5_VSI!$D:$D,Results_list!$D222,SSP5_VSI!$B:$B,2040,SSP5_VSI!I:I,Results_list!E222)) - (SUMIFS(SSP5_VSI!$F:$F,SSP5_VSI!$C:$C,Results_list!$C$214,SSP5_VSI!$D:$D,Results_list!$D222,SSP5_VSI!$B:$B,2025,SSP5_VSI!I:I,Results_list!E222))) / (SUMIFS(SSP5_VSI!$F:$F,SSP5_VSI!$C:$C,Results_list!$C$214,SSP5_VSI!$D:$D,Results_list!$D222,SSP5_VSI!$B:$B,2025,SSP5_VSI!I:I,Results_list!E222))</f>
        <v>0.53966143002811473</v>
      </c>
      <c r="O222" s="13">
        <f t="shared" si="32"/>
        <v>0</v>
      </c>
    </row>
    <row r="223" spans="2:15" x14ac:dyDescent="0.35">
      <c r="B223" s="83"/>
      <c r="C223" s="83"/>
      <c r="D223" s="22" t="s">
        <v>48</v>
      </c>
      <c r="E223" s="25" t="s">
        <v>71</v>
      </c>
      <c r="F223" s="3" t="s">
        <v>96</v>
      </c>
      <c r="G223" s="12">
        <f>((SUMIFS(SSP1_Baseline!$E:$E,SSP1_Baseline!$C:$C,Results_list!$C$214,SSP1_Baseline!$D:$D,Results_list!$D223,SSP1_Baseline!$B:$B,2040,SSP1_Baseline!I:I,Results_list!E223))
- (SUMIFS(SSP1_Baseline!$E:$E,SSP1_Baseline!$C:$C,Results_list!$C$214,SSP1_Baseline!$D:$D,Results_list!$D223,SSP1_Baseline!$B:$B,2025,SSP1_Baseline!I:I,Results_list!E223)))
/ (SUMIFS(SSP1_Baseline!$E:$E,SSP1_Baseline!$C:$C,Results_list!$C$214,SSP1_Baseline!$D:$D,Results_list!$D223,SSP1_Baseline!$B:$B,2025,SSP1_Baseline!I:I,Results_list!E223))</f>
        <v>2.8172810127929018E-2</v>
      </c>
      <c r="H223" s="16">
        <f>((SUMIFS(SSP1_VSI!$F:$F,SSP1_VSI!$C:$C,Results_list!$C$214,SSP1_VSI!$D:$D,Results_list!$D223,SSP1_VSI!$B:$B,2040,SSP1_VSI!I:I,Results_list!E223))
- (SUMIFS(SSP1_VSI!$F:$F,SSP1_VSI!$C:$C,Results_list!$C$214,SSP1_VSI!$D:$D,Results_list!$D223,SSP1_VSI!$B:$B,2025,SSP1_VSI!I:I,Results_list!E223)))
/ (SUMIFS(SSP1_VSI!$F:$F,SSP1_VSI!$C:$C,Results_list!$C$214,SSP1_VSI!$D:$D,Results_list!$D223,SSP1_VSI!$B:$B,2025,SSP1_VSI!I:I,Results_list!E223))</f>
        <v>2.817671558251281E-2</v>
      </c>
      <c r="I223" s="13">
        <f t="shared" si="30"/>
        <v>0</v>
      </c>
      <c r="J223" s="12">
        <f>((SUMIFS(SSP2_Baseline!$E:$E,SSP2_Baseline!$C:$C,Results_list!$C$214,SSP2_Baseline!$D:$D,Results_list!$D223,SSP2_Baseline!$B:$B,2040,SSP2_Baseline!I:I,Results_list!E223))
- (SUMIFS(SSP2_Baseline!$E:$E,SSP2_Baseline!$C:$C,Results_list!$C$214,SSP2_Baseline!$D:$D,Results_list!$D223,SSP2_Baseline!$B:$B,2025,SSP2_Baseline!I:I,Results_list!E223)))
/ (SUMIFS(SSP2_Baseline!$E:$E,SSP2_Baseline!$C:$C,Results_list!$C$214,SSP2_Baseline!$D:$D,Results_list!$D223,SSP2_Baseline!$B:$B,2025,SSP2_Baseline!I:I,Results_list!E223))</f>
        <v>-3.1347537719867641E-3</v>
      </c>
      <c r="K223" s="16">
        <f>((SUMIFS(SSP2_VSI!$F:$F,SSP2_VSI!$C:$C,Results_list!$C$214,SSP2_VSI!$D:$D,Results_list!$D223,SSP2_VSI!$B:$B,2040,SSP2_VSI!I:I,Results_list!E223))
- (SUMIFS(SSP2_VSI!$F:$F,SSP2_VSI!$C:$C,Results_list!$C$214,SSP2_VSI!$D:$D,Results_list!$D223,SSP2_VSI!$B:$B,2025,SSP2_VSI!I:I,Results_list!E223)))
/ (SUMIFS(SSP2_VSI!$F:$F,SSP2_VSI!$C:$C,Results_list!$C$214,SSP2_VSI!$D:$D,Results_list!$D223,SSP2_VSI!$B:$B,2025,SSP2_VSI!I:I,Results_list!E223))</f>
        <v>-3.1384253599449092E-3</v>
      </c>
      <c r="L223" s="13">
        <f t="shared" si="31"/>
        <v>0</v>
      </c>
      <c r="M223" s="12">
        <f>((SUMIFS(SSP5_Baseline!$E:$E,SSP5_Baseline!$C:$C,Results_list!$C$214,SSP5_Baseline!$D:$D,Results_list!$D223,SSP5_Baseline!$B:$B,2040,SSP5_Baseline!I:I,Results_list!E223))
- (SUMIFS(SSP5_Baseline!$E:$E,SSP5_Baseline!$C:$C,Results_list!$C$214,SSP5_Baseline!$D:$D,Results_list!$D223,SSP5_Baseline!$B:$B,2025,SSP5_Baseline!I:I,Results_list!E223)))
/ (SUMIFS(SSP5_Baseline!$E:$E,SSP5_Baseline!$C:$C,Results_list!$C$214,SSP5_Baseline!$D:$D,Results_list!$D223,SSP5_Baseline!$B:$B,2025,SSP5_Baseline!I:I,Results_list!E223))</f>
        <v>-6.3737983455021633E-3</v>
      </c>
      <c r="N223" s="16">
        <f>((SUMIFS(SSP5_VSI!$F:$F,SSP5_VSI!$C:$C,Results_list!$C$214,SSP5_VSI!$D:$D,Results_list!$D223,SSP5_VSI!$B:$B,2040,SSP5_VSI!I:I,Results_list!E223)) - (SUMIFS(SSP5_VSI!$F:$F,SSP5_VSI!$C:$C,Results_list!$C$214,SSP5_VSI!$D:$D,Results_list!$D223,SSP5_VSI!$B:$B,2025,SSP5_VSI!I:I,Results_list!E223))) / (SUMIFS(SSP5_VSI!$F:$F,SSP5_VSI!$C:$C,Results_list!$C$214,SSP5_VSI!$D:$D,Results_list!$D223,SSP5_VSI!$B:$B,2025,SSP5_VSI!I:I,Results_list!E223))</f>
        <v>-6.3653111624579839E-3</v>
      </c>
      <c r="O223" s="13">
        <f t="shared" si="32"/>
        <v>0</v>
      </c>
    </row>
    <row r="224" spans="2:15" x14ac:dyDescent="0.35">
      <c r="B224" s="83"/>
      <c r="C224" s="83"/>
      <c r="D224" s="22" t="s">
        <v>49</v>
      </c>
      <c r="E224" s="25" t="s">
        <v>71</v>
      </c>
      <c r="F224" s="3" t="s">
        <v>97</v>
      </c>
      <c r="G224" s="12">
        <f>((SUMIFS(SSP1_Baseline!$E:$E,SSP1_Baseline!$C:$C,Results_list!$C$214,SSP1_Baseline!$D:$D,Results_list!$D224,SSP1_Baseline!$B:$B,2040,SSP1_Baseline!I:I,Results_list!E224))
- (SUMIFS(SSP1_Baseline!$E:$E,SSP1_Baseline!$C:$C,Results_list!$C$214,SSP1_Baseline!$D:$D,Results_list!$D224,SSP1_Baseline!$B:$B,2025,SSP1_Baseline!I:I,Results_list!E224)))
/ (SUMIFS(SSP1_Baseline!$E:$E,SSP1_Baseline!$C:$C,Results_list!$C$214,SSP1_Baseline!$D:$D,Results_list!$D224,SSP1_Baseline!$B:$B,2025,SSP1_Baseline!I:I,Results_list!E224))</f>
        <v>-0.1197500105106349</v>
      </c>
      <c r="H224" s="16">
        <f>((SUMIFS(SSP1_VSI!$F:$F,SSP1_VSI!$C:$C,Results_list!$C$214,SSP1_VSI!$D:$D,Results_list!$D224,SSP1_VSI!$B:$B,2040,SSP1_VSI!I:I,Results_list!E224))
- (SUMIFS(SSP1_VSI!$F:$F,SSP1_VSI!$C:$C,Results_list!$C$214,SSP1_VSI!$D:$D,Results_list!$D224,SSP1_VSI!$B:$B,2025,SSP1_VSI!I:I,Results_list!E224)))
/ (SUMIFS(SSP1_VSI!$F:$F,SSP1_VSI!$C:$C,Results_list!$C$214,SSP1_VSI!$D:$D,Results_list!$D224,SSP1_VSI!$B:$B,2025,SSP1_VSI!I:I,Results_list!E224))</f>
        <v>-0.11977102237420796</v>
      </c>
      <c r="I224" s="13">
        <f t="shared" si="30"/>
        <v>0</v>
      </c>
      <c r="J224" s="12">
        <f>((SUMIFS(SSP2_Baseline!$E:$E,SSP2_Baseline!$C:$C,Results_list!$C$214,SSP2_Baseline!$D:$D,Results_list!$D224,SSP2_Baseline!$B:$B,2040,SSP2_Baseline!I:I,Results_list!E224))
- (SUMIFS(SSP2_Baseline!$E:$E,SSP2_Baseline!$C:$C,Results_list!$C$214,SSP2_Baseline!$D:$D,Results_list!$D224,SSP2_Baseline!$B:$B,2025,SSP2_Baseline!I:I,Results_list!E224)))
/ (SUMIFS(SSP2_Baseline!$E:$E,SSP2_Baseline!$C:$C,Results_list!$C$214,SSP2_Baseline!$D:$D,Results_list!$D224,SSP2_Baseline!$B:$B,2025,SSP2_Baseline!I:I,Results_list!E224))</f>
        <v>-0.10844208855886965</v>
      </c>
      <c r="K224" s="16">
        <f>((SUMIFS(SSP2_VSI!$F:$F,SSP2_VSI!$C:$C,Results_list!$C$214,SSP2_VSI!$D:$D,Results_list!$D224,SSP2_VSI!$B:$B,2040,SSP2_VSI!I:I,Results_list!E224))
- (SUMIFS(SSP2_VSI!$F:$F,SSP2_VSI!$C:$C,Results_list!$C$214,SSP2_VSI!$D:$D,Results_list!$D224,SSP2_VSI!$B:$B,2025,SSP2_VSI!I:I,Results_list!E224)))
/ (SUMIFS(SSP2_VSI!$F:$F,SSP2_VSI!$C:$C,Results_list!$C$214,SSP2_VSI!$D:$D,Results_list!$D224,SSP2_VSI!$B:$B,2025,SSP2_VSI!I:I,Results_list!E224))</f>
        <v>-0.10844000401224366</v>
      </c>
      <c r="L224" s="13">
        <f t="shared" si="31"/>
        <v>0</v>
      </c>
      <c r="M224" s="12">
        <f>((SUMIFS(SSP5_Baseline!$E:$E,SSP5_Baseline!$C:$C,Results_list!$C$214,SSP5_Baseline!$D:$D,Results_list!$D224,SSP5_Baseline!$B:$B,2040,SSP5_Baseline!I:I,Results_list!E224))
- (SUMIFS(SSP5_Baseline!$E:$E,SSP5_Baseline!$C:$C,Results_list!$C$214,SSP5_Baseline!$D:$D,Results_list!$D224,SSP5_Baseline!$B:$B,2025,SSP5_Baseline!I:I,Results_list!E224)))
/ (SUMIFS(SSP5_Baseline!$E:$E,SSP5_Baseline!$C:$C,Results_list!$C$214,SSP5_Baseline!$D:$D,Results_list!$D224,SSP5_Baseline!$B:$B,2025,SSP5_Baseline!I:I,Results_list!E224))</f>
        <v>-8.3497276494028119E-2</v>
      </c>
      <c r="N224" s="16">
        <f>((SUMIFS(SSP5_VSI!$F:$F,SSP5_VSI!$C:$C,Results_list!$C$214,SSP5_VSI!$D:$D,Results_list!$D224,SSP5_VSI!$B:$B,2040,SSP5_VSI!I:I,Results_list!E224)) - (SUMIFS(SSP5_VSI!$F:$F,SSP5_VSI!$C:$C,Results_list!$C$214,SSP5_VSI!$D:$D,Results_list!$D224,SSP5_VSI!$B:$B,2025,SSP5_VSI!I:I,Results_list!E224))) / (SUMIFS(SSP5_VSI!$F:$F,SSP5_VSI!$C:$C,Results_list!$C$214,SSP5_VSI!$D:$D,Results_list!$D224,SSP5_VSI!$B:$B,2025,SSP5_VSI!I:I,Results_list!E224))</f>
        <v>-8.3509541976004492E-2</v>
      </c>
      <c r="O224" s="13">
        <f t="shared" si="32"/>
        <v>0</v>
      </c>
    </row>
    <row r="225" spans="2:15" x14ac:dyDescent="0.35">
      <c r="B225" s="83"/>
      <c r="C225" s="83"/>
      <c r="D225" s="22" t="s">
        <v>50</v>
      </c>
      <c r="E225" s="25" t="s">
        <v>71</v>
      </c>
      <c r="F225" s="3" t="s">
        <v>98</v>
      </c>
      <c r="G225" s="12">
        <f>((SUMIFS(SSP1_Baseline!$E:$E,SSP1_Baseline!$C:$C,Results_list!$C$214,SSP1_Baseline!$D:$D,Results_list!$D225,SSP1_Baseline!$B:$B,2040,SSP1_Baseline!I:I,Results_list!E225))
- (SUMIFS(SSP1_Baseline!$E:$E,SSP1_Baseline!$C:$C,Results_list!$C$214,SSP1_Baseline!$D:$D,Results_list!$D225,SSP1_Baseline!$B:$B,2025,SSP1_Baseline!I:I,Results_list!E225)))
/ (SUMIFS(SSP1_Baseline!$E:$E,SSP1_Baseline!$C:$C,Results_list!$C$214,SSP1_Baseline!$D:$D,Results_list!$D225,SSP1_Baseline!$B:$B,2025,SSP1_Baseline!I:I,Results_list!E225))</f>
        <v>-7.2026255596402564E-2</v>
      </c>
      <c r="H225" s="16">
        <f>((SUMIFS(SSP1_VSI!$F:$F,SSP1_VSI!$C:$C,Results_list!$C$214,SSP1_VSI!$D:$D,Results_list!$D225,SSP1_VSI!$B:$B,2040,SSP1_VSI!I:I,Results_list!E225))
- (SUMIFS(SSP1_VSI!$F:$F,SSP1_VSI!$C:$C,Results_list!$C$214,SSP1_VSI!$D:$D,Results_list!$D225,SSP1_VSI!$B:$B,2025,SSP1_VSI!I:I,Results_list!E225)))
/ (SUMIFS(SSP1_VSI!$F:$F,SSP1_VSI!$C:$C,Results_list!$C$214,SSP1_VSI!$D:$D,Results_list!$D225,SSP1_VSI!$B:$B,2025,SSP1_VSI!I:I,Results_list!E225))</f>
        <v>-7.202582277580237E-2</v>
      </c>
      <c r="I225" s="13">
        <f t="shared" si="30"/>
        <v>0</v>
      </c>
      <c r="J225" s="12">
        <f>((SUMIFS(SSP2_Baseline!$E:$E,SSP2_Baseline!$C:$C,Results_list!$C$214,SSP2_Baseline!$D:$D,Results_list!$D225,SSP2_Baseline!$B:$B,2040,SSP2_Baseline!I:I,Results_list!E225))
- (SUMIFS(SSP2_Baseline!$E:$E,SSP2_Baseline!$C:$C,Results_list!$C$214,SSP2_Baseline!$D:$D,Results_list!$D225,SSP2_Baseline!$B:$B,2025,SSP2_Baseline!I:I,Results_list!E225)))
/ (SUMIFS(SSP2_Baseline!$E:$E,SSP2_Baseline!$C:$C,Results_list!$C$214,SSP2_Baseline!$D:$D,Results_list!$D225,SSP2_Baseline!$B:$B,2025,SSP2_Baseline!I:I,Results_list!E225))</f>
        <v>-3.0230700617738197E-2</v>
      </c>
      <c r="K225" s="16">
        <f>((SUMIFS(SSP2_VSI!$F:$F,SSP2_VSI!$C:$C,Results_list!$C$214,SSP2_VSI!$D:$D,Results_list!$D225,SSP2_VSI!$B:$B,2040,SSP2_VSI!I:I,Results_list!E225))
- (SUMIFS(SSP2_VSI!$F:$F,SSP2_VSI!$C:$C,Results_list!$C$214,SSP2_VSI!$D:$D,Results_list!$D225,SSP2_VSI!$B:$B,2025,SSP2_VSI!I:I,Results_list!E225)))
/ (SUMIFS(SSP2_VSI!$F:$F,SSP2_VSI!$C:$C,Results_list!$C$214,SSP2_VSI!$D:$D,Results_list!$D225,SSP2_VSI!$B:$B,2025,SSP2_VSI!I:I,Results_list!E225))</f>
        <v>-3.0232303753578625E-2</v>
      </c>
      <c r="L225" s="13">
        <f t="shared" si="31"/>
        <v>0</v>
      </c>
      <c r="M225" s="12">
        <f>((SUMIFS(SSP5_Baseline!$E:$E,SSP5_Baseline!$C:$C,Results_list!$C$214,SSP5_Baseline!$D:$D,Results_list!$D225,SSP5_Baseline!$B:$B,2040,SSP5_Baseline!I:I,Results_list!E225))
- (SUMIFS(SSP5_Baseline!$E:$E,SSP5_Baseline!$C:$C,Results_list!$C$214,SSP5_Baseline!$D:$D,Results_list!$D225,SSP5_Baseline!$B:$B,2025,SSP5_Baseline!I:I,Results_list!E225)))
/ (SUMIFS(SSP5_Baseline!$E:$E,SSP5_Baseline!$C:$C,Results_list!$C$214,SSP5_Baseline!$D:$D,Results_list!$D225,SSP5_Baseline!$B:$B,2025,SSP5_Baseline!I:I,Results_list!E225))</f>
        <v>2.0961023398404187E-2</v>
      </c>
      <c r="N225" s="16">
        <f>((SUMIFS(SSP5_VSI!$F:$F,SSP5_VSI!$C:$C,Results_list!$C$214,SSP5_VSI!$D:$D,Results_list!$D225,SSP5_VSI!$B:$B,2040,SSP5_VSI!I:I,Results_list!E225)) - (SUMIFS(SSP5_VSI!$F:$F,SSP5_VSI!$C:$C,Results_list!$C$214,SSP5_VSI!$D:$D,Results_list!$D225,SSP5_VSI!$B:$B,2025,SSP5_VSI!I:I,Results_list!E225))) / (SUMIFS(SSP5_VSI!$F:$F,SSP5_VSI!$C:$C,Results_list!$C$214,SSP5_VSI!$D:$D,Results_list!$D225,SSP5_VSI!$B:$B,2025,SSP5_VSI!I:I,Results_list!E225))</f>
        <v>2.0964245866390632E-2</v>
      </c>
      <c r="O225" s="13">
        <f t="shared" si="32"/>
        <v>0</v>
      </c>
    </row>
    <row r="226" spans="2:15" x14ac:dyDescent="0.35">
      <c r="B226" s="83"/>
      <c r="C226" s="83"/>
      <c r="D226" s="22" t="s">
        <v>51</v>
      </c>
      <c r="E226" s="25" t="s">
        <v>71</v>
      </c>
      <c r="F226" s="3" t="s">
        <v>99</v>
      </c>
      <c r="G226" s="12">
        <f>((SUMIFS(SSP1_Baseline!$E:$E,SSP1_Baseline!$C:$C,Results_list!$C$214,SSP1_Baseline!$D:$D,Results_list!$D226,SSP1_Baseline!$B:$B,2040,SSP1_Baseline!I:I,Results_list!E226))
- (SUMIFS(SSP1_Baseline!$E:$E,SSP1_Baseline!$C:$C,Results_list!$C$214,SSP1_Baseline!$D:$D,Results_list!$D226,SSP1_Baseline!$B:$B,2025,SSP1_Baseline!I:I,Results_list!E226)))
/ (SUMIFS(SSP1_Baseline!$E:$E,SSP1_Baseline!$C:$C,Results_list!$C$214,SSP1_Baseline!$D:$D,Results_list!$D226,SSP1_Baseline!$B:$B,2025,SSP1_Baseline!I:I,Results_list!E226))</f>
        <v>1.1052782065915643E-2</v>
      </c>
      <c r="H226" s="16">
        <f>((SUMIFS(SSP1_VSI!$F:$F,SSP1_VSI!$C:$C,Results_list!$C$214,SSP1_VSI!$D:$D,Results_list!$D226,SSP1_VSI!$B:$B,2040,SSP1_VSI!I:I,Results_list!E226))
- (SUMIFS(SSP1_VSI!$F:$F,SSP1_VSI!$C:$C,Results_list!$C$214,SSP1_VSI!$D:$D,Results_list!$D226,SSP1_VSI!$B:$B,2025,SSP1_VSI!I:I,Results_list!E226)))
/ (SUMIFS(SSP1_VSI!$F:$F,SSP1_VSI!$C:$C,Results_list!$C$214,SSP1_VSI!$D:$D,Results_list!$D226,SSP1_VSI!$B:$B,2025,SSP1_VSI!I:I,Results_list!E226))</f>
        <v>1.1052354205178087E-2</v>
      </c>
      <c r="I226" s="13">
        <f t="shared" si="30"/>
        <v>0</v>
      </c>
      <c r="J226" s="12">
        <f>((SUMIFS(SSP2_Baseline!$E:$E,SSP2_Baseline!$C:$C,Results_list!$C$214,SSP2_Baseline!$D:$D,Results_list!$D226,SSP2_Baseline!$B:$B,2040,SSP2_Baseline!I:I,Results_list!E226))
- (SUMIFS(SSP2_Baseline!$E:$E,SSP2_Baseline!$C:$C,Results_list!$C$214,SSP2_Baseline!$D:$D,Results_list!$D226,SSP2_Baseline!$B:$B,2025,SSP2_Baseline!I:I,Results_list!E226)))
/ (SUMIFS(SSP2_Baseline!$E:$E,SSP2_Baseline!$C:$C,Results_list!$C$214,SSP2_Baseline!$D:$D,Results_list!$D226,SSP2_Baseline!$B:$B,2025,SSP2_Baseline!I:I,Results_list!E226))</f>
        <v>1.0388540086250894E-2</v>
      </c>
      <c r="K226" s="16">
        <f>((SUMIFS(SSP2_VSI!$F:$F,SSP2_VSI!$C:$C,Results_list!$C$214,SSP2_VSI!$D:$D,Results_list!$D226,SSP2_VSI!$B:$B,2040,SSP2_VSI!I:I,Results_list!E226))
- (SUMIFS(SSP2_VSI!$F:$F,SSP2_VSI!$C:$C,Results_list!$C$214,SSP2_VSI!$D:$D,Results_list!$D226,SSP2_VSI!$B:$B,2025,SSP2_VSI!I:I,Results_list!E226)))
/ (SUMIFS(SSP2_VSI!$F:$F,SSP2_VSI!$C:$C,Results_list!$C$214,SSP2_VSI!$D:$D,Results_list!$D226,SSP2_VSI!$B:$B,2025,SSP2_VSI!I:I,Results_list!E226))</f>
        <v>1.0383972697574323E-2</v>
      </c>
      <c r="L226" s="13">
        <f t="shared" si="31"/>
        <v>0</v>
      </c>
      <c r="M226" s="12">
        <f>((SUMIFS(SSP5_Baseline!$E:$E,SSP5_Baseline!$C:$C,Results_list!$C$214,SSP5_Baseline!$D:$D,Results_list!$D226,SSP5_Baseline!$B:$B,2040,SSP5_Baseline!I:I,Results_list!E226))
- (SUMIFS(SSP5_Baseline!$E:$E,SSP5_Baseline!$C:$C,Results_list!$C$214,SSP5_Baseline!$D:$D,Results_list!$D226,SSP5_Baseline!$B:$B,2025,SSP5_Baseline!I:I,Results_list!E226)))
/ (SUMIFS(SSP5_Baseline!$E:$E,SSP5_Baseline!$C:$C,Results_list!$C$214,SSP5_Baseline!$D:$D,Results_list!$D226,SSP5_Baseline!$B:$B,2025,SSP5_Baseline!I:I,Results_list!E226))</f>
        <v>-7.002614174584738E-4</v>
      </c>
      <c r="N226" s="16">
        <f>((SUMIFS(SSP5_VSI!$F:$F,SSP5_VSI!$C:$C,Results_list!$C$214,SSP5_VSI!$D:$D,Results_list!$D226,SSP5_VSI!$B:$B,2040,SSP5_VSI!I:I,Results_list!E226)) - (SUMIFS(SSP5_VSI!$F:$F,SSP5_VSI!$C:$C,Results_list!$C$214,SSP5_VSI!$D:$D,Results_list!$D226,SSP5_VSI!$B:$B,2025,SSP5_VSI!I:I,Results_list!E226))) / (SUMIFS(SSP5_VSI!$F:$F,SSP5_VSI!$C:$C,Results_list!$C$214,SSP5_VSI!$D:$D,Results_list!$D226,SSP5_VSI!$B:$B,2025,SSP5_VSI!I:I,Results_list!E226))</f>
        <v>-6.9813493955896339E-4</v>
      </c>
      <c r="O226" s="13">
        <f t="shared" si="32"/>
        <v>0</v>
      </c>
    </row>
    <row r="227" spans="2:15" x14ac:dyDescent="0.35">
      <c r="B227" s="83"/>
      <c r="C227" s="83"/>
      <c r="D227" s="22" t="s">
        <v>52</v>
      </c>
      <c r="E227" s="25" t="s">
        <v>71</v>
      </c>
      <c r="F227" s="3" t="s">
        <v>100</v>
      </c>
      <c r="G227" s="12">
        <f>((SUMIFS(SSP1_Baseline!$E:$E,SSP1_Baseline!$C:$C,Results_list!$C$214,SSP1_Baseline!$D:$D,Results_list!$D227,SSP1_Baseline!$B:$B,2040,SSP1_Baseline!I:I,Results_list!E227))
- (SUMIFS(SSP1_Baseline!$E:$E,SSP1_Baseline!$C:$C,Results_list!$C$214,SSP1_Baseline!$D:$D,Results_list!$D227,SSP1_Baseline!$B:$B,2025,SSP1_Baseline!I:I,Results_list!E227)))
/ (SUMIFS(SSP1_Baseline!$E:$E,SSP1_Baseline!$C:$C,Results_list!$C$214,SSP1_Baseline!$D:$D,Results_list!$D227,SSP1_Baseline!$B:$B,2025,SSP1_Baseline!I:I,Results_list!E227))</f>
        <v>-0.47792343696595124</v>
      </c>
      <c r="H227" s="16">
        <f>((SUMIFS(SSP1_VSI!$F:$F,SSP1_VSI!$C:$C,Results_list!$C$214,SSP1_VSI!$D:$D,Results_list!$D227,SSP1_VSI!$B:$B,2040,SSP1_VSI!I:I,Results_list!E227))
- (SUMIFS(SSP1_VSI!$F:$F,SSP1_VSI!$C:$C,Results_list!$C$214,SSP1_VSI!$D:$D,Results_list!$D227,SSP1_VSI!$B:$B,2025,SSP1_VSI!I:I,Results_list!E227)))
/ (SUMIFS(SSP1_VSI!$F:$F,SSP1_VSI!$C:$C,Results_list!$C$214,SSP1_VSI!$D:$D,Results_list!$D227,SSP1_VSI!$B:$B,2025,SSP1_VSI!I:I,Results_list!E227))</f>
        <v>-0.47791308923184522</v>
      </c>
      <c r="I227" s="13">
        <f t="shared" si="30"/>
        <v>0</v>
      </c>
      <c r="J227" s="12">
        <f>((SUMIFS(SSP2_Baseline!$E:$E,SSP2_Baseline!$C:$C,Results_list!$C$214,SSP2_Baseline!$D:$D,Results_list!$D227,SSP2_Baseline!$B:$B,2040,SSP2_Baseline!I:I,Results_list!E227))
- (SUMIFS(SSP2_Baseline!$E:$E,SSP2_Baseline!$C:$C,Results_list!$C$214,SSP2_Baseline!$D:$D,Results_list!$D227,SSP2_Baseline!$B:$B,2025,SSP2_Baseline!I:I,Results_list!E227)))
/ (SUMIFS(SSP2_Baseline!$E:$E,SSP2_Baseline!$C:$C,Results_list!$C$214,SSP2_Baseline!$D:$D,Results_list!$D227,SSP2_Baseline!$B:$B,2025,SSP2_Baseline!I:I,Results_list!E227))</f>
        <v>-0.31749204614461846</v>
      </c>
      <c r="K227" s="16">
        <f>((SUMIFS(SSP2_VSI!$F:$F,SSP2_VSI!$C:$C,Results_list!$C$214,SSP2_VSI!$D:$D,Results_list!$D227,SSP2_VSI!$B:$B,2040,SSP2_VSI!I:I,Results_list!E227))
- (SUMIFS(SSP2_VSI!$F:$F,SSP2_VSI!$C:$C,Results_list!$C$214,SSP2_VSI!$D:$D,Results_list!$D227,SSP2_VSI!$B:$B,2025,SSP2_VSI!I:I,Results_list!E227)))
/ (SUMIFS(SSP2_VSI!$F:$F,SSP2_VSI!$C:$C,Results_list!$C$214,SSP2_VSI!$D:$D,Results_list!$D227,SSP2_VSI!$B:$B,2025,SSP2_VSI!I:I,Results_list!E227))</f>
        <v>-0.31746796949991912</v>
      </c>
      <c r="L227" s="13">
        <f t="shared" si="31"/>
        <v>0</v>
      </c>
      <c r="M227" s="12">
        <f>((SUMIFS(SSP5_Baseline!$E:$E,SSP5_Baseline!$C:$C,Results_list!$C$214,SSP5_Baseline!$D:$D,Results_list!$D227,SSP5_Baseline!$B:$B,2040,SSP5_Baseline!I:I,Results_list!E227))
- (SUMIFS(SSP5_Baseline!$E:$E,SSP5_Baseline!$C:$C,Results_list!$C$214,SSP5_Baseline!$D:$D,Results_list!$D227,SSP5_Baseline!$B:$B,2025,SSP5_Baseline!I:I,Results_list!E227)))
/ (SUMIFS(SSP5_Baseline!$E:$E,SSP5_Baseline!$C:$C,Results_list!$C$214,SSP5_Baseline!$D:$D,Results_list!$D227,SSP5_Baseline!$B:$B,2025,SSP5_Baseline!I:I,Results_list!E227))</f>
        <v>-0.41720576258955022</v>
      </c>
      <c r="N227" s="16">
        <f>((SUMIFS(SSP5_VSI!$F:$F,SSP5_VSI!$C:$C,Results_list!$C$214,SSP5_VSI!$D:$D,Results_list!$D227,SSP5_VSI!$B:$B,2040,SSP5_VSI!I:I,Results_list!E227)) - (SUMIFS(SSP5_VSI!$F:$F,SSP5_VSI!$C:$C,Results_list!$C$214,SSP5_VSI!$D:$D,Results_list!$D227,SSP5_VSI!$B:$B,2025,SSP5_VSI!I:I,Results_list!E227))) / (SUMIFS(SSP5_VSI!$F:$F,SSP5_VSI!$C:$C,Results_list!$C$214,SSP5_VSI!$D:$D,Results_list!$D227,SSP5_VSI!$B:$B,2025,SSP5_VSI!I:I,Results_list!E227))</f>
        <v>-0.41718804782615254</v>
      </c>
      <c r="O227" s="13">
        <f t="shared" si="32"/>
        <v>0</v>
      </c>
    </row>
    <row r="228" spans="2:15" x14ac:dyDescent="0.35">
      <c r="B228" s="83"/>
      <c r="C228" s="83"/>
      <c r="D228" s="22" t="s">
        <v>53</v>
      </c>
      <c r="E228" s="25" t="s">
        <v>71</v>
      </c>
      <c r="F228" s="3" t="s">
        <v>101</v>
      </c>
      <c r="G228" s="12">
        <f>((SUMIFS(SSP1_Baseline!$E:$E,SSP1_Baseline!$C:$C,Results_list!$C$214,SSP1_Baseline!$D:$D,Results_list!$D228,SSP1_Baseline!$B:$B,2040,SSP1_Baseline!I:I,Results_list!E228))
- (SUMIFS(SSP1_Baseline!$E:$E,SSP1_Baseline!$C:$C,Results_list!$C$214,SSP1_Baseline!$D:$D,Results_list!$D228,SSP1_Baseline!$B:$B,2025,SSP1_Baseline!I:I,Results_list!E228)))
/ (SUMIFS(SSP1_Baseline!$E:$E,SSP1_Baseline!$C:$C,Results_list!$C$214,SSP1_Baseline!$D:$D,Results_list!$D228,SSP1_Baseline!$B:$B,2025,SSP1_Baseline!I:I,Results_list!E228))</f>
        <v>-0.29343043428453824</v>
      </c>
      <c r="H228" s="16">
        <f>((SUMIFS(SSP1_VSI!$F:$F,SSP1_VSI!$C:$C,Results_list!$C$214,SSP1_VSI!$D:$D,Results_list!$D228,SSP1_VSI!$B:$B,2040,SSP1_VSI!I:I,Results_list!E228))
- (SUMIFS(SSP1_VSI!$F:$F,SSP1_VSI!$C:$C,Results_list!$C$214,SSP1_VSI!$D:$D,Results_list!$D228,SSP1_VSI!$B:$B,2025,SSP1_VSI!I:I,Results_list!E228)))
/ (SUMIFS(SSP1_VSI!$F:$F,SSP1_VSI!$C:$C,Results_list!$C$214,SSP1_VSI!$D:$D,Results_list!$D228,SSP1_VSI!$B:$B,2025,SSP1_VSI!I:I,Results_list!E228))</f>
        <v>-0.29345143797176582</v>
      </c>
      <c r="I228" s="13">
        <f t="shared" si="30"/>
        <v>0</v>
      </c>
      <c r="J228" s="12">
        <f>((SUMIFS(SSP2_Baseline!$E:$E,SSP2_Baseline!$C:$C,Results_list!$C$214,SSP2_Baseline!$D:$D,Results_list!$D228,SSP2_Baseline!$B:$B,2040,SSP2_Baseline!I:I,Results_list!E228))
- (SUMIFS(SSP2_Baseline!$E:$E,SSP2_Baseline!$C:$C,Results_list!$C$214,SSP2_Baseline!$D:$D,Results_list!$D228,SSP2_Baseline!$B:$B,2025,SSP2_Baseline!I:I,Results_list!E228)))
/ (SUMIFS(SSP2_Baseline!$E:$E,SSP2_Baseline!$C:$C,Results_list!$C$214,SSP2_Baseline!$D:$D,Results_list!$D228,SSP2_Baseline!$B:$B,2025,SSP2_Baseline!I:I,Results_list!E228))</f>
        <v>-0.27461654424684895</v>
      </c>
      <c r="K228" s="16">
        <f>((SUMIFS(SSP2_VSI!$F:$F,SSP2_VSI!$C:$C,Results_list!$C$214,SSP2_VSI!$D:$D,Results_list!$D228,SSP2_VSI!$B:$B,2040,SSP2_VSI!I:I,Results_list!E228))
- (SUMIFS(SSP2_VSI!$F:$F,SSP2_VSI!$C:$C,Results_list!$C$214,SSP2_VSI!$D:$D,Results_list!$D228,SSP2_VSI!$B:$B,2025,SSP2_VSI!I:I,Results_list!E228)))
/ (SUMIFS(SSP2_VSI!$F:$F,SSP2_VSI!$C:$C,Results_list!$C$214,SSP2_VSI!$D:$D,Results_list!$D228,SSP2_VSI!$B:$B,2025,SSP2_VSI!I:I,Results_list!E228))</f>
        <v>-0.27461744615077427</v>
      </c>
      <c r="L228" s="13">
        <f t="shared" si="31"/>
        <v>0</v>
      </c>
      <c r="M228" s="12">
        <f>((SUMIFS(SSP5_Baseline!$E:$E,SSP5_Baseline!$C:$C,Results_list!$C$214,SSP5_Baseline!$D:$D,Results_list!$D228,SSP5_Baseline!$B:$B,2040,SSP5_Baseline!I:I,Results_list!E228))
- (SUMIFS(SSP5_Baseline!$E:$E,SSP5_Baseline!$C:$C,Results_list!$C$214,SSP5_Baseline!$D:$D,Results_list!$D228,SSP5_Baseline!$B:$B,2025,SSP5_Baseline!I:I,Results_list!E228)))
/ (SUMIFS(SSP5_Baseline!$E:$E,SSP5_Baseline!$C:$C,Results_list!$C$214,SSP5_Baseline!$D:$D,Results_list!$D228,SSP5_Baseline!$B:$B,2025,SSP5_Baseline!I:I,Results_list!E228))</f>
        <v>5.1589845021164149E-2</v>
      </c>
      <c r="N228" s="16">
        <f>((SUMIFS(SSP5_VSI!$F:$F,SSP5_VSI!$C:$C,Results_list!$C$214,SSP5_VSI!$D:$D,Results_list!$D228,SSP5_VSI!$B:$B,2040,SSP5_VSI!I:I,Results_list!E228)) - (SUMIFS(SSP5_VSI!$F:$F,SSP5_VSI!$C:$C,Results_list!$C$214,SSP5_VSI!$D:$D,Results_list!$D228,SSP5_VSI!$B:$B,2025,SSP5_VSI!I:I,Results_list!E228))) / (SUMIFS(SSP5_VSI!$F:$F,SSP5_VSI!$C:$C,Results_list!$C$214,SSP5_VSI!$D:$D,Results_list!$D228,SSP5_VSI!$B:$B,2025,SSP5_VSI!I:I,Results_list!E228))</f>
        <v>5.1603389271688442E-2</v>
      </c>
      <c r="O228" s="13">
        <f t="shared" si="32"/>
        <v>0</v>
      </c>
    </row>
    <row r="229" spans="2:15" x14ac:dyDescent="0.35">
      <c r="B229" s="83"/>
      <c r="C229" s="83"/>
      <c r="D229" s="22" t="s">
        <v>54</v>
      </c>
      <c r="E229" s="25" t="s">
        <v>71</v>
      </c>
      <c r="F229" s="3" t="s">
        <v>102</v>
      </c>
      <c r="G229" s="12">
        <f>((SUMIFS(SSP1_Baseline!$E:$E,SSP1_Baseline!$C:$C,Results_list!$C$214,SSP1_Baseline!$D:$D,Results_list!$D229,SSP1_Baseline!$B:$B,2040,SSP1_Baseline!I:I,Results_list!E229))
- (SUMIFS(SSP1_Baseline!$E:$E,SSP1_Baseline!$C:$C,Results_list!$C$214,SSP1_Baseline!$D:$D,Results_list!$D229,SSP1_Baseline!$B:$B,2025,SSP1_Baseline!I:I,Results_list!E229)))
/ (SUMIFS(SSP1_Baseline!$E:$E,SSP1_Baseline!$C:$C,Results_list!$C$214,SSP1_Baseline!$D:$D,Results_list!$D229,SSP1_Baseline!$B:$B,2025,SSP1_Baseline!I:I,Results_list!E229))</f>
        <v>-1.4210057581494561E-2</v>
      </c>
      <c r="H229" s="16">
        <f>((SUMIFS(SSP1_VSI!$F:$F,SSP1_VSI!$C:$C,Results_list!$C$214,SSP1_VSI!$D:$D,Results_list!$D229,SSP1_VSI!$B:$B,2040,SSP1_VSI!I:I,Results_list!E229))
- (SUMIFS(SSP1_VSI!$F:$F,SSP1_VSI!$C:$C,Results_list!$C$214,SSP1_VSI!$D:$D,Results_list!$D229,SSP1_VSI!$B:$B,2025,SSP1_VSI!I:I,Results_list!E229)))
/ (SUMIFS(SSP1_VSI!$F:$F,SSP1_VSI!$C:$C,Results_list!$C$214,SSP1_VSI!$D:$D,Results_list!$D229,SSP1_VSI!$B:$B,2025,SSP1_VSI!I:I,Results_list!E229))</f>
        <v>-1.4199492010179187E-2</v>
      </c>
      <c r="I229" s="13">
        <f t="shared" si="30"/>
        <v>0</v>
      </c>
      <c r="J229" s="12">
        <f>((SUMIFS(SSP2_Baseline!$E:$E,SSP2_Baseline!$C:$C,Results_list!$C$214,SSP2_Baseline!$D:$D,Results_list!$D229,SSP2_Baseline!$B:$B,2040,SSP2_Baseline!I:I,Results_list!E229))
- (SUMIFS(SSP2_Baseline!$E:$E,SSP2_Baseline!$C:$C,Results_list!$C$214,SSP2_Baseline!$D:$D,Results_list!$D229,SSP2_Baseline!$B:$B,2025,SSP2_Baseline!I:I,Results_list!E229)))
/ (SUMIFS(SSP2_Baseline!$E:$E,SSP2_Baseline!$C:$C,Results_list!$C$214,SSP2_Baseline!$D:$D,Results_list!$D229,SSP2_Baseline!$B:$B,2025,SSP2_Baseline!I:I,Results_list!E229))</f>
        <v>-8.193473614888213E-4</v>
      </c>
      <c r="K229" s="16">
        <f>((SUMIFS(SSP2_VSI!$F:$F,SSP2_VSI!$C:$C,Results_list!$C$214,SSP2_VSI!$D:$D,Results_list!$D229,SSP2_VSI!$B:$B,2040,SSP2_VSI!I:I,Results_list!E229))
- (SUMIFS(SSP2_VSI!$F:$F,SSP2_VSI!$C:$C,Results_list!$C$214,SSP2_VSI!$D:$D,Results_list!$D229,SSP2_VSI!$B:$B,2025,SSP2_VSI!I:I,Results_list!E229)))
/ (SUMIFS(SSP2_VSI!$F:$F,SSP2_VSI!$C:$C,Results_list!$C$214,SSP2_VSI!$D:$D,Results_list!$D229,SSP2_VSI!$B:$B,2025,SSP2_VSI!I:I,Results_list!E229))</f>
        <v>-8.1304712419264695E-4</v>
      </c>
      <c r="L229" s="13">
        <f t="shared" si="31"/>
        <v>0</v>
      </c>
      <c r="M229" s="12">
        <f>((SUMIFS(SSP5_Baseline!$E:$E,SSP5_Baseline!$C:$C,Results_list!$C$214,SSP5_Baseline!$D:$D,Results_list!$D229,SSP5_Baseline!$B:$B,2040,SSP5_Baseline!I:I,Results_list!E229))
- (SUMIFS(SSP5_Baseline!$E:$E,SSP5_Baseline!$C:$C,Results_list!$C$214,SSP5_Baseline!$D:$D,Results_list!$D229,SSP5_Baseline!$B:$B,2025,SSP5_Baseline!I:I,Results_list!E229)))
/ (SUMIFS(SSP5_Baseline!$E:$E,SSP5_Baseline!$C:$C,Results_list!$C$214,SSP5_Baseline!$D:$D,Results_list!$D229,SSP5_Baseline!$B:$B,2025,SSP5_Baseline!I:I,Results_list!E229))</f>
        <v>0.20878531135119915</v>
      </c>
      <c r="N229" s="16">
        <f>((SUMIFS(SSP5_VSI!$F:$F,SSP5_VSI!$C:$C,Results_list!$C$214,SSP5_VSI!$D:$D,Results_list!$D229,SSP5_VSI!$B:$B,2040,SSP5_VSI!I:I,Results_list!E229)) - (SUMIFS(SSP5_VSI!$F:$F,SSP5_VSI!$C:$C,Results_list!$C$214,SSP5_VSI!$D:$D,Results_list!$D229,SSP5_VSI!$B:$B,2025,SSP5_VSI!I:I,Results_list!E229))) / (SUMIFS(SSP5_VSI!$F:$F,SSP5_VSI!$C:$C,Results_list!$C$214,SSP5_VSI!$D:$D,Results_list!$D229,SSP5_VSI!$B:$B,2025,SSP5_VSI!I:I,Results_list!E229))</f>
        <v>0.2088222500885038</v>
      </c>
      <c r="O229" s="13">
        <f t="shared" si="32"/>
        <v>0</v>
      </c>
    </row>
    <row r="230" spans="2:15" x14ac:dyDescent="0.35">
      <c r="B230" s="83"/>
      <c r="C230" s="83"/>
      <c r="D230" s="22" t="s">
        <v>55</v>
      </c>
      <c r="E230" s="25" t="s">
        <v>71</v>
      </c>
      <c r="F230" s="3" t="s">
        <v>103</v>
      </c>
      <c r="G230" s="12">
        <f>((SUMIFS(SSP1_Baseline!$E:$E,SSP1_Baseline!$C:$C,Results_list!$C$214,SSP1_Baseline!$D:$D,Results_list!$D230,SSP1_Baseline!$B:$B,2040,SSP1_Baseline!I:I,Results_list!E230))
- (SUMIFS(SSP1_Baseline!$E:$E,SSP1_Baseline!$C:$C,Results_list!$C$214,SSP1_Baseline!$D:$D,Results_list!$D230,SSP1_Baseline!$B:$B,2025,SSP1_Baseline!I:I,Results_list!E230)))
/ (SUMIFS(SSP1_Baseline!$E:$E,SSP1_Baseline!$C:$C,Results_list!$C$214,SSP1_Baseline!$D:$D,Results_list!$D230,SSP1_Baseline!$B:$B,2025,SSP1_Baseline!I:I,Results_list!E230))</f>
        <v>-2.1896538316627655E-2</v>
      </c>
      <c r="H230" s="16">
        <f>((SUMIFS(SSP1_VSI!$F:$F,SSP1_VSI!$C:$C,Results_list!$C$214,SSP1_VSI!$D:$D,Results_list!$D230,SSP1_VSI!$B:$B,2040,SSP1_VSI!I:I,Results_list!E230))
- (SUMIFS(SSP1_VSI!$F:$F,SSP1_VSI!$C:$C,Results_list!$C$214,SSP1_VSI!$D:$D,Results_list!$D230,SSP1_VSI!$B:$B,2025,SSP1_VSI!I:I,Results_list!E230)))
/ (SUMIFS(SSP1_VSI!$F:$F,SSP1_VSI!$C:$C,Results_list!$C$214,SSP1_VSI!$D:$D,Results_list!$D230,SSP1_VSI!$B:$B,2025,SSP1_VSI!I:I,Results_list!E230))</f>
        <v>-2.1886157534076807E-2</v>
      </c>
      <c r="I230" s="13">
        <f t="shared" si="30"/>
        <v>0</v>
      </c>
      <c r="J230" s="12">
        <f>((SUMIFS(SSP2_Baseline!$E:$E,SSP2_Baseline!$C:$C,Results_list!$C$214,SSP2_Baseline!$D:$D,Results_list!$D230,SSP2_Baseline!$B:$B,2040,SSP2_Baseline!I:I,Results_list!E230))
- (SUMIFS(SSP2_Baseline!$E:$E,SSP2_Baseline!$C:$C,Results_list!$C$214,SSP2_Baseline!$D:$D,Results_list!$D230,SSP2_Baseline!$B:$B,2025,SSP2_Baseline!I:I,Results_list!E230)))
/ (SUMIFS(SSP2_Baseline!$E:$E,SSP2_Baseline!$C:$C,Results_list!$C$214,SSP2_Baseline!$D:$D,Results_list!$D230,SSP2_Baseline!$B:$B,2025,SSP2_Baseline!I:I,Results_list!E230))</f>
        <v>-1.1067793051647908E-2</v>
      </c>
      <c r="K230" s="16">
        <f>((SUMIFS(SSP2_VSI!$F:$F,SSP2_VSI!$C:$C,Results_list!$C$214,SSP2_VSI!$D:$D,Results_list!$D230,SSP2_VSI!$B:$B,2040,SSP2_VSI!I:I,Results_list!E230))
- (SUMIFS(SSP2_VSI!$F:$F,SSP2_VSI!$C:$C,Results_list!$C$214,SSP2_VSI!$D:$D,Results_list!$D230,SSP2_VSI!$B:$B,2025,SSP2_VSI!I:I,Results_list!E230)))
/ (SUMIFS(SSP2_VSI!$F:$F,SSP2_VSI!$C:$C,Results_list!$C$214,SSP2_VSI!$D:$D,Results_list!$D230,SSP2_VSI!$B:$B,2025,SSP2_VSI!I:I,Results_list!E230))</f>
        <v>-1.1069239904348738E-2</v>
      </c>
      <c r="L230" s="13">
        <f t="shared" si="31"/>
        <v>0</v>
      </c>
      <c r="M230" s="12">
        <f>((SUMIFS(SSP5_Baseline!$E:$E,SSP5_Baseline!$C:$C,Results_list!$C$214,SSP5_Baseline!$D:$D,Results_list!$D230,SSP5_Baseline!$B:$B,2040,SSP5_Baseline!I:I,Results_list!E230))
- (SUMIFS(SSP5_Baseline!$E:$E,SSP5_Baseline!$C:$C,Results_list!$C$214,SSP5_Baseline!$D:$D,Results_list!$D230,SSP5_Baseline!$B:$B,2025,SSP5_Baseline!I:I,Results_list!E230)))
/ (SUMIFS(SSP5_Baseline!$E:$E,SSP5_Baseline!$C:$C,Results_list!$C$214,SSP5_Baseline!$D:$D,Results_list!$D230,SSP5_Baseline!$B:$B,2025,SSP5_Baseline!I:I,Results_list!E230))</f>
        <v>0.20177396855575216</v>
      </c>
      <c r="N230" s="16">
        <f>((SUMIFS(SSP5_VSI!$F:$F,SSP5_VSI!$C:$C,Results_list!$C$214,SSP5_VSI!$D:$D,Results_list!$D230,SSP5_VSI!$B:$B,2040,SSP5_VSI!I:I,Results_list!E230)) - (SUMIFS(SSP5_VSI!$F:$F,SSP5_VSI!$C:$C,Results_list!$C$214,SSP5_VSI!$D:$D,Results_list!$D230,SSP5_VSI!$B:$B,2025,SSP5_VSI!I:I,Results_list!E230))) / (SUMIFS(SSP5_VSI!$F:$F,SSP5_VSI!$C:$C,Results_list!$C$214,SSP5_VSI!$D:$D,Results_list!$D230,SSP5_VSI!$B:$B,2025,SSP5_VSI!I:I,Results_list!E230))</f>
        <v>0.20181443814950487</v>
      </c>
      <c r="O230" s="13">
        <f t="shared" si="32"/>
        <v>0</v>
      </c>
    </row>
    <row r="231" spans="2:15" x14ac:dyDescent="0.35">
      <c r="B231" s="84"/>
      <c r="C231" s="84"/>
      <c r="D231" s="23" t="s">
        <v>56</v>
      </c>
      <c r="E231" s="26" t="s">
        <v>71</v>
      </c>
      <c r="F231" s="9" t="s">
        <v>104</v>
      </c>
      <c r="G231" s="14">
        <f>((SUMIFS(SSP1_Baseline!$E:$E,SSP1_Baseline!$C:$C,Results_list!$C$214,SSP1_Baseline!$D:$D,Results_list!$D231,SSP1_Baseline!$B:$B,2040,SSP1_Baseline!I:I,Results_list!E231))
- (SUMIFS(SSP1_Baseline!$E:$E,SSP1_Baseline!$C:$C,Results_list!$C$214,SSP1_Baseline!$D:$D,Results_list!$D231,SSP1_Baseline!$B:$B,2025,SSP1_Baseline!I:I,Results_list!E231)))
/ (SUMIFS(SSP1_Baseline!$E:$E,SSP1_Baseline!$C:$C,Results_list!$C$214,SSP1_Baseline!$D:$D,Results_list!$D231,SSP1_Baseline!$B:$B,2025,SSP1_Baseline!I:I,Results_list!E231))</f>
        <v>-0.21887698450750745</v>
      </c>
      <c r="H231" s="17">
        <f>((SUMIFS(SSP1_VSI!$F:$F,SSP1_VSI!$C:$C,Results_list!$C$214,SSP1_VSI!$D:$D,Results_list!$D231,SSP1_VSI!$B:$B,2040,SSP1_VSI!I:I,Results_list!E231))
- (SUMIFS(SSP1_VSI!$F:$F,SSP1_VSI!$C:$C,Results_list!$C$214,SSP1_VSI!$D:$D,Results_list!$D231,SSP1_VSI!$B:$B,2025,SSP1_VSI!I:I,Results_list!E231)))
/ (SUMIFS(SSP1_VSI!$F:$F,SSP1_VSI!$C:$C,Results_list!$C$214,SSP1_VSI!$D:$D,Results_list!$D231,SSP1_VSI!$B:$B,2025,SSP1_VSI!I:I,Results_list!E231))</f>
        <v>-0.21888056697473365</v>
      </c>
      <c r="I231" s="15">
        <f t="shared" si="30"/>
        <v>0</v>
      </c>
      <c r="J231" s="14">
        <f>((SUMIFS(SSP2_Baseline!$E:$E,SSP2_Baseline!$C:$C,Results_list!$C$214,SSP2_Baseline!$D:$D,Results_list!$D231,SSP2_Baseline!$B:$B,2040,SSP2_Baseline!I:I,Results_list!E231))
- (SUMIFS(SSP2_Baseline!$E:$E,SSP2_Baseline!$C:$C,Results_list!$C$214,SSP2_Baseline!$D:$D,Results_list!$D231,SSP2_Baseline!$B:$B,2025,SSP2_Baseline!I:I,Results_list!E231)))
/ (SUMIFS(SSP2_Baseline!$E:$E,SSP2_Baseline!$C:$C,Results_list!$C$214,SSP2_Baseline!$D:$D,Results_list!$D231,SSP2_Baseline!$B:$B,2025,SSP2_Baseline!I:I,Results_list!E231))</f>
        <v>-0.25468206837221602</v>
      </c>
      <c r="K231" s="17">
        <f>((SUMIFS(SSP2_VSI!$F:$F,SSP2_VSI!$C:$C,Results_list!$C$214,SSP2_VSI!$D:$D,Results_list!$D231,SSP2_VSI!$B:$B,2040,SSP2_VSI!I:I,Results_list!E231))
- (SUMIFS(SSP2_VSI!$F:$F,SSP2_VSI!$C:$C,Results_list!$C$214,SSP2_VSI!$D:$D,Results_list!$D231,SSP2_VSI!$B:$B,2025,SSP2_VSI!I:I,Results_list!E231)))
/ (SUMIFS(SSP2_VSI!$F:$F,SSP2_VSI!$C:$C,Results_list!$C$214,SSP2_VSI!$D:$D,Results_list!$D231,SSP2_VSI!$B:$B,2025,SSP2_VSI!I:I,Results_list!E231))</f>
        <v>-0.25471458654986739</v>
      </c>
      <c r="L231" s="15">
        <f t="shared" si="31"/>
        <v>0</v>
      </c>
      <c r="M231" s="14">
        <f>((SUMIFS(SSP5_Baseline!$E:$E,SSP5_Baseline!$C:$C,Results_list!$C$214,SSP5_Baseline!$D:$D,Results_list!$D231,SSP5_Baseline!$B:$B,2040,SSP5_Baseline!I:I,Results_list!E231))
- (SUMIFS(SSP5_Baseline!$E:$E,SSP5_Baseline!$C:$C,Results_list!$C$214,SSP5_Baseline!$D:$D,Results_list!$D231,SSP5_Baseline!$B:$B,2025,SSP5_Baseline!I:I,Results_list!E231)))
/ (SUMIFS(SSP5_Baseline!$E:$E,SSP5_Baseline!$C:$C,Results_list!$C$214,SSP5_Baseline!$D:$D,Results_list!$D231,SSP5_Baseline!$B:$B,2025,SSP5_Baseline!I:I,Results_list!E231))</f>
        <v>2.3810061255064397E-2</v>
      </c>
      <c r="N231" s="17">
        <f>((SUMIFS(SSP5_VSI!$F:$F,SSP5_VSI!$C:$C,Results_list!$C$214,SSP5_VSI!$D:$D,Results_list!$D231,SSP5_VSI!$B:$B,2040,SSP5_VSI!I:I,Results_list!E231)) - (SUMIFS(SSP5_VSI!$F:$F,SSP5_VSI!$C:$C,Results_list!$C$214,SSP5_VSI!$D:$D,Results_list!$D231,SSP5_VSI!$B:$B,2025,SSP5_VSI!I:I,Results_list!E231))) / (SUMIFS(SSP5_VSI!$F:$F,SSP5_VSI!$C:$C,Results_list!$C$214,SSP5_VSI!$D:$D,Results_list!$D231,SSP5_VSI!$B:$B,2025,SSP5_VSI!I:I,Results_list!E231))</f>
        <v>2.3838480334168601E-2</v>
      </c>
      <c r="O231" s="15">
        <f t="shared" si="32"/>
        <v>0</v>
      </c>
    </row>
    <row r="233" spans="2:15" ht="19" customHeight="1" x14ac:dyDescent="0.35">
      <c r="F233" s="2"/>
      <c r="G233" s="78" t="s">
        <v>3</v>
      </c>
      <c r="H233" s="79"/>
      <c r="I233" s="79"/>
      <c r="J233" s="79"/>
      <c r="K233" s="79"/>
      <c r="L233" s="79"/>
      <c r="M233" s="79"/>
      <c r="N233" s="79"/>
      <c r="O233" s="80"/>
    </row>
    <row r="234" spans="2:15" ht="29" x14ac:dyDescent="0.35">
      <c r="B234" s="8" t="s">
        <v>30</v>
      </c>
      <c r="C234" s="8" t="s">
        <v>30</v>
      </c>
      <c r="D234" s="6" t="s">
        <v>106</v>
      </c>
      <c r="F234" s="7" t="s">
        <v>105</v>
      </c>
      <c r="G234" s="10" t="s">
        <v>0</v>
      </c>
      <c r="H234" s="11" t="s">
        <v>108</v>
      </c>
      <c r="I234" s="18" t="s">
        <v>107</v>
      </c>
      <c r="J234" s="10" t="s">
        <v>1</v>
      </c>
      <c r="K234" s="11" t="s">
        <v>109</v>
      </c>
      <c r="L234" s="18" t="s">
        <v>107</v>
      </c>
      <c r="M234" s="10" t="s">
        <v>2</v>
      </c>
      <c r="N234" s="11" t="s">
        <v>110</v>
      </c>
      <c r="O234" s="18" t="s">
        <v>107</v>
      </c>
    </row>
    <row r="235" spans="2:15" ht="14.5" customHeight="1" x14ac:dyDescent="0.35">
      <c r="B235" s="83" t="s">
        <v>120</v>
      </c>
      <c r="C235" s="85" t="s">
        <v>72</v>
      </c>
      <c r="D235" t="s">
        <v>38</v>
      </c>
      <c r="F235" s="3" t="s">
        <v>87</v>
      </c>
      <c r="G235" s="12">
        <f>((SUMIFS(SSP1_Baseline!$E:$E,SSP1_Baseline!$C:$C,Results_list!$C$235,SSP1_Baseline!$D:$D,Results_list!$D235,SSP1_Baseline!$B:$B,2040)) - (SUMIFS(SSP1_Baseline!$E:$E,SSP1_Baseline!$C:$C,Results_list!$C$235,SSP1_Baseline!$D:$D,Results_list!$D235,SSP1_Baseline!$B:$B,2025))) / (SUMIFS(SSP1_Baseline!$E:$E,SSP1_Baseline!$C:$C,Results_list!$C$235,SSP1_Baseline!$D:$D,Results_list!$D235,SSP1_Baseline!$B:$B,2025))</f>
        <v>-0.14595017875366659</v>
      </c>
      <c r="H235" s="16">
        <f>((SUMIFS(SSP1_VSI!$F:$F,SSP1_VSI!$C:$C,Results_list!$C$235,SSP1_VSI!$D:$D,Results_list!$D235,SSP1_VSI!$B:$B,2040)) - (SUMIFS(SSP1_VSI!$F:$F,SSP1_VSI!$C:$C,Results_list!$C$235,SSP1_VSI!$D:$D,Results_list!$D235,SSP1_VSI!$B:$B,2025))) / (SUMIFS(SSP1_VSI!$F:$F,SSP1_VSI!$C:$C,Results_list!$C$235,SSP1_VSI!$D:$D,Results_list!$D235,SSP1_VSI!$B:$B,2025))</f>
        <v>-0.14593163998158717</v>
      </c>
      <c r="I235" s="19">
        <f>ROUND(H235-G235,3)</f>
        <v>0</v>
      </c>
      <c r="J235" s="12">
        <f>((SUMIFS(SSP2_Baseline!$E:$E,SSP2_Baseline!$C:$C,Results_list!$C$235,SSP2_Baseline!$D:$D,Results_list!$D235,SSP2_Baseline!$B:$B,2040)) - (SUMIFS(SSP2_Baseline!$E:$E,SSP2_Baseline!$C:$C,Results_list!$C$235,SSP2_Baseline!$D:$D,Results_list!$D235,SSP2_Baseline!$B:$B,2025))) / (SUMIFS(SSP2_Baseline!$E:$E,SSP2_Baseline!$C:$C,Results_list!$C$235,SSP2_Baseline!$D:$D,Results_list!$D235,SSP2_Baseline!$B:$B,2025))</f>
        <v>0.4426436097495059</v>
      </c>
      <c r="K235" s="16">
        <f>((SUMIFS(SSP2_VSI!$F:$F,SSP2_VSI!$C:$C,Results_list!$C$235,SSP2_VSI!$D:$D,Results_list!$D235,SSP2_VSI!$B:$B,2040)) - (SUMIFS(SSP2_VSI!$F:$F,SSP2_VSI!$C:$C,Results_list!$C$235,SSP2_VSI!$D:$D,Results_list!$D235,SSP2_VSI!$B:$B,2025))) / (SUMIFS(SSP2_VSI!$F:$F,SSP2_VSI!$C:$C,Results_list!$C$235,SSP2_VSI!$D:$D,Results_list!$D235,SSP2_VSI!$B:$B,2025))</f>
        <v>0.4425169778824567</v>
      </c>
      <c r="L235" s="19">
        <f>ROUND(K235-J235,2)</f>
        <v>0</v>
      </c>
      <c r="M235" s="12">
        <f>((SUMIFS(SSP5_Baseline!$E:$E,SSP5_Baseline!$C:$C,Results_list!$C$235,SSP5_Baseline!$D:$D,Results_list!$D235,SSP5_Baseline!$B:$B,2040)) - (SUMIFS(SSP5_Baseline!$E:$E,SSP5_Baseline!$C:$C,Results_list!$C$235,SSP5_Baseline!$D:$D,Results_list!$D235,SSP5_Baseline!$B:$B,2025))) / (SUMIFS(SSP5_Baseline!$E:$E,SSP5_Baseline!$C:$C,Results_list!$C$235,SSP5_Baseline!$D:$D,Results_list!$D235,SSP5_Baseline!$B:$B,2025))</f>
        <v>0.74569157514978057</v>
      </c>
      <c r="N235" s="16">
        <f>((SUMIFS(SSP5_VSI!$F:$F,SSP5_VSI!$C:$C,Results_list!$C$235,SSP5_VSI!$D:$D,Results_list!$D235,SSP5_VSI!$B:$B,2040)) - (SUMIFS(SSP5_VSI!$F:$F,SSP5_VSI!$C:$C,Results_list!$C$235,SSP5_VSI!$D:$D,Results_list!$D235,SSP5_VSI!$B:$B,2025))) / (SUMIFS(SSP5_VSI!$F:$F,SSP5_VSI!$C:$C,Results_list!$C$235,SSP5_VSI!$D:$D,Results_list!$D235,SSP5_VSI!$B:$B,2025))</f>
        <v>0.74575437235435316</v>
      </c>
      <c r="O235" s="19">
        <f>ROUND(N235-M235,2)</f>
        <v>0</v>
      </c>
    </row>
    <row r="236" spans="2:15" x14ac:dyDescent="0.35">
      <c r="B236" s="83"/>
      <c r="C236" s="85"/>
      <c r="D236" t="s">
        <v>40</v>
      </c>
      <c r="F236" s="3" t="s">
        <v>88</v>
      </c>
      <c r="G236" s="12">
        <f>((SUMIFS(SSP1_Baseline!$E:$E,SSP1_Baseline!$C:$C,Results_list!$C$235,SSP1_Baseline!$D:$D,Results_list!$D236,SSP1_Baseline!$B:$B,2040)) - (SUMIFS(SSP1_Baseline!$E:$E,SSP1_Baseline!$C:$C,Results_list!$C$235,SSP1_Baseline!$D:$D,Results_list!$D236,SSP1_Baseline!$B:$B,2025))) / (SUMIFS(SSP1_Baseline!$E:$E,SSP1_Baseline!$C:$C,Results_list!$C$235,SSP1_Baseline!$D:$D,Results_list!$D236,SSP1_Baseline!$B:$B,2025))</f>
        <v>-0.13999768451226521</v>
      </c>
      <c r="H236" s="16">
        <f>((SUMIFS(SSP1_VSI!$F:$F,SSP1_VSI!$C:$C,Results_list!$C$235,SSP1_VSI!$D:$D,Results_list!$D236,SSP1_VSI!$B:$B,2040)) - (SUMIFS(SSP1_VSI!$F:$F,SSP1_VSI!$C:$C,Results_list!$C$235,SSP1_VSI!$D:$D,Results_list!$D236,SSP1_VSI!$B:$B,2025))) / (SUMIFS(SSP1_VSI!$F:$F,SSP1_VSI!$C:$C,Results_list!$C$235,SSP1_VSI!$D:$D,Results_list!$D236,SSP1_VSI!$B:$B,2025))</f>
        <v>-0.13999817524395572</v>
      </c>
      <c r="I236" s="13">
        <f t="shared" ref="I236:I252" si="33">ROUND(H236-G236,3)</f>
        <v>0</v>
      </c>
      <c r="J236" s="12">
        <f>((SUMIFS(SSP2_Baseline!$E:$E,SSP2_Baseline!$C:$C,Results_list!$C$235,SSP2_Baseline!$D:$D,Results_list!$D236,SSP2_Baseline!$B:$B,2040)) - (SUMIFS(SSP2_Baseline!$E:$E,SSP2_Baseline!$C:$C,Results_list!$C$235,SSP2_Baseline!$D:$D,Results_list!$D236,SSP2_Baseline!$B:$B,2025))) / (SUMIFS(SSP2_Baseline!$E:$E,SSP2_Baseline!$C:$C,Results_list!$C$235,SSP2_Baseline!$D:$D,Results_list!$D236,SSP2_Baseline!$B:$B,2025))</f>
        <v>-0.1482988586857395</v>
      </c>
      <c r="K236" s="16">
        <f>((SUMIFS(SSP2_VSI!$F:$F,SSP2_VSI!$C:$C,Results_list!$C$235,SSP2_VSI!$D:$D,Results_list!$D236,SSP2_VSI!$B:$B,2040)) - (SUMIFS(SSP2_VSI!$F:$F,SSP2_VSI!$C:$C,Results_list!$C$235,SSP2_VSI!$D:$D,Results_list!$D236,SSP2_VSI!$B:$B,2025))) / (SUMIFS(SSP2_VSI!$F:$F,SSP2_VSI!$C:$C,Results_list!$C$235,SSP2_VSI!$D:$D,Results_list!$D236,SSP2_VSI!$B:$B,2025))</f>
        <v>-0.14831871218100734</v>
      </c>
      <c r="L236" s="13">
        <f t="shared" ref="L236:L252" si="34">ROUND(K236-J236,2)</f>
        <v>0</v>
      </c>
      <c r="M236" s="12">
        <f>((SUMIFS(SSP5_Baseline!$E:$E,SSP5_Baseline!$C:$C,Results_list!$C$235,SSP5_Baseline!$D:$D,Results_list!$D236,SSP5_Baseline!$B:$B,2040)) - (SUMIFS(SSP5_Baseline!$E:$E,SSP5_Baseline!$C:$C,Results_list!$C$235,SSP5_Baseline!$D:$D,Results_list!$D236,SSP5_Baseline!$B:$B,2025))) / (SUMIFS(SSP5_Baseline!$E:$E,SSP5_Baseline!$C:$C,Results_list!$C$235,SSP5_Baseline!$D:$D,Results_list!$D236,SSP5_Baseline!$B:$B,2025))</f>
        <v>-5.7264061841255223E-2</v>
      </c>
      <c r="N236" s="16">
        <f>((SUMIFS(SSP5_VSI!$F:$F,SSP5_VSI!$C:$C,Results_list!$C$235,SSP5_VSI!$D:$D,Results_list!$D236,SSP5_VSI!$B:$B,2040)) - (SUMIFS(SSP5_VSI!$F:$F,SSP5_VSI!$C:$C,Results_list!$C$235,SSP5_VSI!$D:$D,Results_list!$D236,SSP5_VSI!$B:$B,2025))) / (SUMIFS(SSP5_VSI!$F:$F,SSP5_VSI!$C:$C,Results_list!$C$235,SSP5_VSI!$D:$D,Results_list!$D236,SSP5_VSI!$B:$B,2025))</f>
        <v>-5.7322511542688914E-2</v>
      </c>
      <c r="O236" s="13">
        <f t="shared" ref="O236:O252" si="35">ROUND(N236-M236,2)</f>
        <v>0</v>
      </c>
    </row>
    <row r="237" spans="2:15" x14ac:dyDescent="0.35">
      <c r="B237" s="83"/>
      <c r="C237" s="85"/>
      <c r="D237" t="s">
        <v>41</v>
      </c>
      <c r="F237" s="3" t="s">
        <v>89</v>
      </c>
      <c r="G237" s="12">
        <f>((SUMIFS(SSP1_Baseline!$E:$E,SSP1_Baseline!$C:$C,Results_list!$C$235,SSP1_Baseline!$D:$D,Results_list!$D237,SSP1_Baseline!$B:$B,2040)) - (SUMIFS(SSP1_Baseline!$E:$E,SSP1_Baseline!$C:$C,Results_list!$C$235,SSP1_Baseline!$D:$D,Results_list!$D237,SSP1_Baseline!$B:$B,2025))) / (SUMIFS(SSP1_Baseline!$E:$E,SSP1_Baseline!$C:$C,Results_list!$C$235,SSP1_Baseline!$D:$D,Results_list!$D237,SSP1_Baseline!$B:$B,2025))</f>
        <v>-8.0217135888419527E-2</v>
      </c>
      <c r="H237" s="16">
        <f>((SUMIFS(SSP1_VSI!$F:$F,SSP1_VSI!$C:$C,Results_list!$C$235,SSP1_VSI!$D:$D,Results_list!$D237,SSP1_VSI!$B:$B,2040)) - (SUMIFS(SSP1_VSI!$F:$F,SSP1_VSI!$C:$C,Results_list!$C$235,SSP1_VSI!$D:$D,Results_list!$D237,SSP1_VSI!$B:$B,2025))) / (SUMIFS(SSP1_VSI!$F:$F,SSP1_VSI!$C:$C,Results_list!$C$235,SSP1_VSI!$D:$D,Results_list!$D237,SSP1_VSI!$B:$B,2025))</f>
        <v>-0.11415868704137587</v>
      </c>
      <c r="I237" s="13">
        <f t="shared" si="33"/>
        <v>-3.4000000000000002E-2</v>
      </c>
      <c r="J237" s="12">
        <f>((SUMIFS(SSP2_Baseline!$E:$E,SSP2_Baseline!$C:$C,Results_list!$C$235,SSP2_Baseline!$D:$D,Results_list!$D237,SSP2_Baseline!$B:$B,2040)) - (SUMIFS(SSP2_Baseline!$E:$E,SSP2_Baseline!$C:$C,Results_list!$C$235,SSP2_Baseline!$D:$D,Results_list!$D237,SSP2_Baseline!$B:$B,2025))) / (SUMIFS(SSP2_Baseline!$E:$E,SSP2_Baseline!$C:$C,Results_list!$C$235,SSP2_Baseline!$D:$D,Results_list!$D237,SSP2_Baseline!$B:$B,2025))</f>
        <v>-7.90239618037058E-2</v>
      </c>
      <c r="K237" s="16">
        <f>((SUMIFS(SSP2_VSI!$F:$F,SSP2_VSI!$C:$C,Results_list!$C$235,SSP2_VSI!$D:$D,Results_list!$D237,SSP2_VSI!$B:$B,2040)) - (SUMIFS(SSP2_VSI!$F:$F,SSP2_VSI!$C:$C,Results_list!$C$235,SSP2_VSI!$D:$D,Results_list!$D237,SSP2_VSI!$B:$B,2025))) / (SUMIFS(SSP2_VSI!$F:$F,SSP2_VSI!$C:$C,Results_list!$C$235,SSP2_VSI!$D:$D,Results_list!$D237,SSP2_VSI!$B:$B,2025))</f>
        <v>-0.11326113041358274</v>
      </c>
      <c r="L237" s="13">
        <f t="shared" si="34"/>
        <v>-0.03</v>
      </c>
      <c r="M237" s="12">
        <f>((SUMIFS(SSP5_Baseline!$E:$E,SSP5_Baseline!$C:$C,Results_list!$C$235,SSP5_Baseline!$D:$D,Results_list!$D237,SSP5_Baseline!$B:$B,2040)) - (SUMIFS(SSP5_Baseline!$E:$E,SSP5_Baseline!$C:$C,Results_list!$C$235,SSP5_Baseline!$D:$D,Results_list!$D237,SSP5_Baseline!$B:$B,2025))) / (SUMIFS(SSP5_Baseline!$E:$E,SSP5_Baseline!$C:$C,Results_list!$C$235,SSP5_Baseline!$D:$D,Results_list!$D237,SSP5_Baseline!$B:$B,2025))</f>
        <v>-4.624476717326758E-2</v>
      </c>
      <c r="N237" s="16">
        <f>((SUMIFS(SSP5_VSI!$F:$F,SSP5_VSI!$C:$C,Results_list!$C$235,SSP5_VSI!$D:$D,Results_list!$D237,SSP5_VSI!$B:$B,2040)) - (SUMIFS(SSP5_VSI!$F:$F,SSP5_VSI!$C:$C,Results_list!$C$235,SSP5_VSI!$D:$D,Results_list!$D237,SSP5_VSI!$B:$B,2025))) / (SUMIFS(SSP5_VSI!$F:$F,SSP5_VSI!$C:$C,Results_list!$C$235,SSP5_VSI!$D:$D,Results_list!$D237,SSP5_VSI!$B:$B,2025))</f>
        <v>-8.0271883975720187E-2</v>
      </c>
      <c r="O237" s="13">
        <f t="shared" si="35"/>
        <v>-0.03</v>
      </c>
    </row>
    <row r="238" spans="2:15" x14ac:dyDescent="0.35">
      <c r="B238" s="83"/>
      <c r="C238" s="85"/>
      <c r="D238" t="s">
        <v>42</v>
      </c>
      <c r="F238" s="3" t="s">
        <v>90</v>
      </c>
      <c r="G238" s="12">
        <f>((SUMIFS(SSP1_Baseline!$E:$E,SSP1_Baseline!$C:$C,Results_list!$C$235,SSP1_Baseline!$D:$D,Results_list!$D238,SSP1_Baseline!$B:$B,2040)) - (SUMIFS(SSP1_Baseline!$E:$E,SSP1_Baseline!$C:$C,Results_list!$C$235,SSP1_Baseline!$D:$D,Results_list!$D238,SSP1_Baseline!$B:$B,2025))) / (SUMIFS(SSP1_Baseline!$E:$E,SSP1_Baseline!$C:$C,Results_list!$C$235,SSP1_Baseline!$D:$D,Results_list!$D238,SSP1_Baseline!$B:$B,2025))</f>
        <v>-5.8462686784336103E-2</v>
      </c>
      <c r="H238" s="16">
        <f>((SUMIFS(SSP1_VSI!$F:$F,SSP1_VSI!$C:$C,Results_list!$C$235,SSP1_VSI!$D:$D,Results_list!$D238,SSP1_VSI!$B:$B,2040)) - (SUMIFS(SSP1_VSI!$F:$F,SSP1_VSI!$C:$C,Results_list!$C$235,SSP1_VSI!$D:$D,Results_list!$D238,SSP1_VSI!$B:$B,2025))) / (SUMIFS(SSP1_VSI!$F:$F,SSP1_VSI!$C:$C,Results_list!$C$235,SSP1_VSI!$D:$D,Results_list!$D238,SSP1_VSI!$B:$B,2025))</f>
        <v>-5.8457019343881554E-2</v>
      </c>
      <c r="I238" s="13">
        <f t="shared" si="33"/>
        <v>0</v>
      </c>
      <c r="J238" s="12">
        <f>((SUMIFS(SSP2_Baseline!$E:$E,SSP2_Baseline!$C:$C,Results_list!$C$235,SSP2_Baseline!$D:$D,Results_list!$D238,SSP2_Baseline!$B:$B,2040)) - (SUMIFS(SSP2_Baseline!$E:$E,SSP2_Baseline!$C:$C,Results_list!$C$235,SSP2_Baseline!$D:$D,Results_list!$D238,SSP2_Baseline!$B:$B,2025))) / (SUMIFS(SSP2_Baseline!$E:$E,SSP2_Baseline!$C:$C,Results_list!$C$235,SSP2_Baseline!$D:$D,Results_list!$D238,SSP2_Baseline!$B:$B,2025))</f>
        <v>-6.3308497286280421E-2</v>
      </c>
      <c r="K238" s="16">
        <f>((SUMIFS(SSP2_VSI!$F:$F,SSP2_VSI!$C:$C,Results_list!$C$235,SSP2_VSI!$D:$D,Results_list!$D238,SSP2_VSI!$B:$B,2040)) - (SUMIFS(SSP2_VSI!$F:$F,SSP2_VSI!$C:$C,Results_list!$C$235,SSP2_VSI!$D:$D,Results_list!$D238,SSP2_VSI!$B:$B,2025))) / (SUMIFS(SSP2_VSI!$F:$F,SSP2_VSI!$C:$C,Results_list!$C$235,SSP2_VSI!$D:$D,Results_list!$D238,SSP2_VSI!$B:$B,2025))</f>
        <v>-6.3317563316282313E-2</v>
      </c>
      <c r="L238" s="13">
        <f t="shared" si="34"/>
        <v>0</v>
      </c>
      <c r="M238" s="12">
        <f>((SUMIFS(SSP5_Baseline!$E:$E,SSP5_Baseline!$C:$C,Results_list!$C$235,SSP5_Baseline!$D:$D,Results_list!$D238,SSP5_Baseline!$B:$B,2040)) - (SUMIFS(SSP5_Baseline!$E:$E,SSP5_Baseline!$C:$C,Results_list!$C$235,SSP5_Baseline!$D:$D,Results_list!$D238,SSP5_Baseline!$B:$B,2025))) / (SUMIFS(SSP5_Baseline!$E:$E,SSP5_Baseline!$C:$C,Results_list!$C$235,SSP5_Baseline!$D:$D,Results_list!$D238,SSP5_Baseline!$B:$B,2025))</f>
        <v>0.22883249956220836</v>
      </c>
      <c r="N238" s="16">
        <f>((SUMIFS(SSP5_VSI!$F:$F,SSP5_VSI!$C:$C,Results_list!$C$235,SSP5_VSI!$D:$D,Results_list!$D238,SSP5_VSI!$B:$B,2040)) - (SUMIFS(SSP5_VSI!$F:$F,SSP5_VSI!$C:$C,Results_list!$C$235,SSP5_VSI!$D:$D,Results_list!$D238,SSP5_VSI!$B:$B,2025))) / (SUMIFS(SSP5_VSI!$F:$F,SSP5_VSI!$C:$C,Results_list!$C$235,SSP5_VSI!$D:$D,Results_list!$D238,SSP5_VSI!$B:$B,2025))</f>
        <v>0.22888738548202273</v>
      </c>
      <c r="O238" s="13">
        <f t="shared" si="35"/>
        <v>0</v>
      </c>
    </row>
    <row r="239" spans="2:15" x14ac:dyDescent="0.35">
      <c r="B239" s="83"/>
      <c r="C239" s="85"/>
      <c r="D239" t="s">
        <v>43</v>
      </c>
      <c r="F239" s="3" t="s">
        <v>91</v>
      </c>
      <c r="G239" s="12">
        <f>((SUMIFS(SSP1_Baseline!$E:$E,SSP1_Baseline!$C:$C,Results_list!$C$235,SSP1_Baseline!$D:$D,Results_list!$D239,SSP1_Baseline!$B:$B,2040)) - (SUMIFS(SSP1_Baseline!$E:$E,SSP1_Baseline!$C:$C,Results_list!$C$235,SSP1_Baseline!$D:$D,Results_list!$D239,SSP1_Baseline!$B:$B,2025))) / (SUMIFS(SSP1_Baseline!$E:$E,SSP1_Baseline!$C:$C,Results_list!$C$235,SSP1_Baseline!$D:$D,Results_list!$D239,SSP1_Baseline!$B:$B,2025))</f>
        <v>-2.9707033644515764E-2</v>
      </c>
      <c r="H239" s="16">
        <f>((SUMIFS(SSP1_VSI!$F:$F,SSP1_VSI!$C:$C,Results_list!$C$235,SSP1_VSI!$D:$D,Results_list!$D239,SSP1_VSI!$B:$B,2040)) - (SUMIFS(SSP1_VSI!$F:$F,SSP1_VSI!$C:$C,Results_list!$C$235,SSP1_VSI!$D:$D,Results_list!$D239,SSP1_VSI!$B:$B,2025))) / (SUMIFS(SSP1_VSI!$F:$F,SSP1_VSI!$C:$C,Results_list!$C$235,SSP1_VSI!$D:$D,Results_list!$D239,SSP1_VSI!$B:$B,2025))</f>
        <v>-0.68187756421360179</v>
      </c>
      <c r="I239" s="13">
        <f t="shared" si="33"/>
        <v>-0.65200000000000002</v>
      </c>
      <c r="J239" s="12">
        <f>((SUMIFS(SSP2_Baseline!$E:$E,SSP2_Baseline!$C:$C,Results_list!$C$235,SSP2_Baseline!$D:$D,Results_list!$D239,SSP2_Baseline!$B:$B,2040)) - (SUMIFS(SSP2_Baseline!$E:$E,SSP2_Baseline!$C:$C,Results_list!$C$235,SSP2_Baseline!$D:$D,Results_list!$D239,SSP2_Baseline!$B:$B,2025))) / (SUMIFS(SSP2_Baseline!$E:$E,SSP2_Baseline!$C:$C,Results_list!$C$235,SSP2_Baseline!$D:$D,Results_list!$D239,SSP2_Baseline!$B:$B,2025))</f>
        <v>-1.8476173348115757E-2</v>
      </c>
      <c r="K239" s="16">
        <f>((SUMIFS(SSP2_VSI!$F:$F,SSP2_VSI!$C:$C,Results_list!$C$235,SSP2_VSI!$D:$D,Results_list!$D239,SSP2_VSI!$B:$B,2040)) - (SUMIFS(SSP2_VSI!$F:$F,SSP2_VSI!$C:$C,Results_list!$C$235,SSP2_VSI!$D:$D,Results_list!$D239,SSP2_VSI!$B:$B,2025))) / (SUMIFS(SSP2_VSI!$F:$F,SSP2_VSI!$C:$C,Results_list!$C$235,SSP2_VSI!$D:$D,Results_list!$D239,SSP2_VSI!$B:$B,2025))</f>
        <v>-0.68483933586442336</v>
      </c>
      <c r="L239" s="13">
        <f t="shared" si="34"/>
        <v>-0.67</v>
      </c>
      <c r="M239" s="12">
        <f>((SUMIFS(SSP5_Baseline!$E:$E,SSP5_Baseline!$C:$C,Results_list!$C$235,SSP5_Baseline!$D:$D,Results_list!$D239,SSP5_Baseline!$B:$B,2040)) - (SUMIFS(SSP5_Baseline!$E:$E,SSP5_Baseline!$C:$C,Results_list!$C$235,SSP5_Baseline!$D:$D,Results_list!$D239,SSP5_Baseline!$B:$B,2025))) / (SUMIFS(SSP5_Baseline!$E:$E,SSP5_Baseline!$C:$C,Results_list!$C$235,SSP5_Baseline!$D:$D,Results_list!$D239,SSP5_Baseline!$B:$B,2025))</f>
        <v>6.4094017240081185E-3</v>
      </c>
      <c r="N239" s="16">
        <f>((SUMIFS(SSP5_VSI!$F:$F,SSP5_VSI!$C:$C,Results_list!$C$235,SSP5_VSI!$D:$D,Results_list!$D239,SSP5_VSI!$B:$B,2040)) - (SUMIFS(SSP5_VSI!$F:$F,SSP5_VSI!$C:$C,Results_list!$C$235,SSP5_VSI!$D:$D,Results_list!$D239,SSP5_VSI!$B:$B,2025))) / (SUMIFS(SSP5_VSI!$F:$F,SSP5_VSI!$C:$C,Results_list!$C$235,SSP5_VSI!$D:$D,Results_list!$D239,SSP5_VSI!$B:$B,2025))</f>
        <v>-0.65760598093801548</v>
      </c>
      <c r="O239" s="13">
        <f t="shared" si="35"/>
        <v>-0.66</v>
      </c>
    </row>
    <row r="240" spans="2:15" x14ac:dyDescent="0.35">
      <c r="B240" s="83"/>
      <c r="C240" s="85"/>
      <c r="D240" t="s">
        <v>136</v>
      </c>
      <c r="F240" s="3" t="s">
        <v>92</v>
      </c>
      <c r="G240" s="12">
        <f>((SUMIFS(SSP1_Baseline!$E:$E,SSP1_Baseline!$C:$C,Results_list!$C$235,SSP1_Baseline!$D:$D,Results_list!$D240,SSP1_Baseline!$B:$B,2040)) - (SUMIFS(SSP1_Baseline!$E:$E,SSP1_Baseline!$C:$C,Results_list!$C$235,SSP1_Baseline!$D:$D,Results_list!$D240,SSP1_Baseline!$B:$B,2025))) / (SUMIFS(SSP1_Baseline!$E:$E,SSP1_Baseline!$C:$C,Results_list!$C$235,SSP1_Baseline!$D:$D,Results_list!$D240,SSP1_Baseline!$B:$B,2025))</f>
        <v>-0.19078745466163918</v>
      </c>
      <c r="H240" s="16">
        <f>((SUMIFS(SSP1_VSI!$F:$F,SSP1_VSI!$C:$C,Results_list!$C$235,SSP1_VSI!$D:$D,Results_list!$D240,SSP1_VSI!$B:$B,2040)) - (SUMIFS(SSP1_VSI!$F:$F,SSP1_VSI!$C:$C,Results_list!$C$235,SSP1_VSI!$D:$D,Results_list!$D240,SSP1_VSI!$B:$B,2025))) / (SUMIFS(SSP1_VSI!$F:$F,SSP1_VSI!$C:$C,Results_list!$C$235,SSP1_VSI!$D:$D,Results_list!$D240,SSP1_VSI!$B:$B,2025))</f>
        <v>-0.19082902573017058</v>
      </c>
      <c r="I240" s="13">
        <f t="shared" si="33"/>
        <v>0</v>
      </c>
      <c r="J240" s="12">
        <f>((SUMIFS(SSP2_Baseline!$E:$E,SSP2_Baseline!$C:$C,Results_list!$C$235,SSP2_Baseline!$D:$D,Results_list!$D240,SSP2_Baseline!$B:$B,2040)) - (SUMIFS(SSP2_Baseline!$E:$E,SSP2_Baseline!$C:$C,Results_list!$C$235,SSP2_Baseline!$D:$D,Results_list!$D240,SSP2_Baseline!$B:$B,2025))) / (SUMIFS(SSP2_Baseline!$E:$E,SSP2_Baseline!$C:$C,Results_list!$C$235,SSP2_Baseline!$D:$D,Results_list!$D240,SSP2_Baseline!$B:$B,2025))</f>
        <v>-0.19556372616300335</v>
      </c>
      <c r="K240" s="16">
        <f>((SUMIFS(SSP2_VSI!$F:$F,SSP2_VSI!$C:$C,Results_list!$C$235,SSP2_VSI!$D:$D,Results_list!$D240,SSP2_VSI!$B:$B,2040)) - (SUMIFS(SSP2_VSI!$F:$F,SSP2_VSI!$C:$C,Results_list!$C$235,SSP2_VSI!$D:$D,Results_list!$D240,SSP2_VSI!$B:$B,2025))) / (SUMIFS(SSP2_VSI!$F:$F,SSP2_VSI!$C:$C,Results_list!$C$235,SSP2_VSI!$D:$D,Results_list!$D240,SSP2_VSI!$B:$B,2025))</f>
        <v>-0.19556119060725938</v>
      </c>
      <c r="L240" s="13">
        <f t="shared" si="34"/>
        <v>0</v>
      </c>
      <c r="M240" s="12">
        <f>((SUMIFS(SSP5_Baseline!$E:$E,SSP5_Baseline!$C:$C,Results_list!$C$235,SSP5_Baseline!$D:$D,Results_list!$D240,SSP5_Baseline!$B:$B,2040)) - (SUMIFS(SSP5_Baseline!$E:$E,SSP5_Baseline!$C:$C,Results_list!$C$235,SSP5_Baseline!$D:$D,Results_list!$D240,SSP5_Baseline!$B:$B,2025))) / (SUMIFS(SSP5_Baseline!$E:$E,SSP5_Baseline!$C:$C,Results_list!$C$235,SSP5_Baseline!$D:$D,Results_list!$D240,SSP5_Baseline!$B:$B,2025))</f>
        <v>3.115874150081531E-2</v>
      </c>
      <c r="N240" s="16">
        <f>((SUMIFS(SSP5_VSI!$F:$F,SSP5_VSI!$C:$C,Results_list!$C$235,SSP5_VSI!$D:$D,Results_list!$D240,SSP5_VSI!$B:$B,2040)) - (SUMIFS(SSP5_VSI!$F:$F,SSP5_VSI!$C:$C,Results_list!$C$235,SSP5_VSI!$D:$D,Results_list!$D240,SSP5_VSI!$B:$B,2025))) / (SUMIFS(SSP5_VSI!$F:$F,SSP5_VSI!$C:$C,Results_list!$C$235,SSP5_VSI!$D:$D,Results_list!$D240,SSP5_VSI!$B:$B,2025))</f>
        <v>3.1180335441949564E-2</v>
      </c>
      <c r="O240" s="13">
        <f t="shared" si="35"/>
        <v>0</v>
      </c>
    </row>
    <row r="241" spans="2:15" x14ac:dyDescent="0.35">
      <c r="B241" s="83"/>
      <c r="C241" s="85"/>
      <c r="D241" t="s">
        <v>45</v>
      </c>
      <c r="F241" s="3" t="s">
        <v>93</v>
      </c>
      <c r="G241" s="12">
        <f>((SUMIFS(SSP1_Baseline!$E:$E,SSP1_Baseline!$C:$C,Results_list!$C$235,SSP1_Baseline!$D:$D,Results_list!$D241,SSP1_Baseline!$B:$B,2040)) - (SUMIFS(SSP1_Baseline!$E:$E,SSP1_Baseline!$C:$C,Results_list!$C$235,SSP1_Baseline!$D:$D,Results_list!$D241,SSP1_Baseline!$B:$B,2025))) / (SUMIFS(SSP1_Baseline!$E:$E,SSP1_Baseline!$C:$C,Results_list!$C$235,SSP1_Baseline!$D:$D,Results_list!$D241,SSP1_Baseline!$B:$B,2025))</f>
        <v>-8.618828813516391E-2</v>
      </c>
      <c r="H241" s="16">
        <f>((SUMIFS(SSP1_VSI!$F:$F,SSP1_VSI!$C:$C,Results_list!$C$235,SSP1_VSI!$D:$D,Results_list!$D241,SSP1_VSI!$B:$B,2040)) - (SUMIFS(SSP1_VSI!$F:$F,SSP1_VSI!$C:$C,Results_list!$C$235,SSP1_VSI!$D:$D,Results_list!$D241,SSP1_VSI!$B:$B,2025))) / (SUMIFS(SSP1_VSI!$F:$F,SSP1_VSI!$C:$C,Results_list!$C$235,SSP1_VSI!$D:$D,Results_list!$D241,SSP1_VSI!$B:$B,2025))</f>
        <v>-0.4409096082915166</v>
      </c>
      <c r="I241" s="13">
        <f t="shared" si="33"/>
        <v>-0.35499999999999998</v>
      </c>
      <c r="J241" s="12">
        <f>((SUMIFS(SSP2_Baseline!$E:$E,SSP2_Baseline!$C:$C,Results_list!$C$235,SSP2_Baseline!$D:$D,Results_list!$D241,SSP2_Baseline!$B:$B,2040)) - (SUMIFS(SSP2_Baseline!$E:$E,SSP2_Baseline!$C:$C,Results_list!$C$235,SSP2_Baseline!$D:$D,Results_list!$D241,SSP2_Baseline!$B:$B,2025))) / (SUMIFS(SSP2_Baseline!$E:$E,SSP2_Baseline!$C:$C,Results_list!$C$235,SSP2_Baseline!$D:$D,Results_list!$D241,SSP2_Baseline!$B:$B,2025))</f>
        <v>-8.5243302161789478E-2</v>
      </c>
      <c r="K241" s="16">
        <f>((SUMIFS(SSP2_VSI!$F:$F,SSP2_VSI!$C:$C,Results_list!$C$235,SSP2_VSI!$D:$D,Results_list!$D241,SSP2_VSI!$B:$B,2040)) - (SUMIFS(SSP2_VSI!$F:$F,SSP2_VSI!$C:$C,Results_list!$C$235,SSP2_VSI!$D:$D,Results_list!$D241,SSP2_VSI!$B:$B,2025))) / (SUMIFS(SSP2_VSI!$F:$F,SSP2_VSI!$C:$C,Results_list!$C$235,SSP2_VSI!$D:$D,Results_list!$D241,SSP2_VSI!$B:$B,2025))</f>
        <v>-0.44458177709624985</v>
      </c>
      <c r="L241" s="13">
        <f t="shared" si="34"/>
        <v>-0.36</v>
      </c>
      <c r="M241" s="12">
        <f>((SUMIFS(SSP5_Baseline!$E:$E,SSP5_Baseline!$C:$C,Results_list!$C$235,SSP5_Baseline!$D:$D,Results_list!$D241,SSP5_Baseline!$B:$B,2040)) - (SUMIFS(SSP5_Baseline!$E:$E,SSP5_Baseline!$C:$C,Results_list!$C$235,SSP5_Baseline!$D:$D,Results_list!$D241,SSP5_Baseline!$B:$B,2025))) / (SUMIFS(SSP5_Baseline!$E:$E,SSP5_Baseline!$C:$C,Results_list!$C$235,SSP5_Baseline!$D:$D,Results_list!$D241,SSP5_Baseline!$B:$B,2025))</f>
        <v>-7.077100445628319E-2</v>
      </c>
      <c r="N241" s="16">
        <f>((SUMIFS(SSP5_VSI!$F:$F,SSP5_VSI!$C:$C,Results_list!$C$235,SSP5_VSI!$D:$D,Results_list!$D241,SSP5_VSI!$B:$B,2040)) - (SUMIFS(SSP5_VSI!$F:$F,SSP5_VSI!$C:$C,Results_list!$C$235,SSP5_VSI!$D:$D,Results_list!$D241,SSP5_VSI!$B:$B,2025))) / (SUMIFS(SSP5_VSI!$F:$F,SSP5_VSI!$C:$C,Results_list!$C$235,SSP5_VSI!$D:$D,Results_list!$D241,SSP5_VSI!$B:$B,2025))</f>
        <v>-0.43065905923799103</v>
      </c>
      <c r="O241" s="13">
        <f t="shared" si="35"/>
        <v>-0.36</v>
      </c>
    </row>
    <row r="242" spans="2:15" x14ac:dyDescent="0.35">
      <c r="B242" s="83"/>
      <c r="C242" s="85"/>
      <c r="D242" t="s">
        <v>46</v>
      </c>
      <c r="F242" s="3" t="s">
        <v>94</v>
      </c>
      <c r="G242" s="12">
        <f>((SUMIFS(SSP1_Baseline!$E:$E,SSP1_Baseline!$C:$C,Results_list!$C$235,SSP1_Baseline!$D:$D,Results_list!$D242,SSP1_Baseline!$B:$B,2040)) - (SUMIFS(SSP1_Baseline!$E:$E,SSP1_Baseline!$C:$C,Results_list!$C$235,SSP1_Baseline!$D:$D,Results_list!$D242,SSP1_Baseline!$B:$B,2025))) / (SUMIFS(SSP1_Baseline!$E:$E,SSP1_Baseline!$C:$C,Results_list!$C$235,SSP1_Baseline!$D:$D,Results_list!$D242,SSP1_Baseline!$B:$B,2025))</f>
        <v>0.30536578419629662</v>
      </c>
      <c r="H242" s="16">
        <f>((SUMIFS(SSP1_VSI!$F:$F,SSP1_VSI!$C:$C,Results_list!$C$235,SSP1_VSI!$D:$D,Results_list!$D242,SSP1_VSI!$B:$B,2040)) - (SUMIFS(SSP1_VSI!$F:$F,SSP1_VSI!$C:$C,Results_list!$C$235,SSP1_VSI!$D:$D,Results_list!$D242,SSP1_VSI!$B:$B,2025))) / (SUMIFS(SSP1_VSI!$F:$F,SSP1_VSI!$C:$C,Results_list!$C$235,SSP1_VSI!$D:$D,Results_list!$D242,SSP1_VSI!$B:$B,2025))</f>
        <v>0.30537868495151527</v>
      </c>
      <c r="I242" s="13">
        <f t="shared" si="33"/>
        <v>0</v>
      </c>
      <c r="J242" s="12">
        <f>((SUMIFS(SSP2_Baseline!$E:$E,SSP2_Baseline!$C:$C,Results_list!$C$235,SSP2_Baseline!$D:$D,Results_list!$D242,SSP2_Baseline!$B:$B,2040)) - (SUMIFS(SSP2_Baseline!$E:$E,SSP2_Baseline!$C:$C,Results_list!$C$235,SSP2_Baseline!$D:$D,Results_list!$D242,SSP2_Baseline!$B:$B,2025))) / (SUMIFS(SSP2_Baseline!$E:$E,SSP2_Baseline!$C:$C,Results_list!$C$235,SSP2_Baseline!$D:$D,Results_list!$D242,SSP2_Baseline!$B:$B,2025))</f>
        <v>0.69897479808887752</v>
      </c>
      <c r="K242" s="16">
        <f>((SUMIFS(SSP2_VSI!$F:$F,SSP2_VSI!$C:$C,Results_list!$C$235,SSP2_VSI!$D:$D,Results_list!$D242,SSP2_VSI!$B:$B,2040)) - (SUMIFS(SSP2_VSI!$F:$F,SSP2_VSI!$C:$C,Results_list!$C$235,SSP2_VSI!$D:$D,Results_list!$D242,SSP2_VSI!$B:$B,2025))) / (SUMIFS(SSP2_VSI!$F:$F,SSP2_VSI!$C:$C,Results_list!$C$235,SSP2_VSI!$D:$D,Results_list!$D242,SSP2_VSI!$B:$B,2025))</f>
        <v>0.6988732865902717</v>
      </c>
      <c r="L242" s="13">
        <f t="shared" si="34"/>
        <v>0</v>
      </c>
      <c r="M242" s="12">
        <f>((SUMIFS(SSP5_Baseline!$E:$E,SSP5_Baseline!$C:$C,Results_list!$C$235,SSP5_Baseline!$D:$D,Results_list!$D242,SSP5_Baseline!$B:$B,2040)) - (SUMIFS(SSP5_Baseline!$E:$E,SSP5_Baseline!$C:$C,Results_list!$C$235,SSP5_Baseline!$D:$D,Results_list!$D242,SSP5_Baseline!$B:$B,2025))) / (SUMIFS(SSP5_Baseline!$E:$E,SSP5_Baseline!$C:$C,Results_list!$C$235,SSP5_Baseline!$D:$D,Results_list!$D242,SSP5_Baseline!$B:$B,2025))</f>
        <v>0.62637526970262314</v>
      </c>
      <c r="N242" s="16">
        <f>((SUMIFS(SSP5_VSI!$F:$F,SSP5_VSI!$C:$C,Results_list!$C$235,SSP5_VSI!$D:$D,Results_list!$D242,SSP5_VSI!$B:$B,2040)) - (SUMIFS(SSP5_VSI!$F:$F,SSP5_VSI!$C:$C,Results_list!$C$235,SSP5_VSI!$D:$D,Results_list!$D242,SSP5_VSI!$B:$B,2025))) / (SUMIFS(SSP5_VSI!$F:$F,SSP5_VSI!$C:$C,Results_list!$C$235,SSP5_VSI!$D:$D,Results_list!$D242,SSP5_VSI!$B:$B,2025))</f>
        <v>0.62640143379818092</v>
      </c>
      <c r="O242" s="13">
        <f t="shared" si="35"/>
        <v>0</v>
      </c>
    </row>
    <row r="243" spans="2:15" x14ac:dyDescent="0.35">
      <c r="B243" s="83"/>
      <c r="C243" s="85"/>
      <c r="D243" t="s">
        <v>47</v>
      </c>
      <c r="F243" s="3" t="s">
        <v>95</v>
      </c>
      <c r="G243" s="12">
        <f>((SUMIFS(SSP1_Baseline!$E:$E,SSP1_Baseline!$C:$C,Results_list!$C$235,SSP1_Baseline!$D:$D,Results_list!$D243,SSP1_Baseline!$B:$B,2040)) - (SUMIFS(SSP1_Baseline!$E:$E,SSP1_Baseline!$C:$C,Results_list!$C$235,SSP1_Baseline!$D:$D,Results_list!$D243,SSP1_Baseline!$B:$B,2025))) / (SUMIFS(SSP1_Baseline!$E:$E,SSP1_Baseline!$C:$C,Results_list!$C$235,SSP1_Baseline!$D:$D,Results_list!$D243,SSP1_Baseline!$B:$B,2025))</f>
        <v>-7.3036150547530307E-2</v>
      </c>
      <c r="H243" s="16">
        <f>((SUMIFS(SSP1_VSI!$F:$F,SSP1_VSI!$C:$C,Results_list!$C$235,SSP1_VSI!$D:$D,Results_list!$D243,SSP1_VSI!$B:$B,2040)) - (SUMIFS(SSP1_VSI!$F:$F,SSP1_VSI!$C:$C,Results_list!$C$235,SSP1_VSI!$D:$D,Results_list!$D243,SSP1_VSI!$B:$B,2025))) / (SUMIFS(SSP1_VSI!$F:$F,SSP1_VSI!$C:$C,Results_list!$C$235,SSP1_VSI!$D:$D,Results_list!$D243,SSP1_VSI!$B:$B,2025))</f>
        <v>-0.56316884320931915</v>
      </c>
      <c r="I243" s="13">
        <f t="shared" si="33"/>
        <v>-0.49</v>
      </c>
      <c r="J243" s="12">
        <f>((SUMIFS(SSP2_Baseline!$E:$E,SSP2_Baseline!$C:$C,Results_list!$C$235,SSP2_Baseline!$D:$D,Results_list!$D243,SSP2_Baseline!$B:$B,2040)) - (SUMIFS(SSP2_Baseline!$E:$E,SSP2_Baseline!$C:$C,Results_list!$C$235,SSP2_Baseline!$D:$D,Results_list!$D243,SSP2_Baseline!$B:$B,2025))) / (SUMIFS(SSP2_Baseline!$E:$E,SSP2_Baseline!$C:$C,Results_list!$C$235,SSP2_Baseline!$D:$D,Results_list!$D243,SSP2_Baseline!$B:$B,2025))</f>
        <v>-8.5421188219476821E-2</v>
      </c>
      <c r="K243" s="16">
        <f>((SUMIFS(SSP2_VSI!$F:$F,SSP2_VSI!$C:$C,Results_list!$C$235,SSP2_VSI!$D:$D,Results_list!$D243,SSP2_VSI!$B:$B,2040)) - (SUMIFS(SSP2_VSI!$F:$F,SSP2_VSI!$C:$C,Results_list!$C$235,SSP2_VSI!$D:$D,Results_list!$D243,SSP2_VSI!$B:$B,2025))) / (SUMIFS(SSP2_VSI!$F:$F,SSP2_VSI!$C:$C,Results_list!$C$235,SSP2_VSI!$D:$D,Results_list!$D243,SSP2_VSI!$B:$B,2025))</f>
        <v>-0.58197457384613704</v>
      </c>
      <c r="L243" s="13">
        <f t="shared" si="34"/>
        <v>-0.5</v>
      </c>
      <c r="M243" s="12">
        <f>((SUMIFS(SSP5_Baseline!$E:$E,SSP5_Baseline!$C:$C,Results_list!$C$235,SSP5_Baseline!$D:$D,Results_list!$D243,SSP5_Baseline!$B:$B,2040)) - (SUMIFS(SSP5_Baseline!$E:$E,SSP5_Baseline!$C:$C,Results_list!$C$235,SSP5_Baseline!$D:$D,Results_list!$D243,SSP5_Baseline!$B:$B,2025))) / (SUMIFS(SSP5_Baseline!$E:$E,SSP5_Baseline!$C:$C,Results_list!$C$235,SSP5_Baseline!$D:$D,Results_list!$D243,SSP5_Baseline!$B:$B,2025))</f>
        <v>0.40732390591188633</v>
      </c>
      <c r="N243" s="16">
        <f>((SUMIFS(SSP5_VSI!$F:$F,SSP5_VSI!$C:$C,Results_list!$C$235,SSP5_VSI!$D:$D,Results_list!$D243,SSP5_VSI!$B:$B,2040)) - (SUMIFS(SSP5_VSI!$F:$F,SSP5_VSI!$C:$C,Results_list!$C$235,SSP5_VSI!$D:$D,Results_list!$D243,SSP5_VSI!$B:$B,2025))) / (SUMIFS(SSP5_VSI!$F:$F,SSP5_VSI!$C:$C,Results_list!$C$235,SSP5_VSI!$D:$D,Results_list!$D243,SSP5_VSI!$B:$B,2025))</f>
        <v>-3.3310677526412015E-2</v>
      </c>
      <c r="O243" s="13">
        <f t="shared" si="35"/>
        <v>-0.44</v>
      </c>
    </row>
    <row r="244" spans="2:15" x14ac:dyDescent="0.35">
      <c r="B244" s="83"/>
      <c r="C244" s="85"/>
      <c r="D244" t="s">
        <v>48</v>
      </c>
      <c r="F244" s="3" t="s">
        <v>96</v>
      </c>
      <c r="G244" s="12">
        <f>((SUMIFS(SSP1_Baseline!$E:$E,SSP1_Baseline!$C:$C,Results_list!$C$235,SSP1_Baseline!$D:$D,Results_list!$D244,SSP1_Baseline!$B:$B,2040)) - (SUMIFS(SSP1_Baseline!$E:$E,SSP1_Baseline!$C:$C,Results_list!$C$235,SSP1_Baseline!$D:$D,Results_list!$D244,SSP1_Baseline!$B:$B,2025))) / (SUMIFS(SSP1_Baseline!$E:$E,SSP1_Baseline!$C:$C,Results_list!$C$235,SSP1_Baseline!$D:$D,Results_list!$D244,SSP1_Baseline!$B:$B,2025))</f>
        <v>1.169961225581208E-2</v>
      </c>
      <c r="H244" s="16">
        <f>((SUMIFS(SSP1_VSI!$F:$F,SSP1_VSI!$C:$C,Results_list!$C$235,SSP1_VSI!$D:$D,Results_list!$D244,SSP1_VSI!$B:$B,2040)) - (SUMIFS(SSP1_VSI!$F:$F,SSP1_VSI!$C:$C,Results_list!$C$235,SSP1_VSI!$D:$D,Results_list!$D244,SSP1_VSI!$B:$B,2025))) / (SUMIFS(SSP1_VSI!$F:$F,SSP1_VSI!$C:$C,Results_list!$C$235,SSP1_VSI!$D:$D,Results_list!$D244,SSP1_VSI!$B:$B,2025))</f>
        <v>1.17018772717948E-2</v>
      </c>
      <c r="I244" s="13">
        <f t="shared" si="33"/>
        <v>0</v>
      </c>
      <c r="J244" s="12">
        <f>((SUMIFS(SSP2_Baseline!$E:$E,SSP2_Baseline!$C:$C,Results_list!$C$235,SSP2_Baseline!$D:$D,Results_list!$D244,SSP2_Baseline!$B:$B,2040)) - (SUMIFS(SSP2_Baseline!$E:$E,SSP2_Baseline!$C:$C,Results_list!$C$235,SSP2_Baseline!$D:$D,Results_list!$D244,SSP2_Baseline!$B:$B,2025))) / (SUMIFS(SSP2_Baseline!$E:$E,SSP2_Baseline!$C:$C,Results_list!$C$235,SSP2_Baseline!$D:$D,Results_list!$D244,SSP2_Baseline!$B:$B,2025))</f>
        <v>7.6765090917028465E-3</v>
      </c>
      <c r="K244" s="16">
        <f>((SUMIFS(SSP2_VSI!$F:$F,SSP2_VSI!$C:$C,Results_list!$C$235,SSP2_VSI!$D:$D,Results_list!$D244,SSP2_VSI!$B:$B,2040)) - (SUMIFS(SSP2_VSI!$F:$F,SSP2_VSI!$C:$C,Results_list!$C$235,SSP2_VSI!$D:$D,Results_list!$D244,SSP2_VSI!$B:$B,2025))) / (SUMIFS(SSP2_VSI!$F:$F,SSP2_VSI!$C:$C,Results_list!$C$235,SSP2_VSI!$D:$D,Results_list!$D244,SSP2_VSI!$B:$B,2025))</f>
        <v>7.6769251807292356E-3</v>
      </c>
      <c r="L244" s="13">
        <f t="shared" si="34"/>
        <v>0</v>
      </c>
      <c r="M244" s="12">
        <f>((SUMIFS(SSP5_Baseline!$E:$E,SSP5_Baseline!$C:$C,Results_list!$C$235,SSP5_Baseline!$D:$D,Results_list!$D244,SSP5_Baseline!$B:$B,2040)) - (SUMIFS(SSP5_Baseline!$E:$E,SSP5_Baseline!$C:$C,Results_list!$C$235,SSP5_Baseline!$D:$D,Results_list!$D244,SSP5_Baseline!$B:$B,2025))) / (SUMIFS(SSP5_Baseline!$E:$E,SSP5_Baseline!$C:$C,Results_list!$C$235,SSP5_Baseline!$D:$D,Results_list!$D244,SSP5_Baseline!$B:$B,2025))</f>
        <v>3.5128609206068208E-3</v>
      </c>
      <c r="N244" s="16">
        <f>((SUMIFS(SSP5_VSI!$F:$F,SSP5_VSI!$C:$C,Results_list!$C$235,SSP5_VSI!$D:$D,Results_list!$D244,SSP5_VSI!$B:$B,2040)) - (SUMIFS(SSP5_VSI!$F:$F,SSP5_VSI!$C:$C,Results_list!$C$235,SSP5_VSI!$D:$D,Results_list!$D244,SSP5_VSI!$B:$B,2025))) / (SUMIFS(SSP5_VSI!$F:$F,SSP5_VSI!$C:$C,Results_list!$C$235,SSP5_VSI!$D:$D,Results_list!$D244,SSP5_VSI!$B:$B,2025))</f>
        <v>3.5174154840583753E-3</v>
      </c>
      <c r="O244" s="13">
        <f t="shared" si="35"/>
        <v>0</v>
      </c>
    </row>
    <row r="245" spans="2:15" x14ac:dyDescent="0.35">
      <c r="B245" s="83"/>
      <c r="C245" s="85"/>
      <c r="D245" t="s">
        <v>49</v>
      </c>
      <c r="F245" s="3" t="s">
        <v>97</v>
      </c>
      <c r="G245" s="12">
        <f>((SUMIFS(SSP1_Baseline!$E:$E,SSP1_Baseline!$C:$C,Results_list!$C$235,SSP1_Baseline!$D:$D,Results_list!$D245,SSP1_Baseline!$B:$B,2040)) - (SUMIFS(SSP1_Baseline!$E:$E,SSP1_Baseline!$C:$C,Results_list!$C$235,SSP1_Baseline!$D:$D,Results_list!$D245,SSP1_Baseline!$B:$B,2025))) / (SUMIFS(SSP1_Baseline!$E:$E,SSP1_Baseline!$C:$C,Results_list!$C$235,SSP1_Baseline!$D:$D,Results_list!$D245,SSP1_Baseline!$B:$B,2025))</f>
        <v>-6.6768656921389585E-2</v>
      </c>
      <c r="H245" s="16">
        <f>((SUMIFS(SSP1_VSI!$F:$F,SSP1_VSI!$C:$C,Results_list!$C$235,SSP1_VSI!$D:$D,Results_list!$D245,SSP1_VSI!$B:$B,2040)) - (SUMIFS(SSP1_VSI!$F:$F,SSP1_VSI!$C:$C,Results_list!$C$235,SSP1_VSI!$D:$D,Results_list!$D245,SSP1_VSI!$B:$B,2025))) / (SUMIFS(SSP1_VSI!$F:$F,SSP1_VSI!$C:$C,Results_list!$C$235,SSP1_VSI!$D:$D,Results_list!$D245,SSP1_VSI!$B:$B,2025))</f>
        <v>-7.9440448543478648E-2</v>
      </c>
      <c r="I245" s="13">
        <f t="shared" si="33"/>
        <v>-1.2999999999999999E-2</v>
      </c>
      <c r="J245" s="12">
        <f>((SUMIFS(SSP2_Baseline!$E:$E,SSP2_Baseline!$C:$C,Results_list!$C$235,SSP2_Baseline!$D:$D,Results_list!$D245,SSP2_Baseline!$B:$B,2040)) - (SUMIFS(SSP2_Baseline!$E:$E,SSP2_Baseline!$C:$C,Results_list!$C$235,SSP2_Baseline!$D:$D,Results_list!$D245,SSP2_Baseline!$B:$B,2025))) / (SUMIFS(SSP2_Baseline!$E:$E,SSP2_Baseline!$C:$C,Results_list!$C$235,SSP2_Baseline!$D:$D,Results_list!$D245,SSP2_Baseline!$B:$B,2025))</f>
        <v>-5.889214274775563E-2</v>
      </c>
      <c r="K245" s="16">
        <f>((SUMIFS(SSP2_VSI!$F:$F,SSP2_VSI!$C:$C,Results_list!$C$235,SSP2_VSI!$D:$D,Results_list!$D245,SSP2_VSI!$B:$B,2040)) - (SUMIFS(SSP2_VSI!$F:$F,SSP2_VSI!$C:$C,Results_list!$C$235,SSP2_VSI!$D:$D,Results_list!$D245,SSP2_VSI!$B:$B,2025))) / (SUMIFS(SSP2_VSI!$F:$F,SSP2_VSI!$C:$C,Results_list!$C$235,SSP2_VSI!$D:$D,Results_list!$D245,SSP2_VSI!$B:$B,2025))</f>
        <v>-7.1777650828488276E-2</v>
      </c>
      <c r="L245" s="13">
        <f t="shared" si="34"/>
        <v>-0.01</v>
      </c>
      <c r="M245" s="12">
        <f>((SUMIFS(SSP5_Baseline!$E:$E,SSP5_Baseline!$C:$C,Results_list!$C$235,SSP5_Baseline!$D:$D,Results_list!$D245,SSP5_Baseline!$B:$B,2040)) - (SUMIFS(SSP5_Baseline!$E:$E,SSP5_Baseline!$C:$C,Results_list!$C$235,SSP5_Baseline!$D:$D,Results_list!$D245,SSP5_Baseline!$B:$B,2025))) / (SUMIFS(SSP5_Baseline!$E:$E,SSP5_Baseline!$C:$C,Results_list!$C$235,SSP5_Baseline!$D:$D,Results_list!$D245,SSP5_Baseline!$B:$B,2025))</f>
        <v>-3.7372397022944662E-2</v>
      </c>
      <c r="N245" s="16">
        <f>((SUMIFS(SSP5_VSI!$F:$F,SSP5_VSI!$C:$C,Results_list!$C$235,SSP5_VSI!$D:$D,Results_list!$D245,SSP5_VSI!$B:$B,2040)) - (SUMIFS(SSP5_VSI!$F:$F,SSP5_VSI!$C:$C,Results_list!$C$235,SSP5_VSI!$D:$D,Results_list!$D245,SSP5_VSI!$B:$B,2025))) / (SUMIFS(SSP5_VSI!$F:$F,SSP5_VSI!$C:$C,Results_list!$C$235,SSP5_VSI!$D:$D,Results_list!$D245,SSP5_VSI!$B:$B,2025))</f>
        <v>-5.0222915061037335E-2</v>
      </c>
      <c r="O245" s="13">
        <f t="shared" si="35"/>
        <v>-0.01</v>
      </c>
    </row>
    <row r="246" spans="2:15" x14ac:dyDescent="0.35">
      <c r="B246" s="83"/>
      <c r="C246" s="85"/>
      <c r="D246" t="s">
        <v>50</v>
      </c>
      <c r="F246" s="3" t="s">
        <v>98</v>
      </c>
      <c r="G246" s="12">
        <f>((SUMIFS(SSP1_Baseline!$E:$E,SSP1_Baseline!$C:$C,Results_list!$C$235,SSP1_Baseline!$D:$D,Results_list!$D246,SSP1_Baseline!$B:$B,2040)) - (SUMIFS(SSP1_Baseline!$E:$E,SSP1_Baseline!$C:$C,Results_list!$C$235,SSP1_Baseline!$D:$D,Results_list!$D246,SSP1_Baseline!$B:$B,2025))) / (SUMIFS(SSP1_Baseline!$E:$E,SSP1_Baseline!$C:$C,Results_list!$C$235,SSP1_Baseline!$D:$D,Results_list!$D246,SSP1_Baseline!$B:$B,2025))</f>
        <v>-5.7698722093169931E-2</v>
      </c>
      <c r="H246" s="16">
        <f>((SUMIFS(SSP1_VSI!$F:$F,SSP1_VSI!$C:$C,Results_list!$C$235,SSP1_VSI!$D:$D,Results_list!$D246,SSP1_VSI!$B:$B,2040)) - (SUMIFS(SSP1_VSI!$F:$F,SSP1_VSI!$C:$C,Results_list!$C$235,SSP1_VSI!$D:$D,Results_list!$D246,SSP1_VSI!$B:$B,2025))) / (SUMIFS(SSP1_VSI!$F:$F,SSP1_VSI!$C:$C,Results_list!$C$235,SSP1_VSI!$D:$D,Results_list!$D246,SSP1_VSI!$B:$B,2025))</f>
        <v>-5.7700510784850945E-2</v>
      </c>
      <c r="I246" s="13">
        <f t="shared" si="33"/>
        <v>0</v>
      </c>
      <c r="J246" s="12">
        <f>((SUMIFS(SSP2_Baseline!$E:$E,SSP2_Baseline!$C:$C,Results_list!$C$235,SSP2_Baseline!$D:$D,Results_list!$D246,SSP2_Baseline!$B:$B,2040)) - (SUMIFS(SSP2_Baseline!$E:$E,SSP2_Baseline!$C:$C,Results_list!$C$235,SSP2_Baseline!$D:$D,Results_list!$D246,SSP2_Baseline!$B:$B,2025))) / (SUMIFS(SSP2_Baseline!$E:$E,SSP2_Baseline!$C:$C,Results_list!$C$235,SSP2_Baseline!$D:$D,Results_list!$D246,SSP2_Baseline!$B:$B,2025))</f>
        <v>-5.3187696781343717E-3</v>
      </c>
      <c r="K246" s="16">
        <f>((SUMIFS(SSP2_VSI!$F:$F,SSP2_VSI!$C:$C,Results_list!$C$235,SSP2_VSI!$D:$D,Results_list!$D246,SSP2_VSI!$B:$B,2040)) - (SUMIFS(SSP2_VSI!$F:$F,SSP2_VSI!$C:$C,Results_list!$C$235,SSP2_VSI!$D:$D,Results_list!$D246,SSP2_VSI!$B:$B,2025))) / (SUMIFS(SSP2_VSI!$F:$F,SSP2_VSI!$C:$C,Results_list!$C$235,SSP2_VSI!$D:$D,Results_list!$D246,SSP2_VSI!$B:$B,2025))</f>
        <v>-5.3195768424405135E-3</v>
      </c>
      <c r="L246" s="13">
        <f t="shared" si="34"/>
        <v>0</v>
      </c>
      <c r="M246" s="12">
        <f>((SUMIFS(SSP5_Baseline!$E:$E,SSP5_Baseline!$C:$C,Results_list!$C$235,SSP5_Baseline!$D:$D,Results_list!$D246,SSP5_Baseline!$B:$B,2040)) - (SUMIFS(SSP5_Baseline!$E:$E,SSP5_Baseline!$C:$C,Results_list!$C$235,SSP5_Baseline!$D:$D,Results_list!$D246,SSP5_Baseline!$B:$B,2025))) / (SUMIFS(SSP5_Baseline!$E:$E,SSP5_Baseline!$C:$C,Results_list!$C$235,SSP5_Baseline!$D:$D,Results_list!$D246,SSP5_Baseline!$B:$B,2025))</f>
        <v>4.1627386220386989E-2</v>
      </c>
      <c r="N246" s="16">
        <f>((SUMIFS(SSP5_VSI!$F:$F,SSP5_VSI!$C:$C,Results_list!$C$235,SSP5_VSI!$D:$D,Results_list!$D246,SSP5_VSI!$B:$B,2040)) - (SUMIFS(SSP5_VSI!$F:$F,SSP5_VSI!$C:$C,Results_list!$C$235,SSP5_VSI!$D:$D,Results_list!$D246,SSP5_VSI!$B:$B,2025))) / (SUMIFS(SSP5_VSI!$F:$F,SSP5_VSI!$C:$C,Results_list!$C$235,SSP5_VSI!$D:$D,Results_list!$D246,SSP5_VSI!$B:$B,2025))</f>
        <v>4.1632665564197188E-2</v>
      </c>
      <c r="O246" s="13">
        <f t="shared" si="35"/>
        <v>0</v>
      </c>
    </row>
    <row r="247" spans="2:15" x14ac:dyDescent="0.35">
      <c r="B247" s="83"/>
      <c r="C247" s="85"/>
      <c r="D247" t="s">
        <v>51</v>
      </c>
      <c r="F247" s="3" t="s">
        <v>99</v>
      </c>
      <c r="G247" s="12">
        <f>((SUMIFS(SSP1_Baseline!$E:$E,SSP1_Baseline!$C:$C,Results_list!$C$235,SSP1_Baseline!$D:$D,Results_list!$D247,SSP1_Baseline!$B:$B,2040)) - (SUMIFS(SSP1_Baseline!$E:$E,SSP1_Baseline!$C:$C,Results_list!$C$235,SSP1_Baseline!$D:$D,Results_list!$D247,SSP1_Baseline!$B:$B,2025))) / (SUMIFS(SSP1_Baseline!$E:$E,SSP1_Baseline!$C:$C,Results_list!$C$235,SSP1_Baseline!$D:$D,Results_list!$D247,SSP1_Baseline!$B:$B,2025))</f>
        <v>5.7404595379461527E-2</v>
      </c>
      <c r="H247" s="16">
        <f>((SUMIFS(SSP1_VSI!$F:$F,SSP1_VSI!$C:$C,Results_list!$C$235,SSP1_VSI!$D:$D,Results_list!$D247,SSP1_VSI!$B:$B,2040)) - (SUMIFS(SSP1_VSI!$F:$F,SSP1_VSI!$C:$C,Results_list!$C$235,SSP1_VSI!$D:$D,Results_list!$D247,SSP1_VSI!$B:$B,2025))) / (SUMIFS(SSP1_VSI!$F:$F,SSP1_VSI!$C:$C,Results_list!$C$235,SSP1_VSI!$D:$D,Results_list!$D247,SSP1_VSI!$B:$B,2025))</f>
        <v>5.7395064495870451E-2</v>
      </c>
      <c r="I247" s="13">
        <f t="shared" si="33"/>
        <v>0</v>
      </c>
      <c r="J247" s="12">
        <f>((SUMIFS(SSP2_Baseline!$E:$E,SSP2_Baseline!$C:$C,Results_list!$C$235,SSP2_Baseline!$D:$D,Results_list!$D247,SSP2_Baseline!$B:$B,2040)) - (SUMIFS(SSP2_Baseline!$E:$E,SSP2_Baseline!$C:$C,Results_list!$C$235,SSP2_Baseline!$D:$D,Results_list!$D247,SSP2_Baseline!$B:$B,2025))) / (SUMIFS(SSP2_Baseline!$E:$E,SSP2_Baseline!$C:$C,Results_list!$C$235,SSP2_Baseline!$D:$D,Results_list!$D247,SSP2_Baseline!$B:$B,2025))</f>
        <v>5.1072354245055449E-2</v>
      </c>
      <c r="K247" s="16">
        <f>((SUMIFS(SSP2_VSI!$F:$F,SSP2_VSI!$C:$C,Results_list!$C$235,SSP2_VSI!$D:$D,Results_list!$D247,SSP2_VSI!$B:$B,2040)) - (SUMIFS(SSP2_VSI!$F:$F,SSP2_VSI!$C:$C,Results_list!$C$235,SSP2_VSI!$D:$D,Results_list!$D247,SSP2_VSI!$B:$B,2025))) / (SUMIFS(SSP2_VSI!$F:$F,SSP2_VSI!$C:$C,Results_list!$C$235,SSP2_VSI!$D:$D,Results_list!$D247,SSP2_VSI!$B:$B,2025))</f>
        <v>5.1002426907591103E-2</v>
      </c>
      <c r="L247" s="13">
        <f t="shared" si="34"/>
        <v>0</v>
      </c>
      <c r="M247" s="12">
        <f>((SUMIFS(SSP5_Baseline!$E:$E,SSP5_Baseline!$C:$C,Results_list!$C$235,SSP5_Baseline!$D:$D,Results_list!$D247,SSP5_Baseline!$B:$B,2040)) - (SUMIFS(SSP5_Baseline!$E:$E,SSP5_Baseline!$C:$C,Results_list!$C$235,SSP5_Baseline!$D:$D,Results_list!$D247,SSP5_Baseline!$B:$B,2025))) / (SUMIFS(SSP5_Baseline!$E:$E,SSP5_Baseline!$C:$C,Results_list!$C$235,SSP5_Baseline!$D:$D,Results_list!$D247,SSP5_Baseline!$B:$B,2025))</f>
        <v>-1.5652287249435088E-2</v>
      </c>
      <c r="N247" s="16">
        <f>((SUMIFS(SSP5_VSI!$F:$F,SSP5_VSI!$C:$C,Results_list!$C$235,SSP5_VSI!$D:$D,Results_list!$D247,SSP5_VSI!$B:$B,2040)) - (SUMIFS(SSP5_VSI!$F:$F,SSP5_VSI!$C:$C,Results_list!$C$235,SSP5_VSI!$D:$D,Results_list!$D247,SSP5_VSI!$B:$B,2025))) / (SUMIFS(SSP5_VSI!$F:$F,SSP5_VSI!$C:$C,Results_list!$C$235,SSP5_VSI!$D:$D,Results_list!$D247,SSP5_VSI!$B:$B,2025))</f>
        <v>-1.5620777079585259E-2</v>
      </c>
      <c r="O247" s="13">
        <f t="shared" si="35"/>
        <v>0</v>
      </c>
    </row>
    <row r="248" spans="2:15" x14ac:dyDescent="0.35">
      <c r="B248" s="83"/>
      <c r="C248" s="85"/>
      <c r="D248" t="s">
        <v>52</v>
      </c>
      <c r="F248" s="3" t="s">
        <v>100</v>
      </c>
      <c r="G248" s="12">
        <f>((SUMIFS(SSP1_Baseline!$E:$E,SSP1_Baseline!$C:$C,Results_list!$C$235,SSP1_Baseline!$D:$D,Results_list!$D248,SSP1_Baseline!$B:$B,2040)) - (SUMIFS(SSP1_Baseline!$E:$E,SSP1_Baseline!$C:$C,Results_list!$C$235,SSP1_Baseline!$D:$D,Results_list!$D248,SSP1_Baseline!$B:$B,2025))) / (SUMIFS(SSP1_Baseline!$E:$E,SSP1_Baseline!$C:$C,Results_list!$C$235,SSP1_Baseline!$D:$D,Results_list!$D248,SSP1_Baseline!$B:$B,2025))</f>
        <v>-0.32076134823878538</v>
      </c>
      <c r="H248" s="16">
        <f>((SUMIFS(SSP1_VSI!$F:$F,SSP1_VSI!$C:$C,Results_list!$C$235,SSP1_VSI!$D:$D,Results_list!$D248,SSP1_VSI!$B:$B,2040)) - (SUMIFS(SSP1_VSI!$F:$F,SSP1_VSI!$C:$C,Results_list!$C$235,SSP1_VSI!$D:$D,Results_list!$D248,SSP1_VSI!$B:$B,2025))) / (SUMIFS(SSP1_VSI!$F:$F,SSP1_VSI!$C:$C,Results_list!$C$235,SSP1_VSI!$D:$D,Results_list!$D248,SSP1_VSI!$B:$B,2025))</f>
        <v>-0.32069575592109251</v>
      </c>
      <c r="I248" s="13">
        <f t="shared" si="33"/>
        <v>0</v>
      </c>
      <c r="J248" s="12">
        <f>((SUMIFS(SSP2_Baseline!$E:$E,SSP2_Baseline!$C:$C,Results_list!$C$235,SSP2_Baseline!$D:$D,Results_list!$D248,SSP2_Baseline!$B:$B,2040)) - (SUMIFS(SSP2_Baseline!$E:$E,SSP2_Baseline!$C:$C,Results_list!$C$235,SSP2_Baseline!$D:$D,Results_list!$D248,SSP2_Baseline!$B:$B,2025))) / (SUMIFS(SSP2_Baseline!$E:$E,SSP2_Baseline!$C:$C,Results_list!$C$235,SSP2_Baseline!$D:$D,Results_list!$D248,SSP2_Baseline!$B:$B,2025))</f>
        <v>-9.3444767798907855E-2</v>
      </c>
      <c r="K248" s="16">
        <f>((SUMIFS(SSP2_VSI!$F:$F,SSP2_VSI!$C:$C,Results_list!$C$235,SSP2_VSI!$D:$D,Results_list!$D248,SSP2_VSI!$B:$B,2040)) - (SUMIFS(SSP2_VSI!$F:$F,SSP2_VSI!$C:$C,Results_list!$C$235,SSP2_VSI!$D:$D,Results_list!$D248,SSP2_VSI!$B:$B,2025))) / (SUMIFS(SSP2_VSI!$F:$F,SSP2_VSI!$C:$C,Results_list!$C$235,SSP2_VSI!$D:$D,Results_list!$D248,SSP2_VSI!$B:$B,2025))</f>
        <v>-9.3322621945446133E-2</v>
      </c>
      <c r="L248" s="13">
        <f t="shared" si="34"/>
        <v>0</v>
      </c>
      <c r="M248" s="12">
        <f>((SUMIFS(SSP5_Baseline!$E:$E,SSP5_Baseline!$C:$C,Results_list!$C$235,SSP5_Baseline!$D:$D,Results_list!$D248,SSP5_Baseline!$B:$B,2040)) - (SUMIFS(SSP5_Baseline!$E:$E,SSP5_Baseline!$C:$C,Results_list!$C$235,SSP5_Baseline!$D:$D,Results_list!$D248,SSP5_Baseline!$B:$B,2025))) / (SUMIFS(SSP5_Baseline!$E:$E,SSP5_Baseline!$C:$C,Results_list!$C$235,SSP5_Baseline!$D:$D,Results_list!$D248,SSP5_Baseline!$B:$B,2025))</f>
        <v>-0.2983894140622706</v>
      </c>
      <c r="N248" s="16">
        <f>((SUMIFS(SSP5_VSI!$F:$F,SSP5_VSI!$C:$C,Results_list!$C$235,SSP5_VSI!$D:$D,Results_list!$D248,SSP5_VSI!$B:$B,2040)) - (SUMIFS(SSP5_VSI!$F:$F,SSP5_VSI!$C:$C,Results_list!$C$235,SSP5_VSI!$D:$D,Results_list!$D248,SSP5_VSI!$B:$B,2025))) / (SUMIFS(SSP5_VSI!$F:$F,SSP5_VSI!$C:$C,Results_list!$C$235,SSP5_VSI!$D:$D,Results_list!$D248,SSP5_VSI!$B:$B,2025))</f>
        <v>-0.29831279684001288</v>
      </c>
      <c r="O248" s="13">
        <f t="shared" si="35"/>
        <v>0</v>
      </c>
    </row>
    <row r="249" spans="2:15" x14ac:dyDescent="0.35">
      <c r="B249" s="83"/>
      <c r="C249" s="85"/>
      <c r="D249" t="s">
        <v>53</v>
      </c>
      <c r="F249" s="3" t="s">
        <v>101</v>
      </c>
      <c r="G249" s="12">
        <f>((SUMIFS(SSP1_Baseline!$E:$E,SSP1_Baseline!$C:$C,Results_list!$C$235,SSP1_Baseline!$D:$D,Results_list!$D249,SSP1_Baseline!$B:$B,2040)) - (SUMIFS(SSP1_Baseline!$E:$E,SSP1_Baseline!$C:$C,Results_list!$C$235,SSP1_Baseline!$D:$D,Results_list!$D249,SSP1_Baseline!$B:$B,2025))) / (SUMIFS(SSP1_Baseline!$E:$E,SSP1_Baseline!$C:$C,Results_list!$C$235,SSP1_Baseline!$D:$D,Results_list!$D249,SSP1_Baseline!$B:$B,2025))</f>
        <v>-0.13818624958378314</v>
      </c>
      <c r="H249" s="16">
        <f>((SUMIFS(SSP1_VSI!$F:$F,SSP1_VSI!$C:$C,Results_list!$C$235,SSP1_VSI!$D:$D,Results_list!$D249,SSP1_VSI!$B:$B,2040)) - (SUMIFS(SSP1_VSI!$F:$F,SSP1_VSI!$C:$C,Results_list!$C$235,SSP1_VSI!$D:$D,Results_list!$D249,SSP1_VSI!$B:$B,2025))) / (SUMIFS(SSP1_VSI!$F:$F,SSP1_VSI!$C:$C,Results_list!$C$235,SSP1_VSI!$D:$D,Results_list!$D249,SSP1_VSI!$B:$B,2025))</f>
        <v>-0.13822348676642732</v>
      </c>
      <c r="I249" s="13">
        <f t="shared" si="33"/>
        <v>0</v>
      </c>
      <c r="J249" s="12">
        <f>((SUMIFS(SSP2_Baseline!$E:$E,SSP2_Baseline!$C:$C,Results_list!$C$235,SSP2_Baseline!$D:$D,Results_list!$D249,SSP2_Baseline!$B:$B,2040)) - (SUMIFS(SSP2_Baseline!$E:$E,SSP2_Baseline!$C:$C,Results_list!$C$235,SSP2_Baseline!$D:$D,Results_list!$D249,SSP2_Baseline!$B:$B,2025))) / (SUMIFS(SSP2_Baseline!$E:$E,SSP2_Baseline!$C:$C,Results_list!$C$235,SSP2_Baseline!$D:$D,Results_list!$D249,SSP2_Baseline!$B:$B,2025))</f>
        <v>-0.14257858194263187</v>
      </c>
      <c r="K249" s="16">
        <f>((SUMIFS(SSP2_VSI!$F:$F,SSP2_VSI!$C:$C,Results_list!$C$235,SSP2_VSI!$D:$D,Results_list!$D249,SSP2_VSI!$B:$B,2040)) - (SUMIFS(SSP2_VSI!$F:$F,SSP2_VSI!$C:$C,Results_list!$C$235,SSP2_VSI!$D:$D,Results_list!$D249,SSP2_VSI!$B:$B,2025))) / (SUMIFS(SSP2_VSI!$F:$F,SSP2_VSI!$C:$C,Results_list!$C$235,SSP2_VSI!$D:$D,Results_list!$D249,SSP2_VSI!$B:$B,2025))</f>
        <v>-0.1425686812125716</v>
      </c>
      <c r="L249" s="13">
        <f t="shared" si="34"/>
        <v>0</v>
      </c>
      <c r="M249" s="12">
        <f>((SUMIFS(SSP5_Baseline!$E:$E,SSP5_Baseline!$C:$C,Results_list!$C$235,SSP5_Baseline!$D:$D,Results_list!$D249,SSP5_Baseline!$B:$B,2040)) - (SUMIFS(SSP5_Baseline!$E:$E,SSP5_Baseline!$C:$C,Results_list!$C$235,SSP5_Baseline!$D:$D,Results_list!$D249,SSP5_Baseline!$B:$B,2025))) / (SUMIFS(SSP5_Baseline!$E:$E,SSP5_Baseline!$C:$C,Results_list!$C$235,SSP5_Baseline!$D:$D,Results_list!$D249,SSP5_Baseline!$B:$B,2025))</f>
        <v>3.7465584413000907E-2</v>
      </c>
      <c r="N249" s="16">
        <f>((SUMIFS(SSP5_VSI!$F:$F,SSP5_VSI!$C:$C,Results_list!$C$235,SSP5_VSI!$D:$D,Results_list!$D249,SSP5_VSI!$B:$B,2040)) - (SUMIFS(SSP5_VSI!$F:$F,SSP5_VSI!$C:$C,Results_list!$C$235,SSP5_VSI!$D:$D,Results_list!$D249,SSP5_VSI!$B:$B,2025))) / (SUMIFS(SSP5_VSI!$F:$F,SSP5_VSI!$C:$C,Results_list!$C$235,SSP5_VSI!$D:$D,Results_list!$D249,SSP5_VSI!$B:$B,2025))</f>
        <v>3.7486471115699332E-2</v>
      </c>
      <c r="O249" s="13">
        <f t="shared" si="35"/>
        <v>0</v>
      </c>
    </row>
    <row r="250" spans="2:15" x14ac:dyDescent="0.35">
      <c r="B250" s="83"/>
      <c r="C250" s="85"/>
      <c r="D250" t="s">
        <v>54</v>
      </c>
      <c r="F250" s="3" t="s">
        <v>102</v>
      </c>
      <c r="G250" s="12">
        <f>((SUMIFS(SSP1_Baseline!$E:$E,SSP1_Baseline!$C:$C,Results_list!$C$235,SSP1_Baseline!$D:$D,Results_list!$D250,SSP1_Baseline!$B:$B,2040)) - (SUMIFS(SSP1_Baseline!$E:$E,SSP1_Baseline!$C:$C,Results_list!$C$235,SSP1_Baseline!$D:$D,Results_list!$D250,SSP1_Baseline!$B:$B,2025))) / (SUMIFS(SSP1_Baseline!$E:$E,SSP1_Baseline!$C:$C,Results_list!$C$235,SSP1_Baseline!$D:$D,Results_list!$D250,SSP1_Baseline!$B:$B,2025))</f>
        <v>5.7695069491553704E-3</v>
      </c>
      <c r="H250" s="16">
        <f>((SUMIFS(SSP1_VSI!$F:$F,SSP1_VSI!$C:$C,Results_list!$C$235,SSP1_VSI!$D:$D,Results_list!$D250,SSP1_VSI!$B:$B,2040)) - (SUMIFS(SSP1_VSI!$F:$F,SSP1_VSI!$C:$C,Results_list!$C$235,SSP1_VSI!$D:$D,Results_list!$D250,SSP1_VSI!$B:$B,2025))) / (SUMIFS(SSP1_VSI!$F:$F,SSP1_VSI!$C:$C,Results_list!$C$235,SSP1_VSI!$D:$D,Results_list!$D250,SSP1_VSI!$B:$B,2025))</f>
        <v>-0.32668752142672397</v>
      </c>
      <c r="I250" s="13">
        <f t="shared" si="33"/>
        <v>-0.33200000000000002</v>
      </c>
      <c r="J250" s="12">
        <f>((SUMIFS(SSP2_Baseline!$E:$E,SSP2_Baseline!$C:$C,Results_list!$C$235,SSP2_Baseline!$D:$D,Results_list!$D250,SSP2_Baseline!$B:$B,2040)) - (SUMIFS(SSP2_Baseline!$E:$E,SSP2_Baseline!$C:$C,Results_list!$C$235,SSP2_Baseline!$D:$D,Results_list!$D250,SSP2_Baseline!$B:$B,2025))) / (SUMIFS(SSP2_Baseline!$E:$E,SSP2_Baseline!$C:$C,Results_list!$C$235,SSP2_Baseline!$D:$D,Results_list!$D250,SSP2_Baseline!$B:$B,2025))</f>
        <v>6.5864544749981583E-3</v>
      </c>
      <c r="K250" s="16">
        <f>((SUMIFS(SSP2_VSI!$F:$F,SSP2_VSI!$C:$C,Results_list!$C$235,SSP2_VSI!$D:$D,Results_list!$D250,SSP2_VSI!$B:$B,2040)) - (SUMIFS(SSP2_VSI!$F:$F,SSP2_VSI!$C:$C,Results_list!$C$235,SSP2_VSI!$D:$D,Results_list!$D250,SSP2_VSI!$B:$B,2025))) / (SUMIFS(SSP2_VSI!$F:$F,SSP2_VSI!$C:$C,Results_list!$C$235,SSP2_VSI!$D:$D,Results_list!$D250,SSP2_VSI!$B:$B,2025))</f>
        <v>-0.32718666889296821</v>
      </c>
      <c r="L250" s="13">
        <f t="shared" si="34"/>
        <v>-0.33</v>
      </c>
      <c r="M250" s="12">
        <f>((SUMIFS(SSP5_Baseline!$E:$E,SSP5_Baseline!$C:$C,Results_list!$C$235,SSP5_Baseline!$D:$D,Results_list!$D250,SSP5_Baseline!$B:$B,2040)) - (SUMIFS(SSP5_Baseline!$E:$E,SSP5_Baseline!$C:$C,Results_list!$C$235,SSP5_Baseline!$D:$D,Results_list!$D250,SSP5_Baseline!$B:$B,2025))) / (SUMIFS(SSP5_Baseline!$E:$E,SSP5_Baseline!$C:$C,Results_list!$C$235,SSP5_Baseline!$D:$D,Results_list!$D250,SSP5_Baseline!$B:$B,2025))</f>
        <v>4.7548165755908978E-2</v>
      </c>
      <c r="N250" s="16">
        <f>((SUMIFS(SSP5_VSI!$F:$F,SSP5_VSI!$C:$C,Results_list!$C$235,SSP5_VSI!$D:$D,Results_list!$D250,SSP5_VSI!$B:$B,2040)) - (SUMIFS(SSP5_VSI!$F:$F,SSP5_VSI!$C:$C,Results_list!$C$235,SSP5_VSI!$D:$D,Results_list!$D250,SSP5_VSI!$B:$B,2025))) / (SUMIFS(SSP5_VSI!$F:$F,SSP5_VSI!$C:$C,Results_list!$C$235,SSP5_VSI!$D:$D,Results_list!$D250,SSP5_VSI!$B:$B,2025))</f>
        <v>-0.28393633792848011</v>
      </c>
      <c r="O250" s="13">
        <f t="shared" si="35"/>
        <v>-0.33</v>
      </c>
    </row>
    <row r="251" spans="2:15" x14ac:dyDescent="0.35">
      <c r="B251" s="83"/>
      <c r="C251" s="85"/>
      <c r="D251" t="s">
        <v>55</v>
      </c>
      <c r="F251" s="3" t="s">
        <v>103</v>
      </c>
      <c r="G251" s="12">
        <f>((SUMIFS(SSP1_Baseline!$E:$E,SSP1_Baseline!$C:$C,Results_list!$C$235,SSP1_Baseline!$D:$D,Results_list!$D251,SSP1_Baseline!$B:$B,2040)) - (SUMIFS(SSP1_Baseline!$E:$E,SSP1_Baseline!$C:$C,Results_list!$C$235,SSP1_Baseline!$D:$D,Results_list!$D251,SSP1_Baseline!$B:$B,2025))) / (SUMIFS(SSP1_Baseline!$E:$E,SSP1_Baseline!$C:$C,Results_list!$C$235,SSP1_Baseline!$D:$D,Results_list!$D251,SSP1_Baseline!$B:$B,2025))</f>
        <v>6.5752598239681688E-3</v>
      </c>
      <c r="H251" s="16">
        <f>((SUMIFS(SSP1_VSI!$F:$F,SSP1_VSI!$C:$C,Results_list!$C$235,SSP1_VSI!$D:$D,Results_list!$D251,SSP1_VSI!$B:$B,2040)) - (SUMIFS(SSP1_VSI!$F:$F,SSP1_VSI!$C:$C,Results_list!$C$235,SSP1_VSI!$D:$D,Results_list!$D251,SSP1_VSI!$B:$B,2025))) / (SUMIFS(SSP1_VSI!$F:$F,SSP1_VSI!$C:$C,Results_list!$C$235,SSP1_VSI!$D:$D,Results_list!$D251,SSP1_VSI!$B:$B,2025))</f>
        <v>-2.7164775305531425E-2</v>
      </c>
      <c r="I251" s="13">
        <f t="shared" si="33"/>
        <v>-3.4000000000000002E-2</v>
      </c>
      <c r="J251" s="12">
        <f>((SUMIFS(SSP2_Baseline!$E:$E,SSP2_Baseline!$C:$C,Results_list!$C$235,SSP2_Baseline!$D:$D,Results_list!$D251,SSP2_Baseline!$B:$B,2040)) - (SUMIFS(SSP2_Baseline!$E:$E,SSP2_Baseline!$C:$C,Results_list!$C$235,SSP2_Baseline!$D:$D,Results_list!$D251,SSP2_Baseline!$B:$B,2025))) / (SUMIFS(SSP2_Baseline!$E:$E,SSP2_Baseline!$C:$C,Results_list!$C$235,SSP2_Baseline!$D:$D,Results_list!$D251,SSP2_Baseline!$B:$B,2025))</f>
        <v>7.1363155122067673E-3</v>
      </c>
      <c r="K251" s="16">
        <f>((SUMIFS(SSP2_VSI!$F:$F,SSP2_VSI!$C:$C,Results_list!$C$235,SSP2_VSI!$D:$D,Results_list!$D251,SSP2_VSI!$B:$B,2040)) - (SUMIFS(SSP2_VSI!$F:$F,SSP2_VSI!$C:$C,Results_list!$C$235,SSP2_VSI!$D:$D,Results_list!$D251,SSP2_VSI!$B:$B,2025))) / (SUMIFS(SSP2_VSI!$F:$F,SSP2_VSI!$C:$C,Results_list!$C$235,SSP2_VSI!$D:$D,Results_list!$D251,SSP2_VSI!$B:$B,2025))</f>
        <v>-2.6776862944199967E-2</v>
      </c>
      <c r="L251" s="13">
        <f t="shared" si="34"/>
        <v>-0.03</v>
      </c>
      <c r="M251" s="12">
        <f>((SUMIFS(SSP5_Baseline!$E:$E,SSP5_Baseline!$C:$C,Results_list!$C$235,SSP5_Baseline!$D:$D,Results_list!$D251,SSP5_Baseline!$B:$B,2040)) - (SUMIFS(SSP5_Baseline!$E:$E,SSP5_Baseline!$C:$C,Results_list!$C$235,SSP5_Baseline!$D:$D,Results_list!$D251,SSP5_Baseline!$B:$B,2025))) / (SUMIFS(SSP5_Baseline!$E:$E,SSP5_Baseline!$C:$C,Results_list!$C$235,SSP5_Baseline!$D:$D,Results_list!$D251,SSP5_Baseline!$B:$B,2025))</f>
        <v>7.127888165811927E-2</v>
      </c>
      <c r="N251" s="16">
        <f>((SUMIFS(SSP5_VSI!$F:$F,SSP5_VSI!$C:$C,Results_list!$C$235,SSP5_VSI!$D:$D,Results_list!$D251,SSP5_VSI!$B:$B,2040)) - (SUMIFS(SSP5_VSI!$F:$F,SSP5_VSI!$C:$C,Results_list!$C$235,SSP5_VSI!$D:$D,Results_list!$D251,SSP5_VSI!$B:$B,2025))) / (SUMIFS(SSP5_VSI!$F:$F,SSP5_VSI!$C:$C,Results_list!$C$235,SSP5_VSI!$D:$D,Results_list!$D251,SSP5_VSI!$B:$B,2025))</f>
        <v>3.7749518618692787E-2</v>
      </c>
      <c r="O251" s="13">
        <f t="shared" si="35"/>
        <v>-0.03</v>
      </c>
    </row>
    <row r="252" spans="2:15" x14ac:dyDescent="0.35">
      <c r="B252" s="84"/>
      <c r="C252" s="86"/>
      <c r="D252" t="s">
        <v>56</v>
      </c>
      <c r="F252" s="9" t="s">
        <v>104</v>
      </c>
      <c r="G252" s="14">
        <f>((SUMIFS(SSP1_Baseline!$E:$E,SSP1_Baseline!$C:$C,Results_list!$C$235,SSP1_Baseline!$D:$D,Results_list!$D252,SSP1_Baseline!$B:$B,2040)) - (SUMIFS(SSP1_Baseline!$E:$E,SSP1_Baseline!$C:$C,Results_list!$C$235,SSP1_Baseline!$D:$D,Results_list!$D252,SSP1_Baseline!$B:$B,2025))) / (SUMIFS(SSP1_Baseline!$E:$E,SSP1_Baseline!$C:$C,Results_list!$C$235,SSP1_Baseline!$D:$D,Results_list!$D252,SSP1_Baseline!$B:$B,2025))</f>
        <v>-5.1931012090685312E-2</v>
      </c>
      <c r="H252" s="17">
        <f>((SUMIFS(SSP1_VSI!$F:$F,SSP1_VSI!$C:$C,Results_list!$C$235,SSP1_VSI!$D:$D,Results_list!$D252,SSP1_VSI!$B:$B,2040)) - (SUMIFS(SSP1_VSI!$F:$F,SSP1_VSI!$C:$C,Results_list!$C$235,SSP1_VSI!$D:$D,Results_list!$D252,SSP1_VSI!$B:$B,2025))) / (SUMIFS(SSP1_VSI!$F:$F,SSP1_VSI!$C:$C,Results_list!$C$235,SSP1_VSI!$D:$D,Results_list!$D252,SSP1_VSI!$B:$B,2025))</f>
        <v>-5.1934620387174231E-2</v>
      </c>
      <c r="I252" s="15">
        <f t="shared" si="33"/>
        <v>0</v>
      </c>
      <c r="J252" s="14">
        <f>((SUMIFS(SSP2_Baseline!$E:$E,SSP2_Baseline!$C:$C,Results_list!$C$235,SSP2_Baseline!$D:$D,Results_list!$D252,SSP2_Baseline!$B:$B,2040)) - (SUMIFS(SSP2_Baseline!$E:$E,SSP2_Baseline!$C:$C,Results_list!$C$235,SSP2_Baseline!$D:$D,Results_list!$D252,SSP2_Baseline!$B:$B,2025))) / (SUMIFS(SSP2_Baseline!$E:$E,SSP2_Baseline!$C:$C,Results_list!$C$235,SSP2_Baseline!$D:$D,Results_list!$D252,SSP2_Baseline!$B:$B,2025))</f>
        <v>-5.847346727847047E-2</v>
      </c>
      <c r="K252" s="17">
        <f>((SUMIFS(SSP2_VSI!$F:$F,SSP2_VSI!$C:$C,Results_list!$C$235,SSP2_VSI!$D:$D,Results_list!$D252,SSP2_VSI!$B:$B,2040)) - (SUMIFS(SSP2_VSI!$F:$F,SSP2_VSI!$C:$C,Results_list!$C$235,SSP2_VSI!$D:$D,Results_list!$D252,SSP2_VSI!$B:$B,2025))) / (SUMIFS(SSP2_VSI!$F:$F,SSP2_VSI!$C:$C,Results_list!$C$235,SSP2_VSI!$D:$D,Results_list!$D252,SSP2_VSI!$B:$B,2025))</f>
        <v>-5.8482965533282354E-2</v>
      </c>
      <c r="L252" s="15">
        <f t="shared" si="34"/>
        <v>0</v>
      </c>
      <c r="M252" s="14">
        <f>((SUMIFS(SSP5_Baseline!$E:$E,SSP5_Baseline!$C:$C,Results_list!$C$235,SSP5_Baseline!$D:$D,Results_list!$D252,SSP5_Baseline!$B:$B,2040)) - (SUMIFS(SSP5_Baseline!$E:$E,SSP5_Baseline!$C:$C,Results_list!$C$235,SSP5_Baseline!$D:$D,Results_list!$D252,SSP5_Baseline!$B:$B,2025))) / (SUMIFS(SSP5_Baseline!$E:$E,SSP5_Baseline!$C:$C,Results_list!$C$235,SSP5_Baseline!$D:$D,Results_list!$D252,SSP5_Baseline!$B:$B,2025))</f>
        <v>-2.3479818295777981E-2</v>
      </c>
      <c r="N252" s="17">
        <f>((SUMIFS(SSP5_VSI!$F:$F,SSP5_VSI!$C:$C,Results_list!$C$235,SSP5_VSI!$D:$D,Results_list!$D252,SSP5_VSI!$B:$B,2040)) - (SUMIFS(SSP5_VSI!$F:$F,SSP5_VSI!$C:$C,Results_list!$C$235,SSP5_VSI!$D:$D,Results_list!$D252,SSP5_VSI!$B:$B,2025))) / (SUMIFS(SSP5_VSI!$F:$F,SSP5_VSI!$C:$C,Results_list!$C$235,SSP5_VSI!$D:$D,Results_list!$D252,SSP5_VSI!$B:$B,2025))</f>
        <v>-2.3467439151045953E-2</v>
      </c>
      <c r="O252" s="15">
        <f t="shared" si="35"/>
        <v>0</v>
      </c>
    </row>
    <row r="254" spans="2:15" ht="19" customHeight="1" x14ac:dyDescent="0.35">
      <c r="F254" s="2"/>
      <c r="G254" s="78" t="s">
        <v>3</v>
      </c>
      <c r="H254" s="79"/>
      <c r="I254" s="79"/>
      <c r="J254" s="79"/>
      <c r="K254" s="79"/>
      <c r="L254" s="79"/>
      <c r="M254" s="79"/>
      <c r="N254" s="79"/>
      <c r="O254" s="80"/>
    </row>
    <row r="255" spans="2:15" ht="29" x14ac:dyDescent="0.35">
      <c r="B255" s="8" t="s">
        <v>30</v>
      </c>
      <c r="C255" s="8" t="s">
        <v>30</v>
      </c>
      <c r="D255" s="6" t="s">
        <v>106</v>
      </c>
      <c r="F255" s="7" t="s">
        <v>105</v>
      </c>
      <c r="G255" s="10" t="s">
        <v>0</v>
      </c>
      <c r="H255" s="11" t="s">
        <v>108</v>
      </c>
      <c r="I255" s="18" t="s">
        <v>107</v>
      </c>
      <c r="J255" s="10" t="s">
        <v>1</v>
      </c>
      <c r="K255" s="11" t="s">
        <v>109</v>
      </c>
      <c r="L255" s="18" t="s">
        <v>107</v>
      </c>
      <c r="M255" s="10" t="s">
        <v>2</v>
      </c>
      <c r="N255" s="11" t="s">
        <v>110</v>
      </c>
      <c r="O255" s="18" t="s">
        <v>107</v>
      </c>
    </row>
    <row r="256" spans="2:15" ht="14.5" customHeight="1" x14ac:dyDescent="0.35">
      <c r="B256" s="83" t="s">
        <v>121</v>
      </c>
      <c r="C256" s="85" t="s">
        <v>74</v>
      </c>
      <c r="D256" t="s">
        <v>38</v>
      </c>
      <c r="F256" s="3" t="s">
        <v>87</v>
      </c>
      <c r="G256" s="12">
        <f>((SUMIFS(SSP1_Baseline!$E:$E,SSP1_Baseline!$C:$C,Results_list!$C$256,SSP1_Baseline!$D:$D,Results_list!$D256,SSP1_Baseline!$B:$B,2040)) - (SUMIFS(SSP1_Baseline!$E:$E,SSP1_Baseline!$C:$C,Results_list!$C$256,SSP1_Baseline!$D:$D,Results_list!$D256,SSP1_Baseline!$B:$B,2025))) / (SUMIFS(SSP1_Baseline!$E:$E,SSP1_Baseline!$C:$C,Results_list!$C$256,SSP1_Baseline!$D:$D,Results_list!$D256,SSP1_Baseline!$B:$B,2025))</f>
        <v>0.33519652528070376</v>
      </c>
      <c r="H256" s="16">
        <f>((SUMIFS(SSP1_VSI!$F:$F,SSP1_VSI!$C:$C,Results_list!$C$256,SSP1_VSI!$D:$D,Results_list!$D256,SSP1_VSI!$B:$B,2040)) - (SUMIFS(SSP1_VSI!$F:$F,SSP1_VSI!$C:$C,Results_list!$C$256,SSP1_VSI!$D:$D,Results_list!$D256,SSP1_VSI!$B:$B,2025))) / (SUMIFS(SSP1_VSI!$F:$F,SSP1_VSI!$C:$C,Results_list!$C$256,SSP1_VSI!$D:$D,Results_list!$D256,SSP1_VSI!$B:$B,2025))</f>
        <v>0.33520576237267347</v>
      </c>
      <c r="I256" s="19">
        <f>ROUND(H256-G256,3)</f>
        <v>0</v>
      </c>
      <c r="J256" s="12">
        <f>((SUMIFS(SSP2_Baseline!$E:$E,SSP2_Baseline!$C:$C,Results_list!$C$256,SSP2_Baseline!$D:$D,Results_list!$D256,SSP2_Baseline!$B:$B,2040)) - (SUMIFS(SSP2_Baseline!$E:$E,SSP2_Baseline!$C:$C,Results_list!$C$256,SSP2_Baseline!$D:$D,Results_list!$D256,SSP2_Baseline!$B:$B,2025))) / (SUMIFS(SSP2_Baseline!$E:$E,SSP2_Baseline!$C:$C,Results_list!$C$256,SSP2_Baseline!$D:$D,Results_list!$D256,SSP2_Baseline!$B:$B,2025))</f>
        <v>4.1158840665326677</v>
      </c>
      <c r="K256" s="16">
        <f>((SUMIFS(SSP2_VSI!$F:$F,SSP2_VSI!$C:$C,Results_list!$C$256,SSP2_VSI!$D:$D,Results_list!$D256,SSP2_VSI!$B:$B,2040)) - (SUMIFS(SSP2_VSI!$F:$F,SSP2_VSI!$C:$C,Results_list!$C$256,SSP2_VSI!$D:$D,Results_list!$D256,SSP2_VSI!$B:$B,2025))) / (SUMIFS(SSP2_VSI!$F:$F,SSP2_VSI!$C:$C,Results_list!$C$256,SSP2_VSI!$D:$D,Results_list!$D256,SSP2_VSI!$B:$B,2025))</f>
        <v>4.1157014471219808</v>
      </c>
      <c r="L256" s="19">
        <f>ROUND(K256-J256,2)</f>
        <v>0</v>
      </c>
      <c r="M256" s="12">
        <f>((SUMIFS(SSP5_Baseline!$E:$E,SSP5_Baseline!$C:$C,Results_list!$C$256,SSP5_Baseline!$D:$D,Results_list!$D256,SSP5_Baseline!$B:$B,2040)) - (SUMIFS(SSP5_Baseline!$E:$E,SSP5_Baseline!$C:$C,Results_list!$C$256,SSP5_Baseline!$D:$D,Results_list!$D256,SSP5_Baseline!$B:$B,2025))) / (SUMIFS(SSP5_Baseline!$E:$E,SSP5_Baseline!$C:$C,Results_list!$C$256,SSP5_Baseline!$D:$D,Results_list!$D256,SSP5_Baseline!$B:$B,2025))</f>
        <v>12.506544748124977</v>
      </c>
      <c r="N256" s="16">
        <f>((SUMIFS(SSP5_VSI!$F:$F,SSP5_VSI!$C:$C,Results_list!$C$256,SSP5_VSI!$D:$D,Results_list!$D256,SSP5_VSI!$B:$B,2040)) - (SUMIFS(SSP5_VSI!$F:$F,SSP5_VSI!$C:$C,Results_list!$C$256,SSP5_VSI!$D:$D,Results_list!$D256,SSP5_VSI!$B:$B,2025))) / (SUMIFS(SSP5_VSI!$F:$F,SSP5_VSI!$C:$C,Results_list!$C$256,SSP5_VSI!$D:$D,Results_list!$D256,SSP5_VSI!$B:$B,2025))</f>
        <v>12.507212810314559</v>
      </c>
      <c r="O256" s="19">
        <f>ROUND(N256-M256,2)</f>
        <v>0</v>
      </c>
    </row>
    <row r="257" spans="2:15" x14ac:dyDescent="0.35">
      <c r="B257" s="83"/>
      <c r="C257" s="85"/>
      <c r="D257" t="s">
        <v>40</v>
      </c>
      <c r="F257" s="3" t="s">
        <v>88</v>
      </c>
      <c r="G257" s="12">
        <f>((SUMIFS(SSP1_Baseline!$E:$E,SSP1_Baseline!$C:$C,Results_list!$C$256,SSP1_Baseline!$D:$D,Results_list!$D257,SSP1_Baseline!$B:$B,2040)) - (SUMIFS(SSP1_Baseline!$E:$E,SSP1_Baseline!$C:$C,Results_list!$C$256,SSP1_Baseline!$D:$D,Results_list!$D257,SSP1_Baseline!$B:$B,2025))) / (SUMIFS(SSP1_Baseline!$E:$E,SSP1_Baseline!$C:$C,Results_list!$C$256,SSP1_Baseline!$D:$D,Results_list!$D257,SSP1_Baseline!$B:$B,2025))</f>
        <v>-5.2024074644133906E-3</v>
      </c>
      <c r="H257" s="16">
        <f>((SUMIFS(SSP1_VSI!$F:$F,SSP1_VSI!$C:$C,Results_list!$C$256,SSP1_VSI!$D:$D,Results_list!$D257,SSP1_VSI!$B:$B,2040)) - (SUMIFS(SSP1_VSI!$F:$F,SSP1_VSI!$C:$C,Results_list!$C$256,SSP1_VSI!$D:$D,Results_list!$D257,SSP1_VSI!$B:$B,2025))) / (SUMIFS(SSP1_VSI!$F:$F,SSP1_VSI!$C:$C,Results_list!$C$256,SSP1_VSI!$D:$D,Results_list!$D257,SSP1_VSI!$B:$B,2025))</f>
        <v>-5.2024191162441166E-3</v>
      </c>
      <c r="I257" s="13">
        <f t="shared" ref="I257:I273" si="36">ROUND(H257-G257,3)</f>
        <v>0</v>
      </c>
      <c r="J257" s="12">
        <f>((SUMIFS(SSP2_Baseline!$E:$E,SSP2_Baseline!$C:$C,Results_list!$C$256,SSP2_Baseline!$D:$D,Results_list!$D257,SSP2_Baseline!$B:$B,2040)) - (SUMIFS(SSP2_Baseline!$E:$E,SSP2_Baseline!$C:$C,Results_list!$C$256,SSP2_Baseline!$D:$D,Results_list!$D257,SSP2_Baseline!$B:$B,2025))) / (SUMIFS(SSP2_Baseline!$E:$E,SSP2_Baseline!$C:$C,Results_list!$C$256,SSP2_Baseline!$D:$D,Results_list!$D257,SSP2_Baseline!$B:$B,2025))</f>
        <v>-5.6013156578929033E-3</v>
      </c>
      <c r="K257" s="16">
        <f>((SUMIFS(SSP2_VSI!$F:$F,SSP2_VSI!$C:$C,Results_list!$C$256,SSP2_VSI!$D:$D,Results_list!$D257,SSP2_VSI!$B:$B,2040)) - (SUMIFS(SSP2_VSI!$F:$F,SSP2_VSI!$C:$C,Results_list!$C$256,SSP2_VSI!$D:$D,Results_list!$D257,SSP2_VSI!$B:$B,2025))) / (SUMIFS(SSP2_VSI!$F:$F,SSP2_VSI!$C:$C,Results_list!$C$256,SSP2_VSI!$D:$D,Results_list!$D257,SSP2_VSI!$B:$B,2025))</f>
        <v>-5.6011923315785186E-3</v>
      </c>
      <c r="L257" s="13">
        <f t="shared" ref="L257:L273" si="37">ROUND(K257-J257,2)</f>
        <v>0</v>
      </c>
      <c r="M257" s="12">
        <f>((SUMIFS(SSP5_Baseline!$E:$E,SSP5_Baseline!$C:$C,Results_list!$C$256,SSP5_Baseline!$D:$D,Results_list!$D257,SSP5_Baseline!$B:$B,2040)) - (SUMIFS(SSP5_Baseline!$E:$E,SSP5_Baseline!$C:$C,Results_list!$C$256,SSP5_Baseline!$D:$D,Results_list!$D257,SSP5_Baseline!$B:$B,2025))) / (SUMIFS(SSP5_Baseline!$E:$E,SSP5_Baseline!$C:$C,Results_list!$C$256,SSP5_Baseline!$D:$D,Results_list!$D257,SSP5_Baseline!$B:$B,2025))</f>
        <v>-1.4604720910862585E-3</v>
      </c>
      <c r="N257" s="16">
        <f>((SUMIFS(SSP5_VSI!$F:$F,SSP5_VSI!$C:$C,Results_list!$C$256,SSP5_VSI!$D:$D,Results_list!$D257,SSP5_VSI!$B:$B,2040)) - (SUMIFS(SSP5_VSI!$F:$F,SSP5_VSI!$C:$C,Results_list!$C$256,SSP5_VSI!$D:$D,Results_list!$D257,SSP5_VSI!$B:$B,2025))) / (SUMIFS(SSP5_VSI!$F:$F,SSP5_VSI!$C:$C,Results_list!$C$256,SSP5_VSI!$D:$D,Results_list!$D257,SSP5_VSI!$B:$B,2025))</f>
        <v>-1.460766776514815E-3</v>
      </c>
      <c r="O257" s="13">
        <f t="shared" ref="O257:O273" si="38">ROUND(N257-M257,2)</f>
        <v>0</v>
      </c>
    </row>
    <row r="258" spans="2:15" x14ac:dyDescent="0.35">
      <c r="B258" s="83"/>
      <c r="C258" s="85"/>
      <c r="D258" t="s">
        <v>41</v>
      </c>
      <c r="F258" s="3" t="s">
        <v>89</v>
      </c>
      <c r="G258" s="12">
        <f>((SUMIFS(SSP1_Baseline!$E:$E,SSP1_Baseline!$C:$C,Results_list!$C$256,SSP1_Baseline!$D:$D,Results_list!$D258,SSP1_Baseline!$B:$B,2040)) - (SUMIFS(SSP1_Baseline!$E:$E,SSP1_Baseline!$C:$C,Results_list!$C$256,SSP1_Baseline!$D:$D,Results_list!$D258,SSP1_Baseline!$B:$B,2025))) / (SUMIFS(SSP1_Baseline!$E:$E,SSP1_Baseline!$C:$C,Results_list!$C$256,SSP1_Baseline!$D:$D,Results_list!$D258,SSP1_Baseline!$B:$B,2025))</f>
        <v>-2.3713154555770943E-2</v>
      </c>
      <c r="H258" s="16">
        <f>((SUMIFS(SSP1_VSI!$F:$F,SSP1_VSI!$C:$C,Results_list!$C$256,SSP1_VSI!$D:$D,Results_list!$D258,SSP1_VSI!$B:$B,2040)) - (SUMIFS(SSP1_VSI!$F:$F,SSP1_VSI!$C:$C,Results_list!$C$256,SSP1_VSI!$D:$D,Results_list!$D258,SSP1_VSI!$B:$B,2025))) / (SUMIFS(SSP1_VSI!$F:$F,SSP1_VSI!$C:$C,Results_list!$C$256,SSP1_VSI!$D:$D,Results_list!$D258,SSP1_VSI!$B:$B,2025))</f>
        <v>-2.3742926188680003E-2</v>
      </c>
      <c r="I258" s="13">
        <f t="shared" si="36"/>
        <v>0</v>
      </c>
      <c r="J258" s="12">
        <f>((SUMIFS(SSP2_Baseline!$E:$E,SSP2_Baseline!$C:$C,Results_list!$C$256,SSP2_Baseline!$D:$D,Results_list!$D258,SSP2_Baseline!$B:$B,2040)) - (SUMIFS(SSP2_Baseline!$E:$E,SSP2_Baseline!$C:$C,Results_list!$C$256,SSP2_Baseline!$D:$D,Results_list!$D258,SSP2_Baseline!$B:$B,2025))) / (SUMIFS(SSP2_Baseline!$E:$E,SSP2_Baseline!$C:$C,Results_list!$C$256,SSP2_Baseline!$D:$D,Results_list!$D258,SSP2_Baseline!$B:$B,2025))</f>
        <v>-1.1554027509204564E-2</v>
      </c>
      <c r="K258" s="16">
        <f>((SUMIFS(SSP2_VSI!$F:$F,SSP2_VSI!$C:$C,Results_list!$C$256,SSP2_VSI!$D:$D,Results_list!$D258,SSP2_VSI!$B:$B,2040)) - (SUMIFS(SSP2_VSI!$F:$F,SSP2_VSI!$C:$C,Results_list!$C$256,SSP2_VSI!$D:$D,Results_list!$D258,SSP2_VSI!$B:$B,2025))) / (SUMIFS(SSP2_VSI!$F:$F,SSP2_VSI!$C:$C,Results_list!$C$256,SSP2_VSI!$D:$D,Results_list!$D258,SSP2_VSI!$B:$B,2025))</f>
        <v>-1.1584743578348737E-2</v>
      </c>
      <c r="L258" s="13">
        <f t="shared" si="37"/>
        <v>0</v>
      </c>
      <c r="M258" s="12">
        <f>((SUMIFS(SSP5_Baseline!$E:$E,SSP5_Baseline!$C:$C,Results_list!$C$256,SSP5_Baseline!$D:$D,Results_list!$D258,SSP5_Baseline!$B:$B,2040)) - (SUMIFS(SSP5_Baseline!$E:$E,SSP5_Baseline!$C:$C,Results_list!$C$256,SSP5_Baseline!$D:$D,Results_list!$D258,SSP5_Baseline!$B:$B,2025))) / (SUMIFS(SSP5_Baseline!$E:$E,SSP5_Baseline!$C:$C,Results_list!$C$256,SSP5_Baseline!$D:$D,Results_list!$D258,SSP5_Baseline!$B:$B,2025))</f>
        <v>-6.7776736778782038E-3</v>
      </c>
      <c r="N258" s="16">
        <f>((SUMIFS(SSP5_VSI!$F:$F,SSP5_VSI!$C:$C,Results_list!$C$256,SSP5_VSI!$D:$D,Results_list!$D258,SSP5_VSI!$B:$B,2040)) - (SUMIFS(SSP5_VSI!$F:$F,SSP5_VSI!$C:$C,Results_list!$C$256,SSP5_VSI!$D:$D,Results_list!$D258,SSP5_VSI!$B:$B,2025))) / (SUMIFS(SSP5_VSI!$F:$F,SSP5_VSI!$C:$C,Results_list!$C$256,SSP5_VSI!$D:$D,Results_list!$D258,SSP5_VSI!$B:$B,2025))</f>
        <v>-6.8051781287919826E-3</v>
      </c>
      <c r="O258" s="13">
        <f t="shared" si="38"/>
        <v>0</v>
      </c>
    </row>
    <row r="259" spans="2:15" x14ac:dyDescent="0.35">
      <c r="B259" s="83"/>
      <c r="C259" s="85"/>
      <c r="D259" t="s">
        <v>42</v>
      </c>
      <c r="F259" s="3" t="s">
        <v>90</v>
      </c>
      <c r="G259" s="12">
        <f>((SUMIFS(SSP1_Baseline!$E:$E,SSP1_Baseline!$C:$C,Results_list!$C$256,SSP1_Baseline!$D:$D,Results_list!$D259,SSP1_Baseline!$B:$B,2040)) - (SUMIFS(SSP1_Baseline!$E:$E,SSP1_Baseline!$C:$C,Results_list!$C$256,SSP1_Baseline!$D:$D,Results_list!$D259,SSP1_Baseline!$B:$B,2025))) / (SUMIFS(SSP1_Baseline!$E:$E,SSP1_Baseline!$C:$C,Results_list!$C$256,SSP1_Baseline!$D:$D,Results_list!$D259,SSP1_Baseline!$B:$B,2025))</f>
        <v>1.9238013787000626E-2</v>
      </c>
      <c r="H259" s="16">
        <f>((SUMIFS(SSP1_VSI!$F:$F,SSP1_VSI!$C:$C,Results_list!$C$256,SSP1_VSI!$D:$D,Results_list!$D259,SSP1_VSI!$B:$B,2040)) - (SUMIFS(SSP1_VSI!$F:$F,SSP1_VSI!$C:$C,Results_list!$C$256,SSP1_VSI!$D:$D,Results_list!$D259,SSP1_VSI!$B:$B,2025))) / (SUMIFS(SSP1_VSI!$F:$F,SSP1_VSI!$C:$C,Results_list!$C$256,SSP1_VSI!$D:$D,Results_list!$D259,SSP1_VSI!$B:$B,2025))</f>
        <v>1.9244688068896617E-2</v>
      </c>
      <c r="I259" s="13">
        <f t="shared" si="36"/>
        <v>0</v>
      </c>
      <c r="J259" s="12">
        <f>((SUMIFS(SSP2_Baseline!$E:$E,SSP2_Baseline!$C:$C,Results_list!$C$256,SSP2_Baseline!$D:$D,Results_list!$D259,SSP2_Baseline!$B:$B,2040)) - (SUMIFS(SSP2_Baseline!$E:$E,SSP2_Baseline!$C:$C,Results_list!$C$256,SSP2_Baseline!$D:$D,Results_list!$D259,SSP2_Baseline!$B:$B,2025))) / (SUMIFS(SSP2_Baseline!$E:$E,SSP2_Baseline!$C:$C,Results_list!$C$256,SSP2_Baseline!$D:$D,Results_list!$D259,SSP2_Baseline!$B:$B,2025))</f>
        <v>0.49334346131773554</v>
      </c>
      <c r="K259" s="16">
        <f>((SUMIFS(SSP2_VSI!$F:$F,SSP2_VSI!$C:$C,Results_list!$C$256,SSP2_VSI!$D:$D,Results_list!$D259,SSP2_VSI!$B:$B,2040)) - (SUMIFS(SSP2_VSI!$F:$F,SSP2_VSI!$C:$C,Results_list!$C$256,SSP2_VSI!$D:$D,Results_list!$D259,SSP2_VSI!$B:$B,2025))) / (SUMIFS(SSP2_VSI!$F:$F,SSP2_VSI!$C:$C,Results_list!$C$256,SSP2_VSI!$D:$D,Results_list!$D259,SSP2_VSI!$B:$B,2025))</f>
        <v>0.49330814965761821</v>
      </c>
      <c r="L259" s="13">
        <f t="shared" si="37"/>
        <v>0</v>
      </c>
      <c r="M259" s="12">
        <f>((SUMIFS(SSP5_Baseline!$E:$E,SSP5_Baseline!$C:$C,Results_list!$C$256,SSP5_Baseline!$D:$D,Results_list!$D259,SSP5_Baseline!$B:$B,2040)) - (SUMIFS(SSP5_Baseline!$E:$E,SSP5_Baseline!$C:$C,Results_list!$C$256,SSP5_Baseline!$D:$D,Results_list!$D259,SSP5_Baseline!$B:$B,2025))) / (SUMIFS(SSP5_Baseline!$E:$E,SSP5_Baseline!$C:$C,Results_list!$C$256,SSP5_Baseline!$D:$D,Results_list!$D259,SSP5_Baseline!$B:$B,2025))</f>
        <v>0.42331176957040106</v>
      </c>
      <c r="N259" s="16">
        <f>((SUMIFS(SSP5_VSI!$F:$F,SSP5_VSI!$C:$C,Results_list!$C$256,SSP5_VSI!$D:$D,Results_list!$D259,SSP5_VSI!$B:$B,2040)) - (SUMIFS(SSP5_VSI!$F:$F,SSP5_VSI!$C:$C,Results_list!$C$256,SSP5_VSI!$D:$D,Results_list!$D259,SSP5_VSI!$B:$B,2025))) / (SUMIFS(SSP5_VSI!$F:$F,SSP5_VSI!$C:$C,Results_list!$C$256,SSP5_VSI!$D:$D,Results_list!$D259,SSP5_VSI!$B:$B,2025))</f>
        <v>0.42339339989544922</v>
      </c>
      <c r="O259" s="13">
        <f t="shared" si="38"/>
        <v>0</v>
      </c>
    </row>
    <row r="260" spans="2:15" x14ac:dyDescent="0.35">
      <c r="B260" s="83"/>
      <c r="C260" s="85"/>
      <c r="D260" t="s">
        <v>43</v>
      </c>
      <c r="F260" s="3" t="s">
        <v>91</v>
      </c>
      <c r="G260" s="12">
        <f>((SUMIFS(SSP1_Baseline!$E:$E,SSP1_Baseline!$C:$C,Results_list!$C$256,SSP1_Baseline!$D:$D,Results_list!$D260,SSP1_Baseline!$B:$B,2040)) - (SUMIFS(SSP1_Baseline!$E:$E,SSP1_Baseline!$C:$C,Results_list!$C$256,SSP1_Baseline!$D:$D,Results_list!$D260,SSP1_Baseline!$B:$B,2025))) / (SUMIFS(SSP1_Baseline!$E:$E,SSP1_Baseline!$C:$C,Results_list!$C$256,SSP1_Baseline!$D:$D,Results_list!$D260,SSP1_Baseline!$B:$B,2025))</f>
        <v>-2.6849477983056584E-2</v>
      </c>
      <c r="H260" s="16">
        <f>((SUMIFS(SSP1_VSI!$F:$F,SSP1_VSI!$C:$C,Results_list!$C$256,SSP1_VSI!$D:$D,Results_list!$D260,SSP1_VSI!$B:$B,2040)) - (SUMIFS(SSP1_VSI!$F:$F,SSP1_VSI!$C:$C,Results_list!$C$256,SSP1_VSI!$D:$D,Results_list!$D260,SSP1_VSI!$B:$B,2025))) / (SUMIFS(SSP1_VSI!$F:$F,SSP1_VSI!$C:$C,Results_list!$C$256,SSP1_VSI!$D:$D,Results_list!$D260,SSP1_VSI!$B:$B,2025))</f>
        <v>-2.6852945104129118E-2</v>
      </c>
      <c r="I260" s="13">
        <f t="shared" si="36"/>
        <v>0</v>
      </c>
      <c r="J260" s="12">
        <f>((SUMIFS(SSP2_Baseline!$E:$E,SSP2_Baseline!$C:$C,Results_list!$C$256,SSP2_Baseline!$D:$D,Results_list!$D260,SSP2_Baseline!$B:$B,2040)) - (SUMIFS(SSP2_Baseline!$E:$E,SSP2_Baseline!$C:$C,Results_list!$C$256,SSP2_Baseline!$D:$D,Results_list!$D260,SSP2_Baseline!$B:$B,2025))) / (SUMIFS(SSP2_Baseline!$E:$E,SSP2_Baseline!$C:$C,Results_list!$C$256,SSP2_Baseline!$D:$D,Results_list!$D260,SSP2_Baseline!$B:$B,2025))</f>
        <v>3.6817427185561906E-2</v>
      </c>
      <c r="K260" s="16">
        <f>((SUMIFS(SSP2_VSI!$F:$F,SSP2_VSI!$C:$C,Results_list!$C$256,SSP2_VSI!$D:$D,Results_list!$D260,SSP2_VSI!$B:$B,2040)) - (SUMIFS(SSP2_VSI!$F:$F,SSP2_VSI!$C:$C,Results_list!$C$256,SSP2_VSI!$D:$D,Results_list!$D260,SSP2_VSI!$B:$B,2025))) / (SUMIFS(SSP2_VSI!$F:$F,SSP2_VSI!$C:$C,Results_list!$C$256,SSP2_VSI!$D:$D,Results_list!$D260,SSP2_VSI!$B:$B,2025))</f>
        <v>3.6814816281661972E-2</v>
      </c>
      <c r="L260" s="13">
        <f t="shared" si="37"/>
        <v>0</v>
      </c>
      <c r="M260" s="12">
        <f>((SUMIFS(SSP5_Baseline!$E:$E,SSP5_Baseline!$C:$C,Results_list!$C$256,SSP5_Baseline!$D:$D,Results_list!$D260,SSP5_Baseline!$B:$B,2040)) - (SUMIFS(SSP5_Baseline!$E:$E,SSP5_Baseline!$C:$C,Results_list!$C$256,SSP5_Baseline!$D:$D,Results_list!$D260,SSP5_Baseline!$B:$B,2025))) / (SUMIFS(SSP5_Baseline!$E:$E,SSP5_Baseline!$C:$C,Results_list!$C$256,SSP5_Baseline!$D:$D,Results_list!$D260,SSP5_Baseline!$B:$B,2025))</f>
        <v>4.1946633254607145E-2</v>
      </c>
      <c r="N260" s="16">
        <f>((SUMIFS(SSP5_VSI!$F:$F,SSP5_VSI!$C:$C,Results_list!$C$256,SSP5_VSI!$D:$D,Results_list!$D260,SSP5_VSI!$B:$B,2040)) - (SUMIFS(SSP5_VSI!$F:$F,SSP5_VSI!$C:$C,Results_list!$C$256,SSP5_VSI!$D:$D,Results_list!$D260,SSP5_VSI!$B:$B,2025))) / (SUMIFS(SSP5_VSI!$F:$F,SSP5_VSI!$C:$C,Results_list!$C$256,SSP5_VSI!$D:$D,Results_list!$D260,SSP5_VSI!$B:$B,2025))</f>
        <v>4.1944911601174265E-2</v>
      </c>
      <c r="O260" s="13">
        <f t="shared" si="38"/>
        <v>0</v>
      </c>
    </row>
    <row r="261" spans="2:15" x14ac:dyDescent="0.35">
      <c r="B261" s="83"/>
      <c r="C261" s="85"/>
      <c r="D261" t="s">
        <v>136</v>
      </c>
      <c r="F261" s="3" t="s">
        <v>92</v>
      </c>
      <c r="G261" s="12">
        <f>((SUMIFS(SSP1_Baseline!$E:$E,SSP1_Baseline!$C:$C,Results_list!$C$256,SSP1_Baseline!$D:$D,Results_list!$D261,SSP1_Baseline!$B:$B,2040)) - (SUMIFS(SSP1_Baseline!$E:$E,SSP1_Baseline!$C:$C,Results_list!$C$256,SSP1_Baseline!$D:$D,Results_list!$D261,SSP1_Baseline!$B:$B,2025))) / (SUMIFS(SSP1_Baseline!$E:$E,SSP1_Baseline!$C:$C,Results_list!$C$256,SSP1_Baseline!$D:$D,Results_list!$D261,SSP1_Baseline!$B:$B,2025))</f>
        <v>-0.12541348799605176</v>
      </c>
      <c r="H261" s="16">
        <f>((SUMIFS(SSP1_VSI!$F:$F,SSP1_VSI!$C:$C,Results_list!$C$256,SSP1_VSI!$D:$D,Results_list!$D261,SSP1_VSI!$B:$B,2040)) - (SUMIFS(SSP1_VSI!$F:$F,SSP1_VSI!$C:$C,Results_list!$C$256,SSP1_VSI!$D:$D,Results_list!$D261,SSP1_VSI!$B:$B,2025))) / (SUMIFS(SSP1_VSI!$F:$F,SSP1_VSI!$C:$C,Results_list!$C$256,SSP1_VSI!$D:$D,Results_list!$D261,SSP1_VSI!$B:$B,2025))</f>
        <v>-0.12542767580518299</v>
      </c>
      <c r="I261" s="13">
        <f t="shared" si="36"/>
        <v>0</v>
      </c>
      <c r="J261" s="12">
        <f>((SUMIFS(SSP2_Baseline!$E:$E,SSP2_Baseline!$C:$C,Results_list!$C$256,SSP2_Baseline!$D:$D,Results_list!$D261,SSP2_Baseline!$B:$B,2040)) - (SUMIFS(SSP2_Baseline!$E:$E,SSP2_Baseline!$C:$C,Results_list!$C$256,SSP2_Baseline!$D:$D,Results_list!$D261,SSP2_Baseline!$B:$B,2025))) / (SUMIFS(SSP2_Baseline!$E:$E,SSP2_Baseline!$C:$C,Results_list!$C$256,SSP2_Baseline!$D:$D,Results_list!$D261,SSP2_Baseline!$B:$B,2025))</f>
        <v>7.3357384313701104E-2</v>
      </c>
      <c r="K261" s="16">
        <f>((SUMIFS(SSP2_VSI!$F:$F,SSP2_VSI!$C:$C,Results_list!$C$256,SSP2_VSI!$D:$D,Results_list!$D261,SSP2_VSI!$B:$B,2040)) - (SUMIFS(SSP2_VSI!$F:$F,SSP2_VSI!$C:$C,Results_list!$C$256,SSP2_VSI!$D:$D,Results_list!$D261,SSP2_VSI!$B:$B,2025))) / (SUMIFS(SSP2_VSI!$F:$F,SSP2_VSI!$C:$C,Results_list!$C$256,SSP2_VSI!$D:$D,Results_list!$D261,SSP2_VSI!$B:$B,2025))</f>
        <v>7.3356100048105513E-2</v>
      </c>
      <c r="L261" s="13">
        <f t="shared" si="37"/>
        <v>0</v>
      </c>
      <c r="M261" s="12">
        <f>((SUMIFS(SSP5_Baseline!$E:$E,SSP5_Baseline!$C:$C,Results_list!$C$256,SSP5_Baseline!$D:$D,Results_list!$D261,SSP5_Baseline!$B:$B,2040)) - (SUMIFS(SSP5_Baseline!$E:$E,SSP5_Baseline!$C:$C,Results_list!$C$256,SSP5_Baseline!$D:$D,Results_list!$D261,SSP5_Baseline!$B:$B,2025))) / (SUMIFS(SSP5_Baseline!$E:$E,SSP5_Baseline!$C:$C,Results_list!$C$256,SSP5_Baseline!$D:$D,Results_list!$D261,SSP5_Baseline!$B:$B,2025))</f>
        <v>4.9591713807294109E-2</v>
      </c>
      <c r="N261" s="16">
        <f>((SUMIFS(SSP5_VSI!$F:$F,SSP5_VSI!$C:$C,Results_list!$C$256,SSP5_VSI!$D:$D,Results_list!$D261,SSP5_VSI!$B:$B,2040)) - (SUMIFS(SSP5_VSI!$F:$F,SSP5_VSI!$C:$C,Results_list!$C$256,SSP5_VSI!$D:$D,Results_list!$D261,SSP5_VSI!$B:$B,2025))) / (SUMIFS(SSP5_VSI!$F:$F,SSP5_VSI!$C:$C,Results_list!$C$256,SSP5_VSI!$D:$D,Results_list!$D261,SSP5_VSI!$B:$B,2025))</f>
        <v>4.9601386512431359E-2</v>
      </c>
      <c r="O261" s="13">
        <f t="shared" si="38"/>
        <v>0</v>
      </c>
    </row>
    <row r="262" spans="2:15" x14ac:dyDescent="0.35">
      <c r="B262" s="83"/>
      <c r="C262" s="85"/>
      <c r="D262" t="s">
        <v>45</v>
      </c>
      <c r="F262" s="3" t="s">
        <v>93</v>
      </c>
      <c r="G262" s="12">
        <f>((SUMIFS(SSP1_Baseline!$E:$E,SSP1_Baseline!$C:$C,Results_list!$C$256,SSP1_Baseline!$D:$D,Results_list!$D262,SSP1_Baseline!$B:$B,2040)) - (SUMIFS(SSP1_Baseline!$E:$E,SSP1_Baseline!$C:$C,Results_list!$C$256,SSP1_Baseline!$D:$D,Results_list!$D262,SSP1_Baseline!$B:$B,2025))) / (SUMIFS(SSP1_Baseline!$E:$E,SSP1_Baseline!$C:$C,Results_list!$C$256,SSP1_Baseline!$D:$D,Results_list!$D262,SSP1_Baseline!$B:$B,2025))</f>
        <v>-9.8859139846937283E-2</v>
      </c>
      <c r="H262" s="16">
        <f>((SUMIFS(SSP1_VSI!$F:$F,SSP1_VSI!$C:$C,Results_list!$C$256,SSP1_VSI!$D:$D,Results_list!$D262,SSP1_VSI!$B:$B,2040)) - (SUMIFS(SSP1_VSI!$F:$F,SSP1_VSI!$C:$C,Results_list!$C$256,SSP1_VSI!$D:$D,Results_list!$D262,SSP1_VSI!$B:$B,2025))) / (SUMIFS(SSP1_VSI!$F:$F,SSP1_VSI!$C:$C,Results_list!$C$256,SSP1_VSI!$D:$D,Results_list!$D262,SSP1_VSI!$B:$B,2025))</f>
        <v>-9.9023025988663971E-2</v>
      </c>
      <c r="I262" s="13">
        <f t="shared" si="36"/>
        <v>0</v>
      </c>
      <c r="J262" s="12">
        <f>((SUMIFS(SSP2_Baseline!$E:$E,SSP2_Baseline!$C:$C,Results_list!$C$256,SSP2_Baseline!$D:$D,Results_list!$D262,SSP2_Baseline!$B:$B,2040)) - (SUMIFS(SSP2_Baseline!$E:$E,SSP2_Baseline!$C:$C,Results_list!$C$256,SSP2_Baseline!$D:$D,Results_list!$D262,SSP2_Baseline!$B:$B,2025))) / (SUMIFS(SSP2_Baseline!$E:$E,SSP2_Baseline!$C:$C,Results_list!$C$256,SSP2_Baseline!$D:$D,Results_list!$D262,SSP2_Baseline!$B:$B,2025))</f>
        <v>-6.8105841771928147E-2</v>
      </c>
      <c r="K262" s="16">
        <f>((SUMIFS(SSP2_VSI!$F:$F,SSP2_VSI!$C:$C,Results_list!$C$256,SSP2_VSI!$D:$D,Results_list!$D262,SSP2_VSI!$B:$B,2040)) - (SUMIFS(SSP2_VSI!$F:$F,SSP2_VSI!$C:$C,Results_list!$C$256,SSP2_VSI!$D:$D,Results_list!$D262,SSP2_VSI!$B:$B,2025))) / (SUMIFS(SSP2_VSI!$F:$F,SSP2_VSI!$C:$C,Results_list!$C$256,SSP2_VSI!$D:$D,Results_list!$D262,SSP2_VSI!$B:$B,2025))</f>
        <v>-6.8290842606992946E-2</v>
      </c>
      <c r="L262" s="13">
        <f t="shared" si="37"/>
        <v>0</v>
      </c>
      <c r="M262" s="12">
        <f>((SUMIFS(SSP5_Baseline!$E:$E,SSP5_Baseline!$C:$C,Results_list!$C$256,SSP5_Baseline!$D:$D,Results_list!$D262,SSP5_Baseline!$B:$B,2040)) - (SUMIFS(SSP5_Baseline!$E:$E,SSP5_Baseline!$C:$C,Results_list!$C$256,SSP5_Baseline!$D:$D,Results_list!$D262,SSP5_Baseline!$B:$B,2025))) / (SUMIFS(SSP5_Baseline!$E:$E,SSP5_Baseline!$C:$C,Results_list!$C$256,SSP5_Baseline!$D:$D,Results_list!$D262,SSP5_Baseline!$B:$B,2025))</f>
        <v>-7.9812694726256725E-2</v>
      </c>
      <c r="N262" s="16">
        <f>((SUMIFS(SSP5_VSI!$F:$F,SSP5_VSI!$C:$C,Results_list!$C$256,SSP5_VSI!$D:$D,Results_list!$D262,SSP5_VSI!$B:$B,2040)) - (SUMIFS(SSP5_VSI!$F:$F,SSP5_VSI!$C:$C,Results_list!$C$256,SSP5_VSI!$D:$D,Results_list!$D262,SSP5_VSI!$B:$B,2025))) / (SUMIFS(SSP5_VSI!$F:$F,SSP5_VSI!$C:$C,Results_list!$C$256,SSP5_VSI!$D:$D,Results_list!$D262,SSP5_VSI!$B:$B,2025))</f>
        <v>-7.9983339125225358E-2</v>
      </c>
      <c r="O262" s="13">
        <f t="shared" si="38"/>
        <v>0</v>
      </c>
    </row>
    <row r="263" spans="2:15" x14ac:dyDescent="0.35">
      <c r="B263" s="83"/>
      <c r="C263" s="85"/>
      <c r="D263" t="s">
        <v>46</v>
      </c>
      <c r="F263" s="3" t="s">
        <v>94</v>
      </c>
      <c r="G263" s="12">
        <f>((SUMIFS(SSP1_Baseline!$E:$E,SSP1_Baseline!$C:$C,Results_list!$C$256,SSP1_Baseline!$D:$D,Results_list!$D263,SSP1_Baseline!$B:$B,2040)) - (SUMIFS(SSP1_Baseline!$E:$E,SSP1_Baseline!$C:$C,Results_list!$C$256,SSP1_Baseline!$D:$D,Results_list!$D263,SSP1_Baseline!$B:$B,2025))) / (SUMIFS(SSP1_Baseline!$E:$E,SSP1_Baseline!$C:$C,Results_list!$C$256,SSP1_Baseline!$D:$D,Results_list!$D263,SSP1_Baseline!$B:$B,2025))</f>
        <v>3.2424602535007718</v>
      </c>
      <c r="H263" s="16">
        <f>((SUMIFS(SSP1_VSI!$F:$F,SSP1_VSI!$C:$C,Results_list!$C$256,SSP1_VSI!$D:$D,Results_list!$D263,SSP1_VSI!$B:$B,2040)) - (SUMIFS(SSP1_VSI!$F:$F,SSP1_VSI!$C:$C,Results_list!$C$256,SSP1_VSI!$D:$D,Results_list!$D263,SSP1_VSI!$B:$B,2025))) / (SUMIFS(SSP1_VSI!$F:$F,SSP1_VSI!$C:$C,Results_list!$C$256,SSP1_VSI!$D:$D,Results_list!$D263,SSP1_VSI!$B:$B,2025))</f>
        <v>3.2424758558874345</v>
      </c>
      <c r="I263" s="13">
        <f t="shared" si="36"/>
        <v>0</v>
      </c>
      <c r="J263" s="12">
        <f>((SUMIFS(SSP2_Baseline!$E:$E,SSP2_Baseline!$C:$C,Results_list!$C$256,SSP2_Baseline!$D:$D,Results_list!$D263,SSP2_Baseline!$B:$B,2040)) - (SUMIFS(SSP2_Baseline!$E:$E,SSP2_Baseline!$C:$C,Results_list!$C$256,SSP2_Baseline!$D:$D,Results_list!$D263,SSP2_Baseline!$B:$B,2025))) / (SUMIFS(SSP2_Baseline!$E:$E,SSP2_Baseline!$C:$C,Results_list!$C$256,SSP2_Baseline!$D:$D,Results_list!$D263,SSP2_Baseline!$B:$B,2025))</f>
        <v>11.146562338037272</v>
      </c>
      <c r="K263" s="16">
        <f>((SUMIFS(SSP2_VSI!$F:$F,SSP2_VSI!$C:$C,Results_list!$C$256,SSP2_VSI!$D:$D,Results_list!$D263,SSP2_VSI!$B:$B,2040)) - (SUMIFS(SSP2_VSI!$F:$F,SSP2_VSI!$C:$C,Results_list!$C$256,SSP2_VSI!$D:$D,Results_list!$D263,SSP2_VSI!$B:$B,2025))) / (SUMIFS(SSP2_VSI!$F:$F,SSP2_VSI!$C:$C,Results_list!$C$256,SSP2_VSI!$D:$D,Results_list!$D263,SSP2_VSI!$B:$B,2025))</f>
        <v>11.146250408431078</v>
      </c>
      <c r="L263" s="13">
        <f t="shared" si="37"/>
        <v>0</v>
      </c>
      <c r="M263" s="12">
        <f>((SUMIFS(SSP5_Baseline!$E:$E,SSP5_Baseline!$C:$C,Results_list!$C$256,SSP5_Baseline!$D:$D,Results_list!$D263,SSP5_Baseline!$B:$B,2040)) - (SUMIFS(SSP5_Baseline!$E:$E,SSP5_Baseline!$C:$C,Results_list!$C$256,SSP5_Baseline!$D:$D,Results_list!$D263,SSP5_Baseline!$B:$B,2025))) / (SUMIFS(SSP5_Baseline!$E:$E,SSP5_Baseline!$C:$C,Results_list!$C$256,SSP5_Baseline!$D:$D,Results_list!$D263,SSP5_Baseline!$B:$B,2025))</f>
        <v>16.852534214446308</v>
      </c>
      <c r="N263" s="16">
        <f>((SUMIFS(SSP5_VSI!$F:$F,SSP5_VSI!$C:$C,Results_list!$C$256,SSP5_VSI!$D:$D,Results_list!$D263,SSP5_VSI!$B:$B,2040)) - (SUMIFS(SSP5_VSI!$F:$F,SSP5_VSI!$C:$C,Results_list!$C$256,SSP5_VSI!$D:$D,Results_list!$D263,SSP5_VSI!$B:$B,2025))) / (SUMIFS(SSP5_VSI!$F:$F,SSP5_VSI!$C:$C,Results_list!$C$256,SSP5_VSI!$D:$D,Results_list!$D263,SSP5_VSI!$B:$B,2025))</f>
        <v>16.852149408465447</v>
      </c>
      <c r="O263" s="13">
        <f t="shared" si="38"/>
        <v>0</v>
      </c>
    </row>
    <row r="264" spans="2:15" x14ac:dyDescent="0.35">
      <c r="B264" s="83"/>
      <c r="C264" s="85"/>
      <c r="D264" t="s">
        <v>47</v>
      </c>
      <c r="F264" s="3" t="s">
        <v>95</v>
      </c>
      <c r="G264" s="12">
        <f>((SUMIFS(SSP1_Baseline!$E:$E,SSP1_Baseline!$C:$C,Results_list!$C$256,SSP1_Baseline!$D:$D,Results_list!$D264,SSP1_Baseline!$B:$B,2040)) - (SUMIFS(SSP1_Baseline!$E:$E,SSP1_Baseline!$C:$C,Results_list!$C$256,SSP1_Baseline!$D:$D,Results_list!$D264,SSP1_Baseline!$B:$B,2025))) / (SUMIFS(SSP1_Baseline!$E:$E,SSP1_Baseline!$C:$C,Results_list!$C$256,SSP1_Baseline!$D:$D,Results_list!$D264,SSP1_Baseline!$B:$B,2025))</f>
        <v>1.3676170239864905E-2</v>
      </c>
      <c r="H264" s="16">
        <f>((SUMIFS(SSP1_VSI!$F:$F,SSP1_VSI!$C:$C,Results_list!$C$256,SSP1_VSI!$D:$D,Results_list!$D264,SSP1_VSI!$B:$B,2040)) - (SUMIFS(SSP1_VSI!$F:$F,SSP1_VSI!$C:$C,Results_list!$C$256,SSP1_VSI!$D:$D,Results_list!$D264,SSP1_VSI!$B:$B,2025))) / (SUMIFS(SSP1_VSI!$F:$F,SSP1_VSI!$C:$C,Results_list!$C$256,SSP1_VSI!$D:$D,Results_list!$D264,SSP1_VSI!$B:$B,2025))</f>
        <v>1.3696866878033787E-2</v>
      </c>
      <c r="I264" s="13">
        <f t="shared" si="36"/>
        <v>0</v>
      </c>
      <c r="J264" s="12">
        <f>((SUMIFS(SSP2_Baseline!$E:$E,SSP2_Baseline!$C:$C,Results_list!$C$256,SSP2_Baseline!$D:$D,Results_list!$D264,SSP2_Baseline!$B:$B,2040)) - (SUMIFS(SSP2_Baseline!$E:$E,SSP2_Baseline!$C:$C,Results_list!$C$256,SSP2_Baseline!$D:$D,Results_list!$D264,SSP2_Baseline!$B:$B,2025))) / (SUMIFS(SSP2_Baseline!$E:$E,SSP2_Baseline!$C:$C,Results_list!$C$256,SSP2_Baseline!$D:$D,Results_list!$D264,SSP2_Baseline!$B:$B,2025))</f>
        <v>0.60850757832279068</v>
      </c>
      <c r="K264" s="16">
        <f>((SUMIFS(SSP2_VSI!$F:$F,SSP2_VSI!$C:$C,Results_list!$C$256,SSP2_VSI!$D:$D,Results_list!$D264,SSP2_VSI!$B:$B,2040)) - (SUMIFS(SSP2_VSI!$F:$F,SSP2_VSI!$C:$C,Results_list!$C$256,SSP2_VSI!$D:$D,Results_list!$D264,SSP2_VSI!$B:$B,2025))) / (SUMIFS(SSP2_VSI!$F:$F,SSP2_VSI!$C:$C,Results_list!$C$256,SSP2_VSI!$D:$D,Results_list!$D264,SSP2_VSI!$B:$B,2025))</f>
        <v>0.60850481393204991</v>
      </c>
      <c r="L264" s="13">
        <f t="shared" si="37"/>
        <v>0</v>
      </c>
      <c r="M264" s="12">
        <f>((SUMIFS(SSP5_Baseline!$E:$E,SSP5_Baseline!$C:$C,Results_list!$C$256,SSP5_Baseline!$D:$D,Results_list!$D264,SSP5_Baseline!$B:$B,2040)) - (SUMIFS(SSP5_Baseline!$E:$E,SSP5_Baseline!$C:$C,Results_list!$C$256,SSP5_Baseline!$D:$D,Results_list!$D264,SSP5_Baseline!$B:$B,2025))) / (SUMIFS(SSP5_Baseline!$E:$E,SSP5_Baseline!$C:$C,Results_list!$C$256,SSP5_Baseline!$D:$D,Results_list!$D264,SSP5_Baseline!$B:$B,2025))</f>
        <v>0.64106837309924769</v>
      </c>
      <c r="N264" s="16">
        <f>((SUMIFS(SSP5_VSI!$F:$F,SSP5_VSI!$C:$C,Results_list!$C$256,SSP5_VSI!$D:$D,Results_list!$D264,SSP5_VSI!$B:$B,2040)) - (SUMIFS(SSP5_VSI!$F:$F,SSP5_VSI!$C:$C,Results_list!$C$256,SSP5_VSI!$D:$D,Results_list!$D264,SSP5_VSI!$B:$B,2025))) / (SUMIFS(SSP5_VSI!$F:$F,SSP5_VSI!$C:$C,Results_list!$C$256,SSP5_VSI!$D:$D,Results_list!$D264,SSP5_VSI!$B:$B,2025))</f>
        <v>0.64117798040821594</v>
      </c>
      <c r="O264" s="13">
        <f t="shared" si="38"/>
        <v>0</v>
      </c>
    </row>
    <row r="265" spans="2:15" x14ac:dyDescent="0.35">
      <c r="B265" s="83"/>
      <c r="C265" s="85"/>
      <c r="D265" t="s">
        <v>48</v>
      </c>
      <c r="F265" s="3" t="s">
        <v>96</v>
      </c>
      <c r="G265" s="12">
        <f>((SUMIFS(SSP1_Baseline!$E:$E,SSP1_Baseline!$C:$C,Results_list!$C$256,SSP1_Baseline!$D:$D,Results_list!$D265,SSP1_Baseline!$B:$B,2040)) - (SUMIFS(SSP1_Baseline!$E:$E,SSP1_Baseline!$C:$C,Results_list!$C$256,SSP1_Baseline!$D:$D,Results_list!$D265,SSP1_Baseline!$B:$B,2025))) / (SUMIFS(SSP1_Baseline!$E:$E,SSP1_Baseline!$C:$C,Results_list!$C$256,SSP1_Baseline!$D:$D,Results_list!$D265,SSP1_Baseline!$B:$B,2025))</f>
        <v>9.3285231298443308E-2</v>
      </c>
      <c r="H265" s="16">
        <f>((SUMIFS(SSP1_VSI!$F:$F,SSP1_VSI!$C:$C,Results_list!$C$256,SSP1_VSI!$D:$D,Results_list!$D265,SSP1_VSI!$B:$B,2040)) - (SUMIFS(SSP1_VSI!$F:$F,SSP1_VSI!$C:$C,Results_list!$C$256,SSP1_VSI!$D:$D,Results_list!$D265,SSP1_VSI!$B:$B,2025))) / (SUMIFS(SSP1_VSI!$F:$F,SSP1_VSI!$C:$C,Results_list!$C$256,SSP1_VSI!$D:$D,Results_list!$D265,SSP1_VSI!$B:$B,2025))</f>
        <v>9.3290463393823159E-2</v>
      </c>
      <c r="I265" s="13">
        <f t="shared" si="36"/>
        <v>0</v>
      </c>
      <c r="J265" s="12">
        <f>((SUMIFS(SSP2_Baseline!$E:$E,SSP2_Baseline!$C:$C,Results_list!$C$256,SSP2_Baseline!$D:$D,Results_list!$D265,SSP2_Baseline!$B:$B,2040)) - (SUMIFS(SSP2_Baseline!$E:$E,SSP2_Baseline!$C:$C,Results_list!$C$256,SSP2_Baseline!$D:$D,Results_list!$D265,SSP2_Baseline!$B:$B,2025))) / (SUMIFS(SSP2_Baseline!$E:$E,SSP2_Baseline!$C:$C,Results_list!$C$256,SSP2_Baseline!$D:$D,Results_list!$D265,SSP2_Baseline!$B:$B,2025))</f>
        <v>0.14079694999033174</v>
      </c>
      <c r="K265" s="16">
        <f>((SUMIFS(SSP2_VSI!$F:$F,SSP2_VSI!$C:$C,Results_list!$C$256,SSP2_VSI!$D:$D,Results_list!$D265,SSP2_VSI!$B:$B,2040)) - (SUMIFS(SSP2_VSI!$F:$F,SSP2_VSI!$C:$C,Results_list!$C$256,SSP2_VSI!$D:$D,Results_list!$D265,SSP2_VSI!$B:$B,2025))) / (SUMIFS(SSP2_VSI!$F:$F,SSP2_VSI!$C:$C,Results_list!$C$256,SSP2_VSI!$D:$D,Results_list!$D265,SSP2_VSI!$B:$B,2025))</f>
        <v>0.14079087196480244</v>
      </c>
      <c r="L265" s="13">
        <f t="shared" si="37"/>
        <v>0</v>
      </c>
      <c r="M265" s="12">
        <f>((SUMIFS(SSP5_Baseline!$E:$E,SSP5_Baseline!$C:$C,Results_list!$C$256,SSP5_Baseline!$D:$D,Results_list!$D265,SSP5_Baseline!$B:$B,2040)) - (SUMIFS(SSP5_Baseline!$E:$E,SSP5_Baseline!$C:$C,Results_list!$C$256,SSP5_Baseline!$D:$D,Results_list!$D265,SSP5_Baseline!$B:$B,2025))) / (SUMIFS(SSP5_Baseline!$E:$E,SSP5_Baseline!$C:$C,Results_list!$C$256,SSP5_Baseline!$D:$D,Results_list!$D265,SSP5_Baseline!$B:$B,2025))</f>
        <v>3.9675055064037984E-2</v>
      </c>
      <c r="N265" s="16">
        <f>((SUMIFS(SSP5_VSI!$F:$F,SSP5_VSI!$C:$C,Results_list!$C$256,SSP5_VSI!$D:$D,Results_list!$D265,SSP5_VSI!$B:$B,2040)) - (SUMIFS(SSP5_VSI!$F:$F,SSP5_VSI!$C:$C,Results_list!$C$256,SSP5_VSI!$D:$D,Results_list!$D265,SSP5_VSI!$B:$B,2025))) / (SUMIFS(SSP5_VSI!$F:$F,SSP5_VSI!$C:$C,Results_list!$C$256,SSP5_VSI!$D:$D,Results_list!$D265,SSP5_VSI!$B:$B,2025))</f>
        <v>3.9685034400329104E-2</v>
      </c>
      <c r="O265" s="13">
        <f t="shared" si="38"/>
        <v>0</v>
      </c>
    </row>
    <row r="266" spans="2:15" x14ac:dyDescent="0.35">
      <c r="B266" s="83"/>
      <c r="C266" s="85"/>
      <c r="D266" t="s">
        <v>49</v>
      </c>
      <c r="F266" s="3" t="s">
        <v>97</v>
      </c>
      <c r="G266" s="12">
        <f>((SUMIFS(SSP1_Baseline!$E:$E,SSP1_Baseline!$C:$C,Results_list!$C$256,SSP1_Baseline!$D:$D,Results_list!$D266,SSP1_Baseline!$B:$B,2040)) - (SUMIFS(SSP1_Baseline!$E:$E,SSP1_Baseline!$C:$C,Results_list!$C$256,SSP1_Baseline!$D:$D,Results_list!$D266,SSP1_Baseline!$B:$B,2025))) / (SUMIFS(SSP1_Baseline!$E:$E,SSP1_Baseline!$C:$C,Results_list!$C$256,SSP1_Baseline!$D:$D,Results_list!$D266,SSP1_Baseline!$B:$B,2025))</f>
        <v>-6.9221874086884363E-2</v>
      </c>
      <c r="H266" s="16">
        <f>((SUMIFS(SSP1_VSI!$F:$F,SSP1_VSI!$C:$C,Results_list!$C$256,SSP1_VSI!$D:$D,Results_list!$D266,SSP1_VSI!$B:$B,2040)) - (SUMIFS(SSP1_VSI!$F:$F,SSP1_VSI!$C:$C,Results_list!$C$256,SSP1_VSI!$D:$D,Results_list!$D266,SSP1_VSI!$B:$B,2025))) / (SUMIFS(SSP1_VSI!$F:$F,SSP1_VSI!$C:$C,Results_list!$C$256,SSP1_VSI!$D:$D,Results_list!$D266,SSP1_VSI!$B:$B,2025))</f>
        <v>-6.9676230501883374E-2</v>
      </c>
      <c r="I266" s="13">
        <f t="shared" si="36"/>
        <v>0</v>
      </c>
      <c r="J266" s="12">
        <f>((SUMIFS(SSP2_Baseline!$E:$E,SSP2_Baseline!$C:$C,Results_list!$C$256,SSP2_Baseline!$D:$D,Results_list!$D266,SSP2_Baseline!$B:$B,2040)) - (SUMIFS(SSP2_Baseline!$E:$E,SSP2_Baseline!$C:$C,Results_list!$C$256,SSP2_Baseline!$D:$D,Results_list!$D266,SSP2_Baseline!$B:$B,2025))) / (SUMIFS(SSP2_Baseline!$E:$E,SSP2_Baseline!$C:$C,Results_list!$C$256,SSP2_Baseline!$D:$D,Results_list!$D266,SSP2_Baseline!$B:$B,2025))</f>
        <v>-3.6086190744893449E-4</v>
      </c>
      <c r="K266" s="16">
        <f>((SUMIFS(SSP2_VSI!$F:$F,SSP2_VSI!$C:$C,Results_list!$C$256,SSP2_VSI!$D:$D,Results_list!$D266,SSP2_VSI!$B:$B,2040)) - (SUMIFS(SSP2_VSI!$F:$F,SSP2_VSI!$C:$C,Results_list!$C$256,SSP2_VSI!$D:$D,Results_list!$D266,SSP2_VSI!$B:$B,2025))) / (SUMIFS(SSP2_VSI!$F:$F,SSP2_VSI!$C:$C,Results_list!$C$256,SSP2_VSI!$D:$D,Results_list!$D266,SSP2_VSI!$B:$B,2025))</f>
        <v>-8.921189585539605E-4</v>
      </c>
      <c r="L266" s="13">
        <f t="shared" si="37"/>
        <v>0</v>
      </c>
      <c r="M266" s="12">
        <f>((SUMIFS(SSP5_Baseline!$E:$E,SSP5_Baseline!$C:$C,Results_list!$C$256,SSP5_Baseline!$D:$D,Results_list!$D266,SSP5_Baseline!$B:$B,2040)) - (SUMIFS(SSP5_Baseline!$E:$E,SSP5_Baseline!$C:$C,Results_list!$C$256,SSP5_Baseline!$D:$D,Results_list!$D266,SSP5_Baseline!$B:$B,2025))) / (SUMIFS(SSP5_Baseline!$E:$E,SSP5_Baseline!$C:$C,Results_list!$C$256,SSP5_Baseline!$D:$D,Results_list!$D266,SSP5_Baseline!$B:$B,2025))</f>
        <v>-2.7295113767207724E-2</v>
      </c>
      <c r="N266" s="16">
        <f>((SUMIFS(SSP5_VSI!$F:$F,SSP5_VSI!$C:$C,Results_list!$C$256,SSP5_VSI!$D:$D,Results_list!$D266,SSP5_VSI!$B:$B,2040)) - (SUMIFS(SSP5_VSI!$F:$F,SSP5_VSI!$C:$C,Results_list!$C$256,SSP5_VSI!$D:$D,Results_list!$D266,SSP5_VSI!$B:$B,2025))) / (SUMIFS(SSP5_VSI!$F:$F,SSP5_VSI!$C:$C,Results_list!$C$256,SSP5_VSI!$D:$D,Results_list!$D266,SSP5_VSI!$B:$B,2025))</f>
        <v>-2.7762482132750572E-2</v>
      </c>
      <c r="O266" s="13">
        <f t="shared" si="38"/>
        <v>0</v>
      </c>
    </row>
    <row r="267" spans="2:15" x14ac:dyDescent="0.35">
      <c r="B267" s="83"/>
      <c r="C267" s="85"/>
      <c r="D267" t="s">
        <v>50</v>
      </c>
      <c r="F267" s="3" t="s">
        <v>98</v>
      </c>
      <c r="G267" s="12">
        <f>((SUMIFS(SSP1_Baseline!$E:$E,SSP1_Baseline!$C:$C,Results_list!$C$256,SSP1_Baseline!$D:$D,Results_list!$D267,SSP1_Baseline!$B:$B,2040)) - (SUMIFS(SSP1_Baseline!$E:$E,SSP1_Baseline!$C:$C,Results_list!$C$256,SSP1_Baseline!$D:$D,Results_list!$D267,SSP1_Baseline!$B:$B,2025))) / (SUMIFS(SSP1_Baseline!$E:$E,SSP1_Baseline!$C:$C,Results_list!$C$256,SSP1_Baseline!$D:$D,Results_list!$D267,SSP1_Baseline!$B:$B,2025))</f>
        <v>-0.19073007312514029</v>
      </c>
      <c r="H267" s="16">
        <f>((SUMIFS(SSP1_VSI!$F:$F,SSP1_VSI!$C:$C,Results_list!$C$256,SSP1_VSI!$D:$D,Results_list!$D267,SSP1_VSI!$B:$B,2040)) - (SUMIFS(SSP1_VSI!$F:$F,SSP1_VSI!$C:$C,Results_list!$C$256,SSP1_VSI!$D:$D,Results_list!$D267,SSP1_VSI!$B:$B,2025))) / (SUMIFS(SSP1_VSI!$F:$F,SSP1_VSI!$C:$C,Results_list!$C$256,SSP1_VSI!$D:$D,Results_list!$D267,SSP1_VSI!$B:$B,2025))</f>
        <v>-0.19072903502348673</v>
      </c>
      <c r="I267" s="13">
        <f t="shared" si="36"/>
        <v>0</v>
      </c>
      <c r="J267" s="12">
        <f>((SUMIFS(SSP2_Baseline!$E:$E,SSP2_Baseline!$C:$C,Results_list!$C$256,SSP2_Baseline!$D:$D,Results_list!$D267,SSP2_Baseline!$B:$B,2040)) - (SUMIFS(SSP2_Baseline!$E:$E,SSP2_Baseline!$C:$C,Results_list!$C$256,SSP2_Baseline!$D:$D,Results_list!$D267,SSP2_Baseline!$B:$B,2025))) / (SUMIFS(SSP2_Baseline!$E:$E,SSP2_Baseline!$C:$C,Results_list!$C$256,SSP2_Baseline!$D:$D,Results_list!$D267,SSP2_Baseline!$B:$B,2025))</f>
        <v>1.0551911809050023</v>
      </c>
      <c r="K267" s="16">
        <f>((SUMIFS(SSP2_VSI!$F:$F,SSP2_VSI!$C:$C,Results_list!$C$256,SSP2_VSI!$D:$D,Results_list!$D267,SSP2_VSI!$B:$B,2040)) - (SUMIFS(SSP2_VSI!$F:$F,SSP2_VSI!$C:$C,Results_list!$C$256,SSP2_VSI!$D:$D,Results_list!$D267,SSP2_VSI!$B:$B,2025))) / (SUMIFS(SSP2_VSI!$F:$F,SSP2_VSI!$C:$C,Results_list!$C$256,SSP2_VSI!$D:$D,Results_list!$D267,SSP2_VSI!$B:$B,2025))</f>
        <v>1.0551855531646086</v>
      </c>
      <c r="L267" s="13">
        <f t="shared" si="37"/>
        <v>0</v>
      </c>
      <c r="M267" s="12">
        <f>((SUMIFS(SSP5_Baseline!$E:$E,SSP5_Baseline!$C:$C,Results_list!$C$256,SSP5_Baseline!$D:$D,Results_list!$D267,SSP5_Baseline!$B:$B,2040)) - (SUMIFS(SSP5_Baseline!$E:$E,SSP5_Baseline!$C:$C,Results_list!$C$256,SSP5_Baseline!$D:$D,Results_list!$D267,SSP5_Baseline!$B:$B,2025))) / (SUMIFS(SSP5_Baseline!$E:$E,SSP5_Baseline!$C:$C,Results_list!$C$256,SSP5_Baseline!$D:$D,Results_list!$D267,SSP5_Baseline!$B:$B,2025))</f>
        <v>1.5874501557640419</v>
      </c>
      <c r="N267" s="16">
        <f>((SUMIFS(SSP5_VSI!$F:$F,SSP5_VSI!$C:$C,Results_list!$C$256,SSP5_VSI!$D:$D,Results_list!$D267,SSP5_VSI!$B:$B,2040)) - (SUMIFS(SSP5_VSI!$F:$F,SSP5_VSI!$C:$C,Results_list!$C$256,SSP5_VSI!$D:$D,Results_list!$D267,SSP5_VSI!$B:$B,2025))) / (SUMIFS(SSP5_VSI!$F:$F,SSP5_VSI!$C:$C,Results_list!$C$256,SSP5_VSI!$D:$D,Results_list!$D267,SSP5_VSI!$B:$B,2025))</f>
        <v>1.587457167558469</v>
      </c>
      <c r="O267" s="13">
        <f t="shared" si="38"/>
        <v>0</v>
      </c>
    </row>
    <row r="268" spans="2:15" x14ac:dyDescent="0.35">
      <c r="B268" s="83"/>
      <c r="C268" s="85"/>
      <c r="D268" t="s">
        <v>51</v>
      </c>
      <c r="F268" s="3" t="s">
        <v>99</v>
      </c>
      <c r="G268" s="12">
        <f>((SUMIFS(SSP1_Baseline!$E:$E,SSP1_Baseline!$C:$C,Results_list!$C$256,SSP1_Baseline!$D:$D,Results_list!$D268,SSP1_Baseline!$B:$B,2040)) - (SUMIFS(SSP1_Baseline!$E:$E,SSP1_Baseline!$C:$C,Results_list!$C$256,SSP1_Baseline!$D:$D,Results_list!$D268,SSP1_Baseline!$B:$B,2025))) / (SUMIFS(SSP1_Baseline!$E:$E,SSP1_Baseline!$C:$C,Results_list!$C$256,SSP1_Baseline!$D:$D,Results_list!$D268,SSP1_Baseline!$B:$B,2025))</f>
        <v>4.5428191406342699E-3</v>
      </c>
      <c r="H268" s="16">
        <f>((SUMIFS(SSP1_VSI!$F:$F,SSP1_VSI!$C:$C,Results_list!$C$256,SSP1_VSI!$D:$D,Results_list!$D268,SSP1_VSI!$B:$B,2040)) - (SUMIFS(SSP1_VSI!$F:$F,SSP1_VSI!$C:$C,Results_list!$C$256,SSP1_VSI!$D:$D,Results_list!$D268,SSP1_VSI!$B:$B,2025))) / (SUMIFS(SSP1_VSI!$F:$F,SSP1_VSI!$C:$C,Results_list!$C$256,SSP1_VSI!$D:$D,Results_list!$D268,SSP1_VSI!$B:$B,2025))</f>
        <v>4.5427360585391591E-3</v>
      </c>
      <c r="I268" s="13">
        <f t="shared" si="36"/>
        <v>0</v>
      </c>
      <c r="J268" s="12">
        <f>((SUMIFS(SSP2_Baseline!$E:$E,SSP2_Baseline!$C:$C,Results_list!$C$256,SSP2_Baseline!$D:$D,Results_list!$D268,SSP2_Baseline!$B:$B,2040)) - (SUMIFS(SSP2_Baseline!$E:$E,SSP2_Baseline!$C:$C,Results_list!$C$256,SSP2_Baseline!$D:$D,Results_list!$D268,SSP2_Baseline!$B:$B,2025))) / (SUMIFS(SSP2_Baseline!$E:$E,SSP2_Baseline!$C:$C,Results_list!$C$256,SSP2_Baseline!$D:$D,Results_list!$D268,SSP2_Baseline!$B:$B,2025))</f>
        <v>5.8399338646977668E-3</v>
      </c>
      <c r="K268" s="16">
        <f>((SUMIFS(SSP2_VSI!$F:$F,SSP2_VSI!$C:$C,Results_list!$C$256,SSP2_VSI!$D:$D,Results_list!$D268,SSP2_VSI!$B:$B,2040)) - (SUMIFS(SSP2_VSI!$F:$F,SSP2_VSI!$C:$C,Results_list!$C$256,SSP2_VSI!$D:$D,Results_list!$D268,SSP2_VSI!$B:$B,2025))) / (SUMIFS(SSP2_VSI!$F:$F,SSP2_VSI!$C:$C,Results_list!$C$256,SSP2_VSI!$D:$D,Results_list!$D268,SSP2_VSI!$B:$B,2025))</f>
        <v>5.8387744659449117E-3</v>
      </c>
      <c r="L268" s="13">
        <f t="shared" si="37"/>
        <v>0</v>
      </c>
      <c r="M268" s="12">
        <f>((SUMIFS(SSP5_Baseline!$E:$E,SSP5_Baseline!$C:$C,Results_list!$C$256,SSP5_Baseline!$D:$D,Results_list!$D268,SSP5_Baseline!$B:$B,2040)) - (SUMIFS(SSP5_Baseline!$E:$E,SSP5_Baseline!$C:$C,Results_list!$C$256,SSP5_Baseline!$D:$D,Results_list!$D268,SSP5_Baseline!$B:$B,2025))) / (SUMIFS(SSP5_Baseline!$E:$E,SSP5_Baseline!$C:$C,Results_list!$C$256,SSP5_Baseline!$D:$D,Results_list!$D268,SSP5_Baseline!$B:$B,2025))</f>
        <v>1.4649454089013213E-3</v>
      </c>
      <c r="N268" s="16">
        <f>((SUMIFS(SSP5_VSI!$F:$F,SSP5_VSI!$C:$C,Results_list!$C$256,SSP5_VSI!$D:$D,Results_list!$D268,SSP5_VSI!$B:$B,2040)) - (SUMIFS(SSP5_VSI!$F:$F,SSP5_VSI!$C:$C,Results_list!$C$256,SSP5_VSI!$D:$D,Results_list!$D268,SSP5_VSI!$B:$B,2025))) / (SUMIFS(SSP5_VSI!$F:$F,SSP5_VSI!$C:$C,Results_list!$C$256,SSP5_VSI!$D:$D,Results_list!$D268,SSP5_VSI!$B:$B,2025))</f>
        <v>1.465377716846312E-3</v>
      </c>
      <c r="O268" s="13">
        <f t="shared" si="38"/>
        <v>0</v>
      </c>
    </row>
    <row r="269" spans="2:15" x14ac:dyDescent="0.35">
      <c r="B269" s="83"/>
      <c r="C269" s="85"/>
      <c r="D269" t="s">
        <v>52</v>
      </c>
      <c r="F269" s="3" t="s">
        <v>100</v>
      </c>
      <c r="G269" s="12">
        <f>((SUMIFS(SSP1_Baseline!$E:$E,SSP1_Baseline!$C:$C,Results_list!$C$256,SSP1_Baseline!$D:$D,Results_list!$D269,SSP1_Baseline!$B:$B,2040)) - (SUMIFS(SSP1_Baseline!$E:$E,SSP1_Baseline!$C:$C,Results_list!$C$256,SSP1_Baseline!$D:$D,Results_list!$D269,SSP1_Baseline!$B:$B,2025))) / (SUMIFS(SSP1_Baseline!$E:$E,SSP1_Baseline!$C:$C,Results_list!$C$256,SSP1_Baseline!$D:$D,Results_list!$D269,SSP1_Baseline!$B:$B,2025))</f>
        <v>-0.35712064169475244</v>
      </c>
      <c r="H269" s="16">
        <f>((SUMIFS(SSP1_VSI!$F:$F,SSP1_VSI!$C:$C,Results_list!$C$256,SSP1_VSI!$D:$D,Results_list!$D269,SSP1_VSI!$B:$B,2040)) - (SUMIFS(SSP1_VSI!$F:$F,SSP1_VSI!$C:$C,Results_list!$C$256,SSP1_VSI!$D:$D,Results_list!$D269,SSP1_VSI!$B:$B,2025))) / (SUMIFS(SSP1_VSI!$F:$F,SSP1_VSI!$C:$C,Results_list!$C$256,SSP1_VSI!$D:$D,Results_list!$D269,SSP1_VSI!$B:$B,2025))</f>
        <v>-0.35710936291973616</v>
      </c>
      <c r="I269" s="13">
        <f t="shared" si="36"/>
        <v>0</v>
      </c>
      <c r="J269" s="12">
        <f>((SUMIFS(SSP2_Baseline!$E:$E,SSP2_Baseline!$C:$C,Results_list!$C$256,SSP2_Baseline!$D:$D,Results_list!$D269,SSP2_Baseline!$B:$B,2040)) - (SUMIFS(SSP2_Baseline!$E:$E,SSP2_Baseline!$C:$C,Results_list!$C$256,SSP2_Baseline!$D:$D,Results_list!$D269,SSP2_Baseline!$B:$B,2025))) / (SUMIFS(SSP2_Baseline!$E:$E,SSP2_Baseline!$C:$C,Results_list!$C$256,SSP2_Baseline!$D:$D,Results_list!$D269,SSP2_Baseline!$B:$B,2025))</f>
        <v>-0.26434123707577839</v>
      </c>
      <c r="K269" s="16">
        <f>((SUMIFS(SSP2_VSI!$F:$F,SSP2_VSI!$C:$C,Results_list!$C$256,SSP2_VSI!$D:$D,Results_list!$D269,SSP2_VSI!$B:$B,2040)) - (SUMIFS(SSP2_VSI!$F:$F,SSP2_VSI!$C:$C,Results_list!$C$256,SSP2_VSI!$D:$D,Results_list!$D269,SSP2_VSI!$B:$B,2025))) / (SUMIFS(SSP2_VSI!$F:$F,SSP2_VSI!$C:$C,Results_list!$C$256,SSP2_VSI!$D:$D,Results_list!$D269,SSP2_VSI!$B:$B,2025))</f>
        <v>-0.26431882799398237</v>
      </c>
      <c r="L269" s="13">
        <f t="shared" si="37"/>
        <v>0</v>
      </c>
      <c r="M269" s="12">
        <f>((SUMIFS(SSP5_Baseline!$E:$E,SSP5_Baseline!$C:$C,Results_list!$C$256,SSP5_Baseline!$D:$D,Results_list!$D269,SSP5_Baseline!$B:$B,2040)) - (SUMIFS(SSP5_Baseline!$E:$E,SSP5_Baseline!$C:$C,Results_list!$C$256,SSP5_Baseline!$D:$D,Results_list!$D269,SSP5_Baseline!$B:$B,2025))) / (SUMIFS(SSP5_Baseline!$E:$E,SSP5_Baseline!$C:$C,Results_list!$C$256,SSP5_Baseline!$D:$D,Results_list!$D269,SSP5_Baseline!$B:$B,2025))</f>
        <v>-0.30253963224827801</v>
      </c>
      <c r="N269" s="16">
        <f>((SUMIFS(SSP5_VSI!$F:$F,SSP5_VSI!$C:$C,Results_list!$C$256,SSP5_VSI!$D:$D,Results_list!$D269,SSP5_VSI!$B:$B,2040)) - (SUMIFS(SSP5_VSI!$F:$F,SSP5_VSI!$C:$C,Results_list!$C$256,SSP5_VSI!$D:$D,Results_list!$D269,SSP5_VSI!$B:$B,2025))) / (SUMIFS(SSP5_VSI!$F:$F,SSP5_VSI!$C:$C,Results_list!$C$256,SSP5_VSI!$D:$D,Results_list!$D269,SSP5_VSI!$B:$B,2025))</f>
        <v>-0.30252277332288918</v>
      </c>
      <c r="O269" s="13">
        <f t="shared" si="38"/>
        <v>0</v>
      </c>
    </row>
    <row r="270" spans="2:15" x14ac:dyDescent="0.35">
      <c r="B270" s="83"/>
      <c r="C270" s="85"/>
      <c r="D270" t="s">
        <v>53</v>
      </c>
      <c r="F270" s="3" t="s">
        <v>101</v>
      </c>
      <c r="G270" s="12">
        <f>((SUMIFS(SSP1_Baseline!$E:$E,SSP1_Baseline!$C:$C,Results_list!$C$256,SSP1_Baseline!$D:$D,Results_list!$D270,SSP1_Baseline!$B:$B,2040)) - (SUMIFS(SSP1_Baseline!$E:$E,SSP1_Baseline!$C:$C,Results_list!$C$256,SSP1_Baseline!$D:$D,Results_list!$D270,SSP1_Baseline!$B:$B,2025))) / (SUMIFS(SSP1_Baseline!$E:$E,SSP1_Baseline!$C:$C,Results_list!$C$256,SSP1_Baseline!$D:$D,Results_list!$D270,SSP1_Baseline!$B:$B,2025))</f>
        <v>-0.13067785361742437</v>
      </c>
      <c r="H270" s="16">
        <f>((SUMIFS(SSP1_VSI!$F:$F,SSP1_VSI!$C:$C,Results_list!$C$256,SSP1_VSI!$D:$D,Results_list!$D270,SSP1_VSI!$B:$B,2040)) - (SUMIFS(SSP1_VSI!$F:$F,SSP1_VSI!$C:$C,Results_list!$C$256,SSP1_VSI!$D:$D,Results_list!$D270,SSP1_VSI!$B:$B,2025))) / (SUMIFS(SSP1_VSI!$F:$F,SSP1_VSI!$C:$C,Results_list!$C$256,SSP1_VSI!$D:$D,Results_list!$D270,SSP1_VSI!$B:$B,2025))</f>
        <v>-0.13068927185452528</v>
      </c>
      <c r="I270" s="13">
        <f t="shared" si="36"/>
        <v>0</v>
      </c>
      <c r="J270" s="12">
        <f>((SUMIFS(SSP2_Baseline!$E:$E,SSP2_Baseline!$C:$C,Results_list!$C$256,SSP2_Baseline!$D:$D,Results_list!$D270,SSP2_Baseline!$B:$B,2040)) - (SUMIFS(SSP2_Baseline!$E:$E,SSP2_Baseline!$C:$C,Results_list!$C$256,SSP2_Baseline!$D:$D,Results_list!$D270,SSP2_Baseline!$B:$B,2025))) / (SUMIFS(SSP2_Baseline!$E:$E,SSP2_Baseline!$C:$C,Results_list!$C$256,SSP2_Baseline!$D:$D,Results_list!$D270,SSP2_Baseline!$B:$B,2025))</f>
        <v>2.1355585929414184E-2</v>
      </c>
      <c r="K270" s="16">
        <f>((SUMIFS(SSP2_VSI!$F:$F,SSP2_VSI!$C:$C,Results_list!$C$256,SSP2_VSI!$D:$D,Results_list!$D270,SSP2_VSI!$B:$B,2040)) - (SUMIFS(SSP2_VSI!$F:$F,SSP2_VSI!$C:$C,Results_list!$C$256,SSP2_VSI!$D:$D,Results_list!$D270,SSP2_VSI!$B:$B,2025))) / (SUMIFS(SSP2_VSI!$F:$F,SSP2_VSI!$C:$C,Results_list!$C$256,SSP2_VSI!$D:$D,Results_list!$D270,SSP2_VSI!$B:$B,2025))</f>
        <v>2.1356266284593403E-2</v>
      </c>
      <c r="L270" s="13">
        <f t="shared" si="37"/>
        <v>0</v>
      </c>
      <c r="M270" s="12">
        <f>((SUMIFS(SSP5_Baseline!$E:$E,SSP5_Baseline!$C:$C,Results_list!$C$256,SSP5_Baseline!$D:$D,Results_list!$D270,SSP5_Baseline!$B:$B,2040)) - (SUMIFS(SSP5_Baseline!$E:$E,SSP5_Baseline!$C:$C,Results_list!$C$256,SSP5_Baseline!$D:$D,Results_list!$D270,SSP5_Baseline!$B:$B,2025))) / (SUMIFS(SSP5_Baseline!$E:$E,SSP5_Baseline!$C:$C,Results_list!$C$256,SSP5_Baseline!$D:$D,Results_list!$D270,SSP5_Baseline!$B:$B,2025))</f>
        <v>4.5083523228592701E-2</v>
      </c>
      <c r="N270" s="16">
        <f>((SUMIFS(SSP5_VSI!$F:$F,SSP5_VSI!$C:$C,Results_list!$C$256,SSP5_VSI!$D:$D,Results_list!$D270,SSP5_VSI!$B:$B,2040)) - (SUMIFS(SSP5_VSI!$F:$F,SSP5_VSI!$C:$C,Results_list!$C$256,SSP5_VSI!$D:$D,Results_list!$D270,SSP5_VSI!$B:$B,2025))) / (SUMIFS(SSP5_VSI!$F:$F,SSP5_VSI!$C:$C,Results_list!$C$256,SSP5_VSI!$D:$D,Results_list!$D270,SSP5_VSI!$B:$B,2025))</f>
        <v>4.5091011838779019E-2</v>
      </c>
      <c r="O270" s="13">
        <f t="shared" si="38"/>
        <v>0</v>
      </c>
    </row>
    <row r="271" spans="2:15" x14ac:dyDescent="0.35">
      <c r="B271" s="83"/>
      <c r="C271" s="85"/>
      <c r="D271" t="s">
        <v>54</v>
      </c>
      <c r="F271" s="3" t="s">
        <v>102</v>
      </c>
      <c r="G271" s="12">
        <f>((SUMIFS(SSP1_Baseline!$E:$E,SSP1_Baseline!$C:$C,Results_list!$C$256,SSP1_Baseline!$D:$D,Results_list!$D271,SSP1_Baseline!$B:$B,2040)) - (SUMIFS(SSP1_Baseline!$E:$E,SSP1_Baseline!$C:$C,Results_list!$C$256,SSP1_Baseline!$D:$D,Results_list!$D271,SSP1_Baseline!$B:$B,2025))) / (SUMIFS(SSP1_Baseline!$E:$E,SSP1_Baseline!$C:$C,Results_list!$C$256,SSP1_Baseline!$D:$D,Results_list!$D271,SSP1_Baseline!$B:$B,2025))</f>
        <v>0.13583393227734225</v>
      </c>
      <c r="H271" s="16">
        <f>((SUMIFS(SSP1_VSI!$F:$F,SSP1_VSI!$C:$C,Results_list!$C$256,SSP1_VSI!$D:$D,Results_list!$D271,SSP1_VSI!$B:$B,2040)) - (SUMIFS(SSP1_VSI!$F:$F,SSP1_VSI!$C:$C,Results_list!$C$256,SSP1_VSI!$D:$D,Results_list!$D271,SSP1_VSI!$B:$B,2025))) / (SUMIFS(SSP1_VSI!$F:$F,SSP1_VSI!$C:$C,Results_list!$C$256,SSP1_VSI!$D:$D,Results_list!$D271,SSP1_VSI!$B:$B,2025))</f>
        <v>0.13583801552402899</v>
      </c>
      <c r="I271" s="13">
        <f t="shared" si="36"/>
        <v>0</v>
      </c>
      <c r="J271" s="12">
        <f>((SUMIFS(SSP2_Baseline!$E:$E,SSP2_Baseline!$C:$C,Results_list!$C$256,SSP2_Baseline!$D:$D,Results_list!$D271,SSP2_Baseline!$B:$B,2040)) - (SUMIFS(SSP2_Baseline!$E:$E,SSP2_Baseline!$C:$C,Results_list!$C$256,SSP2_Baseline!$D:$D,Results_list!$D271,SSP2_Baseline!$B:$B,2025))) / (SUMIFS(SSP2_Baseline!$E:$E,SSP2_Baseline!$C:$C,Results_list!$C$256,SSP2_Baseline!$D:$D,Results_list!$D271,SSP2_Baseline!$B:$B,2025))</f>
        <v>0.33568522387821453</v>
      </c>
      <c r="K271" s="16">
        <f>((SUMIFS(SSP2_VSI!$F:$F,SSP2_VSI!$C:$C,Results_list!$C$256,SSP2_VSI!$D:$D,Results_list!$D271,SSP2_VSI!$B:$B,2040)) - (SUMIFS(SSP2_VSI!$F:$F,SSP2_VSI!$C:$C,Results_list!$C$256,SSP2_VSI!$D:$D,Results_list!$D271,SSP2_VSI!$B:$B,2025))) / (SUMIFS(SSP2_VSI!$F:$F,SSP2_VSI!$C:$C,Results_list!$C$256,SSP2_VSI!$D:$D,Results_list!$D271,SSP2_VSI!$B:$B,2025))</f>
        <v>0.33568695662172443</v>
      </c>
      <c r="L271" s="13">
        <f t="shared" si="37"/>
        <v>0</v>
      </c>
      <c r="M271" s="12">
        <f>((SUMIFS(SSP5_Baseline!$E:$E,SSP5_Baseline!$C:$C,Results_list!$C$256,SSP5_Baseline!$D:$D,Results_list!$D271,SSP5_Baseline!$B:$B,2040)) - (SUMIFS(SSP5_Baseline!$E:$E,SSP5_Baseline!$C:$C,Results_list!$C$256,SSP5_Baseline!$D:$D,Results_list!$D271,SSP5_Baseline!$B:$B,2025))) / (SUMIFS(SSP5_Baseline!$E:$E,SSP5_Baseline!$C:$C,Results_list!$C$256,SSP5_Baseline!$D:$D,Results_list!$D271,SSP5_Baseline!$B:$B,2025))</f>
        <v>0.20370038325264722</v>
      </c>
      <c r="N271" s="16">
        <f>((SUMIFS(SSP5_VSI!$F:$F,SSP5_VSI!$C:$C,Results_list!$C$256,SSP5_VSI!$D:$D,Results_list!$D271,SSP5_VSI!$B:$B,2040)) - (SUMIFS(SSP5_VSI!$F:$F,SSP5_VSI!$C:$C,Results_list!$C$256,SSP5_VSI!$D:$D,Results_list!$D271,SSP5_VSI!$B:$B,2025))) / (SUMIFS(SSP5_VSI!$F:$F,SSP5_VSI!$C:$C,Results_list!$C$256,SSP5_VSI!$D:$D,Results_list!$D271,SSP5_VSI!$B:$B,2025))</f>
        <v>0.20372511672629523</v>
      </c>
      <c r="O271" s="13">
        <f t="shared" si="38"/>
        <v>0</v>
      </c>
    </row>
    <row r="272" spans="2:15" x14ac:dyDescent="0.35">
      <c r="B272" s="83"/>
      <c r="C272" s="85"/>
      <c r="D272" t="s">
        <v>55</v>
      </c>
      <c r="F272" s="3" t="s">
        <v>103</v>
      </c>
      <c r="G272" s="12">
        <f>((SUMIFS(SSP1_Baseline!$E:$E,SSP1_Baseline!$C:$C,Results_list!$C$256,SSP1_Baseline!$D:$D,Results_list!$D272,SSP1_Baseline!$B:$B,2040)) - (SUMIFS(SSP1_Baseline!$E:$E,SSP1_Baseline!$C:$C,Results_list!$C$256,SSP1_Baseline!$D:$D,Results_list!$D272,SSP1_Baseline!$B:$B,2025))) / (SUMIFS(SSP1_Baseline!$E:$E,SSP1_Baseline!$C:$C,Results_list!$C$256,SSP1_Baseline!$D:$D,Results_list!$D272,SSP1_Baseline!$B:$B,2025))</f>
        <v>0.13738385539652037</v>
      </c>
      <c r="H272" s="16">
        <f>((SUMIFS(SSP1_VSI!$F:$F,SSP1_VSI!$C:$C,Results_list!$C$256,SSP1_VSI!$D:$D,Results_list!$D272,SSP1_VSI!$B:$B,2040)) - (SUMIFS(SSP1_VSI!$F:$F,SSP1_VSI!$C:$C,Results_list!$C$256,SSP1_VSI!$D:$D,Results_list!$D272,SSP1_VSI!$B:$B,2025))) / (SUMIFS(SSP1_VSI!$F:$F,SSP1_VSI!$C:$C,Results_list!$C$256,SSP1_VSI!$D:$D,Results_list!$D272,SSP1_VSI!$B:$B,2025))</f>
        <v>0.13739186857349839</v>
      </c>
      <c r="I272" s="13">
        <f t="shared" si="36"/>
        <v>0</v>
      </c>
      <c r="J272" s="12">
        <f>((SUMIFS(SSP2_Baseline!$E:$E,SSP2_Baseline!$C:$C,Results_list!$C$256,SSP2_Baseline!$D:$D,Results_list!$D272,SSP2_Baseline!$B:$B,2040)) - (SUMIFS(SSP2_Baseline!$E:$E,SSP2_Baseline!$C:$C,Results_list!$C$256,SSP2_Baseline!$D:$D,Results_list!$D272,SSP2_Baseline!$B:$B,2025))) / (SUMIFS(SSP2_Baseline!$E:$E,SSP2_Baseline!$C:$C,Results_list!$C$256,SSP2_Baseline!$D:$D,Results_list!$D272,SSP2_Baseline!$B:$B,2025))</f>
        <v>0.33700578869002318</v>
      </c>
      <c r="K272" s="16">
        <f>((SUMIFS(SSP2_VSI!$F:$F,SSP2_VSI!$C:$C,Results_list!$C$256,SSP2_VSI!$D:$D,Results_list!$D272,SSP2_VSI!$B:$B,2040)) - (SUMIFS(SSP2_VSI!$F:$F,SSP2_VSI!$C:$C,Results_list!$C$256,SSP2_VSI!$D:$D,Results_list!$D272,SSP2_VSI!$B:$B,2025))) / (SUMIFS(SSP2_VSI!$F:$F,SSP2_VSI!$C:$C,Results_list!$C$256,SSP2_VSI!$D:$D,Results_list!$D272,SSP2_VSI!$B:$B,2025))</f>
        <v>0.33700219089446382</v>
      </c>
      <c r="L272" s="13">
        <f t="shared" si="37"/>
        <v>0</v>
      </c>
      <c r="M272" s="12">
        <f>((SUMIFS(SSP5_Baseline!$E:$E,SSP5_Baseline!$C:$C,Results_list!$C$256,SSP5_Baseline!$D:$D,Results_list!$D272,SSP5_Baseline!$B:$B,2040)) - (SUMIFS(SSP5_Baseline!$E:$E,SSP5_Baseline!$C:$C,Results_list!$C$256,SSP5_Baseline!$D:$D,Results_list!$D272,SSP5_Baseline!$B:$B,2025))) / (SUMIFS(SSP5_Baseline!$E:$E,SSP5_Baseline!$C:$C,Results_list!$C$256,SSP5_Baseline!$D:$D,Results_list!$D272,SSP5_Baseline!$B:$B,2025))</f>
        <v>0.19432040679361817</v>
      </c>
      <c r="N272" s="16">
        <f>((SUMIFS(SSP5_VSI!$F:$F,SSP5_VSI!$C:$C,Results_list!$C$256,SSP5_VSI!$D:$D,Results_list!$D272,SSP5_VSI!$B:$B,2040)) - (SUMIFS(SSP5_VSI!$F:$F,SSP5_VSI!$C:$C,Results_list!$C$256,SSP5_VSI!$D:$D,Results_list!$D272,SSP5_VSI!$B:$B,2025))) / (SUMIFS(SSP5_VSI!$F:$F,SSP5_VSI!$C:$C,Results_list!$C$256,SSP5_VSI!$D:$D,Results_list!$D272,SSP5_VSI!$B:$B,2025))</f>
        <v>0.19435249612698491</v>
      </c>
      <c r="O272" s="13">
        <f t="shared" si="38"/>
        <v>0</v>
      </c>
    </row>
    <row r="273" spans="2:15" x14ac:dyDescent="0.35">
      <c r="B273" s="84"/>
      <c r="C273" s="86"/>
      <c r="D273" t="s">
        <v>56</v>
      </c>
      <c r="F273" s="9" t="s">
        <v>104</v>
      </c>
      <c r="G273" s="14">
        <f>((SUMIFS(SSP1_Baseline!$E:$E,SSP1_Baseline!$C:$C,Results_list!$C$256,SSP1_Baseline!$D:$D,Results_list!$D273,SSP1_Baseline!$B:$B,2040)) - (SUMIFS(SSP1_Baseline!$E:$E,SSP1_Baseline!$C:$C,Results_list!$C$256,SSP1_Baseline!$D:$D,Results_list!$D273,SSP1_Baseline!$B:$B,2025))) / (SUMIFS(SSP1_Baseline!$E:$E,SSP1_Baseline!$C:$C,Results_list!$C$256,SSP1_Baseline!$D:$D,Results_list!$D273,SSP1_Baseline!$B:$B,2025))</f>
        <v>-0.20883947518762752</v>
      </c>
      <c r="H273" s="17">
        <f>((SUMIFS(SSP1_VSI!$F:$F,SSP1_VSI!$C:$C,Results_list!$C$256,SSP1_VSI!$D:$D,Results_list!$D273,SSP1_VSI!$B:$B,2040)) - (SUMIFS(SSP1_VSI!$F:$F,SSP1_VSI!$C:$C,Results_list!$C$256,SSP1_VSI!$D:$D,Results_list!$D273,SSP1_VSI!$B:$B,2025))) / (SUMIFS(SSP1_VSI!$F:$F,SSP1_VSI!$C:$C,Results_list!$C$256,SSP1_VSI!$D:$D,Results_list!$D273,SSP1_VSI!$B:$B,2025))</f>
        <v>-0.20884070523393999</v>
      </c>
      <c r="I273" s="15">
        <f t="shared" si="36"/>
        <v>0</v>
      </c>
      <c r="J273" s="14">
        <f>((SUMIFS(SSP2_Baseline!$E:$E,SSP2_Baseline!$C:$C,Results_list!$C$256,SSP2_Baseline!$D:$D,Results_list!$D273,SSP2_Baseline!$B:$B,2040)) - (SUMIFS(SSP2_Baseline!$E:$E,SSP2_Baseline!$C:$C,Results_list!$C$256,SSP2_Baseline!$D:$D,Results_list!$D273,SSP2_Baseline!$B:$B,2025))) / (SUMIFS(SSP2_Baseline!$E:$E,SSP2_Baseline!$C:$C,Results_list!$C$256,SSP2_Baseline!$D:$D,Results_list!$D273,SSP2_Baseline!$B:$B,2025))</f>
        <v>-0.27215894178637795</v>
      </c>
      <c r="K273" s="17">
        <f>((SUMIFS(SSP2_VSI!$F:$F,SSP2_VSI!$C:$C,Results_list!$C$256,SSP2_VSI!$D:$D,Results_list!$D273,SSP2_VSI!$B:$B,2040)) - (SUMIFS(SSP2_VSI!$F:$F,SSP2_VSI!$C:$C,Results_list!$C$256,SSP2_VSI!$D:$D,Results_list!$D273,SSP2_VSI!$B:$B,2025))) / (SUMIFS(SSP2_VSI!$F:$F,SSP2_VSI!$C:$C,Results_list!$C$256,SSP2_VSI!$D:$D,Results_list!$D273,SSP2_VSI!$B:$B,2025))</f>
        <v>-0.2721725629149041</v>
      </c>
      <c r="L273" s="15">
        <f t="shared" si="37"/>
        <v>0</v>
      </c>
      <c r="M273" s="14">
        <f>((SUMIFS(SSP5_Baseline!$E:$E,SSP5_Baseline!$C:$C,Results_list!$C$256,SSP5_Baseline!$D:$D,Results_list!$D273,SSP5_Baseline!$B:$B,2040)) - (SUMIFS(SSP5_Baseline!$E:$E,SSP5_Baseline!$C:$C,Results_list!$C$256,SSP5_Baseline!$D:$D,Results_list!$D273,SSP5_Baseline!$B:$B,2025))) / (SUMIFS(SSP5_Baseline!$E:$E,SSP5_Baseline!$C:$C,Results_list!$C$256,SSP5_Baseline!$D:$D,Results_list!$D273,SSP5_Baseline!$B:$B,2025))</f>
        <v>-5.3551995906726713E-2</v>
      </c>
      <c r="N273" s="17">
        <f>((SUMIFS(SSP5_VSI!$F:$F,SSP5_VSI!$C:$C,Results_list!$C$256,SSP5_VSI!$D:$D,Results_list!$D273,SSP5_VSI!$B:$B,2040)) - (SUMIFS(SSP5_VSI!$F:$F,SSP5_VSI!$C:$C,Results_list!$C$256,SSP5_VSI!$D:$D,Results_list!$D273,SSP5_VSI!$B:$B,2025))) / (SUMIFS(SSP5_VSI!$F:$F,SSP5_VSI!$C:$C,Results_list!$C$256,SSP5_VSI!$D:$D,Results_list!$D273,SSP5_VSI!$B:$B,2025))</f>
        <v>-5.3544997831887646E-2</v>
      </c>
      <c r="O273" s="15">
        <f t="shared" si="38"/>
        <v>0</v>
      </c>
    </row>
    <row r="275" spans="2:15" ht="19" customHeight="1" x14ac:dyDescent="0.35">
      <c r="F275" s="2"/>
      <c r="G275" s="78" t="s">
        <v>3</v>
      </c>
      <c r="H275" s="79"/>
      <c r="I275" s="79"/>
      <c r="J275" s="79"/>
      <c r="K275" s="79"/>
      <c r="L275" s="79"/>
      <c r="M275" s="79"/>
      <c r="N275" s="79"/>
      <c r="O275" s="80"/>
    </row>
    <row r="276" spans="2:15" ht="29" x14ac:dyDescent="0.35">
      <c r="B276" s="8" t="s">
        <v>30</v>
      </c>
      <c r="C276" s="8" t="s">
        <v>30</v>
      </c>
      <c r="D276" s="6" t="s">
        <v>106</v>
      </c>
      <c r="F276" s="7" t="s">
        <v>105</v>
      </c>
      <c r="G276" s="10" t="s">
        <v>0</v>
      </c>
      <c r="H276" s="11" t="s">
        <v>108</v>
      </c>
      <c r="I276" s="18" t="s">
        <v>107</v>
      </c>
      <c r="J276" s="10" t="s">
        <v>1</v>
      </c>
      <c r="K276" s="11" t="s">
        <v>109</v>
      </c>
      <c r="L276" s="18" t="s">
        <v>107</v>
      </c>
      <c r="M276" s="10" t="s">
        <v>2</v>
      </c>
      <c r="N276" s="11" t="s">
        <v>110</v>
      </c>
      <c r="O276" s="18" t="s">
        <v>107</v>
      </c>
    </row>
    <row r="277" spans="2:15" ht="14.5" customHeight="1" x14ac:dyDescent="0.35">
      <c r="B277" s="83" t="s">
        <v>122</v>
      </c>
      <c r="C277" s="85" t="s">
        <v>76</v>
      </c>
      <c r="D277" t="s">
        <v>38</v>
      </c>
      <c r="F277" s="3" t="s">
        <v>87</v>
      </c>
      <c r="G277" s="12">
        <f>((SUMIFS(SSP1_Baseline!$E:$E,SSP1_Baseline!$C:$C,Results_list!$C$277,SSP1_Baseline!$D:$D,Results_list!$D277,SSP1_Baseline!$B:$B,2040)) - (SUMIFS(SSP1_Baseline!$E:$E,SSP1_Baseline!$C:$C,Results_list!$C$277,SSP1_Baseline!$D:$D,Results_list!$D277,SSP1_Baseline!$B:$B,2025))) / (SUMIFS(SSP1_Baseline!$E:$E,SSP1_Baseline!$C:$C,Results_list!$C$277,SSP1_Baseline!$D:$D,Results_list!$D277,SSP1_Baseline!$B:$B,2025))</f>
        <v>-0.14151035154555364</v>
      </c>
      <c r="H277" s="16">
        <f>((SUMIFS(SSP1_VSI!$F:$F,SSP1_VSI!$C:$C,Results_list!$C$277,SSP1_VSI!$D:$D,Results_list!$D277,SSP1_VSI!$B:$B,2040)) - (SUMIFS(SSP1_VSI!$F:$F,SSP1_VSI!$C:$C,Results_list!$C$277,SSP1_VSI!$D:$D,Results_list!$D277,SSP1_VSI!$B:$B,2025))) / (SUMIFS(SSP1_VSI!$F:$F,SSP1_VSI!$C:$C,Results_list!$C$277,SSP1_VSI!$D:$D,Results_list!$D277,SSP1_VSI!$B:$B,2025))</f>
        <v>-0.14150190434590487</v>
      </c>
      <c r="I277" s="19">
        <f>ROUND(H277-G277,3)</f>
        <v>0</v>
      </c>
      <c r="J277" s="12">
        <f>((SUMIFS(SSP2_Baseline!$E:$E,SSP2_Baseline!$C:$C,Results_list!$C$277,SSP2_Baseline!$D:$D,Results_list!$D277,SSP2_Baseline!$B:$B,2040)) - (SUMIFS(SSP2_Baseline!$E:$E,SSP2_Baseline!$C:$C,Results_list!$C$277,SSP2_Baseline!$D:$D,Results_list!$D277,SSP2_Baseline!$B:$B,2025))) / (SUMIFS(SSP2_Baseline!$E:$E,SSP2_Baseline!$C:$C,Results_list!$C$277,SSP2_Baseline!$D:$D,Results_list!$D277,SSP2_Baseline!$B:$B,2025))</f>
        <v>0.88410222222871004</v>
      </c>
      <c r="K277" s="16">
        <f>((SUMIFS(SSP2_VSI!$F:$F,SSP2_VSI!$C:$C,Results_list!$C$277,SSP2_VSI!$D:$D,Results_list!$D277,SSP2_VSI!$B:$B,2040)) - (SUMIFS(SSP2_VSI!$F:$F,SSP2_VSI!$C:$C,Results_list!$C$277,SSP2_VSI!$D:$D,Results_list!$D277,SSP2_VSI!$B:$B,2025))) / (SUMIFS(SSP2_VSI!$F:$F,SSP2_VSI!$C:$C,Results_list!$C$277,SSP2_VSI!$D:$D,Results_list!$D277,SSP2_VSI!$B:$B,2025))</f>
        <v>0.88404260975254778</v>
      </c>
      <c r="L277" s="19">
        <f>ROUND(K277-J277,2)</f>
        <v>0</v>
      </c>
      <c r="M277" s="12">
        <f>((SUMIFS(SSP5_Baseline!$E:$E,SSP5_Baseline!$C:$C,Results_list!$C$277,SSP5_Baseline!$D:$D,Results_list!$D277,SSP5_Baseline!$B:$B,2040)) - (SUMIFS(SSP5_Baseline!$E:$E,SSP5_Baseline!$C:$C,Results_list!$C$277,SSP5_Baseline!$D:$D,Results_list!$D277,SSP5_Baseline!$B:$B,2025))) / (SUMIFS(SSP5_Baseline!$E:$E,SSP5_Baseline!$C:$C,Results_list!$C$277,SSP5_Baseline!$D:$D,Results_list!$D277,SSP5_Baseline!$B:$B,2025))</f>
        <v>1.5954886625714295</v>
      </c>
      <c r="N277" s="16">
        <f>((SUMIFS(SSP5_VSI!$F:$F,SSP5_VSI!$C:$C,Results_list!$C$277,SSP5_VSI!$D:$D,Results_list!$D277,SSP5_VSI!$B:$B,2040)) - (SUMIFS(SSP5_VSI!$F:$F,SSP5_VSI!$C:$C,Results_list!$C$277,SSP5_VSI!$D:$D,Results_list!$D277,SSP5_VSI!$B:$B,2025))) / (SUMIFS(SSP5_VSI!$F:$F,SSP5_VSI!$C:$C,Results_list!$C$277,SSP5_VSI!$D:$D,Results_list!$D277,SSP5_VSI!$B:$B,2025))</f>
        <v>1.5955441093264622</v>
      </c>
      <c r="O277" s="19">
        <f>ROUND(N277-M277,2)</f>
        <v>0</v>
      </c>
    </row>
    <row r="278" spans="2:15" x14ac:dyDescent="0.35">
      <c r="B278" s="83"/>
      <c r="C278" s="85"/>
      <c r="D278" t="s">
        <v>40</v>
      </c>
      <c r="F278" s="3" t="s">
        <v>88</v>
      </c>
      <c r="G278" s="12">
        <f>((SUMIFS(SSP1_Baseline!$E:$E,SSP1_Baseline!$C:$C,Results_list!$C$277,SSP1_Baseline!$D:$D,Results_list!$D278,SSP1_Baseline!$B:$B,2040)) - (SUMIFS(SSP1_Baseline!$E:$E,SSP1_Baseline!$C:$C,Results_list!$C$277,SSP1_Baseline!$D:$D,Results_list!$D278,SSP1_Baseline!$B:$B,2025))) / (SUMIFS(SSP1_Baseline!$E:$E,SSP1_Baseline!$C:$C,Results_list!$C$277,SSP1_Baseline!$D:$D,Results_list!$D278,SSP1_Baseline!$B:$B,2025))</f>
        <v>-0.13808331224213494</v>
      </c>
      <c r="H278" s="16">
        <f>((SUMIFS(SSP1_VSI!$F:$F,SSP1_VSI!$C:$C,Results_list!$C$277,SSP1_VSI!$D:$D,Results_list!$D278,SSP1_VSI!$B:$B,2040)) - (SUMIFS(SSP1_VSI!$F:$F,SSP1_VSI!$C:$C,Results_list!$C$277,SSP1_VSI!$D:$D,Results_list!$D278,SSP1_VSI!$B:$B,2025))) / (SUMIFS(SSP1_VSI!$F:$F,SSP1_VSI!$C:$C,Results_list!$C$277,SSP1_VSI!$D:$D,Results_list!$D278,SSP1_VSI!$B:$B,2025))</f>
        <v>-0.13808727975915963</v>
      </c>
      <c r="I278" s="13">
        <f t="shared" ref="I278:I294" si="39">ROUND(H278-G278,3)</f>
        <v>0</v>
      </c>
      <c r="J278" s="12">
        <f>((SUMIFS(SSP2_Baseline!$E:$E,SSP2_Baseline!$C:$C,Results_list!$C$277,SSP2_Baseline!$D:$D,Results_list!$D278,SSP2_Baseline!$B:$B,2040)) - (SUMIFS(SSP2_Baseline!$E:$E,SSP2_Baseline!$C:$C,Results_list!$C$277,SSP2_Baseline!$D:$D,Results_list!$D278,SSP2_Baseline!$B:$B,2025))) / (SUMIFS(SSP2_Baseline!$E:$E,SSP2_Baseline!$C:$C,Results_list!$C$277,SSP2_Baseline!$D:$D,Results_list!$D278,SSP2_Baseline!$B:$B,2025))</f>
        <v>-0.14473975793485699</v>
      </c>
      <c r="K278" s="16">
        <f>((SUMIFS(SSP2_VSI!$F:$F,SSP2_VSI!$C:$C,Results_list!$C$277,SSP2_VSI!$D:$D,Results_list!$D278,SSP2_VSI!$B:$B,2040)) - (SUMIFS(SSP2_VSI!$F:$F,SSP2_VSI!$C:$C,Results_list!$C$277,SSP2_VSI!$D:$D,Results_list!$D278,SSP2_VSI!$B:$B,2025))) / (SUMIFS(SSP2_VSI!$F:$F,SSP2_VSI!$C:$C,Results_list!$C$277,SSP2_VSI!$D:$D,Results_list!$D278,SSP2_VSI!$B:$B,2025))</f>
        <v>-0.14477501282773533</v>
      </c>
      <c r="L278" s="13">
        <f t="shared" ref="L278:L294" si="40">ROUND(K278-J278,2)</f>
        <v>0</v>
      </c>
      <c r="M278" s="12">
        <f>((SUMIFS(SSP5_Baseline!$E:$E,SSP5_Baseline!$C:$C,Results_list!$C$277,SSP5_Baseline!$D:$D,Results_list!$D278,SSP5_Baseline!$B:$B,2040)) - (SUMIFS(SSP5_Baseline!$E:$E,SSP5_Baseline!$C:$C,Results_list!$C$277,SSP5_Baseline!$D:$D,Results_list!$D278,SSP5_Baseline!$B:$B,2025))) / (SUMIFS(SSP5_Baseline!$E:$E,SSP5_Baseline!$C:$C,Results_list!$C$277,SSP5_Baseline!$D:$D,Results_list!$D278,SSP5_Baseline!$B:$B,2025))</f>
        <v>-6.5021212998963171E-2</v>
      </c>
      <c r="N278" s="16">
        <f>((SUMIFS(SSP5_VSI!$F:$F,SSP5_VSI!$C:$C,Results_list!$C$277,SSP5_VSI!$D:$D,Results_list!$D278,SSP5_VSI!$B:$B,2040)) - (SUMIFS(SSP5_VSI!$F:$F,SSP5_VSI!$C:$C,Results_list!$C$277,SSP5_VSI!$D:$D,Results_list!$D278,SSP5_VSI!$B:$B,2025))) / (SUMIFS(SSP5_VSI!$F:$F,SSP5_VSI!$C:$C,Results_list!$C$277,SSP5_VSI!$D:$D,Results_list!$D278,SSP5_VSI!$B:$B,2025))</f>
        <v>-6.50826518067327E-2</v>
      </c>
      <c r="O278" s="13">
        <f t="shared" ref="O278:O294" si="41">ROUND(N278-M278,2)</f>
        <v>0</v>
      </c>
    </row>
    <row r="279" spans="2:15" x14ac:dyDescent="0.35">
      <c r="B279" s="83"/>
      <c r="C279" s="85"/>
      <c r="D279" t="s">
        <v>41</v>
      </c>
      <c r="F279" s="3" t="s">
        <v>89</v>
      </c>
      <c r="G279" s="12">
        <f>((SUMIFS(SSP1_Baseline!$E:$E,SSP1_Baseline!$C:$C,Results_list!$C$277,SSP1_Baseline!$D:$D,Results_list!$D279,SSP1_Baseline!$B:$B,2040)) - (SUMIFS(SSP1_Baseline!$E:$E,SSP1_Baseline!$C:$C,Results_list!$C$277,SSP1_Baseline!$D:$D,Results_list!$D279,SSP1_Baseline!$B:$B,2025))) / (SUMIFS(SSP1_Baseline!$E:$E,SSP1_Baseline!$C:$C,Results_list!$C$277,SSP1_Baseline!$D:$D,Results_list!$D279,SSP1_Baseline!$B:$B,2025))</f>
        <v>-8.4779705979924194E-2</v>
      </c>
      <c r="H279" s="16">
        <f>((SUMIFS(SSP1_VSI!$F:$F,SSP1_VSI!$C:$C,Results_list!$C$277,SSP1_VSI!$D:$D,Results_list!$D279,SSP1_VSI!$B:$B,2040)) - (SUMIFS(SSP1_VSI!$F:$F,SSP1_VSI!$C:$C,Results_list!$C$277,SSP1_VSI!$D:$D,Results_list!$D279,SSP1_VSI!$B:$B,2025))) / (SUMIFS(SSP1_VSI!$F:$F,SSP1_VSI!$C:$C,Results_list!$C$277,SSP1_VSI!$D:$D,Results_list!$D279,SSP1_VSI!$B:$B,2025))</f>
        <v>-8.4866036983491114E-2</v>
      </c>
      <c r="I279" s="13">
        <f t="shared" si="39"/>
        <v>0</v>
      </c>
      <c r="J279" s="12">
        <f>((SUMIFS(SSP2_Baseline!$E:$E,SSP2_Baseline!$C:$C,Results_list!$C$277,SSP2_Baseline!$D:$D,Results_list!$D279,SSP2_Baseline!$B:$B,2040)) - (SUMIFS(SSP2_Baseline!$E:$E,SSP2_Baseline!$C:$C,Results_list!$C$277,SSP2_Baseline!$D:$D,Results_list!$D279,SSP2_Baseline!$B:$B,2025))) / (SUMIFS(SSP2_Baseline!$E:$E,SSP2_Baseline!$C:$C,Results_list!$C$277,SSP2_Baseline!$D:$D,Results_list!$D279,SSP2_Baseline!$B:$B,2025))</f>
        <v>-7.3604147026820263E-2</v>
      </c>
      <c r="K279" s="16">
        <f>((SUMIFS(SSP2_VSI!$F:$F,SSP2_VSI!$C:$C,Results_list!$C$277,SSP2_VSI!$D:$D,Results_list!$D279,SSP2_VSI!$B:$B,2040)) - (SUMIFS(SSP2_VSI!$F:$F,SSP2_VSI!$C:$C,Results_list!$C$277,SSP2_VSI!$D:$D,Results_list!$D279,SSP2_VSI!$B:$B,2025))) / (SUMIFS(SSP2_VSI!$F:$F,SSP2_VSI!$C:$C,Results_list!$C$277,SSP2_VSI!$D:$D,Results_list!$D279,SSP2_VSI!$B:$B,2025))</f>
        <v>-7.3600848321677334E-2</v>
      </c>
      <c r="L279" s="13">
        <f t="shared" si="40"/>
        <v>0</v>
      </c>
      <c r="M279" s="12">
        <f>((SUMIFS(SSP5_Baseline!$E:$E,SSP5_Baseline!$C:$C,Results_list!$C$277,SSP5_Baseline!$D:$D,Results_list!$D279,SSP5_Baseline!$B:$B,2040)) - (SUMIFS(SSP5_Baseline!$E:$E,SSP5_Baseline!$C:$C,Results_list!$C$277,SSP5_Baseline!$D:$D,Results_list!$D279,SSP5_Baseline!$B:$B,2025))) / (SUMIFS(SSP5_Baseline!$E:$E,SSP5_Baseline!$C:$C,Results_list!$C$277,SSP5_Baseline!$D:$D,Results_list!$D279,SSP5_Baseline!$B:$B,2025))</f>
        <v>-4.34660502391888E-2</v>
      </c>
      <c r="N279" s="16">
        <f>((SUMIFS(SSP5_VSI!$F:$F,SSP5_VSI!$C:$C,Results_list!$C$277,SSP5_VSI!$D:$D,Results_list!$D279,SSP5_VSI!$B:$B,2040)) - (SUMIFS(SSP5_VSI!$F:$F,SSP5_VSI!$C:$C,Results_list!$C$277,SSP5_VSI!$D:$D,Results_list!$D279,SSP5_VSI!$B:$B,2025))) / (SUMIFS(SSP5_VSI!$F:$F,SSP5_VSI!$C:$C,Results_list!$C$277,SSP5_VSI!$D:$D,Results_list!$D279,SSP5_VSI!$B:$B,2025))</f>
        <v>-4.3517364313795569E-2</v>
      </c>
      <c r="O279" s="13">
        <f t="shared" si="41"/>
        <v>0</v>
      </c>
    </row>
    <row r="280" spans="2:15" x14ac:dyDescent="0.35">
      <c r="B280" s="83"/>
      <c r="C280" s="85"/>
      <c r="D280" t="s">
        <v>42</v>
      </c>
      <c r="F280" s="3" t="s">
        <v>90</v>
      </c>
      <c r="G280" s="12">
        <f>((SUMIFS(SSP1_Baseline!$E:$E,SSP1_Baseline!$C:$C,Results_list!$C$277,SSP1_Baseline!$D:$D,Results_list!$D280,SSP1_Baseline!$B:$B,2040)) - (SUMIFS(SSP1_Baseline!$E:$E,SSP1_Baseline!$C:$C,Results_list!$C$277,SSP1_Baseline!$D:$D,Results_list!$D280,SSP1_Baseline!$B:$B,2025))) / (SUMIFS(SSP1_Baseline!$E:$E,SSP1_Baseline!$C:$C,Results_list!$C$277,SSP1_Baseline!$D:$D,Results_list!$D280,SSP1_Baseline!$B:$B,2025))</f>
        <v>-4.4286424113477198E-2</v>
      </c>
      <c r="H280" s="16">
        <f>((SUMIFS(SSP1_VSI!$F:$F,SSP1_VSI!$C:$C,Results_list!$C$277,SSP1_VSI!$D:$D,Results_list!$D280,SSP1_VSI!$B:$B,2040)) - (SUMIFS(SSP1_VSI!$F:$F,SSP1_VSI!$C:$C,Results_list!$C$277,SSP1_VSI!$D:$D,Results_list!$D280,SSP1_VSI!$B:$B,2025))) / (SUMIFS(SSP1_VSI!$F:$F,SSP1_VSI!$C:$C,Results_list!$C$277,SSP1_VSI!$D:$D,Results_list!$D280,SSP1_VSI!$B:$B,2025))</f>
        <v>-4.4266987448491474E-2</v>
      </c>
      <c r="I280" s="13">
        <f t="shared" si="39"/>
        <v>0</v>
      </c>
      <c r="J280" s="12">
        <f>((SUMIFS(SSP2_Baseline!$E:$E,SSP2_Baseline!$C:$C,Results_list!$C$277,SSP2_Baseline!$D:$D,Results_list!$D280,SSP2_Baseline!$B:$B,2040)) - (SUMIFS(SSP2_Baseline!$E:$E,SSP2_Baseline!$C:$C,Results_list!$C$277,SSP2_Baseline!$D:$D,Results_list!$D280,SSP2_Baseline!$B:$B,2025))) / (SUMIFS(SSP2_Baseline!$E:$E,SSP2_Baseline!$C:$C,Results_list!$C$277,SSP2_Baseline!$D:$D,Results_list!$D280,SSP2_Baseline!$B:$B,2025))</f>
        <v>-1.9884496304490282E-2</v>
      </c>
      <c r="K280" s="16">
        <f>((SUMIFS(SSP2_VSI!$F:$F,SSP2_VSI!$C:$C,Results_list!$C$277,SSP2_VSI!$D:$D,Results_list!$D280,SSP2_VSI!$B:$B,2040)) - (SUMIFS(SSP2_VSI!$F:$F,SSP2_VSI!$C:$C,Results_list!$C$277,SSP2_VSI!$D:$D,Results_list!$D280,SSP2_VSI!$B:$B,2025))) / (SUMIFS(SSP2_VSI!$F:$F,SSP2_VSI!$C:$C,Results_list!$C$277,SSP2_VSI!$D:$D,Results_list!$D280,SSP2_VSI!$B:$B,2025))</f>
        <v>-1.9878389796395626E-2</v>
      </c>
      <c r="L280" s="13">
        <f t="shared" si="40"/>
        <v>0</v>
      </c>
      <c r="M280" s="12">
        <f>((SUMIFS(SSP5_Baseline!$E:$E,SSP5_Baseline!$C:$C,Results_list!$C$277,SSP5_Baseline!$D:$D,Results_list!$D280,SSP5_Baseline!$B:$B,2040)) - (SUMIFS(SSP5_Baseline!$E:$E,SSP5_Baseline!$C:$C,Results_list!$C$277,SSP5_Baseline!$D:$D,Results_list!$D280,SSP5_Baseline!$B:$B,2025))) / (SUMIFS(SSP5_Baseline!$E:$E,SSP5_Baseline!$C:$C,Results_list!$C$277,SSP5_Baseline!$D:$D,Results_list!$D280,SSP5_Baseline!$B:$B,2025))</f>
        <v>5.5872163186667836E-2</v>
      </c>
      <c r="N280" s="16">
        <f>((SUMIFS(SSP5_VSI!$F:$F,SSP5_VSI!$C:$C,Results_list!$C$277,SSP5_VSI!$D:$D,Results_list!$D280,SSP5_VSI!$B:$B,2040)) - (SUMIFS(SSP5_VSI!$F:$F,SSP5_VSI!$C:$C,Results_list!$C$277,SSP5_VSI!$D:$D,Results_list!$D280,SSP5_VSI!$B:$B,2025))) / (SUMIFS(SSP5_VSI!$F:$F,SSP5_VSI!$C:$C,Results_list!$C$277,SSP5_VSI!$D:$D,Results_list!$D280,SSP5_VSI!$B:$B,2025))</f>
        <v>5.5978919203761676E-2</v>
      </c>
      <c r="O280" s="13">
        <f t="shared" si="41"/>
        <v>0</v>
      </c>
    </row>
    <row r="281" spans="2:15" x14ac:dyDescent="0.35">
      <c r="B281" s="83"/>
      <c r="C281" s="85"/>
      <c r="D281" t="s">
        <v>43</v>
      </c>
      <c r="F281" s="3" t="s">
        <v>91</v>
      </c>
      <c r="G281" s="12">
        <f>((SUMIFS(SSP1_Baseline!$E:$E,SSP1_Baseline!$C:$C,Results_list!$C$277,SSP1_Baseline!$D:$D,Results_list!$D281,SSP1_Baseline!$B:$B,2040)) - (SUMIFS(SSP1_Baseline!$E:$E,SSP1_Baseline!$C:$C,Results_list!$C$277,SSP1_Baseline!$D:$D,Results_list!$D281,SSP1_Baseline!$B:$B,2025))) / (SUMIFS(SSP1_Baseline!$E:$E,SSP1_Baseline!$C:$C,Results_list!$C$277,SSP1_Baseline!$D:$D,Results_list!$D281,SSP1_Baseline!$B:$B,2025))</f>
        <v>-4.9520715131353303E-2</v>
      </c>
      <c r="H281" s="16">
        <f>((SUMIFS(SSP1_VSI!$F:$F,SSP1_VSI!$C:$C,Results_list!$C$277,SSP1_VSI!$D:$D,Results_list!$D281,SSP1_VSI!$B:$B,2040)) - (SUMIFS(SSP1_VSI!$F:$F,SSP1_VSI!$C:$C,Results_list!$C$277,SSP1_VSI!$D:$D,Results_list!$D281,SSP1_VSI!$B:$B,2025))) / (SUMIFS(SSP1_VSI!$F:$F,SSP1_VSI!$C:$C,Results_list!$C$277,SSP1_VSI!$D:$D,Results_list!$D281,SSP1_VSI!$B:$B,2025))</f>
        <v>-4.9537529829066618E-2</v>
      </c>
      <c r="I281" s="13">
        <f t="shared" si="39"/>
        <v>0</v>
      </c>
      <c r="J281" s="12">
        <f>((SUMIFS(SSP2_Baseline!$E:$E,SSP2_Baseline!$C:$C,Results_list!$C$277,SSP2_Baseline!$D:$D,Results_list!$D281,SSP2_Baseline!$B:$B,2040)) - (SUMIFS(SSP2_Baseline!$E:$E,SSP2_Baseline!$C:$C,Results_list!$C$277,SSP2_Baseline!$D:$D,Results_list!$D281,SSP2_Baseline!$B:$B,2025))) / (SUMIFS(SSP2_Baseline!$E:$E,SSP2_Baseline!$C:$C,Results_list!$C$277,SSP2_Baseline!$D:$D,Results_list!$D281,SSP2_Baseline!$B:$B,2025))</f>
        <v>5.9268455722604621E-3</v>
      </c>
      <c r="K281" s="16">
        <f>((SUMIFS(SSP2_VSI!$F:$F,SSP2_VSI!$C:$C,Results_list!$C$277,SSP2_VSI!$D:$D,Results_list!$D281,SSP2_VSI!$B:$B,2040)) - (SUMIFS(SSP2_VSI!$F:$F,SSP2_VSI!$C:$C,Results_list!$C$277,SSP2_VSI!$D:$D,Results_list!$D281,SSP2_VSI!$B:$B,2025))) / (SUMIFS(SSP2_VSI!$F:$F,SSP2_VSI!$C:$C,Results_list!$C$277,SSP2_VSI!$D:$D,Results_list!$D281,SSP2_VSI!$B:$B,2025))</f>
        <v>5.9349672356282905E-3</v>
      </c>
      <c r="L281" s="13">
        <f t="shared" si="40"/>
        <v>0</v>
      </c>
      <c r="M281" s="12">
        <f>((SUMIFS(SSP5_Baseline!$E:$E,SSP5_Baseline!$C:$C,Results_list!$C$277,SSP5_Baseline!$D:$D,Results_list!$D281,SSP5_Baseline!$B:$B,2040)) - (SUMIFS(SSP5_Baseline!$E:$E,SSP5_Baseline!$C:$C,Results_list!$C$277,SSP5_Baseline!$D:$D,Results_list!$D281,SSP5_Baseline!$B:$B,2025))) / (SUMIFS(SSP5_Baseline!$E:$E,SSP5_Baseline!$C:$C,Results_list!$C$277,SSP5_Baseline!$D:$D,Results_list!$D281,SSP5_Baseline!$B:$B,2025))</f>
        <v>3.0457509037708639E-2</v>
      </c>
      <c r="N281" s="16">
        <f>((SUMIFS(SSP5_VSI!$F:$F,SSP5_VSI!$C:$C,Results_list!$C$277,SSP5_VSI!$D:$D,Results_list!$D281,SSP5_VSI!$B:$B,2040)) - (SUMIFS(SSP5_VSI!$F:$F,SSP5_VSI!$C:$C,Results_list!$C$277,SSP5_VSI!$D:$D,Results_list!$D281,SSP5_VSI!$B:$B,2025))) / (SUMIFS(SSP5_VSI!$F:$F,SSP5_VSI!$C:$C,Results_list!$C$277,SSP5_VSI!$D:$D,Results_list!$D281,SSP5_VSI!$B:$B,2025))</f>
        <v>3.0449822484350065E-2</v>
      </c>
      <c r="O281" s="13">
        <f t="shared" si="41"/>
        <v>0</v>
      </c>
    </row>
    <row r="282" spans="2:15" x14ac:dyDescent="0.35">
      <c r="B282" s="83"/>
      <c r="C282" s="85"/>
      <c r="D282" t="s">
        <v>136</v>
      </c>
      <c r="F282" s="3" t="s">
        <v>92</v>
      </c>
      <c r="G282" s="12">
        <f>((SUMIFS(SSP1_Baseline!$E:$E,SSP1_Baseline!$C:$C,Results_list!$C$277,SSP1_Baseline!$D:$D,Results_list!$D282,SSP1_Baseline!$B:$B,2040)) - (SUMIFS(SSP1_Baseline!$E:$E,SSP1_Baseline!$C:$C,Results_list!$C$277,SSP1_Baseline!$D:$D,Results_list!$D282,SSP1_Baseline!$B:$B,2025))) / (SUMIFS(SSP1_Baseline!$E:$E,SSP1_Baseline!$C:$C,Results_list!$C$277,SSP1_Baseline!$D:$D,Results_list!$D282,SSP1_Baseline!$B:$B,2025))</f>
        <v>-0.16063694172307416</v>
      </c>
      <c r="H282" s="16">
        <f>((SUMIFS(SSP1_VSI!$F:$F,SSP1_VSI!$C:$C,Results_list!$C$277,SSP1_VSI!$D:$D,Results_list!$D282,SSP1_VSI!$B:$B,2040)) - (SUMIFS(SSP1_VSI!$F:$F,SSP1_VSI!$C:$C,Results_list!$C$277,SSP1_VSI!$D:$D,Results_list!$D282,SSP1_VSI!$B:$B,2025))) / (SUMIFS(SSP1_VSI!$F:$F,SSP1_VSI!$C:$C,Results_list!$C$277,SSP1_VSI!$D:$D,Results_list!$D282,SSP1_VSI!$B:$B,2025))</f>
        <v>-0.16074225056447458</v>
      </c>
      <c r="I282" s="13">
        <f t="shared" si="39"/>
        <v>0</v>
      </c>
      <c r="J282" s="12">
        <f>((SUMIFS(SSP2_Baseline!$E:$E,SSP2_Baseline!$C:$C,Results_list!$C$277,SSP2_Baseline!$D:$D,Results_list!$D282,SSP2_Baseline!$B:$B,2040)) - (SUMIFS(SSP2_Baseline!$E:$E,SSP2_Baseline!$C:$C,Results_list!$C$277,SSP2_Baseline!$D:$D,Results_list!$D282,SSP2_Baseline!$B:$B,2025))) / (SUMIFS(SSP2_Baseline!$E:$E,SSP2_Baseline!$C:$C,Results_list!$C$277,SSP2_Baseline!$D:$D,Results_list!$D282,SSP2_Baseline!$B:$B,2025))</f>
        <v>-0.11856844683192436</v>
      </c>
      <c r="K282" s="16">
        <f>((SUMIFS(SSP2_VSI!$F:$F,SSP2_VSI!$C:$C,Results_list!$C$277,SSP2_VSI!$D:$D,Results_list!$D282,SSP2_VSI!$B:$B,2040)) - (SUMIFS(SSP2_VSI!$F:$F,SSP2_VSI!$C:$C,Results_list!$C$277,SSP2_VSI!$D:$D,Results_list!$D282,SSP2_VSI!$B:$B,2025))) / (SUMIFS(SSP2_VSI!$F:$F,SSP2_VSI!$C:$C,Results_list!$C$277,SSP2_VSI!$D:$D,Results_list!$D282,SSP2_VSI!$B:$B,2025))</f>
        <v>-0.11855329958533493</v>
      </c>
      <c r="L282" s="13">
        <f t="shared" si="40"/>
        <v>0</v>
      </c>
      <c r="M282" s="12">
        <f>((SUMIFS(SSP5_Baseline!$E:$E,SSP5_Baseline!$C:$C,Results_list!$C$277,SSP5_Baseline!$D:$D,Results_list!$D282,SSP5_Baseline!$B:$B,2040)) - (SUMIFS(SSP5_Baseline!$E:$E,SSP5_Baseline!$C:$C,Results_list!$C$277,SSP5_Baseline!$D:$D,Results_list!$D282,SSP5_Baseline!$B:$B,2025))) / (SUMIFS(SSP5_Baseline!$E:$E,SSP5_Baseline!$C:$C,Results_list!$C$277,SSP5_Baseline!$D:$D,Results_list!$D282,SSP5_Baseline!$B:$B,2025))</f>
        <v>-7.805622198016917E-3</v>
      </c>
      <c r="N282" s="16">
        <f>((SUMIFS(SSP5_VSI!$F:$F,SSP5_VSI!$C:$C,Results_list!$C$277,SSP5_VSI!$D:$D,Results_list!$D282,SSP5_VSI!$B:$B,2040)) - (SUMIFS(SSP5_VSI!$F:$F,SSP5_VSI!$C:$C,Results_list!$C$277,SSP5_VSI!$D:$D,Results_list!$D282,SSP5_VSI!$B:$B,2025))) / (SUMIFS(SSP5_VSI!$F:$F,SSP5_VSI!$C:$C,Results_list!$C$277,SSP5_VSI!$D:$D,Results_list!$D282,SSP5_VSI!$B:$B,2025))</f>
        <v>-7.7726923635468232E-3</v>
      </c>
      <c r="O282" s="13">
        <f t="shared" si="41"/>
        <v>0</v>
      </c>
    </row>
    <row r="283" spans="2:15" x14ac:dyDescent="0.35">
      <c r="B283" s="83"/>
      <c r="C283" s="85"/>
      <c r="D283" t="s">
        <v>45</v>
      </c>
      <c r="F283" s="3" t="s">
        <v>93</v>
      </c>
      <c r="G283" s="12">
        <f>((SUMIFS(SSP1_Baseline!$E:$E,SSP1_Baseline!$C:$C,Results_list!$C$277,SSP1_Baseline!$D:$D,Results_list!$D283,SSP1_Baseline!$B:$B,2040)) - (SUMIFS(SSP1_Baseline!$E:$E,SSP1_Baseline!$C:$C,Results_list!$C$277,SSP1_Baseline!$D:$D,Results_list!$D283,SSP1_Baseline!$B:$B,2025))) / (SUMIFS(SSP1_Baseline!$E:$E,SSP1_Baseline!$C:$C,Results_list!$C$277,SSP1_Baseline!$D:$D,Results_list!$D283,SSP1_Baseline!$B:$B,2025))</f>
        <v>-0.13235640445126437</v>
      </c>
      <c r="H283" s="16">
        <f>((SUMIFS(SSP1_VSI!$F:$F,SSP1_VSI!$C:$C,Results_list!$C$277,SSP1_VSI!$D:$D,Results_list!$D283,SSP1_VSI!$B:$B,2040)) - (SUMIFS(SSP1_VSI!$F:$F,SSP1_VSI!$C:$C,Results_list!$C$277,SSP1_VSI!$D:$D,Results_list!$D283,SSP1_VSI!$B:$B,2025))) / (SUMIFS(SSP1_VSI!$F:$F,SSP1_VSI!$C:$C,Results_list!$C$277,SSP1_VSI!$D:$D,Results_list!$D283,SSP1_VSI!$B:$B,2025))</f>
        <v>-0.13234474384003936</v>
      </c>
      <c r="I283" s="13">
        <f t="shared" si="39"/>
        <v>0</v>
      </c>
      <c r="J283" s="12">
        <f>((SUMIFS(SSP2_Baseline!$E:$E,SSP2_Baseline!$C:$C,Results_list!$C$277,SSP2_Baseline!$D:$D,Results_list!$D283,SSP2_Baseline!$B:$B,2040)) - (SUMIFS(SSP2_Baseline!$E:$E,SSP2_Baseline!$C:$C,Results_list!$C$277,SSP2_Baseline!$D:$D,Results_list!$D283,SSP2_Baseline!$B:$B,2025))) / (SUMIFS(SSP2_Baseline!$E:$E,SSP2_Baseline!$C:$C,Results_list!$C$277,SSP2_Baseline!$D:$D,Results_list!$D283,SSP2_Baseline!$B:$B,2025))</f>
        <v>-0.12046018464823843</v>
      </c>
      <c r="K283" s="16">
        <f>((SUMIFS(SSP2_VSI!$F:$F,SSP2_VSI!$C:$C,Results_list!$C$277,SSP2_VSI!$D:$D,Results_list!$D283,SSP2_VSI!$B:$B,2040)) - (SUMIFS(SSP2_VSI!$F:$F,SSP2_VSI!$C:$C,Results_list!$C$277,SSP2_VSI!$D:$D,Results_list!$D283,SSP2_VSI!$B:$B,2025))) / (SUMIFS(SSP2_VSI!$F:$F,SSP2_VSI!$C:$C,Results_list!$C$277,SSP2_VSI!$D:$D,Results_list!$D283,SSP2_VSI!$B:$B,2025))</f>
        <v>-0.12030759138828494</v>
      </c>
      <c r="L283" s="13">
        <f t="shared" si="40"/>
        <v>0</v>
      </c>
      <c r="M283" s="12">
        <f>((SUMIFS(SSP5_Baseline!$E:$E,SSP5_Baseline!$C:$C,Results_list!$C$277,SSP5_Baseline!$D:$D,Results_list!$D283,SSP5_Baseline!$B:$B,2040)) - (SUMIFS(SSP5_Baseline!$E:$E,SSP5_Baseline!$C:$C,Results_list!$C$277,SSP5_Baseline!$D:$D,Results_list!$D283,SSP5_Baseline!$B:$B,2025))) / (SUMIFS(SSP5_Baseline!$E:$E,SSP5_Baseline!$C:$C,Results_list!$C$277,SSP5_Baseline!$D:$D,Results_list!$D283,SSP5_Baseline!$B:$B,2025))</f>
        <v>-0.10731330649829497</v>
      </c>
      <c r="N283" s="16">
        <f>((SUMIFS(SSP5_VSI!$F:$F,SSP5_VSI!$C:$C,Results_list!$C$277,SSP5_VSI!$D:$D,Results_list!$D283,SSP5_VSI!$B:$B,2040)) - (SUMIFS(SSP5_VSI!$F:$F,SSP5_VSI!$C:$C,Results_list!$C$277,SSP5_VSI!$D:$D,Results_list!$D283,SSP5_VSI!$B:$B,2025))) / (SUMIFS(SSP5_VSI!$F:$F,SSP5_VSI!$C:$C,Results_list!$C$277,SSP5_VSI!$D:$D,Results_list!$D283,SSP5_VSI!$B:$B,2025))</f>
        <v>-0.1073172134024913</v>
      </c>
      <c r="O283" s="13">
        <f t="shared" si="41"/>
        <v>0</v>
      </c>
    </row>
    <row r="284" spans="2:15" x14ac:dyDescent="0.35">
      <c r="B284" s="83"/>
      <c r="C284" s="85"/>
      <c r="D284" t="s">
        <v>46</v>
      </c>
      <c r="F284" s="3" t="s">
        <v>94</v>
      </c>
      <c r="G284" s="12">
        <f>((SUMIFS(SSP1_Baseline!$E:$E,SSP1_Baseline!$C:$C,Results_list!$C$277,SSP1_Baseline!$D:$D,Results_list!$D284,SSP1_Baseline!$B:$B,2040)) - (SUMIFS(SSP1_Baseline!$E:$E,SSP1_Baseline!$C:$C,Results_list!$C$277,SSP1_Baseline!$D:$D,Results_list!$D284,SSP1_Baseline!$B:$B,2025))) / (SUMIFS(SSP1_Baseline!$E:$E,SSP1_Baseline!$C:$C,Results_list!$C$277,SSP1_Baseline!$D:$D,Results_list!$D284,SSP1_Baseline!$B:$B,2025))</f>
        <v>0.51704431470808554</v>
      </c>
      <c r="H284" s="16">
        <f>((SUMIFS(SSP1_VSI!$F:$F,SSP1_VSI!$C:$C,Results_list!$C$277,SSP1_VSI!$D:$D,Results_list!$D284,SSP1_VSI!$B:$B,2040)) - (SUMIFS(SSP1_VSI!$F:$F,SSP1_VSI!$C:$C,Results_list!$C$277,SSP1_VSI!$D:$D,Results_list!$D284,SSP1_VSI!$B:$B,2025))) / (SUMIFS(SSP1_VSI!$F:$F,SSP1_VSI!$C:$C,Results_list!$C$277,SSP1_VSI!$D:$D,Results_list!$D284,SSP1_VSI!$B:$B,2025))</f>
        <v>0.51704316022049857</v>
      </c>
      <c r="I284" s="13">
        <f t="shared" si="39"/>
        <v>0</v>
      </c>
      <c r="J284" s="12">
        <f>((SUMIFS(SSP2_Baseline!$E:$E,SSP2_Baseline!$C:$C,Results_list!$C$277,SSP2_Baseline!$D:$D,Results_list!$D284,SSP2_Baseline!$B:$B,2040)) - (SUMIFS(SSP2_Baseline!$E:$E,SSP2_Baseline!$C:$C,Results_list!$C$277,SSP2_Baseline!$D:$D,Results_list!$D284,SSP2_Baseline!$B:$B,2025))) / (SUMIFS(SSP2_Baseline!$E:$E,SSP2_Baseline!$C:$C,Results_list!$C$277,SSP2_Baseline!$D:$D,Results_list!$D284,SSP2_Baseline!$B:$B,2025))</f>
        <v>1.3696802602336902</v>
      </c>
      <c r="K284" s="16">
        <f>((SUMIFS(SSP2_VSI!$F:$F,SSP2_VSI!$C:$C,Results_list!$C$277,SSP2_VSI!$D:$D,Results_list!$D284,SSP2_VSI!$B:$B,2040)) - (SUMIFS(SSP2_VSI!$F:$F,SSP2_VSI!$C:$C,Results_list!$C$277,SSP2_VSI!$D:$D,Results_list!$D284,SSP2_VSI!$B:$B,2025))) / (SUMIFS(SSP2_VSI!$F:$F,SSP2_VSI!$C:$C,Results_list!$C$277,SSP2_VSI!$D:$D,Results_list!$D284,SSP2_VSI!$B:$B,2025))</f>
        <v>1.3696070197828309</v>
      </c>
      <c r="L284" s="13">
        <f t="shared" si="40"/>
        <v>0</v>
      </c>
      <c r="M284" s="12">
        <f>((SUMIFS(SSP5_Baseline!$E:$E,SSP5_Baseline!$C:$C,Results_list!$C$277,SSP5_Baseline!$D:$D,Results_list!$D284,SSP5_Baseline!$B:$B,2040)) - (SUMIFS(SSP5_Baseline!$E:$E,SSP5_Baseline!$C:$C,Results_list!$C$277,SSP5_Baseline!$D:$D,Results_list!$D284,SSP5_Baseline!$B:$B,2025))) / (SUMIFS(SSP5_Baseline!$E:$E,SSP5_Baseline!$C:$C,Results_list!$C$277,SSP5_Baseline!$D:$D,Results_list!$D284,SSP5_Baseline!$B:$B,2025))</f>
        <v>1.2567637929376845</v>
      </c>
      <c r="N284" s="16">
        <f>((SUMIFS(SSP5_VSI!$F:$F,SSP5_VSI!$C:$C,Results_list!$C$277,SSP5_VSI!$D:$D,Results_list!$D284,SSP5_VSI!$B:$B,2040)) - (SUMIFS(SSP5_VSI!$F:$F,SSP5_VSI!$C:$C,Results_list!$C$277,SSP5_VSI!$D:$D,Results_list!$D284,SSP5_VSI!$B:$B,2025))) / (SUMIFS(SSP5_VSI!$F:$F,SSP5_VSI!$C:$C,Results_list!$C$277,SSP5_VSI!$D:$D,Results_list!$D284,SSP5_VSI!$B:$B,2025))</f>
        <v>1.2567571108387807</v>
      </c>
      <c r="O284" s="13">
        <f t="shared" si="41"/>
        <v>0</v>
      </c>
    </row>
    <row r="285" spans="2:15" x14ac:dyDescent="0.35">
      <c r="B285" s="83"/>
      <c r="C285" s="85"/>
      <c r="D285" t="s">
        <v>47</v>
      </c>
      <c r="F285" s="3" t="s">
        <v>95</v>
      </c>
      <c r="G285" s="12">
        <f>((SUMIFS(SSP1_Baseline!$E:$E,SSP1_Baseline!$C:$C,Results_list!$C$277,SSP1_Baseline!$D:$D,Results_list!$D285,SSP1_Baseline!$B:$B,2040)) - (SUMIFS(SSP1_Baseline!$E:$E,SSP1_Baseline!$C:$C,Results_list!$C$277,SSP1_Baseline!$D:$D,Results_list!$D285,SSP1_Baseline!$B:$B,2025))) / (SUMIFS(SSP1_Baseline!$E:$E,SSP1_Baseline!$C:$C,Results_list!$C$277,SSP1_Baseline!$D:$D,Results_list!$D285,SSP1_Baseline!$B:$B,2025))</f>
        <v>-4.8830900817991629E-2</v>
      </c>
      <c r="H285" s="16">
        <f>((SUMIFS(SSP1_VSI!$F:$F,SSP1_VSI!$C:$C,Results_list!$C$277,SSP1_VSI!$D:$D,Results_list!$D285,SSP1_VSI!$B:$B,2040)) - (SUMIFS(SSP1_VSI!$F:$F,SSP1_VSI!$C:$C,Results_list!$C$277,SSP1_VSI!$D:$D,Results_list!$D285,SSP1_VSI!$B:$B,2025))) / (SUMIFS(SSP1_VSI!$F:$F,SSP1_VSI!$C:$C,Results_list!$C$277,SSP1_VSI!$D:$D,Results_list!$D285,SSP1_VSI!$B:$B,2025))</f>
        <v>-4.8798049281450269E-2</v>
      </c>
      <c r="I285" s="13">
        <f t="shared" si="39"/>
        <v>0</v>
      </c>
      <c r="J285" s="12">
        <f>((SUMIFS(SSP2_Baseline!$E:$E,SSP2_Baseline!$C:$C,Results_list!$C$277,SSP2_Baseline!$D:$D,Results_list!$D285,SSP2_Baseline!$B:$B,2040)) - (SUMIFS(SSP2_Baseline!$E:$E,SSP2_Baseline!$C:$C,Results_list!$C$277,SSP2_Baseline!$D:$D,Results_list!$D285,SSP2_Baseline!$B:$B,2025))) / (SUMIFS(SSP2_Baseline!$E:$E,SSP2_Baseline!$C:$C,Results_list!$C$277,SSP2_Baseline!$D:$D,Results_list!$D285,SSP2_Baseline!$B:$B,2025))</f>
        <v>-2.2374961974750775E-2</v>
      </c>
      <c r="K285" s="16">
        <f>((SUMIFS(SSP2_VSI!$F:$F,SSP2_VSI!$C:$C,Results_list!$C$277,SSP2_VSI!$D:$D,Results_list!$D285,SSP2_VSI!$B:$B,2040)) - (SUMIFS(SSP2_VSI!$F:$F,SSP2_VSI!$C:$C,Results_list!$C$277,SSP2_VSI!$D:$D,Results_list!$D285,SSP2_VSI!$B:$B,2025))) / (SUMIFS(SSP2_VSI!$F:$F,SSP2_VSI!$C:$C,Results_list!$C$277,SSP2_VSI!$D:$D,Results_list!$D285,SSP2_VSI!$B:$B,2025))</f>
        <v>-2.2363394837810992E-2</v>
      </c>
      <c r="L285" s="13">
        <f t="shared" si="40"/>
        <v>0</v>
      </c>
      <c r="M285" s="12">
        <f>((SUMIFS(SSP5_Baseline!$E:$E,SSP5_Baseline!$C:$C,Results_list!$C$277,SSP5_Baseline!$D:$D,Results_list!$D285,SSP5_Baseline!$B:$B,2040)) - (SUMIFS(SSP5_Baseline!$E:$E,SSP5_Baseline!$C:$C,Results_list!$C$277,SSP5_Baseline!$D:$D,Results_list!$D285,SSP5_Baseline!$B:$B,2025))) / (SUMIFS(SSP5_Baseline!$E:$E,SSP5_Baseline!$C:$C,Results_list!$C$277,SSP5_Baseline!$D:$D,Results_list!$D285,SSP5_Baseline!$B:$B,2025))</f>
        <v>0.10082720055596663</v>
      </c>
      <c r="N285" s="16">
        <f>((SUMIFS(SSP5_VSI!$F:$F,SSP5_VSI!$C:$C,Results_list!$C$277,SSP5_VSI!$D:$D,Results_list!$D285,SSP5_VSI!$B:$B,2040)) - (SUMIFS(SSP5_VSI!$F:$F,SSP5_VSI!$C:$C,Results_list!$C$277,SSP5_VSI!$D:$D,Results_list!$D285,SSP5_VSI!$B:$B,2025))) / (SUMIFS(SSP5_VSI!$F:$F,SSP5_VSI!$C:$C,Results_list!$C$277,SSP5_VSI!$D:$D,Results_list!$D285,SSP5_VSI!$B:$B,2025))</f>
        <v>0.10099133187339189</v>
      </c>
      <c r="O285" s="13">
        <f t="shared" si="41"/>
        <v>0</v>
      </c>
    </row>
    <row r="286" spans="2:15" x14ac:dyDescent="0.35">
      <c r="B286" s="83"/>
      <c r="C286" s="85"/>
      <c r="D286" t="s">
        <v>48</v>
      </c>
      <c r="F286" s="3" t="s">
        <v>96</v>
      </c>
      <c r="G286" s="12">
        <f>((SUMIFS(SSP1_Baseline!$E:$E,SSP1_Baseline!$C:$C,Results_list!$C$277,SSP1_Baseline!$D:$D,Results_list!$D286,SSP1_Baseline!$B:$B,2040)) - (SUMIFS(SSP1_Baseline!$E:$E,SSP1_Baseline!$C:$C,Results_list!$C$277,SSP1_Baseline!$D:$D,Results_list!$D286,SSP1_Baseline!$B:$B,2025))) / (SUMIFS(SSP1_Baseline!$E:$E,SSP1_Baseline!$C:$C,Results_list!$C$277,SSP1_Baseline!$D:$D,Results_list!$D286,SSP1_Baseline!$B:$B,2025))</f>
        <v>2.9918618024985591E-2</v>
      </c>
      <c r="H286" s="16">
        <f>((SUMIFS(SSP1_VSI!$F:$F,SSP1_VSI!$C:$C,Results_list!$C$277,SSP1_VSI!$D:$D,Results_list!$D286,SSP1_VSI!$B:$B,2040)) - (SUMIFS(SSP1_VSI!$F:$F,SSP1_VSI!$C:$C,Results_list!$C$277,SSP1_VSI!$D:$D,Results_list!$D286,SSP1_VSI!$B:$B,2025))) / (SUMIFS(SSP1_VSI!$F:$F,SSP1_VSI!$C:$C,Results_list!$C$277,SSP1_VSI!$D:$D,Results_list!$D286,SSP1_VSI!$B:$B,2025))</f>
        <v>2.99223660027595E-2</v>
      </c>
      <c r="I286" s="13">
        <f t="shared" si="39"/>
        <v>0</v>
      </c>
      <c r="J286" s="12">
        <f>((SUMIFS(SSP2_Baseline!$E:$E,SSP2_Baseline!$C:$C,Results_list!$C$277,SSP2_Baseline!$D:$D,Results_list!$D286,SSP2_Baseline!$B:$B,2040)) - (SUMIFS(SSP2_Baseline!$E:$E,SSP2_Baseline!$C:$C,Results_list!$C$277,SSP2_Baseline!$D:$D,Results_list!$D286,SSP2_Baseline!$B:$B,2025))) / (SUMIFS(SSP2_Baseline!$E:$E,SSP2_Baseline!$C:$C,Results_list!$C$277,SSP2_Baseline!$D:$D,Results_list!$D286,SSP2_Baseline!$B:$B,2025))</f>
        <v>2.7894733621971798E-2</v>
      </c>
      <c r="K286" s="16">
        <f>((SUMIFS(SSP2_VSI!$F:$F,SSP2_VSI!$C:$C,Results_list!$C$277,SSP2_VSI!$D:$D,Results_list!$D286,SSP2_VSI!$B:$B,2040)) - (SUMIFS(SSP2_VSI!$F:$F,SSP2_VSI!$C:$C,Results_list!$C$277,SSP2_VSI!$D:$D,Results_list!$D286,SSP2_VSI!$B:$B,2025))) / (SUMIFS(SSP2_VSI!$F:$F,SSP2_VSI!$C:$C,Results_list!$C$277,SSP2_VSI!$D:$D,Results_list!$D286,SSP2_VSI!$B:$B,2025))</f>
        <v>2.7901350227927665E-2</v>
      </c>
      <c r="L286" s="13">
        <f t="shared" si="40"/>
        <v>0</v>
      </c>
      <c r="M286" s="12">
        <f>((SUMIFS(SSP5_Baseline!$E:$E,SSP5_Baseline!$C:$C,Results_list!$C$277,SSP5_Baseline!$D:$D,Results_list!$D286,SSP5_Baseline!$B:$B,2040)) - (SUMIFS(SSP5_Baseline!$E:$E,SSP5_Baseline!$C:$C,Results_list!$C$277,SSP5_Baseline!$D:$D,Results_list!$D286,SSP5_Baseline!$B:$B,2025))) / (SUMIFS(SSP5_Baseline!$E:$E,SSP5_Baseline!$C:$C,Results_list!$C$277,SSP5_Baseline!$D:$D,Results_list!$D286,SSP5_Baseline!$B:$B,2025))</f>
        <v>3.0724377319570093E-2</v>
      </c>
      <c r="N286" s="16">
        <f>((SUMIFS(SSP5_VSI!$F:$F,SSP5_VSI!$C:$C,Results_list!$C$277,SSP5_VSI!$D:$D,Results_list!$D286,SSP5_VSI!$B:$B,2040)) - (SUMIFS(SSP5_VSI!$F:$F,SSP5_VSI!$C:$C,Results_list!$C$277,SSP5_VSI!$D:$D,Results_list!$D286,SSP5_VSI!$B:$B,2025))) / (SUMIFS(SSP5_VSI!$F:$F,SSP5_VSI!$C:$C,Results_list!$C$277,SSP5_VSI!$D:$D,Results_list!$D286,SSP5_VSI!$B:$B,2025))</f>
        <v>3.0731417060972765E-2</v>
      </c>
      <c r="O286" s="13">
        <f t="shared" si="41"/>
        <v>0</v>
      </c>
    </row>
    <row r="287" spans="2:15" x14ac:dyDescent="0.35">
      <c r="B287" s="83"/>
      <c r="C287" s="85"/>
      <c r="D287" t="s">
        <v>49</v>
      </c>
      <c r="F287" s="3" t="s">
        <v>97</v>
      </c>
      <c r="G287" s="12">
        <f>((SUMIFS(SSP1_Baseline!$E:$E,SSP1_Baseline!$C:$C,Results_list!$C$277,SSP1_Baseline!$D:$D,Results_list!$D287,SSP1_Baseline!$B:$B,2040)) - (SUMIFS(SSP1_Baseline!$E:$E,SSP1_Baseline!$C:$C,Results_list!$C$277,SSP1_Baseline!$D:$D,Results_list!$D287,SSP1_Baseline!$B:$B,2025))) / (SUMIFS(SSP1_Baseline!$E:$E,SSP1_Baseline!$C:$C,Results_list!$C$277,SSP1_Baseline!$D:$D,Results_list!$D287,SSP1_Baseline!$B:$B,2025))</f>
        <v>-7.3642182151960292E-2</v>
      </c>
      <c r="H287" s="16">
        <f>((SUMIFS(SSP1_VSI!$F:$F,SSP1_VSI!$C:$C,Results_list!$C$277,SSP1_VSI!$D:$D,Results_list!$D287,SSP1_VSI!$B:$B,2040)) - (SUMIFS(SSP1_VSI!$F:$F,SSP1_VSI!$C:$C,Results_list!$C$277,SSP1_VSI!$D:$D,Results_list!$D287,SSP1_VSI!$B:$B,2025))) / (SUMIFS(SSP1_VSI!$F:$F,SSP1_VSI!$C:$C,Results_list!$C$277,SSP1_VSI!$D:$D,Results_list!$D287,SSP1_VSI!$B:$B,2025))</f>
        <v>-7.3770362306587331E-2</v>
      </c>
      <c r="I287" s="13">
        <f t="shared" si="39"/>
        <v>0</v>
      </c>
      <c r="J287" s="12">
        <f>((SUMIFS(SSP2_Baseline!$E:$E,SSP2_Baseline!$C:$C,Results_list!$C$277,SSP2_Baseline!$D:$D,Results_list!$D287,SSP2_Baseline!$B:$B,2040)) - (SUMIFS(SSP2_Baseline!$E:$E,SSP2_Baseline!$C:$C,Results_list!$C$277,SSP2_Baseline!$D:$D,Results_list!$D287,SSP2_Baseline!$B:$B,2025))) / (SUMIFS(SSP2_Baseline!$E:$E,SSP2_Baseline!$C:$C,Results_list!$C$277,SSP2_Baseline!$D:$D,Results_list!$D287,SSP2_Baseline!$B:$B,2025))</f>
        <v>-4.0683592628585945E-2</v>
      </c>
      <c r="K287" s="16">
        <f>((SUMIFS(SSP2_VSI!$F:$F,SSP2_VSI!$C:$C,Results_list!$C$277,SSP2_VSI!$D:$D,Results_list!$D287,SSP2_VSI!$B:$B,2040)) - (SUMIFS(SSP2_VSI!$F:$F,SSP2_VSI!$C:$C,Results_list!$C$277,SSP2_VSI!$D:$D,Results_list!$D287,SSP2_VSI!$B:$B,2025))) / (SUMIFS(SSP2_VSI!$F:$F,SSP2_VSI!$C:$C,Results_list!$C$277,SSP2_VSI!$D:$D,Results_list!$D287,SSP2_VSI!$B:$B,2025))</f>
        <v>-4.0673026002337027E-2</v>
      </c>
      <c r="L287" s="13">
        <f t="shared" si="40"/>
        <v>0</v>
      </c>
      <c r="M287" s="12">
        <f>((SUMIFS(SSP5_Baseline!$E:$E,SSP5_Baseline!$C:$C,Results_list!$C$277,SSP5_Baseline!$D:$D,Results_list!$D287,SSP5_Baseline!$B:$B,2040)) - (SUMIFS(SSP5_Baseline!$E:$E,SSP5_Baseline!$C:$C,Results_list!$C$277,SSP5_Baseline!$D:$D,Results_list!$D287,SSP5_Baseline!$B:$B,2025))) / (SUMIFS(SSP5_Baseline!$E:$E,SSP5_Baseline!$C:$C,Results_list!$C$277,SSP5_Baseline!$D:$D,Results_list!$D287,SSP5_Baseline!$B:$B,2025))</f>
        <v>-2.8593489359008947E-2</v>
      </c>
      <c r="N287" s="16">
        <f>((SUMIFS(SSP5_VSI!$F:$F,SSP5_VSI!$C:$C,Results_list!$C$277,SSP5_VSI!$D:$D,Results_list!$D287,SSP5_VSI!$B:$B,2040)) - (SUMIFS(SSP5_VSI!$F:$F,SSP5_VSI!$C:$C,Results_list!$C$277,SSP5_VSI!$D:$D,Results_list!$D287,SSP5_VSI!$B:$B,2025))) / (SUMIFS(SSP5_VSI!$F:$F,SSP5_VSI!$C:$C,Results_list!$C$277,SSP5_VSI!$D:$D,Results_list!$D287,SSP5_VSI!$B:$B,2025))</f>
        <v>-2.8700480664911491E-2</v>
      </c>
      <c r="O287" s="13">
        <f t="shared" si="41"/>
        <v>0</v>
      </c>
    </row>
    <row r="288" spans="2:15" x14ac:dyDescent="0.35">
      <c r="B288" s="83"/>
      <c r="C288" s="85"/>
      <c r="D288" t="s">
        <v>50</v>
      </c>
      <c r="F288" s="3" t="s">
        <v>98</v>
      </c>
      <c r="G288" s="12">
        <f>((SUMIFS(SSP1_Baseline!$E:$E,SSP1_Baseline!$C:$C,Results_list!$C$277,SSP1_Baseline!$D:$D,Results_list!$D288,SSP1_Baseline!$B:$B,2040)) - (SUMIFS(SSP1_Baseline!$E:$E,SSP1_Baseline!$C:$C,Results_list!$C$277,SSP1_Baseline!$D:$D,Results_list!$D288,SSP1_Baseline!$B:$B,2025))) / (SUMIFS(SSP1_Baseline!$E:$E,SSP1_Baseline!$C:$C,Results_list!$C$277,SSP1_Baseline!$D:$D,Results_list!$D288,SSP1_Baseline!$B:$B,2025))</f>
        <v>-0.22220993546913564</v>
      </c>
      <c r="H288" s="16">
        <f>((SUMIFS(SSP1_VSI!$F:$F,SSP1_VSI!$C:$C,Results_list!$C$277,SSP1_VSI!$D:$D,Results_list!$D288,SSP1_VSI!$B:$B,2040)) - (SUMIFS(SSP1_VSI!$F:$F,SSP1_VSI!$C:$C,Results_list!$C$277,SSP1_VSI!$D:$D,Results_list!$D288,SSP1_VSI!$B:$B,2025))) / (SUMIFS(SSP1_VSI!$F:$F,SSP1_VSI!$C:$C,Results_list!$C$277,SSP1_VSI!$D:$D,Results_list!$D288,SSP1_VSI!$B:$B,2025))</f>
        <v>-0.22222756746243993</v>
      </c>
      <c r="I288" s="13">
        <f t="shared" si="39"/>
        <v>0</v>
      </c>
      <c r="J288" s="12">
        <f>((SUMIFS(SSP2_Baseline!$E:$E,SSP2_Baseline!$C:$C,Results_list!$C$277,SSP2_Baseline!$D:$D,Results_list!$D288,SSP2_Baseline!$B:$B,2040)) - (SUMIFS(SSP2_Baseline!$E:$E,SSP2_Baseline!$C:$C,Results_list!$C$277,SSP2_Baseline!$D:$D,Results_list!$D288,SSP2_Baseline!$B:$B,2025))) / (SUMIFS(SSP2_Baseline!$E:$E,SSP2_Baseline!$C:$C,Results_list!$C$277,SSP2_Baseline!$D:$D,Results_list!$D288,SSP2_Baseline!$B:$B,2025))</f>
        <v>0.60088856389406808</v>
      </c>
      <c r="K288" s="16">
        <f>((SUMIFS(SSP2_VSI!$F:$F,SSP2_VSI!$C:$C,Results_list!$C$277,SSP2_VSI!$D:$D,Results_list!$D288,SSP2_VSI!$B:$B,2040)) - (SUMIFS(SSP2_VSI!$F:$F,SSP2_VSI!$C:$C,Results_list!$C$277,SSP2_VSI!$D:$D,Results_list!$D288,SSP2_VSI!$B:$B,2025))) / (SUMIFS(SSP2_VSI!$F:$F,SSP2_VSI!$C:$C,Results_list!$C$277,SSP2_VSI!$D:$D,Results_list!$D288,SSP2_VSI!$B:$B,2025))</f>
        <v>0.60092888371766251</v>
      </c>
      <c r="L288" s="13">
        <f t="shared" si="40"/>
        <v>0</v>
      </c>
      <c r="M288" s="12">
        <f>((SUMIFS(SSP5_Baseline!$E:$E,SSP5_Baseline!$C:$C,Results_list!$C$277,SSP5_Baseline!$D:$D,Results_list!$D288,SSP5_Baseline!$B:$B,2040)) - (SUMIFS(SSP5_Baseline!$E:$E,SSP5_Baseline!$C:$C,Results_list!$C$277,SSP5_Baseline!$D:$D,Results_list!$D288,SSP5_Baseline!$B:$B,2025))) / (SUMIFS(SSP5_Baseline!$E:$E,SSP5_Baseline!$C:$C,Results_list!$C$277,SSP5_Baseline!$D:$D,Results_list!$D288,SSP5_Baseline!$B:$B,2025))</f>
        <v>1.1146322133957567</v>
      </c>
      <c r="N288" s="16">
        <f>((SUMIFS(SSP5_VSI!$F:$F,SSP5_VSI!$C:$C,Results_list!$C$277,SSP5_VSI!$D:$D,Results_list!$D288,SSP5_VSI!$B:$B,2040)) - (SUMIFS(SSP5_VSI!$F:$F,SSP5_VSI!$C:$C,Results_list!$C$277,SSP5_VSI!$D:$D,Results_list!$D288,SSP5_VSI!$B:$B,2025))) / (SUMIFS(SSP5_VSI!$F:$F,SSP5_VSI!$C:$C,Results_list!$C$277,SSP5_VSI!$D:$D,Results_list!$D288,SSP5_VSI!$B:$B,2025))</f>
        <v>1.114608360062078</v>
      </c>
      <c r="O288" s="13">
        <f t="shared" si="41"/>
        <v>0</v>
      </c>
    </row>
    <row r="289" spans="2:15" x14ac:dyDescent="0.35">
      <c r="B289" s="83"/>
      <c r="C289" s="85"/>
      <c r="D289" t="s">
        <v>51</v>
      </c>
      <c r="F289" s="3" t="s">
        <v>99</v>
      </c>
      <c r="G289" s="12">
        <f>((SUMIFS(SSP1_Baseline!$E:$E,SSP1_Baseline!$C:$C,Results_list!$C$277,SSP1_Baseline!$D:$D,Results_list!$D289,SSP1_Baseline!$B:$B,2040)) - (SUMIFS(SSP1_Baseline!$E:$E,SSP1_Baseline!$C:$C,Results_list!$C$277,SSP1_Baseline!$D:$D,Results_list!$D289,SSP1_Baseline!$B:$B,2025))) / (SUMIFS(SSP1_Baseline!$E:$E,SSP1_Baseline!$C:$C,Results_list!$C$277,SSP1_Baseline!$D:$D,Results_list!$D289,SSP1_Baseline!$B:$B,2025))</f>
        <v>1.7438198874599874E-2</v>
      </c>
      <c r="H289" s="16">
        <f>((SUMIFS(SSP1_VSI!$F:$F,SSP1_VSI!$C:$C,Results_list!$C$277,SSP1_VSI!$D:$D,Results_list!$D289,SSP1_VSI!$B:$B,2040)) - (SUMIFS(SSP1_VSI!$F:$F,SSP1_VSI!$C:$C,Results_list!$C$277,SSP1_VSI!$D:$D,Results_list!$D289,SSP1_VSI!$B:$B,2025))) / (SUMIFS(SSP1_VSI!$F:$F,SSP1_VSI!$C:$C,Results_list!$C$277,SSP1_VSI!$D:$D,Results_list!$D289,SSP1_VSI!$B:$B,2025))</f>
        <v>1.7429967270954229E-2</v>
      </c>
      <c r="I289" s="13">
        <f t="shared" si="39"/>
        <v>0</v>
      </c>
      <c r="J289" s="12">
        <f>((SUMIFS(SSP2_Baseline!$E:$E,SSP2_Baseline!$C:$C,Results_list!$C$277,SSP2_Baseline!$D:$D,Results_list!$D289,SSP2_Baseline!$B:$B,2040)) - (SUMIFS(SSP2_Baseline!$E:$E,SSP2_Baseline!$C:$C,Results_list!$C$277,SSP2_Baseline!$D:$D,Results_list!$D289,SSP2_Baseline!$B:$B,2025))) / (SUMIFS(SSP2_Baseline!$E:$E,SSP2_Baseline!$C:$C,Results_list!$C$277,SSP2_Baseline!$D:$D,Results_list!$D289,SSP2_Baseline!$B:$B,2025))</f>
        <v>2.1603237818128677E-2</v>
      </c>
      <c r="K289" s="16">
        <f>((SUMIFS(SSP2_VSI!$F:$F,SSP2_VSI!$C:$C,Results_list!$C$277,SSP2_VSI!$D:$D,Results_list!$D289,SSP2_VSI!$B:$B,2040)) - (SUMIFS(SSP2_VSI!$F:$F,SSP2_VSI!$C:$C,Results_list!$C$277,SSP2_VSI!$D:$D,Results_list!$D289,SSP2_VSI!$B:$B,2025))) / (SUMIFS(SSP2_VSI!$F:$F,SSP2_VSI!$C:$C,Results_list!$C$277,SSP2_VSI!$D:$D,Results_list!$D289,SSP2_VSI!$B:$B,2025))</f>
        <v>2.1572562749363568E-2</v>
      </c>
      <c r="L289" s="13">
        <f t="shared" si="40"/>
        <v>0</v>
      </c>
      <c r="M289" s="12">
        <f>((SUMIFS(SSP5_Baseline!$E:$E,SSP5_Baseline!$C:$C,Results_list!$C$277,SSP5_Baseline!$D:$D,Results_list!$D289,SSP5_Baseline!$B:$B,2040)) - (SUMIFS(SSP5_Baseline!$E:$E,SSP5_Baseline!$C:$C,Results_list!$C$277,SSP5_Baseline!$D:$D,Results_list!$D289,SSP5_Baseline!$B:$B,2025))) / (SUMIFS(SSP5_Baseline!$E:$E,SSP5_Baseline!$C:$C,Results_list!$C$277,SSP5_Baseline!$D:$D,Results_list!$D289,SSP5_Baseline!$B:$B,2025))</f>
        <v>-3.8151013664281766E-4</v>
      </c>
      <c r="N289" s="16">
        <f>((SUMIFS(SSP5_VSI!$F:$F,SSP5_VSI!$C:$C,Results_list!$C$277,SSP5_VSI!$D:$D,Results_list!$D289,SSP5_VSI!$B:$B,2040)) - (SUMIFS(SSP5_VSI!$F:$F,SSP5_VSI!$C:$C,Results_list!$C$277,SSP5_VSI!$D:$D,Results_list!$D289,SSP5_VSI!$B:$B,2025))) / (SUMIFS(SSP5_VSI!$F:$F,SSP5_VSI!$C:$C,Results_list!$C$277,SSP5_VSI!$D:$D,Results_list!$D289,SSP5_VSI!$B:$B,2025))</f>
        <v>-3.6902168518675215E-4</v>
      </c>
      <c r="O289" s="13">
        <f t="shared" si="41"/>
        <v>0</v>
      </c>
    </row>
    <row r="290" spans="2:15" x14ac:dyDescent="0.35">
      <c r="B290" s="83"/>
      <c r="C290" s="85"/>
      <c r="D290" t="s">
        <v>52</v>
      </c>
      <c r="F290" s="3" t="s">
        <v>100</v>
      </c>
      <c r="G290" s="12">
        <f>((SUMIFS(SSP1_Baseline!$E:$E,SSP1_Baseline!$C:$C,Results_list!$C$277,SSP1_Baseline!$D:$D,Results_list!$D290,SSP1_Baseline!$B:$B,2040)) - (SUMIFS(SSP1_Baseline!$E:$E,SSP1_Baseline!$C:$C,Results_list!$C$277,SSP1_Baseline!$D:$D,Results_list!$D290,SSP1_Baseline!$B:$B,2025))) / (SUMIFS(SSP1_Baseline!$E:$E,SSP1_Baseline!$C:$C,Results_list!$C$277,SSP1_Baseline!$D:$D,Results_list!$D290,SSP1_Baseline!$B:$B,2025))</f>
        <v>-0.40711260320263293</v>
      </c>
      <c r="H290" s="16">
        <f>((SUMIFS(SSP1_VSI!$F:$F,SSP1_VSI!$C:$C,Results_list!$C$277,SSP1_VSI!$D:$D,Results_list!$D290,SSP1_VSI!$B:$B,2040)) - (SUMIFS(SSP1_VSI!$F:$F,SSP1_VSI!$C:$C,Results_list!$C$277,SSP1_VSI!$D:$D,Results_list!$D290,SSP1_VSI!$B:$B,2025))) / (SUMIFS(SSP1_VSI!$F:$F,SSP1_VSI!$C:$C,Results_list!$C$277,SSP1_VSI!$D:$D,Results_list!$D290,SSP1_VSI!$B:$B,2025))</f>
        <v>-0.40703490097964962</v>
      </c>
      <c r="I290" s="13">
        <f t="shared" si="39"/>
        <v>0</v>
      </c>
      <c r="J290" s="12">
        <f>((SUMIFS(SSP2_Baseline!$E:$E,SSP2_Baseline!$C:$C,Results_list!$C$277,SSP2_Baseline!$D:$D,Results_list!$D290,SSP2_Baseline!$B:$B,2040)) - (SUMIFS(SSP2_Baseline!$E:$E,SSP2_Baseline!$C:$C,Results_list!$C$277,SSP2_Baseline!$D:$D,Results_list!$D290,SSP2_Baseline!$B:$B,2025))) / (SUMIFS(SSP2_Baseline!$E:$E,SSP2_Baseline!$C:$C,Results_list!$C$277,SSP2_Baseline!$D:$D,Results_list!$D290,SSP2_Baseline!$B:$B,2025))</f>
        <v>-0.33026490505878975</v>
      </c>
      <c r="K290" s="16">
        <f>((SUMIFS(SSP2_VSI!$F:$F,SSP2_VSI!$C:$C,Results_list!$C$277,SSP2_VSI!$D:$D,Results_list!$D290,SSP2_VSI!$B:$B,2040)) - (SUMIFS(SSP2_VSI!$F:$F,SSP2_VSI!$C:$C,Results_list!$C$277,SSP2_VSI!$D:$D,Results_list!$D290,SSP2_VSI!$B:$B,2025))) / (SUMIFS(SSP2_VSI!$F:$F,SSP2_VSI!$C:$C,Results_list!$C$277,SSP2_VSI!$D:$D,Results_list!$D290,SSP2_VSI!$B:$B,2025))</f>
        <v>-0.33007157503756251</v>
      </c>
      <c r="L290" s="13">
        <f t="shared" si="40"/>
        <v>0</v>
      </c>
      <c r="M290" s="12">
        <f>((SUMIFS(SSP5_Baseline!$E:$E,SSP5_Baseline!$C:$C,Results_list!$C$277,SSP5_Baseline!$D:$D,Results_list!$D290,SSP5_Baseline!$B:$B,2040)) - (SUMIFS(SSP5_Baseline!$E:$E,SSP5_Baseline!$C:$C,Results_list!$C$277,SSP5_Baseline!$D:$D,Results_list!$D290,SSP5_Baseline!$B:$B,2025))) / (SUMIFS(SSP5_Baseline!$E:$E,SSP5_Baseline!$C:$C,Results_list!$C$277,SSP5_Baseline!$D:$D,Results_list!$D290,SSP5_Baseline!$B:$B,2025))</f>
        <v>-0.37566757139472079</v>
      </c>
      <c r="N290" s="16">
        <f>((SUMIFS(SSP5_VSI!$F:$F,SSP5_VSI!$C:$C,Results_list!$C$277,SSP5_VSI!$D:$D,Results_list!$D290,SSP5_VSI!$B:$B,2040)) - (SUMIFS(SSP5_VSI!$F:$F,SSP5_VSI!$C:$C,Results_list!$C$277,SSP5_VSI!$D:$D,Results_list!$D290,SSP5_VSI!$B:$B,2025))) / (SUMIFS(SSP5_VSI!$F:$F,SSP5_VSI!$C:$C,Results_list!$C$277,SSP5_VSI!$D:$D,Results_list!$D290,SSP5_VSI!$B:$B,2025))</f>
        <v>-0.3755300019848109</v>
      </c>
      <c r="O290" s="13">
        <f t="shared" si="41"/>
        <v>0</v>
      </c>
    </row>
    <row r="291" spans="2:15" x14ac:dyDescent="0.35">
      <c r="B291" s="83"/>
      <c r="C291" s="85"/>
      <c r="D291" t="s">
        <v>53</v>
      </c>
      <c r="F291" s="3" t="s">
        <v>101</v>
      </c>
      <c r="G291" s="12">
        <f>((SUMIFS(SSP1_Baseline!$E:$E,SSP1_Baseline!$C:$C,Results_list!$C$277,SSP1_Baseline!$D:$D,Results_list!$D291,SSP1_Baseline!$B:$B,2040)) - (SUMIFS(SSP1_Baseline!$E:$E,SSP1_Baseline!$C:$C,Results_list!$C$277,SSP1_Baseline!$D:$D,Results_list!$D291,SSP1_Baseline!$B:$B,2025))) / (SUMIFS(SSP1_Baseline!$E:$E,SSP1_Baseline!$C:$C,Results_list!$C$277,SSP1_Baseline!$D:$D,Results_list!$D291,SSP1_Baseline!$B:$B,2025))</f>
        <v>-0.16769336955403205</v>
      </c>
      <c r="H291" s="16">
        <f>((SUMIFS(SSP1_VSI!$F:$F,SSP1_VSI!$C:$C,Results_list!$C$277,SSP1_VSI!$D:$D,Results_list!$D291,SSP1_VSI!$B:$B,2040)) - (SUMIFS(SSP1_VSI!$F:$F,SSP1_VSI!$C:$C,Results_list!$C$277,SSP1_VSI!$D:$D,Results_list!$D291,SSP1_VSI!$B:$B,2025))) / (SUMIFS(SSP1_VSI!$F:$F,SSP1_VSI!$C:$C,Results_list!$C$277,SSP1_VSI!$D:$D,Results_list!$D291,SSP1_VSI!$B:$B,2025))</f>
        <v>-0.16779734097408103</v>
      </c>
      <c r="I291" s="13">
        <f t="shared" si="39"/>
        <v>0</v>
      </c>
      <c r="J291" s="12">
        <f>((SUMIFS(SSP2_Baseline!$E:$E,SSP2_Baseline!$C:$C,Results_list!$C$277,SSP2_Baseline!$D:$D,Results_list!$D291,SSP2_Baseline!$B:$B,2040)) - (SUMIFS(SSP2_Baseline!$E:$E,SSP2_Baseline!$C:$C,Results_list!$C$277,SSP2_Baseline!$D:$D,Results_list!$D291,SSP2_Baseline!$B:$B,2025))) / (SUMIFS(SSP2_Baseline!$E:$E,SSP2_Baseline!$C:$C,Results_list!$C$277,SSP2_Baseline!$D:$D,Results_list!$D291,SSP2_Baseline!$B:$B,2025))</f>
        <v>-0.13345468106361238</v>
      </c>
      <c r="K291" s="16">
        <f>((SUMIFS(SSP2_VSI!$F:$F,SSP2_VSI!$C:$C,Results_list!$C$277,SSP2_VSI!$D:$D,Results_list!$D291,SSP2_VSI!$B:$B,2040)) - (SUMIFS(SSP2_VSI!$F:$F,SSP2_VSI!$C:$C,Results_list!$C$277,SSP2_VSI!$D:$D,Results_list!$D291,SSP2_VSI!$B:$B,2025))) / (SUMIFS(SSP2_VSI!$F:$F,SSP2_VSI!$C:$C,Results_list!$C$277,SSP2_VSI!$D:$D,Results_list!$D291,SSP2_VSI!$B:$B,2025))</f>
        <v>-0.13342700840874655</v>
      </c>
      <c r="L291" s="13">
        <f t="shared" si="40"/>
        <v>0</v>
      </c>
      <c r="M291" s="12">
        <f>((SUMIFS(SSP5_Baseline!$E:$E,SSP5_Baseline!$C:$C,Results_list!$C$277,SSP5_Baseline!$D:$D,Results_list!$D291,SSP5_Baseline!$B:$B,2040)) - (SUMIFS(SSP5_Baseline!$E:$E,SSP5_Baseline!$C:$C,Results_list!$C$277,SSP5_Baseline!$D:$D,Results_list!$D291,SSP5_Baseline!$B:$B,2025))) / (SUMIFS(SSP5_Baseline!$E:$E,SSP5_Baseline!$C:$C,Results_list!$C$277,SSP5_Baseline!$D:$D,Results_list!$D291,SSP5_Baseline!$B:$B,2025))</f>
        <v>-4.2563080052412435E-3</v>
      </c>
      <c r="N291" s="16">
        <f>((SUMIFS(SSP5_VSI!$F:$F,SSP5_VSI!$C:$C,Results_list!$C$277,SSP5_VSI!$D:$D,Results_list!$D291,SSP5_VSI!$B:$B,2040)) - (SUMIFS(SSP5_VSI!$F:$F,SSP5_VSI!$C:$C,Results_list!$C$277,SSP5_VSI!$D:$D,Results_list!$D291,SSP5_VSI!$B:$B,2025))) / (SUMIFS(SSP5_VSI!$F:$F,SSP5_VSI!$C:$C,Results_list!$C$277,SSP5_VSI!$D:$D,Results_list!$D291,SSP5_VSI!$B:$B,2025))</f>
        <v>-4.2145788110245419E-3</v>
      </c>
      <c r="O291" s="13">
        <f t="shared" si="41"/>
        <v>0</v>
      </c>
    </row>
    <row r="292" spans="2:15" x14ac:dyDescent="0.35">
      <c r="B292" s="83"/>
      <c r="C292" s="85"/>
      <c r="D292" t="s">
        <v>54</v>
      </c>
      <c r="F292" s="3" t="s">
        <v>102</v>
      </c>
      <c r="G292" s="12">
        <f>((SUMIFS(SSP1_Baseline!$E:$E,SSP1_Baseline!$C:$C,Results_list!$C$277,SSP1_Baseline!$D:$D,Results_list!$D292,SSP1_Baseline!$B:$B,2040)) - (SUMIFS(SSP1_Baseline!$E:$E,SSP1_Baseline!$C:$C,Results_list!$C$277,SSP1_Baseline!$D:$D,Results_list!$D292,SSP1_Baseline!$B:$B,2025))) / (SUMIFS(SSP1_Baseline!$E:$E,SSP1_Baseline!$C:$C,Results_list!$C$277,SSP1_Baseline!$D:$D,Results_list!$D292,SSP1_Baseline!$B:$B,2025))</f>
        <v>3.4237366669931865E-2</v>
      </c>
      <c r="H292" s="16">
        <f>((SUMIFS(SSP1_VSI!$F:$F,SSP1_VSI!$C:$C,Results_list!$C$277,SSP1_VSI!$D:$D,Results_list!$D292,SSP1_VSI!$B:$B,2040)) - (SUMIFS(SSP1_VSI!$F:$F,SSP1_VSI!$C:$C,Results_list!$C$277,SSP1_VSI!$D:$D,Results_list!$D292,SSP1_VSI!$B:$B,2025))) / (SUMIFS(SSP1_VSI!$F:$F,SSP1_VSI!$C:$C,Results_list!$C$277,SSP1_VSI!$D:$D,Results_list!$D292,SSP1_VSI!$B:$B,2025))</f>
        <v>3.4250993233587483E-2</v>
      </c>
      <c r="I292" s="13">
        <f t="shared" si="39"/>
        <v>0</v>
      </c>
      <c r="J292" s="12">
        <f>((SUMIFS(SSP2_Baseline!$E:$E,SSP2_Baseline!$C:$C,Results_list!$C$277,SSP2_Baseline!$D:$D,Results_list!$D292,SSP2_Baseline!$B:$B,2040)) - (SUMIFS(SSP2_Baseline!$E:$E,SSP2_Baseline!$C:$C,Results_list!$C$277,SSP2_Baseline!$D:$D,Results_list!$D292,SSP2_Baseline!$B:$B,2025))) / (SUMIFS(SSP2_Baseline!$E:$E,SSP2_Baseline!$C:$C,Results_list!$C$277,SSP2_Baseline!$D:$D,Results_list!$D292,SSP2_Baseline!$B:$B,2025))</f>
        <v>5.332087218770229E-2</v>
      </c>
      <c r="K292" s="16">
        <f>((SUMIFS(SSP2_VSI!$F:$F,SSP2_VSI!$C:$C,Results_list!$C$277,SSP2_VSI!$D:$D,Results_list!$D292,SSP2_VSI!$B:$B,2040)) - (SUMIFS(SSP2_VSI!$F:$F,SSP2_VSI!$C:$C,Results_list!$C$277,SSP2_VSI!$D:$D,Results_list!$D292,SSP2_VSI!$B:$B,2025))) / (SUMIFS(SSP2_VSI!$F:$F,SSP2_VSI!$C:$C,Results_list!$C$277,SSP2_VSI!$D:$D,Results_list!$D292,SSP2_VSI!$B:$B,2025))</f>
        <v>5.3370699456648941E-2</v>
      </c>
      <c r="L292" s="13">
        <f t="shared" si="40"/>
        <v>0</v>
      </c>
      <c r="M292" s="12">
        <f>((SUMIFS(SSP5_Baseline!$E:$E,SSP5_Baseline!$C:$C,Results_list!$C$277,SSP5_Baseline!$D:$D,Results_list!$D292,SSP5_Baseline!$B:$B,2040)) - (SUMIFS(SSP5_Baseline!$E:$E,SSP5_Baseline!$C:$C,Results_list!$C$277,SSP5_Baseline!$D:$D,Results_list!$D292,SSP5_Baseline!$B:$B,2025))) / (SUMIFS(SSP5_Baseline!$E:$E,SSP5_Baseline!$C:$C,Results_list!$C$277,SSP5_Baseline!$D:$D,Results_list!$D292,SSP5_Baseline!$B:$B,2025))</f>
        <v>7.1258393229611167E-2</v>
      </c>
      <c r="N292" s="16">
        <f>((SUMIFS(SSP5_VSI!$F:$F,SSP5_VSI!$C:$C,Results_list!$C$277,SSP5_VSI!$D:$D,Results_list!$D292,SSP5_VSI!$B:$B,2040)) - (SUMIFS(SSP5_VSI!$F:$F,SSP5_VSI!$C:$C,Results_list!$C$277,SSP5_VSI!$D:$D,Results_list!$D292,SSP5_VSI!$B:$B,2025))) / (SUMIFS(SSP5_VSI!$F:$F,SSP5_VSI!$C:$C,Results_list!$C$277,SSP5_VSI!$D:$D,Results_list!$D292,SSP5_VSI!$B:$B,2025))</f>
        <v>7.1305631918873652E-2</v>
      </c>
      <c r="O292" s="13">
        <f t="shared" si="41"/>
        <v>0</v>
      </c>
    </row>
    <row r="293" spans="2:15" x14ac:dyDescent="0.35">
      <c r="B293" s="83"/>
      <c r="C293" s="85"/>
      <c r="D293" t="s">
        <v>55</v>
      </c>
      <c r="F293" s="3" t="s">
        <v>103</v>
      </c>
      <c r="G293" s="12">
        <f>((SUMIFS(SSP1_Baseline!$E:$E,SSP1_Baseline!$C:$C,Results_list!$C$277,SSP1_Baseline!$D:$D,Results_list!$D293,SSP1_Baseline!$B:$B,2040)) - (SUMIFS(SSP1_Baseline!$E:$E,SSP1_Baseline!$C:$C,Results_list!$C$277,SSP1_Baseline!$D:$D,Results_list!$D293,SSP1_Baseline!$B:$B,2025))) / (SUMIFS(SSP1_Baseline!$E:$E,SSP1_Baseline!$C:$C,Results_list!$C$277,SSP1_Baseline!$D:$D,Results_list!$D293,SSP1_Baseline!$B:$B,2025))</f>
        <v>3.0203479344555684E-2</v>
      </c>
      <c r="H293" s="16">
        <f>((SUMIFS(SSP1_VSI!$F:$F,SSP1_VSI!$C:$C,Results_list!$C$277,SSP1_VSI!$D:$D,Results_list!$D293,SSP1_VSI!$B:$B,2040)) - (SUMIFS(SSP1_VSI!$F:$F,SSP1_VSI!$C:$C,Results_list!$C$277,SSP1_VSI!$D:$D,Results_list!$D293,SSP1_VSI!$B:$B,2025))) / (SUMIFS(SSP1_VSI!$F:$F,SSP1_VSI!$C:$C,Results_list!$C$277,SSP1_VSI!$D:$D,Results_list!$D293,SSP1_VSI!$B:$B,2025))</f>
        <v>3.0215350712780507E-2</v>
      </c>
      <c r="I293" s="13">
        <f t="shared" si="39"/>
        <v>0</v>
      </c>
      <c r="J293" s="12">
        <f>((SUMIFS(SSP2_Baseline!$E:$E,SSP2_Baseline!$C:$C,Results_list!$C$277,SSP2_Baseline!$D:$D,Results_list!$D293,SSP2_Baseline!$B:$B,2040)) - (SUMIFS(SSP2_Baseline!$E:$E,SSP2_Baseline!$C:$C,Results_list!$C$277,SSP2_Baseline!$D:$D,Results_list!$D293,SSP2_Baseline!$B:$B,2025))) / (SUMIFS(SSP2_Baseline!$E:$E,SSP2_Baseline!$C:$C,Results_list!$C$277,SSP2_Baseline!$D:$D,Results_list!$D293,SSP2_Baseline!$B:$B,2025))</f>
        <v>4.5728947874245855E-2</v>
      </c>
      <c r="K293" s="16">
        <f>((SUMIFS(SSP2_VSI!$F:$F,SSP2_VSI!$C:$C,Results_list!$C$277,SSP2_VSI!$D:$D,Results_list!$D293,SSP2_VSI!$B:$B,2040)) - (SUMIFS(SSP2_VSI!$F:$F,SSP2_VSI!$C:$C,Results_list!$C$277,SSP2_VSI!$D:$D,Results_list!$D293,SSP2_VSI!$B:$B,2025))) / (SUMIFS(SSP2_VSI!$F:$F,SSP2_VSI!$C:$C,Results_list!$C$277,SSP2_VSI!$D:$D,Results_list!$D293,SSP2_VSI!$B:$B,2025))</f>
        <v>4.576880351762784E-2</v>
      </c>
      <c r="L293" s="13">
        <f t="shared" si="40"/>
        <v>0</v>
      </c>
      <c r="M293" s="12">
        <f>((SUMIFS(SSP5_Baseline!$E:$E,SSP5_Baseline!$C:$C,Results_list!$C$277,SSP5_Baseline!$D:$D,Results_list!$D293,SSP5_Baseline!$B:$B,2040)) - (SUMIFS(SSP5_Baseline!$E:$E,SSP5_Baseline!$C:$C,Results_list!$C$277,SSP5_Baseline!$D:$D,Results_list!$D293,SSP5_Baseline!$B:$B,2025))) / (SUMIFS(SSP5_Baseline!$E:$E,SSP5_Baseline!$C:$C,Results_list!$C$277,SSP5_Baseline!$D:$D,Results_list!$D293,SSP5_Baseline!$B:$B,2025))</f>
        <v>6.28297731489776E-2</v>
      </c>
      <c r="N293" s="16">
        <f>((SUMIFS(SSP5_VSI!$F:$F,SSP5_VSI!$C:$C,Results_list!$C$277,SSP5_VSI!$D:$D,Results_list!$D293,SSP5_VSI!$B:$B,2040)) - (SUMIFS(SSP5_VSI!$F:$F,SSP5_VSI!$C:$C,Results_list!$C$277,SSP5_VSI!$D:$D,Results_list!$D293,SSP5_VSI!$B:$B,2025))) / (SUMIFS(SSP5_VSI!$F:$F,SSP5_VSI!$C:$C,Results_list!$C$277,SSP5_VSI!$D:$D,Results_list!$D293,SSP5_VSI!$B:$B,2025))</f>
        <v>6.2877913085137141E-2</v>
      </c>
      <c r="O293" s="13">
        <f t="shared" si="41"/>
        <v>0</v>
      </c>
    </row>
    <row r="294" spans="2:15" x14ac:dyDescent="0.35">
      <c r="B294" s="84"/>
      <c r="C294" s="86"/>
      <c r="D294" t="s">
        <v>56</v>
      </c>
      <c r="F294" s="9" t="s">
        <v>104</v>
      </c>
      <c r="G294" s="14">
        <f>((SUMIFS(SSP1_Baseline!$E:$E,SSP1_Baseline!$C:$C,Results_list!$C$277,SSP1_Baseline!$D:$D,Results_list!$D294,SSP1_Baseline!$B:$B,2040)) - (SUMIFS(SSP1_Baseline!$E:$E,SSP1_Baseline!$C:$C,Results_list!$C$277,SSP1_Baseline!$D:$D,Results_list!$D294,SSP1_Baseline!$B:$B,2025))) / (SUMIFS(SSP1_Baseline!$E:$E,SSP1_Baseline!$C:$C,Results_list!$C$277,SSP1_Baseline!$D:$D,Results_list!$D294,SSP1_Baseline!$B:$B,2025))</f>
        <v>-0.18005264691091202</v>
      </c>
      <c r="H294" s="17">
        <f>((SUMIFS(SSP1_VSI!$F:$F,SSP1_VSI!$C:$C,Results_list!$C$277,SSP1_VSI!$D:$D,Results_list!$D294,SSP1_VSI!$B:$B,2040)) - (SUMIFS(SSP1_VSI!$F:$F,SSP1_VSI!$C:$C,Results_list!$C$277,SSP1_VSI!$D:$D,Results_list!$D294,SSP1_VSI!$B:$B,2025))) / (SUMIFS(SSP1_VSI!$F:$F,SSP1_VSI!$C:$C,Results_list!$C$277,SSP1_VSI!$D:$D,Results_list!$D294,SSP1_VSI!$B:$B,2025))</f>
        <v>-0.18008161514181303</v>
      </c>
      <c r="I294" s="15">
        <f t="shared" si="39"/>
        <v>0</v>
      </c>
      <c r="J294" s="14">
        <f>((SUMIFS(SSP2_Baseline!$E:$E,SSP2_Baseline!$C:$C,Results_list!$C$277,SSP2_Baseline!$D:$D,Results_list!$D294,SSP2_Baseline!$B:$B,2040)) - (SUMIFS(SSP2_Baseline!$E:$E,SSP2_Baseline!$C:$C,Results_list!$C$277,SSP2_Baseline!$D:$D,Results_list!$D294,SSP2_Baseline!$B:$B,2025))) / (SUMIFS(SSP2_Baseline!$E:$E,SSP2_Baseline!$C:$C,Results_list!$C$277,SSP2_Baseline!$D:$D,Results_list!$D294,SSP2_Baseline!$B:$B,2025))</f>
        <v>-0.20022964701437471</v>
      </c>
      <c r="K294" s="17">
        <f>((SUMIFS(SSP2_VSI!$F:$F,SSP2_VSI!$C:$C,Results_list!$C$277,SSP2_VSI!$D:$D,Results_list!$D294,SSP2_VSI!$B:$B,2040)) - (SUMIFS(SSP2_VSI!$F:$F,SSP2_VSI!$C:$C,Results_list!$C$277,SSP2_VSI!$D:$D,Results_list!$D294,SSP2_VSI!$B:$B,2025))) / (SUMIFS(SSP2_VSI!$F:$F,SSP2_VSI!$C:$C,Results_list!$C$277,SSP2_VSI!$D:$D,Results_list!$D294,SSP2_VSI!$B:$B,2025))</f>
        <v>-0.20024682739425681</v>
      </c>
      <c r="L294" s="15">
        <f t="shared" si="40"/>
        <v>0</v>
      </c>
      <c r="M294" s="14">
        <f>((SUMIFS(SSP5_Baseline!$E:$E,SSP5_Baseline!$C:$C,Results_list!$C$277,SSP5_Baseline!$D:$D,Results_list!$D294,SSP5_Baseline!$B:$B,2040)) - (SUMIFS(SSP5_Baseline!$E:$E,SSP5_Baseline!$C:$C,Results_list!$C$277,SSP5_Baseline!$D:$D,Results_list!$D294,SSP5_Baseline!$B:$B,2025))) / (SUMIFS(SSP5_Baseline!$E:$E,SSP5_Baseline!$C:$C,Results_list!$C$277,SSP5_Baseline!$D:$D,Results_list!$D294,SSP5_Baseline!$B:$B,2025))</f>
        <v>-0.11153081807723306</v>
      </c>
      <c r="N294" s="17">
        <f>((SUMIFS(SSP5_VSI!$F:$F,SSP5_VSI!$C:$C,Results_list!$C$277,SSP5_VSI!$D:$D,Results_list!$D294,SSP5_VSI!$B:$B,2040)) - (SUMIFS(SSP5_VSI!$F:$F,SSP5_VSI!$C:$C,Results_list!$C$277,SSP5_VSI!$D:$D,Results_list!$D294,SSP5_VSI!$B:$B,2025))) / (SUMIFS(SSP5_VSI!$F:$F,SSP5_VSI!$C:$C,Results_list!$C$277,SSP5_VSI!$D:$D,Results_list!$D294,SSP5_VSI!$B:$B,2025))</f>
        <v>-0.11152458956011696</v>
      </c>
      <c r="O294" s="15">
        <f t="shared" si="41"/>
        <v>0</v>
      </c>
    </row>
    <row r="296" spans="2:15" ht="19" customHeight="1" x14ac:dyDescent="0.35">
      <c r="F296" s="2"/>
      <c r="G296" s="78" t="s">
        <v>3</v>
      </c>
      <c r="H296" s="79"/>
      <c r="I296" s="79"/>
      <c r="J296" s="79"/>
      <c r="K296" s="79"/>
      <c r="L296" s="79"/>
      <c r="M296" s="79"/>
      <c r="N296" s="79"/>
      <c r="O296" s="80"/>
    </row>
    <row r="297" spans="2:15" ht="29" x14ac:dyDescent="0.35">
      <c r="B297" s="8" t="s">
        <v>30</v>
      </c>
      <c r="C297" s="8" t="s">
        <v>30</v>
      </c>
      <c r="D297" s="6" t="s">
        <v>106</v>
      </c>
      <c r="E297" s="27"/>
      <c r="F297" s="7" t="s">
        <v>105</v>
      </c>
      <c r="G297" s="10" t="s">
        <v>0</v>
      </c>
      <c r="H297" s="11" t="s">
        <v>108</v>
      </c>
      <c r="I297" s="18" t="s">
        <v>107</v>
      </c>
      <c r="J297" s="10" t="s">
        <v>1</v>
      </c>
      <c r="K297" s="11" t="s">
        <v>109</v>
      </c>
      <c r="L297" s="18" t="s">
        <v>107</v>
      </c>
      <c r="M297" s="10" t="s">
        <v>2</v>
      </c>
      <c r="N297" s="11" t="s">
        <v>110</v>
      </c>
      <c r="O297" s="18" t="s">
        <v>107</v>
      </c>
    </row>
    <row r="298" spans="2:15" ht="14.5" customHeight="1" x14ac:dyDescent="0.35">
      <c r="B298" s="81" t="s">
        <v>123</v>
      </c>
      <c r="C298" s="87" t="s">
        <v>78</v>
      </c>
      <c r="D298" t="s">
        <v>38</v>
      </c>
      <c r="F298" s="3" t="s">
        <v>87</v>
      </c>
      <c r="G298" s="12">
        <f>((SUMIFS(SSP1_Baseline!$E:$E,SSP1_Baseline!$C:$C,Results_list!$C$298,SSP1_Baseline!$D:$D,Results_list!$D298,SSP1_Baseline!$B:$B,2040)) - (SUMIFS(SSP1_Baseline!$E:$E,SSP1_Baseline!$C:$C,Results_list!$C$298,SSP1_Baseline!$D:$D,Results_list!$D298,SSP1_Baseline!$B:$B,2025))) / (SUMIFS(SSP1_Baseline!$E:$E,SSP1_Baseline!$C:$C,Results_list!$C$298,SSP1_Baseline!$D:$D,Results_list!$D298,SSP1_Baseline!$B:$B,2025))</f>
        <v>0.19294315032975209</v>
      </c>
      <c r="H298" s="16">
        <f>((SUMIFS(SSP1_VSI!$F:$F,SSP1_VSI!$C:$C,Results_list!$C$298,SSP1_VSI!$D:$D,Results_list!$D298,SSP1_VSI!$B:$B,2040)) - (SUMIFS(SSP1_VSI!$F:$F,SSP1_VSI!$C:$C,Results_list!$C$298,SSP1_VSI!$D:$D,Results_list!$D298,SSP1_VSI!$B:$B,2025))) / (SUMIFS(SSP1_VSI!$F:$F,SSP1_VSI!$C:$C,Results_list!$C$298,SSP1_VSI!$D:$D,Results_list!$D298,SSP1_VSI!$B:$B,2025))</f>
        <v>0.19302162635848402</v>
      </c>
      <c r="I298" s="19">
        <f>ROUND(H298-G298,3)</f>
        <v>0</v>
      </c>
      <c r="J298" s="12">
        <f>((SUMIFS(SSP2_Baseline!$E:$E,SSP2_Baseline!$C:$C,Results_list!$C$298,SSP2_Baseline!$D:$D,Results_list!$D298,SSP2_Baseline!$B:$B,2040)) - (SUMIFS(SSP2_Baseline!$E:$E,SSP2_Baseline!$C:$C,Results_list!$C$298,SSP2_Baseline!$D:$D,Results_list!$D298,SSP2_Baseline!$B:$B,2025))) / (SUMIFS(SSP2_Baseline!$E:$E,SSP2_Baseline!$C:$C,Results_list!$C$298,SSP2_Baseline!$D:$D,Results_list!$D298,SSP2_Baseline!$B:$B,2025))</f>
        <v>1.797435961852669</v>
      </c>
      <c r="K298" s="16">
        <f>((SUMIFS(SSP2_VSI!$F:$F,SSP2_VSI!$C:$C,Results_list!$C$298,SSP2_VSI!$D:$D,Results_list!$D298,SSP2_VSI!$B:$B,2040)) - (SUMIFS(SSP2_VSI!$F:$F,SSP2_VSI!$C:$C,Results_list!$C$298,SSP2_VSI!$D:$D,Results_list!$D298,SSP2_VSI!$B:$B,2025))) / (SUMIFS(SSP2_VSI!$F:$F,SSP2_VSI!$C:$C,Results_list!$C$298,SSP2_VSI!$D:$D,Results_list!$D298,SSP2_VSI!$B:$B,2025))</f>
        <v>1.7968240789079279</v>
      </c>
      <c r="L298" s="19">
        <f>ROUND(K298-J298,2)</f>
        <v>0</v>
      </c>
      <c r="M298" s="12">
        <f>((SUMIFS(SSP5_Baseline!$E:$E,SSP5_Baseline!$C:$C,Results_list!$C$298,SSP5_Baseline!$D:$D,Results_list!$D298,SSP5_Baseline!$B:$B,2040)) - (SUMIFS(SSP5_Baseline!$E:$E,SSP5_Baseline!$C:$C,Results_list!$C$298,SSP5_Baseline!$D:$D,Results_list!$D298,SSP5_Baseline!$B:$B,2025))) / (SUMIFS(SSP5_Baseline!$E:$E,SSP5_Baseline!$C:$C,Results_list!$C$298,SSP5_Baseline!$D:$D,Results_list!$D298,SSP5_Baseline!$B:$B,2025))</f>
        <v>3.6080083728946546</v>
      </c>
      <c r="N298" s="16">
        <f>((SUMIFS(SSP5_VSI!$F:$F,SSP5_VSI!$C:$C,Results_list!$C$298,SSP5_VSI!$D:$D,Results_list!$D298,SSP5_VSI!$B:$B,2040)) - (SUMIFS(SSP5_VSI!$F:$F,SSP5_VSI!$C:$C,Results_list!$C$298,SSP5_VSI!$D:$D,Results_list!$D298,SSP5_VSI!$B:$B,2025))) / (SUMIFS(SSP5_VSI!$F:$F,SSP5_VSI!$C:$C,Results_list!$C$298,SSP5_VSI!$D:$D,Results_list!$D298,SSP5_VSI!$B:$B,2025))</f>
        <v>3.6086902342070997</v>
      </c>
      <c r="O298" s="19">
        <f>ROUND(N298-M298,2)</f>
        <v>0</v>
      </c>
    </row>
    <row r="299" spans="2:15" x14ac:dyDescent="0.35">
      <c r="B299" s="81"/>
      <c r="C299" s="87"/>
      <c r="D299" t="s">
        <v>40</v>
      </c>
      <c r="F299" s="3" t="s">
        <v>88</v>
      </c>
      <c r="G299" s="12">
        <f>((SUMIFS(SSP1_Baseline!$E:$E,SSP1_Baseline!$C:$C,Results_list!$C$298,SSP1_Baseline!$D:$D,Results_list!$D299,SSP1_Baseline!$B:$B,2040)) - (SUMIFS(SSP1_Baseline!$E:$E,SSP1_Baseline!$C:$C,Results_list!$C$298,SSP1_Baseline!$D:$D,Results_list!$D299,SSP1_Baseline!$B:$B,2025))) / (SUMIFS(SSP1_Baseline!$E:$E,SSP1_Baseline!$C:$C,Results_list!$C$298,SSP1_Baseline!$D:$D,Results_list!$D299,SSP1_Baseline!$B:$B,2025))</f>
        <v>-8.2894653566400744E-3</v>
      </c>
      <c r="H299" s="16">
        <f>((SUMIFS(SSP1_VSI!$F:$F,SSP1_VSI!$C:$C,Results_list!$C$298,SSP1_VSI!$D:$D,Results_list!$D299,SSP1_VSI!$B:$B,2040)) - (SUMIFS(SSP1_VSI!$F:$F,SSP1_VSI!$C:$C,Results_list!$C$298,SSP1_VSI!$D:$D,Results_list!$D299,SSP1_VSI!$B:$B,2025))) / (SUMIFS(SSP1_VSI!$F:$F,SSP1_VSI!$C:$C,Results_list!$C$298,SSP1_VSI!$D:$D,Results_list!$D299,SSP1_VSI!$B:$B,2025))</f>
        <v>-8.2906248931802293E-3</v>
      </c>
      <c r="I299" s="13">
        <f t="shared" ref="I299:I315" si="42">ROUND(H299-G299,3)</f>
        <v>0</v>
      </c>
      <c r="J299" s="12">
        <f>((SUMIFS(SSP2_Baseline!$E:$E,SSP2_Baseline!$C:$C,Results_list!$C$298,SSP2_Baseline!$D:$D,Results_list!$D299,SSP2_Baseline!$B:$B,2040)) - (SUMIFS(SSP2_Baseline!$E:$E,SSP2_Baseline!$C:$C,Results_list!$C$298,SSP2_Baseline!$D:$D,Results_list!$D299,SSP2_Baseline!$B:$B,2025))) / (SUMIFS(SSP2_Baseline!$E:$E,SSP2_Baseline!$C:$C,Results_list!$C$298,SSP2_Baseline!$D:$D,Results_list!$D299,SSP2_Baseline!$B:$B,2025))</f>
        <v>-8.9253584479641618E-3</v>
      </c>
      <c r="K299" s="16">
        <f>((SUMIFS(SSP2_VSI!$F:$F,SSP2_VSI!$C:$C,Results_list!$C$298,SSP2_VSI!$D:$D,Results_list!$D299,SSP2_VSI!$B:$B,2040)) - (SUMIFS(SSP2_VSI!$F:$F,SSP2_VSI!$C:$C,Results_list!$C$298,SSP2_VSI!$D:$D,Results_list!$D299,SSP2_VSI!$B:$B,2025))) / (SUMIFS(SSP2_VSI!$F:$F,SSP2_VSI!$C:$C,Results_list!$C$298,SSP2_VSI!$D:$D,Results_list!$D299,SSP2_VSI!$B:$B,2025))</f>
        <v>-8.9276583416036028E-3</v>
      </c>
      <c r="L299" s="13">
        <f t="shared" ref="L299:L315" si="43">ROUND(K299-J299,2)</f>
        <v>0</v>
      </c>
      <c r="M299" s="12">
        <f>((SUMIFS(SSP5_Baseline!$E:$E,SSP5_Baseline!$C:$C,Results_list!$C$298,SSP5_Baseline!$D:$D,Results_list!$D299,SSP5_Baseline!$B:$B,2040)) - (SUMIFS(SSP5_Baseline!$E:$E,SSP5_Baseline!$C:$C,Results_list!$C$298,SSP5_Baseline!$D:$D,Results_list!$D299,SSP5_Baseline!$B:$B,2025))) / (SUMIFS(SSP5_Baseline!$E:$E,SSP5_Baseline!$C:$C,Results_list!$C$298,SSP5_Baseline!$D:$D,Results_list!$D299,SSP5_Baseline!$B:$B,2025))</f>
        <v>-2.9214431438036015E-3</v>
      </c>
      <c r="N299" s="16">
        <f>((SUMIFS(SSP5_VSI!$F:$F,SSP5_VSI!$C:$C,Results_list!$C$298,SSP5_VSI!$D:$D,Results_list!$D299,SSP5_VSI!$B:$B,2040)) - (SUMIFS(SSP5_VSI!$F:$F,SSP5_VSI!$C:$C,Results_list!$C$298,SSP5_VSI!$D:$D,Results_list!$D299,SSP5_VSI!$B:$B,2025))) / (SUMIFS(SSP5_VSI!$F:$F,SSP5_VSI!$C:$C,Results_list!$C$298,SSP5_VSI!$D:$D,Results_list!$D299,SSP5_VSI!$B:$B,2025))</f>
        <v>-2.9273516381298497E-3</v>
      </c>
      <c r="O299" s="13">
        <f t="shared" ref="O299:O315" si="44">ROUND(N299-M299,2)</f>
        <v>0</v>
      </c>
    </row>
    <row r="300" spans="2:15" x14ac:dyDescent="0.35">
      <c r="B300" s="81"/>
      <c r="C300" s="87"/>
      <c r="D300" t="s">
        <v>41</v>
      </c>
      <c r="F300" s="3" t="s">
        <v>89</v>
      </c>
      <c r="G300" s="12">
        <f>((SUMIFS(SSP1_Baseline!$E:$E,SSP1_Baseline!$C:$C,Results_list!$C$298,SSP1_Baseline!$D:$D,Results_list!$D300,SSP1_Baseline!$B:$B,2040)) - (SUMIFS(SSP1_Baseline!$E:$E,SSP1_Baseline!$C:$C,Results_list!$C$298,SSP1_Baseline!$D:$D,Results_list!$D300,SSP1_Baseline!$B:$B,2025))) / (SUMIFS(SSP1_Baseline!$E:$E,SSP1_Baseline!$C:$C,Results_list!$C$298,SSP1_Baseline!$D:$D,Results_list!$D300,SSP1_Baseline!$B:$B,2025))</f>
        <v>-1.1063286665465027E-2</v>
      </c>
      <c r="H300" s="16">
        <f>((SUMIFS(SSP1_VSI!$F:$F,SSP1_VSI!$C:$C,Results_list!$C$298,SSP1_VSI!$D:$D,Results_list!$D300,SSP1_VSI!$B:$B,2040)) - (SUMIFS(SSP1_VSI!$F:$F,SSP1_VSI!$C:$C,Results_list!$C$298,SSP1_VSI!$D:$D,Results_list!$D300,SSP1_VSI!$B:$B,2025))) / (SUMIFS(SSP1_VSI!$F:$F,SSP1_VSI!$C:$C,Results_list!$C$298,SSP1_VSI!$D:$D,Results_list!$D300,SSP1_VSI!$B:$B,2025))</f>
        <v>-1.1091922078044051E-2</v>
      </c>
      <c r="I300" s="13">
        <f t="shared" si="42"/>
        <v>0</v>
      </c>
      <c r="J300" s="12">
        <f>((SUMIFS(SSP2_Baseline!$E:$E,SSP2_Baseline!$C:$C,Results_list!$C$298,SSP2_Baseline!$D:$D,Results_list!$D300,SSP2_Baseline!$B:$B,2040)) - (SUMIFS(SSP2_Baseline!$E:$E,SSP2_Baseline!$C:$C,Results_list!$C$298,SSP2_Baseline!$D:$D,Results_list!$D300,SSP2_Baseline!$B:$B,2025))) / (SUMIFS(SSP2_Baseline!$E:$E,SSP2_Baseline!$C:$C,Results_list!$C$298,SSP2_Baseline!$D:$D,Results_list!$D300,SSP2_Baseline!$B:$B,2025))</f>
        <v>-6.8250359296339281E-3</v>
      </c>
      <c r="K300" s="16">
        <f>((SUMIFS(SSP2_VSI!$F:$F,SSP2_VSI!$C:$C,Results_list!$C$298,SSP2_VSI!$D:$D,Results_list!$D300,SSP2_VSI!$B:$B,2040)) - (SUMIFS(SSP2_VSI!$F:$F,SSP2_VSI!$C:$C,Results_list!$C$298,SSP2_VSI!$D:$D,Results_list!$D300,SSP2_VSI!$B:$B,2025))) / (SUMIFS(SSP2_VSI!$F:$F,SSP2_VSI!$C:$C,Results_list!$C$298,SSP2_VSI!$D:$D,Results_list!$D300,SSP2_VSI!$B:$B,2025))</f>
        <v>-6.8281105326416383E-3</v>
      </c>
      <c r="L300" s="13">
        <f t="shared" si="43"/>
        <v>0</v>
      </c>
      <c r="M300" s="12">
        <f>((SUMIFS(SSP5_Baseline!$E:$E,SSP5_Baseline!$C:$C,Results_list!$C$298,SSP5_Baseline!$D:$D,Results_list!$D300,SSP5_Baseline!$B:$B,2040)) - (SUMIFS(SSP5_Baseline!$E:$E,SSP5_Baseline!$C:$C,Results_list!$C$298,SSP5_Baseline!$D:$D,Results_list!$D300,SSP5_Baseline!$B:$B,2025))) / (SUMIFS(SSP5_Baseline!$E:$E,SSP5_Baseline!$C:$C,Results_list!$C$298,SSP5_Baseline!$D:$D,Results_list!$D300,SSP5_Baseline!$B:$B,2025))</f>
        <v>-4.0208457741165542E-3</v>
      </c>
      <c r="N300" s="16">
        <f>((SUMIFS(SSP5_VSI!$F:$F,SSP5_VSI!$C:$C,Results_list!$C$298,SSP5_VSI!$D:$D,Results_list!$D300,SSP5_VSI!$B:$B,2040)) - (SUMIFS(SSP5_VSI!$F:$F,SSP5_VSI!$C:$C,Results_list!$C$298,SSP5_VSI!$D:$D,Results_list!$D300,SSP5_VSI!$B:$B,2025))) / (SUMIFS(SSP5_VSI!$F:$F,SSP5_VSI!$C:$C,Results_list!$C$298,SSP5_VSI!$D:$D,Results_list!$D300,SSP5_VSI!$B:$B,2025))</f>
        <v>-4.0385468286151466E-3</v>
      </c>
      <c r="O300" s="13">
        <f t="shared" si="44"/>
        <v>0</v>
      </c>
    </row>
    <row r="301" spans="2:15" x14ac:dyDescent="0.35">
      <c r="B301" s="81"/>
      <c r="C301" s="87"/>
      <c r="D301" t="s">
        <v>42</v>
      </c>
      <c r="F301" s="3" t="s">
        <v>90</v>
      </c>
      <c r="G301" s="12">
        <f>((SUMIFS(SSP1_Baseline!$E:$E,SSP1_Baseline!$C:$C,Results_list!$C$298,SSP1_Baseline!$D:$D,Results_list!$D301,SSP1_Baseline!$B:$B,2040)) - (SUMIFS(SSP1_Baseline!$E:$E,SSP1_Baseline!$C:$C,Results_list!$C$298,SSP1_Baseline!$D:$D,Results_list!$D301,SSP1_Baseline!$B:$B,2025))) / (SUMIFS(SSP1_Baseline!$E:$E,SSP1_Baseline!$C:$C,Results_list!$C$298,SSP1_Baseline!$D:$D,Results_list!$D301,SSP1_Baseline!$B:$B,2025))</f>
        <v>-6.6244047402449048E-4</v>
      </c>
      <c r="H301" s="16">
        <f>((SUMIFS(SSP1_VSI!$F:$F,SSP1_VSI!$C:$C,Results_list!$C$298,SSP1_VSI!$D:$D,Results_list!$D301,SSP1_VSI!$B:$B,2040)) - (SUMIFS(SSP1_VSI!$F:$F,SSP1_VSI!$C:$C,Results_list!$C$298,SSP1_VSI!$D:$D,Results_list!$D301,SSP1_VSI!$B:$B,2025))) / (SUMIFS(SSP1_VSI!$F:$F,SSP1_VSI!$C:$C,Results_list!$C$298,SSP1_VSI!$D:$D,Results_list!$D301,SSP1_VSI!$B:$B,2025))</f>
        <v>-6.2561489259953913E-4</v>
      </c>
      <c r="I301" s="13">
        <f t="shared" si="42"/>
        <v>0</v>
      </c>
      <c r="J301" s="12">
        <f>((SUMIFS(SSP2_Baseline!$E:$E,SSP2_Baseline!$C:$C,Results_list!$C$298,SSP2_Baseline!$D:$D,Results_list!$D301,SSP2_Baseline!$B:$B,2040)) - (SUMIFS(SSP2_Baseline!$E:$E,SSP2_Baseline!$C:$C,Results_list!$C$298,SSP2_Baseline!$D:$D,Results_list!$D301,SSP2_Baseline!$B:$B,2025))) / (SUMIFS(SSP2_Baseline!$E:$E,SSP2_Baseline!$C:$C,Results_list!$C$298,SSP2_Baseline!$D:$D,Results_list!$D301,SSP2_Baseline!$B:$B,2025))</f>
        <v>6.5586407360909052E-2</v>
      </c>
      <c r="K301" s="16">
        <f>((SUMIFS(SSP2_VSI!$F:$F,SSP2_VSI!$C:$C,Results_list!$C$298,SSP2_VSI!$D:$D,Results_list!$D301,SSP2_VSI!$B:$B,2040)) - (SUMIFS(SSP2_VSI!$F:$F,SSP2_VSI!$C:$C,Results_list!$C$298,SSP2_VSI!$D:$D,Results_list!$D301,SSP2_VSI!$B:$B,2025))) / (SUMIFS(SSP2_VSI!$F:$F,SSP2_VSI!$C:$C,Results_list!$C$298,SSP2_VSI!$D:$D,Results_list!$D301,SSP2_VSI!$B:$B,2025))</f>
        <v>6.5560741490541669E-2</v>
      </c>
      <c r="L301" s="13">
        <f t="shared" si="43"/>
        <v>0</v>
      </c>
      <c r="M301" s="12">
        <f>((SUMIFS(SSP5_Baseline!$E:$E,SSP5_Baseline!$C:$C,Results_list!$C$298,SSP5_Baseline!$D:$D,Results_list!$D301,SSP5_Baseline!$B:$B,2040)) - (SUMIFS(SSP5_Baseline!$E:$E,SSP5_Baseline!$C:$C,Results_list!$C$298,SSP5_Baseline!$D:$D,Results_list!$D301,SSP5_Baseline!$B:$B,2025))) / (SUMIFS(SSP5_Baseline!$E:$E,SSP5_Baseline!$C:$C,Results_list!$C$298,SSP5_Baseline!$D:$D,Results_list!$D301,SSP5_Baseline!$B:$B,2025))</f>
        <v>5.6822479700069789E-2</v>
      </c>
      <c r="N301" s="16">
        <f>((SUMIFS(SSP5_VSI!$F:$F,SSP5_VSI!$C:$C,Results_list!$C$298,SSP5_VSI!$D:$D,Results_list!$D301,SSP5_VSI!$B:$B,2040)) - (SUMIFS(SSP5_VSI!$F:$F,SSP5_VSI!$C:$C,Results_list!$C$298,SSP5_VSI!$D:$D,Results_list!$D301,SSP5_VSI!$B:$B,2025))) / (SUMIFS(SSP5_VSI!$F:$F,SSP5_VSI!$C:$C,Results_list!$C$298,SSP5_VSI!$D:$D,Results_list!$D301,SSP5_VSI!$B:$B,2025))</f>
        <v>5.6995263052946311E-2</v>
      </c>
      <c r="O301" s="13">
        <f t="shared" si="44"/>
        <v>0</v>
      </c>
    </row>
    <row r="302" spans="2:15" x14ac:dyDescent="0.35">
      <c r="B302" s="81"/>
      <c r="C302" s="87"/>
      <c r="D302" t="s">
        <v>43</v>
      </c>
      <c r="F302" s="3" t="s">
        <v>91</v>
      </c>
      <c r="G302" s="12">
        <f>((SUMIFS(SSP1_Baseline!$E:$E,SSP1_Baseline!$C:$C,Results_list!$C$298,SSP1_Baseline!$D:$D,Results_list!$D302,SSP1_Baseline!$B:$B,2040)) - (SUMIFS(SSP1_Baseline!$E:$E,SSP1_Baseline!$C:$C,Results_list!$C$298,SSP1_Baseline!$D:$D,Results_list!$D302,SSP1_Baseline!$B:$B,2025))) / (SUMIFS(SSP1_Baseline!$E:$E,SSP1_Baseline!$C:$C,Results_list!$C$298,SSP1_Baseline!$D:$D,Results_list!$D302,SSP1_Baseline!$B:$B,2025))</f>
        <v>-1.4277257419370925E-2</v>
      </c>
      <c r="H302" s="16">
        <f>((SUMIFS(SSP1_VSI!$F:$F,SSP1_VSI!$C:$C,Results_list!$C$298,SSP1_VSI!$D:$D,Results_list!$D302,SSP1_VSI!$B:$B,2040)) - (SUMIFS(SSP1_VSI!$F:$F,SSP1_VSI!$C:$C,Results_list!$C$298,SSP1_VSI!$D:$D,Results_list!$D302,SSP1_VSI!$B:$B,2025))) / (SUMIFS(SSP1_VSI!$F:$F,SSP1_VSI!$C:$C,Results_list!$C$298,SSP1_VSI!$D:$D,Results_list!$D302,SSP1_VSI!$B:$B,2025))</f>
        <v>-1.4290443623282509E-2</v>
      </c>
      <c r="I302" s="13">
        <f t="shared" si="42"/>
        <v>0</v>
      </c>
      <c r="J302" s="12">
        <f>((SUMIFS(SSP2_Baseline!$E:$E,SSP2_Baseline!$C:$C,Results_list!$C$298,SSP2_Baseline!$D:$D,Results_list!$D302,SSP2_Baseline!$B:$B,2040)) - (SUMIFS(SSP2_Baseline!$E:$E,SSP2_Baseline!$C:$C,Results_list!$C$298,SSP2_Baseline!$D:$D,Results_list!$D302,SSP2_Baseline!$B:$B,2025))) / (SUMIFS(SSP2_Baseline!$E:$E,SSP2_Baseline!$C:$C,Results_list!$C$298,SSP2_Baseline!$D:$D,Results_list!$D302,SSP2_Baseline!$B:$B,2025))</f>
        <v>1.4324391462316875E-2</v>
      </c>
      <c r="K302" s="16">
        <f>((SUMIFS(SSP2_VSI!$F:$F,SSP2_VSI!$C:$C,Results_list!$C$298,SSP2_VSI!$D:$D,Results_list!$D302,SSP2_VSI!$B:$B,2040)) - (SUMIFS(SSP2_VSI!$F:$F,SSP2_VSI!$C:$C,Results_list!$C$298,SSP2_VSI!$D:$D,Results_list!$D302,SSP2_VSI!$B:$B,2025))) / (SUMIFS(SSP2_VSI!$F:$F,SSP2_VSI!$C:$C,Results_list!$C$298,SSP2_VSI!$D:$D,Results_list!$D302,SSP2_VSI!$B:$B,2025))</f>
        <v>1.432447555740512E-2</v>
      </c>
      <c r="L302" s="13">
        <f t="shared" si="43"/>
        <v>0</v>
      </c>
      <c r="M302" s="12">
        <f>((SUMIFS(SSP5_Baseline!$E:$E,SSP5_Baseline!$C:$C,Results_list!$C$298,SSP5_Baseline!$D:$D,Results_list!$D302,SSP5_Baseline!$B:$B,2040)) - (SUMIFS(SSP5_Baseline!$E:$E,SSP5_Baseline!$C:$C,Results_list!$C$298,SSP5_Baseline!$D:$D,Results_list!$D302,SSP5_Baseline!$B:$B,2025))) / (SUMIFS(SSP5_Baseline!$E:$E,SSP5_Baseline!$C:$C,Results_list!$C$298,SSP5_Baseline!$D:$D,Results_list!$D302,SSP5_Baseline!$B:$B,2025))</f>
        <v>1.7851600762277348E-2</v>
      </c>
      <c r="N302" s="16">
        <f>((SUMIFS(SSP5_VSI!$F:$F,SSP5_VSI!$C:$C,Results_list!$C$298,SSP5_VSI!$D:$D,Results_list!$D302,SSP5_VSI!$B:$B,2040)) - (SUMIFS(SSP5_VSI!$F:$F,SSP5_VSI!$C:$C,Results_list!$C$298,SSP5_VSI!$D:$D,Results_list!$D302,SSP5_VSI!$B:$B,2025))) / (SUMIFS(SSP5_VSI!$F:$F,SSP5_VSI!$C:$C,Results_list!$C$298,SSP5_VSI!$D:$D,Results_list!$D302,SSP5_VSI!$B:$B,2025))</f>
        <v>1.7845986793342199E-2</v>
      </c>
      <c r="O302" s="13">
        <f t="shared" si="44"/>
        <v>0</v>
      </c>
    </row>
    <row r="303" spans="2:15" x14ac:dyDescent="0.35">
      <c r="B303" s="81"/>
      <c r="C303" s="87"/>
      <c r="D303" t="s">
        <v>136</v>
      </c>
      <c r="F303" s="3" t="s">
        <v>92</v>
      </c>
      <c r="G303" s="12">
        <f>((SUMIFS(SSP1_Baseline!$E:$E,SSP1_Baseline!$C:$C,Results_list!$C$298,SSP1_Baseline!$D:$D,Results_list!$D303,SSP1_Baseline!$B:$B,2040)) - (SUMIFS(SSP1_Baseline!$E:$E,SSP1_Baseline!$C:$C,Results_list!$C$298,SSP1_Baseline!$D:$D,Results_list!$D303,SSP1_Baseline!$B:$B,2025))) / (SUMIFS(SSP1_Baseline!$E:$E,SSP1_Baseline!$C:$C,Results_list!$C$298,SSP1_Baseline!$D:$D,Results_list!$D303,SSP1_Baseline!$B:$B,2025))</f>
        <v>-0.10067039624273408</v>
      </c>
      <c r="H303" s="16">
        <f>((SUMIFS(SSP1_VSI!$F:$F,SSP1_VSI!$C:$C,Results_list!$C$298,SSP1_VSI!$D:$D,Results_list!$D303,SSP1_VSI!$B:$B,2040)) - (SUMIFS(SSP1_VSI!$F:$F,SSP1_VSI!$C:$C,Results_list!$C$298,SSP1_VSI!$D:$D,Results_list!$D303,SSP1_VSI!$B:$B,2025))) / (SUMIFS(SSP1_VSI!$F:$F,SSP1_VSI!$C:$C,Results_list!$C$298,SSP1_VSI!$D:$D,Results_list!$D303,SSP1_VSI!$B:$B,2025))</f>
        <v>-0.10080238397114491</v>
      </c>
      <c r="I303" s="13">
        <f t="shared" si="42"/>
        <v>0</v>
      </c>
      <c r="J303" s="12">
        <f>((SUMIFS(SSP2_Baseline!$E:$E,SSP2_Baseline!$C:$C,Results_list!$C$298,SSP2_Baseline!$D:$D,Results_list!$D303,SSP2_Baseline!$B:$B,2040)) - (SUMIFS(SSP2_Baseline!$E:$E,SSP2_Baseline!$C:$C,Results_list!$C$298,SSP2_Baseline!$D:$D,Results_list!$D303,SSP2_Baseline!$B:$B,2025))) / (SUMIFS(SSP2_Baseline!$E:$E,SSP2_Baseline!$C:$C,Results_list!$C$298,SSP2_Baseline!$D:$D,Results_list!$D303,SSP2_Baseline!$B:$B,2025))</f>
        <v>2.8547200564619062E-2</v>
      </c>
      <c r="K303" s="16">
        <f>((SUMIFS(SSP2_VSI!$F:$F,SSP2_VSI!$C:$C,Results_list!$C$298,SSP2_VSI!$D:$D,Results_list!$D303,SSP2_VSI!$B:$B,2040)) - (SUMIFS(SSP2_VSI!$F:$F,SSP2_VSI!$C:$C,Results_list!$C$298,SSP2_VSI!$D:$D,Results_list!$D303,SSP2_VSI!$B:$B,2025))) / (SUMIFS(SSP2_VSI!$F:$F,SSP2_VSI!$C:$C,Results_list!$C$298,SSP2_VSI!$D:$D,Results_list!$D303,SSP2_VSI!$B:$B,2025))</f>
        <v>2.8578094798689987E-2</v>
      </c>
      <c r="L303" s="13">
        <f t="shared" si="43"/>
        <v>0</v>
      </c>
      <c r="M303" s="12">
        <f>((SUMIFS(SSP5_Baseline!$E:$E,SSP5_Baseline!$C:$C,Results_list!$C$298,SSP5_Baseline!$D:$D,Results_list!$D303,SSP5_Baseline!$B:$B,2040)) - (SUMIFS(SSP5_Baseline!$E:$E,SSP5_Baseline!$C:$C,Results_list!$C$298,SSP5_Baseline!$D:$D,Results_list!$D303,SSP5_Baseline!$B:$B,2025))) / (SUMIFS(SSP5_Baseline!$E:$E,SSP5_Baseline!$C:$C,Results_list!$C$298,SSP5_Baseline!$D:$D,Results_list!$D303,SSP5_Baseline!$B:$B,2025))</f>
        <v>2.3328303854302096E-2</v>
      </c>
      <c r="N303" s="16">
        <f>((SUMIFS(SSP5_VSI!$F:$F,SSP5_VSI!$C:$C,Results_list!$C$298,SSP5_VSI!$D:$D,Results_list!$D303,SSP5_VSI!$B:$B,2040)) - (SUMIFS(SSP5_VSI!$F:$F,SSP5_VSI!$C:$C,Results_list!$C$298,SSP5_VSI!$D:$D,Results_list!$D303,SSP5_VSI!$B:$B,2025))) / (SUMIFS(SSP5_VSI!$F:$F,SSP5_VSI!$C:$C,Results_list!$C$298,SSP5_VSI!$D:$D,Results_list!$D303,SSP5_VSI!$B:$B,2025))</f>
        <v>2.340380264700721E-2</v>
      </c>
      <c r="O303" s="13">
        <f t="shared" si="44"/>
        <v>0</v>
      </c>
    </row>
    <row r="304" spans="2:15" x14ac:dyDescent="0.35">
      <c r="B304" s="81"/>
      <c r="C304" s="87"/>
      <c r="D304" t="s">
        <v>45</v>
      </c>
      <c r="F304" s="3" t="s">
        <v>93</v>
      </c>
      <c r="G304" s="12">
        <f>((SUMIFS(SSP1_Baseline!$E:$E,SSP1_Baseline!$C:$C,Results_list!$C$298,SSP1_Baseline!$D:$D,Results_list!$D304,SSP1_Baseline!$B:$B,2040)) - (SUMIFS(SSP1_Baseline!$E:$E,SSP1_Baseline!$C:$C,Results_list!$C$298,SSP1_Baseline!$D:$D,Results_list!$D304,SSP1_Baseline!$B:$B,2025))) / (SUMIFS(SSP1_Baseline!$E:$E,SSP1_Baseline!$C:$C,Results_list!$C$298,SSP1_Baseline!$D:$D,Results_list!$D304,SSP1_Baseline!$B:$B,2025))</f>
        <v>-4.1107038525297727E-2</v>
      </c>
      <c r="H304" s="16">
        <f>((SUMIFS(SSP1_VSI!$F:$F,SSP1_VSI!$C:$C,Results_list!$C$298,SSP1_VSI!$D:$D,Results_list!$D304,SSP1_VSI!$B:$B,2040)) - (SUMIFS(SSP1_VSI!$F:$F,SSP1_VSI!$C:$C,Results_list!$C$298,SSP1_VSI!$D:$D,Results_list!$D304,SSP1_VSI!$B:$B,2025))) / (SUMIFS(SSP1_VSI!$F:$F,SSP1_VSI!$C:$C,Results_list!$C$298,SSP1_VSI!$D:$D,Results_list!$D304,SSP1_VSI!$B:$B,2025))</f>
        <v>-4.2060582781203976E-2</v>
      </c>
      <c r="I304" s="13">
        <f t="shared" si="42"/>
        <v>-1E-3</v>
      </c>
      <c r="J304" s="12">
        <f>((SUMIFS(SSP2_Baseline!$E:$E,SSP2_Baseline!$C:$C,Results_list!$C$298,SSP2_Baseline!$D:$D,Results_list!$D304,SSP2_Baseline!$B:$B,2040)) - (SUMIFS(SSP2_Baseline!$E:$E,SSP2_Baseline!$C:$C,Results_list!$C$298,SSP2_Baseline!$D:$D,Results_list!$D304,SSP2_Baseline!$B:$B,2025))) / (SUMIFS(SSP2_Baseline!$E:$E,SSP2_Baseline!$C:$C,Results_list!$C$298,SSP2_Baseline!$D:$D,Results_list!$D304,SSP2_Baseline!$B:$B,2025))</f>
        <v>-3.0291816880796053E-2</v>
      </c>
      <c r="K304" s="16">
        <f>((SUMIFS(SSP2_VSI!$F:$F,SSP2_VSI!$C:$C,Results_list!$C$298,SSP2_VSI!$D:$D,Results_list!$D304,SSP2_VSI!$B:$B,2040)) - (SUMIFS(SSP2_VSI!$F:$F,SSP2_VSI!$C:$C,Results_list!$C$298,SSP2_VSI!$D:$D,Results_list!$D304,SSP2_VSI!$B:$B,2025))) / (SUMIFS(SSP2_VSI!$F:$F,SSP2_VSI!$C:$C,Results_list!$C$298,SSP2_VSI!$D:$D,Results_list!$D304,SSP2_VSI!$B:$B,2025))</f>
        <v>-3.1178327126372248E-2</v>
      </c>
      <c r="L304" s="13">
        <f t="shared" si="43"/>
        <v>0</v>
      </c>
      <c r="M304" s="12">
        <f>((SUMIFS(SSP5_Baseline!$E:$E,SSP5_Baseline!$C:$C,Results_list!$C$298,SSP5_Baseline!$D:$D,Results_list!$D304,SSP5_Baseline!$B:$B,2040)) - (SUMIFS(SSP5_Baseline!$E:$E,SSP5_Baseline!$C:$C,Results_list!$C$298,SSP5_Baseline!$D:$D,Results_list!$D304,SSP5_Baseline!$B:$B,2025))) / (SUMIFS(SSP5_Baseline!$E:$E,SSP5_Baseline!$C:$C,Results_list!$C$298,SSP5_Baseline!$D:$D,Results_list!$D304,SSP5_Baseline!$B:$B,2025))</f>
        <v>-3.2560620903654421E-2</v>
      </c>
      <c r="N304" s="16">
        <f>((SUMIFS(SSP5_VSI!$F:$F,SSP5_VSI!$C:$C,Results_list!$C$298,SSP5_VSI!$D:$D,Results_list!$D304,SSP5_VSI!$B:$B,2040)) - (SUMIFS(SSP5_VSI!$F:$F,SSP5_VSI!$C:$C,Results_list!$C$298,SSP5_VSI!$D:$D,Results_list!$D304,SSP5_VSI!$B:$B,2025))) / (SUMIFS(SSP5_VSI!$F:$F,SSP5_VSI!$C:$C,Results_list!$C$298,SSP5_VSI!$D:$D,Results_list!$D304,SSP5_VSI!$B:$B,2025))</f>
        <v>-3.3539733054218999E-2</v>
      </c>
      <c r="O304" s="13">
        <f t="shared" si="44"/>
        <v>0</v>
      </c>
    </row>
    <row r="305" spans="2:15" x14ac:dyDescent="0.35">
      <c r="B305" s="81"/>
      <c r="C305" s="87"/>
      <c r="D305" t="s">
        <v>46</v>
      </c>
      <c r="F305" s="3" t="s">
        <v>94</v>
      </c>
      <c r="G305" s="12">
        <f>((SUMIFS(SSP1_Baseline!$E:$E,SSP1_Baseline!$C:$C,Results_list!$C$298,SSP1_Baseline!$D:$D,Results_list!$D305,SSP1_Baseline!$B:$B,2040)) - (SUMIFS(SSP1_Baseline!$E:$E,SSP1_Baseline!$C:$C,Results_list!$C$298,SSP1_Baseline!$D:$D,Results_list!$D305,SSP1_Baseline!$B:$B,2025))) / (SUMIFS(SSP1_Baseline!$E:$E,SSP1_Baseline!$C:$C,Results_list!$C$298,SSP1_Baseline!$D:$D,Results_list!$D305,SSP1_Baseline!$B:$B,2025))</f>
        <v>1.1261350404958141</v>
      </c>
      <c r="H305" s="16">
        <f>((SUMIFS(SSP1_VSI!$F:$F,SSP1_VSI!$C:$C,Results_list!$C$298,SSP1_VSI!$D:$D,Results_list!$D305,SSP1_VSI!$B:$B,2040)) - (SUMIFS(SSP1_VSI!$F:$F,SSP1_VSI!$C:$C,Results_list!$C$298,SSP1_VSI!$D:$D,Results_list!$D305,SSP1_VSI!$B:$B,2025))) / (SUMIFS(SSP1_VSI!$F:$F,SSP1_VSI!$C:$C,Results_list!$C$298,SSP1_VSI!$D:$D,Results_list!$D305,SSP1_VSI!$B:$B,2025))</f>
        <v>1.1261656019953747</v>
      </c>
      <c r="I305" s="13">
        <f t="shared" si="42"/>
        <v>0</v>
      </c>
      <c r="J305" s="12">
        <f>((SUMIFS(SSP2_Baseline!$E:$E,SSP2_Baseline!$C:$C,Results_list!$C$298,SSP2_Baseline!$D:$D,Results_list!$D305,SSP2_Baseline!$B:$B,2040)) - (SUMIFS(SSP2_Baseline!$E:$E,SSP2_Baseline!$C:$C,Results_list!$C$298,SSP2_Baseline!$D:$D,Results_list!$D305,SSP2_Baseline!$B:$B,2025))) / (SUMIFS(SSP2_Baseline!$E:$E,SSP2_Baseline!$C:$C,Results_list!$C$298,SSP2_Baseline!$D:$D,Results_list!$D305,SSP2_Baseline!$B:$B,2025))</f>
        <v>0.96528840541993388</v>
      </c>
      <c r="K305" s="16">
        <f>((SUMIFS(SSP2_VSI!$F:$F,SSP2_VSI!$C:$C,Results_list!$C$298,SSP2_VSI!$D:$D,Results_list!$D305,SSP2_VSI!$B:$B,2040)) - (SUMIFS(SSP2_VSI!$F:$F,SSP2_VSI!$C:$C,Results_list!$C$298,SSP2_VSI!$D:$D,Results_list!$D305,SSP2_VSI!$B:$B,2025))) / (SUMIFS(SSP2_VSI!$F:$F,SSP2_VSI!$C:$C,Results_list!$C$298,SSP2_VSI!$D:$D,Results_list!$D305,SSP2_VSI!$B:$B,2025))</f>
        <v>0.96517111175568138</v>
      </c>
      <c r="L305" s="13">
        <f t="shared" si="43"/>
        <v>0</v>
      </c>
      <c r="M305" s="12">
        <f>((SUMIFS(SSP5_Baseline!$E:$E,SSP5_Baseline!$C:$C,Results_list!$C$298,SSP5_Baseline!$D:$D,Results_list!$D305,SSP5_Baseline!$B:$B,2040)) - (SUMIFS(SSP5_Baseline!$E:$E,SSP5_Baseline!$C:$C,Results_list!$C$298,SSP5_Baseline!$D:$D,Results_list!$D305,SSP5_Baseline!$B:$B,2025))) / (SUMIFS(SSP5_Baseline!$E:$E,SSP5_Baseline!$C:$C,Results_list!$C$298,SSP5_Baseline!$D:$D,Results_list!$D305,SSP5_Baseline!$B:$B,2025))</f>
        <v>0.5999162491006671</v>
      </c>
      <c r="N305" s="16">
        <f>((SUMIFS(SSP5_VSI!$F:$F,SSP5_VSI!$C:$C,Results_list!$C$298,SSP5_VSI!$D:$D,Results_list!$D305,SSP5_VSI!$B:$B,2040)) - (SUMIFS(SSP5_VSI!$F:$F,SSP5_VSI!$C:$C,Results_list!$C$298,SSP5_VSI!$D:$D,Results_list!$D305,SSP5_VSI!$B:$B,2025))) / (SUMIFS(SSP5_VSI!$F:$F,SSP5_VSI!$C:$C,Results_list!$C$298,SSP5_VSI!$D:$D,Results_list!$D305,SSP5_VSI!$B:$B,2025))</f>
        <v>0.59993515500137928</v>
      </c>
      <c r="O305" s="13">
        <f t="shared" si="44"/>
        <v>0</v>
      </c>
    </row>
    <row r="306" spans="2:15" x14ac:dyDescent="0.35">
      <c r="B306" s="81"/>
      <c r="C306" s="87"/>
      <c r="D306" t="s">
        <v>47</v>
      </c>
      <c r="F306" s="3" t="s">
        <v>95</v>
      </c>
      <c r="G306" s="12">
        <f>((SUMIFS(SSP1_Baseline!$E:$E,SSP1_Baseline!$C:$C,Results_list!$C$298,SSP1_Baseline!$D:$D,Results_list!$D306,SSP1_Baseline!$B:$B,2040)) - (SUMIFS(SSP1_Baseline!$E:$E,SSP1_Baseline!$C:$C,Results_list!$C$298,SSP1_Baseline!$D:$D,Results_list!$D306,SSP1_Baseline!$B:$B,2025))) / (SUMIFS(SSP1_Baseline!$E:$E,SSP1_Baseline!$C:$C,Results_list!$C$298,SSP1_Baseline!$D:$D,Results_list!$D306,SSP1_Baseline!$B:$B,2025))</f>
        <v>-7.9510903521696206E-4</v>
      </c>
      <c r="H306" s="16">
        <f>((SUMIFS(SSP1_VSI!$F:$F,SSP1_VSI!$C:$C,Results_list!$C$298,SSP1_VSI!$D:$D,Results_list!$D306,SSP1_VSI!$B:$B,2040)) - (SUMIFS(SSP1_VSI!$F:$F,SSP1_VSI!$C:$C,Results_list!$C$298,SSP1_VSI!$D:$D,Results_list!$D306,SSP1_VSI!$B:$B,2025))) / (SUMIFS(SSP1_VSI!$F:$F,SSP1_VSI!$C:$C,Results_list!$C$298,SSP1_VSI!$D:$D,Results_list!$D306,SSP1_VSI!$B:$B,2025))</f>
        <v>-6.7816877909284844E-4</v>
      </c>
      <c r="I306" s="13">
        <f t="shared" si="42"/>
        <v>0</v>
      </c>
      <c r="J306" s="12">
        <f>((SUMIFS(SSP2_Baseline!$E:$E,SSP2_Baseline!$C:$C,Results_list!$C$298,SSP2_Baseline!$D:$D,Results_list!$D306,SSP2_Baseline!$B:$B,2040)) - (SUMIFS(SSP2_Baseline!$E:$E,SSP2_Baseline!$C:$C,Results_list!$C$298,SSP2_Baseline!$D:$D,Results_list!$D306,SSP2_Baseline!$B:$B,2025))) / (SUMIFS(SSP2_Baseline!$E:$E,SSP2_Baseline!$C:$C,Results_list!$C$298,SSP2_Baseline!$D:$D,Results_list!$D306,SSP2_Baseline!$B:$B,2025))</f>
        <v>0.20385505985740701</v>
      </c>
      <c r="K306" s="16">
        <f>((SUMIFS(SSP2_VSI!$F:$F,SSP2_VSI!$C:$C,Results_list!$C$298,SSP2_VSI!$D:$D,Results_list!$D306,SSP2_VSI!$B:$B,2040)) - (SUMIFS(SSP2_VSI!$F:$F,SSP2_VSI!$C:$C,Results_list!$C$298,SSP2_VSI!$D:$D,Results_list!$D306,SSP2_VSI!$B:$B,2025))) / (SUMIFS(SSP2_VSI!$F:$F,SSP2_VSI!$C:$C,Results_list!$C$298,SSP2_VSI!$D:$D,Results_list!$D306,SSP2_VSI!$B:$B,2025))</f>
        <v>0.20385959110069377</v>
      </c>
      <c r="L306" s="13">
        <f t="shared" si="43"/>
        <v>0</v>
      </c>
      <c r="M306" s="12">
        <f>((SUMIFS(SSP5_Baseline!$E:$E,SSP5_Baseline!$C:$C,Results_list!$C$298,SSP5_Baseline!$D:$D,Results_list!$D306,SSP5_Baseline!$B:$B,2040)) - (SUMIFS(SSP5_Baseline!$E:$E,SSP5_Baseline!$C:$C,Results_list!$C$298,SSP5_Baseline!$D:$D,Results_list!$D306,SSP5_Baseline!$B:$B,2025))) / (SUMIFS(SSP5_Baseline!$E:$E,SSP5_Baseline!$C:$C,Results_list!$C$298,SSP5_Baseline!$D:$D,Results_list!$D306,SSP5_Baseline!$B:$B,2025))</f>
        <v>0.22133212179517414</v>
      </c>
      <c r="N306" s="16">
        <f>((SUMIFS(SSP5_VSI!$F:$F,SSP5_VSI!$C:$C,Results_list!$C$298,SSP5_VSI!$D:$D,Results_list!$D306,SSP5_VSI!$B:$B,2040)) - (SUMIFS(SSP5_VSI!$F:$F,SSP5_VSI!$C:$C,Results_list!$C$298,SSP5_VSI!$D:$D,Results_list!$D306,SSP5_VSI!$B:$B,2025))) / (SUMIFS(SSP5_VSI!$F:$F,SSP5_VSI!$C:$C,Results_list!$C$298,SSP5_VSI!$D:$D,Results_list!$D306,SSP5_VSI!$B:$B,2025))</f>
        <v>0.22190208558601754</v>
      </c>
      <c r="O306" s="13">
        <f t="shared" si="44"/>
        <v>0</v>
      </c>
    </row>
    <row r="307" spans="2:15" x14ac:dyDescent="0.35">
      <c r="B307" s="81"/>
      <c r="C307" s="87"/>
      <c r="D307" t="s">
        <v>48</v>
      </c>
      <c r="F307" s="3" t="s">
        <v>96</v>
      </c>
      <c r="G307" s="12">
        <f>((SUMIFS(SSP1_Baseline!$E:$E,SSP1_Baseline!$C:$C,Results_list!$C$298,SSP1_Baseline!$D:$D,Results_list!$D307,SSP1_Baseline!$B:$B,2040)) - (SUMIFS(SSP1_Baseline!$E:$E,SSP1_Baseline!$C:$C,Results_list!$C$298,SSP1_Baseline!$D:$D,Results_list!$D307,SSP1_Baseline!$B:$B,2025))) / (SUMIFS(SSP1_Baseline!$E:$E,SSP1_Baseline!$C:$C,Results_list!$C$298,SSP1_Baseline!$D:$D,Results_list!$D307,SSP1_Baseline!$B:$B,2025))</f>
        <v>4.4195429166713438E-7</v>
      </c>
      <c r="H307" s="16">
        <f>((SUMIFS(SSP1_VSI!$F:$F,SSP1_VSI!$C:$C,Results_list!$C$298,SSP1_VSI!$D:$D,Results_list!$D307,SSP1_VSI!$B:$B,2040)) - (SUMIFS(SSP1_VSI!$F:$F,SSP1_VSI!$C:$C,Results_list!$C$298,SSP1_VSI!$D:$D,Results_list!$D307,SSP1_VSI!$B:$B,2025))) / (SUMIFS(SSP1_VSI!$F:$F,SSP1_VSI!$C:$C,Results_list!$C$298,SSP1_VSI!$D:$D,Results_list!$D307,SSP1_VSI!$B:$B,2025))</f>
        <v>4.4249501710201218E-7</v>
      </c>
      <c r="I307" s="13">
        <f t="shared" si="42"/>
        <v>0</v>
      </c>
      <c r="J307" s="12">
        <f>((SUMIFS(SSP2_Baseline!$E:$E,SSP2_Baseline!$C:$C,Results_list!$C$298,SSP2_Baseline!$D:$D,Results_list!$D307,SSP2_Baseline!$B:$B,2040)) - (SUMIFS(SSP2_Baseline!$E:$E,SSP2_Baseline!$C:$C,Results_list!$C$298,SSP2_Baseline!$D:$D,Results_list!$D307,SSP2_Baseline!$B:$B,2025))) / (SUMIFS(SSP2_Baseline!$E:$E,SSP2_Baseline!$C:$C,Results_list!$C$298,SSP2_Baseline!$D:$D,Results_list!$D307,SSP2_Baseline!$B:$B,2025))</f>
        <v>-2.7650611063414456E-7</v>
      </c>
      <c r="K307" s="16">
        <f>((SUMIFS(SSP2_VSI!$F:$F,SSP2_VSI!$C:$C,Results_list!$C$298,SSP2_VSI!$D:$D,Results_list!$D307,SSP2_VSI!$B:$B,2040)) - (SUMIFS(SSP2_VSI!$F:$F,SSP2_VSI!$C:$C,Results_list!$C$298,SSP2_VSI!$D:$D,Results_list!$D307,SSP2_VSI!$B:$B,2025))) / (SUMIFS(SSP2_VSI!$F:$F,SSP2_VSI!$C:$C,Results_list!$C$298,SSP2_VSI!$D:$D,Results_list!$D307,SSP2_VSI!$B:$B,2025))</f>
        <v>-2.7685365172943984E-7</v>
      </c>
      <c r="L307" s="13">
        <f t="shared" si="43"/>
        <v>0</v>
      </c>
      <c r="M307" s="12">
        <f>((SUMIFS(SSP5_Baseline!$E:$E,SSP5_Baseline!$C:$C,Results_list!$C$298,SSP5_Baseline!$D:$D,Results_list!$D307,SSP5_Baseline!$B:$B,2040)) - (SUMIFS(SSP5_Baseline!$E:$E,SSP5_Baseline!$C:$C,Results_list!$C$298,SSP5_Baseline!$D:$D,Results_list!$D307,SSP5_Baseline!$B:$B,2025))) / (SUMIFS(SSP5_Baseline!$E:$E,SSP5_Baseline!$C:$C,Results_list!$C$298,SSP5_Baseline!$D:$D,Results_list!$D307,SSP5_Baseline!$B:$B,2025))</f>
        <v>1.9147171562359829E-8</v>
      </c>
      <c r="N307" s="16">
        <f>((SUMIFS(SSP5_VSI!$F:$F,SSP5_VSI!$C:$C,Results_list!$C$298,SSP5_VSI!$D:$D,Results_list!$D307,SSP5_VSI!$B:$B,2040)) - (SUMIFS(SSP5_VSI!$F:$F,SSP5_VSI!$C:$C,Results_list!$C$298,SSP5_VSI!$D:$D,Results_list!$D307,SSP5_VSI!$B:$B,2025))) / (SUMIFS(SSP5_VSI!$F:$F,SSP5_VSI!$C:$C,Results_list!$C$298,SSP5_VSI!$D:$D,Results_list!$D307,SSP5_VSI!$B:$B,2025))</f>
        <v>2.0025415538913121E-8</v>
      </c>
      <c r="O307" s="13">
        <f t="shared" si="44"/>
        <v>0</v>
      </c>
    </row>
    <row r="308" spans="2:15" x14ac:dyDescent="0.35">
      <c r="B308" s="81"/>
      <c r="C308" s="87"/>
      <c r="D308" t="s">
        <v>49</v>
      </c>
      <c r="F308" s="3" t="s">
        <v>97</v>
      </c>
      <c r="G308" s="12">
        <f>((SUMIFS(SSP1_Baseline!$E:$E,SSP1_Baseline!$C:$C,Results_list!$C$298,SSP1_Baseline!$D:$D,Results_list!$D308,SSP1_Baseline!$B:$B,2040)) - (SUMIFS(SSP1_Baseline!$E:$E,SSP1_Baseline!$C:$C,Results_list!$C$298,SSP1_Baseline!$D:$D,Results_list!$D308,SSP1_Baseline!$B:$B,2025))) / (SUMIFS(SSP1_Baseline!$E:$E,SSP1_Baseline!$C:$C,Results_list!$C$298,SSP1_Baseline!$D:$D,Results_list!$D308,SSP1_Baseline!$B:$B,2025))</f>
        <v>-2.241991649238495E-2</v>
      </c>
      <c r="H308" s="16">
        <f>((SUMIFS(SSP1_VSI!$F:$F,SSP1_VSI!$C:$C,Results_list!$C$298,SSP1_VSI!$D:$D,Results_list!$D308,SSP1_VSI!$B:$B,2040)) - (SUMIFS(SSP1_VSI!$F:$F,SSP1_VSI!$C:$C,Results_list!$C$298,SSP1_VSI!$D:$D,Results_list!$D308,SSP1_VSI!$B:$B,2025))) / (SUMIFS(SSP1_VSI!$F:$F,SSP1_VSI!$C:$C,Results_list!$C$298,SSP1_VSI!$D:$D,Results_list!$D308,SSP1_VSI!$B:$B,2025))</f>
        <v>-2.250095202543597E-2</v>
      </c>
      <c r="I308" s="13">
        <f t="shared" si="42"/>
        <v>0</v>
      </c>
      <c r="J308" s="12">
        <f>((SUMIFS(SSP2_Baseline!$E:$E,SSP2_Baseline!$C:$C,Results_list!$C$298,SSP2_Baseline!$D:$D,Results_list!$D308,SSP2_Baseline!$B:$B,2040)) - (SUMIFS(SSP2_Baseline!$E:$E,SSP2_Baseline!$C:$C,Results_list!$C$298,SSP2_Baseline!$D:$D,Results_list!$D308,SSP2_Baseline!$B:$B,2025))) / (SUMIFS(SSP2_Baseline!$E:$E,SSP2_Baseline!$C:$C,Results_list!$C$298,SSP2_Baseline!$D:$D,Results_list!$D308,SSP2_Baseline!$B:$B,2025))</f>
        <v>-2.1552263870956235E-3</v>
      </c>
      <c r="K308" s="16">
        <f>((SUMIFS(SSP2_VSI!$F:$F,SSP2_VSI!$C:$C,Results_list!$C$298,SSP2_VSI!$D:$D,Results_list!$D308,SSP2_VSI!$B:$B,2040)) - (SUMIFS(SSP2_VSI!$F:$F,SSP2_VSI!$C:$C,Results_list!$C$298,SSP2_VSI!$D:$D,Results_list!$D308,SSP2_VSI!$B:$B,2025))) / (SUMIFS(SSP2_VSI!$F:$F,SSP2_VSI!$C:$C,Results_list!$C$298,SSP2_VSI!$D:$D,Results_list!$D308,SSP2_VSI!$B:$B,2025))</f>
        <v>-2.1563029641022916E-3</v>
      </c>
      <c r="L308" s="13">
        <f t="shared" si="43"/>
        <v>0</v>
      </c>
      <c r="M308" s="12">
        <f>((SUMIFS(SSP5_Baseline!$E:$E,SSP5_Baseline!$C:$C,Results_list!$C$298,SSP5_Baseline!$D:$D,Results_list!$D308,SSP5_Baseline!$B:$B,2040)) - (SUMIFS(SSP5_Baseline!$E:$E,SSP5_Baseline!$C:$C,Results_list!$C$298,SSP5_Baseline!$D:$D,Results_list!$D308,SSP5_Baseline!$B:$B,2025))) / (SUMIFS(SSP5_Baseline!$E:$E,SSP5_Baseline!$C:$C,Results_list!$C$298,SSP5_Baseline!$D:$D,Results_list!$D308,SSP5_Baseline!$B:$B,2025))</f>
        <v>-8.4084982032463645E-3</v>
      </c>
      <c r="N308" s="16">
        <f>((SUMIFS(SSP5_VSI!$F:$F,SSP5_VSI!$C:$C,Results_list!$C$298,SSP5_VSI!$D:$D,Results_list!$D308,SSP5_VSI!$B:$B,2040)) - (SUMIFS(SSP5_VSI!$F:$F,SSP5_VSI!$C:$C,Results_list!$C$298,SSP5_VSI!$D:$D,Results_list!$D308,SSP5_VSI!$B:$B,2025))) / (SUMIFS(SSP5_VSI!$F:$F,SSP5_VSI!$C:$C,Results_list!$C$298,SSP5_VSI!$D:$D,Results_list!$D308,SSP5_VSI!$B:$B,2025))</f>
        <v>-8.4705769496181086E-3</v>
      </c>
      <c r="O308" s="13">
        <f t="shared" si="44"/>
        <v>0</v>
      </c>
    </row>
    <row r="309" spans="2:15" x14ac:dyDescent="0.35">
      <c r="B309" s="81"/>
      <c r="C309" s="87"/>
      <c r="D309" t="s">
        <v>50</v>
      </c>
      <c r="F309" s="3" t="s">
        <v>98</v>
      </c>
      <c r="G309" s="12">
        <f>((SUMIFS(SSP1_Baseline!$E:$E,SSP1_Baseline!$C:$C,Results_list!$C$298,SSP1_Baseline!$D:$D,Results_list!$D309,SSP1_Baseline!$B:$B,2040)) - (SUMIFS(SSP1_Baseline!$E:$E,SSP1_Baseline!$C:$C,Results_list!$C$298,SSP1_Baseline!$D:$D,Results_list!$D309,SSP1_Baseline!$B:$B,2025))) / (SUMIFS(SSP1_Baseline!$E:$E,SSP1_Baseline!$C:$C,Results_list!$C$298,SSP1_Baseline!$D:$D,Results_list!$D309,SSP1_Baseline!$B:$B,2025))</f>
        <v>-1.2077350548436052E-2</v>
      </c>
      <c r="H309" s="16">
        <f>((SUMIFS(SSP1_VSI!$F:$F,SSP1_VSI!$C:$C,Results_list!$C$298,SSP1_VSI!$D:$D,Results_list!$D309,SSP1_VSI!$B:$B,2040)) - (SUMIFS(SSP1_VSI!$F:$F,SSP1_VSI!$C:$C,Results_list!$C$298,SSP1_VSI!$D:$D,Results_list!$D309,SSP1_VSI!$B:$B,2025))) / (SUMIFS(SSP1_VSI!$F:$F,SSP1_VSI!$C:$C,Results_list!$C$298,SSP1_VSI!$D:$D,Results_list!$D309,SSP1_VSI!$B:$B,2025))</f>
        <v>-1.2076963703012041E-2</v>
      </c>
      <c r="I309" s="13">
        <f t="shared" si="42"/>
        <v>0</v>
      </c>
      <c r="J309" s="12">
        <f>((SUMIFS(SSP2_Baseline!$E:$E,SSP2_Baseline!$C:$C,Results_list!$C$298,SSP2_Baseline!$D:$D,Results_list!$D309,SSP2_Baseline!$B:$B,2040)) - (SUMIFS(SSP2_Baseline!$E:$E,SSP2_Baseline!$C:$C,Results_list!$C$298,SSP2_Baseline!$D:$D,Results_list!$D309,SSP2_Baseline!$B:$B,2025))) / (SUMIFS(SSP2_Baseline!$E:$E,SSP2_Baseline!$C:$C,Results_list!$C$298,SSP2_Baseline!$D:$D,Results_list!$D309,SSP2_Baseline!$B:$B,2025))</f>
        <v>1.7682537590632028E-2</v>
      </c>
      <c r="K309" s="16">
        <f>((SUMIFS(SSP2_VSI!$F:$F,SSP2_VSI!$C:$C,Results_list!$C$298,SSP2_VSI!$D:$D,Results_list!$D309,SSP2_VSI!$B:$B,2040)) - (SUMIFS(SSP2_VSI!$F:$F,SSP2_VSI!$C:$C,Results_list!$C$298,SSP2_VSI!$D:$D,Results_list!$D309,SSP2_VSI!$B:$B,2025))) / (SUMIFS(SSP2_VSI!$F:$F,SSP2_VSI!$C:$C,Results_list!$C$298,SSP2_VSI!$D:$D,Results_list!$D309,SSP2_VSI!$B:$B,2025))</f>
        <v>1.7680856310284054E-2</v>
      </c>
      <c r="L309" s="13">
        <f t="shared" si="43"/>
        <v>0</v>
      </c>
      <c r="M309" s="12">
        <f>((SUMIFS(SSP5_Baseline!$E:$E,SSP5_Baseline!$C:$C,Results_list!$C$298,SSP5_Baseline!$D:$D,Results_list!$D309,SSP5_Baseline!$B:$B,2040)) - (SUMIFS(SSP5_Baseline!$E:$E,SSP5_Baseline!$C:$C,Results_list!$C$298,SSP5_Baseline!$D:$D,Results_list!$D309,SSP5_Baseline!$B:$B,2025))) / (SUMIFS(SSP5_Baseline!$E:$E,SSP5_Baseline!$C:$C,Results_list!$C$298,SSP5_Baseline!$D:$D,Results_list!$D309,SSP5_Baseline!$B:$B,2025))</f>
        <v>2.2154270146233269E-2</v>
      </c>
      <c r="N309" s="16">
        <f>((SUMIFS(SSP5_VSI!$F:$F,SSP5_VSI!$C:$C,Results_list!$C$298,SSP5_VSI!$D:$D,Results_list!$D309,SSP5_VSI!$B:$B,2040)) - (SUMIFS(SSP5_VSI!$F:$F,SSP5_VSI!$C:$C,Results_list!$C$298,SSP5_VSI!$D:$D,Results_list!$D309,SSP5_VSI!$B:$B,2025))) / (SUMIFS(SSP5_VSI!$F:$F,SSP5_VSI!$C:$C,Results_list!$C$298,SSP5_VSI!$D:$D,Results_list!$D309,SSP5_VSI!$B:$B,2025))</f>
        <v>2.2157383071424657E-2</v>
      </c>
      <c r="O309" s="13">
        <f t="shared" si="44"/>
        <v>0</v>
      </c>
    </row>
    <row r="310" spans="2:15" x14ac:dyDescent="0.35">
      <c r="B310" s="81"/>
      <c r="C310" s="87"/>
      <c r="D310" t="s">
        <v>51</v>
      </c>
      <c r="F310" s="3" t="s">
        <v>99</v>
      </c>
      <c r="G310" s="12">
        <f>((SUMIFS(SSP1_Baseline!$E:$E,SSP1_Baseline!$C:$C,Results_list!$C$298,SSP1_Baseline!$D:$D,Results_list!$D310,SSP1_Baseline!$B:$B,2040)) - (SUMIFS(SSP1_Baseline!$E:$E,SSP1_Baseline!$C:$C,Results_list!$C$298,SSP1_Baseline!$D:$D,Results_list!$D310,SSP1_Baseline!$B:$B,2025))) / (SUMIFS(SSP1_Baseline!$E:$E,SSP1_Baseline!$C:$C,Results_list!$C$298,SSP1_Baseline!$D:$D,Results_list!$D310,SSP1_Baseline!$B:$B,2025))</f>
        <v>2.4199519261095029E-3</v>
      </c>
      <c r="H310" s="16">
        <f>((SUMIFS(SSP1_VSI!$F:$F,SSP1_VSI!$C:$C,Results_list!$C$298,SSP1_VSI!$D:$D,Results_list!$D310,SSP1_VSI!$B:$B,2040)) - (SUMIFS(SSP1_VSI!$F:$F,SSP1_VSI!$C:$C,Results_list!$C$298,SSP1_VSI!$D:$D,Results_list!$D310,SSP1_VSI!$B:$B,2025))) / (SUMIFS(SSP1_VSI!$F:$F,SSP1_VSI!$C:$C,Results_list!$C$298,SSP1_VSI!$D:$D,Results_list!$D310,SSP1_VSI!$B:$B,2025))</f>
        <v>2.4194486011163492E-3</v>
      </c>
      <c r="I310" s="13">
        <f t="shared" si="42"/>
        <v>0</v>
      </c>
      <c r="J310" s="12">
        <f>((SUMIFS(SSP2_Baseline!$E:$E,SSP2_Baseline!$C:$C,Results_list!$C$298,SSP2_Baseline!$D:$D,Results_list!$D310,SSP2_Baseline!$B:$B,2040)) - (SUMIFS(SSP2_Baseline!$E:$E,SSP2_Baseline!$C:$C,Results_list!$C$298,SSP2_Baseline!$D:$D,Results_list!$D310,SSP2_Baseline!$B:$B,2025))) / (SUMIFS(SSP2_Baseline!$E:$E,SSP2_Baseline!$C:$C,Results_list!$C$298,SSP2_Baseline!$D:$D,Results_list!$D310,SSP2_Baseline!$B:$B,2025))</f>
        <v>3.1232435160864339E-3</v>
      </c>
      <c r="K310" s="16">
        <f>((SUMIFS(SSP2_VSI!$F:$F,SSP2_VSI!$C:$C,Results_list!$C$298,SSP2_VSI!$D:$D,Results_list!$D310,SSP2_VSI!$B:$B,2040)) - (SUMIFS(SSP2_VSI!$F:$F,SSP2_VSI!$C:$C,Results_list!$C$298,SSP2_VSI!$D:$D,Results_list!$D310,SSP2_VSI!$B:$B,2025))) / (SUMIFS(SSP2_VSI!$F:$F,SSP2_VSI!$C:$C,Results_list!$C$298,SSP2_VSI!$D:$D,Results_list!$D310,SSP2_VSI!$B:$B,2025))</f>
        <v>3.1162293198854973E-3</v>
      </c>
      <c r="L310" s="13">
        <f t="shared" si="43"/>
        <v>0</v>
      </c>
      <c r="M310" s="12">
        <f>((SUMIFS(SSP5_Baseline!$E:$E,SSP5_Baseline!$C:$C,Results_list!$C$298,SSP5_Baseline!$D:$D,Results_list!$D310,SSP5_Baseline!$B:$B,2040)) - (SUMIFS(SSP5_Baseline!$E:$E,SSP5_Baseline!$C:$C,Results_list!$C$298,SSP5_Baseline!$D:$D,Results_list!$D310,SSP5_Baseline!$B:$B,2025))) / (SUMIFS(SSP5_Baseline!$E:$E,SSP5_Baseline!$C:$C,Results_list!$C$298,SSP5_Baseline!$D:$D,Results_list!$D310,SSP5_Baseline!$B:$B,2025))</f>
        <v>6.4681466765003433E-4</v>
      </c>
      <c r="N310" s="16">
        <f>((SUMIFS(SSP5_VSI!$F:$F,SSP5_VSI!$C:$C,Results_list!$C$298,SSP5_VSI!$D:$D,Results_list!$D310,SSP5_VSI!$B:$B,2040)) - (SUMIFS(SSP5_VSI!$F:$F,SSP5_VSI!$C:$C,Results_list!$C$298,SSP5_VSI!$D:$D,Results_list!$D310,SSP5_VSI!$B:$B,2025))) / (SUMIFS(SSP5_VSI!$F:$F,SSP5_VSI!$C:$C,Results_list!$C$298,SSP5_VSI!$D:$D,Results_list!$D310,SSP5_VSI!$B:$B,2025))</f>
        <v>6.4922355262353384E-4</v>
      </c>
      <c r="O310" s="13">
        <f t="shared" si="44"/>
        <v>0</v>
      </c>
    </row>
    <row r="311" spans="2:15" x14ac:dyDescent="0.35">
      <c r="B311" s="81"/>
      <c r="C311" s="87"/>
      <c r="D311" t="s">
        <v>52</v>
      </c>
      <c r="F311" s="3" t="s">
        <v>100</v>
      </c>
      <c r="G311" s="12">
        <f>((SUMIFS(SSP1_Baseline!$E:$E,SSP1_Baseline!$C:$C,Results_list!$C$298,SSP1_Baseline!$D:$D,Results_list!$D311,SSP1_Baseline!$B:$B,2040)) - (SUMIFS(SSP1_Baseline!$E:$E,SSP1_Baseline!$C:$C,Results_list!$C$298,SSP1_Baseline!$D:$D,Results_list!$D311,SSP1_Baseline!$B:$B,2025))) / (SUMIFS(SSP1_Baseline!$E:$E,SSP1_Baseline!$C:$C,Results_list!$C$298,SSP1_Baseline!$D:$D,Results_list!$D311,SSP1_Baseline!$B:$B,2025))</f>
        <v>-0.32994927481377651</v>
      </c>
      <c r="H311" s="16">
        <f>((SUMIFS(SSP1_VSI!$F:$F,SSP1_VSI!$C:$C,Results_list!$C$298,SSP1_VSI!$D:$D,Results_list!$D311,SSP1_VSI!$B:$B,2040)) - (SUMIFS(SSP1_VSI!$F:$F,SSP1_VSI!$C:$C,Results_list!$C$298,SSP1_VSI!$D:$D,Results_list!$D311,SSP1_VSI!$B:$B,2025))) / (SUMIFS(SSP1_VSI!$F:$F,SSP1_VSI!$C:$C,Results_list!$C$298,SSP1_VSI!$D:$D,Results_list!$D311,SSP1_VSI!$B:$B,2025))</f>
        <v>-0.32978258037341923</v>
      </c>
      <c r="I311" s="13">
        <f t="shared" si="42"/>
        <v>0</v>
      </c>
      <c r="J311" s="12">
        <f>((SUMIFS(SSP2_Baseline!$E:$E,SSP2_Baseline!$C:$C,Results_list!$C$298,SSP2_Baseline!$D:$D,Results_list!$D311,SSP2_Baseline!$B:$B,2040)) - (SUMIFS(SSP2_Baseline!$E:$E,SSP2_Baseline!$C:$C,Results_list!$C$298,SSP2_Baseline!$D:$D,Results_list!$D311,SSP2_Baseline!$B:$B,2025))) / (SUMIFS(SSP2_Baseline!$E:$E,SSP2_Baseline!$C:$C,Results_list!$C$298,SSP2_Baseline!$D:$D,Results_list!$D311,SSP2_Baseline!$B:$B,2025))</f>
        <v>-0.25641778276482047</v>
      </c>
      <c r="K311" s="16">
        <f>((SUMIFS(SSP2_VSI!$F:$F,SSP2_VSI!$C:$C,Results_list!$C$298,SSP2_VSI!$D:$D,Results_list!$D311,SSP2_VSI!$B:$B,2040)) - (SUMIFS(SSP2_VSI!$F:$F,SSP2_VSI!$C:$C,Results_list!$C$298,SSP2_VSI!$D:$D,Results_list!$D311,SSP2_VSI!$B:$B,2025))) / (SUMIFS(SSP2_VSI!$F:$F,SSP2_VSI!$C:$C,Results_list!$C$298,SSP2_VSI!$D:$D,Results_list!$D311,SSP2_VSI!$B:$B,2025))</f>
        <v>-0.25609444477250426</v>
      </c>
      <c r="L311" s="13">
        <f t="shared" si="43"/>
        <v>0</v>
      </c>
      <c r="M311" s="12">
        <f>((SUMIFS(SSP5_Baseline!$E:$E,SSP5_Baseline!$C:$C,Results_list!$C$298,SSP5_Baseline!$D:$D,Results_list!$D311,SSP5_Baseline!$B:$B,2040)) - (SUMIFS(SSP5_Baseline!$E:$E,SSP5_Baseline!$C:$C,Results_list!$C$298,SSP5_Baseline!$D:$D,Results_list!$D311,SSP5_Baseline!$B:$B,2025))) / (SUMIFS(SSP5_Baseline!$E:$E,SSP5_Baseline!$C:$C,Results_list!$C$298,SSP5_Baseline!$D:$D,Results_list!$D311,SSP5_Baseline!$B:$B,2025))</f>
        <v>-0.28450954065457079</v>
      </c>
      <c r="N311" s="16">
        <f>((SUMIFS(SSP5_VSI!$F:$F,SSP5_VSI!$C:$C,Results_list!$C$298,SSP5_VSI!$D:$D,Results_list!$D311,SSP5_VSI!$B:$B,2040)) - (SUMIFS(SSP5_VSI!$F:$F,SSP5_VSI!$C:$C,Results_list!$C$298,SSP5_VSI!$D:$D,Results_list!$D311,SSP5_VSI!$B:$B,2025))) / (SUMIFS(SSP5_VSI!$F:$F,SSP5_VSI!$C:$C,Results_list!$C$298,SSP5_VSI!$D:$D,Results_list!$D311,SSP5_VSI!$B:$B,2025))</f>
        <v>-0.28426538174436305</v>
      </c>
      <c r="O311" s="13">
        <f t="shared" si="44"/>
        <v>0</v>
      </c>
    </row>
    <row r="312" spans="2:15" x14ac:dyDescent="0.35">
      <c r="B312" s="81"/>
      <c r="C312" s="87"/>
      <c r="D312" t="s">
        <v>53</v>
      </c>
      <c r="F312" s="3" t="s">
        <v>101</v>
      </c>
      <c r="G312" s="12">
        <f>((SUMIFS(SSP1_Baseline!$E:$E,SSP1_Baseline!$C:$C,Results_list!$C$298,SSP1_Baseline!$D:$D,Results_list!$D312,SSP1_Baseline!$B:$B,2040)) - (SUMIFS(SSP1_Baseline!$E:$E,SSP1_Baseline!$C:$C,Results_list!$C$298,SSP1_Baseline!$D:$D,Results_list!$D312,SSP1_Baseline!$B:$B,2025))) / (SUMIFS(SSP1_Baseline!$E:$E,SSP1_Baseline!$C:$C,Results_list!$C$298,SSP1_Baseline!$D:$D,Results_list!$D312,SSP1_Baseline!$B:$B,2025))</f>
        <v>-0.11165741608732131</v>
      </c>
      <c r="H312" s="16">
        <f>((SUMIFS(SSP1_VSI!$F:$F,SSP1_VSI!$C:$C,Results_list!$C$298,SSP1_VSI!$D:$D,Results_list!$D312,SSP1_VSI!$B:$B,2040)) - (SUMIFS(SSP1_VSI!$F:$F,SSP1_VSI!$C:$C,Results_list!$C$298,SSP1_VSI!$D:$D,Results_list!$D312,SSP1_VSI!$B:$B,2025))) / (SUMIFS(SSP1_VSI!$F:$F,SSP1_VSI!$C:$C,Results_list!$C$298,SSP1_VSI!$D:$D,Results_list!$D312,SSP1_VSI!$B:$B,2025))</f>
        <v>-0.11177871378643976</v>
      </c>
      <c r="I312" s="13">
        <f t="shared" si="42"/>
        <v>0</v>
      </c>
      <c r="J312" s="12">
        <f>((SUMIFS(SSP2_Baseline!$E:$E,SSP2_Baseline!$C:$C,Results_list!$C$298,SSP2_Baseline!$D:$D,Results_list!$D312,SSP2_Baseline!$B:$B,2040)) - (SUMIFS(SSP2_Baseline!$E:$E,SSP2_Baseline!$C:$C,Results_list!$C$298,SSP2_Baseline!$D:$D,Results_list!$D312,SSP2_Baseline!$B:$B,2025))) / (SUMIFS(SSP2_Baseline!$E:$E,SSP2_Baseline!$C:$C,Results_list!$C$298,SSP2_Baseline!$D:$D,Results_list!$D312,SSP2_Baseline!$B:$B,2025))</f>
        <v>-6.3375536340263931E-3</v>
      </c>
      <c r="K312" s="16">
        <f>((SUMIFS(SSP2_VSI!$F:$F,SSP2_VSI!$C:$C,Results_list!$C$298,SSP2_VSI!$D:$D,Results_list!$D312,SSP2_VSI!$B:$B,2040)) - (SUMIFS(SSP2_VSI!$F:$F,SSP2_VSI!$C:$C,Results_list!$C$298,SSP2_VSI!$D:$D,Results_list!$D312,SSP2_VSI!$B:$B,2025))) / (SUMIFS(SSP2_VSI!$F:$F,SSP2_VSI!$C:$C,Results_list!$C$298,SSP2_VSI!$D:$D,Results_list!$D312,SSP2_VSI!$B:$B,2025))</f>
        <v>-6.2778632554218918E-3</v>
      </c>
      <c r="L312" s="13">
        <f t="shared" si="43"/>
        <v>0</v>
      </c>
      <c r="M312" s="12">
        <f>((SUMIFS(SSP5_Baseline!$E:$E,SSP5_Baseline!$C:$C,Results_list!$C$298,SSP5_Baseline!$D:$D,Results_list!$D312,SSP5_Baseline!$B:$B,2040)) - (SUMIFS(SSP5_Baseline!$E:$E,SSP5_Baseline!$C:$C,Results_list!$C$298,SSP5_Baseline!$D:$D,Results_list!$D312,SSP5_Baseline!$B:$B,2025))) / (SUMIFS(SSP5_Baseline!$E:$E,SSP5_Baseline!$C:$C,Results_list!$C$298,SSP5_Baseline!$D:$D,Results_list!$D312,SSP5_Baseline!$B:$B,2025))</f>
        <v>2.5333523104678155E-2</v>
      </c>
      <c r="N312" s="16">
        <f>((SUMIFS(SSP5_VSI!$F:$F,SSP5_VSI!$C:$C,Results_list!$C$298,SSP5_VSI!$D:$D,Results_list!$D312,SSP5_VSI!$B:$B,2040)) - (SUMIFS(SSP5_VSI!$F:$F,SSP5_VSI!$C:$C,Results_list!$C$298,SSP5_VSI!$D:$D,Results_list!$D312,SSP5_VSI!$B:$B,2025))) / (SUMIFS(SSP5_VSI!$F:$F,SSP5_VSI!$C:$C,Results_list!$C$298,SSP5_VSI!$D:$D,Results_list!$D312,SSP5_VSI!$B:$B,2025))</f>
        <v>2.5413078402960886E-2</v>
      </c>
      <c r="O312" s="13">
        <f t="shared" si="44"/>
        <v>0</v>
      </c>
    </row>
    <row r="313" spans="2:15" x14ac:dyDescent="0.35">
      <c r="B313" s="81"/>
      <c r="C313" s="87"/>
      <c r="D313" t="s">
        <v>54</v>
      </c>
      <c r="F313" s="3" t="s">
        <v>102</v>
      </c>
      <c r="G313" s="12">
        <f>((SUMIFS(SSP1_Baseline!$E:$E,SSP1_Baseline!$C:$C,Results_list!$C$298,SSP1_Baseline!$D:$D,Results_list!$D313,SSP1_Baseline!$B:$B,2040)) - (SUMIFS(SSP1_Baseline!$E:$E,SSP1_Baseline!$C:$C,Results_list!$C$298,SSP1_Baseline!$D:$D,Results_list!$D313,SSP1_Baseline!$B:$B,2025))) / (SUMIFS(SSP1_Baseline!$E:$E,SSP1_Baseline!$C:$C,Results_list!$C$298,SSP1_Baseline!$D:$D,Results_list!$D313,SSP1_Baseline!$B:$B,2025))</f>
        <v>1.4075754243067182E-2</v>
      </c>
      <c r="H313" s="16">
        <f>((SUMIFS(SSP1_VSI!$F:$F,SSP1_VSI!$C:$C,Results_list!$C$298,SSP1_VSI!$D:$D,Results_list!$D313,SSP1_VSI!$B:$B,2040)) - (SUMIFS(SSP1_VSI!$F:$F,SSP1_VSI!$C:$C,Results_list!$C$298,SSP1_VSI!$D:$D,Results_list!$D313,SSP1_VSI!$B:$B,2025))) / (SUMIFS(SSP1_VSI!$F:$F,SSP1_VSI!$C:$C,Results_list!$C$298,SSP1_VSI!$D:$D,Results_list!$D313,SSP1_VSI!$B:$B,2025))</f>
        <v>1.4089029754728397E-2</v>
      </c>
      <c r="I313" s="13">
        <f t="shared" si="42"/>
        <v>0</v>
      </c>
      <c r="J313" s="12">
        <f>((SUMIFS(SSP2_Baseline!$E:$E,SSP2_Baseline!$C:$C,Results_list!$C$298,SSP2_Baseline!$D:$D,Results_list!$D313,SSP2_Baseline!$B:$B,2040)) - (SUMIFS(SSP2_Baseline!$E:$E,SSP2_Baseline!$C:$C,Results_list!$C$298,SSP2_Baseline!$D:$D,Results_list!$D313,SSP2_Baseline!$B:$B,2025))) / (SUMIFS(SSP2_Baseline!$E:$E,SSP2_Baseline!$C:$C,Results_list!$C$298,SSP2_Baseline!$D:$D,Results_list!$D313,SSP2_Baseline!$B:$B,2025))</f>
        <v>3.082385148343909E-2</v>
      </c>
      <c r="K313" s="16">
        <f>((SUMIFS(SSP2_VSI!$F:$F,SSP2_VSI!$C:$C,Results_list!$C$298,SSP2_VSI!$D:$D,Results_list!$D313,SSP2_VSI!$B:$B,2040)) - (SUMIFS(SSP2_VSI!$F:$F,SSP2_VSI!$C:$C,Results_list!$C$298,SSP2_VSI!$D:$D,Results_list!$D313,SSP2_VSI!$B:$B,2025))) / (SUMIFS(SSP2_VSI!$F:$F,SSP2_VSI!$C:$C,Results_list!$C$298,SSP2_VSI!$D:$D,Results_list!$D313,SSP2_VSI!$B:$B,2025))</f>
        <v>3.083376848188003E-2</v>
      </c>
      <c r="L313" s="13">
        <f t="shared" si="43"/>
        <v>0</v>
      </c>
      <c r="M313" s="12">
        <f>((SUMIFS(SSP5_Baseline!$E:$E,SSP5_Baseline!$C:$C,Results_list!$C$298,SSP5_Baseline!$D:$D,Results_list!$D313,SSP5_Baseline!$B:$B,2040)) - (SUMIFS(SSP5_Baseline!$E:$E,SSP5_Baseline!$C:$C,Results_list!$C$298,SSP5_Baseline!$D:$D,Results_list!$D313,SSP5_Baseline!$B:$B,2025))) / (SUMIFS(SSP5_Baseline!$E:$E,SSP5_Baseline!$C:$C,Results_list!$C$298,SSP5_Baseline!$D:$D,Results_list!$D313,SSP5_Baseline!$B:$B,2025))</f>
        <v>1.9725317915242936E-2</v>
      </c>
      <c r="N313" s="16">
        <f>((SUMIFS(SSP5_VSI!$F:$F,SSP5_VSI!$C:$C,Results_list!$C$298,SSP5_VSI!$D:$D,Results_list!$D313,SSP5_VSI!$B:$B,2040)) - (SUMIFS(SSP5_VSI!$F:$F,SSP5_VSI!$C:$C,Results_list!$C$298,SSP5_VSI!$D:$D,Results_list!$D313,SSP5_VSI!$B:$B,2025))) / (SUMIFS(SSP5_VSI!$F:$F,SSP5_VSI!$C:$C,Results_list!$C$298,SSP5_VSI!$D:$D,Results_list!$D313,SSP5_VSI!$B:$B,2025))</f>
        <v>1.9760535355804267E-2</v>
      </c>
      <c r="O313" s="13">
        <f t="shared" si="44"/>
        <v>0</v>
      </c>
    </row>
    <row r="314" spans="2:15" x14ac:dyDescent="0.35">
      <c r="B314" s="81"/>
      <c r="C314" s="87"/>
      <c r="D314" t="s">
        <v>55</v>
      </c>
      <c r="F314" s="3" t="s">
        <v>103</v>
      </c>
      <c r="G314" s="12">
        <f>((SUMIFS(SSP1_Baseline!$E:$E,SSP1_Baseline!$C:$C,Results_list!$C$298,SSP1_Baseline!$D:$D,Results_list!$D314,SSP1_Baseline!$B:$B,2040)) - (SUMIFS(SSP1_Baseline!$E:$E,SSP1_Baseline!$C:$C,Results_list!$C$298,SSP1_Baseline!$D:$D,Results_list!$D314,SSP1_Baseline!$B:$B,2025))) / (SUMIFS(SSP1_Baseline!$E:$E,SSP1_Baseline!$C:$C,Results_list!$C$298,SSP1_Baseline!$D:$D,Results_list!$D314,SSP1_Baseline!$B:$B,2025))</f>
        <v>1.3575686451810129E-2</v>
      </c>
      <c r="H314" s="16">
        <f>((SUMIFS(SSP1_VSI!$F:$F,SSP1_VSI!$C:$C,Results_list!$C$298,SSP1_VSI!$D:$D,Results_list!$D314,SSP1_VSI!$B:$B,2040)) - (SUMIFS(SSP1_VSI!$F:$F,SSP1_VSI!$C:$C,Results_list!$C$298,SSP1_VSI!$D:$D,Results_list!$D314,SSP1_VSI!$B:$B,2025))) / (SUMIFS(SSP1_VSI!$F:$F,SSP1_VSI!$C:$C,Results_list!$C$298,SSP1_VSI!$D:$D,Results_list!$D314,SSP1_VSI!$B:$B,2025))</f>
        <v>1.358812999010685E-2</v>
      </c>
      <c r="I314" s="13">
        <f t="shared" si="42"/>
        <v>0</v>
      </c>
      <c r="J314" s="12">
        <f>((SUMIFS(SSP2_Baseline!$E:$E,SSP2_Baseline!$C:$C,Results_list!$C$298,SSP2_Baseline!$D:$D,Results_list!$D314,SSP2_Baseline!$B:$B,2040)) - (SUMIFS(SSP2_Baseline!$E:$E,SSP2_Baseline!$C:$C,Results_list!$C$298,SSP2_Baseline!$D:$D,Results_list!$D314,SSP2_Baseline!$B:$B,2025))) / (SUMIFS(SSP2_Baseline!$E:$E,SSP2_Baseline!$C:$C,Results_list!$C$298,SSP2_Baseline!$D:$D,Results_list!$D314,SSP2_Baseline!$B:$B,2025))</f>
        <v>2.973551367261058E-2</v>
      </c>
      <c r="K314" s="16">
        <f>((SUMIFS(SSP2_VSI!$F:$F,SSP2_VSI!$C:$C,Results_list!$C$298,SSP2_VSI!$D:$D,Results_list!$D314,SSP2_VSI!$B:$B,2040)) - (SUMIFS(SSP2_VSI!$F:$F,SSP2_VSI!$C:$C,Results_list!$C$298,SSP2_VSI!$D:$D,Results_list!$D314,SSP2_VSI!$B:$B,2025))) / (SUMIFS(SSP2_VSI!$F:$F,SSP2_VSI!$C:$C,Results_list!$C$298,SSP2_VSI!$D:$D,Results_list!$D314,SSP2_VSI!$B:$B,2025))</f>
        <v>2.9736409100728532E-2</v>
      </c>
      <c r="L314" s="13">
        <f t="shared" si="43"/>
        <v>0</v>
      </c>
      <c r="M314" s="12">
        <f>((SUMIFS(SSP5_Baseline!$E:$E,SSP5_Baseline!$C:$C,Results_list!$C$298,SSP5_Baseline!$D:$D,Results_list!$D314,SSP5_Baseline!$B:$B,2040)) - (SUMIFS(SSP5_Baseline!$E:$E,SSP5_Baseline!$C:$C,Results_list!$C$298,SSP5_Baseline!$D:$D,Results_list!$D314,SSP5_Baseline!$B:$B,2025))) / (SUMIFS(SSP5_Baseline!$E:$E,SSP5_Baseline!$C:$C,Results_list!$C$298,SSP5_Baseline!$D:$D,Results_list!$D314,SSP5_Baseline!$B:$B,2025))</f>
        <v>1.8020420585624156E-2</v>
      </c>
      <c r="N314" s="16">
        <f>((SUMIFS(SSP5_VSI!$F:$F,SSP5_VSI!$C:$C,Results_list!$C$298,SSP5_VSI!$D:$D,Results_list!$D314,SSP5_VSI!$B:$B,2040)) - (SUMIFS(SSP5_VSI!$F:$F,SSP5_VSI!$C:$C,Results_list!$C$298,SSP5_VSI!$D:$D,Results_list!$D314,SSP5_VSI!$B:$B,2025))) / (SUMIFS(SSP5_VSI!$F:$F,SSP5_VSI!$C:$C,Results_list!$C$298,SSP5_VSI!$D:$D,Results_list!$D314,SSP5_VSI!$B:$B,2025))</f>
        <v>1.8057656330587507E-2</v>
      </c>
      <c r="O314" s="13">
        <f t="shared" si="44"/>
        <v>0</v>
      </c>
    </row>
    <row r="315" spans="2:15" x14ac:dyDescent="0.35">
      <c r="B315" s="82"/>
      <c r="C315" s="88"/>
      <c r="D315" s="20" t="s">
        <v>56</v>
      </c>
      <c r="E315" s="20"/>
      <c r="F315" s="9" t="s">
        <v>104</v>
      </c>
      <c r="G315" s="14">
        <f>((SUMIFS(SSP1_Baseline!$E:$E,SSP1_Baseline!$C:$C,Results_list!$C$298,SSP1_Baseline!$D:$D,Results_list!$D315,SSP1_Baseline!$B:$B,2040)) - (SUMIFS(SSP1_Baseline!$E:$E,SSP1_Baseline!$C:$C,Results_list!$C$298,SSP1_Baseline!$D:$D,Results_list!$D315,SSP1_Baseline!$B:$B,2025))) / (SUMIFS(SSP1_Baseline!$E:$E,SSP1_Baseline!$C:$C,Results_list!$C$298,SSP1_Baseline!$D:$D,Results_list!$D315,SSP1_Baseline!$B:$B,2025))</f>
        <v>-0.18716857065277726</v>
      </c>
      <c r="H315" s="17">
        <f>((SUMIFS(SSP1_VSI!$F:$F,SSP1_VSI!$C:$C,Results_list!$C$298,SSP1_VSI!$D:$D,Results_list!$D315,SSP1_VSI!$B:$B,2040)) - (SUMIFS(SSP1_VSI!$F:$F,SSP1_VSI!$C:$C,Results_list!$C$298,SSP1_VSI!$D:$D,Results_list!$D315,SSP1_VSI!$B:$B,2025))) / (SUMIFS(SSP1_VSI!$F:$F,SSP1_VSI!$C:$C,Results_list!$C$298,SSP1_VSI!$D:$D,Results_list!$D315,SSP1_VSI!$B:$B,2025))</f>
        <v>-0.18718813604239445</v>
      </c>
      <c r="I315" s="15">
        <f t="shared" si="42"/>
        <v>0</v>
      </c>
      <c r="J315" s="14">
        <f>((SUMIFS(SSP2_Baseline!$E:$E,SSP2_Baseline!$C:$C,Results_list!$C$298,SSP2_Baseline!$D:$D,Results_list!$D315,SSP2_Baseline!$B:$B,2040)) - (SUMIFS(SSP2_Baseline!$E:$E,SSP2_Baseline!$C:$C,Results_list!$C$298,SSP2_Baseline!$D:$D,Results_list!$D315,SSP2_Baseline!$B:$B,2025))) / (SUMIFS(SSP2_Baseline!$E:$E,SSP2_Baseline!$C:$C,Results_list!$C$298,SSP2_Baseline!$D:$D,Results_list!$D315,SSP2_Baseline!$B:$B,2025))</f>
        <v>-0.23922202351997826</v>
      </c>
      <c r="K315" s="17">
        <f>((SUMIFS(SSP2_VSI!$F:$F,SSP2_VSI!$C:$C,Results_list!$C$298,SSP2_VSI!$D:$D,Results_list!$D315,SSP2_VSI!$B:$B,2040)) - (SUMIFS(SSP2_VSI!$F:$F,SSP2_VSI!$C:$C,Results_list!$C$298,SSP2_VSI!$D:$D,Results_list!$D315,SSP2_VSI!$B:$B,2025))) / (SUMIFS(SSP2_VSI!$F:$F,SSP2_VSI!$C:$C,Results_list!$C$298,SSP2_VSI!$D:$D,Results_list!$D315,SSP2_VSI!$B:$B,2025))</f>
        <v>-0.23931626447996854</v>
      </c>
      <c r="L315" s="15">
        <f t="shared" si="43"/>
        <v>0</v>
      </c>
      <c r="M315" s="14">
        <f>((SUMIFS(SSP5_Baseline!$E:$E,SSP5_Baseline!$C:$C,Results_list!$C$298,SSP5_Baseline!$D:$D,Results_list!$D315,SSP5_Baseline!$B:$B,2040)) - (SUMIFS(SSP5_Baseline!$E:$E,SSP5_Baseline!$C:$C,Results_list!$C$298,SSP5_Baseline!$D:$D,Results_list!$D315,SSP5_Baseline!$B:$B,2025))) / (SUMIFS(SSP5_Baseline!$E:$E,SSP5_Baseline!$C:$C,Results_list!$C$298,SSP5_Baseline!$D:$D,Results_list!$D315,SSP5_Baseline!$B:$B,2025))</f>
        <v>-6.3393266535755874E-2</v>
      </c>
      <c r="N315" s="17">
        <f>((SUMIFS(SSP5_VSI!$F:$F,SSP5_VSI!$C:$C,Results_list!$C$298,SSP5_VSI!$D:$D,Results_list!$D315,SSP5_VSI!$B:$B,2040)) - (SUMIFS(SSP5_VSI!$F:$F,SSP5_VSI!$C:$C,Results_list!$C$298,SSP5_VSI!$D:$D,Results_list!$D315,SSP5_VSI!$B:$B,2025))) / (SUMIFS(SSP5_VSI!$F:$F,SSP5_VSI!$C:$C,Results_list!$C$298,SSP5_VSI!$D:$D,Results_list!$D315,SSP5_VSI!$B:$B,2025))</f>
        <v>-6.3332714696773193E-2</v>
      </c>
      <c r="O315" s="15">
        <f t="shared" si="44"/>
        <v>0</v>
      </c>
    </row>
    <row r="317" spans="2:15" ht="19" customHeight="1" x14ac:dyDescent="0.35">
      <c r="F317" s="2"/>
      <c r="G317" s="78" t="s">
        <v>3</v>
      </c>
      <c r="H317" s="79"/>
      <c r="I317" s="79"/>
      <c r="J317" s="79"/>
      <c r="K317" s="79"/>
      <c r="L317" s="79"/>
      <c r="M317" s="79"/>
      <c r="N317" s="79"/>
      <c r="O317" s="80"/>
    </row>
    <row r="318" spans="2:15" ht="29" x14ac:dyDescent="0.35">
      <c r="B318" s="8" t="s">
        <v>30</v>
      </c>
      <c r="C318" s="8" t="s">
        <v>30</v>
      </c>
      <c r="D318" s="6" t="s">
        <v>106</v>
      </c>
      <c r="E318" s="18"/>
      <c r="F318" s="7" t="s">
        <v>105</v>
      </c>
      <c r="G318" s="10" t="s">
        <v>0</v>
      </c>
      <c r="H318" s="11" t="s">
        <v>108</v>
      </c>
      <c r="I318" s="18" t="s">
        <v>107</v>
      </c>
      <c r="J318" s="10" t="s">
        <v>1</v>
      </c>
      <c r="K318" s="11" t="s">
        <v>109</v>
      </c>
      <c r="L318" s="18" t="s">
        <v>107</v>
      </c>
      <c r="M318" s="10" t="s">
        <v>2</v>
      </c>
      <c r="N318" s="11" t="s">
        <v>110</v>
      </c>
      <c r="O318" s="18" t="s">
        <v>107</v>
      </c>
    </row>
    <row r="319" spans="2:15" ht="14.5" customHeight="1" x14ac:dyDescent="0.35">
      <c r="B319" s="81" t="s">
        <v>132</v>
      </c>
      <c r="C319" s="81" t="s">
        <v>80</v>
      </c>
      <c r="D319" s="22" t="s">
        <v>38</v>
      </c>
      <c r="E319" s="24" t="s">
        <v>82</v>
      </c>
      <c r="F319" s="3" t="s">
        <v>87</v>
      </c>
      <c r="G319" s="12">
        <f>((SUMIFS(SSP1_Baseline!$E:$E,SSP1_Baseline!$C:$C,Results_list!$C$319,SSP1_Baseline!$D:$D,Results_list!$D319,SSP1_Baseline!$B:$B,2040,SSP1_Baseline!I:I,Results_list!E319)) - (SUMIFS(SSP1_Baseline!$E:$E,SSP1_Baseline!$C:$C,Results_list!$C$319,SSP1_Baseline!$D:$D,Results_list!$D319,SSP1_Baseline!$B:$B,2025,SSP1_Baseline!I:I,Results_list!E319))) / (SUMIFS(SSP1_Baseline!$E:$E,SSP1_Baseline!$C:$C,Results_list!$C$319,SSP1_Baseline!$D:$D,Results_list!$D319,SSP1_Baseline!$B:$B,2025,SSP1_Baseline!I:I,Results_list!E319))</f>
        <v>-0.16120926221421006</v>
      </c>
      <c r="H319" s="16">
        <f>((SUMIFS(SSP1_VSI!$F:$F,SSP1_VSI!$C:$C,Results_list!$C$319,SSP1_VSI!$D:$D,Results_list!$D319,SSP1_VSI!$B:$B,2040,SSP1_VSI!I:I,Results_list!E319)) - (SUMIFS(SSP1_VSI!$F:$F,SSP1_VSI!$C:$C,Results_list!$C$319,SSP1_VSI!$D:$D,Results_list!$D319,SSP1_VSI!$B:$B,2025,SSP1_VSI!I:I,Results_list!E319))) / (SUMIFS(SSP1_VSI!$F:$F,SSP1_VSI!$C:$C,Results_list!$C$319,SSP1_VSI!$D:$D,Results_list!$D319,SSP1_VSI!$B:$B,2025,SSP1_VSI!I:I,Results_list!E319))</f>
        <v>-0.16119582146514777</v>
      </c>
      <c r="I319" s="19">
        <f>ROUND(H319-G319,3)</f>
        <v>0</v>
      </c>
      <c r="J319" s="12">
        <f>((SUMIFS(SSP2_Baseline!$E:$E,SSP2_Baseline!$C:$C,Results_list!$C$319,SSP2_Baseline!$D:$D,Results_list!$D319,SSP2_Baseline!$B:$B,2040,SSP2_Baseline!I:I,Results_list!E319)) - (SUMIFS(SSP2_Baseline!$E:$E,SSP2_Baseline!$C:$C,Results_list!$C$319,SSP2_Baseline!$D:$D,Results_list!$D319,SSP2_Baseline!$B:$B,2025,SSP2_Baseline!I:I,Results_list!E319))) / (SUMIFS(SSP2_Baseline!$E:$E,SSP2_Baseline!$C:$C,Results_list!$C$319,SSP2_Baseline!$D:$D,Results_list!$D319,SSP2_Baseline!$B:$B,2025,SSP2_Baseline!I:I,Results_list!E319))</f>
        <v>0.77791923786182615</v>
      </c>
      <c r="K319" s="16">
        <f>((SUMIFS(SSP2_VSI!$F:$F,SSP2_VSI!$C:$C,Results_list!$C$319,SSP2_VSI!$D:$D,Results_list!$D319,SSP2_VSI!$B:$B,2040,SSP2_VSI!I:I,Results_list!E319)) - (SUMIFS(SSP2_VSI!$F:$F,SSP2_VSI!$C:$C,Results_list!$C$319,SSP2_VSI!$D:$D,Results_list!$D319,SSP2_VSI!$B:$B,2025,SSP2_VSI!I:I,Results_list!E319))) / (SUMIFS(SSP2_VSI!$F:$F,SSP2_VSI!$C:$C,Results_list!$C$319,SSP2_VSI!$D:$D,Results_list!$D319,SSP2_VSI!$B:$B,2025,SSP2_VSI!I:I,Results_list!E319))</f>
        <v>0.77782115695530929</v>
      </c>
      <c r="L319" s="19">
        <f>ROUND(K319-J319,2)</f>
        <v>0</v>
      </c>
      <c r="M319" s="12">
        <f>((SUMIFS(SSP5_Baseline!$E:$E,SSP5_Baseline!$C:$C,Results_list!$C$319,SSP5_Baseline!$D:$D,Results_list!$D319,SSP5_Baseline!$B:$B,2040,SSP5_Baseline!I:I,Results_list!E319)) - (SUMIFS(SSP5_Baseline!$E:$E,SSP5_Baseline!$C:$C,Results_list!$C$319,SSP5_Baseline!$D:$D,Results_list!$D319,SSP5_Baseline!$B:$B,2025,SSP5_Baseline!I:I,Results_list!E319))) / (SUMIFS(SSP5_Baseline!$E:$E,SSP5_Baseline!$C:$C,Results_list!$C$319,SSP5_Baseline!$D:$D,Results_list!$D319,SSP5_Baseline!$B:$B,2025,SSP5_Baseline!I:I,Results_list!E319))</f>
        <v>1.4045581805255929</v>
      </c>
      <c r="N319" s="16">
        <f>((SUMIFS(SSP5_VSI!$F:$F,SSP5_VSI!$C:$C,Results_list!$C$319,SSP5_VSI!$D:$D,Results_list!$D319,SSP5_VSI!$B:$B,2040,SSP5_VSI!I:I,Results_list!E319)) - (SUMIFS(SSP5_VSI!$F:$F,SSP5_VSI!$C:$C,Results_list!$C$319,SSP5_VSI!$D:$D,Results_list!$D319,SSP5_VSI!$B:$B,2025,SSP5_VSI!I:I,Results_list!E319))) / (SUMIFS(SSP5_VSI!$F:$F,SSP5_VSI!$C:$C,Results_list!$C$319,SSP5_VSI!$D:$D,Results_list!$D319,SSP5_VSI!$B:$B,2025,SSP5_VSI!I:I,Results_list!E319))</f>
        <v>1.4046663443528511</v>
      </c>
      <c r="O319" s="19">
        <f>ROUND(N319-M319,2)</f>
        <v>0</v>
      </c>
    </row>
    <row r="320" spans="2:15" x14ac:dyDescent="0.35">
      <c r="B320" s="81"/>
      <c r="C320" s="81"/>
      <c r="D320" s="22" t="s">
        <v>40</v>
      </c>
      <c r="E320" s="25" t="s">
        <v>82</v>
      </c>
      <c r="F320" s="3" t="s">
        <v>88</v>
      </c>
      <c r="G320" s="12">
        <f>((SUMIFS(SSP1_Baseline!$E:$E,SSP1_Baseline!$C:$C,Results_list!$C$319,SSP1_Baseline!$D:$D,Results_list!$D320,SSP1_Baseline!$B:$B,2040,SSP1_Baseline!I:I,Results_list!E320)) - (SUMIFS(SSP1_Baseline!$E:$E,SSP1_Baseline!$C:$C,Results_list!$C$319,SSP1_Baseline!$D:$D,Results_list!$D320,SSP1_Baseline!$B:$B,2025,SSP1_Baseline!I:I,Results_list!E320))) / (SUMIFS(SSP1_Baseline!$E:$E,SSP1_Baseline!$C:$C,Results_list!$C$319,SSP1_Baseline!$D:$D,Results_list!$D320,SSP1_Baseline!$B:$B,2025,SSP1_Baseline!I:I,Results_list!E320))</f>
        <v>-0.24034485180107892</v>
      </c>
      <c r="H320" s="16">
        <f>((SUMIFS(SSP1_VSI!$F:$F,SSP1_VSI!$C:$C,Results_list!$C$319,SSP1_VSI!$D:$D,Results_list!$D320,SSP1_VSI!$B:$B,2040,SSP1_VSI!I:I,Results_list!E320)) - (SUMIFS(SSP1_VSI!$F:$F,SSP1_VSI!$C:$C,Results_list!$C$319,SSP1_VSI!$D:$D,Results_list!$D320,SSP1_VSI!$B:$B,2025,SSP1_VSI!I:I,Results_list!E320))) / (SUMIFS(SSP1_VSI!$F:$F,SSP1_VSI!$C:$C,Results_list!$C$319,SSP1_VSI!$D:$D,Results_list!$D320,SSP1_VSI!$B:$B,2025,SSP1_VSI!I:I,Results_list!E320))</f>
        <v>-0.24033993015722949</v>
      </c>
      <c r="I320" s="13">
        <f t="shared" ref="I320:I336" si="45">ROUND(H320-G320,3)</f>
        <v>0</v>
      </c>
      <c r="J320" s="12">
        <f>((SUMIFS(SSP2_Baseline!$E:$E,SSP2_Baseline!$C:$C,Results_list!$C$319,SSP2_Baseline!$D:$D,Results_list!$D320,SSP2_Baseline!$B:$B,2040,SSP2_Baseline!I:I,Results_list!E320)) - (SUMIFS(SSP2_Baseline!$E:$E,SSP2_Baseline!$C:$C,Results_list!$C$319,SSP2_Baseline!$D:$D,Results_list!$D320,SSP2_Baseline!$B:$B,2025,SSP2_Baseline!I:I,Results_list!E320))) / (SUMIFS(SSP2_Baseline!$E:$E,SSP2_Baseline!$C:$C,Results_list!$C$319,SSP2_Baseline!$D:$D,Results_list!$D320,SSP2_Baseline!$B:$B,2025,SSP2_Baseline!I:I,Results_list!E320))</f>
        <v>-0.22901886410328834</v>
      </c>
      <c r="K320" s="16">
        <f>((SUMIFS(SSP2_VSI!$F:$F,SSP2_VSI!$C:$C,Results_list!$C$319,SSP2_VSI!$D:$D,Results_list!$D320,SSP2_VSI!$B:$B,2040,SSP2_VSI!I:I,Results_list!E320)) - (SUMIFS(SSP2_VSI!$F:$F,SSP2_VSI!$C:$C,Results_list!$C$319,SSP2_VSI!$D:$D,Results_list!$D320,SSP2_VSI!$B:$B,2025,SSP2_VSI!I:I,Results_list!E320))) / (SUMIFS(SSP2_VSI!$F:$F,SSP2_VSI!$C:$C,Results_list!$C$319,SSP2_VSI!$D:$D,Results_list!$D320,SSP2_VSI!$B:$B,2025,SSP2_VSI!I:I,Results_list!E320))</f>
        <v>-0.22902497632710653</v>
      </c>
      <c r="L320" s="13">
        <f t="shared" ref="L320:L336" si="46">ROUND(K320-J320,2)</f>
        <v>0</v>
      </c>
      <c r="M320" s="12">
        <f>((SUMIFS(SSP5_Baseline!$E:$E,SSP5_Baseline!$C:$C,Results_list!$C$319,SSP5_Baseline!$D:$D,Results_list!$D320,SSP5_Baseline!$B:$B,2040,SSP5_Baseline!I:I,Results_list!E320)) - (SUMIFS(SSP5_Baseline!$E:$E,SSP5_Baseline!$C:$C,Results_list!$C$319,SSP5_Baseline!$D:$D,Results_list!$D320,SSP5_Baseline!$B:$B,2025,SSP5_Baseline!I:I,Results_list!E320))) / (SUMIFS(SSP5_Baseline!$E:$E,SSP5_Baseline!$C:$C,Results_list!$C$319,SSP5_Baseline!$D:$D,Results_list!$D320,SSP5_Baseline!$B:$B,2025,SSP5_Baseline!I:I,Results_list!E320))</f>
        <v>-5.8095880853223134E-2</v>
      </c>
      <c r="N320" s="16">
        <f>((SUMIFS(SSP5_VSI!$F:$F,SSP5_VSI!$C:$C,Results_list!$C$319,SSP5_VSI!$D:$D,Results_list!$D320,SSP5_VSI!$B:$B,2040,SSP5_VSI!I:I,Results_list!E320)) - (SUMIFS(SSP5_VSI!$F:$F,SSP5_VSI!$C:$C,Results_list!$C$319,SSP5_VSI!$D:$D,Results_list!$D320,SSP5_VSI!$B:$B,2025,SSP5_VSI!I:I,Results_list!E320))) / (SUMIFS(SSP5_VSI!$F:$F,SSP5_VSI!$C:$C,Results_list!$C$319,SSP5_VSI!$D:$D,Results_list!$D320,SSP5_VSI!$B:$B,2025,SSP5_VSI!I:I,Results_list!E320))</f>
        <v>-5.8123980311952615E-2</v>
      </c>
      <c r="O320" s="13">
        <f t="shared" ref="O320:O336" si="47">ROUND(N320-M320,2)</f>
        <v>0</v>
      </c>
    </row>
    <row r="321" spans="2:15" x14ac:dyDescent="0.35">
      <c r="B321" s="81"/>
      <c r="C321" s="81"/>
      <c r="D321" s="22" t="s">
        <v>41</v>
      </c>
      <c r="E321" s="25" t="s">
        <v>82</v>
      </c>
      <c r="F321" s="3" t="s">
        <v>89</v>
      </c>
      <c r="G321" s="12">
        <f>((SUMIFS(SSP1_Baseline!$E:$E,SSP1_Baseline!$C:$C,Results_list!$C$319,SSP1_Baseline!$D:$D,Results_list!$D321,SSP1_Baseline!$B:$B,2040,SSP1_Baseline!I:I,Results_list!E321)) - (SUMIFS(SSP1_Baseline!$E:$E,SSP1_Baseline!$C:$C,Results_list!$C$319,SSP1_Baseline!$D:$D,Results_list!$D321,SSP1_Baseline!$B:$B,2025,SSP1_Baseline!I:I,Results_list!E321))) / (SUMIFS(SSP1_Baseline!$E:$E,SSP1_Baseline!$C:$C,Results_list!$C$319,SSP1_Baseline!$D:$D,Results_list!$D321,SSP1_Baseline!$B:$B,2025,SSP1_Baseline!I:I,Results_list!E321))</f>
        <v>-0.25913289238851256</v>
      </c>
      <c r="H321" s="16">
        <f>((SUMIFS(SSP1_VSI!$F:$F,SSP1_VSI!$C:$C,Results_list!$C$319,SSP1_VSI!$D:$D,Results_list!$D321,SSP1_VSI!$B:$B,2040,SSP1_VSI!I:I,Results_list!E321)) - (SUMIFS(SSP1_VSI!$F:$F,SSP1_VSI!$C:$C,Results_list!$C$319,SSP1_VSI!$D:$D,Results_list!$D321,SSP1_VSI!$B:$B,2025,SSP1_VSI!I:I,Results_list!E321))) / (SUMIFS(SSP1_VSI!$F:$F,SSP1_VSI!$C:$C,Results_list!$C$319,SSP1_VSI!$D:$D,Results_list!$D321,SSP1_VSI!$B:$B,2025,SSP1_VSI!I:I,Results_list!E321))</f>
        <v>-0.25917231154522452</v>
      </c>
      <c r="I321" s="13">
        <f t="shared" si="45"/>
        <v>0</v>
      </c>
      <c r="J321" s="12">
        <f>((SUMIFS(SSP2_Baseline!$E:$E,SSP2_Baseline!$C:$C,Results_list!$C$319,SSP2_Baseline!$D:$D,Results_list!$D321,SSP2_Baseline!$B:$B,2040,SSP2_Baseline!I:I,Results_list!E321)) - (SUMIFS(SSP2_Baseline!$E:$E,SSP2_Baseline!$C:$C,Results_list!$C$319,SSP2_Baseline!$D:$D,Results_list!$D321,SSP2_Baseline!$B:$B,2025,SSP2_Baseline!I:I,Results_list!E321))) / (SUMIFS(SSP2_Baseline!$E:$E,SSP2_Baseline!$C:$C,Results_list!$C$319,SSP2_Baseline!$D:$D,Results_list!$D321,SSP2_Baseline!$B:$B,2025,SSP2_Baseline!I:I,Results_list!E321))</f>
        <v>-0.25905524461321172</v>
      </c>
      <c r="K321" s="16">
        <f>((SUMIFS(SSP2_VSI!$F:$F,SSP2_VSI!$C:$C,Results_list!$C$319,SSP2_VSI!$D:$D,Results_list!$D321,SSP2_VSI!$B:$B,2040,SSP2_VSI!I:I,Results_list!E321)) - (SUMIFS(SSP2_VSI!$F:$F,SSP2_VSI!$C:$C,Results_list!$C$319,SSP2_VSI!$D:$D,Results_list!$D321,SSP2_VSI!$B:$B,2025,SSP2_VSI!I:I,Results_list!E321))) / (SUMIFS(SSP2_VSI!$F:$F,SSP2_VSI!$C:$C,Results_list!$C$319,SSP2_VSI!$D:$D,Results_list!$D321,SSP2_VSI!$B:$B,2025,SSP2_VSI!I:I,Results_list!E321))</f>
        <v>-0.25904727006690303</v>
      </c>
      <c r="L321" s="13">
        <f t="shared" si="46"/>
        <v>0</v>
      </c>
      <c r="M321" s="12">
        <f>((SUMIFS(SSP5_Baseline!$E:$E,SSP5_Baseline!$C:$C,Results_list!$C$319,SSP5_Baseline!$D:$D,Results_list!$D321,SSP5_Baseline!$B:$B,2040,SSP5_Baseline!I:I,Results_list!E321)) - (SUMIFS(SSP5_Baseline!$E:$E,SSP5_Baseline!$C:$C,Results_list!$C$319,SSP5_Baseline!$D:$D,Results_list!$D321,SSP5_Baseline!$B:$B,2025,SSP5_Baseline!I:I,Results_list!E321))) / (SUMIFS(SSP5_Baseline!$E:$E,SSP5_Baseline!$C:$C,Results_list!$C$319,SSP5_Baseline!$D:$D,Results_list!$D321,SSP5_Baseline!$B:$B,2025,SSP5_Baseline!I:I,Results_list!E321))</f>
        <v>-0.1423749312320387</v>
      </c>
      <c r="N321" s="16">
        <f>((SUMIFS(SSP5_VSI!$F:$F,SSP5_VSI!$C:$C,Results_list!$C$319,SSP5_VSI!$D:$D,Results_list!$D321,SSP5_VSI!$B:$B,2040,SSP5_VSI!I:I,Results_list!E321)) - (SUMIFS(SSP5_VSI!$F:$F,SSP5_VSI!$C:$C,Results_list!$C$319,SSP5_VSI!$D:$D,Results_list!$D321,SSP5_VSI!$B:$B,2025,SSP5_VSI!I:I,Results_list!E321))) / (SUMIFS(SSP5_VSI!$F:$F,SSP5_VSI!$C:$C,Results_list!$C$319,SSP5_VSI!$D:$D,Results_list!$D321,SSP5_VSI!$B:$B,2025,SSP5_VSI!I:I,Results_list!E321))</f>
        <v>-0.14239172239344661</v>
      </c>
      <c r="O321" s="13">
        <f t="shared" si="47"/>
        <v>0</v>
      </c>
    </row>
    <row r="322" spans="2:15" x14ac:dyDescent="0.35">
      <c r="B322" s="81"/>
      <c r="C322" s="81"/>
      <c r="D322" s="22" t="s">
        <v>42</v>
      </c>
      <c r="E322" s="25" t="s">
        <v>82</v>
      </c>
      <c r="F322" s="3" t="s">
        <v>90</v>
      </c>
      <c r="G322" s="12">
        <f>((SUMIFS(SSP1_Baseline!$E:$E,SSP1_Baseline!$C:$C,Results_list!$C$319,SSP1_Baseline!$D:$D,Results_list!$D322,SSP1_Baseline!$B:$B,2040,SSP1_Baseline!I:I,Results_list!E322)) - (SUMIFS(SSP1_Baseline!$E:$E,SSP1_Baseline!$C:$C,Results_list!$C$319,SSP1_Baseline!$D:$D,Results_list!$D322,SSP1_Baseline!$B:$B,2025,SSP1_Baseline!I:I,Results_list!E322))) / (SUMIFS(SSP1_Baseline!$E:$E,SSP1_Baseline!$C:$C,Results_list!$C$319,SSP1_Baseline!$D:$D,Results_list!$D322,SSP1_Baseline!$B:$B,2025,SSP1_Baseline!I:I,Results_list!E322))</f>
        <v>-0.2697358619263226</v>
      </c>
      <c r="H322" s="16">
        <f>((SUMIFS(SSP1_VSI!$F:$F,SSP1_VSI!$C:$C,Results_list!$C$319,SSP1_VSI!$D:$D,Results_list!$D322,SSP1_VSI!$B:$B,2040,SSP1_VSI!I:I,Results_list!E322)) - (SUMIFS(SSP1_VSI!$F:$F,SSP1_VSI!$C:$C,Results_list!$C$319,SSP1_VSI!$D:$D,Results_list!$D322,SSP1_VSI!$B:$B,2025,SSP1_VSI!I:I,Results_list!E322))) / (SUMIFS(SSP1_VSI!$F:$F,SSP1_VSI!$C:$C,Results_list!$C$319,SSP1_VSI!$D:$D,Results_list!$D322,SSP1_VSI!$B:$B,2025,SSP1_VSI!I:I,Results_list!E322))</f>
        <v>-0.26971437245224894</v>
      </c>
      <c r="I322" s="13">
        <f t="shared" si="45"/>
        <v>0</v>
      </c>
      <c r="J322" s="12">
        <f>((SUMIFS(SSP2_Baseline!$E:$E,SSP2_Baseline!$C:$C,Results_list!$C$319,SSP2_Baseline!$D:$D,Results_list!$D322,SSP2_Baseline!$B:$B,2040,SSP2_Baseline!I:I,Results_list!E322)) - (SUMIFS(SSP2_Baseline!$E:$E,SSP2_Baseline!$C:$C,Results_list!$C$319,SSP2_Baseline!$D:$D,Results_list!$D322,SSP2_Baseline!$B:$B,2025,SSP2_Baseline!I:I,Results_list!E322))) / (SUMIFS(SSP2_Baseline!$E:$E,SSP2_Baseline!$C:$C,Results_list!$C$319,SSP2_Baseline!$D:$D,Results_list!$D322,SSP2_Baseline!$B:$B,2025,SSP2_Baseline!I:I,Results_list!E322))</f>
        <v>-0.30137569458122482</v>
      </c>
      <c r="K322" s="16">
        <f>((SUMIFS(SSP2_VSI!$F:$F,SSP2_VSI!$C:$C,Results_list!$C$319,SSP2_VSI!$D:$D,Results_list!$D322,SSP2_VSI!$B:$B,2040,SSP2_VSI!I:I,Results_list!E322)) - (SUMIFS(SSP2_VSI!$F:$F,SSP2_VSI!$C:$C,Results_list!$C$319,SSP2_VSI!$D:$D,Results_list!$D322,SSP2_VSI!$B:$B,2025,SSP2_VSI!I:I,Results_list!E322))) / (SUMIFS(SSP2_VSI!$F:$F,SSP2_VSI!$C:$C,Results_list!$C$319,SSP2_VSI!$D:$D,Results_list!$D322,SSP2_VSI!$B:$B,2025,SSP2_VSI!I:I,Results_list!E322))</f>
        <v>-0.30137239125193199</v>
      </c>
      <c r="L322" s="13">
        <f t="shared" si="46"/>
        <v>0</v>
      </c>
      <c r="M322" s="12">
        <f>((SUMIFS(SSP5_Baseline!$E:$E,SSP5_Baseline!$C:$C,Results_list!$C$319,SSP5_Baseline!$D:$D,Results_list!$D322,SSP5_Baseline!$B:$B,2040,SSP5_Baseline!I:I,Results_list!E322)) - (SUMIFS(SSP5_Baseline!$E:$E,SSP5_Baseline!$C:$C,Results_list!$C$319,SSP5_Baseline!$D:$D,Results_list!$D322,SSP5_Baseline!$B:$B,2025,SSP5_Baseline!I:I,Results_list!E322))) / (SUMIFS(SSP5_Baseline!$E:$E,SSP5_Baseline!$C:$C,Results_list!$C$319,SSP5_Baseline!$D:$D,Results_list!$D322,SSP5_Baseline!$B:$B,2025,SSP5_Baseline!I:I,Results_list!E322))</f>
        <v>0.40125732104004408</v>
      </c>
      <c r="N322" s="16">
        <f>((SUMIFS(SSP5_VSI!$F:$F,SSP5_VSI!$C:$C,Results_list!$C$319,SSP5_VSI!$D:$D,Results_list!$D322,SSP5_VSI!$B:$B,2040,SSP5_VSI!I:I,Results_list!E322)) - (SUMIFS(SSP5_VSI!$F:$F,SSP5_VSI!$C:$C,Results_list!$C$319,SSP5_VSI!$D:$D,Results_list!$D322,SSP5_VSI!$B:$B,2025,SSP5_VSI!I:I,Results_list!E322))) / (SUMIFS(SSP5_VSI!$F:$F,SSP5_VSI!$C:$C,Results_list!$C$319,SSP5_VSI!$D:$D,Results_list!$D322,SSP5_VSI!$B:$B,2025,SSP5_VSI!I:I,Results_list!E322))</f>
        <v>0.40133787157574702</v>
      </c>
      <c r="O322" s="13">
        <f t="shared" si="47"/>
        <v>0</v>
      </c>
    </row>
    <row r="323" spans="2:15" x14ac:dyDescent="0.35">
      <c r="B323" s="81"/>
      <c r="C323" s="81"/>
      <c r="D323" s="22" t="s">
        <v>43</v>
      </c>
      <c r="E323" s="25" t="s">
        <v>82</v>
      </c>
      <c r="F323" s="3" t="s">
        <v>91</v>
      </c>
      <c r="G323" s="12">
        <f>((SUMIFS(SSP1_Baseline!$E:$E,SSP1_Baseline!$C:$C,Results_list!$C$319,SSP1_Baseline!$D:$D,Results_list!$D323,SSP1_Baseline!$B:$B,2040,SSP1_Baseline!I:I,Results_list!E323)) - (SUMIFS(SSP1_Baseline!$E:$E,SSP1_Baseline!$C:$C,Results_list!$C$319,SSP1_Baseline!$D:$D,Results_list!$D323,SSP1_Baseline!$B:$B,2025,SSP1_Baseline!I:I,Results_list!E323))) / (SUMIFS(SSP1_Baseline!$E:$E,SSP1_Baseline!$C:$C,Results_list!$C$319,SSP1_Baseline!$D:$D,Results_list!$D323,SSP1_Baseline!$B:$B,2025,SSP1_Baseline!I:I,Results_list!E323))</f>
        <v>-0.27183498429927255</v>
      </c>
      <c r="H323" s="16">
        <f>((SUMIFS(SSP1_VSI!$F:$F,SSP1_VSI!$C:$C,Results_list!$C$319,SSP1_VSI!$D:$D,Results_list!$D323,SSP1_VSI!$B:$B,2040,SSP1_VSI!I:I,Results_list!E323)) - (SUMIFS(SSP1_VSI!$F:$F,SSP1_VSI!$C:$C,Results_list!$C$319,SSP1_VSI!$D:$D,Results_list!$D323,SSP1_VSI!$B:$B,2025,SSP1_VSI!I:I,Results_list!E323))) / (SUMIFS(SSP1_VSI!$F:$F,SSP1_VSI!$C:$C,Results_list!$C$319,SSP1_VSI!$D:$D,Results_list!$D323,SSP1_VSI!$B:$B,2025,SSP1_VSI!I:I,Results_list!E323))</f>
        <v>-0.27184610445250051</v>
      </c>
      <c r="I323" s="13">
        <f t="shared" si="45"/>
        <v>0</v>
      </c>
      <c r="J323" s="12">
        <f>((SUMIFS(SSP2_Baseline!$E:$E,SSP2_Baseline!$C:$C,Results_list!$C$319,SSP2_Baseline!$D:$D,Results_list!$D323,SSP2_Baseline!$B:$B,2040,SSP2_Baseline!I:I,Results_list!E323)) - (SUMIFS(SSP2_Baseline!$E:$E,SSP2_Baseline!$C:$C,Results_list!$C$319,SSP2_Baseline!$D:$D,Results_list!$D323,SSP2_Baseline!$B:$B,2025,SSP2_Baseline!I:I,Results_list!E323))) / (SUMIFS(SSP2_Baseline!$E:$E,SSP2_Baseline!$C:$C,Results_list!$C$319,SSP2_Baseline!$D:$D,Results_list!$D323,SSP2_Baseline!$B:$B,2025,SSP2_Baseline!I:I,Results_list!E323))</f>
        <v>-0.23061134506035225</v>
      </c>
      <c r="K323" s="16">
        <f>((SUMIFS(SSP2_VSI!$F:$F,SSP2_VSI!$C:$C,Results_list!$C$319,SSP2_VSI!$D:$D,Results_list!$D323,SSP2_VSI!$B:$B,2040,SSP2_VSI!I:I,Results_list!E323)) - (SUMIFS(SSP2_VSI!$F:$F,SSP2_VSI!$C:$C,Results_list!$C$319,SSP2_VSI!$D:$D,Results_list!$D323,SSP2_VSI!$B:$B,2025,SSP2_VSI!I:I,Results_list!E323))) / (SUMIFS(SSP2_VSI!$F:$F,SSP2_VSI!$C:$C,Results_list!$C$319,SSP2_VSI!$D:$D,Results_list!$D323,SSP2_VSI!$B:$B,2025,SSP2_VSI!I:I,Results_list!E323))</f>
        <v>-0.23059398152192898</v>
      </c>
      <c r="L323" s="13">
        <f t="shared" si="46"/>
        <v>0</v>
      </c>
      <c r="M323" s="12">
        <f>((SUMIFS(SSP5_Baseline!$E:$E,SSP5_Baseline!$C:$C,Results_list!$C$319,SSP5_Baseline!$D:$D,Results_list!$D323,SSP5_Baseline!$B:$B,2040,SSP5_Baseline!I:I,Results_list!E323)) - (SUMIFS(SSP5_Baseline!$E:$E,SSP5_Baseline!$C:$C,Results_list!$C$319,SSP5_Baseline!$D:$D,Results_list!$D323,SSP5_Baseline!$B:$B,2025,SSP5_Baseline!I:I,Results_list!E323))) / (SUMIFS(SSP5_Baseline!$E:$E,SSP5_Baseline!$C:$C,Results_list!$C$319,SSP5_Baseline!$D:$D,Results_list!$D323,SSP5_Baseline!$B:$B,2025,SSP5_Baseline!I:I,Results_list!E323))</f>
        <v>-7.9826097573482691E-3</v>
      </c>
      <c r="N323" s="16">
        <f>((SUMIFS(SSP5_VSI!$F:$F,SSP5_VSI!$C:$C,Results_list!$C$319,SSP5_VSI!$D:$D,Results_list!$D323,SSP5_VSI!$B:$B,2040,SSP5_VSI!I:I,Results_list!E323)) - (SUMIFS(SSP5_VSI!$F:$F,SSP5_VSI!$C:$C,Results_list!$C$319,SSP5_VSI!$D:$D,Results_list!$D323,SSP5_VSI!$B:$B,2025,SSP5_VSI!I:I,Results_list!E323))) / (SUMIFS(SSP5_VSI!$F:$F,SSP5_VSI!$C:$C,Results_list!$C$319,SSP5_VSI!$D:$D,Results_list!$D323,SSP5_VSI!$B:$B,2025,SSP5_VSI!I:I,Results_list!E323))</f>
        <v>-7.978942655143385E-3</v>
      </c>
      <c r="O323" s="13">
        <f t="shared" si="47"/>
        <v>0</v>
      </c>
    </row>
    <row r="324" spans="2:15" x14ac:dyDescent="0.35">
      <c r="B324" s="81"/>
      <c r="C324" s="81"/>
      <c r="D324" t="s">
        <v>136</v>
      </c>
      <c r="E324" s="25" t="s">
        <v>82</v>
      </c>
      <c r="F324" s="3" t="s">
        <v>92</v>
      </c>
      <c r="G324" s="12">
        <f>((SUMIFS(SSP1_Baseline!$E:$E,SSP1_Baseline!$C:$C,Results_list!$C$319,SSP1_Baseline!$D:$D,Results_list!$D324,SSP1_Baseline!$B:$B,2040,SSP1_Baseline!I:I,Results_list!E324)) - (SUMIFS(SSP1_Baseline!$E:$E,SSP1_Baseline!$C:$C,Results_list!$C$319,SSP1_Baseline!$D:$D,Results_list!$D324,SSP1_Baseline!$B:$B,2025,SSP1_Baseline!I:I,Results_list!E324))) / (SUMIFS(SSP1_Baseline!$E:$E,SSP1_Baseline!$C:$C,Results_list!$C$319,SSP1_Baseline!$D:$D,Results_list!$D324,SSP1_Baseline!$B:$B,2025,SSP1_Baseline!I:I,Results_list!E324))</f>
        <v>-0.28106901342465956</v>
      </c>
      <c r="H324" s="16">
        <f>((SUMIFS(SSP1_VSI!$F:$F,SSP1_VSI!$C:$C,Results_list!$C$319,SSP1_VSI!$D:$D,Results_list!$D324,SSP1_VSI!$B:$B,2040,SSP1_VSI!I:I,Results_list!E324)) - (SUMIFS(SSP1_VSI!$F:$F,SSP1_VSI!$C:$C,Results_list!$C$319,SSP1_VSI!$D:$D,Results_list!$D324,SSP1_VSI!$B:$B,2025,SSP1_VSI!I:I,Results_list!E324))) / (SUMIFS(SSP1_VSI!$F:$F,SSP1_VSI!$C:$C,Results_list!$C$319,SSP1_VSI!$D:$D,Results_list!$D324,SSP1_VSI!$B:$B,2025,SSP1_VSI!I:I,Results_list!E324))</f>
        <v>-0.39308424552084714</v>
      </c>
      <c r="I324" s="13">
        <f t="shared" si="45"/>
        <v>-0.112</v>
      </c>
      <c r="J324" s="12">
        <f>((SUMIFS(SSP2_Baseline!$E:$E,SSP2_Baseline!$C:$C,Results_list!$C$319,SSP2_Baseline!$D:$D,Results_list!$D324,SSP2_Baseline!$B:$B,2040,SSP2_Baseline!I:I,Results_list!E324)) - (SUMIFS(SSP2_Baseline!$E:$E,SSP2_Baseline!$C:$C,Results_list!$C$319,SSP2_Baseline!$D:$D,Results_list!$D324,SSP2_Baseline!$B:$B,2025,SSP2_Baseline!I:I,Results_list!E324))) / (SUMIFS(SSP2_Baseline!$E:$E,SSP2_Baseline!$C:$C,Results_list!$C$319,SSP2_Baseline!$D:$D,Results_list!$D324,SSP2_Baseline!$B:$B,2025,SSP2_Baseline!I:I,Results_list!E324))</f>
        <v>-0.28855463803194048</v>
      </c>
      <c r="K324" s="16">
        <f>((SUMIFS(SSP2_VSI!$F:$F,SSP2_VSI!$C:$C,Results_list!$C$319,SSP2_VSI!$D:$D,Results_list!$D324,SSP2_VSI!$B:$B,2040,SSP2_VSI!I:I,Results_list!E324)) - (SUMIFS(SSP2_VSI!$F:$F,SSP2_VSI!$C:$C,Results_list!$C$319,SSP2_VSI!$D:$D,Results_list!$D324,SSP2_VSI!$B:$B,2025,SSP2_VSI!I:I,Results_list!E324))) / (SUMIFS(SSP2_VSI!$F:$F,SSP2_VSI!$C:$C,Results_list!$C$319,SSP2_VSI!$D:$D,Results_list!$D324,SSP2_VSI!$B:$B,2025,SSP2_VSI!I:I,Results_list!E324))</f>
        <v>-0.40305693864174719</v>
      </c>
      <c r="L324" s="13">
        <f t="shared" si="46"/>
        <v>-0.11</v>
      </c>
      <c r="M324" s="12">
        <f>((SUMIFS(SSP5_Baseline!$E:$E,SSP5_Baseline!$C:$C,Results_list!$C$319,SSP5_Baseline!$D:$D,Results_list!$D324,SSP5_Baseline!$B:$B,2040,SSP5_Baseline!I:I,Results_list!E324)) - (SUMIFS(SSP5_Baseline!$E:$E,SSP5_Baseline!$C:$C,Results_list!$C$319,SSP5_Baseline!$D:$D,Results_list!$D324,SSP5_Baseline!$B:$B,2025,SSP5_Baseline!I:I,Results_list!E324))) / (SUMIFS(SSP5_Baseline!$E:$E,SSP5_Baseline!$C:$C,Results_list!$C$319,SSP5_Baseline!$D:$D,Results_list!$D324,SSP5_Baseline!$B:$B,2025,SSP5_Baseline!I:I,Results_list!E324))</f>
        <v>9.9013875777856416E-3</v>
      </c>
      <c r="N324" s="16">
        <f>((SUMIFS(SSP5_VSI!$F:$F,SSP5_VSI!$C:$C,Results_list!$C$319,SSP5_VSI!$D:$D,Results_list!$D324,SSP5_VSI!$B:$B,2040,SSP5_VSI!I:I,Results_list!E324)) - (SUMIFS(SSP5_VSI!$F:$F,SSP5_VSI!$C:$C,Results_list!$C$319,SSP5_VSI!$D:$D,Results_list!$D324,SSP5_VSI!$B:$B,2025,SSP5_VSI!I:I,Results_list!E324))) / (SUMIFS(SSP5_VSI!$F:$F,SSP5_VSI!$C:$C,Results_list!$C$319,SSP5_VSI!$D:$D,Results_list!$D324,SSP5_VSI!$B:$B,2025,SSP5_VSI!I:I,Results_list!E324))</f>
        <v>-9.6588113827563341E-2</v>
      </c>
      <c r="O324" s="13">
        <f t="shared" si="47"/>
        <v>-0.11</v>
      </c>
    </row>
    <row r="325" spans="2:15" x14ac:dyDescent="0.35">
      <c r="B325" s="81"/>
      <c r="C325" s="81"/>
      <c r="D325" s="22" t="s">
        <v>45</v>
      </c>
      <c r="E325" s="25" t="s">
        <v>82</v>
      </c>
      <c r="F325" s="3" t="s">
        <v>93</v>
      </c>
      <c r="G325" s="12">
        <f>((SUMIFS(SSP1_Baseline!$E:$E,SSP1_Baseline!$C:$C,Results_list!$C$319,SSP1_Baseline!$D:$D,Results_list!$D325,SSP1_Baseline!$B:$B,2040,SSP1_Baseline!I:I,Results_list!E325)) - (SUMIFS(SSP1_Baseline!$E:$E,SSP1_Baseline!$C:$C,Results_list!$C$319,SSP1_Baseline!$D:$D,Results_list!$D325,SSP1_Baseline!$B:$B,2025,SSP1_Baseline!I:I,Results_list!E325))) / (SUMIFS(SSP1_Baseline!$E:$E,SSP1_Baseline!$C:$C,Results_list!$C$319,SSP1_Baseline!$D:$D,Results_list!$D325,SSP1_Baseline!$B:$B,2025,SSP1_Baseline!I:I,Results_list!E325))</f>
        <v>-0.42440604877484062</v>
      </c>
      <c r="H325" s="16">
        <f>((SUMIFS(SSP1_VSI!$F:$F,SSP1_VSI!$C:$C,Results_list!$C$319,SSP1_VSI!$D:$D,Results_list!$D325,SSP1_VSI!$B:$B,2040,SSP1_VSI!I:I,Results_list!E325)) - (SUMIFS(SSP1_VSI!$F:$F,SSP1_VSI!$C:$C,Results_list!$C$319,SSP1_VSI!$D:$D,Results_list!$D325,SSP1_VSI!$B:$B,2025,SSP1_VSI!I:I,Results_list!E325))) / (SUMIFS(SSP1_VSI!$F:$F,SSP1_VSI!$C:$C,Results_list!$C$319,SSP1_VSI!$D:$D,Results_list!$D325,SSP1_VSI!$B:$B,2025,SSP1_VSI!I:I,Results_list!E325))</f>
        <v>-0.42439747375458098</v>
      </c>
      <c r="I325" s="13">
        <f t="shared" si="45"/>
        <v>0</v>
      </c>
      <c r="J325" s="12">
        <f>((SUMIFS(SSP2_Baseline!$E:$E,SSP2_Baseline!$C:$C,Results_list!$C$319,SSP2_Baseline!$D:$D,Results_list!$D325,SSP2_Baseline!$B:$B,2040,SSP2_Baseline!I:I,Results_list!E325)) - (SUMIFS(SSP2_Baseline!$E:$E,SSP2_Baseline!$C:$C,Results_list!$C$319,SSP2_Baseline!$D:$D,Results_list!$D325,SSP2_Baseline!$B:$B,2025,SSP2_Baseline!I:I,Results_list!E325))) / (SUMIFS(SSP2_Baseline!$E:$E,SSP2_Baseline!$C:$C,Results_list!$C$319,SSP2_Baseline!$D:$D,Results_list!$D325,SSP2_Baseline!$B:$B,2025,SSP2_Baseline!I:I,Results_list!E325))</f>
        <v>-0.45008722348891728</v>
      </c>
      <c r="K325" s="16">
        <f>((SUMIFS(SSP2_VSI!$F:$F,SSP2_VSI!$C:$C,Results_list!$C$319,SSP2_VSI!$D:$D,Results_list!$D325,SSP2_VSI!$B:$B,2040,SSP2_VSI!I:I,Results_list!E325)) - (SUMIFS(SSP2_VSI!$F:$F,SSP2_VSI!$C:$C,Results_list!$C$319,SSP2_VSI!$D:$D,Results_list!$D325,SSP2_VSI!$B:$B,2025,SSP2_VSI!I:I,Results_list!E325))) / (SUMIFS(SSP2_VSI!$F:$F,SSP2_VSI!$C:$C,Results_list!$C$319,SSP2_VSI!$D:$D,Results_list!$D325,SSP2_VSI!$B:$B,2025,SSP2_VSI!I:I,Results_list!E325))</f>
        <v>-0.45003218436910358</v>
      </c>
      <c r="L325" s="13">
        <f t="shared" si="46"/>
        <v>0</v>
      </c>
      <c r="M325" s="12">
        <f>((SUMIFS(SSP5_Baseline!$E:$E,SSP5_Baseline!$C:$C,Results_list!$C$319,SSP5_Baseline!$D:$D,Results_list!$D325,SSP5_Baseline!$B:$B,2040,SSP5_Baseline!I:I,Results_list!E325)) - (SUMIFS(SSP5_Baseline!$E:$E,SSP5_Baseline!$C:$C,Results_list!$C$319,SSP5_Baseline!$D:$D,Results_list!$D325,SSP5_Baseline!$B:$B,2025,SSP5_Baseline!I:I,Results_list!E325))) / (SUMIFS(SSP5_Baseline!$E:$E,SSP5_Baseline!$C:$C,Results_list!$C$319,SSP5_Baseline!$D:$D,Results_list!$D325,SSP5_Baseline!$B:$B,2025,SSP5_Baseline!I:I,Results_list!E325))</f>
        <v>-0.3815910370133262</v>
      </c>
      <c r="N325" s="16">
        <f>((SUMIFS(SSP5_VSI!$F:$F,SSP5_VSI!$C:$C,Results_list!$C$319,SSP5_VSI!$D:$D,Results_list!$D325,SSP5_VSI!$B:$B,2040,SSP5_VSI!I:I,Results_list!E325)) - (SUMIFS(SSP5_VSI!$F:$F,SSP5_VSI!$C:$C,Results_list!$C$319,SSP5_VSI!$D:$D,Results_list!$D325,SSP5_VSI!$B:$B,2025,SSP5_VSI!I:I,Results_list!E325))) / (SUMIFS(SSP5_VSI!$F:$F,SSP5_VSI!$C:$C,Results_list!$C$319,SSP5_VSI!$D:$D,Results_list!$D325,SSP5_VSI!$B:$B,2025,SSP5_VSI!I:I,Results_list!E325))</f>
        <v>-0.38158390056648478</v>
      </c>
      <c r="O325" s="13">
        <f t="shared" si="47"/>
        <v>0</v>
      </c>
    </row>
    <row r="326" spans="2:15" x14ac:dyDescent="0.35">
      <c r="B326" s="81"/>
      <c r="C326" s="81"/>
      <c r="D326" s="22" t="s">
        <v>46</v>
      </c>
      <c r="E326" s="25" t="s">
        <v>82</v>
      </c>
      <c r="F326" s="3" t="s">
        <v>94</v>
      </c>
      <c r="G326" s="12">
        <f>((SUMIFS(SSP1_Baseline!$E:$E,SSP1_Baseline!$C:$C,Results_list!$C$319,SSP1_Baseline!$D:$D,Results_list!$D326,SSP1_Baseline!$B:$B,2040,SSP1_Baseline!I:I,Results_list!E326)) - (SUMIFS(SSP1_Baseline!$E:$E,SSP1_Baseline!$C:$C,Results_list!$C$319,SSP1_Baseline!$D:$D,Results_list!$D326,SSP1_Baseline!$B:$B,2025,SSP1_Baseline!I:I,Results_list!E326))) / (SUMIFS(SSP1_Baseline!$E:$E,SSP1_Baseline!$C:$C,Results_list!$C$319,SSP1_Baseline!$D:$D,Results_list!$D326,SSP1_Baseline!$B:$B,2025,SSP1_Baseline!I:I,Results_list!E326))</f>
        <v>0.3593725431875483</v>
      </c>
      <c r="H326" s="16">
        <f>((SUMIFS(SSP1_VSI!$F:$F,SSP1_VSI!$C:$C,Results_list!$C$319,SSP1_VSI!$D:$D,Results_list!$D326,SSP1_VSI!$B:$B,2040,SSP1_VSI!I:I,Results_list!E326)) - (SUMIFS(SSP1_VSI!$F:$F,SSP1_VSI!$C:$C,Results_list!$C$319,SSP1_VSI!$D:$D,Results_list!$D326,SSP1_VSI!$B:$B,2025,SSP1_VSI!I:I,Results_list!E326))) / (SUMIFS(SSP1_VSI!$F:$F,SSP1_VSI!$C:$C,Results_list!$C$319,SSP1_VSI!$D:$D,Results_list!$D326,SSP1_VSI!$B:$B,2025,SSP1_VSI!I:I,Results_list!E326))</f>
        <v>0.35937811213714188</v>
      </c>
      <c r="I326" s="13">
        <f t="shared" si="45"/>
        <v>0</v>
      </c>
      <c r="J326" s="12">
        <f>((SUMIFS(SSP2_Baseline!$E:$E,SSP2_Baseline!$C:$C,Results_list!$C$319,SSP2_Baseline!$D:$D,Results_list!$D326,SSP2_Baseline!$B:$B,2040,SSP2_Baseline!I:I,Results_list!E326)) - (SUMIFS(SSP2_Baseline!$E:$E,SSP2_Baseline!$C:$C,Results_list!$C$319,SSP2_Baseline!$D:$D,Results_list!$D326,SSP2_Baseline!$B:$B,2025,SSP2_Baseline!I:I,Results_list!E326))) / (SUMIFS(SSP2_Baseline!$E:$E,SSP2_Baseline!$C:$C,Results_list!$C$319,SSP2_Baseline!$D:$D,Results_list!$D326,SSP2_Baseline!$B:$B,2025,SSP2_Baseline!I:I,Results_list!E326))</f>
        <v>1.0522431139609563</v>
      </c>
      <c r="K326" s="16">
        <f>((SUMIFS(SSP2_VSI!$F:$F,SSP2_VSI!$C:$C,Results_list!$C$319,SSP2_VSI!$D:$D,Results_list!$D326,SSP2_VSI!$B:$B,2040,SSP2_VSI!I:I,Results_list!E326)) - (SUMIFS(SSP2_VSI!$F:$F,SSP2_VSI!$C:$C,Results_list!$C$319,SSP2_VSI!$D:$D,Results_list!$D326,SSP2_VSI!$B:$B,2025,SSP2_VSI!I:I,Results_list!E326))) / (SUMIFS(SSP2_VSI!$F:$F,SSP2_VSI!$C:$C,Results_list!$C$319,SSP2_VSI!$D:$D,Results_list!$D326,SSP2_VSI!$B:$B,2025,SSP2_VSI!I:I,Results_list!E326))</f>
        <v>1.052150290037821</v>
      </c>
      <c r="L326" s="13">
        <f t="shared" si="46"/>
        <v>0</v>
      </c>
      <c r="M326" s="12">
        <f>((SUMIFS(SSP5_Baseline!$E:$E,SSP5_Baseline!$C:$C,Results_list!$C$319,SSP5_Baseline!$D:$D,Results_list!$D326,SSP5_Baseline!$B:$B,2040,SSP5_Baseline!I:I,Results_list!E326)) - (SUMIFS(SSP5_Baseline!$E:$E,SSP5_Baseline!$C:$C,Results_list!$C$319,SSP5_Baseline!$D:$D,Results_list!$D326,SSP5_Baseline!$B:$B,2025,SSP5_Baseline!I:I,Results_list!E326))) / (SUMIFS(SSP5_Baseline!$E:$E,SSP5_Baseline!$C:$C,Results_list!$C$319,SSP5_Baseline!$D:$D,Results_list!$D326,SSP5_Baseline!$B:$B,2025,SSP5_Baseline!I:I,Results_list!E326))</f>
        <v>1.0068124498221422</v>
      </c>
      <c r="N326" s="16">
        <f>((SUMIFS(SSP5_VSI!$F:$F,SSP5_VSI!$C:$C,Results_list!$C$319,SSP5_VSI!$D:$D,Results_list!$D326,SSP5_VSI!$B:$B,2040,SSP5_VSI!I:I,Results_list!E326)) - (SUMIFS(SSP5_VSI!$F:$F,SSP5_VSI!$C:$C,Results_list!$C$319,SSP5_VSI!$D:$D,Results_list!$D326,SSP5_VSI!$B:$B,2025,SSP5_VSI!I:I,Results_list!E326))) / (SUMIFS(SSP5_VSI!$F:$F,SSP5_VSI!$C:$C,Results_list!$C$319,SSP5_VSI!$D:$D,Results_list!$D326,SSP5_VSI!$B:$B,2025,SSP5_VSI!I:I,Results_list!E326))</f>
        <v>1.0068340466551486</v>
      </c>
      <c r="O326" s="13">
        <f t="shared" si="47"/>
        <v>0</v>
      </c>
    </row>
    <row r="327" spans="2:15" x14ac:dyDescent="0.35">
      <c r="B327" s="81"/>
      <c r="C327" s="81"/>
      <c r="D327" s="22" t="s">
        <v>47</v>
      </c>
      <c r="E327" s="25" t="s">
        <v>82</v>
      </c>
      <c r="F327" s="3" t="s">
        <v>95</v>
      </c>
      <c r="G327" s="12">
        <f>((SUMIFS(SSP1_Baseline!$E:$E,SSP1_Baseline!$C:$C,Results_list!$C$319,SSP1_Baseline!$D:$D,Results_list!$D327,SSP1_Baseline!$B:$B,2040,SSP1_Baseline!I:I,Results_list!E327)) - (SUMIFS(SSP1_Baseline!$E:$E,SSP1_Baseline!$C:$C,Results_list!$C$319,SSP1_Baseline!$D:$D,Results_list!$D327,SSP1_Baseline!$B:$B,2025,SSP1_Baseline!I:I,Results_list!E327))) / (SUMIFS(SSP1_Baseline!$E:$E,SSP1_Baseline!$C:$C,Results_list!$C$319,SSP1_Baseline!$D:$D,Results_list!$D327,SSP1_Baseline!$B:$B,2025,SSP1_Baseline!I:I,Results_list!E327))</f>
        <v>-0.42344723195381373</v>
      </c>
      <c r="H327" s="16">
        <f>((SUMIFS(SSP1_VSI!$F:$F,SSP1_VSI!$C:$C,Results_list!$C$319,SSP1_VSI!$D:$D,Results_list!$D327,SSP1_VSI!$B:$B,2040,SSP1_VSI!I:I,Results_list!E327)) - (SUMIFS(SSP1_VSI!$F:$F,SSP1_VSI!$C:$C,Results_list!$C$319,SSP1_VSI!$D:$D,Results_list!$D327,SSP1_VSI!$B:$B,2025,SSP1_VSI!I:I,Results_list!E327))) / (SUMIFS(SSP1_VSI!$F:$F,SSP1_VSI!$C:$C,Results_list!$C$319,SSP1_VSI!$D:$D,Results_list!$D327,SSP1_VSI!$B:$B,2025,SSP1_VSI!I:I,Results_list!E327))</f>
        <v>-0.42340441299914833</v>
      </c>
      <c r="I327" s="13">
        <f t="shared" si="45"/>
        <v>0</v>
      </c>
      <c r="J327" s="12">
        <f>((SUMIFS(SSP2_Baseline!$E:$E,SSP2_Baseline!$C:$C,Results_list!$C$319,SSP2_Baseline!$D:$D,Results_list!$D327,SSP2_Baseline!$B:$B,2040,SSP2_Baseline!I:I,Results_list!E327)) - (SUMIFS(SSP2_Baseline!$E:$E,SSP2_Baseline!$C:$C,Results_list!$C$319,SSP2_Baseline!$D:$D,Results_list!$D327,SSP2_Baseline!$B:$B,2025,SSP2_Baseline!I:I,Results_list!E327))) / (SUMIFS(SSP2_Baseline!$E:$E,SSP2_Baseline!$C:$C,Results_list!$C$319,SSP2_Baseline!$D:$D,Results_list!$D327,SSP2_Baseline!$B:$B,2025,SSP2_Baseline!I:I,Results_list!E327))</f>
        <v>-0.50200786763677907</v>
      </c>
      <c r="K327" s="16">
        <f>((SUMIFS(SSP2_VSI!$F:$F,SSP2_VSI!$C:$C,Results_list!$C$319,SSP2_VSI!$D:$D,Results_list!$D327,SSP2_VSI!$B:$B,2040,SSP2_VSI!I:I,Results_list!E327)) - (SUMIFS(SSP2_VSI!$F:$F,SSP2_VSI!$C:$C,Results_list!$C$319,SSP2_VSI!$D:$D,Results_list!$D327,SSP2_VSI!$B:$B,2025,SSP2_VSI!I:I,Results_list!E327))) / (SUMIFS(SSP2_VSI!$F:$F,SSP2_VSI!$C:$C,Results_list!$C$319,SSP2_VSI!$D:$D,Results_list!$D327,SSP2_VSI!$B:$B,2025,SSP2_VSI!I:I,Results_list!E327))</f>
        <v>-0.50198570311519053</v>
      </c>
      <c r="L327" s="13">
        <f t="shared" si="46"/>
        <v>0</v>
      </c>
      <c r="M327" s="12">
        <f>((SUMIFS(SSP5_Baseline!$E:$E,SSP5_Baseline!$C:$C,Results_list!$C$319,SSP5_Baseline!$D:$D,Results_list!$D327,SSP5_Baseline!$B:$B,2040,SSP5_Baseline!I:I,Results_list!E327)) - (SUMIFS(SSP5_Baseline!$E:$E,SSP5_Baseline!$C:$C,Results_list!$C$319,SSP5_Baseline!$D:$D,Results_list!$D327,SSP5_Baseline!$B:$B,2025,SSP5_Baseline!I:I,Results_list!E327))) / (SUMIFS(SSP5_Baseline!$E:$E,SSP5_Baseline!$C:$C,Results_list!$C$319,SSP5_Baseline!$D:$D,Results_list!$D327,SSP5_Baseline!$B:$B,2025,SSP5_Baseline!I:I,Results_list!E327))</f>
        <v>0.77370456260573617</v>
      </c>
      <c r="N327" s="16">
        <f>((SUMIFS(SSP5_VSI!$F:$F,SSP5_VSI!$C:$C,Results_list!$C$319,SSP5_VSI!$D:$D,Results_list!$D327,SSP5_VSI!$B:$B,2040,SSP5_VSI!I:I,Results_list!E327)) - (SUMIFS(SSP5_VSI!$F:$F,SSP5_VSI!$C:$C,Results_list!$C$319,SSP5_VSI!$D:$D,Results_list!$D327,SSP5_VSI!$B:$B,2025,SSP5_VSI!I:I,Results_list!E327))) / (SUMIFS(SSP5_VSI!$F:$F,SSP5_VSI!$C:$C,Results_list!$C$319,SSP5_VSI!$D:$D,Results_list!$D327,SSP5_VSI!$B:$B,2025,SSP5_VSI!I:I,Results_list!E327))</f>
        <v>0.77381672774360666</v>
      </c>
      <c r="O327" s="13">
        <f t="shared" si="47"/>
        <v>0</v>
      </c>
    </row>
    <row r="328" spans="2:15" x14ac:dyDescent="0.35">
      <c r="B328" s="81"/>
      <c r="C328" s="81"/>
      <c r="D328" s="22" t="s">
        <v>48</v>
      </c>
      <c r="E328" s="25" t="s">
        <v>82</v>
      </c>
      <c r="F328" s="3" t="s">
        <v>96</v>
      </c>
      <c r="G328" s="12">
        <f>((SUMIFS(SSP1_Baseline!$E:$E,SSP1_Baseline!$C:$C,Results_list!$C$319,SSP1_Baseline!$D:$D,Results_list!$D328,SSP1_Baseline!$B:$B,2040,SSP1_Baseline!I:I,Results_list!E328)) - (SUMIFS(SSP1_Baseline!$E:$E,SSP1_Baseline!$C:$C,Results_list!$C$319,SSP1_Baseline!$D:$D,Results_list!$D328,SSP1_Baseline!$B:$B,2025,SSP1_Baseline!I:I,Results_list!E328))) / (SUMIFS(SSP1_Baseline!$E:$E,SSP1_Baseline!$C:$C,Results_list!$C$319,SSP1_Baseline!$D:$D,Results_list!$D328,SSP1_Baseline!$B:$B,2025,SSP1_Baseline!I:I,Results_list!E328))</f>
        <v>6.4141834246721056E-5</v>
      </c>
      <c r="H328" s="16">
        <f>((SUMIFS(SSP1_VSI!$F:$F,SSP1_VSI!$C:$C,Results_list!$C$319,SSP1_VSI!$D:$D,Results_list!$D328,SSP1_VSI!$B:$B,2040,SSP1_VSI!I:I,Results_list!E328)) - (SUMIFS(SSP1_VSI!$F:$F,SSP1_VSI!$C:$C,Results_list!$C$319,SSP1_VSI!$D:$D,Results_list!$D328,SSP1_VSI!$B:$B,2025,SSP1_VSI!I:I,Results_list!E328))) / (SUMIFS(SSP1_VSI!$F:$F,SSP1_VSI!$C:$C,Results_list!$C$319,SSP1_VSI!$D:$D,Results_list!$D328,SSP1_VSI!$B:$B,2025,SSP1_VSI!I:I,Results_list!E328))</f>
        <v>6.4147379575672957E-5</v>
      </c>
      <c r="I328" s="13">
        <f t="shared" si="45"/>
        <v>0</v>
      </c>
      <c r="J328" s="12">
        <f>((SUMIFS(SSP2_Baseline!$E:$E,SSP2_Baseline!$C:$C,Results_list!$C$319,SSP2_Baseline!$D:$D,Results_list!$D328,SSP2_Baseline!$B:$B,2040,SSP2_Baseline!I:I,Results_list!E328)) - (SUMIFS(SSP2_Baseline!$E:$E,SSP2_Baseline!$C:$C,Results_list!$C$319,SSP2_Baseline!$D:$D,Results_list!$D328,SSP2_Baseline!$B:$B,2025,SSP2_Baseline!I:I,Results_list!E328))) / (SUMIFS(SSP2_Baseline!$E:$E,SSP2_Baseline!$C:$C,Results_list!$C$319,SSP2_Baseline!$D:$D,Results_list!$D328,SSP2_Baseline!$B:$B,2025,SSP2_Baseline!I:I,Results_list!E328))</f>
        <v>5.4151976730693142E-5</v>
      </c>
      <c r="K328" s="16">
        <f>((SUMIFS(SSP2_VSI!$F:$F,SSP2_VSI!$C:$C,Results_list!$C$319,SSP2_VSI!$D:$D,Results_list!$D328,SSP2_VSI!$B:$B,2040,SSP2_VSI!I:I,Results_list!E328)) - (SUMIFS(SSP2_VSI!$F:$F,SSP2_VSI!$C:$C,Results_list!$C$319,SSP2_VSI!$D:$D,Results_list!$D328,SSP2_VSI!$B:$B,2025,SSP2_VSI!I:I,Results_list!E328))) / (SUMIFS(SSP2_VSI!$F:$F,SSP2_VSI!$C:$C,Results_list!$C$319,SSP2_VSI!$D:$D,Results_list!$D328,SSP2_VSI!$B:$B,2025,SSP2_VSI!I:I,Results_list!E328))</f>
        <v>5.4153686234289582E-5</v>
      </c>
      <c r="L328" s="13">
        <f t="shared" si="46"/>
        <v>0</v>
      </c>
      <c r="M328" s="12">
        <f>((SUMIFS(SSP5_Baseline!$E:$E,SSP5_Baseline!$C:$C,Results_list!$C$319,SSP5_Baseline!$D:$D,Results_list!$D328,SSP5_Baseline!$B:$B,2040,SSP5_Baseline!I:I,Results_list!E328)) - (SUMIFS(SSP5_Baseline!$E:$E,SSP5_Baseline!$C:$C,Results_list!$C$319,SSP5_Baseline!$D:$D,Results_list!$D328,SSP5_Baseline!$B:$B,2025,SSP5_Baseline!I:I,Results_list!E328))) / (SUMIFS(SSP5_Baseline!$E:$E,SSP5_Baseline!$C:$C,Results_list!$C$319,SSP5_Baseline!$D:$D,Results_list!$D328,SSP5_Baseline!$B:$B,2025,SSP5_Baseline!I:I,Results_list!E328))</f>
        <v>1.9094970304027593E-5</v>
      </c>
      <c r="N328" s="16">
        <f>((SUMIFS(SSP5_VSI!$F:$F,SSP5_VSI!$C:$C,Results_list!$C$319,SSP5_VSI!$D:$D,Results_list!$D328,SSP5_VSI!$B:$B,2040,SSP5_VSI!I:I,Results_list!E328)) - (SUMIFS(SSP5_VSI!$F:$F,SSP5_VSI!$C:$C,Results_list!$C$319,SSP5_VSI!$D:$D,Results_list!$D328,SSP5_VSI!$B:$B,2025,SSP5_VSI!I:I,Results_list!E328))) / (SUMIFS(SSP5_VSI!$F:$F,SSP5_VSI!$C:$C,Results_list!$C$319,SSP5_VSI!$D:$D,Results_list!$D328,SSP5_VSI!$B:$B,2025,SSP5_VSI!I:I,Results_list!E328))</f>
        <v>1.9106539840219296E-5</v>
      </c>
      <c r="O328" s="13">
        <f t="shared" si="47"/>
        <v>0</v>
      </c>
    </row>
    <row r="329" spans="2:15" x14ac:dyDescent="0.35">
      <c r="B329" s="81"/>
      <c r="C329" s="81"/>
      <c r="D329" s="22" t="s">
        <v>49</v>
      </c>
      <c r="E329" s="25" t="s">
        <v>82</v>
      </c>
      <c r="F329" s="3" t="s">
        <v>97</v>
      </c>
      <c r="G329" s="12">
        <f>((SUMIFS(SSP1_Baseline!$E:$E,SSP1_Baseline!$C:$C,Results_list!$C$319,SSP1_Baseline!$D:$D,Results_list!$D329,SSP1_Baseline!$B:$B,2040,SSP1_Baseline!I:I,Results_list!E329)) - (SUMIFS(SSP1_Baseline!$E:$E,SSP1_Baseline!$C:$C,Results_list!$C$319,SSP1_Baseline!$D:$D,Results_list!$D329,SSP1_Baseline!$B:$B,2025,SSP1_Baseline!I:I,Results_list!E329))) / (SUMIFS(SSP1_Baseline!$E:$E,SSP1_Baseline!$C:$C,Results_list!$C$319,SSP1_Baseline!$D:$D,Results_list!$D329,SSP1_Baseline!$B:$B,2025,SSP1_Baseline!I:I,Results_list!E329))</f>
        <v>-0.31708461505804908</v>
      </c>
      <c r="H329" s="16">
        <f>((SUMIFS(SSP1_VSI!$F:$F,SSP1_VSI!$C:$C,Results_list!$C$319,SSP1_VSI!$D:$D,Results_list!$D329,SSP1_VSI!$B:$B,2040,SSP1_VSI!I:I,Results_list!E329)) - (SUMIFS(SSP1_VSI!$F:$F,SSP1_VSI!$C:$C,Results_list!$C$319,SSP1_VSI!$D:$D,Results_list!$D329,SSP1_VSI!$B:$B,2025,SSP1_VSI!I:I,Results_list!E329))) / (SUMIFS(SSP1_VSI!$F:$F,SSP1_VSI!$C:$C,Results_list!$C$319,SSP1_VSI!$D:$D,Results_list!$D329,SSP1_VSI!$B:$B,2025,SSP1_VSI!I:I,Results_list!E329))</f>
        <v>-0.31715461331848044</v>
      </c>
      <c r="I329" s="13">
        <f t="shared" si="45"/>
        <v>0</v>
      </c>
      <c r="J329" s="12">
        <f>((SUMIFS(SSP2_Baseline!$E:$E,SSP2_Baseline!$C:$C,Results_list!$C$319,SSP2_Baseline!$D:$D,Results_list!$D329,SSP2_Baseline!$B:$B,2040,SSP2_Baseline!I:I,Results_list!E329)) - (SUMIFS(SSP2_Baseline!$E:$E,SSP2_Baseline!$C:$C,Results_list!$C$319,SSP2_Baseline!$D:$D,Results_list!$D329,SSP2_Baseline!$B:$B,2025,SSP2_Baseline!I:I,Results_list!E329))) / (SUMIFS(SSP2_Baseline!$E:$E,SSP2_Baseline!$C:$C,Results_list!$C$319,SSP2_Baseline!$D:$D,Results_list!$D329,SSP2_Baseline!$B:$B,2025,SSP2_Baseline!I:I,Results_list!E329))</f>
        <v>-0.30536688314853683</v>
      </c>
      <c r="K329" s="16">
        <f>((SUMIFS(SSP2_VSI!$F:$F,SSP2_VSI!$C:$C,Results_list!$C$319,SSP2_VSI!$D:$D,Results_list!$D329,SSP2_VSI!$B:$B,2040,SSP2_VSI!I:I,Results_list!E329)) - (SUMIFS(SSP2_VSI!$F:$F,SSP2_VSI!$C:$C,Results_list!$C$319,SSP2_VSI!$D:$D,Results_list!$D329,SSP2_VSI!$B:$B,2025,SSP2_VSI!I:I,Results_list!E329))) / (SUMIFS(SSP2_VSI!$F:$F,SSP2_VSI!$C:$C,Results_list!$C$319,SSP2_VSI!$D:$D,Results_list!$D329,SSP2_VSI!$B:$B,2025,SSP2_VSI!I:I,Results_list!E329))</f>
        <v>-0.3053477046723716</v>
      </c>
      <c r="L329" s="13">
        <f t="shared" si="46"/>
        <v>0</v>
      </c>
      <c r="M329" s="12">
        <f>((SUMIFS(SSP5_Baseline!$E:$E,SSP5_Baseline!$C:$C,Results_list!$C$319,SSP5_Baseline!$D:$D,Results_list!$D329,SSP5_Baseline!$B:$B,2040,SSP5_Baseline!I:I,Results_list!E329)) - (SUMIFS(SSP5_Baseline!$E:$E,SSP5_Baseline!$C:$C,Results_list!$C$319,SSP5_Baseline!$D:$D,Results_list!$D329,SSP5_Baseline!$B:$B,2025,SSP5_Baseline!I:I,Results_list!E329))) / (SUMIFS(SSP5_Baseline!$E:$E,SSP5_Baseline!$C:$C,Results_list!$C$319,SSP5_Baseline!$D:$D,Results_list!$D329,SSP5_Baseline!$B:$B,2025,SSP5_Baseline!I:I,Results_list!E329))</f>
        <v>-0.20709330632046333</v>
      </c>
      <c r="N329" s="16">
        <f>((SUMIFS(SSP5_VSI!$F:$F,SSP5_VSI!$C:$C,Results_list!$C$319,SSP5_VSI!$D:$D,Results_list!$D329,SSP5_VSI!$B:$B,2040,SSP5_VSI!I:I,Results_list!E329)) - (SUMIFS(SSP5_VSI!$F:$F,SSP5_VSI!$C:$C,Results_list!$C$319,SSP5_VSI!$D:$D,Results_list!$D329,SSP5_VSI!$B:$B,2025,SSP5_VSI!I:I,Results_list!E329))) / (SUMIFS(SSP5_VSI!$F:$F,SSP5_VSI!$C:$C,Results_list!$C$319,SSP5_VSI!$D:$D,Results_list!$D329,SSP5_VSI!$B:$B,2025,SSP5_VSI!I:I,Results_list!E329))</f>
        <v>-0.20714327823788786</v>
      </c>
      <c r="O329" s="13">
        <f t="shared" si="47"/>
        <v>0</v>
      </c>
    </row>
    <row r="330" spans="2:15" x14ac:dyDescent="0.35">
      <c r="B330" s="81"/>
      <c r="C330" s="81"/>
      <c r="D330" s="22" t="s">
        <v>50</v>
      </c>
      <c r="E330" s="25" t="s">
        <v>82</v>
      </c>
      <c r="F330" s="3" t="s">
        <v>98</v>
      </c>
      <c r="G330" s="12">
        <f>((SUMIFS(SSP1_Baseline!$E:$E,SSP1_Baseline!$C:$C,Results_list!$C$319,SSP1_Baseline!$D:$D,Results_list!$D330,SSP1_Baseline!$B:$B,2040,SSP1_Baseline!I:I,Results_list!E330)) - (SUMIFS(SSP1_Baseline!$E:$E,SSP1_Baseline!$C:$C,Results_list!$C$319,SSP1_Baseline!$D:$D,Results_list!$D330,SSP1_Baseline!$B:$B,2025,SSP1_Baseline!I:I,Results_list!E330))) / (SUMIFS(SSP1_Baseline!$E:$E,SSP1_Baseline!$C:$C,Results_list!$C$319,SSP1_Baseline!$D:$D,Results_list!$D330,SSP1_Baseline!$B:$B,2025,SSP1_Baseline!I:I,Results_list!E330))</f>
        <v>-0.25203680984032406</v>
      </c>
      <c r="H330" s="16">
        <f>((SUMIFS(SSP1_VSI!$F:$F,SSP1_VSI!$C:$C,Results_list!$C$319,SSP1_VSI!$D:$D,Results_list!$D330,SSP1_VSI!$B:$B,2040,SSP1_VSI!I:I,Results_list!E330)) - (SUMIFS(SSP1_VSI!$F:$F,SSP1_VSI!$C:$C,Results_list!$C$319,SSP1_VSI!$D:$D,Results_list!$D330,SSP1_VSI!$B:$B,2025,SSP1_VSI!I:I,Results_list!E330))) / (SUMIFS(SSP1_VSI!$F:$F,SSP1_VSI!$C:$C,Results_list!$C$319,SSP1_VSI!$D:$D,Results_list!$D330,SSP1_VSI!$B:$B,2025,SSP1_VSI!I:I,Results_list!E330))</f>
        <v>-0.25204234955297372</v>
      </c>
      <c r="I330" s="13">
        <f t="shared" si="45"/>
        <v>0</v>
      </c>
      <c r="J330" s="12">
        <f>((SUMIFS(SSP2_Baseline!$E:$E,SSP2_Baseline!$C:$C,Results_list!$C$319,SSP2_Baseline!$D:$D,Results_list!$D330,SSP2_Baseline!$B:$B,2040,SSP2_Baseline!I:I,Results_list!E330)) - (SUMIFS(SSP2_Baseline!$E:$E,SSP2_Baseline!$C:$C,Results_list!$C$319,SSP2_Baseline!$D:$D,Results_list!$D330,SSP2_Baseline!$B:$B,2025,SSP2_Baseline!I:I,Results_list!E330))) / (SUMIFS(SSP2_Baseline!$E:$E,SSP2_Baseline!$C:$C,Results_list!$C$319,SSP2_Baseline!$D:$D,Results_list!$D330,SSP2_Baseline!$B:$B,2025,SSP2_Baseline!I:I,Results_list!E330))</f>
        <v>-0.10158273394969866</v>
      </c>
      <c r="K330" s="16">
        <f>((SUMIFS(SSP2_VSI!$F:$F,SSP2_VSI!$C:$C,Results_list!$C$319,SSP2_VSI!$D:$D,Results_list!$D330,SSP2_VSI!$B:$B,2040,SSP2_VSI!I:I,Results_list!E330)) - (SUMIFS(SSP2_VSI!$F:$F,SSP2_VSI!$C:$C,Results_list!$C$319,SSP2_VSI!$D:$D,Results_list!$D330,SSP2_VSI!$B:$B,2025,SSP2_VSI!I:I,Results_list!E330))) / (SUMIFS(SSP2_VSI!$F:$F,SSP2_VSI!$C:$C,Results_list!$C$319,SSP2_VSI!$D:$D,Results_list!$D330,SSP2_VSI!$B:$B,2025,SSP2_VSI!I:I,Results_list!E330))</f>
        <v>-0.10158407485485701</v>
      </c>
      <c r="L330" s="13">
        <f t="shared" si="46"/>
        <v>0</v>
      </c>
      <c r="M330" s="12">
        <f>((SUMIFS(SSP5_Baseline!$E:$E,SSP5_Baseline!$C:$C,Results_list!$C$319,SSP5_Baseline!$D:$D,Results_list!$D330,SSP5_Baseline!$B:$B,2040,SSP5_Baseline!I:I,Results_list!E330)) - (SUMIFS(SSP5_Baseline!$E:$E,SSP5_Baseline!$C:$C,Results_list!$C$319,SSP5_Baseline!$D:$D,Results_list!$D330,SSP5_Baseline!$B:$B,2025,SSP5_Baseline!I:I,Results_list!E330))) / (SUMIFS(SSP5_Baseline!$E:$E,SSP5_Baseline!$C:$C,Results_list!$C$319,SSP5_Baseline!$D:$D,Results_list!$D330,SSP5_Baseline!$B:$B,2025,SSP5_Baseline!I:I,Results_list!E330))</f>
        <v>0.14868566397159072</v>
      </c>
      <c r="N330" s="16">
        <f>((SUMIFS(SSP5_VSI!$F:$F,SSP5_VSI!$C:$C,Results_list!$C$319,SSP5_VSI!$D:$D,Results_list!$D330,SSP5_VSI!$B:$B,2040,SSP5_VSI!I:I,Results_list!E330)) - (SUMIFS(SSP5_VSI!$F:$F,SSP5_VSI!$C:$C,Results_list!$C$319,SSP5_VSI!$D:$D,Results_list!$D330,SSP5_VSI!$B:$B,2025,SSP5_VSI!I:I,Results_list!E330))) / (SUMIFS(SSP5_VSI!$F:$F,SSP5_VSI!$C:$C,Results_list!$C$319,SSP5_VSI!$D:$D,Results_list!$D330,SSP5_VSI!$B:$B,2025,SSP5_VSI!I:I,Results_list!E330))</f>
        <v>0.14870080775929473</v>
      </c>
      <c r="O330" s="13">
        <f t="shared" si="47"/>
        <v>0</v>
      </c>
    </row>
    <row r="331" spans="2:15" x14ac:dyDescent="0.35">
      <c r="B331" s="81"/>
      <c r="C331" s="81"/>
      <c r="D331" s="22" t="s">
        <v>51</v>
      </c>
      <c r="E331" s="25" t="s">
        <v>82</v>
      </c>
      <c r="F331" s="3" t="s">
        <v>99</v>
      </c>
      <c r="G331" s="12">
        <f>((SUMIFS(SSP1_Baseline!$E:$E,SSP1_Baseline!$C:$C,Results_list!$C$319,SSP1_Baseline!$D:$D,Results_list!$D331,SSP1_Baseline!$B:$B,2040,SSP1_Baseline!I:I,Results_list!E331)) - (SUMIFS(SSP1_Baseline!$E:$E,SSP1_Baseline!$C:$C,Results_list!$C$319,SSP1_Baseline!$D:$D,Results_list!$D331,SSP1_Baseline!$B:$B,2025,SSP1_Baseline!I:I,Results_list!E331))) / (SUMIFS(SSP1_Baseline!$E:$E,SSP1_Baseline!$C:$C,Results_list!$C$319,SSP1_Baseline!$D:$D,Results_list!$D331,SSP1_Baseline!$B:$B,2025,SSP1_Baseline!I:I,Results_list!E331))</f>
        <v>8.8517306346134014E-2</v>
      </c>
      <c r="H331" s="16">
        <f>((SUMIFS(SSP1_VSI!$F:$F,SSP1_VSI!$C:$C,Results_list!$C$319,SSP1_VSI!$D:$D,Results_list!$D331,SSP1_VSI!$B:$B,2040,SSP1_VSI!I:I,Results_list!E331)) - (SUMIFS(SSP1_VSI!$F:$F,SSP1_VSI!$C:$C,Results_list!$C$319,SSP1_VSI!$D:$D,Results_list!$D331,SSP1_VSI!$B:$B,2025,SSP1_VSI!I:I,Results_list!E331))) / (SUMIFS(SSP1_VSI!$F:$F,SSP1_VSI!$C:$C,Results_list!$C$319,SSP1_VSI!$D:$D,Results_list!$D331,SSP1_VSI!$B:$B,2025,SSP1_VSI!I:I,Results_list!E331))</f>
        <v>8.8510834903974253E-2</v>
      </c>
      <c r="I331" s="13">
        <f t="shared" si="45"/>
        <v>0</v>
      </c>
      <c r="J331" s="12">
        <f>((SUMIFS(SSP2_Baseline!$E:$E,SSP2_Baseline!$C:$C,Results_list!$C$319,SSP2_Baseline!$D:$D,Results_list!$D331,SSP2_Baseline!$B:$B,2040,SSP2_Baseline!I:I,Results_list!E331)) - (SUMIFS(SSP2_Baseline!$E:$E,SSP2_Baseline!$C:$C,Results_list!$C$319,SSP2_Baseline!$D:$D,Results_list!$D331,SSP2_Baseline!$B:$B,2025,SSP2_Baseline!I:I,Results_list!E331))) / (SUMIFS(SSP2_Baseline!$E:$E,SSP2_Baseline!$C:$C,Results_list!$C$319,SSP2_Baseline!$D:$D,Results_list!$D331,SSP2_Baseline!$B:$B,2025,SSP2_Baseline!I:I,Results_list!E331))</f>
        <v>7.8137413968691838E-2</v>
      </c>
      <c r="K331" s="16">
        <f>((SUMIFS(SSP2_VSI!$F:$F,SSP2_VSI!$C:$C,Results_list!$C$319,SSP2_VSI!$D:$D,Results_list!$D331,SSP2_VSI!$B:$B,2040,SSP2_VSI!I:I,Results_list!E331)) - (SUMIFS(SSP2_VSI!$F:$F,SSP2_VSI!$C:$C,Results_list!$C$319,SSP2_VSI!$D:$D,Results_list!$D331,SSP2_VSI!$B:$B,2025,SSP2_VSI!I:I,Results_list!E331))) / (SUMIFS(SSP2_VSI!$F:$F,SSP2_VSI!$C:$C,Results_list!$C$319,SSP2_VSI!$D:$D,Results_list!$D331,SSP2_VSI!$B:$B,2025,SSP2_VSI!I:I,Results_list!E331))</f>
        <v>7.810289293063527E-2</v>
      </c>
      <c r="L331" s="13">
        <f t="shared" si="46"/>
        <v>0</v>
      </c>
      <c r="M331" s="12">
        <f>((SUMIFS(SSP5_Baseline!$E:$E,SSP5_Baseline!$C:$C,Results_list!$C$319,SSP5_Baseline!$D:$D,Results_list!$D331,SSP5_Baseline!$B:$B,2040,SSP5_Baseline!I:I,Results_list!E331)) - (SUMIFS(SSP5_Baseline!$E:$E,SSP5_Baseline!$C:$C,Results_list!$C$319,SSP5_Baseline!$D:$D,Results_list!$D331,SSP5_Baseline!$B:$B,2025,SSP5_Baseline!I:I,Results_list!E331))) / (SUMIFS(SSP5_Baseline!$E:$E,SSP5_Baseline!$C:$C,Results_list!$C$319,SSP5_Baseline!$D:$D,Results_list!$D331,SSP5_Baseline!$B:$B,2025,SSP5_Baseline!I:I,Results_list!E331))</f>
        <v>-1.6834563210831373E-2</v>
      </c>
      <c r="N331" s="16">
        <f>((SUMIFS(SSP5_VSI!$F:$F,SSP5_VSI!$C:$C,Results_list!$C$319,SSP5_VSI!$D:$D,Results_list!$D331,SSP5_VSI!$B:$B,2040,SSP5_VSI!I:I,Results_list!E331)) - (SUMIFS(SSP5_VSI!$F:$F,SSP5_VSI!$C:$C,Results_list!$C$319,SSP5_VSI!$D:$D,Results_list!$D331,SSP5_VSI!$B:$B,2025,SSP5_VSI!I:I,Results_list!E331))) / (SUMIFS(SSP5_VSI!$F:$F,SSP5_VSI!$C:$C,Results_list!$C$319,SSP5_VSI!$D:$D,Results_list!$D331,SSP5_VSI!$B:$B,2025,SSP5_VSI!I:I,Results_list!E331))</f>
        <v>-1.6815045223900843E-2</v>
      </c>
      <c r="O331" s="13">
        <f t="shared" si="47"/>
        <v>0</v>
      </c>
    </row>
    <row r="332" spans="2:15" x14ac:dyDescent="0.35">
      <c r="B332" s="81"/>
      <c r="C332" s="81"/>
      <c r="D332" s="22" t="s">
        <v>52</v>
      </c>
      <c r="E332" s="25" t="s">
        <v>82</v>
      </c>
      <c r="F332" s="3" t="s">
        <v>100</v>
      </c>
      <c r="G332" s="12">
        <f>((SUMIFS(SSP1_Baseline!$E:$E,SSP1_Baseline!$C:$C,Results_list!$C$319,SSP1_Baseline!$D:$D,Results_list!$D332,SSP1_Baseline!$B:$B,2040,SSP1_Baseline!I:I,Results_list!E332)) - (SUMIFS(SSP1_Baseline!$E:$E,SSP1_Baseline!$C:$C,Results_list!$C$319,SSP1_Baseline!$D:$D,Results_list!$D332,SSP1_Baseline!$B:$B,2025,SSP1_Baseline!I:I,Results_list!E332))) / (SUMIFS(SSP1_Baseline!$E:$E,SSP1_Baseline!$C:$C,Results_list!$C$319,SSP1_Baseline!$D:$D,Results_list!$D332,SSP1_Baseline!$B:$B,2025,SSP1_Baseline!I:I,Results_list!E332))</f>
        <v>-0.45831494108259391</v>
      </c>
      <c r="H332" s="16">
        <f>((SUMIFS(SSP1_VSI!$F:$F,SSP1_VSI!$C:$C,Results_list!$C$319,SSP1_VSI!$D:$D,Results_list!$D332,SSP1_VSI!$B:$B,2040,SSP1_VSI!I:I,Results_list!E332)) - (SUMIFS(SSP1_VSI!$F:$F,SSP1_VSI!$C:$C,Results_list!$C$319,SSP1_VSI!$D:$D,Results_list!$D332,SSP1_VSI!$B:$B,2025,SSP1_VSI!I:I,Results_list!E332))) / (SUMIFS(SSP1_VSI!$F:$F,SSP1_VSI!$C:$C,Results_list!$C$319,SSP1_VSI!$D:$D,Results_list!$D332,SSP1_VSI!$B:$B,2025,SSP1_VSI!I:I,Results_list!E332))</f>
        <v>-0.45829043181108936</v>
      </c>
      <c r="I332" s="13">
        <f t="shared" si="45"/>
        <v>0</v>
      </c>
      <c r="J332" s="12">
        <f>((SUMIFS(SSP2_Baseline!$E:$E,SSP2_Baseline!$C:$C,Results_list!$C$319,SSP2_Baseline!$D:$D,Results_list!$D332,SSP2_Baseline!$B:$B,2040,SSP2_Baseline!I:I,Results_list!E332)) - (SUMIFS(SSP2_Baseline!$E:$E,SSP2_Baseline!$C:$C,Results_list!$C$319,SSP2_Baseline!$D:$D,Results_list!$D332,SSP2_Baseline!$B:$B,2025,SSP2_Baseline!I:I,Results_list!E332))) / (SUMIFS(SSP2_Baseline!$E:$E,SSP2_Baseline!$C:$C,Results_list!$C$319,SSP2_Baseline!$D:$D,Results_list!$D332,SSP2_Baseline!$B:$B,2025,SSP2_Baseline!I:I,Results_list!E332))</f>
        <v>-0.22300207592181201</v>
      </c>
      <c r="K332" s="16">
        <f>((SUMIFS(SSP2_VSI!$F:$F,SSP2_VSI!$C:$C,Results_list!$C$319,SSP2_VSI!$D:$D,Results_list!$D332,SSP2_VSI!$B:$B,2040,SSP2_VSI!I:I,Results_list!E332)) - (SUMIFS(SSP2_VSI!$F:$F,SSP2_VSI!$C:$C,Results_list!$C$319,SSP2_VSI!$D:$D,Results_list!$D332,SSP2_VSI!$B:$B,2025,SSP2_VSI!I:I,Results_list!E332))) / (SUMIFS(SSP2_VSI!$F:$F,SSP2_VSI!$C:$C,Results_list!$C$319,SSP2_VSI!$D:$D,Results_list!$D332,SSP2_VSI!$B:$B,2025,SSP2_VSI!I:I,Results_list!E332))</f>
        <v>-0.2229435847785021</v>
      </c>
      <c r="L332" s="13">
        <f t="shared" si="46"/>
        <v>0</v>
      </c>
      <c r="M332" s="12">
        <f>((SUMIFS(SSP5_Baseline!$E:$E,SSP5_Baseline!$C:$C,Results_list!$C$319,SSP5_Baseline!$D:$D,Results_list!$D332,SSP5_Baseline!$B:$B,2040,SSP5_Baseline!I:I,Results_list!E332)) - (SUMIFS(SSP5_Baseline!$E:$E,SSP5_Baseline!$C:$C,Results_list!$C$319,SSP5_Baseline!$D:$D,Results_list!$D332,SSP5_Baseline!$B:$B,2025,SSP5_Baseline!I:I,Results_list!E332))) / (SUMIFS(SSP5_Baseline!$E:$E,SSP5_Baseline!$C:$C,Results_list!$C$319,SSP5_Baseline!$D:$D,Results_list!$D332,SSP5_Baseline!$B:$B,2025,SSP5_Baseline!I:I,Results_list!E332))</f>
        <v>-0.39760382475264117</v>
      </c>
      <c r="N332" s="16">
        <f>((SUMIFS(SSP5_VSI!$F:$F,SSP5_VSI!$C:$C,Results_list!$C$319,SSP5_VSI!$D:$D,Results_list!$D332,SSP5_VSI!$B:$B,2040,SSP5_VSI!I:I,Results_list!E332)) - (SUMIFS(SSP5_VSI!$F:$F,SSP5_VSI!$C:$C,Results_list!$C$319,SSP5_VSI!$D:$D,Results_list!$D332,SSP5_VSI!$B:$B,2025,SSP5_VSI!I:I,Results_list!E332))) / (SUMIFS(SSP5_VSI!$F:$F,SSP5_VSI!$C:$C,Results_list!$C$319,SSP5_VSI!$D:$D,Results_list!$D332,SSP5_VSI!$B:$B,2025,SSP5_VSI!I:I,Results_list!E332))</f>
        <v>-0.39756574089372332</v>
      </c>
      <c r="O332" s="13">
        <f t="shared" si="47"/>
        <v>0</v>
      </c>
    </row>
    <row r="333" spans="2:15" x14ac:dyDescent="0.35">
      <c r="B333" s="81"/>
      <c r="C333" s="81"/>
      <c r="D333" s="22" t="s">
        <v>53</v>
      </c>
      <c r="E333" s="25" t="s">
        <v>82</v>
      </c>
      <c r="F333" s="3" t="s">
        <v>101</v>
      </c>
      <c r="G333" s="12">
        <f>((SUMIFS(SSP1_Baseline!$E:$E,SSP1_Baseline!$C:$C,Results_list!$C$319,SSP1_Baseline!$D:$D,Results_list!$D333,SSP1_Baseline!$B:$B,2040,SSP1_Baseline!I:I,Results_list!E333)) - (SUMIFS(SSP1_Baseline!$E:$E,SSP1_Baseline!$C:$C,Results_list!$C$319,SSP1_Baseline!$D:$D,Results_list!$D333,SSP1_Baseline!$B:$B,2025,SSP1_Baseline!I:I,Results_list!E333))) / (SUMIFS(SSP1_Baseline!$E:$E,SSP1_Baseline!$C:$C,Results_list!$C$319,SSP1_Baseline!$D:$D,Results_list!$D333,SSP1_Baseline!$B:$B,2025,SSP1_Baseline!I:I,Results_list!E333))</f>
        <v>-0.34770000160690812</v>
      </c>
      <c r="H333" s="16">
        <f>((SUMIFS(SSP1_VSI!$F:$F,SSP1_VSI!$C:$C,Results_list!$C$319,SSP1_VSI!$D:$D,Results_list!$D333,SSP1_VSI!$B:$B,2040,SSP1_VSI!I:I,Results_list!E333)) - (SUMIFS(SSP1_VSI!$F:$F,SSP1_VSI!$C:$C,Results_list!$C$319,SSP1_VSI!$D:$D,Results_list!$D333,SSP1_VSI!$B:$B,2025,SSP1_VSI!I:I,Results_list!E333))) / (SUMIFS(SSP1_VSI!$F:$F,SSP1_VSI!$C:$C,Results_list!$C$319,SSP1_VSI!$D:$D,Results_list!$D333,SSP1_VSI!$B:$B,2025,SSP1_VSI!I:I,Results_list!E333))</f>
        <v>-0.34774776902102761</v>
      </c>
      <c r="I333" s="13">
        <f t="shared" si="45"/>
        <v>0</v>
      </c>
      <c r="J333" s="12">
        <f>((SUMIFS(SSP2_Baseline!$E:$E,SSP2_Baseline!$C:$C,Results_list!$C$319,SSP2_Baseline!$D:$D,Results_list!$D333,SSP2_Baseline!$B:$B,2040,SSP2_Baseline!I:I,Results_list!E333)) - (SUMIFS(SSP2_Baseline!$E:$E,SSP2_Baseline!$C:$C,Results_list!$C$319,SSP2_Baseline!$D:$D,Results_list!$D333,SSP2_Baseline!$B:$B,2025,SSP2_Baseline!I:I,Results_list!E333))) / (SUMIFS(SSP2_Baseline!$E:$E,SSP2_Baseline!$C:$C,Results_list!$C$319,SSP2_Baseline!$D:$D,Results_list!$D333,SSP2_Baseline!$B:$B,2025,SSP2_Baseline!I:I,Results_list!E333))</f>
        <v>-0.35573283553173901</v>
      </c>
      <c r="K333" s="16">
        <f>((SUMIFS(SSP2_VSI!$F:$F,SSP2_VSI!$C:$C,Results_list!$C$319,SSP2_VSI!$D:$D,Results_list!$D333,SSP2_VSI!$B:$B,2040,SSP2_VSI!I:I,Results_list!E333)) - (SUMIFS(SSP2_VSI!$F:$F,SSP2_VSI!$C:$C,Results_list!$C$319,SSP2_VSI!$D:$D,Results_list!$D333,SSP2_VSI!$B:$B,2025,SSP2_VSI!I:I,Results_list!E333))) / (SUMIFS(SSP2_VSI!$F:$F,SSP2_VSI!$C:$C,Results_list!$C$319,SSP2_VSI!$D:$D,Results_list!$D333,SSP2_VSI!$B:$B,2025,SSP2_VSI!I:I,Results_list!E333))</f>
        <v>-0.35573828999003992</v>
      </c>
      <c r="L333" s="13">
        <f t="shared" si="46"/>
        <v>0</v>
      </c>
      <c r="M333" s="12">
        <f>((SUMIFS(SSP5_Baseline!$E:$E,SSP5_Baseline!$C:$C,Results_list!$C$319,SSP5_Baseline!$D:$D,Results_list!$D333,SSP5_Baseline!$B:$B,2040,SSP5_Baseline!I:I,Results_list!E333)) - (SUMIFS(SSP5_Baseline!$E:$E,SSP5_Baseline!$C:$C,Results_list!$C$319,SSP5_Baseline!$D:$D,Results_list!$D333,SSP5_Baseline!$B:$B,2025,SSP5_Baseline!I:I,Results_list!E333))) / (SUMIFS(SSP5_Baseline!$E:$E,SSP5_Baseline!$C:$C,Results_list!$C$319,SSP5_Baseline!$D:$D,Results_list!$D333,SSP5_Baseline!$B:$B,2025,SSP5_Baseline!I:I,Results_list!E333))</f>
        <v>4.2008871851014144E-2</v>
      </c>
      <c r="N333" s="16">
        <f>((SUMIFS(SSP5_VSI!$F:$F,SSP5_VSI!$C:$C,Results_list!$C$319,SSP5_VSI!$D:$D,Results_list!$D333,SSP5_VSI!$B:$B,2040,SSP5_VSI!I:I,Results_list!E333)) - (SUMIFS(SSP5_VSI!$F:$F,SSP5_VSI!$C:$C,Results_list!$C$319,SSP5_VSI!$D:$D,Results_list!$D333,SSP5_VSI!$B:$B,2025,SSP5_VSI!I:I,Results_list!E333))) / (SUMIFS(SSP5_VSI!$F:$F,SSP5_VSI!$C:$C,Results_list!$C$319,SSP5_VSI!$D:$D,Results_list!$D333,SSP5_VSI!$B:$B,2025,SSP5_VSI!I:I,Results_list!E333))</f>
        <v>4.2029997698493651E-2</v>
      </c>
      <c r="O333" s="13">
        <f t="shared" si="47"/>
        <v>0</v>
      </c>
    </row>
    <row r="334" spans="2:15" x14ac:dyDescent="0.35">
      <c r="B334" s="81"/>
      <c r="C334" s="81"/>
      <c r="D334" s="22" t="s">
        <v>54</v>
      </c>
      <c r="E334" s="25" t="s">
        <v>82</v>
      </c>
      <c r="F334" s="3" t="s">
        <v>102</v>
      </c>
      <c r="G334" s="12">
        <f>((SUMIFS(SSP1_Baseline!$E:$E,SSP1_Baseline!$C:$C,Results_list!$C$319,SSP1_Baseline!$D:$D,Results_list!$D334,SSP1_Baseline!$B:$B,2040,SSP1_Baseline!I:I,Results_list!E334)) - (SUMIFS(SSP1_Baseline!$E:$E,SSP1_Baseline!$C:$C,Results_list!$C$319,SSP1_Baseline!$D:$D,Results_list!$D334,SSP1_Baseline!$B:$B,2025,SSP1_Baseline!I:I,Results_list!E334))) / (SUMIFS(SSP1_Baseline!$E:$E,SSP1_Baseline!$C:$C,Results_list!$C$319,SSP1_Baseline!$D:$D,Results_list!$D334,SSP1_Baseline!$B:$B,2025,SSP1_Baseline!I:I,Results_list!E334))</f>
        <v>-7.2408881112263606E-3</v>
      </c>
      <c r="H334" s="16">
        <f>((SUMIFS(SSP1_VSI!$F:$F,SSP1_VSI!$C:$C,Results_list!$C$319,SSP1_VSI!$D:$D,Results_list!$D334,SSP1_VSI!$B:$B,2040,SSP1_VSI!I:I,Results_list!E334)) - (SUMIFS(SSP1_VSI!$F:$F,SSP1_VSI!$C:$C,Results_list!$C$319,SSP1_VSI!$D:$D,Results_list!$D334,SSP1_VSI!$B:$B,2025,SSP1_VSI!I:I,Results_list!E334))) / (SUMIFS(SSP1_VSI!$F:$F,SSP1_VSI!$C:$C,Results_list!$C$319,SSP1_VSI!$D:$D,Results_list!$D334,SSP1_VSI!$B:$B,2025,SSP1_VSI!I:I,Results_list!E334))</f>
        <v>-7.2288008477886237E-3</v>
      </c>
      <c r="I334" s="13">
        <f t="shared" si="45"/>
        <v>0</v>
      </c>
      <c r="J334" s="12">
        <f>((SUMIFS(SSP2_Baseline!$E:$E,SSP2_Baseline!$C:$C,Results_list!$C$319,SSP2_Baseline!$D:$D,Results_list!$D334,SSP2_Baseline!$B:$B,2040,SSP2_Baseline!I:I,Results_list!E334)) - (SUMIFS(SSP2_Baseline!$E:$E,SSP2_Baseline!$C:$C,Results_list!$C$319,SSP2_Baseline!$D:$D,Results_list!$D334,SSP2_Baseline!$B:$B,2025,SSP2_Baseline!I:I,Results_list!E334))) / (SUMIFS(SSP2_Baseline!$E:$E,SSP2_Baseline!$C:$C,Results_list!$C$319,SSP2_Baseline!$D:$D,Results_list!$D334,SSP2_Baseline!$B:$B,2025,SSP2_Baseline!I:I,Results_list!E334))</f>
        <v>-6.7370482892304667E-3</v>
      </c>
      <c r="K334" s="16">
        <f>((SUMIFS(SSP2_VSI!$F:$F,SSP2_VSI!$C:$C,Results_list!$C$319,SSP2_VSI!$D:$D,Results_list!$D334,SSP2_VSI!$B:$B,2040,SSP2_VSI!I:I,Results_list!E334)) - (SUMIFS(SSP2_VSI!$F:$F,SSP2_VSI!$C:$C,Results_list!$C$319,SSP2_VSI!$D:$D,Results_list!$D334,SSP2_VSI!$B:$B,2025,SSP2_VSI!I:I,Results_list!E334))) / (SUMIFS(SSP2_VSI!$F:$F,SSP2_VSI!$C:$C,Results_list!$C$319,SSP2_VSI!$D:$D,Results_list!$D334,SSP2_VSI!$B:$B,2025,SSP2_VSI!I:I,Results_list!E334))</f>
        <v>-6.7229194777789205E-3</v>
      </c>
      <c r="L334" s="13">
        <f t="shared" si="46"/>
        <v>0</v>
      </c>
      <c r="M334" s="12">
        <f>((SUMIFS(SSP5_Baseline!$E:$E,SSP5_Baseline!$C:$C,Results_list!$C$319,SSP5_Baseline!$D:$D,Results_list!$D334,SSP5_Baseline!$B:$B,2040,SSP5_Baseline!I:I,Results_list!E334)) - (SUMIFS(SSP5_Baseline!$E:$E,SSP5_Baseline!$C:$C,Results_list!$C$319,SSP5_Baseline!$D:$D,Results_list!$D334,SSP5_Baseline!$B:$B,2025,SSP5_Baseline!I:I,Results_list!E334))) / (SUMIFS(SSP5_Baseline!$E:$E,SSP5_Baseline!$C:$C,Results_list!$C$319,SSP5_Baseline!$D:$D,Results_list!$D334,SSP5_Baseline!$B:$B,2025,SSP5_Baseline!I:I,Results_list!E334))</f>
        <v>0.20100248159926162</v>
      </c>
      <c r="N334" s="16">
        <f>((SUMIFS(SSP5_VSI!$F:$F,SSP5_VSI!$C:$C,Results_list!$C$319,SSP5_VSI!$D:$D,Results_list!$D334,SSP5_VSI!$B:$B,2040,SSP5_VSI!I:I,Results_list!E334)) - (SUMIFS(SSP5_VSI!$F:$F,SSP5_VSI!$C:$C,Results_list!$C$319,SSP5_VSI!$D:$D,Results_list!$D334,SSP5_VSI!$B:$B,2025,SSP5_VSI!I:I,Results_list!E334))) / (SUMIFS(SSP5_VSI!$F:$F,SSP5_VSI!$C:$C,Results_list!$C$319,SSP5_VSI!$D:$D,Results_list!$D334,SSP5_VSI!$B:$B,2025,SSP5_VSI!I:I,Results_list!E334))</f>
        <v>0.20104021214905646</v>
      </c>
      <c r="O334" s="13">
        <f t="shared" si="47"/>
        <v>0</v>
      </c>
    </row>
    <row r="335" spans="2:15" x14ac:dyDescent="0.35">
      <c r="B335" s="81"/>
      <c r="C335" s="81"/>
      <c r="D335" s="22" t="s">
        <v>55</v>
      </c>
      <c r="E335" s="25" t="s">
        <v>82</v>
      </c>
      <c r="F335" s="3" t="s">
        <v>103</v>
      </c>
      <c r="G335" s="12">
        <f>((SUMIFS(SSP1_Baseline!$E:$E,SSP1_Baseline!$C:$C,Results_list!$C$319,SSP1_Baseline!$D:$D,Results_list!$D335,SSP1_Baseline!$B:$B,2040,SSP1_Baseline!I:I,Results_list!E335)) - (SUMIFS(SSP1_Baseline!$E:$E,SSP1_Baseline!$C:$C,Results_list!$C$319,SSP1_Baseline!$D:$D,Results_list!$D335,SSP1_Baseline!$B:$B,2025,SSP1_Baseline!I:I,Results_list!E335))) / (SUMIFS(SSP1_Baseline!$E:$E,SSP1_Baseline!$C:$C,Results_list!$C$319,SSP1_Baseline!$D:$D,Results_list!$D335,SSP1_Baseline!$B:$B,2025,SSP1_Baseline!I:I,Results_list!E335))</f>
        <v>-1.451850031604709E-2</v>
      </c>
      <c r="H335" s="16">
        <f>((SUMIFS(SSP1_VSI!$F:$F,SSP1_VSI!$C:$C,Results_list!$C$319,SSP1_VSI!$D:$D,Results_list!$D335,SSP1_VSI!$B:$B,2040,SSP1_VSI!I:I,Results_list!E335)) - (SUMIFS(SSP1_VSI!$F:$F,SSP1_VSI!$C:$C,Results_list!$C$319,SSP1_VSI!$D:$D,Results_list!$D335,SSP1_VSI!$B:$B,2025,SSP1_VSI!I:I,Results_list!E335))) / (SUMIFS(SSP1_VSI!$F:$F,SSP1_VSI!$C:$C,Results_list!$C$319,SSP1_VSI!$D:$D,Results_list!$D335,SSP1_VSI!$B:$B,2025,SSP1_VSI!I:I,Results_list!E335))</f>
        <v>-1.4507361848709658E-2</v>
      </c>
      <c r="I335" s="13">
        <f t="shared" si="45"/>
        <v>0</v>
      </c>
      <c r="J335" s="12">
        <f>((SUMIFS(SSP2_Baseline!$E:$E,SSP2_Baseline!$C:$C,Results_list!$C$319,SSP2_Baseline!$D:$D,Results_list!$D335,SSP2_Baseline!$B:$B,2040,SSP2_Baseline!I:I,Results_list!E335)) - (SUMIFS(SSP2_Baseline!$E:$E,SSP2_Baseline!$C:$C,Results_list!$C$319,SSP2_Baseline!$D:$D,Results_list!$D335,SSP2_Baseline!$B:$B,2025,SSP2_Baseline!I:I,Results_list!E335))) / (SUMIFS(SSP2_Baseline!$E:$E,SSP2_Baseline!$C:$C,Results_list!$C$319,SSP2_Baseline!$D:$D,Results_list!$D335,SSP2_Baseline!$B:$B,2025,SSP2_Baseline!I:I,Results_list!E335))</f>
        <v>-1.6639993148378714E-2</v>
      </c>
      <c r="K335" s="16">
        <f>((SUMIFS(SSP2_VSI!$F:$F,SSP2_VSI!$C:$C,Results_list!$C$319,SSP2_VSI!$D:$D,Results_list!$D335,SSP2_VSI!$B:$B,2040,SSP2_VSI!I:I,Results_list!E335)) - (SUMIFS(SSP2_VSI!$F:$F,SSP2_VSI!$C:$C,Results_list!$C$319,SSP2_VSI!$D:$D,Results_list!$D335,SSP2_VSI!$B:$B,2025,SSP2_VSI!I:I,Results_list!E335))) / (SUMIFS(SSP2_VSI!$F:$F,SSP2_VSI!$C:$C,Results_list!$C$319,SSP2_VSI!$D:$D,Results_list!$D335,SSP2_VSI!$B:$B,2025,SSP2_VSI!I:I,Results_list!E335))</f>
        <v>-1.6631850295384738E-2</v>
      </c>
      <c r="L335" s="13">
        <f t="shared" si="46"/>
        <v>0</v>
      </c>
      <c r="M335" s="12">
        <f>((SUMIFS(SSP5_Baseline!$E:$E,SSP5_Baseline!$C:$C,Results_list!$C$319,SSP5_Baseline!$D:$D,Results_list!$D335,SSP5_Baseline!$B:$B,2040,SSP5_Baseline!I:I,Results_list!E335)) - (SUMIFS(SSP5_Baseline!$E:$E,SSP5_Baseline!$C:$C,Results_list!$C$319,SSP5_Baseline!$D:$D,Results_list!$D335,SSP5_Baseline!$B:$B,2025,SSP5_Baseline!I:I,Results_list!E335))) / (SUMIFS(SSP5_Baseline!$E:$E,SSP5_Baseline!$C:$C,Results_list!$C$319,SSP5_Baseline!$D:$D,Results_list!$D335,SSP5_Baseline!$B:$B,2025,SSP5_Baseline!I:I,Results_list!E335))</f>
        <v>0.19311037331524872</v>
      </c>
      <c r="N335" s="16">
        <f>((SUMIFS(SSP5_VSI!$F:$F,SSP5_VSI!$C:$C,Results_list!$C$319,SSP5_VSI!$D:$D,Results_list!$D335,SSP5_VSI!$B:$B,2040,SSP5_VSI!I:I,Results_list!E335)) - (SUMIFS(SSP5_VSI!$F:$F,SSP5_VSI!$C:$C,Results_list!$C$319,SSP5_VSI!$D:$D,Results_list!$D335,SSP5_VSI!$B:$B,2025,SSP5_VSI!I:I,Results_list!E335))) / (SUMIFS(SSP5_VSI!$F:$F,SSP5_VSI!$C:$C,Results_list!$C$319,SSP5_VSI!$D:$D,Results_list!$D335,SSP5_VSI!$B:$B,2025,SSP5_VSI!I:I,Results_list!E335))</f>
        <v>0.19315001145096294</v>
      </c>
      <c r="O335" s="13">
        <f t="shared" si="47"/>
        <v>0</v>
      </c>
    </row>
    <row r="336" spans="2:15" x14ac:dyDescent="0.35">
      <c r="B336" s="82"/>
      <c r="C336" s="82"/>
      <c r="D336" s="23" t="s">
        <v>56</v>
      </c>
      <c r="E336" s="26" t="s">
        <v>82</v>
      </c>
      <c r="F336" s="9" t="s">
        <v>104</v>
      </c>
      <c r="G336" s="14">
        <f>((SUMIFS(SSP1_Baseline!$E:$E,SSP1_Baseline!$C:$C,Results_list!$C$319,SSP1_Baseline!$D:$D,Results_list!$D336,SSP1_Baseline!$B:$B,2040,SSP1_Baseline!I:I,Results_list!E336)) - (SUMIFS(SSP1_Baseline!$E:$E,SSP1_Baseline!$C:$C,Results_list!$C$319,SSP1_Baseline!$D:$D,Results_list!$D336,SSP1_Baseline!$B:$B,2025,SSP1_Baseline!I:I,Results_list!E336))) / (SUMIFS(SSP1_Baseline!$E:$E,SSP1_Baseline!$C:$C,Results_list!$C$319,SSP1_Baseline!$D:$D,Results_list!$D336,SSP1_Baseline!$B:$B,2025,SSP1_Baseline!I:I,Results_list!E336))</f>
        <v>-0.24397045203343587</v>
      </c>
      <c r="H336" s="17">
        <f>((SUMIFS(SSP1_VSI!$F:$F,SSP1_VSI!$C:$C,Results_list!$C$319,SSP1_VSI!$D:$D,Results_list!$D336,SSP1_VSI!$B:$B,2040,SSP1_VSI!I:I,Results_list!E336)) - (SUMIFS(SSP1_VSI!$F:$F,SSP1_VSI!$C:$C,Results_list!$C$319,SSP1_VSI!$D:$D,Results_list!$D336,SSP1_VSI!$B:$B,2025,SSP1_VSI!I:I,Results_list!E336))) / (SUMIFS(SSP1_VSI!$F:$F,SSP1_VSI!$C:$C,Results_list!$C$319,SSP1_VSI!$D:$D,Results_list!$D336,SSP1_VSI!$B:$B,2025,SSP1_VSI!I:I,Results_list!E336))</f>
        <v>-0.24399563002654942</v>
      </c>
      <c r="I336" s="15">
        <f t="shared" si="45"/>
        <v>0</v>
      </c>
      <c r="J336" s="14">
        <f>((SUMIFS(SSP2_Baseline!$E:$E,SSP2_Baseline!$C:$C,Results_list!$C$319,SSP2_Baseline!$D:$D,Results_list!$D336,SSP2_Baseline!$B:$B,2040,SSP2_Baseline!I:I,Results_list!E336)) - (SUMIFS(SSP2_Baseline!$E:$E,SSP2_Baseline!$C:$C,Results_list!$C$319,SSP2_Baseline!$D:$D,Results_list!$D336,SSP2_Baseline!$B:$B,2025,SSP2_Baseline!I:I,Results_list!E336))) / (SUMIFS(SSP2_Baseline!$E:$E,SSP2_Baseline!$C:$C,Results_list!$C$319,SSP2_Baseline!$D:$D,Results_list!$D336,SSP2_Baseline!$B:$B,2025,SSP2_Baseline!I:I,Results_list!E336))</f>
        <v>-0.26063610998241676</v>
      </c>
      <c r="K336" s="17">
        <f>((SUMIFS(SSP2_VSI!$F:$F,SSP2_VSI!$C:$C,Results_list!$C$319,SSP2_VSI!$D:$D,Results_list!$D336,SSP2_VSI!$B:$B,2040,SSP2_VSI!I:I,Results_list!E336)) - (SUMIFS(SSP2_VSI!$F:$F,SSP2_VSI!$C:$C,Results_list!$C$319,SSP2_VSI!$D:$D,Results_list!$D336,SSP2_VSI!$B:$B,2025,SSP2_VSI!I:I,Results_list!E336))) / (SUMIFS(SSP2_VSI!$F:$F,SSP2_VSI!$C:$C,Results_list!$C$319,SSP2_VSI!$D:$D,Results_list!$D336,SSP2_VSI!$B:$B,2025,SSP2_VSI!I:I,Results_list!E336))</f>
        <v>-0.26066370105280251</v>
      </c>
      <c r="L336" s="15">
        <f t="shared" si="46"/>
        <v>0</v>
      </c>
      <c r="M336" s="14">
        <f>((SUMIFS(SSP5_Baseline!$E:$E,SSP5_Baseline!$C:$C,Results_list!$C$319,SSP5_Baseline!$D:$D,Results_list!$D336,SSP5_Baseline!$B:$B,2040,SSP5_Baseline!I:I,Results_list!E336)) - (SUMIFS(SSP5_Baseline!$E:$E,SSP5_Baseline!$C:$C,Results_list!$C$319,SSP5_Baseline!$D:$D,Results_list!$D336,SSP5_Baseline!$B:$B,2025,SSP5_Baseline!I:I,Results_list!E336))) / (SUMIFS(SSP5_Baseline!$E:$E,SSP5_Baseline!$C:$C,Results_list!$C$319,SSP5_Baseline!$D:$D,Results_list!$D336,SSP5_Baseline!$B:$B,2025,SSP5_Baseline!I:I,Results_list!E336))</f>
        <v>-2.8728770478041031E-2</v>
      </c>
      <c r="N336" s="17">
        <f>((SUMIFS(SSP5_VSI!$F:$F,SSP5_VSI!$C:$C,Results_list!$C$319,SSP5_VSI!$D:$D,Results_list!$D336,SSP5_VSI!$B:$B,2040,SSP5_VSI!I:I,Results_list!E336)) - (SUMIFS(SSP5_VSI!$F:$F,SSP5_VSI!$C:$C,Results_list!$C$319,SSP5_VSI!$D:$D,Results_list!$D336,SSP5_VSI!$B:$B,2025,SSP5_VSI!I:I,Results_list!E336))) / (SUMIFS(SSP5_VSI!$F:$F,SSP5_VSI!$C:$C,Results_list!$C$319,SSP5_VSI!$D:$D,Results_list!$D336,SSP5_VSI!$B:$B,2025,SSP5_VSI!I:I,Results_list!E336))</f>
        <v>-2.8705890605290059E-2</v>
      </c>
      <c r="O336" s="15">
        <f t="shared" si="47"/>
        <v>0</v>
      </c>
    </row>
    <row r="338" spans="2:15" ht="19" customHeight="1" x14ac:dyDescent="0.35">
      <c r="F338" s="2"/>
      <c r="G338" s="78" t="s">
        <v>3</v>
      </c>
      <c r="H338" s="79"/>
      <c r="I338" s="79"/>
      <c r="J338" s="79"/>
      <c r="K338" s="79"/>
      <c r="L338" s="79"/>
      <c r="M338" s="79"/>
      <c r="N338" s="79"/>
      <c r="O338" s="80"/>
    </row>
    <row r="339" spans="2:15" ht="29" x14ac:dyDescent="0.35">
      <c r="B339" s="8" t="s">
        <v>30</v>
      </c>
      <c r="C339" s="8" t="s">
        <v>30</v>
      </c>
      <c r="D339" s="6" t="s">
        <v>106</v>
      </c>
      <c r="E339" s="18"/>
      <c r="F339" s="7" t="s">
        <v>105</v>
      </c>
      <c r="G339" s="10" t="s">
        <v>0</v>
      </c>
      <c r="H339" s="11" t="s">
        <v>108</v>
      </c>
      <c r="I339" s="18" t="s">
        <v>107</v>
      </c>
      <c r="J339" s="10" t="s">
        <v>1</v>
      </c>
      <c r="K339" s="11" t="s">
        <v>109</v>
      </c>
      <c r="L339" s="18" t="s">
        <v>107</v>
      </c>
      <c r="M339" s="10" t="s">
        <v>2</v>
      </c>
      <c r="N339" s="11" t="s">
        <v>110</v>
      </c>
      <c r="O339" s="18" t="s">
        <v>107</v>
      </c>
    </row>
    <row r="340" spans="2:15" ht="14.5" customHeight="1" x14ac:dyDescent="0.35">
      <c r="B340" s="81" t="s">
        <v>133</v>
      </c>
      <c r="C340" s="81" t="s">
        <v>80</v>
      </c>
      <c r="D340" s="22" t="s">
        <v>38</v>
      </c>
      <c r="E340" s="24" t="s">
        <v>81</v>
      </c>
      <c r="F340" s="3" t="s">
        <v>87</v>
      </c>
      <c r="G340" s="12">
        <f>((SUMIFS(SSP1_Baseline!$E:$E,SSP1_Baseline!$C:$C,Results_list!$C$340,SSP1_Baseline!$D:$D,Results_list!$D340,SSP1_Baseline!$B:$B,2040,SSP1_Baseline!I:I,Results_list!E340)) - (SUMIFS(SSP1_Baseline!$E:$E,SSP1_Baseline!$C:$C,Results_list!$C$340,SSP1_Baseline!$D:$D,Results_list!$D340,SSP1_Baseline!$B:$B,2025,SSP1_Baseline!I:I,Results_list!E340))) / (SUMIFS(SSP1_Baseline!$E:$E,SSP1_Baseline!$C:$C,Results_list!$C$340,SSP1_Baseline!$D:$D,Results_list!$D340,SSP1_Baseline!$B:$B,2025,SSP1_Baseline!I:I,Results_list!E340))</f>
        <v>-0.16163350851487632</v>
      </c>
      <c r="H340" s="16">
        <f>((SUMIFS(SSP1_VSI!$F:$F,SSP1_VSI!$C:$C,Results_list!$C$340,SSP1_VSI!$D:$D,Results_list!$D340,SSP1_VSI!$B:$B,2040,SSP1_VSI!I:I,Results_list!E340)) - (SUMIFS(SSP1_VSI!$F:$F,SSP1_VSI!$C:$C,Results_list!$C$340,SSP1_VSI!$D:$D,Results_list!$D340,SSP1_VSI!$B:$B,2025,SSP1_VSI!I:I,Results_list!E340))) / (SUMIFS(SSP1_VSI!$F:$F,SSP1_VSI!$C:$C,Results_list!$C$340,SSP1_VSI!$D:$D,Results_list!$D340,SSP1_VSI!$B:$B,2025,SSP1_VSI!I:I,Results_list!E340))</f>
        <v>-0.16163282335621801</v>
      </c>
      <c r="I340" s="19">
        <f>ROUND(H340-G340,3)</f>
        <v>0</v>
      </c>
      <c r="J340" s="12">
        <f>((SUMIFS(SSP2_Baseline!$E:$E,SSP2_Baseline!$C:$C,Results_list!$C$340,SSP2_Baseline!$D:$D,Results_list!$D340,SSP2_Baseline!$B:$B,2040,SSP2_Baseline!I:I,Results_list!E340))
- (SUMIFS(SSP2_Baseline!$E:$E,SSP2_Baseline!$C:$C,Results_list!$C$340,SSP2_Baseline!$D:$D,Results_list!$D340,SSP2_Baseline!$B:$B,2025,SSP2_Baseline!I:I,Results_list!E340)))
/ (SUMIFS(SSP2_Baseline!$E:$E,SSP2_Baseline!$C:$C,Results_list!$C$340,SSP2_Baseline!$D:$D,Results_list!$D340,SSP2_Baseline!$B:$B,2025,SSP2_Baseline!I:I,Results_list!E340))</f>
        <v>0.89300813753664043</v>
      </c>
      <c r="K340" s="16">
        <f>((SUMIFS(SSP2_VSI!$F:$F,SSP2_VSI!$C:$C,Results_list!$C$340,SSP2_VSI!$D:$D,Results_list!$D340,SSP2_VSI!$B:$B,2040,SSP2_VSI!I:I,Results_list!E340))
- (SUMIFS(SSP2_VSI!$F:$F,SSP2_VSI!$C:$C,Results_list!$C$340,SSP2_VSI!$D:$D,Results_list!$D340,SSP2_VSI!$B:$B,2025,SSP2_VSI!I:I,Results_list!E340)))
/ (SUMIFS(SSP2_VSI!$F:$F,SSP2_VSI!$C:$C,Results_list!$C$340,SSP2_VSI!$D:$D,Results_list!$D340,SSP2_VSI!$B:$B,2025,SSP2_VSI!I:I,Results_list!E340))</f>
        <v>0.89283456268836869</v>
      </c>
      <c r="L340" s="19">
        <f>ROUND(K340-J340,2)</f>
        <v>0</v>
      </c>
      <c r="M340" s="12">
        <f>((SUMIFS(SSP5_Baseline!$E:$E,SSP5_Baseline!$C:$C,Results_list!$C$319,SSP5_Baseline!$D:$D,Results_list!$D340,SSP5_Baseline!$B:$B,2040,SSP5_Baseline!I:I,Results_list!E340)) - (SUMIFS(SSP5_Baseline!$E:$E,SSP5_Baseline!$C:$C,Results_list!$C$319,SSP5_Baseline!$D:$D,Results_list!$D340,SSP5_Baseline!$B:$B,2025,SSP5_Baseline!I:I,Results_list!E340))) / (SUMIFS(SSP5_Baseline!$E:$E,SSP5_Baseline!$C:$C,Results_list!$C$319,SSP5_Baseline!$D:$D,Results_list!$D340,SSP5_Baseline!$B:$B,2025,SSP5_Baseline!I:I,Results_list!E340))</f>
        <v>1.6512819986028302</v>
      </c>
      <c r="N340" s="16">
        <f>((SUMIFS(SSP5_VSI!$F:$F,SSP5_VSI!$C:$C,Results_list!$C$319,SSP5_VSI!$D:$D,Results_list!$D340,SSP5_VSI!$B:$B,2040,SSP5_VSI!I:I,Results_list!E340)) - (SUMIFS(SSP5_VSI!$F:$F,SSP5_VSI!$C:$C,Results_list!$C$319,SSP5_VSI!$D:$D,Results_list!$D340,SSP5_VSI!$B:$B,2025,SSP5_VSI!I:I,Results_list!E340))) / (SUMIFS(SSP5_VSI!$F:$F,SSP5_VSI!$C:$C,Results_list!$C$319,SSP5_VSI!$D:$D,Results_list!$D340,SSP5_VSI!$B:$B,2025,SSP5_VSI!I:I,Results_list!E340))</f>
        <v>1.6513078979345674</v>
      </c>
      <c r="O340" s="19">
        <f>ROUND(N340-M340,2)</f>
        <v>0</v>
      </c>
    </row>
    <row r="341" spans="2:15" x14ac:dyDescent="0.35">
      <c r="B341" s="81"/>
      <c r="C341" s="81"/>
      <c r="D341" s="22" t="s">
        <v>40</v>
      </c>
      <c r="E341" s="24" t="s">
        <v>81</v>
      </c>
      <c r="F341" s="3" t="s">
        <v>88</v>
      </c>
      <c r="G341" s="12">
        <f>((SUMIFS(SSP1_Baseline!$E:$E,SSP1_Baseline!$C:$C,Results_list!$C$340,SSP1_Baseline!$D:$D,Results_list!$D341,SSP1_Baseline!$B:$B,2040,SSP1_Baseline!I:I,Results_list!E341)) - (SUMIFS(SSP1_Baseline!$E:$E,SSP1_Baseline!$C:$C,Results_list!$C$340,SSP1_Baseline!$D:$D,Results_list!$D341,SSP1_Baseline!$B:$B,2025,SSP1_Baseline!I:I,Results_list!E341))) / (SUMIFS(SSP1_Baseline!$E:$E,SSP1_Baseline!$C:$C,Results_list!$C$340,SSP1_Baseline!$D:$D,Results_list!$D341,SSP1_Baseline!$B:$B,2025,SSP1_Baseline!I:I,Results_list!E341))</f>
        <v>-0.18035316920293878</v>
      </c>
      <c r="H341" s="16">
        <f>((SUMIFS(SSP1_VSI!$F:$F,SSP1_VSI!$C:$C,Results_list!$C$340,SSP1_VSI!$D:$D,Results_list!$D341,SSP1_VSI!$B:$B,2040,SSP1_VSI!I:I,Results_list!E341)) - (SUMIFS(SSP1_VSI!$F:$F,SSP1_VSI!$C:$C,Results_list!$C$340,SSP1_VSI!$D:$D,Results_list!$D341,SSP1_VSI!$B:$B,2025,SSP1_VSI!I:I,Results_list!E341))) / (SUMIFS(SSP1_VSI!$F:$F,SSP1_VSI!$C:$C,Results_list!$C$340,SSP1_VSI!$D:$D,Results_list!$D341,SSP1_VSI!$B:$B,2025,SSP1_VSI!I:I,Results_list!E341))</f>
        <v>-0.18035179590946665</v>
      </c>
      <c r="I341" s="13">
        <f t="shared" ref="I341:I357" si="48">ROUND(H341-G341,3)</f>
        <v>0</v>
      </c>
      <c r="J341" s="12">
        <f>((SUMIFS(SSP2_Baseline!$E:$E,SSP2_Baseline!$C:$C,Results_list!$C$340,SSP2_Baseline!$D:$D,Results_list!$D341,SSP2_Baseline!$B:$B,2040,SSP2_Baseline!I:I,Results_list!E341))
- (SUMIFS(SSP2_Baseline!$E:$E,SSP2_Baseline!$C:$C,Results_list!$C$340,SSP2_Baseline!$D:$D,Results_list!$D341,SSP2_Baseline!$B:$B,2025,SSP2_Baseline!I:I,Results_list!E341)))
/ (SUMIFS(SSP2_Baseline!$E:$E,SSP2_Baseline!$C:$C,Results_list!$C$340,SSP2_Baseline!$D:$D,Results_list!$D341,SSP2_Baseline!$B:$B,2025,SSP2_Baseline!I:I,Results_list!E341))</f>
        <v>-0.1835806671790747</v>
      </c>
      <c r="K341" s="16">
        <f>((SUMIFS(SSP2_VSI!$F:$F,SSP2_VSI!$C:$C,Results_list!$C$340,SSP2_VSI!$D:$D,Results_list!$D341,SSP2_VSI!$B:$B,2040,SSP2_VSI!I:I,Results_list!E341))
- (SUMIFS(SSP2_VSI!$F:$F,SSP2_VSI!$C:$C,Results_list!$C$340,SSP2_VSI!$D:$D,Results_list!$D341,SSP2_VSI!$B:$B,2025,SSP2_VSI!I:I,Results_list!E341)))
/ (SUMIFS(SSP2_VSI!$F:$F,SSP2_VSI!$C:$C,Results_list!$C$340,SSP2_VSI!$D:$D,Results_list!$D341,SSP2_VSI!$B:$B,2025,SSP2_VSI!I:I,Results_list!E341))</f>
        <v>-0.18358995377527421</v>
      </c>
      <c r="L341" s="13">
        <f t="shared" ref="L341:L357" si="49">ROUND(K341-J341,2)</f>
        <v>0</v>
      </c>
      <c r="M341" s="12">
        <f>((SUMIFS(SSP5_Baseline!$E:$E,SSP5_Baseline!$C:$C,Results_list!$C$319,SSP5_Baseline!$D:$D,Results_list!$D341,SSP5_Baseline!$B:$B,2040,SSP5_Baseline!I:I,Results_list!E341)) - (SUMIFS(SSP5_Baseline!$E:$E,SSP5_Baseline!$C:$C,Results_list!$C$319,SSP5_Baseline!$D:$D,Results_list!$D341,SSP5_Baseline!$B:$B,2025,SSP5_Baseline!I:I,Results_list!E341))) / (SUMIFS(SSP5_Baseline!$E:$E,SSP5_Baseline!$C:$C,Results_list!$C$319,SSP5_Baseline!$D:$D,Results_list!$D341,SSP5_Baseline!$B:$B,2025,SSP5_Baseline!I:I,Results_list!E341))</f>
        <v>0.12447701003866374</v>
      </c>
      <c r="N341" s="16">
        <f>((SUMIFS(SSP5_VSI!$F:$F,SSP5_VSI!$C:$C,Results_list!$C$319,SSP5_VSI!$D:$D,Results_list!$D341,SSP5_VSI!$B:$B,2040,SSP5_VSI!I:I,Results_list!E341)) - (SUMIFS(SSP5_VSI!$F:$F,SSP5_VSI!$C:$C,Results_list!$C$319,SSP5_VSI!$D:$D,Results_list!$D341,SSP5_VSI!$B:$B,2025,SSP5_VSI!I:I,Results_list!E341))) / (SUMIFS(SSP5_VSI!$F:$F,SSP5_VSI!$C:$C,Results_list!$C$319,SSP5_VSI!$D:$D,Results_list!$D341,SSP5_VSI!$B:$B,2025,SSP5_VSI!I:I,Results_list!E341))</f>
        <v>0.12445048499348198</v>
      </c>
      <c r="O341" s="13">
        <f t="shared" ref="O341:O357" si="50">ROUND(N341-M341,2)</f>
        <v>0</v>
      </c>
    </row>
    <row r="342" spans="2:15" x14ac:dyDescent="0.35">
      <c r="B342" s="81"/>
      <c r="C342" s="81"/>
      <c r="D342" s="22" t="s">
        <v>41</v>
      </c>
      <c r="E342" s="24" t="s">
        <v>81</v>
      </c>
      <c r="F342" s="3" t="s">
        <v>89</v>
      </c>
      <c r="G342" s="12">
        <f>((SUMIFS(SSP1_Baseline!$E:$E,SSP1_Baseline!$C:$C,Results_list!$C$340,SSP1_Baseline!$D:$D,Results_list!$D342,SSP1_Baseline!$B:$B,2040,SSP1_Baseline!I:I,Results_list!E342)) - (SUMIFS(SSP1_Baseline!$E:$E,SSP1_Baseline!$C:$C,Results_list!$C$340,SSP1_Baseline!$D:$D,Results_list!$D342,SSP1_Baseline!$B:$B,2025,SSP1_Baseline!I:I,Results_list!E342))) / (SUMIFS(SSP1_Baseline!$E:$E,SSP1_Baseline!$C:$C,Results_list!$C$340,SSP1_Baseline!$D:$D,Results_list!$D342,SSP1_Baseline!$B:$B,2025,SSP1_Baseline!I:I,Results_list!E342))</f>
        <v>-0.24438782449397164</v>
      </c>
      <c r="H342" s="16">
        <f>((SUMIFS(SSP1_VSI!$F:$F,SSP1_VSI!$C:$C,Results_list!$C$340,SSP1_VSI!$D:$D,Results_list!$D342,SSP1_VSI!$B:$B,2040,SSP1_VSI!I:I,Results_list!E342)) - (SUMIFS(SSP1_VSI!$F:$F,SSP1_VSI!$C:$C,Results_list!$C$340,SSP1_VSI!$D:$D,Results_list!$D342,SSP1_VSI!$B:$B,2025,SSP1_VSI!I:I,Results_list!E342))) / (SUMIFS(SSP1_VSI!$F:$F,SSP1_VSI!$C:$C,Results_list!$C$340,SSP1_VSI!$D:$D,Results_list!$D342,SSP1_VSI!$B:$B,2025,SSP1_VSI!I:I,Results_list!E342))</f>
        <v>-0.24458655592890188</v>
      </c>
      <c r="I342" s="13">
        <f t="shared" si="48"/>
        <v>0</v>
      </c>
      <c r="J342" s="12">
        <f>((SUMIFS(SSP2_Baseline!$E:$E,SSP2_Baseline!$C:$C,Results_list!$C$340,SSP2_Baseline!$D:$D,Results_list!$D342,SSP2_Baseline!$B:$B,2040,SSP2_Baseline!I:I,Results_list!E342))
- (SUMIFS(SSP2_Baseline!$E:$E,SSP2_Baseline!$C:$C,Results_list!$C$340,SSP2_Baseline!$D:$D,Results_list!$D342,SSP2_Baseline!$B:$B,2025,SSP2_Baseline!I:I,Results_list!E342)))
/ (SUMIFS(SSP2_Baseline!$E:$E,SSP2_Baseline!$C:$C,Results_list!$C$340,SSP2_Baseline!$D:$D,Results_list!$D342,SSP2_Baseline!$B:$B,2025,SSP2_Baseline!I:I,Results_list!E342))</f>
        <v>-0.24900415417424401</v>
      </c>
      <c r="K342" s="16">
        <f>((SUMIFS(SSP2_VSI!$F:$F,SSP2_VSI!$C:$C,Results_list!$C$340,SSP2_VSI!$D:$D,Results_list!$D342,SSP2_VSI!$B:$B,2040,SSP2_VSI!I:I,Results_list!E342))
- (SUMIFS(SSP2_VSI!$F:$F,SSP2_VSI!$C:$C,Results_list!$C$340,SSP2_VSI!$D:$D,Results_list!$D342,SSP2_VSI!$B:$B,2025,SSP2_VSI!I:I,Results_list!E342)))
/ (SUMIFS(SSP2_VSI!$F:$F,SSP2_VSI!$C:$C,Results_list!$C$340,SSP2_VSI!$D:$D,Results_list!$D342,SSP2_VSI!$B:$B,2025,SSP2_VSI!I:I,Results_list!E342))</f>
        <v>-0.24917253871258693</v>
      </c>
      <c r="L342" s="13">
        <f t="shared" si="49"/>
        <v>0</v>
      </c>
      <c r="M342" s="12">
        <f>((SUMIFS(SSP5_Baseline!$E:$E,SSP5_Baseline!$C:$C,Results_list!$C$319,SSP5_Baseline!$D:$D,Results_list!$D342,SSP5_Baseline!$B:$B,2040,SSP5_Baseline!I:I,Results_list!E342)) - (SUMIFS(SSP5_Baseline!$E:$E,SSP5_Baseline!$C:$C,Results_list!$C$319,SSP5_Baseline!$D:$D,Results_list!$D342,SSP5_Baseline!$B:$B,2025,SSP5_Baseline!I:I,Results_list!E342))) / (SUMIFS(SSP5_Baseline!$E:$E,SSP5_Baseline!$C:$C,Results_list!$C$319,SSP5_Baseline!$D:$D,Results_list!$D342,SSP5_Baseline!$B:$B,2025,SSP5_Baseline!I:I,Results_list!E342))</f>
        <v>-3.5370261755310932E-2</v>
      </c>
      <c r="N342" s="16">
        <f>((SUMIFS(SSP5_VSI!$F:$F,SSP5_VSI!$C:$C,Results_list!$C$319,SSP5_VSI!$D:$D,Results_list!$D342,SSP5_VSI!$B:$B,2040,SSP5_VSI!I:I,Results_list!E342)) - (SUMIFS(SSP5_VSI!$F:$F,SSP5_VSI!$C:$C,Results_list!$C$319,SSP5_VSI!$D:$D,Results_list!$D342,SSP5_VSI!$B:$B,2025,SSP5_VSI!I:I,Results_list!E342))) / (SUMIFS(SSP5_VSI!$F:$F,SSP5_VSI!$C:$C,Results_list!$C$319,SSP5_VSI!$D:$D,Results_list!$D342,SSP5_VSI!$B:$B,2025,SSP5_VSI!I:I,Results_list!E342))</f>
        <v>-3.554700573917377E-2</v>
      </c>
      <c r="O342" s="13">
        <f t="shared" si="50"/>
        <v>0</v>
      </c>
    </row>
    <row r="343" spans="2:15" x14ac:dyDescent="0.35">
      <c r="B343" s="81"/>
      <c r="C343" s="81"/>
      <c r="D343" s="22" t="s">
        <v>42</v>
      </c>
      <c r="E343" s="24" t="s">
        <v>81</v>
      </c>
      <c r="F343" s="3" t="s">
        <v>90</v>
      </c>
      <c r="G343" s="12">
        <f>((SUMIFS(SSP1_Baseline!$E:$E,SSP1_Baseline!$C:$C,Results_list!$C$340,SSP1_Baseline!$D:$D,Results_list!$D343,SSP1_Baseline!$B:$B,2040,SSP1_Baseline!I:I,Results_list!E343)) - (SUMIFS(SSP1_Baseline!$E:$E,SSP1_Baseline!$C:$C,Results_list!$C$340,SSP1_Baseline!$D:$D,Results_list!$D343,SSP1_Baseline!$B:$B,2025,SSP1_Baseline!I:I,Results_list!E343))) / (SUMIFS(SSP1_Baseline!$E:$E,SSP1_Baseline!$C:$C,Results_list!$C$340,SSP1_Baseline!$D:$D,Results_list!$D343,SSP1_Baseline!$B:$B,2025,SSP1_Baseline!I:I,Results_list!E343))</f>
        <v>-0.2960582044136234</v>
      </c>
      <c r="H343" s="16">
        <f>((SUMIFS(SSP1_VSI!$F:$F,SSP1_VSI!$C:$C,Results_list!$C$340,SSP1_VSI!$D:$D,Results_list!$D343,SSP1_VSI!$B:$B,2040,SSP1_VSI!I:I,Results_list!E343)) - (SUMIFS(SSP1_VSI!$F:$F,SSP1_VSI!$C:$C,Results_list!$C$340,SSP1_VSI!$D:$D,Results_list!$D343,SSP1_VSI!$B:$B,2025,SSP1_VSI!I:I,Results_list!E343))) / (SUMIFS(SSP1_VSI!$F:$F,SSP1_VSI!$C:$C,Results_list!$C$340,SSP1_VSI!$D:$D,Results_list!$D343,SSP1_VSI!$B:$B,2025,SSP1_VSI!I:I,Results_list!E343))</f>
        <v>-0.29605521788339551</v>
      </c>
      <c r="I343" s="13">
        <f t="shared" si="48"/>
        <v>0</v>
      </c>
      <c r="J343" s="12">
        <f>((SUMIFS(SSP2_Baseline!$E:$E,SSP2_Baseline!$C:$C,Results_list!$C$340,SSP2_Baseline!$D:$D,Results_list!$D343,SSP2_Baseline!$B:$B,2040,SSP2_Baseline!I:I,Results_list!E343))
- (SUMIFS(SSP2_Baseline!$E:$E,SSP2_Baseline!$C:$C,Results_list!$C$340,SSP2_Baseline!$D:$D,Results_list!$D343,SSP2_Baseline!$B:$B,2025,SSP2_Baseline!I:I,Results_list!E343)))
/ (SUMIFS(SSP2_Baseline!$E:$E,SSP2_Baseline!$C:$C,Results_list!$C$340,SSP2_Baseline!$D:$D,Results_list!$D343,SSP2_Baseline!$B:$B,2025,SSP2_Baseline!I:I,Results_list!E343))</f>
        <v>-0.31872347835779297</v>
      </c>
      <c r="K343" s="16">
        <f>((SUMIFS(SSP2_VSI!$F:$F,SSP2_VSI!$C:$C,Results_list!$C$340,SSP2_VSI!$D:$D,Results_list!$D343,SSP2_VSI!$B:$B,2040,SSP2_VSI!I:I,Results_list!E343))
- (SUMIFS(SSP2_VSI!$F:$F,SSP2_VSI!$C:$C,Results_list!$C$340,SSP2_VSI!$D:$D,Results_list!$D343,SSP2_VSI!$B:$B,2025,SSP2_VSI!I:I,Results_list!E343)))
/ (SUMIFS(SSP2_VSI!$F:$F,SSP2_VSI!$C:$C,Results_list!$C$340,SSP2_VSI!$D:$D,Results_list!$D343,SSP2_VSI!$B:$B,2025,SSP2_VSI!I:I,Results_list!E343))</f>
        <v>-0.31874323206748922</v>
      </c>
      <c r="L343" s="13">
        <f t="shared" si="49"/>
        <v>0</v>
      </c>
      <c r="M343" s="12">
        <f>((SUMIFS(SSP5_Baseline!$E:$E,SSP5_Baseline!$C:$C,Results_list!$C$319,SSP5_Baseline!$D:$D,Results_list!$D343,SSP5_Baseline!$B:$B,2040,SSP5_Baseline!I:I,Results_list!E343)) - (SUMIFS(SSP5_Baseline!$E:$E,SSP5_Baseline!$C:$C,Results_list!$C$319,SSP5_Baseline!$D:$D,Results_list!$D343,SSP5_Baseline!$B:$B,2025,SSP5_Baseline!I:I,Results_list!E343))) / (SUMIFS(SSP5_Baseline!$E:$E,SSP5_Baseline!$C:$C,Results_list!$C$319,SSP5_Baseline!$D:$D,Results_list!$D343,SSP5_Baseline!$B:$B,2025,SSP5_Baseline!I:I,Results_list!E343))</f>
        <v>-0.2206780950689195</v>
      </c>
      <c r="N343" s="16">
        <f>((SUMIFS(SSP5_VSI!$F:$F,SSP5_VSI!$C:$C,Results_list!$C$319,SSP5_VSI!$D:$D,Results_list!$D343,SSP5_VSI!$B:$B,2040,SSP5_VSI!I:I,Results_list!E343)) - (SUMIFS(SSP5_VSI!$F:$F,SSP5_VSI!$C:$C,Results_list!$C$319,SSP5_VSI!$D:$D,Results_list!$D343,SSP5_VSI!$B:$B,2025,SSP5_VSI!I:I,Results_list!E343))) / (SUMIFS(SSP5_VSI!$F:$F,SSP5_VSI!$C:$C,Results_list!$C$319,SSP5_VSI!$D:$D,Results_list!$D343,SSP5_VSI!$B:$B,2025,SSP5_VSI!I:I,Results_list!E343))</f>
        <v>-0.22060250886355173</v>
      </c>
      <c r="O343" s="13">
        <f t="shared" si="50"/>
        <v>0</v>
      </c>
    </row>
    <row r="344" spans="2:15" x14ac:dyDescent="0.35">
      <c r="B344" s="81"/>
      <c r="C344" s="81"/>
      <c r="D344" s="22" t="s">
        <v>43</v>
      </c>
      <c r="E344" s="24" t="s">
        <v>81</v>
      </c>
      <c r="F344" s="3" t="s">
        <v>91</v>
      </c>
      <c r="G344" s="12">
        <f>((SUMIFS(SSP1_Baseline!$E:$E,SSP1_Baseline!$C:$C,Results_list!$C$340,SSP1_Baseline!$D:$D,Results_list!$D344,SSP1_Baseline!$B:$B,2040,SSP1_Baseline!I:I,Results_list!E344)) - (SUMIFS(SSP1_Baseline!$E:$E,SSP1_Baseline!$C:$C,Results_list!$C$340,SSP1_Baseline!$D:$D,Results_list!$D344,SSP1_Baseline!$B:$B,2025,SSP1_Baseline!I:I,Results_list!E344))) / (SUMIFS(SSP1_Baseline!$E:$E,SSP1_Baseline!$C:$C,Results_list!$C$340,SSP1_Baseline!$D:$D,Results_list!$D344,SSP1_Baseline!$B:$B,2025,SSP1_Baseline!I:I,Results_list!E344))</f>
        <v>-0.26013949580376422</v>
      </c>
      <c r="H344" s="16">
        <f>((SUMIFS(SSP1_VSI!$F:$F,SSP1_VSI!$C:$C,Results_list!$C$340,SSP1_VSI!$D:$D,Results_list!$D344,SSP1_VSI!$B:$B,2040,SSP1_VSI!I:I,Results_list!E344)) - (SUMIFS(SSP1_VSI!$F:$F,SSP1_VSI!$C:$C,Results_list!$C$340,SSP1_VSI!$D:$D,Results_list!$D344,SSP1_VSI!$B:$B,2025,SSP1_VSI!I:I,Results_list!E344))) / (SUMIFS(SSP1_VSI!$F:$F,SSP1_VSI!$C:$C,Results_list!$C$340,SSP1_VSI!$D:$D,Results_list!$D344,SSP1_VSI!$B:$B,2025,SSP1_VSI!I:I,Results_list!E344))</f>
        <v>-0.2601712636057904</v>
      </c>
      <c r="I344" s="13">
        <f t="shared" si="48"/>
        <v>0</v>
      </c>
      <c r="J344" s="12">
        <f>((SUMIFS(SSP2_Baseline!$E:$E,SSP2_Baseline!$C:$C,Results_list!$C$340,SSP2_Baseline!$D:$D,Results_list!$D344,SSP2_Baseline!$B:$B,2040,SSP2_Baseline!I:I,Results_list!E344))
- (SUMIFS(SSP2_Baseline!$E:$E,SSP2_Baseline!$C:$C,Results_list!$C$340,SSP2_Baseline!$D:$D,Results_list!$D344,SSP2_Baseline!$B:$B,2025,SSP2_Baseline!I:I,Results_list!E344)))
/ (SUMIFS(SSP2_Baseline!$E:$E,SSP2_Baseline!$C:$C,Results_list!$C$340,SSP2_Baseline!$D:$D,Results_list!$D344,SSP2_Baseline!$B:$B,2025,SSP2_Baseline!I:I,Results_list!E344))</f>
        <v>-0.21415273296856874</v>
      </c>
      <c r="K344" s="16">
        <f>((SUMIFS(SSP2_VSI!$F:$F,SSP2_VSI!$C:$C,Results_list!$C$340,SSP2_VSI!$D:$D,Results_list!$D344,SSP2_VSI!$B:$B,2040,SSP2_VSI!I:I,Results_list!E344))
- (SUMIFS(SSP2_VSI!$F:$F,SSP2_VSI!$C:$C,Results_list!$C$340,SSP2_VSI!$D:$D,Results_list!$D344,SSP2_VSI!$B:$B,2025,SSP2_VSI!I:I,Results_list!E344)))
/ (SUMIFS(SSP2_VSI!$F:$F,SSP2_VSI!$C:$C,Results_list!$C$340,SSP2_VSI!$D:$D,Results_list!$D344,SSP2_VSI!$B:$B,2025,SSP2_VSI!I:I,Results_list!E344))</f>
        <v>-0.21415894680525344</v>
      </c>
      <c r="L344" s="13">
        <f t="shared" si="49"/>
        <v>0</v>
      </c>
      <c r="M344" s="12">
        <f>((SUMIFS(SSP5_Baseline!$E:$E,SSP5_Baseline!$C:$C,Results_list!$C$319,SSP5_Baseline!$D:$D,Results_list!$D344,SSP5_Baseline!$B:$B,2040,SSP5_Baseline!I:I,Results_list!E344)) - (SUMIFS(SSP5_Baseline!$E:$E,SSP5_Baseline!$C:$C,Results_list!$C$319,SSP5_Baseline!$D:$D,Results_list!$D344,SSP5_Baseline!$B:$B,2025,SSP5_Baseline!I:I,Results_list!E344))) / (SUMIFS(SSP5_Baseline!$E:$E,SSP5_Baseline!$C:$C,Results_list!$C$319,SSP5_Baseline!$D:$D,Results_list!$D344,SSP5_Baseline!$B:$B,2025,SSP5_Baseline!I:I,Results_list!E344))</f>
        <v>-8.9992259161568819E-2</v>
      </c>
      <c r="N344" s="16">
        <f>((SUMIFS(SSP5_VSI!$F:$F,SSP5_VSI!$C:$C,Results_list!$C$319,SSP5_VSI!$D:$D,Results_list!$D344,SSP5_VSI!$B:$B,2040,SSP5_VSI!I:I,Results_list!E344)) - (SUMIFS(SSP5_VSI!$F:$F,SSP5_VSI!$C:$C,Results_list!$C$319,SSP5_VSI!$D:$D,Results_list!$D344,SSP5_VSI!$B:$B,2025,SSP5_VSI!I:I,Results_list!E344))) / (SUMIFS(SSP5_VSI!$F:$F,SSP5_VSI!$C:$C,Results_list!$C$319,SSP5_VSI!$D:$D,Results_list!$D344,SSP5_VSI!$B:$B,2025,SSP5_VSI!I:I,Results_list!E344))</f>
        <v>-9.0013174111363503E-2</v>
      </c>
      <c r="O344" s="13">
        <f t="shared" si="50"/>
        <v>0</v>
      </c>
    </row>
    <row r="345" spans="2:15" x14ac:dyDescent="0.35">
      <c r="B345" s="81"/>
      <c r="C345" s="81"/>
      <c r="D345" t="s">
        <v>136</v>
      </c>
      <c r="E345" s="24" t="s">
        <v>81</v>
      </c>
      <c r="F345" s="3" t="s">
        <v>92</v>
      </c>
      <c r="G345" s="12">
        <f>((SUMIFS(SSP1_Baseline!$E:$E,SSP1_Baseline!$C:$C,Results_list!$C$340,SSP1_Baseline!$D:$D,Results_list!$D345,SSP1_Baseline!$B:$B,2040,SSP1_Baseline!I:I,Results_list!E345)) - (SUMIFS(SSP1_Baseline!$E:$E,SSP1_Baseline!$C:$C,Results_list!$C$340,SSP1_Baseline!$D:$D,Results_list!$D345,SSP1_Baseline!$B:$B,2025,SSP1_Baseline!I:I,Results_list!E345))) / (SUMIFS(SSP1_Baseline!$E:$E,SSP1_Baseline!$C:$C,Results_list!$C$340,SSP1_Baseline!$D:$D,Results_list!$D345,SSP1_Baseline!$B:$B,2025,SSP1_Baseline!I:I,Results_list!E345))</f>
        <v>-0.24490706973607015</v>
      </c>
      <c r="H345" s="16">
        <f>((SUMIFS(SSP1_VSI!$F:$F,SSP1_VSI!$C:$C,Results_list!$C$340,SSP1_VSI!$D:$D,Results_list!$D345,SSP1_VSI!$B:$B,2040,SSP1_VSI!I:I,Results_list!E345)) - (SUMIFS(SSP1_VSI!$F:$F,SSP1_VSI!$C:$C,Results_list!$C$340,SSP1_VSI!$D:$D,Results_list!$D345,SSP1_VSI!$B:$B,2025,SSP1_VSI!I:I,Results_list!E345))) / (SUMIFS(SSP1_VSI!$F:$F,SSP1_VSI!$C:$C,Results_list!$C$340,SSP1_VSI!$D:$D,Results_list!$D345,SSP1_VSI!$B:$B,2025,SSP1_VSI!I:I,Results_list!E345))</f>
        <v>-0.39440750259963753</v>
      </c>
      <c r="I345" s="13">
        <f t="shared" si="48"/>
        <v>-0.15</v>
      </c>
      <c r="J345" s="12">
        <f>((SUMIFS(SSP2_Baseline!$E:$E,SSP2_Baseline!$C:$C,Results_list!$C$340,SSP2_Baseline!$D:$D,Results_list!$D345,SSP2_Baseline!$B:$B,2040,SSP2_Baseline!I:I,Results_list!E345))
- (SUMIFS(SSP2_Baseline!$E:$E,SSP2_Baseline!$C:$C,Results_list!$C$340,SSP2_Baseline!$D:$D,Results_list!$D345,SSP2_Baseline!$B:$B,2025,SSP2_Baseline!I:I,Results_list!E345)))
/ (SUMIFS(SSP2_Baseline!$E:$E,SSP2_Baseline!$C:$C,Results_list!$C$340,SSP2_Baseline!$D:$D,Results_list!$D345,SSP2_Baseline!$B:$B,2025,SSP2_Baseline!I:I,Results_list!E345))</f>
        <v>-0.24439373564974656</v>
      </c>
      <c r="K345" s="16">
        <f>((SUMIFS(SSP2_VSI!$F:$F,SSP2_VSI!$C:$C,Results_list!$C$340,SSP2_VSI!$D:$D,Results_list!$D345,SSP2_VSI!$B:$B,2040,SSP2_VSI!I:I,Results_list!E345))
- (SUMIFS(SSP2_VSI!$F:$F,SSP2_VSI!$C:$C,Results_list!$C$340,SSP2_VSI!$D:$D,Results_list!$D345,SSP2_VSI!$B:$B,2025,SSP2_VSI!I:I,Results_list!E345)))
/ (SUMIFS(SSP2_VSI!$F:$F,SSP2_VSI!$C:$C,Results_list!$C$340,SSP2_VSI!$D:$D,Results_list!$D345,SSP2_VSI!$B:$B,2025,SSP2_VSI!I:I,Results_list!E345))</f>
        <v>-0.38998271661278378</v>
      </c>
      <c r="L345" s="13">
        <f t="shared" si="49"/>
        <v>-0.15</v>
      </c>
      <c r="M345" s="12">
        <f>((SUMIFS(SSP5_Baseline!$E:$E,SSP5_Baseline!$C:$C,Results_list!$C$319,SSP5_Baseline!$D:$D,Results_list!$D345,SSP5_Baseline!$B:$B,2040,SSP5_Baseline!I:I,Results_list!E345)) - (SUMIFS(SSP5_Baseline!$E:$E,SSP5_Baseline!$C:$C,Results_list!$C$319,SSP5_Baseline!$D:$D,Results_list!$D345,SSP5_Baseline!$B:$B,2025,SSP5_Baseline!I:I,Results_list!E345))) / (SUMIFS(SSP5_Baseline!$E:$E,SSP5_Baseline!$C:$C,Results_list!$C$319,SSP5_Baseline!$D:$D,Results_list!$D345,SSP5_Baseline!$B:$B,2025,SSP5_Baseline!I:I,Results_list!E345))</f>
        <v>3.6569842745405097E-2</v>
      </c>
      <c r="N345" s="16">
        <f>((SUMIFS(SSP5_VSI!$F:$F,SSP5_VSI!$C:$C,Results_list!$C$319,SSP5_VSI!$D:$D,Results_list!$D345,SSP5_VSI!$B:$B,2040,SSP5_VSI!I:I,Results_list!E345)) - (SUMIFS(SSP5_VSI!$F:$F,SSP5_VSI!$C:$C,Results_list!$C$319,SSP5_VSI!$D:$D,Results_list!$D345,SSP5_VSI!$B:$B,2025,SSP5_VSI!I:I,Results_list!E345))) / (SUMIFS(SSP5_VSI!$F:$F,SSP5_VSI!$C:$C,Results_list!$C$319,SSP5_VSI!$D:$D,Results_list!$D345,SSP5_VSI!$B:$B,2025,SSP5_VSI!I:I,Results_list!E345))</f>
        <v>-9.9856412273239881E-2</v>
      </c>
      <c r="O345" s="13">
        <f t="shared" si="50"/>
        <v>-0.14000000000000001</v>
      </c>
    </row>
    <row r="346" spans="2:15" x14ac:dyDescent="0.35">
      <c r="B346" s="81"/>
      <c r="C346" s="81"/>
      <c r="D346" s="22" t="s">
        <v>45</v>
      </c>
      <c r="E346" s="24" t="s">
        <v>81</v>
      </c>
      <c r="F346" s="3" t="s">
        <v>93</v>
      </c>
      <c r="G346" s="12">
        <f>((SUMIFS(SSP1_Baseline!$E:$E,SSP1_Baseline!$C:$C,Results_list!$C$340,SSP1_Baseline!$D:$D,Results_list!$D346,SSP1_Baseline!$B:$B,2040,SSP1_Baseline!I:I,Results_list!E346)) - (SUMIFS(SSP1_Baseline!$E:$E,SSP1_Baseline!$C:$C,Results_list!$C$340,SSP1_Baseline!$D:$D,Results_list!$D346,SSP1_Baseline!$B:$B,2025,SSP1_Baseline!I:I,Results_list!E346))) / (SUMIFS(SSP1_Baseline!$E:$E,SSP1_Baseline!$C:$C,Results_list!$C$340,SSP1_Baseline!$D:$D,Results_list!$D346,SSP1_Baseline!$B:$B,2025,SSP1_Baseline!I:I,Results_list!E346))</f>
        <v>-0.25544352839599155</v>
      </c>
      <c r="H346" s="16">
        <f>((SUMIFS(SSP1_VSI!$F:$F,SSP1_VSI!$C:$C,Results_list!$C$340,SSP1_VSI!$D:$D,Results_list!$D346,SSP1_VSI!$B:$B,2040,SSP1_VSI!I:I,Results_list!E346)) - (SUMIFS(SSP1_VSI!$F:$F,SSP1_VSI!$C:$C,Results_list!$C$340,SSP1_VSI!$D:$D,Results_list!$D346,SSP1_VSI!$B:$B,2025,SSP1_VSI!I:I,Results_list!E346))) / (SUMIFS(SSP1_VSI!$F:$F,SSP1_VSI!$C:$C,Results_list!$C$340,SSP1_VSI!$D:$D,Results_list!$D346,SSP1_VSI!$B:$B,2025,SSP1_VSI!I:I,Results_list!E346))</f>
        <v>-0.25634203386426468</v>
      </c>
      <c r="I346" s="13">
        <f t="shared" si="48"/>
        <v>-1E-3</v>
      </c>
      <c r="J346" s="12">
        <f>((SUMIFS(SSP2_Baseline!$E:$E,SSP2_Baseline!$C:$C,Results_list!$C$340,SSP2_Baseline!$D:$D,Results_list!$D346,SSP2_Baseline!$B:$B,2040,SSP2_Baseline!I:I,Results_list!E346))
- (SUMIFS(SSP2_Baseline!$E:$E,SSP2_Baseline!$C:$C,Results_list!$C$340,SSP2_Baseline!$D:$D,Results_list!$D346,SSP2_Baseline!$B:$B,2025,SSP2_Baseline!I:I,Results_list!E346)))
/ (SUMIFS(SSP2_Baseline!$E:$E,SSP2_Baseline!$C:$C,Results_list!$C$340,SSP2_Baseline!$D:$D,Results_list!$D346,SSP2_Baseline!$B:$B,2025,SSP2_Baseline!I:I,Results_list!E346))</f>
        <v>-0.2673850000665407</v>
      </c>
      <c r="K346" s="16">
        <f>((SUMIFS(SSP2_VSI!$F:$F,SSP2_VSI!$C:$C,Results_list!$C$340,SSP2_VSI!$D:$D,Results_list!$D346,SSP2_VSI!$B:$B,2040,SSP2_VSI!I:I,Results_list!E346))
- (SUMIFS(SSP2_VSI!$F:$F,SSP2_VSI!$C:$C,Results_list!$C$340,SSP2_VSI!$D:$D,Results_list!$D346,SSP2_VSI!$B:$B,2025,SSP2_VSI!I:I,Results_list!E346)))
/ (SUMIFS(SSP2_VSI!$F:$F,SSP2_VSI!$C:$C,Results_list!$C$340,SSP2_VSI!$D:$D,Results_list!$D346,SSP2_VSI!$B:$B,2025,SSP2_VSI!I:I,Results_list!E346))</f>
        <v>-0.26828328713239252</v>
      </c>
      <c r="L346" s="13">
        <f t="shared" si="49"/>
        <v>0</v>
      </c>
      <c r="M346" s="12">
        <f>((SUMIFS(SSP5_Baseline!$E:$E,SSP5_Baseline!$C:$C,Results_list!$C$319,SSP5_Baseline!$D:$D,Results_list!$D346,SSP5_Baseline!$B:$B,2040,SSP5_Baseline!I:I,Results_list!E346)) - (SUMIFS(SSP5_Baseline!$E:$E,SSP5_Baseline!$C:$C,Results_list!$C$319,SSP5_Baseline!$D:$D,Results_list!$D346,SSP5_Baseline!$B:$B,2025,SSP5_Baseline!I:I,Results_list!E346))) / (SUMIFS(SSP5_Baseline!$E:$E,SSP5_Baseline!$C:$C,Results_list!$C$319,SSP5_Baseline!$D:$D,Results_list!$D346,SSP5_Baseline!$B:$B,2025,SSP5_Baseline!I:I,Results_list!E346))</f>
        <v>-0.22270075010525681</v>
      </c>
      <c r="N346" s="16">
        <f>((SUMIFS(SSP5_VSI!$F:$F,SSP5_VSI!$C:$C,Results_list!$C$319,SSP5_VSI!$D:$D,Results_list!$D346,SSP5_VSI!$B:$B,2040,SSP5_VSI!I:I,Results_list!E346)) - (SUMIFS(SSP5_VSI!$F:$F,SSP5_VSI!$C:$C,Results_list!$C$319,SSP5_VSI!$D:$D,Results_list!$D346,SSP5_VSI!$B:$B,2025,SSP5_VSI!I:I,Results_list!E346))) / (SUMIFS(SSP5_VSI!$F:$F,SSP5_VSI!$C:$C,Results_list!$C$319,SSP5_VSI!$D:$D,Results_list!$D346,SSP5_VSI!$B:$B,2025,SSP5_VSI!I:I,Results_list!E346))</f>
        <v>-0.22365290966165</v>
      </c>
      <c r="O346" s="13">
        <f t="shared" si="50"/>
        <v>0</v>
      </c>
    </row>
    <row r="347" spans="2:15" x14ac:dyDescent="0.35">
      <c r="B347" s="81"/>
      <c r="C347" s="81"/>
      <c r="D347" s="22" t="s">
        <v>46</v>
      </c>
      <c r="E347" s="24" t="s">
        <v>81</v>
      </c>
      <c r="F347" s="3" t="s">
        <v>94</v>
      </c>
      <c r="G347" s="12">
        <f>((SUMIFS(SSP1_Baseline!$E:$E,SSP1_Baseline!$C:$C,Results_list!$C$340,SSP1_Baseline!$D:$D,Results_list!$D347,SSP1_Baseline!$B:$B,2040,SSP1_Baseline!I:I,Results_list!E347)) - (SUMIFS(SSP1_Baseline!$E:$E,SSP1_Baseline!$C:$C,Results_list!$C$340,SSP1_Baseline!$D:$D,Results_list!$D347,SSP1_Baseline!$B:$B,2025,SSP1_Baseline!I:I,Results_list!E347))) / (SUMIFS(SSP1_Baseline!$E:$E,SSP1_Baseline!$C:$C,Results_list!$C$340,SSP1_Baseline!$D:$D,Results_list!$D347,SSP1_Baseline!$B:$B,2025,SSP1_Baseline!I:I,Results_list!E347))</f>
        <v>0.47968539207808569</v>
      </c>
      <c r="H347" s="16">
        <f>((SUMIFS(SSP1_VSI!$F:$F,SSP1_VSI!$C:$C,Results_list!$C$340,SSP1_VSI!$D:$D,Results_list!$D347,SSP1_VSI!$B:$B,2040,SSP1_VSI!I:I,Results_list!E347)) - (SUMIFS(SSP1_VSI!$F:$F,SSP1_VSI!$C:$C,Results_list!$C$340,SSP1_VSI!$D:$D,Results_list!$D347,SSP1_VSI!$B:$B,2025,SSP1_VSI!I:I,Results_list!E347))) / (SUMIFS(SSP1_VSI!$F:$F,SSP1_VSI!$C:$C,Results_list!$C$340,SSP1_VSI!$D:$D,Results_list!$D347,SSP1_VSI!$B:$B,2025,SSP1_VSI!I:I,Results_list!E347))</f>
        <v>0.47969253744650386</v>
      </c>
      <c r="I347" s="13">
        <f t="shared" si="48"/>
        <v>0</v>
      </c>
      <c r="J347" s="12">
        <f>((SUMIFS(SSP2_Baseline!$E:$E,SSP2_Baseline!$C:$C,Results_list!$C$340,SSP2_Baseline!$D:$D,Results_list!$D347,SSP2_Baseline!$B:$B,2040,SSP2_Baseline!I:I,Results_list!E347))
- (SUMIFS(SSP2_Baseline!$E:$E,SSP2_Baseline!$C:$C,Results_list!$C$340,SSP2_Baseline!$D:$D,Results_list!$D347,SSP2_Baseline!$B:$B,2025,SSP2_Baseline!I:I,Results_list!E347)))
/ (SUMIFS(SSP2_Baseline!$E:$E,SSP2_Baseline!$C:$C,Results_list!$C$340,SSP2_Baseline!$D:$D,Results_list!$D347,SSP2_Baseline!$B:$B,2025,SSP2_Baseline!I:I,Results_list!E347))</f>
        <v>2.0541617768038978</v>
      </c>
      <c r="K347" s="16">
        <f>((SUMIFS(SSP2_VSI!$F:$F,SSP2_VSI!$C:$C,Results_list!$C$340,SSP2_VSI!$D:$D,Results_list!$D347,SSP2_VSI!$B:$B,2040,SSP2_VSI!I:I,Results_list!E347))
- (SUMIFS(SSP2_VSI!$F:$F,SSP2_VSI!$C:$C,Results_list!$C$340,SSP2_VSI!$D:$D,Results_list!$D347,SSP2_VSI!$B:$B,2025,SSP2_VSI!I:I,Results_list!E347)))
/ (SUMIFS(SSP2_VSI!$F:$F,SSP2_VSI!$C:$C,Results_list!$C$340,SSP2_VSI!$D:$D,Results_list!$D347,SSP2_VSI!$B:$B,2025,SSP2_VSI!I:I,Results_list!E347))</f>
        <v>2.0539860343236702</v>
      </c>
      <c r="L347" s="13">
        <f t="shared" si="49"/>
        <v>0</v>
      </c>
      <c r="M347" s="12">
        <f>((SUMIFS(SSP5_Baseline!$E:$E,SSP5_Baseline!$C:$C,Results_list!$C$319,SSP5_Baseline!$D:$D,Results_list!$D347,SSP5_Baseline!$B:$B,2040,SSP5_Baseline!I:I,Results_list!E347)) - (SUMIFS(SSP5_Baseline!$E:$E,SSP5_Baseline!$C:$C,Results_list!$C$319,SSP5_Baseline!$D:$D,Results_list!$D347,SSP5_Baseline!$B:$B,2025,SSP5_Baseline!I:I,Results_list!E347))) / (SUMIFS(SSP5_Baseline!$E:$E,SSP5_Baseline!$C:$C,Results_list!$C$319,SSP5_Baseline!$D:$D,Results_list!$D347,SSP5_Baseline!$B:$B,2025,SSP5_Baseline!I:I,Results_list!E347))</f>
        <v>1.6365145051816121</v>
      </c>
      <c r="N347" s="16">
        <f>((SUMIFS(SSP5_VSI!$F:$F,SSP5_VSI!$C:$C,Results_list!$C$319,SSP5_VSI!$D:$D,Results_list!$D347,SSP5_VSI!$B:$B,2040,SSP5_VSI!I:I,Results_list!E347)) - (SUMIFS(SSP5_VSI!$F:$F,SSP5_VSI!$C:$C,Results_list!$C$319,SSP5_VSI!$D:$D,Results_list!$D347,SSP5_VSI!$B:$B,2025,SSP5_VSI!I:I,Results_list!E347))) / (SUMIFS(SSP5_VSI!$F:$F,SSP5_VSI!$C:$C,Results_list!$C$319,SSP5_VSI!$D:$D,Results_list!$D347,SSP5_VSI!$B:$B,2025,SSP5_VSI!I:I,Results_list!E347))</f>
        <v>1.6364975822738166</v>
      </c>
      <c r="O347" s="13">
        <f t="shared" si="50"/>
        <v>0</v>
      </c>
    </row>
    <row r="348" spans="2:15" x14ac:dyDescent="0.35">
      <c r="B348" s="81"/>
      <c r="C348" s="81"/>
      <c r="D348" s="22" t="s">
        <v>47</v>
      </c>
      <c r="E348" s="24" t="s">
        <v>81</v>
      </c>
      <c r="F348" s="3" t="s">
        <v>95</v>
      </c>
      <c r="G348" s="12">
        <f>((SUMIFS(SSP1_Baseline!$E:$E,SSP1_Baseline!$C:$C,Results_list!$C$340,SSP1_Baseline!$D:$D,Results_list!$D348,SSP1_Baseline!$B:$B,2040,SSP1_Baseline!I:I,Results_list!E348)) - (SUMIFS(SSP1_Baseline!$E:$E,SSP1_Baseline!$C:$C,Results_list!$C$340,SSP1_Baseline!$D:$D,Results_list!$D348,SSP1_Baseline!$B:$B,2025,SSP1_Baseline!I:I,Results_list!E348))) / (SUMIFS(SSP1_Baseline!$E:$E,SSP1_Baseline!$C:$C,Results_list!$C$340,SSP1_Baseline!$D:$D,Results_list!$D348,SSP1_Baseline!$B:$B,2025,SSP1_Baseline!I:I,Results_list!E348))</f>
        <v>-0.48964841639676021</v>
      </c>
      <c r="H348" s="16">
        <f>((SUMIFS(SSP1_VSI!$F:$F,SSP1_VSI!$C:$C,Results_list!$C$340,SSP1_VSI!$D:$D,Results_list!$D348,SSP1_VSI!$B:$B,2040,SSP1_VSI!I:I,Results_list!E348)) - (SUMIFS(SSP1_VSI!$F:$F,SSP1_VSI!$C:$C,Results_list!$C$340,SSP1_VSI!$D:$D,Results_list!$D348,SSP1_VSI!$B:$B,2025,SSP1_VSI!I:I,Results_list!E348))) / (SUMIFS(SSP1_VSI!$F:$F,SSP1_VSI!$C:$C,Results_list!$C$340,SSP1_VSI!$D:$D,Results_list!$D348,SSP1_VSI!$B:$B,2025,SSP1_VSI!I:I,Results_list!E348))</f>
        <v>-0.48960175685850532</v>
      </c>
      <c r="I348" s="13">
        <f t="shared" si="48"/>
        <v>0</v>
      </c>
      <c r="J348" s="12">
        <f>((SUMIFS(SSP2_Baseline!$E:$E,SSP2_Baseline!$C:$C,Results_list!$C$340,SSP2_Baseline!$D:$D,Results_list!$D348,SSP2_Baseline!$B:$B,2040,SSP2_Baseline!I:I,Results_list!E348))
- (SUMIFS(SSP2_Baseline!$E:$E,SSP2_Baseline!$C:$C,Results_list!$C$340,SSP2_Baseline!$D:$D,Results_list!$D348,SSP2_Baseline!$B:$B,2025,SSP2_Baseline!I:I,Results_list!E348)))
/ (SUMIFS(SSP2_Baseline!$E:$E,SSP2_Baseline!$C:$C,Results_list!$C$340,SSP2_Baseline!$D:$D,Results_list!$D348,SSP2_Baseline!$B:$B,2025,SSP2_Baseline!I:I,Results_list!E348))</f>
        <v>-0.51539574444660441</v>
      </c>
      <c r="K348" s="16">
        <f>((SUMIFS(SSP2_VSI!$F:$F,SSP2_VSI!$C:$C,Results_list!$C$340,SSP2_VSI!$D:$D,Results_list!$D348,SSP2_VSI!$B:$B,2040,SSP2_VSI!I:I,Results_list!E348))
- (SUMIFS(SSP2_VSI!$F:$F,SSP2_VSI!$C:$C,Results_list!$C$340,SSP2_VSI!$D:$D,Results_list!$D348,SSP2_VSI!$B:$B,2025,SSP2_VSI!I:I,Results_list!E348)))
/ (SUMIFS(SSP2_VSI!$F:$F,SSP2_VSI!$C:$C,Results_list!$C$340,SSP2_VSI!$D:$D,Results_list!$D348,SSP2_VSI!$B:$B,2025,SSP2_VSI!I:I,Results_list!E348))</f>
        <v>-0.51537665991642512</v>
      </c>
      <c r="L348" s="13">
        <f t="shared" si="49"/>
        <v>0</v>
      </c>
      <c r="M348" s="12">
        <f>((SUMIFS(SSP5_Baseline!$E:$E,SSP5_Baseline!$C:$C,Results_list!$C$319,SSP5_Baseline!$D:$D,Results_list!$D348,SSP5_Baseline!$B:$B,2040,SSP5_Baseline!I:I,Results_list!E348)) - (SUMIFS(SSP5_Baseline!$E:$E,SSP5_Baseline!$C:$C,Results_list!$C$319,SSP5_Baseline!$D:$D,Results_list!$D348,SSP5_Baseline!$B:$B,2025,SSP5_Baseline!I:I,Results_list!E348))) / (SUMIFS(SSP5_Baseline!$E:$E,SSP5_Baseline!$C:$C,Results_list!$C$319,SSP5_Baseline!$D:$D,Results_list!$D348,SSP5_Baseline!$B:$B,2025,SSP5_Baseline!I:I,Results_list!E348))</f>
        <v>-0.31615692615666813</v>
      </c>
      <c r="N348" s="16">
        <f>((SUMIFS(SSP5_VSI!$F:$F,SSP5_VSI!$C:$C,Results_list!$C$319,SSP5_VSI!$D:$D,Results_list!$D348,SSP5_VSI!$B:$B,2040,SSP5_VSI!I:I,Results_list!E348)) - (SUMIFS(SSP5_VSI!$F:$F,SSP5_VSI!$C:$C,Results_list!$C$319,SSP5_VSI!$D:$D,Results_list!$D348,SSP5_VSI!$B:$B,2025,SSP5_VSI!I:I,Results_list!E348))) / (SUMIFS(SSP5_VSI!$F:$F,SSP5_VSI!$C:$C,Results_list!$C$319,SSP5_VSI!$D:$D,Results_list!$D348,SSP5_VSI!$B:$B,2025,SSP5_VSI!I:I,Results_list!E348))</f>
        <v>-0.31597916579651897</v>
      </c>
      <c r="O348" s="13">
        <f t="shared" si="50"/>
        <v>0</v>
      </c>
    </row>
    <row r="349" spans="2:15" x14ac:dyDescent="0.35">
      <c r="B349" s="81"/>
      <c r="C349" s="81"/>
      <c r="D349" s="22" t="s">
        <v>48</v>
      </c>
      <c r="E349" s="24" t="s">
        <v>81</v>
      </c>
      <c r="F349" s="3" t="s">
        <v>96</v>
      </c>
      <c r="G349" s="12">
        <f>((SUMIFS(SSP1_Baseline!$E:$E,SSP1_Baseline!$C:$C,Results_list!$C$340,SSP1_Baseline!$D:$D,Results_list!$D349,SSP1_Baseline!$B:$B,2040,SSP1_Baseline!I:I,Results_list!E349)) - (SUMIFS(SSP1_Baseline!$E:$E,SSP1_Baseline!$C:$C,Results_list!$C$340,SSP1_Baseline!$D:$D,Results_list!$D349,SSP1_Baseline!$B:$B,2025,SSP1_Baseline!I:I,Results_list!E349))) / (SUMIFS(SSP1_Baseline!$E:$E,SSP1_Baseline!$C:$C,Results_list!$C$340,SSP1_Baseline!$D:$D,Results_list!$D349,SSP1_Baseline!$B:$B,2025,SSP1_Baseline!I:I,Results_list!E349))</f>
        <v>5.5052055099708549E-5</v>
      </c>
      <c r="H349" s="16">
        <f>((SUMIFS(SSP1_VSI!$F:$F,SSP1_VSI!$C:$C,Results_list!$C$340,SSP1_VSI!$D:$D,Results_list!$D349,SSP1_VSI!$B:$B,2040,SSP1_VSI!I:I,Results_list!E349)) - (SUMIFS(SSP1_VSI!$F:$F,SSP1_VSI!$C:$C,Results_list!$C$340,SSP1_VSI!$D:$D,Results_list!$D349,SSP1_VSI!$B:$B,2025,SSP1_VSI!I:I,Results_list!E349))) / (SUMIFS(SSP1_VSI!$F:$F,SSP1_VSI!$C:$C,Results_list!$C$340,SSP1_VSI!$D:$D,Results_list!$D349,SSP1_VSI!$B:$B,2025,SSP1_VSI!I:I,Results_list!E349))</f>
        <v>5.5057901319563816E-5</v>
      </c>
      <c r="I349" s="13">
        <f t="shared" si="48"/>
        <v>0</v>
      </c>
      <c r="J349" s="12">
        <f>((SUMIFS(SSP2_Baseline!$E:$E,SSP2_Baseline!$C:$C,Results_list!$C$340,SSP2_Baseline!$D:$D,Results_list!$D349,SSP2_Baseline!$B:$B,2040,SSP2_Baseline!I:I,Results_list!E349))
- (SUMIFS(SSP2_Baseline!$E:$E,SSP2_Baseline!$C:$C,Results_list!$C$340,SSP2_Baseline!$D:$D,Results_list!$D349,SSP2_Baseline!$B:$B,2025,SSP2_Baseline!I:I,Results_list!E349)))
/ (SUMIFS(SSP2_Baseline!$E:$E,SSP2_Baseline!$C:$C,Results_list!$C$340,SSP2_Baseline!$D:$D,Results_list!$D349,SSP2_Baseline!$B:$B,2025,SSP2_Baseline!I:I,Results_list!E349))</f>
        <v>4.3724116047958342E-5</v>
      </c>
      <c r="K349" s="16">
        <f>((SUMIFS(SSP2_VSI!$F:$F,SSP2_VSI!$C:$C,Results_list!$C$340,SSP2_VSI!$D:$D,Results_list!$D349,SSP2_VSI!$B:$B,2040,SSP2_VSI!I:I,Results_list!E349))
- (SUMIFS(SSP2_VSI!$F:$F,SSP2_VSI!$C:$C,Results_list!$C$340,SSP2_VSI!$D:$D,Results_list!$D349,SSP2_VSI!$B:$B,2025,SSP2_VSI!I:I,Results_list!E349)))
/ (SUMIFS(SSP2_VSI!$F:$F,SSP2_VSI!$C:$C,Results_list!$C$340,SSP2_VSI!$D:$D,Results_list!$D349,SSP2_VSI!$B:$B,2025,SSP2_VSI!I:I,Results_list!E349))</f>
        <v>4.3725399661830864E-5</v>
      </c>
      <c r="L349" s="13">
        <f t="shared" si="49"/>
        <v>0</v>
      </c>
      <c r="M349" s="12">
        <f>((SUMIFS(SSP5_Baseline!$E:$E,SSP5_Baseline!$C:$C,Results_list!$C$319,SSP5_Baseline!$D:$D,Results_list!$D349,SSP5_Baseline!$B:$B,2040,SSP5_Baseline!I:I,Results_list!E349)) - (SUMIFS(SSP5_Baseline!$E:$E,SSP5_Baseline!$C:$C,Results_list!$C$319,SSP5_Baseline!$D:$D,Results_list!$D349,SSP5_Baseline!$B:$B,2025,SSP5_Baseline!I:I,Results_list!E349))) / (SUMIFS(SSP5_Baseline!$E:$E,SSP5_Baseline!$C:$C,Results_list!$C$319,SSP5_Baseline!$D:$D,Results_list!$D349,SSP5_Baseline!$B:$B,2025,SSP5_Baseline!I:I,Results_list!E349))</f>
        <v>4.8552897730538371E-5</v>
      </c>
      <c r="N349" s="16">
        <f>((SUMIFS(SSP5_VSI!$F:$F,SSP5_VSI!$C:$C,Results_list!$C$319,SSP5_VSI!$D:$D,Results_list!$D349,SSP5_VSI!$B:$B,2040,SSP5_VSI!I:I,Results_list!E349)) - (SUMIFS(SSP5_VSI!$F:$F,SSP5_VSI!$C:$C,Results_list!$C$319,SSP5_VSI!$D:$D,Results_list!$D349,SSP5_VSI!$B:$B,2025,SSP5_VSI!I:I,Results_list!E349))) / (SUMIFS(SSP5_VSI!$F:$F,SSP5_VSI!$C:$C,Results_list!$C$319,SSP5_VSI!$D:$D,Results_list!$D349,SSP5_VSI!$B:$B,2025,SSP5_VSI!I:I,Results_list!E349))</f>
        <v>4.856227665850432E-5</v>
      </c>
      <c r="O349" s="13">
        <f t="shared" si="50"/>
        <v>0</v>
      </c>
    </row>
    <row r="350" spans="2:15" x14ac:dyDescent="0.35">
      <c r="B350" s="81"/>
      <c r="C350" s="81"/>
      <c r="D350" s="22" t="s">
        <v>49</v>
      </c>
      <c r="E350" s="24" t="s">
        <v>81</v>
      </c>
      <c r="F350" s="3" t="s">
        <v>97</v>
      </c>
      <c r="G350" s="12">
        <f>((SUMIFS(SSP1_Baseline!$E:$E,SSP1_Baseline!$C:$C,Results_list!$C$340,SSP1_Baseline!$D:$D,Results_list!$D350,SSP1_Baseline!$B:$B,2040,SSP1_Baseline!I:I,Results_list!E350)) - (SUMIFS(SSP1_Baseline!$E:$E,SSP1_Baseline!$C:$C,Results_list!$C$340,SSP1_Baseline!$D:$D,Results_list!$D350,SSP1_Baseline!$B:$B,2025,SSP1_Baseline!I:I,Results_list!E350))) / (SUMIFS(SSP1_Baseline!$E:$E,SSP1_Baseline!$C:$C,Results_list!$C$340,SSP1_Baseline!$D:$D,Results_list!$D350,SSP1_Baseline!$B:$B,2025,SSP1_Baseline!I:I,Results_list!E350))</f>
        <v>-0.28980966207934739</v>
      </c>
      <c r="H350" s="16">
        <f>((SUMIFS(SSP1_VSI!$F:$F,SSP1_VSI!$C:$C,Results_list!$C$340,SSP1_VSI!$D:$D,Results_list!$D350,SSP1_VSI!$B:$B,2040,SSP1_VSI!I:I,Results_list!E350)) - (SUMIFS(SSP1_VSI!$F:$F,SSP1_VSI!$C:$C,Results_list!$C$340,SSP1_VSI!$D:$D,Results_list!$D350,SSP1_VSI!$B:$B,2025,SSP1_VSI!I:I,Results_list!E350))) / (SUMIFS(SSP1_VSI!$F:$F,SSP1_VSI!$C:$C,Results_list!$C$340,SSP1_VSI!$D:$D,Results_list!$D350,SSP1_VSI!$B:$B,2025,SSP1_VSI!I:I,Results_list!E350))</f>
        <v>-0.29148965819987854</v>
      </c>
      <c r="I350" s="13">
        <f t="shared" si="48"/>
        <v>-2E-3</v>
      </c>
      <c r="J350" s="12">
        <f>((SUMIFS(SSP2_Baseline!$E:$E,SSP2_Baseline!$C:$C,Results_list!$C$340,SSP2_Baseline!$D:$D,Results_list!$D350,SSP2_Baseline!$B:$B,2040,SSP2_Baseline!I:I,Results_list!E350))
- (SUMIFS(SSP2_Baseline!$E:$E,SSP2_Baseline!$C:$C,Results_list!$C$340,SSP2_Baseline!$D:$D,Results_list!$D350,SSP2_Baseline!$B:$B,2025,SSP2_Baseline!I:I,Results_list!E350)))
/ (SUMIFS(SSP2_Baseline!$E:$E,SSP2_Baseline!$C:$C,Results_list!$C$340,SSP2_Baseline!$D:$D,Results_list!$D350,SSP2_Baseline!$B:$B,2025,SSP2_Baseline!I:I,Results_list!E350))</f>
        <v>-0.29315488949619412</v>
      </c>
      <c r="K350" s="16">
        <f>((SUMIFS(SSP2_VSI!$F:$F,SSP2_VSI!$C:$C,Results_list!$C$340,SSP2_VSI!$D:$D,Results_list!$D350,SSP2_VSI!$B:$B,2040,SSP2_VSI!I:I,Results_list!E350))
- (SUMIFS(SSP2_VSI!$F:$F,SSP2_VSI!$C:$C,Results_list!$C$340,SSP2_VSI!$D:$D,Results_list!$D350,SSP2_VSI!$B:$B,2025,SSP2_VSI!I:I,Results_list!E350)))
/ (SUMIFS(SSP2_VSI!$F:$F,SSP2_VSI!$C:$C,Results_list!$C$340,SSP2_VSI!$D:$D,Results_list!$D350,SSP2_VSI!$B:$B,2025,SSP2_VSI!I:I,Results_list!E350))</f>
        <v>-0.29496338605560768</v>
      </c>
      <c r="L350" s="13">
        <f t="shared" si="49"/>
        <v>0</v>
      </c>
      <c r="M350" s="12">
        <f>((SUMIFS(SSP5_Baseline!$E:$E,SSP5_Baseline!$C:$C,Results_list!$C$319,SSP5_Baseline!$D:$D,Results_list!$D350,SSP5_Baseline!$B:$B,2040,SSP5_Baseline!I:I,Results_list!E350)) - (SUMIFS(SSP5_Baseline!$E:$E,SSP5_Baseline!$C:$C,Results_list!$C$319,SSP5_Baseline!$D:$D,Results_list!$D350,SSP5_Baseline!$B:$B,2025,SSP5_Baseline!I:I,Results_list!E350))) / (SUMIFS(SSP5_Baseline!$E:$E,SSP5_Baseline!$C:$C,Results_list!$C$319,SSP5_Baseline!$D:$D,Results_list!$D350,SSP5_Baseline!$B:$B,2025,SSP5_Baseline!I:I,Results_list!E350))</f>
        <v>-0.247655055708424</v>
      </c>
      <c r="N350" s="16">
        <f>((SUMIFS(SSP5_VSI!$F:$F,SSP5_VSI!$C:$C,Results_list!$C$319,SSP5_VSI!$D:$D,Results_list!$D350,SSP5_VSI!$B:$B,2040,SSP5_VSI!I:I,Results_list!E350)) - (SUMIFS(SSP5_VSI!$F:$F,SSP5_VSI!$C:$C,Results_list!$C$319,SSP5_VSI!$D:$D,Results_list!$D350,SSP5_VSI!$B:$B,2025,SSP5_VSI!I:I,Results_list!E350))) / (SUMIFS(SSP5_VSI!$F:$F,SSP5_VSI!$C:$C,Results_list!$C$319,SSP5_VSI!$D:$D,Results_list!$D350,SSP5_VSI!$B:$B,2025,SSP5_VSI!I:I,Results_list!E350))</f>
        <v>-0.2494044462672714</v>
      </c>
      <c r="O350" s="13">
        <f t="shared" si="50"/>
        <v>0</v>
      </c>
    </row>
    <row r="351" spans="2:15" x14ac:dyDescent="0.35">
      <c r="B351" s="81"/>
      <c r="C351" s="81"/>
      <c r="D351" s="22" t="s">
        <v>50</v>
      </c>
      <c r="E351" s="24" t="s">
        <v>81</v>
      </c>
      <c r="F351" s="3" t="s">
        <v>98</v>
      </c>
      <c r="G351" s="12">
        <f>((SUMIFS(SSP1_Baseline!$E:$E,SSP1_Baseline!$C:$C,Results_list!$C$340,SSP1_Baseline!$D:$D,Results_list!$D351,SSP1_Baseline!$B:$B,2040,SSP1_Baseline!I:I,Results_list!E351)) - (SUMIFS(SSP1_Baseline!$E:$E,SSP1_Baseline!$C:$C,Results_list!$C$340,SSP1_Baseline!$D:$D,Results_list!$D351,SSP1_Baseline!$B:$B,2025,SSP1_Baseline!I:I,Results_list!E351))) / (SUMIFS(SSP1_Baseline!$E:$E,SSP1_Baseline!$C:$C,Results_list!$C$340,SSP1_Baseline!$D:$D,Results_list!$D351,SSP1_Baseline!$B:$B,2025,SSP1_Baseline!I:I,Results_list!E351))</f>
        <v>-0.27748689598037363</v>
      </c>
      <c r="H351" s="16">
        <f>((SUMIFS(SSP1_VSI!$F:$F,SSP1_VSI!$C:$C,Results_list!$C$340,SSP1_VSI!$D:$D,Results_list!$D351,SSP1_VSI!$B:$B,2040,SSP1_VSI!I:I,Results_list!E351)) - (SUMIFS(SSP1_VSI!$F:$F,SSP1_VSI!$C:$C,Results_list!$C$340,SSP1_VSI!$D:$D,Results_list!$D351,SSP1_VSI!$B:$B,2025,SSP1_VSI!I:I,Results_list!E351))) / (SUMIFS(SSP1_VSI!$F:$F,SSP1_VSI!$C:$C,Results_list!$C$340,SSP1_VSI!$D:$D,Results_list!$D351,SSP1_VSI!$B:$B,2025,SSP1_VSI!I:I,Results_list!E351))</f>
        <v>-0.27749242963441378</v>
      </c>
      <c r="I351" s="13">
        <f t="shared" si="48"/>
        <v>0</v>
      </c>
      <c r="J351" s="12">
        <f>((SUMIFS(SSP2_Baseline!$E:$E,SSP2_Baseline!$C:$C,Results_list!$C$340,SSP2_Baseline!$D:$D,Results_list!$D351,SSP2_Baseline!$B:$B,2040,SSP2_Baseline!I:I,Results_list!E351))
- (SUMIFS(SSP2_Baseline!$E:$E,SSP2_Baseline!$C:$C,Results_list!$C$340,SSP2_Baseline!$D:$D,Results_list!$D351,SSP2_Baseline!$B:$B,2025,SSP2_Baseline!I:I,Results_list!E351)))
/ (SUMIFS(SSP2_Baseline!$E:$E,SSP2_Baseline!$C:$C,Results_list!$C$340,SSP2_Baseline!$D:$D,Results_list!$D351,SSP2_Baseline!$B:$B,2025,SSP2_Baseline!I:I,Results_list!E351))</f>
        <v>-0.13430784206597216</v>
      </c>
      <c r="K351" s="16">
        <f>((SUMIFS(SSP2_VSI!$F:$F,SSP2_VSI!$C:$C,Results_list!$C$340,SSP2_VSI!$D:$D,Results_list!$D351,SSP2_VSI!$B:$B,2040,SSP2_VSI!I:I,Results_list!E351))
- (SUMIFS(SSP2_VSI!$F:$F,SSP2_VSI!$C:$C,Results_list!$C$340,SSP2_VSI!$D:$D,Results_list!$D351,SSP2_VSI!$B:$B,2025,SSP2_VSI!I:I,Results_list!E351)))
/ (SUMIFS(SSP2_VSI!$F:$F,SSP2_VSI!$C:$C,Results_list!$C$340,SSP2_VSI!$D:$D,Results_list!$D351,SSP2_VSI!$B:$B,2025,SSP2_VSI!I:I,Results_list!E351))</f>
        <v>-0.13431030350500361</v>
      </c>
      <c r="L351" s="13">
        <f t="shared" si="49"/>
        <v>0</v>
      </c>
      <c r="M351" s="12">
        <f>((SUMIFS(SSP5_Baseline!$E:$E,SSP5_Baseline!$C:$C,Results_list!$C$319,SSP5_Baseline!$D:$D,Results_list!$D351,SSP5_Baseline!$B:$B,2040,SSP5_Baseline!I:I,Results_list!E351)) - (SUMIFS(SSP5_Baseline!$E:$E,SSP5_Baseline!$C:$C,Results_list!$C$319,SSP5_Baseline!$D:$D,Results_list!$D351,SSP5_Baseline!$B:$B,2025,SSP5_Baseline!I:I,Results_list!E351))) / (SUMIFS(SSP5_Baseline!$E:$E,SSP5_Baseline!$C:$C,Results_list!$C$319,SSP5_Baseline!$D:$D,Results_list!$D351,SSP5_Baseline!$B:$B,2025,SSP5_Baseline!I:I,Results_list!E351))</f>
        <v>0.11210016157442555</v>
      </c>
      <c r="N351" s="16">
        <f>((SUMIFS(SSP5_VSI!$F:$F,SSP5_VSI!$C:$C,Results_list!$C$319,SSP5_VSI!$D:$D,Results_list!$D351,SSP5_VSI!$B:$B,2040,SSP5_VSI!I:I,Results_list!E351)) - (SUMIFS(SSP5_VSI!$F:$F,SSP5_VSI!$C:$C,Results_list!$C$319,SSP5_VSI!$D:$D,Results_list!$D351,SSP5_VSI!$B:$B,2025,SSP5_VSI!I:I,Results_list!E351))) / (SUMIFS(SSP5_VSI!$F:$F,SSP5_VSI!$C:$C,Results_list!$C$319,SSP5_VSI!$D:$D,Results_list!$D351,SSP5_VSI!$B:$B,2025,SSP5_VSI!I:I,Results_list!E351))</f>
        <v>0.11211243985446308</v>
      </c>
      <c r="O351" s="13">
        <f t="shared" si="50"/>
        <v>0</v>
      </c>
    </row>
    <row r="352" spans="2:15" x14ac:dyDescent="0.35">
      <c r="B352" s="81"/>
      <c r="C352" s="81"/>
      <c r="D352" s="22" t="s">
        <v>51</v>
      </c>
      <c r="E352" s="24" t="s">
        <v>81</v>
      </c>
      <c r="F352" s="3" t="s">
        <v>99</v>
      </c>
      <c r="G352" s="12">
        <f>((SUMIFS(SSP1_Baseline!$E:$E,SSP1_Baseline!$C:$C,Results_list!$C$340,SSP1_Baseline!$D:$D,Results_list!$D352,SSP1_Baseline!$B:$B,2040,SSP1_Baseline!I:I,Results_list!E352)) - (SUMIFS(SSP1_Baseline!$E:$E,SSP1_Baseline!$C:$C,Results_list!$C$340,SSP1_Baseline!$D:$D,Results_list!$D352,SSP1_Baseline!$B:$B,2025,SSP1_Baseline!I:I,Results_list!E352))) / (SUMIFS(SSP1_Baseline!$E:$E,SSP1_Baseline!$C:$C,Results_list!$C$340,SSP1_Baseline!$D:$D,Results_list!$D352,SSP1_Baseline!$B:$B,2025,SSP1_Baseline!I:I,Results_list!E352))</f>
        <v>7.5460876913325051E-2</v>
      </c>
      <c r="H352" s="16">
        <f>((SUMIFS(SSP1_VSI!$F:$F,SSP1_VSI!$C:$C,Results_list!$C$340,SSP1_VSI!$D:$D,Results_list!$D352,SSP1_VSI!$B:$B,2040,SSP1_VSI!I:I,Results_list!E352)) - (SUMIFS(SSP1_VSI!$F:$F,SSP1_VSI!$C:$C,Results_list!$C$340,SSP1_VSI!$D:$D,Results_list!$D352,SSP1_VSI!$B:$B,2025,SSP1_VSI!I:I,Results_list!E352))) / (SUMIFS(SSP1_VSI!$F:$F,SSP1_VSI!$C:$C,Results_list!$C$340,SSP1_VSI!$D:$D,Results_list!$D352,SSP1_VSI!$B:$B,2025,SSP1_VSI!I:I,Results_list!E352))</f>
        <v>7.5454878325065353E-2</v>
      </c>
      <c r="I352" s="13">
        <f t="shared" si="48"/>
        <v>0</v>
      </c>
      <c r="J352" s="12">
        <f>((SUMIFS(SSP2_Baseline!$E:$E,SSP2_Baseline!$C:$C,Results_list!$C$340,SSP2_Baseline!$D:$D,Results_list!$D352,SSP2_Baseline!$B:$B,2040,SSP2_Baseline!I:I,Results_list!E352))
- (SUMIFS(SSP2_Baseline!$E:$E,SSP2_Baseline!$C:$C,Results_list!$C$340,SSP2_Baseline!$D:$D,Results_list!$D352,SSP2_Baseline!$B:$B,2025,SSP2_Baseline!I:I,Results_list!E352)))
/ (SUMIFS(SSP2_Baseline!$E:$E,SSP2_Baseline!$C:$C,Results_list!$C$340,SSP2_Baseline!$D:$D,Results_list!$D352,SSP2_Baseline!$B:$B,2025,SSP2_Baseline!I:I,Results_list!E352))</f>
        <v>6.7041473941161209E-2</v>
      </c>
      <c r="K352" s="16">
        <f>((SUMIFS(SSP2_VSI!$F:$F,SSP2_VSI!$C:$C,Results_list!$C$340,SSP2_VSI!$D:$D,Results_list!$D352,SSP2_VSI!$B:$B,2040,SSP2_VSI!I:I,Results_list!E352))
- (SUMIFS(SSP2_VSI!$F:$F,SSP2_VSI!$C:$C,Results_list!$C$340,SSP2_VSI!$D:$D,Results_list!$D352,SSP2_VSI!$B:$B,2025,SSP2_VSI!I:I,Results_list!E352)))
/ (SUMIFS(SSP2_VSI!$F:$F,SSP2_VSI!$C:$C,Results_list!$C$340,SSP2_VSI!$D:$D,Results_list!$D352,SSP2_VSI!$B:$B,2025,SSP2_VSI!I:I,Results_list!E352))</f>
        <v>6.6999726283316907E-2</v>
      </c>
      <c r="L352" s="13">
        <f t="shared" si="49"/>
        <v>0</v>
      </c>
      <c r="M352" s="12">
        <f>((SUMIFS(SSP5_Baseline!$E:$E,SSP5_Baseline!$C:$C,Results_list!$C$319,SSP5_Baseline!$D:$D,Results_list!$D352,SSP5_Baseline!$B:$B,2040,SSP5_Baseline!I:I,Results_list!E352)) - (SUMIFS(SSP5_Baseline!$E:$E,SSP5_Baseline!$C:$C,Results_list!$C$319,SSP5_Baseline!$D:$D,Results_list!$D352,SSP5_Baseline!$B:$B,2025,SSP5_Baseline!I:I,Results_list!E352))) / (SUMIFS(SSP5_Baseline!$E:$E,SSP5_Baseline!$C:$C,Results_list!$C$319,SSP5_Baseline!$D:$D,Results_list!$D352,SSP5_Baseline!$B:$B,2025,SSP5_Baseline!I:I,Results_list!E352))</f>
        <v>-4.3124888333587698E-3</v>
      </c>
      <c r="N352" s="16">
        <f>((SUMIFS(SSP5_VSI!$F:$F,SSP5_VSI!$C:$C,Results_list!$C$319,SSP5_VSI!$D:$D,Results_list!$D352,SSP5_VSI!$B:$B,2040,SSP5_VSI!I:I,Results_list!E352)) - (SUMIFS(SSP5_VSI!$F:$F,SSP5_VSI!$C:$C,Results_list!$C$319,SSP5_VSI!$D:$D,Results_list!$D352,SSP5_VSI!$B:$B,2025,SSP5_VSI!I:I,Results_list!E352))) / (SUMIFS(SSP5_VSI!$F:$F,SSP5_VSI!$C:$C,Results_list!$C$319,SSP5_VSI!$D:$D,Results_list!$D352,SSP5_VSI!$B:$B,2025,SSP5_VSI!I:I,Results_list!E352))</f>
        <v>-4.2970485078276492E-3</v>
      </c>
      <c r="O352" s="13">
        <f t="shared" si="50"/>
        <v>0</v>
      </c>
    </row>
    <row r="353" spans="2:15" x14ac:dyDescent="0.35">
      <c r="B353" s="81"/>
      <c r="C353" s="81"/>
      <c r="D353" s="22" t="s">
        <v>52</v>
      </c>
      <c r="E353" s="24" t="s">
        <v>81</v>
      </c>
      <c r="F353" s="3" t="s">
        <v>100</v>
      </c>
      <c r="G353" s="12">
        <f>((SUMIFS(SSP1_Baseline!$E:$E,SSP1_Baseline!$C:$C,Results_list!$C$340,SSP1_Baseline!$D:$D,Results_list!$D353,SSP1_Baseline!$B:$B,2040,SSP1_Baseline!I:I,Results_list!E353)) - (SUMIFS(SSP1_Baseline!$E:$E,SSP1_Baseline!$C:$C,Results_list!$C$340,SSP1_Baseline!$D:$D,Results_list!$D353,SSP1_Baseline!$B:$B,2025,SSP1_Baseline!I:I,Results_list!E353))) / (SUMIFS(SSP1_Baseline!$E:$E,SSP1_Baseline!$C:$C,Results_list!$C$340,SSP1_Baseline!$D:$D,Results_list!$D353,SSP1_Baseline!$B:$B,2025,SSP1_Baseline!I:I,Results_list!E353))</f>
        <v>-0.55080881351359023</v>
      </c>
      <c r="H353" s="16">
        <f>((SUMIFS(SSP1_VSI!$F:$F,SSP1_VSI!$C:$C,Results_list!$C$340,SSP1_VSI!$D:$D,Results_list!$D353,SSP1_VSI!$B:$B,2040,SSP1_VSI!I:I,Results_list!E353)) - (SUMIFS(SSP1_VSI!$F:$F,SSP1_VSI!$C:$C,Results_list!$C$340,SSP1_VSI!$D:$D,Results_list!$D353,SSP1_VSI!$B:$B,2025,SSP1_VSI!I:I,Results_list!E353))) / (SUMIFS(SSP1_VSI!$F:$F,SSP1_VSI!$C:$C,Results_list!$C$340,SSP1_VSI!$D:$D,Results_list!$D353,SSP1_VSI!$B:$B,2025,SSP1_VSI!I:I,Results_list!E353))</f>
        <v>-0.55080369163999943</v>
      </c>
      <c r="I353" s="13">
        <f t="shared" si="48"/>
        <v>0</v>
      </c>
      <c r="J353" s="12">
        <f>((SUMIFS(SSP2_Baseline!$E:$E,SSP2_Baseline!$C:$C,Results_list!$C$340,SSP2_Baseline!$D:$D,Results_list!$D353,SSP2_Baseline!$B:$B,2040,SSP2_Baseline!I:I,Results_list!E353))
- (SUMIFS(SSP2_Baseline!$E:$E,SSP2_Baseline!$C:$C,Results_list!$C$340,SSP2_Baseline!$D:$D,Results_list!$D353,SSP2_Baseline!$B:$B,2025,SSP2_Baseline!I:I,Results_list!E353)))
/ (SUMIFS(SSP2_Baseline!$E:$E,SSP2_Baseline!$C:$C,Results_list!$C$340,SSP2_Baseline!$D:$D,Results_list!$D353,SSP2_Baseline!$B:$B,2025,SSP2_Baseline!I:I,Results_list!E353))</f>
        <v>-0.58058796223442044</v>
      </c>
      <c r="K353" s="16">
        <f>((SUMIFS(SSP2_VSI!$F:$F,SSP2_VSI!$C:$C,Results_list!$C$340,SSP2_VSI!$D:$D,Results_list!$D353,SSP2_VSI!$B:$B,2040,SSP2_VSI!I:I,Results_list!E353))
- (SUMIFS(SSP2_VSI!$F:$F,SSP2_VSI!$C:$C,Results_list!$C$340,SSP2_VSI!$D:$D,Results_list!$D353,SSP2_VSI!$B:$B,2025,SSP2_VSI!I:I,Results_list!E353)))
/ (SUMIFS(SSP2_VSI!$F:$F,SSP2_VSI!$C:$C,Results_list!$C$340,SSP2_VSI!$D:$D,Results_list!$D353,SSP2_VSI!$B:$B,2025,SSP2_VSI!I:I,Results_list!E353))</f>
        <v>-0.58057295278324006</v>
      </c>
      <c r="L353" s="13">
        <f t="shared" si="49"/>
        <v>0</v>
      </c>
      <c r="M353" s="12">
        <f>((SUMIFS(SSP5_Baseline!$E:$E,SSP5_Baseline!$C:$C,Results_list!$C$319,SSP5_Baseline!$D:$D,Results_list!$D353,SSP5_Baseline!$B:$B,2040,SSP5_Baseline!I:I,Results_list!E353)) - (SUMIFS(SSP5_Baseline!$E:$E,SSP5_Baseline!$C:$C,Results_list!$C$319,SSP5_Baseline!$D:$D,Results_list!$D353,SSP5_Baseline!$B:$B,2025,SSP5_Baseline!I:I,Results_list!E353))) / (SUMIFS(SSP5_Baseline!$E:$E,SSP5_Baseline!$C:$C,Results_list!$C$319,SSP5_Baseline!$D:$D,Results_list!$D353,SSP5_Baseline!$B:$B,2025,SSP5_Baseline!I:I,Results_list!E353))</f>
        <v>-0.52903184138700532</v>
      </c>
      <c r="N353" s="16">
        <f>((SUMIFS(SSP5_VSI!$F:$F,SSP5_VSI!$C:$C,Results_list!$C$319,SSP5_VSI!$D:$D,Results_list!$D353,SSP5_VSI!$B:$B,2040,SSP5_VSI!I:I,Results_list!E353)) - (SUMIFS(SSP5_VSI!$F:$F,SSP5_VSI!$C:$C,Results_list!$C$319,SSP5_VSI!$D:$D,Results_list!$D353,SSP5_VSI!$B:$B,2025,SSP5_VSI!I:I,Results_list!E353))) / (SUMIFS(SSP5_VSI!$F:$F,SSP5_VSI!$C:$C,Results_list!$C$319,SSP5_VSI!$D:$D,Results_list!$D353,SSP5_VSI!$B:$B,2025,SSP5_VSI!I:I,Results_list!E353))</f>
        <v>-0.52901861433133213</v>
      </c>
      <c r="O353" s="13">
        <f t="shared" si="50"/>
        <v>0</v>
      </c>
    </row>
    <row r="354" spans="2:15" x14ac:dyDescent="0.35">
      <c r="B354" s="81"/>
      <c r="C354" s="81"/>
      <c r="D354" s="22" t="s">
        <v>53</v>
      </c>
      <c r="E354" s="24" t="s">
        <v>81</v>
      </c>
      <c r="F354" s="3" t="s">
        <v>101</v>
      </c>
      <c r="G354" s="12">
        <f>((SUMIFS(SSP1_Baseline!$E:$E,SSP1_Baseline!$C:$C,Results_list!$C$340,SSP1_Baseline!$D:$D,Results_list!$D354,SSP1_Baseline!$B:$B,2040,SSP1_Baseline!I:I,Results_list!E354)) - (SUMIFS(SSP1_Baseline!$E:$E,SSP1_Baseline!$C:$C,Results_list!$C$340,SSP1_Baseline!$D:$D,Results_list!$D354,SSP1_Baseline!$B:$B,2025,SSP1_Baseline!I:I,Results_list!E354))) / (SUMIFS(SSP1_Baseline!$E:$E,SSP1_Baseline!$C:$C,Results_list!$C$340,SSP1_Baseline!$D:$D,Results_list!$D354,SSP1_Baseline!$B:$B,2025,SSP1_Baseline!I:I,Results_list!E354))</f>
        <v>-0.33439176949572108</v>
      </c>
      <c r="H354" s="16">
        <f>((SUMIFS(SSP1_VSI!$F:$F,SSP1_VSI!$C:$C,Results_list!$C$340,SSP1_VSI!$D:$D,Results_list!$D354,SSP1_VSI!$B:$B,2040,SSP1_VSI!I:I,Results_list!E354)) - (SUMIFS(SSP1_VSI!$F:$F,SSP1_VSI!$C:$C,Results_list!$C$340,SSP1_VSI!$D:$D,Results_list!$D354,SSP1_VSI!$B:$B,2025,SSP1_VSI!I:I,Results_list!E354))) / (SUMIFS(SSP1_VSI!$F:$F,SSP1_VSI!$C:$C,Results_list!$C$340,SSP1_VSI!$D:$D,Results_list!$D354,SSP1_VSI!$B:$B,2025,SSP1_VSI!I:I,Results_list!E354))</f>
        <v>-0.33444276915699417</v>
      </c>
      <c r="I354" s="13">
        <f t="shared" si="48"/>
        <v>0</v>
      </c>
      <c r="J354" s="12">
        <f>((SUMIFS(SSP2_Baseline!$E:$E,SSP2_Baseline!$C:$C,Results_list!$C$340,SSP2_Baseline!$D:$D,Results_list!$D354,SSP2_Baseline!$B:$B,2040,SSP2_Baseline!I:I,Results_list!E354))
- (SUMIFS(SSP2_Baseline!$E:$E,SSP2_Baseline!$C:$C,Results_list!$C$340,SSP2_Baseline!$D:$D,Results_list!$D354,SSP2_Baseline!$B:$B,2025,SSP2_Baseline!I:I,Results_list!E354)))
/ (SUMIFS(SSP2_Baseline!$E:$E,SSP2_Baseline!$C:$C,Results_list!$C$340,SSP2_Baseline!$D:$D,Results_list!$D354,SSP2_Baseline!$B:$B,2025,SSP2_Baseline!I:I,Results_list!E354))</f>
        <v>-0.33061909881856827</v>
      </c>
      <c r="K354" s="16">
        <f>((SUMIFS(SSP2_VSI!$F:$F,SSP2_VSI!$C:$C,Results_list!$C$340,SSP2_VSI!$D:$D,Results_list!$D354,SSP2_VSI!$B:$B,2040,SSP2_VSI!I:I,Results_list!E354))
- (SUMIFS(SSP2_VSI!$F:$F,SSP2_VSI!$C:$C,Results_list!$C$340,SSP2_VSI!$D:$D,Results_list!$D354,SSP2_VSI!$B:$B,2025,SSP2_VSI!I:I,Results_list!E354)))
/ (SUMIFS(SSP2_VSI!$F:$F,SSP2_VSI!$C:$C,Results_list!$C$340,SSP2_VSI!$D:$D,Results_list!$D354,SSP2_VSI!$B:$B,2025,SSP2_VSI!I:I,Results_list!E354))</f>
        <v>-0.33062319123641859</v>
      </c>
      <c r="L354" s="13">
        <f t="shared" si="49"/>
        <v>0</v>
      </c>
      <c r="M354" s="12">
        <f>((SUMIFS(SSP5_Baseline!$E:$E,SSP5_Baseline!$C:$C,Results_list!$C$319,SSP5_Baseline!$D:$D,Results_list!$D354,SSP5_Baseline!$B:$B,2040,SSP5_Baseline!I:I,Results_list!E354)) - (SUMIFS(SSP5_Baseline!$E:$E,SSP5_Baseline!$C:$C,Results_list!$C$319,SSP5_Baseline!$D:$D,Results_list!$D354,SSP5_Baseline!$B:$B,2025,SSP5_Baseline!I:I,Results_list!E354))) / (SUMIFS(SSP5_Baseline!$E:$E,SSP5_Baseline!$C:$C,Results_list!$C$319,SSP5_Baseline!$D:$D,Results_list!$D354,SSP5_Baseline!$B:$B,2025,SSP5_Baseline!I:I,Results_list!E354))</f>
        <v>0.13500921501951427</v>
      </c>
      <c r="N354" s="16">
        <f>((SUMIFS(SSP5_VSI!$F:$F,SSP5_VSI!$C:$C,Results_list!$C$319,SSP5_VSI!$D:$D,Results_list!$D354,SSP5_VSI!$B:$B,2040,SSP5_VSI!I:I,Results_list!E354)) - (SUMIFS(SSP5_VSI!$F:$F,SSP5_VSI!$C:$C,Results_list!$C$319,SSP5_VSI!$D:$D,Results_list!$D354,SSP5_VSI!$B:$B,2025,SSP5_VSI!I:I,Results_list!E354))) / (SUMIFS(SSP5_VSI!$F:$F,SSP5_VSI!$C:$C,Results_list!$C$319,SSP5_VSI!$D:$D,Results_list!$D354,SSP5_VSI!$B:$B,2025,SSP5_VSI!I:I,Results_list!E354))</f>
        <v>0.13503178884274356</v>
      </c>
      <c r="O354" s="13">
        <f t="shared" si="50"/>
        <v>0</v>
      </c>
    </row>
    <row r="355" spans="2:15" x14ac:dyDescent="0.35">
      <c r="B355" s="81"/>
      <c r="C355" s="81"/>
      <c r="D355" s="22" t="s">
        <v>54</v>
      </c>
      <c r="E355" s="24" t="s">
        <v>81</v>
      </c>
      <c r="F355" s="3" t="s">
        <v>102</v>
      </c>
      <c r="G355" s="12">
        <f>((SUMIFS(SSP1_Baseline!$E:$E,SSP1_Baseline!$C:$C,Results_list!$C$340,SSP1_Baseline!$D:$D,Results_list!$D355,SSP1_Baseline!$B:$B,2040,SSP1_Baseline!I:I,Results_list!E355)) - (SUMIFS(SSP1_Baseline!$E:$E,SSP1_Baseline!$C:$C,Results_list!$C$340,SSP1_Baseline!$D:$D,Results_list!$D355,SSP1_Baseline!$B:$B,2025,SSP1_Baseline!I:I,Results_list!E355))) / (SUMIFS(SSP1_Baseline!$E:$E,SSP1_Baseline!$C:$C,Results_list!$C$340,SSP1_Baseline!$D:$D,Results_list!$D355,SSP1_Baseline!$B:$B,2025,SSP1_Baseline!I:I,Results_list!E355))</f>
        <v>-4.9968426531653868E-3</v>
      </c>
      <c r="H355" s="16">
        <f>((SUMIFS(SSP1_VSI!$F:$F,SSP1_VSI!$C:$C,Results_list!$C$340,SSP1_VSI!$D:$D,Results_list!$D355,SSP1_VSI!$B:$B,2040,SSP1_VSI!I:I,Results_list!E355)) - (SUMIFS(SSP1_VSI!$F:$F,SSP1_VSI!$C:$C,Results_list!$C$340,SSP1_VSI!$D:$D,Results_list!$D355,SSP1_VSI!$B:$B,2025,SSP1_VSI!I:I,Results_list!E355))) / (SUMIFS(SSP1_VSI!$F:$F,SSP1_VSI!$C:$C,Results_list!$C$340,SSP1_VSI!$D:$D,Results_list!$D355,SSP1_VSI!$B:$B,2025,SSP1_VSI!I:I,Results_list!E355))</f>
        <v>-4.9933569575236897E-3</v>
      </c>
      <c r="I355" s="13">
        <f t="shared" si="48"/>
        <v>0</v>
      </c>
      <c r="J355" s="12">
        <f>((SUMIFS(SSP2_Baseline!$E:$E,SSP2_Baseline!$C:$C,Results_list!$C$340,SSP2_Baseline!$D:$D,Results_list!$D355,SSP2_Baseline!$B:$B,2040,SSP2_Baseline!I:I,Results_list!E355))
- (SUMIFS(SSP2_Baseline!$E:$E,SSP2_Baseline!$C:$C,Results_list!$C$340,SSP2_Baseline!$D:$D,Results_list!$D355,SSP2_Baseline!$B:$B,2025,SSP2_Baseline!I:I,Results_list!E355)))
/ (SUMIFS(SSP2_Baseline!$E:$E,SSP2_Baseline!$C:$C,Results_list!$C$340,SSP2_Baseline!$D:$D,Results_list!$D355,SSP2_Baseline!$B:$B,2025,SSP2_Baseline!I:I,Results_list!E355))</f>
        <v>-1.999861115271629E-3</v>
      </c>
      <c r="K355" s="16">
        <f>((SUMIFS(SSP2_VSI!$F:$F,SSP2_VSI!$C:$C,Results_list!$C$340,SSP2_VSI!$D:$D,Results_list!$D355,SSP2_VSI!$B:$B,2040,SSP2_VSI!I:I,Results_list!E355))
- (SUMIFS(SSP2_VSI!$F:$F,SSP2_VSI!$C:$C,Results_list!$C$340,SSP2_VSI!$D:$D,Results_list!$D355,SSP2_VSI!$B:$B,2025,SSP2_VSI!I:I,Results_list!E355)))
/ (SUMIFS(SSP2_VSI!$F:$F,SSP2_VSI!$C:$C,Results_list!$C$340,SSP2_VSI!$D:$D,Results_list!$D355,SSP2_VSI!$B:$B,2025,SSP2_VSI!I:I,Results_list!E355))</f>
        <v>-1.9944680759752106E-3</v>
      </c>
      <c r="L355" s="13">
        <f t="shared" si="49"/>
        <v>0</v>
      </c>
      <c r="M355" s="12">
        <f>((SUMIFS(SSP5_Baseline!$E:$E,SSP5_Baseline!$C:$C,Results_list!$C$319,SSP5_Baseline!$D:$D,Results_list!$D355,SSP5_Baseline!$B:$B,2040,SSP5_Baseline!I:I,Results_list!E355)) - (SUMIFS(SSP5_Baseline!$E:$E,SSP5_Baseline!$C:$C,Results_list!$C$319,SSP5_Baseline!$D:$D,Results_list!$D355,SSP5_Baseline!$B:$B,2025,SSP5_Baseline!I:I,Results_list!E355))) / (SUMIFS(SSP5_Baseline!$E:$E,SSP5_Baseline!$C:$C,Results_list!$C$319,SSP5_Baseline!$D:$D,Results_list!$D355,SSP5_Baseline!$B:$B,2025,SSP5_Baseline!I:I,Results_list!E355))</f>
        <v>-2.1063536911851474E-2</v>
      </c>
      <c r="N355" s="16">
        <f>((SUMIFS(SSP5_VSI!$F:$F,SSP5_VSI!$C:$C,Results_list!$C$319,SSP5_VSI!$D:$D,Results_list!$D355,SSP5_VSI!$B:$B,2040,SSP5_VSI!I:I,Results_list!E355)) - (SUMIFS(SSP5_VSI!$F:$F,SSP5_VSI!$C:$C,Results_list!$C$319,SSP5_VSI!$D:$D,Results_list!$D355,SSP5_VSI!$B:$B,2025,SSP5_VSI!I:I,Results_list!E355))) / (SUMIFS(SSP5_VSI!$F:$F,SSP5_VSI!$C:$C,Results_list!$C$319,SSP5_VSI!$D:$D,Results_list!$D355,SSP5_VSI!$B:$B,2025,SSP5_VSI!I:I,Results_list!E355))</f>
        <v>-2.1037834518931771E-2</v>
      </c>
      <c r="O355" s="13">
        <f t="shared" si="50"/>
        <v>0</v>
      </c>
    </row>
    <row r="356" spans="2:15" x14ac:dyDescent="0.35">
      <c r="B356" s="81"/>
      <c r="C356" s="81"/>
      <c r="D356" s="22" t="s">
        <v>55</v>
      </c>
      <c r="E356" s="24" t="s">
        <v>81</v>
      </c>
      <c r="F356" s="3" t="s">
        <v>103</v>
      </c>
      <c r="G356" s="12">
        <f>((SUMIFS(SSP1_Baseline!$E:$E,SSP1_Baseline!$C:$C,Results_list!$C$340,SSP1_Baseline!$D:$D,Results_list!$D356,SSP1_Baseline!$B:$B,2040,SSP1_Baseline!I:I,Results_list!E356)) - (SUMIFS(SSP1_Baseline!$E:$E,SSP1_Baseline!$C:$C,Results_list!$C$340,SSP1_Baseline!$D:$D,Results_list!$D356,SSP1_Baseline!$B:$B,2025,SSP1_Baseline!I:I,Results_list!E356))) / (SUMIFS(SSP1_Baseline!$E:$E,SSP1_Baseline!$C:$C,Results_list!$C$340,SSP1_Baseline!$D:$D,Results_list!$D356,SSP1_Baseline!$B:$B,2025,SSP1_Baseline!I:I,Results_list!E356))</f>
        <v>-1.2530523580238623E-2</v>
      </c>
      <c r="H356" s="16">
        <f>((SUMIFS(SSP1_VSI!$F:$F,SSP1_VSI!$C:$C,Results_list!$C$340,SSP1_VSI!$D:$D,Results_list!$D356,SSP1_VSI!$B:$B,2040,SSP1_VSI!I:I,Results_list!E356)) - (SUMIFS(SSP1_VSI!$F:$F,SSP1_VSI!$C:$C,Results_list!$C$340,SSP1_VSI!$D:$D,Results_list!$D356,SSP1_VSI!$B:$B,2025,SSP1_VSI!I:I,Results_list!E356))) / (SUMIFS(SSP1_VSI!$F:$F,SSP1_VSI!$C:$C,Results_list!$C$340,SSP1_VSI!$D:$D,Results_list!$D356,SSP1_VSI!$B:$B,2025,SSP1_VSI!I:I,Results_list!E356))</f>
        <v>-1.2523599228426802E-2</v>
      </c>
      <c r="I356" s="13">
        <f t="shared" si="48"/>
        <v>0</v>
      </c>
      <c r="J356" s="12">
        <f>((SUMIFS(SSP2_Baseline!$E:$E,SSP2_Baseline!$C:$C,Results_list!$C$340,SSP2_Baseline!$D:$D,Results_list!$D356,SSP2_Baseline!$B:$B,2040,SSP2_Baseline!I:I,Results_list!E356))
- (SUMIFS(SSP2_Baseline!$E:$E,SSP2_Baseline!$C:$C,Results_list!$C$340,SSP2_Baseline!$D:$D,Results_list!$D356,SSP2_Baseline!$B:$B,2025,SSP2_Baseline!I:I,Results_list!E356)))
/ (SUMIFS(SSP2_Baseline!$E:$E,SSP2_Baseline!$C:$C,Results_list!$C$340,SSP2_Baseline!$D:$D,Results_list!$D356,SSP2_Baseline!$B:$B,2025,SSP2_Baseline!I:I,Results_list!E356))</f>
        <v>-1.3169250778376931E-2</v>
      </c>
      <c r="K356" s="16">
        <f>((SUMIFS(SSP2_VSI!$F:$F,SSP2_VSI!$C:$C,Results_list!$C$340,SSP2_VSI!$D:$D,Results_list!$D356,SSP2_VSI!$B:$B,2040,SSP2_VSI!I:I,Results_list!E356))
- (SUMIFS(SSP2_VSI!$F:$F,SSP2_VSI!$C:$C,Results_list!$C$340,SSP2_VSI!$D:$D,Results_list!$D356,SSP2_VSI!$B:$B,2025,SSP2_VSI!I:I,Results_list!E356)))
/ (SUMIFS(SSP2_VSI!$F:$F,SSP2_VSI!$C:$C,Results_list!$C$340,SSP2_VSI!$D:$D,Results_list!$D356,SSP2_VSI!$B:$B,2025,SSP2_VSI!I:I,Results_list!E356))</f>
        <v>-1.3166895436485779E-2</v>
      </c>
      <c r="L356" s="13">
        <f t="shared" si="49"/>
        <v>0</v>
      </c>
      <c r="M356" s="12">
        <f>((SUMIFS(SSP5_Baseline!$E:$E,SSP5_Baseline!$C:$C,Results_list!$C$319,SSP5_Baseline!$D:$D,Results_list!$D356,SSP5_Baseline!$B:$B,2040,SSP5_Baseline!I:I,Results_list!E356)) - (SUMIFS(SSP5_Baseline!$E:$E,SSP5_Baseline!$C:$C,Results_list!$C$319,SSP5_Baseline!$D:$D,Results_list!$D356,SSP5_Baseline!$B:$B,2025,SSP5_Baseline!I:I,Results_list!E356))) / (SUMIFS(SSP5_Baseline!$E:$E,SSP5_Baseline!$C:$C,Results_list!$C$319,SSP5_Baseline!$D:$D,Results_list!$D356,SSP5_Baseline!$B:$B,2025,SSP5_Baseline!I:I,Results_list!E356))</f>
        <v>-3.3952566704252077E-2</v>
      </c>
      <c r="N356" s="16">
        <f>((SUMIFS(SSP5_VSI!$F:$F,SSP5_VSI!$C:$C,Results_list!$C$319,SSP5_VSI!$D:$D,Results_list!$D356,SSP5_VSI!$B:$B,2040,SSP5_VSI!I:I,Results_list!E356)) - (SUMIFS(SSP5_VSI!$F:$F,SSP5_VSI!$C:$C,Results_list!$C$319,SSP5_VSI!$D:$D,Results_list!$D356,SSP5_VSI!$B:$B,2025,SSP5_VSI!I:I,Results_list!E356))) / (SUMIFS(SSP5_VSI!$F:$F,SSP5_VSI!$C:$C,Results_list!$C$319,SSP5_VSI!$D:$D,Results_list!$D356,SSP5_VSI!$B:$B,2025,SSP5_VSI!I:I,Results_list!E356))</f>
        <v>-3.3921447052694731E-2</v>
      </c>
      <c r="O356" s="13">
        <f t="shared" si="50"/>
        <v>0</v>
      </c>
    </row>
    <row r="357" spans="2:15" x14ac:dyDescent="0.35">
      <c r="B357" s="82"/>
      <c r="C357" s="82"/>
      <c r="D357" s="23" t="s">
        <v>56</v>
      </c>
      <c r="E357" s="28" t="s">
        <v>81</v>
      </c>
      <c r="F357" s="9" t="s">
        <v>104</v>
      </c>
      <c r="G357" s="14">
        <f>((SUMIFS(SSP1_Baseline!$E:$E,SSP1_Baseline!$C:$C,Results_list!$C$340,SSP1_Baseline!$D:$D,Results_list!$D357,SSP1_Baseline!$B:$B,2040,SSP1_Baseline!I:I,Results_list!E357)) - (SUMIFS(SSP1_Baseline!$E:$E,SSP1_Baseline!$C:$C,Results_list!$C$340,SSP1_Baseline!$D:$D,Results_list!$D357,SSP1_Baseline!$B:$B,2025,SSP1_Baseline!I:I,Results_list!E357))) / (SUMIFS(SSP1_Baseline!$E:$E,SSP1_Baseline!$C:$C,Results_list!$C$340,SSP1_Baseline!$D:$D,Results_list!$D357,SSP1_Baseline!$B:$B,2025,SSP1_Baseline!I:I,Results_list!E357))</f>
        <v>-0.24737223276838005</v>
      </c>
      <c r="H357" s="17">
        <f>((SUMIFS(SSP1_VSI!$F:$F,SSP1_VSI!$C:$C,Results_list!$C$340,SSP1_VSI!$D:$D,Results_list!$D357,SSP1_VSI!$B:$B,2040,SSP1_VSI!I:I,Results_list!E357)) - (SUMIFS(SSP1_VSI!$F:$F,SSP1_VSI!$C:$C,Results_list!$C$340,SSP1_VSI!$D:$D,Results_list!$D357,SSP1_VSI!$B:$B,2025,SSP1_VSI!I:I,Results_list!E357))) / (SUMIFS(SSP1_VSI!$F:$F,SSP1_VSI!$C:$C,Results_list!$C$340,SSP1_VSI!$D:$D,Results_list!$D357,SSP1_VSI!$B:$B,2025,SSP1_VSI!I:I,Results_list!E357))</f>
        <v>-0.24739030021079894</v>
      </c>
      <c r="I357" s="15">
        <f t="shared" si="48"/>
        <v>0</v>
      </c>
      <c r="J357" s="14">
        <f>((SUMIFS(SSP2_Baseline!$E:$E,SSP2_Baseline!$C:$C,Results_list!$C$340,SSP2_Baseline!$D:$D,Results_list!$D357,SSP2_Baseline!$B:$B,2040,SSP2_Baseline!I:I,Results_list!E357))
- (SUMIFS(SSP2_Baseline!$E:$E,SSP2_Baseline!$C:$C,Results_list!$C$340,SSP2_Baseline!$D:$D,Results_list!$D357,SSP2_Baseline!$B:$B,2025,SSP2_Baseline!I:I,Results_list!E357)))
/ (SUMIFS(SSP2_Baseline!$E:$E,SSP2_Baseline!$C:$C,Results_list!$C$340,SSP2_Baseline!$D:$D,Results_list!$D357,SSP2_Baseline!$B:$B,2025,SSP2_Baseline!I:I,Results_list!E357))</f>
        <v>-0.25697749765232186</v>
      </c>
      <c r="K357" s="17">
        <f>((SUMIFS(SSP2_VSI!$F:$F,SSP2_VSI!$C:$C,Results_list!$C$340,SSP2_VSI!$D:$D,Results_list!$D357,SSP2_VSI!$B:$B,2040,SSP2_VSI!I:I,Results_list!E357))
- (SUMIFS(SSP2_VSI!$F:$F,SSP2_VSI!$C:$C,Results_list!$C$340,SSP2_VSI!$D:$D,Results_list!$D357,SSP2_VSI!$B:$B,2025,SSP2_VSI!I:I,Results_list!E357)))
/ (SUMIFS(SSP2_VSI!$F:$F,SSP2_VSI!$C:$C,Results_list!$C$340,SSP2_VSI!$D:$D,Results_list!$D357,SSP2_VSI!$B:$B,2025,SSP2_VSI!I:I,Results_list!E357))</f>
        <v>-0.25699950483544914</v>
      </c>
      <c r="L357" s="15">
        <f t="shared" si="49"/>
        <v>0</v>
      </c>
      <c r="M357" s="14">
        <f>((SUMIFS(SSP5_Baseline!$E:$E,SSP5_Baseline!$C:$C,Results_list!$C$319,SSP5_Baseline!$D:$D,Results_list!$D357,SSP5_Baseline!$B:$B,2040,SSP5_Baseline!I:I,Results_list!E357)) - (SUMIFS(SSP5_Baseline!$E:$E,SSP5_Baseline!$C:$C,Results_list!$C$319,SSP5_Baseline!$D:$D,Results_list!$D357,SSP5_Baseline!$B:$B,2025,SSP5_Baseline!I:I,Results_list!E357))) / (SUMIFS(SSP5_Baseline!$E:$E,SSP5_Baseline!$C:$C,Results_list!$C$319,SSP5_Baseline!$D:$D,Results_list!$D357,SSP5_Baseline!$B:$B,2025,SSP5_Baseline!I:I,Results_list!E357))</f>
        <v>8.135132348498153E-2</v>
      </c>
      <c r="N357" s="17">
        <f>((SUMIFS(SSP5_VSI!$F:$F,SSP5_VSI!$C:$C,Results_list!$C$319,SSP5_VSI!$D:$D,Results_list!$D357,SSP5_VSI!$B:$B,2040,SSP5_VSI!I:I,Results_list!E357)) - (SUMIFS(SSP5_VSI!$F:$F,SSP5_VSI!$C:$C,Results_list!$C$319,SSP5_VSI!$D:$D,Results_list!$D357,SSP5_VSI!$B:$B,2025,SSP5_VSI!I:I,Results_list!E357))) / (SUMIFS(SSP5_VSI!$F:$F,SSP5_VSI!$C:$C,Results_list!$C$319,SSP5_VSI!$D:$D,Results_list!$D357,SSP5_VSI!$B:$B,2025,SSP5_VSI!I:I,Results_list!E357))</f>
        <v>8.1371172186273433E-2</v>
      </c>
      <c r="O357" s="15">
        <f t="shared" si="50"/>
        <v>0</v>
      </c>
    </row>
    <row r="359" spans="2:15" ht="19" customHeight="1" x14ac:dyDescent="0.35">
      <c r="F359" s="2"/>
      <c r="G359" s="78" t="s">
        <v>3</v>
      </c>
      <c r="H359" s="79"/>
      <c r="I359" s="79"/>
      <c r="J359" s="79"/>
      <c r="K359" s="79"/>
      <c r="L359" s="79"/>
      <c r="M359" s="79"/>
      <c r="N359" s="79"/>
      <c r="O359" s="80"/>
    </row>
    <row r="360" spans="2:15" ht="29" x14ac:dyDescent="0.35">
      <c r="B360" s="8" t="s">
        <v>30</v>
      </c>
      <c r="C360" s="8" t="s">
        <v>30</v>
      </c>
      <c r="D360" s="6" t="s">
        <v>106</v>
      </c>
      <c r="E360" s="27"/>
      <c r="F360" s="7" t="s">
        <v>105</v>
      </c>
      <c r="G360" s="10" t="s">
        <v>0</v>
      </c>
      <c r="H360" s="11" t="s">
        <v>108</v>
      </c>
      <c r="I360" s="18" t="s">
        <v>107</v>
      </c>
      <c r="J360" s="10" t="s">
        <v>1</v>
      </c>
      <c r="K360" s="11" t="s">
        <v>109</v>
      </c>
      <c r="L360" s="18" t="s">
        <v>107</v>
      </c>
      <c r="M360" s="10" t="s">
        <v>2</v>
      </c>
      <c r="N360" s="11" t="s">
        <v>110</v>
      </c>
      <c r="O360" s="18" t="s">
        <v>107</v>
      </c>
    </row>
    <row r="361" spans="2:15" ht="14.5" customHeight="1" x14ac:dyDescent="0.35">
      <c r="B361" s="81" t="s">
        <v>124</v>
      </c>
      <c r="C361" s="87" t="s">
        <v>83</v>
      </c>
      <c r="D361" t="s">
        <v>38</v>
      </c>
      <c r="F361" s="3" t="s">
        <v>87</v>
      </c>
      <c r="G361" s="12">
        <f>((SUMIFS(SSP1_Baseline!$E:$E,SSP1_Baseline!$C:$C,Results_list!$C$361,SSP1_Baseline!$D:$D,Results_list!$D361,SSP1_Baseline!$B:$B,2040)) - (SUMIFS(SSP1_Baseline!$E:$E,SSP1_Baseline!$C:$C,Results_list!$C$361,SSP1_Baseline!$D:$D,Results_list!$D361,SSP1_Baseline!$B:$B,2025))) / (SUMIFS(SSP1_Baseline!$E:$E,SSP1_Baseline!$C:$C,Results_list!$C$361,SSP1_Baseline!$D:$D,Results_list!$D361,SSP1_Baseline!$B:$B,2025))</f>
        <v>-0.16992571195962511</v>
      </c>
      <c r="H361" s="16">
        <f>((SUMIFS(SSP1_VSI!$F:$F,SSP1_VSI!$C:$C,Results_list!$C$361,SSP1_VSI!$D:$D,Results_list!$D361,SSP1_VSI!$B:$B,2040)) - (SUMIFS(SSP1_VSI!$F:$F,SSP1_VSI!$C:$C,Results_list!$C$361,SSP1_VSI!$D:$D,Results_list!$D361,SSP1_VSI!$B:$B,2025))) / (SUMIFS(SSP1_VSI!$F:$F,SSP1_VSI!$C:$C,Results_list!$C$361,SSP1_VSI!$D:$D,Results_list!$D361,SSP1_VSI!$B:$B,2025))</f>
        <v>-0.16992469891612599</v>
      </c>
      <c r="I361" s="19">
        <f>ROUND(H361-G361,3)</f>
        <v>0</v>
      </c>
      <c r="J361" s="12">
        <f>((SUMIFS(SSP2_Baseline!$E:$E,SSP2_Baseline!$C:$C,Results_list!$C$361,SSP2_Baseline!$D:$D,Results_list!$D361,SSP2_Baseline!$B:$B,2040)) - (SUMIFS(SSP2_Baseline!$E:$E,SSP2_Baseline!$C:$C,Results_list!$C$361,SSP2_Baseline!$D:$D,Results_list!$D361,SSP2_Baseline!$B:$B,2025))) / (SUMIFS(SSP2_Baseline!$E:$E,SSP2_Baseline!$C:$C,Results_list!$C$361,SSP2_Baseline!$D:$D,Results_list!$D361,SSP2_Baseline!$B:$B,2025))</f>
        <v>0.72349672818391653</v>
      </c>
      <c r="K361" s="16">
        <f>((SUMIFS(SSP2_VSI!$F:$F,SSP2_VSI!$C:$C,Results_list!$C$361,SSP2_VSI!$D:$D,Results_list!$D361,SSP2_VSI!$B:$B,2040)) - (SUMIFS(SSP2_VSI!$F:$F,SSP2_VSI!$C:$C,Results_list!$C$361,SSP2_VSI!$D:$D,Results_list!$D361,SSP2_VSI!$B:$B,2025))) / (SUMIFS(SSP2_VSI!$F:$F,SSP2_VSI!$C:$C,Results_list!$C$361,SSP2_VSI!$D:$D,Results_list!$D361,SSP2_VSI!$B:$B,2025))</f>
        <v>0.72337616312750808</v>
      </c>
      <c r="L361" s="19">
        <f>ROUND(K361-J361,2)</f>
        <v>0</v>
      </c>
      <c r="M361" s="12">
        <f>((SUMIFS(SSP5_Baseline!$E:$E,SSP5_Baseline!$C:$C,Results_list!$C$361,SSP5_Baseline!$D:$D,Results_list!$D361,SSP5_Baseline!$B:$B,2040)) - (SUMIFS(SSP5_Baseline!$E:$E,SSP5_Baseline!$C:$C,Results_list!$C$361,SSP5_Baseline!$D:$D,Results_list!$D361,SSP5_Baseline!$B:$B,2025))) / (SUMIFS(SSP5_Baseline!$E:$E,SSP5_Baseline!$C:$C,Results_list!$C$361,SSP5_Baseline!$D:$D,Results_list!$D361,SSP5_Baseline!$B:$B,2025))</f>
        <v>1.2870743126930753</v>
      </c>
      <c r="N361" s="16">
        <f>((SUMIFS(SSP5_VSI!$F:$F,SSP5_VSI!$C:$C,Results_list!$C$361,SSP5_VSI!$D:$D,Results_list!$D361,SSP5_VSI!$B:$B,2040)) - (SUMIFS(SSP5_VSI!$F:$F,SSP5_VSI!$C:$C,Results_list!$C$361,SSP5_VSI!$D:$D,Results_list!$D361,SSP5_VSI!$B:$B,2025))) / (SUMIFS(SSP5_VSI!$F:$F,SSP5_VSI!$C:$C,Results_list!$C$361,SSP5_VSI!$D:$D,Results_list!$D361,SSP5_VSI!$B:$B,2025))</f>
        <v>1.2870933222601533</v>
      </c>
      <c r="O361" s="19">
        <f>ROUND(N361-M361,2)</f>
        <v>0</v>
      </c>
    </row>
    <row r="362" spans="2:15" x14ac:dyDescent="0.35">
      <c r="B362" s="81"/>
      <c r="C362" s="87"/>
      <c r="D362" t="s">
        <v>40</v>
      </c>
      <c r="F362" s="3" t="s">
        <v>88</v>
      </c>
      <c r="G362" s="12">
        <f>((SUMIFS(SSP1_Baseline!$E:$E,SSP1_Baseline!$C:$C,Results_list!$C$361,SSP1_Baseline!$D:$D,Results_list!$D362,SSP1_Baseline!$B:$B,2040)) - (SUMIFS(SSP1_Baseline!$E:$E,SSP1_Baseline!$C:$C,Results_list!$C$361,SSP1_Baseline!$D:$D,Results_list!$D362,SSP1_Baseline!$B:$B,2025))) / (SUMIFS(SSP1_Baseline!$E:$E,SSP1_Baseline!$C:$C,Results_list!$C$361,SSP1_Baseline!$D:$D,Results_list!$D362,SSP1_Baseline!$B:$B,2025))</f>
        <v>-0.18154729052542162</v>
      </c>
      <c r="H362" s="16">
        <f>((SUMIFS(SSP1_VSI!$F:$F,SSP1_VSI!$C:$C,Results_list!$C$361,SSP1_VSI!$D:$D,Results_list!$D362,SSP1_VSI!$B:$B,2040)) - (SUMIFS(SSP1_VSI!$F:$F,SSP1_VSI!$C:$C,Results_list!$C$361,SSP1_VSI!$D:$D,Results_list!$D362,SSP1_VSI!$B:$B,2025))) / (SUMIFS(SSP1_VSI!$F:$F,SSP1_VSI!$C:$C,Results_list!$C$361,SSP1_VSI!$D:$D,Results_list!$D362,SSP1_VSI!$B:$B,2025))</f>
        <v>-0.18154531598872142</v>
      </c>
      <c r="I362" s="13">
        <f t="shared" ref="I362:I378" si="51">ROUND(H362-G362,3)</f>
        <v>0</v>
      </c>
      <c r="J362" s="12">
        <f>((SUMIFS(SSP2_Baseline!$E:$E,SSP2_Baseline!$C:$C,Results_list!$C$361,SSP2_Baseline!$D:$D,Results_list!$D362,SSP2_Baseline!$B:$B,2040)) - (SUMIFS(SSP2_Baseline!$E:$E,SSP2_Baseline!$C:$C,Results_list!$C$361,SSP2_Baseline!$D:$D,Results_list!$D362,SSP2_Baseline!$B:$B,2025))) / (SUMIFS(SSP2_Baseline!$E:$E,SSP2_Baseline!$C:$C,Results_list!$C$361,SSP2_Baseline!$D:$D,Results_list!$D362,SSP2_Baseline!$B:$B,2025))</f>
        <v>-0.18442878452759182</v>
      </c>
      <c r="K362" s="16">
        <f>((SUMIFS(SSP2_VSI!$F:$F,SSP2_VSI!$C:$C,Results_list!$C$361,SSP2_VSI!$D:$D,Results_list!$D362,SSP2_VSI!$B:$B,2040)) - (SUMIFS(SSP2_VSI!$F:$F,SSP2_VSI!$C:$C,Results_list!$C$361,SSP2_VSI!$D:$D,Results_list!$D362,SSP2_VSI!$B:$B,2025))) / (SUMIFS(SSP2_VSI!$F:$F,SSP2_VSI!$C:$C,Results_list!$C$361,SSP2_VSI!$D:$D,Results_list!$D362,SSP2_VSI!$B:$B,2025))</f>
        <v>-0.18443940068321957</v>
      </c>
      <c r="L362" s="13">
        <f t="shared" ref="L362:L378" si="52">ROUND(K362-J362,2)</f>
        <v>0</v>
      </c>
      <c r="M362" s="12">
        <f>((SUMIFS(SSP5_Baseline!$E:$E,SSP5_Baseline!$C:$C,Results_list!$C$361,SSP5_Baseline!$D:$D,Results_list!$D362,SSP5_Baseline!$B:$B,2040)) - (SUMIFS(SSP5_Baseline!$E:$E,SSP5_Baseline!$C:$C,Results_list!$C$361,SSP5_Baseline!$D:$D,Results_list!$D362,SSP5_Baseline!$B:$B,2025))) / (SUMIFS(SSP5_Baseline!$E:$E,SSP5_Baseline!$C:$C,Results_list!$C$361,SSP5_Baseline!$D:$D,Results_list!$D362,SSP5_Baseline!$B:$B,2025))</f>
        <v>7.1155075987632779E-2</v>
      </c>
      <c r="N362" s="16">
        <f>((SUMIFS(SSP5_VSI!$F:$F,SSP5_VSI!$C:$C,Results_list!$C$361,SSP5_VSI!$D:$D,Results_list!$D362,SSP5_VSI!$B:$B,2040)) - (SUMIFS(SSP5_VSI!$F:$F,SSP5_VSI!$C:$C,Results_list!$C$361,SSP5_VSI!$D:$D,Results_list!$D362,SSP5_VSI!$B:$B,2025))) / (SUMIFS(SSP5_VSI!$F:$F,SSP5_VSI!$C:$C,Results_list!$C$361,SSP5_VSI!$D:$D,Results_list!$D362,SSP5_VSI!$B:$B,2025))</f>
        <v>7.1123403553118456E-2</v>
      </c>
      <c r="O362" s="13">
        <f t="shared" ref="O362:O378" si="53">ROUND(N362-M362,2)</f>
        <v>0</v>
      </c>
    </row>
    <row r="363" spans="2:15" x14ac:dyDescent="0.35">
      <c r="B363" s="81"/>
      <c r="C363" s="87"/>
      <c r="D363" t="s">
        <v>41</v>
      </c>
      <c r="F363" s="3" t="s">
        <v>89</v>
      </c>
      <c r="G363" s="12">
        <f>((SUMIFS(SSP1_Baseline!$E:$E,SSP1_Baseline!$C:$C,Results_list!$C$361,SSP1_Baseline!$D:$D,Results_list!$D363,SSP1_Baseline!$B:$B,2040)) - (SUMIFS(SSP1_Baseline!$E:$E,SSP1_Baseline!$C:$C,Results_list!$C$361,SSP1_Baseline!$D:$D,Results_list!$D363,SSP1_Baseline!$B:$B,2025))) / (SUMIFS(SSP1_Baseline!$E:$E,SSP1_Baseline!$C:$C,Results_list!$C$361,SSP1_Baseline!$D:$D,Results_list!$D363,SSP1_Baseline!$B:$B,2025))</f>
        <v>-0.20608654813844882</v>
      </c>
      <c r="H363" s="16">
        <f>((SUMIFS(SSP1_VSI!$F:$F,SSP1_VSI!$C:$C,Results_list!$C$361,SSP1_VSI!$D:$D,Results_list!$D363,SSP1_VSI!$B:$B,2040)) - (SUMIFS(SSP1_VSI!$F:$F,SSP1_VSI!$C:$C,Results_list!$C$361,SSP1_VSI!$D:$D,Results_list!$D363,SSP1_VSI!$B:$B,2025))) / (SUMIFS(SSP1_VSI!$F:$F,SSP1_VSI!$C:$C,Results_list!$C$361,SSP1_VSI!$D:$D,Results_list!$D363,SSP1_VSI!$B:$B,2025))</f>
        <v>-0.20614398237951462</v>
      </c>
      <c r="I363" s="13">
        <f t="shared" si="51"/>
        <v>0</v>
      </c>
      <c r="J363" s="12">
        <f>((SUMIFS(SSP2_Baseline!$E:$E,SSP2_Baseline!$C:$C,Results_list!$C$361,SSP2_Baseline!$D:$D,Results_list!$D363,SSP2_Baseline!$B:$B,2040)) - (SUMIFS(SSP2_Baseline!$E:$E,SSP2_Baseline!$C:$C,Results_list!$C$361,SSP2_Baseline!$D:$D,Results_list!$D363,SSP2_Baseline!$B:$B,2025))) / (SUMIFS(SSP2_Baseline!$E:$E,SSP2_Baseline!$C:$C,Results_list!$C$361,SSP2_Baseline!$D:$D,Results_list!$D363,SSP2_Baseline!$B:$B,2025))</f>
        <v>-0.20729409684139169</v>
      </c>
      <c r="K363" s="16">
        <f>((SUMIFS(SSP2_VSI!$F:$F,SSP2_VSI!$C:$C,Results_list!$C$361,SSP2_VSI!$D:$D,Results_list!$D363,SSP2_VSI!$B:$B,2040)) - (SUMIFS(SSP2_VSI!$F:$F,SSP2_VSI!$C:$C,Results_list!$C$361,SSP2_VSI!$D:$D,Results_list!$D363,SSP2_VSI!$B:$B,2025))) / (SUMIFS(SSP2_VSI!$F:$F,SSP2_VSI!$C:$C,Results_list!$C$361,SSP2_VSI!$D:$D,Results_list!$D363,SSP2_VSI!$B:$B,2025))</f>
        <v>-0.20730077180574522</v>
      </c>
      <c r="L363" s="13">
        <f t="shared" si="52"/>
        <v>0</v>
      </c>
      <c r="M363" s="12">
        <f>((SUMIFS(SSP5_Baseline!$E:$E,SSP5_Baseline!$C:$C,Results_list!$C$361,SSP5_Baseline!$D:$D,Results_list!$D363,SSP5_Baseline!$B:$B,2040)) - (SUMIFS(SSP5_Baseline!$E:$E,SSP5_Baseline!$C:$C,Results_list!$C$361,SSP5_Baseline!$D:$D,Results_list!$D363,SSP5_Baseline!$B:$B,2025))) / (SUMIFS(SSP5_Baseline!$E:$E,SSP5_Baseline!$C:$C,Results_list!$C$361,SSP5_Baseline!$D:$D,Results_list!$D363,SSP5_Baseline!$B:$B,2025))</f>
        <v>-5.1871109038497398E-2</v>
      </c>
      <c r="N363" s="16">
        <f>((SUMIFS(SSP5_VSI!$F:$F,SSP5_VSI!$C:$C,Results_list!$C$361,SSP5_VSI!$D:$D,Results_list!$D363,SSP5_VSI!$B:$B,2040)) - (SUMIFS(SSP5_VSI!$F:$F,SSP5_VSI!$C:$C,Results_list!$C$361,SSP5_VSI!$D:$D,Results_list!$D363,SSP5_VSI!$B:$B,2025))) / (SUMIFS(SSP5_VSI!$F:$F,SSP5_VSI!$C:$C,Results_list!$C$361,SSP5_VSI!$D:$D,Results_list!$D363,SSP5_VSI!$B:$B,2025))</f>
        <v>-5.190607764226534E-2</v>
      </c>
      <c r="O363" s="13">
        <f t="shared" si="53"/>
        <v>0</v>
      </c>
    </row>
    <row r="364" spans="2:15" x14ac:dyDescent="0.35">
      <c r="B364" s="81"/>
      <c r="C364" s="87"/>
      <c r="D364" t="s">
        <v>42</v>
      </c>
      <c r="F364" s="3" t="s">
        <v>90</v>
      </c>
      <c r="G364" s="12">
        <f>((SUMIFS(SSP1_Baseline!$E:$E,SSP1_Baseline!$C:$C,Results_list!$C$361,SSP1_Baseline!$D:$D,Results_list!$D364,SSP1_Baseline!$B:$B,2040)) - (SUMIFS(SSP1_Baseline!$E:$E,SSP1_Baseline!$C:$C,Results_list!$C$361,SSP1_Baseline!$D:$D,Results_list!$D364,SSP1_Baseline!$B:$B,2025))) / (SUMIFS(SSP1_Baseline!$E:$E,SSP1_Baseline!$C:$C,Results_list!$C$361,SSP1_Baseline!$D:$D,Results_list!$D364,SSP1_Baseline!$B:$B,2025))</f>
        <v>-4.4899061304737399E-2</v>
      </c>
      <c r="H364" s="16">
        <f>((SUMIFS(SSP1_VSI!$F:$F,SSP1_VSI!$C:$C,Results_list!$C$361,SSP1_VSI!$D:$D,Results_list!$D364,SSP1_VSI!$B:$B,2040)) - (SUMIFS(SSP1_VSI!$F:$F,SSP1_VSI!$C:$C,Results_list!$C$361,SSP1_VSI!$D:$D,Results_list!$D364,SSP1_VSI!$B:$B,2025))) / (SUMIFS(SSP1_VSI!$F:$F,SSP1_VSI!$C:$C,Results_list!$C$361,SSP1_VSI!$D:$D,Results_list!$D364,SSP1_VSI!$B:$B,2025))</f>
        <v>-0.72100377034395069</v>
      </c>
      <c r="I364" s="13">
        <f t="shared" si="51"/>
        <v>-0.67600000000000005</v>
      </c>
      <c r="J364" s="12">
        <f>((SUMIFS(SSP2_Baseline!$E:$E,SSP2_Baseline!$C:$C,Results_list!$C$361,SSP2_Baseline!$D:$D,Results_list!$D364,SSP2_Baseline!$B:$B,2040)) - (SUMIFS(SSP2_Baseline!$E:$E,SSP2_Baseline!$C:$C,Results_list!$C$361,SSP2_Baseline!$D:$D,Results_list!$D364,SSP2_Baseline!$B:$B,2025))) / (SUMIFS(SSP2_Baseline!$E:$E,SSP2_Baseline!$C:$C,Results_list!$C$361,SSP2_Baseline!$D:$D,Results_list!$D364,SSP2_Baseline!$B:$B,2025))</f>
        <v>-4.8307071932440132E-2</v>
      </c>
      <c r="K364" s="16">
        <f>((SUMIFS(SSP2_VSI!$F:$F,SSP2_VSI!$C:$C,Results_list!$C$361,SSP2_VSI!$D:$D,Results_list!$D364,SSP2_VSI!$B:$B,2040)) - (SUMIFS(SSP2_VSI!$F:$F,SSP2_VSI!$C:$C,Results_list!$C$361,SSP2_VSI!$D:$D,Results_list!$D364,SSP2_VSI!$B:$B,2025))) / (SUMIFS(SSP2_VSI!$F:$F,SSP2_VSI!$C:$C,Results_list!$C$361,SSP2_VSI!$D:$D,Results_list!$D364,SSP2_VSI!$B:$B,2025))</f>
        <v>-0.72293751637591663</v>
      </c>
      <c r="L364" s="13">
        <f t="shared" si="52"/>
        <v>-0.67</v>
      </c>
      <c r="M364" s="12">
        <f>((SUMIFS(SSP5_Baseline!$E:$E,SSP5_Baseline!$C:$C,Results_list!$C$361,SSP5_Baseline!$D:$D,Results_list!$D364,SSP5_Baseline!$B:$B,2040)) - (SUMIFS(SSP5_Baseline!$E:$E,SSP5_Baseline!$C:$C,Results_list!$C$361,SSP5_Baseline!$D:$D,Results_list!$D364,SSP5_Baseline!$B:$B,2025))) / (SUMIFS(SSP5_Baseline!$E:$E,SSP5_Baseline!$C:$C,Results_list!$C$361,SSP5_Baseline!$D:$D,Results_list!$D364,SSP5_Baseline!$B:$B,2025))</f>
        <v>-2.1489115167716379E-2</v>
      </c>
      <c r="N364" s="16">
        <f>((SUMIFS(SSP5_VSI!$F:$F,SSP5_VSI!$C:$C,Results_list!$C$361,SSP5_VSI!$D:$D,Results_list!$D364,SSP5_VSI!$B:$B,2040)) - (SUMIFS(SSP5_VSI!$F:$F,SSP5_VSI!$C:$C,Results_list!$C$361,SSP5_VSI!$D:$D,Results_list!$D364,SSP5_VSI!$B:$B,2025))) / (SUMIFS(SSP5_VSI!$F:$F,SSP5_VSI!$C:$C,Results_list!$C$361,SSP5_VSI!$D:$D,Results_list!$D364,SSP5_VSI!$B:$B,2025))</f>
        <v>-0.69264142250924299</v>
      </c>
      <c r="O364" s="13">
        <f t="shared" si="53"/>
        <v>-0.67</v>
      </c>
    </row>
    <row r="365" spans="2:15" x14ac:dyDescent="0.35">
      <c r="B365" s="81"/>
      <c r="C365" s="87"/>
      <c r="D365" t="s">
        <v>43</v>
      </c>
      <c r="F365" s="3" t="s">
        <v>91</v>
      </c>
      <c r="G365" s="12">
        <f>((SUMIFS(SSP1_Baseline!$E:$E,SSP1_Baseline!$C:$C,Results_list!$C$361,SSP1_Baseline!$D:$D,Results_list!$D365,SSP1_Baseline!$B:$B,2040)) - (SUMIFS(SSP1_Baseline!$E:$E,SSP1_Baseline!$C:$C,Results_list!$C$361,SSP1_Baseline!$D:$D,Results_list!$D365,SSP1_Baseline!$B:$B,2025))) / (SUMIFS(SSP1_Baseline!$E:$E,SSP1_Baseline!$C:$C,Results_list!$C$361,SSP1_Baseline!$D:$D,Results_list!$D365,SSP1_Baseline!$B:$B,2025))</f>
        <v>-0.23864951148287619</v>
      </c>
      <c r="H365" s="16">
        <f>((SUMIFS(SSP1_VSI!$F:$F,SSP1_VSI!$C:$C,Results_list!$C$361,SSP1_VSI!$D:$D,Results_list!$D365,SSP1_VSI!$B:$B,2040)) - (SUMIFS(SSP1_VSI!$F:$F,SSP1_VSI!$C:$C,Results_list!$C$361,SSP1_VSI!$D:$D,Results_list!$D365,SSP1_VSI!$B:$B,2025))) / (SUMIFS(SSP1_VSI!$F:$F,SSP1_VSI!$C:$C,Results_list!$C$361,SSP1_VSI!$D:$D,Results_list!$D365,SSP1_VSI!$B:$B,2025))</f>
        <v>-0.23867225524211319</v>
      </c>
      <c r="I365" s="13">
        <f t="shared" si="51"/>
        <v>0</v>
      </c>
      <c r="J365" s="12">
        <f>((SUMIFS(SSP2_Baseline!$E:$E,SSP2_Baseline!$C:$C,Results_list!$C$361,SSP2_Baseline!$D:$D,Results_list!$D365,SSP2_Baseline!$B:$B,2040)) - (SUMIFS(SSP2_Baseline!$E:$E,SSP2_Baseline!$C:$C,Results_list!$C$361,SSP2_Baseline!$D:$D,Results_list!$D365,SSP2_Baseline!$B:$B,2025))) / (SUMIFS(SSP2_Baseline!$E:$E,SSP2_Baseline!$C:$C,Results_list!$C$361,SSP2_Baseline!$D:$D,Results_list!$D365,SSP2_Baseline!$B:$B,2025))</f>
        <v>-0.17067084416223446</v>
      </c>
      <c r="K365" s="16">
        <f>((SUMIFS(SSP2_VSI!$F:$F,SSP2_VSI!$C:$C,Results_list!$C$361,SSP2_VSI!$D:$D,Results_list!$D365,SSP2_VSI!$B:$B,2040)) - (SUMIFS(SSP2_VSI!$F:$F,SSP2_VSI!$C:$C,Results_list!$C$361,SSP2_VSI!$D:$D,Results_list!$D365,SSP2_VSI!$B:$B,2025))) / (SUMIFS(SSP2_VSI!$F:$F,SSP2_VSI!$C:$C,Results_list!$C$361,SSP2_VSI!$D:$D,Results_list!$D365,SSP2_VSI!$B:$B,2025))</f>
        <v>-0.17066248252430133</v>
      </c>
      <c r="L365" s="13">
        <f t="shared" si="52"/>
        <v>0</v>
      </c>
      <c r="M365" s="12">
        <f>((SUMIFS(SSP5_Baseline!$E:$E,SSP5_Baseline!$C:$C,Results_list!$C$361,SSP5_Baseline!$D:$D,Results_list!$D365,SSP5_Baseline!$B:$B,2040)) - (SUMIFS(SSP5_Baseline!$E:$E,SSP5_Baseline!$C:$C,Results_list!$C$361,SSP5_Baseline!$D:$D,Results_list!$D365,SSP5_Baseline!$B:$B,2025))) / (SUMIFS(SSP5_Baseline!$E:$E,SSP5_Baseline!$C:$C,Results_list!$C$361,SSP5_Baseline!$D:$D,Results_list!$D365,SSP5_Baseline!$B:$B,2025))</f>
        <v>-4.7543430367219405E-2</v>
      </c>
      <c r="N365" s="16">
        <f>((SUMIFS(SSP5_VSI!$F:$F,SSP5_VSI!$C:$C,Results_list!$C$361,SSP5_VSI!$D:$D,Results_list!$D365,SSP5_VSI!$B:$B,2040)) - (SUMIFS(SSP5_VSI!$F:$F,SSP5_VSI!$C:$C,Results_list!$C$361,SSP5_VSI!$D:$D,Results_list!$D365,SSP5_VSI!$B:$B,2025))) / (SUMIFS(SSP5_VSI!$F:$F,SSP5_VSI!$C:$C,Results_list!$C$361,SSP5_VSI!$D:$D,Results_list!$D365,SSP5_VSI!$B:$B,2025))</f>
        <v>-4.7554171062339452E-2</v>
      </c>
      <c r="O365" s="13">
        <f t="shared" si="53"/>
        <v>0</v>
      </c>
    </row>
    <row r="366" spans="2:15" x14ac:dyDescent="0.35">
      <c r="B366" s="81"/>
      <c r="C366" s="87"/>
      <c r="D366" t="s">
        <v>136</v>
      </c>
      <c r="F366" s="3" t="s">
        <v>92</v>
      </c>
      <c r="G366" s="12">
        <f>((SUMIFS(SSP1_Baseline!$E:$E,SSP1_Baseline!$C:$C,Results_list!$C$361,SSP1_Baseline!$D:$D,Results_list!$D366,SSP1_Baseline!$B:$B,2040)) - (SUMIFS(SSP1_Baseline!$E:$E,SSP1_Baseline!$C:$C,Results_list!$C$361,SSP1_Baseline!$D:$D,Results_list!$D366,SSP1_Baseline!$B:$B,2025))) / (SUMIFS(SSP1_Baseline!$E:$E,SSP1_Baseline!$C:$C,Results_list!$C$361,SSP1_Baseline!$D:$D,Results_list!$D366,SSP1_Baseline!$B:$B,2025))</f>
        <v>-0.24825084893022539</v>
      </c>
      <c r="H366" s="16">
        <f>((SUMIFS(SSP1_VSI!$F:$F,SSP1_VSI!$C:$C,Results_list!$C$361,SSP1_VSI!$D:$D,Results_list!$D366,SSP1_VSI!$B:$B,2040)) - (SUMIFS(SSP1_VSI!$F:$F,SSP1_VSI!$C:$C,Results_list!$C$361,SSP1_VSI!$D:$D,Results_list!$D366,SSP1_VSI!$B:$B,2025))) / (SUMIFS(SSP1_VSI!$F:$F,SSP1_VSI!$C:$C,Results_list!$C$361,SSP1_VSI!$D:$D,Results_list!$D366,SSP1_VSI!$B:$B,2025))</f>
        <v>-0.25425595066056139</v>
      </c>
      <c r="I366" s="13">
        <f t="shared" si="51"/>
        <v>-6.0000000000000001E-3</v>
      </c>
      <c r="J366" s="12">
        <f>((SUMIFS(SSP2_Baseline!$E:$E,SSP2_Baseline!$C:$C,Results_list!$C$361,SSP2_Baseline!$D:$D,Results_list!$D366,SSP2_Baseline!$B:$B,2040)) - (SUMIFS(SSP2_Baseline!$E:$E,SSP2_Baseline!$C:$C,Results_list!$C$361,SSP2_Baseline!$D:$D,Results_list!$D366,SSP2_Baseline!$B:$B,2025))) / (SUMIFS(SSP2_Baseline!$E:$E,SSP2_Baseline!$C:$C,Results_list!$C$361,SSP2_Baseline!$D:$D,Results_list!$D366,SSP2_Baseline!$B:$B,2025))</f>
        <v>-0.24521094337295121</v>
      </c>
      <c r="K366" s="16">
        <f>((SUMIFS(SSP2_VSI!$F:$F,SSP2_VSI!$C:$C,Results_list!$C$361,SSP2_VSI!$D:$D,Results_list!$D366,SSP2_VSI!$B:$B,2040)) - (SUMIFS(SSP2_VSI!$F:$F,SSP2_VSI!$C:$C,Results_list!$C$361,SSP2_VSI!$D:$D,Results_list!$D366,SSP2_VSI!$B:$B,2025))) / (SUMIFS(SSP2_VSI!$F:$F,SSP2_VSI!$C:$C,Results_list!$C$361,SSP2_VSI!$D:$D,Results_list!$D366,SSP2_VSI!$B:$B,2025))</f>
        <v>-0.25105761106007024</v>
      </c>
      <c r="L366" s="13">
        <f t="shared" si="52"/>
        <v>-0.01</v>
      </c>
      <c r="M366" s="12">
        <f>((SUMIFS(SSP5_Baseline!$E:$E,SSP5_Baseline!$C:$C,Results_list!$C$361,SSP5_Baseline!$D:$D,Results_list!$D366,SSP5_Baseline!$B:$B,2040)) - (SUMIFS(SSP5_Baseline!$E:$E,SSP5_Baseline!$C:$C,Results_list!$C$361,SSP5_Baseline!$D:$D,Results_list!$D366,SSP5_Baseline!$B:$B,2025))) / (SUMIFS(SSP5_Baseline!$E:$E,SSP5_Baseline!$C:$C,Results_list!$C$361,SSP5_Baseline!$D:$D,Results_list!$D366,SSP5_Baseline!$B:$B,2025))</f>
        <v>2.5926787767482924E-2</v>
      </c>
      <c r="N366" s="16">
        <f>((SUMIFS(SSP5_VSI!$F:$F,SSP5_VSI!$C:$C,Results_list!$C$361,SSP5_VSI!$D:$D,Results_list!$D366,SSP5_VSI!$B:$B,2040)) - (SUMIFS(SSP5_VSI!$F:$F,SSP5_VSI!$C:$C,Results_list!$C$361,SSP5_VSI!$D:$D,Results_list!$D366,SSP5_VSI!$B:$B,2025))) / (SUMIFS(SSP5_VSI!$F:$F,SSP5_VSI!$C:$C,Results_list!$C$361,SSP5_VSI!$D:$D,Results_list!$D366,SSP5_VSI!$B:$B,2025))</f>
        <v>2.0454479375394005E-2</v>
      </c>
      <c r="O366" s="13">
        <f t="shared" si="53"/>
        <v>-0.01</v>
      </c>
    </row>
    <row r="367" spans="2:15" x14ac:dyDescent="0.35">
      <c r="B367" s="81"/>
      <c r="C367" s="87"/>
      <c r="D367" t="s">
        <v>45</v>
      </c>
      <c r="F367" s="3" t="s">
        <v>93</v>
      </c>
      <c r="G367" s="12">
        <f>((SUMIFS(SSP1_Baseline!$E:$E,SSP1_Baseline!$C:$C,Results_list!$C$361,SSP1_Baseline!$D:$D,Results_list!$D367,SSP1_Baseline!$B:$B,2040)) - (SUMIFS(SSP1_Baseline!$E:$E,SSP1_Baseline!$C:$C,Results_list!$C$361,SSP1_Baseline!$D:$D,Results_list!$D367,SSP1_Baseline!$B:$B,2025))) / (SUMIFS(SSP1_Baseline!$E:$E,SSP1_Baseline!$C:$C,Results_list!$C$361,SSP1_Baseline!$D:$D,Results_list!$D367,SSP1_Baseline!$B:$B,2025))</f>
        <v>-0.19904272294879613</v>
      </c>
      <c r="H367" s="16">
        <f>((SUMIFS(SSP1_VSI!$F:$F,SSP1_VSI!$C:$C,Results_list!$C$361,SSP1_VSI!$D:$D,Results_list!$D367,SSP1_VSI!$B:$B,2040)) - (SUMIFS(SSP1_VSI!$F:$F,SSP1_VSI!$C:$C,Results_list!$C$361,SSP1_VSI!$D:$D,Results_list!$D367,SSP1_VSI!$B:$B,2025))) / (SUMIFS(SSP1_VSI!$F:$F,SSP1_VSI!$C:$C,Results_list!$C$361,SSP1_VSI!$D:$D,Results_list!$D367,SSP1_VSI!$B:$B,2025))</f>
        <v>-0.1990330154819597</v>
      </c>
      <c r="I367" s="13">
        <f t="shared" si="51"/>
        <v>0</v>
      </c>
      <c r="J367" s="12">
        <f>((SUMIFS(SSP2_Baseline!$E:$E,SSP2_Baseline!$C:$C,Results_list!$C$361,SSP2_Baseline!$D:$D,Results_list!$D367,SSP2_Baseline!$B:$B,2040)) - (SUMIFS(SSP2_Baseline!$E:$E,SSP2_Baseline!$C:$C,Results_list!$C$361,SSP2_Baseline!$D:$D,Results_list!$D367,SSP2_Baseline!$B:$B,2025))) / (SUMIFS(SSP2_Baseline!$E:$E,SSP2_Baseline!$C:$C,Results_list!$C$361,SSP2_Baseline!$D:$D,Results_list!$D367,SSP2_Baseline!$B:$B,2025))</f>
        <v>-0.20387825174717067</v>
      </c>
      <c r="K367" s="16">
        <f>((SUMIFS(SSP2_VSI!$F:$F,SSP2_VSI!$C:$C,Results_list!$C$361,SSP2_VSI!$D:$D,Results_list!$D367,SSP2_VSI!$B:$B,2040)) - (SUMIFS(SSP2_VSI!$F:$F,SSP2_VSI!$C:$C,Results_list!$C$361,SSP2_VSI!$D:$D,Results_list!$D367,SSP2_VSI!$B:$B,2025))) / (SUMIFS(SSP2_VSI!$F:$F,SSP2_VSI!$C:$C,Results_list!$C$361,SSP2_VSI!$D:$D,Results_list!$D367,SSP2_VSI!$B:$B,2025))</f>
        <v>-0.2037819764323249</v>
      </c>
      <c r="L367" s="13">
        <f t="shared" si="52"/>
        <v>0</v>
      </c>
      <c r="M367" s="12">
        <f>((SUMIFS(SSP5_Baseline!$E:$E,SSP5_Baseline!$C:$C,Results_list!$C$361,SSP5_Baseline!$D:$D,Results_list!$D367,SSP5_Baseline!$B:$B,2040)) - (SUMIFS(SSP5_Baseline!$E:$E,SSP5_Baseline!$C:$C,Results_list!$C$361,SSP5_Baseline!$D:$D,Results_list!$D367,SSP5_Baseline!$B:$B,2025))) / (SUMIFS(SSP5_Baseline!$E:$E,SSP5_Baseline!$C:$C,Results_list!$C$361,SSP5_Baseline!$D:$D,Results_list!$D367,SSP5_Baseline!$B:$B,2025))</f>
        <v>-0.17295975010242368</v>
      </c>
      <c r="N367" s="16">
        <f>((SUMIFS(SSP5_VSI!$F:$F,SSP5_VSI!$C:$C,Results_list!$C$361,SSP5_VSI!$D:$D,Results_list!$D367,SSP5_VSI!$B:$B,2040)) - (SUMIFS(SSP5_VSI!$F:$F,SSP5_VSI!$C:$C,Results_list!$C$361,SSP5_VSI!$D:$D,Results_list!$D367,SSP5_VSI!$B:$B,2025))) / (SUMIFS(SSP5_VSI!$F:$F,SSP5_VSI!$C:$C,Results_list!$C$361,SSP5_VSI!$D:$D,Results_list!$D367,SSP5_VSI!$B:$B,2025))</f>
        <v>-0.17296060862979992</v>
      </c>
      <c r="O367" s="13">
        <f t="shared" si="53"/>
        <v>0</v>
      </c>
    </row>
    <row r="368" spans="2:15" x14ac:dyDescent="0.35">
      <c r="B368" s="81"/>
      <c r="C368" s="87"/>
      <c r="D368" t="s">
        <v>46</v>
      </c>
      <c r="F368" s="3" t="s">
        <v>94</v>
      </c>
      <c r="G368" s="12">
        <f>((SUMIFS(SSP1_Baseline!$E:$E,SSP1_Baseline!$C:$C,Results_list!$C$361,SSP1_Baseline!$D:$D,Results_list!$D368,SSP1_Baseline!$B:$B,2040)) - (SUMIFS(SSP1_Baseline!$E:$E,SSP1_Baseline!$C:$C,Results_list!$C$361,SSP1_Baseline!$D:$D,Results_list!$D368,SSP1_Baseline!$B:$B,2025))) / (SUMIFS(SSP1_Baseline!$E:$E,SSP1_Baseline!$C:$C,Results_list!$C$361,SSP1_Baseline!$D:$D,Results_list!$D368,SSP1_Baseline!$B:$B,2025))</f>
        <v>0.39452183436003613</v>
      </c>
      <c r="H368" s="16">
        <f>((SUMIFS(SSP1_VSI!$F:$F,SSP1_VSI!$C:$C,Results_list!$C$361,SSP1_VSI!$D:$D,Results_list!$D368,SSP1_VSI!$B:$B,2040)) - (SUMIFS(SSP1_VSI!$F:$F,SSP1_VSI!$C:$C,Results_list!$C$361,SSP1_VSI!$D:$D,Results_list!$D368,SSP1_VSI!$B:$B,2025))) / (SUMIFS(SSP1_VSI!$F:$F,SSP1_VSI!$C:$C,Results_list!$C$361,SSP1_VSI!$D:$D,Results_list!$D368,SSP1_VSI!$B:$B,2025))</f>
        <v>0.39452868800508878</v>
      </c>
      <c r="I368" s="13">
        <f t="shared" si="51"/>
        <v>0</v>
      </c>
      <c r="J368" s="12">
        <f>((SUMIFS(SSP2_Baseline!$E:$E,SSP2_Baseline!$C:$C,Results_list!$C$361,SSP2_Baseline!$D:$D,Results_list!$D368,SSP2_Baseline!$B:$B,2040)) - (SUMIFS(SSP2_Baseline!$E:$E,SSP2_Baseline!$C:$C,Results_list!$C$361,SSP2_Baseline!$D:$D,Results_list!$D368,SSP2_Baseline!$B:$B,2025))) / (SUMIFS(SSP2_Baseline!$E:$E,SSP2_Baseline!$C:$C,Results_list!$C$361,SSP2_Baseline!$D:$D,Results_list!$D368,SSP2_Baseline!$B:$B,2025))</f>
        <v>1.7917799865565396</v>
      </c>
      <c r="K368" s="16">
        <f>((SUMIFS(SSP2_VSI!$F:$F,SSP2_VSI!$C:$C,Results_list!$C$361,SSP2_VSI!$D:$D,Results_list!$D368,SSP2_VSI!$B:$B,2040)) - (SUMIFS(SSP2_VSI!$F:$F,SSP2_VSI!$C:$C,Results_list!$C$361,SSP2_VSI!$D:$D,Results_list!$D368,SSP2_VSI!$B:$B,2025))) / (SUMIFS(SSP2_VSI!$F:$F,SSP2_VSI!$C:$C,Results_list!$C$361,SSP2_VSI!$D:$D,Results_list!$D368,SSP2_VSI!$B:$B,2025))</f>
        <v>1.7916344799590447</v>
      </c>
      <c r="L368" s="13">
        <f t="shared" si="52"/>
        <v>0</v>
      </c>
      <c r="M368" s="12">
        <f>((SUMIFS(SSP5_Baseline!$E:$E,SSP5_Baseline!$C:$C,Results_list!$C$361,SSP5_Baseline!$D:$D,Results_list!$D368,SSP5_Baseline!$B:$B,2040)) - (SUMIFS(SSP5_Baseline!$E:$E,SSP5_Baseline!$C:$C,Results_list!$C$361,SSP5_Baseline!$D:$D,Results_list!$D368,SSP5_Baseline!$B:$B,2025))) / (SUMIFS(SSP5_Baseline!$E:$E,SSP5_Baseline!$C:$C,Results_list!$C$361,SSP5_Baseline!$D:$D,Results_list!$D368,SSP5_Baseline!$B:$B,2025))</f>
        <v>1.5889778157983008</v>
      </c>
      <c r="N368" s="16">
        <f>((SUMIFS(SSP5_VSI!$F:$F,SSP5_VSI!$C:$C,Results_list!$C$361,SSP5_VSI!$D:$D,Results_list!$D368,SSP5_VSI!$B:$B,2040)) - (SUMIFS(SSP5_VSI!$F:$F,SSP5_VSI!$C:$C,Results_list!$C$361,SSP5_VSI!$D:$D,Results_list!$D368,SSP5_VSI!$B:$B,2025))) / (SUMIFS(SSP5_VSI!$F:$F,SSP5_VSI!$C:$C,Results_list!$C$361,SSP5_VSI!$D:$D,Results_list!$D368,SSP5_VSI!$B:$B,2025))</f>
        <v>1.5889653633700946</v>
      </c>
      <c r="O368" s="13">
        <f t="shared" si="53"/>
        <v>0</v>
      </c>
    </row>
    <row r="369" spans="2:15" x14ac:dyDescent="0.35">
      <c r="B369" s="81"/>
      <c r="C369" s="87"/>
      <c r="D369" t="s">
        <v>47</v>
      </c>
      <c r="F369" s="3" t="s">
        <v>95</v>
      </c>
      <c r="G369" s="12">
        <f>((SUMIFS(SSP1_Baseline!$E:$E,SSP1_Baseline!$C:$C,Results_list!$C$361,SSP1_Baseline!$D:$D,Results_list!$D369,SSP1_Baseline!$B:$B,2040)) - (SUMIFS(SSP1_Baseline!$E:$E,SSP1_Baseline!$C:$C,Results_list!$C$361,SSP1_Baseline!$D:$D,Results_list!$D369,SSP1_Baseline!$B:$B,2025))) / (SUMIFS(SSP1_Baseline!$E:$E,SSP1_Baseline!$C:$C,Results_list!$C$361,SSP1_Baseline!$D:$D,Results_list!$D369,SSP1_Baseline!$B:$B,2025))</f>
        <v>-0.37688726438458059</v>
      </c>
      <c r="H369" s="16">
        <f>((SUMIFS(SSP1_VSI!$F:$F,SSP1_VSI!$C:$C,Results_list!$C$361,SSP1_VSI!$D:$D,Results_list!$D369,SSP1_VSI!$B:$B,2040)) - (SUMIFS(SSP1_VSI!$F:$F,SSP1_VSI!$C:$C,Results_list!$C$361,SSP1_VSI!$D:$D,Results_list!$D369,SSP1_VSI!$B:$B,2025))) / (SUMIFS(SSP1_VSI!$F:$F,SSP1_VSI!$C:$C,Results_list!$C$361,SSP1_VSI!$D:$D,Results_list!$D369,SSP1_VSI!$B:$B,2025))</f>
        <v>-0.37683970117559557</v>
      </c>
      <c r="I369" s="13">
        <f t="shared" si="51"/>
        <v>0</v>
      </c>
      <c r="J369" s="12">
        <f>((SUMIFS(SSP2_Baseline!$E:$E,SSP2_Baseline!$C:$C,Results_list!$C$361,SSP2_Baseline!$D:$D,Results_list!$D369,SSP2_Baseline!$B:$B,2040)) - (SUMIFS(SSP2_Baseline!$E:$E,SSP2_Baseline!$C:$C,Results_list!$C$361,SSP2_Baseline!$D:$D,Results_list!$D369,SSP2_Baseline!$B:$B,2025))) / (SUMIFS(SSP2_Baseline!$E:$E,SSP2_Baseline!$C:$C,Results_list!$C$361,SSP2_Baseline!$D:$D,Results_list!$D369,SSP2_Baseline!$B:$B,2025))</f>
        <v>-0.40183208700762751</v>
      </c>
      <c r="K369" s="16">
        <f>((SUMIFS(SSP2_VSI!$F:$F,SSP2_VSI!$C:$C,Results_list!$C$361,SSP2_VSI!$D:$D,Results_list!$D369,SSP2_VSI!$B:$B,2040)) - (SUMIFS(SSP2_VSI!$F:$F,SSP2_VSI!$C:$C,Results_list!$C$361,SSP2_VSI!$D:$D,Results_list!$D369,SSP2_VSI!$B:$B,2025))) / (SUMIFS(SSP2_VSI!$F:$F,SSP2_VSI!$C:$C,Results_list!$C$361,SSP2_VSI!$D:$D,Results_list!$D369,SSP2_VSI!$B:$B,2025))</f>
        <v>-0.40181188478023161</v>
      </c>
      <c r="L369" s="13">
        <f t="shared" si="52"/>
        <v>0</v>
      </c>
      <c r="M369" s="12">
        <f>((SUMIFS(SSP5_Baseline!$E:$E,SSP5_Baseline!$C:$C,Results_list!$C$361,SSP5_Baseline!$D:$D,Results_list!$D369,SSP5_Baseline!$B:$B,2040)) - (SUMIFS(SSP5_Baseline!$E:$E,SSP5_Baseline!$C:$C,Results_list!$C$361,SSP5_Baseline!$D:$D,Results_list!$D369,SSP5_Baseline!$B:$B,2025))) / (SUMIFS(SSP5_Baseline!$E:$E,SSP5_Baseline!$C:$C,Results_list!$C$361,SSP5_Baseline!$D:$D,Results_list!$D369,SSP5_Baseline!$B:$B,2025))</f>
        <v>-0.12561442418890997</v>
      </c>
      <c r="N369" s="16">
        <f>((SUMIFS(SSP5_VSI!$F:$F,SSP5_VSI!$C:$C,Results_list!$C$361,SSP5_VSI!$D:$D,Results_list!$D369,SSP5_VSI!$B:$B,2040)) - (SUMIFS(SSP5_VSI!$F:$F,SSP5_VSI!$C:$C,Results_list!$C$361,SSP5_VSI!$D:$D,Results_list!$D369,SSP5_VSI!$B:$B,2025))) / (SUMIFS(SSP5_VSI!$F:$F,SSP5_VSI!$C:$C,Results_list!$C$361,SSP5_VSI!$D:$D,Results_list!$D369,SSP5_VSI!$B:$B,2025))</f>
        <v>-0.12543457361173371</v>
      </c>
      <c r="O369" s="13">
        <f t="shared" si="53"/>
        <v>0</v>
      </c>
    </row>
    <row r="370" spans="2:15" x14ac:dyDescent="0.35">
      <c r="B370" s="81"/>
      <c r="C370" s="87"/>
      <c r="D370" t="s">
        <v>48</v>
      </c>
      <c r="F370" s="3" t="s">
        <v>96</v>
      </c>
      <c r="G370" s="12">
        <f>((SUMIFS(SSP1_Baseline!$E:$E,SSP1_Baseline!$C:$C,Results_list!$C$361,SSP1_Baseline!$D:$D,Results_list!$D370,SSP1_Baseline!$B:$B,2040)) - (SUMIFS(SSP1_Baseline!$E:$E,SSP1_Baseline!$C:$C,Results_list!$C$361,SSP1_Baseline!$D:$D,Results_list!$D370,SSP1_Baseline!$B:$B,2025))) / (SUMIFS(SSP1_Baseline!$E:$E,SSP1_Baseline!$C:$C,Results_list!$C$361,SSP1_Baseline!$D:$D,Results_list!$D370,SSP1_Baseline!$B:$B,2025))</f>
        <v>7.7864734876496988E-5</v>
      </c>
      <c r="H370" s="16">
        <f>((SUMIFS(SSP1_VSI!$F:$F,SSP1_VSI!$C:$C,Results_list!$C$361,SSP1_VSI!$D:$D,Results_list!$D370,SSP1_VSI!$B:$B,2040)) - (SUMIFS(SSP1_VSI!$F:$F,SSP1_VSI!$C:$C,Results_list!$C$361,SSP1_VSI!$D:$D,Results_list!$D370,SSP1_VSI!$B:$B,2025))) / (SUMIFS(SSP1_VSI!$F:$F,SSP1_VSI!$C:$C,Results_list!$C$361,SSP1_VSI!$D:$D,Results_list!$D370,SSP1_VSI!$B:$B,2025))</f>
        <v>7.7873417388016203E-5</v>
      </c>
      <c r="I370" s="13">
        <f t="shared" si="51"/>
        <v>0</v>
      </c>
      <c r="J370" s="12">
        <f>((SUMIFS(SSP2_Baseline!$E:$E,SSP2_Baseline!$C:$C,Results_list!$C$361,SSP2_Baseline!$D:$D,Results_list!$D370,SSP2_Baseline!$B:$B,2040)) - (SUMIFS(SSP2_Baseline!$E:$E,SSP2_Baseline!$C:$C,Results_list!$C$361,SSP2_Baseline!$D:$D,Results_list!$D370,SSP2_Baseline!$B:$B,2025))) / (SUMIFS(SSP2_Baseline!$E:$E,SSP2_Baseline!$C:$C,Results_list!$C$361,SSP2_Baseline!$D:$D,Results_list!$D370,SSP2_Baseline!$B:$B,2025))</f>
        <v>6.2349827321167678E-5</v>
      </c>
      <c r="K370" s="16">
        <f>((SUMIFS(SSP2_VSI!$F:$F,SSP2_VSI!$C:$C,Results_list!$C$361,SSP2_VSI!$D:$D,Results_list!$D370,SSP2_VSI!$B:$B,2040)) - (SUMIFS(SSP2_VSI!$F:$F,SSP2_VSI!$C:$C,Results_list!$C$361,SSP2_VSI!$D:$D,Results_list!$D370,SSP2_VSI!$B:$B,2025))) / (SUMIFS(SSP2_VSI!$F:$F,SSP2_VSI!$C:$C,Results_list!$C$361,SSP2_VSI!$D:$D,Results_list!$D370,SSP2_VSI!$B:$B,2025))</f>
        <v>6.2352353914006E-5</v>
      </c>
      <c r="L370" s="13">
        <f t="shared" si="52"/>
        <v>0</v>
      </c>
      <c r="M370" s="12">
        <f>((SUMIFS(SSP5_Baseline!$E:$E,SSP5_Baseline!$C:$C,Results_list!$C$361,SSP5_Baseline!$D:$D,Results_list!$D370,SSP5_Baseline!$B:$B,2040)) - (SUMIFS(SSP5_Baseline!$E:$E,SSP5_Baseline!$C:$C,Results_list!$C$361,SSP5_Baseline!$D:$D,Results_list!$D370,SSP5_Baseline!$B:$B,2025))) / (SUMIFS(SSP5_Baseline!$E:$E,SSP5_Baseline!$C:$C,Results_list!$C$361,SSP5_Baseline!$D:$D,Results_list!$D370,SSP5_Baseline!$B:$B,2025))</f>
        <v>6.8474267668428121E-5</v>
      </c>
      <c r="N370" s="16">
        <f>((SUMIFS(SSP5_VSI!$F:$F,SSP5_VSI!$C:$C,Results_list!$C$361,SSP5_VSI!$D:$D,Results_list!$D370,SSP5_VSI!$B:$B,2040)) - (SUMIFS(SSP5_VSI!$F:$F,SSP5_VSI!$C:$C,Results_list!$C$361,SSP5_VSI!$D:$D,Results_list!$D370,SSP5_VSI!$B:$B,2025))) / (SUMIFS(SSP5_VSI!$F:$F,SSP5_VSI!$C:$C,Results_list!$C$361,SSP5_VSI!$D:$D,Results_list!$D370,SSP5_VSI!$B:$B,2025))</f>
        <v>6.84886451784547E-5</v>
      </c>
      <c r="O370" s="13">
        <f t="shared" si="53"/>
        <v>0</v>
      </c>
    </row>
    <row r="371" spans="2:15" x14ac:dyDescent="0.35">
      <c r="B371" s="81"/>
      <c r="C371" s="87"/>
      <c r="D371" t="s">
        <v>49</v>
      </c>
      <c r="F371" s="3" t="s">
        <v>97</v>
      </c>
      <c r="G371" s="12">
        <f>((SUMIFS(SSP1_Baseline!$E:$E,SSP1_Baseline!$C:$C,Results_list!$C$361,SSP1_Baseline!$D:$D,Results_list!$D371,SSP1_Baseline!$B:$B,2040)) - (SUMIFS(SSP1_Baseline!$E:$E,SSP1_Baseline!$C:$C,Results_list!$C$361,SSP1_Baseline!$D:$D,Results_list!$D371,SSP1_Baseline!$B:$B,2025))) / (SUMIFS(SSP1_Baseline!$E:$E,SSP1_Baseline!$C:$C,Results_list!$C$361,SSP1_Baseline!$D:$D,Results_list!$D371,SSP1_Baseline!$B:$B,2025))</f>
        <v>-0.15951500946134409</v>
      </c>
      <c r="H371" s="16">
        <f>((SUMIFS(SSP1_VSI!$F:$F,SSP1_VSI!$C:$C,Results_list!$C$361,SSP1_VSI!$D:$D,Results_list!$D371,SSP1_VSI!$B:$B,2040)) - (SUMIFS(SSP1_VSI!$F:$F,SSP1_VSI!$C:$C,Results_list!$C$361,SSP1_VSI!$D:$D,Results_list!$D371,SSP1_VSI!$B:$B,2025))) / (SUMIFS(SSP1_VSI!$F:$F,SSP1_VSI!$C:$C,Results_list!$C$361,SSP1_VSI!$D:$D,Results_list!$D371,SSP1_VSI!$B:$B,2025))</f>
        <v>-0.15959139435556571</v>
      </c>
      <c r="I371" s="13">
        <f t="shared" si="51"/>
        <v>0</v>
      </c>
      <c r="J371" s="12">
        <f>((SUMIFS(SSP2_Baseline!$E:$E,SSP2_Baseline!$C:$C,Results_list!$C$361,SSP2_Baseline!$D:$D,Results_list!$D371,SSP2_Baseline!$B:$B,2040)) - (SUMIFS(SSP2_Baseline!$E:$E,SSP2_Baseline!$C:$C,Results_list!$C$361,SSP2_Baseline!$D:$D,Results_list!$D371,SSP2_Baseline!$B:$B,2025))) / (SUMIFS(SSP2_Baseline!$E:$E,SSP2_Baseline!$C:$C,Results_list!$C$361,SSP2_Baseline!$D:$D,Results_list!$D371,SSP2_Baseline!$B:$B,2025))</f>
        <v>-0.15281339229522206</v>
      </c>
      <c r="K371" s="16">
        <f>((SUMIFS(SSP2_VSI!$F:$F,SSP2_VSI!$C:$C,Results_list!$C$361,SSP2_VSI!$D:$D,Results_list!$D371,SSP2_VSI!$B:$B,2040)) - (SUMIFS(SSP2_VSI!$F:$F,SSP2_VSI!$C:$C,Results_list!$C$361,SSP2_VSI!$D:$D,Results_list!$D371,SSP2_VSI!$B:$B,2025))) / (SUMIFS(SSP2_VSI!$F:$F,SSP2_VSI!$C:$C,Results_list!$C$361,SSP2_VSI!$D:$D,Results_list!$D371,SSP2_VSI!$B:$B,2025))</f>
        <v>-0.15280876321382883</v>
      </c>
      <c r="L371" s="13">
        <f t="shared" si="52"/>
        <v>0</v>
      </c>
      <c r="M371" s="12">
        <f>((SUMIFS(SSP5_Baseline!$E:$E,SSP5_Baseline!$C:$C,Results_list!$C$361,SSP5_Baseline!$D:$D,Results_list!$D371,SSP5_Baseline!$B:$B,2040)) - (SUMIFS(SSP5_Baseline!$E:$E,SSP5_Baseline!$C:$C,Results_list!$C$361,SSP5_Baseline!$D:$D,Results_list!$D371,SSP5_Baseline!$B:$B,2025))) / (SUMIFS(SSP5_Baseline!$E:$E,SSP5_Baseline!$C:$C,Results_list!$C$361,SSP5_Baseline!$D:$D,Results_list!$D371,SSP5_Baseline!$B:$B,2025))</f>
        <v>-0.12526968698576069</v>
      </c>
      <c r="N371" s="16">
        <f>((SUMIFS(SSP5_VSI!$F:$F,SSP5_VSI!$C:$C,Results_list!$C$361,SSP5_VSI!$D:$D,Results_list!$D371,SSP5_VSI!$B:$B,2040)) - (SUMIFS(SSP5_VSI!$F:$F,SSP5_VSI!$C:$C,Results_list!$C$361,SSP5_VSI!$D:$D,Results_list!$D371,SSP5_VSI!$B:$B,2025))) / (SUMIFS(SSP5_VSI!$F:$F,SSP5_VSI!$C:$C,Results_list!$C$361,SSP5_VSI!$D:$D,Results_list!$D371,SSP5_VSI!$B:$B,2025))</f>
        <v>-0.12532749215155611</v>
      </c>
      <c r="O371" s="13">
        <f t="shared" si="53"/>
        <v>0</v>
      </c>
    </row>
    <row r="372" spans="2:15" x14ac:dyDescent="0.35">
      <c r="B372" s="81"/>
      <c r="C372" s="87"/>
      <c r="D372" t="s">
        <v>50</v>
      </c>
      <c r="F372" s="3" t="s">
        <v>98</v>
      </c>
      <c r="G372" s="12">
        <f>((SUMIFS(SSP1_Baseline!$E:$E,SSP1_Baseline!$C:$C,Results_list!$C$361,SSP1_Baseline!$D:$D,Results_list!$D372,SSP1_Baseline!$B:$B,2040)) - (SUMIFS(SSP1_Baseline!$E:$E,SSP1_Baseline!$C:$C,Results_list!$C$361,SSP1_Baseline!$D:$D,Results_list!$D372,SSP1_Baseline!$B:$B,2025))) / (SUMIFS(SSP1_Baseline!$E:$E,SSP1_Baseline!$C:$C,Results_list!$C$361,SSP1_Baseline!$D:$D,Results_list!$D372,SSP1_Baseline!$B:$B,2025))</f>
        <v>-0.24114437111394704</v>
      </c>
      <c r="H372" s="16">
        <f>((SUMIFS(SSP1_VSI!$F:$F,SSP1_VSI!$C:$C,Results_list!$C$361,SSP1_VSI!$D:$D,Results_list!$D372,SSP1_VSI!$B:$B,2040)) - (SUMIFS(SSP1_VSI!$F:$F,SSP1_VSI!$C:$C,Results_list!$C$361,SSP1_VSI!$D:$D,Results_list!$D372,SSP1_VSI!$B:$B,2025))) / (SUMIFS(SSP1_VSI!$F:$F,SSP1_VSI!$C:$C,Results_list!$C$361,SSP1_VSI!$D:$D,Results_list!$D372,SSP1_VSI!$B:$B,2025))</f>
        <v>-0.24115007095993754</v>
      </c>
      <c r="I372" s="13">
        <f t="shared" si="51"/>
        <v>0</v>
      </c>
      <c r="J372" s="12">
        <f>((SUMIFS(SSP2_Baseline!$E:$E,SSP2_Baseline!$C:$C,Results_list!$C$361,SSP2_Baseline!$D:$D,Results_list!$D372,SSP2_Baseline!$B:$B,2040)) - (SUMIFS(SSP2_Baseline!$E:$E,SSP2_Baseline!$C:$C,Results_list!$C$361,SSP2_Baseline!$D:$D,Results_list!$D372,SSP2_Baseline!$B:$B,2025))) / (SUMIFS(SSP2_Baseline!$E:$E,SSP2_Baseline!$C:$C,Results_list!$C$361,SSP2_Baseline!$D:$D,Results_list!$D372,SSP2_Baseline!$B:$B,2025))</f>
        <v>-3.9514505792817067E-2</v>
      </c>
      <c r="K372" s="16">
        <f>((SUMIFS(SSP2_VSI!$F:$F,SSP2_VSI!$C:$C,Results_list!$C$361,SSP2_VSI!$D:$D,Results_list!$D372,SSP2_VSI!$B:$B,2040)) - (SUMIFS(SSP2_VSI!$F:$F,SSP2_VSI!$C:$C,Results_list!$C$361,SSP2_VSI!$D:$D,Results_list!$D372,SSP2_VSI!$B:$B,2025))) / (SUMIFS(SSP2_VSI!$F:$F,SSP2_VSI!$C:$C,Results_list!$C$361,SSP2_VSI!$D:$D,Results_list!$D372,SSP2_VSI!$B:$B,2025))</f>
        <v>-3.9515902171545103E-2</v>
      </c>
      <c r="L372" s="13">
        <f t="shared" si="52"/>
        <v>0</v>
      </c>
      <c r="M372" s="12">
        <f>((SUMIFS(SSP5_Baseline!$E:$E,SSP5_Baseline!$C:$C,Results_list!$C$361,SSP5_Baseline!$D:$D,Results_list!$D372,SSP5_Baseline!$B:$B,2040)) - (SUMIFS(SSP5_Baseline!$E:$E,SSP5_Baseline!$C:$C,Results_list!$C$361,SSP5_Baseline!$D:$D,Results_list!$D372,SSP5_Baseline!$B:$B,2025))) / (SUMIFS(SSP5_Baseline!$E:$E,SSP5_Baseline!$C:$C,Results_list!$C$361,SSP5_Baseline!$D:$D,Results_list!$D372,SSP5_Baseline!$B:$B,2025))</f>
        <v>0.19076333583258789</v>
      </c>
      <c r="N372" s="16">
        <f>((SUMIFS(SSP5_VSI!$F:$F,SSP5_VSI!$C:$C,Results_list!$C$361,SSP5_VSI!$D:$D,Results_list!$D372,SSP5_VSI!$B:$B,2040)) - (SUMIFS(SSP5_VSI!$F:$F,SSP5_VSI!$C:$C,Results_list!$C$361,SSP5_VSI!$D:$D,Results_list!$D372,SSP5_VSI!$B:$B,2025))) / (SUMIFS(SSP5_VSI!$F:$F,SSP5_VSI!$C:$C,Results_list!$C$361,SSP5_VSI!$D:$D,Results_list!$D372,SSP5_VSI!$B:$B,2025))</f>
        <v>0.19077580806031932</v>
      </c>
      <c r="O372" s="13">
        <f t="shared" si="53"/>
        <v>0</v>
      </c>
    </row>
    <row r="373" spans="2:15" x14ac:dyDescent="0.35">
      <c r="B373" s="81"/>
      <c r="C373" s="87"/>
      <c r="D373" t="s">
        <v>51</v>
      </c>
      <c r="F373" s="3" t="s">
        <v>99</v>
      </c>
      <c r="G373" s="12">
        <f>((SUMIFS(SSP1_Baseline!$E:$E,SSP1_Baseline!$C:$C,Results_list!$C$361,SSP1_Baseline!$D:$D,Results_list!$D373,SSP1_Baseline!$B:$B,2040)) - (SUMIFS(SSP1_Baseline!$E:$E,SSP1_Baseline!$C:$C,Results_list!$C$361,SSP1_Baseline!$D:$D,Results_list!$D373,SSP1_Baseline!$B:$B,2025))) / (SUMIFS(SSP1_Baseline!$E:$E,SSP1_Baseline!$C:$C,Results_list!$C$361,SSP1_Baseline!$D:$D,Results_list!$D373,SSP1_Baseline!$B:$B,2025))</f>
        <v>6.8320870605760531E-2</v>
      </c>
      <c r="H373" s="16">
        <f>((SUMIFS(SSP1_VSI!$F:$F,SSP1_VSI!$C:$C,Results_list!$C$361,SSP1_VSI!$D:$D,Results_list!$D373,SSP1_VSI!$B:$B,2040)) - (SUMIFS(SSP1_VSI!$F:$F,SSP1_VSI!$C:$C,Results_list!$C$361,SSP1_VSI!$D:$D,Results_list!$D373,SSP1_VSI!$B:$B,2025))) / (SUMIFS(SSP1_VSI!$F:$F,SSP1_VSI!$C:$C,Results_list!$C$361,SSP1_VSI!$D:$D,Results_list!$D373,SSP1_VSI!$B:$B,2025))</f>
        <v>6.8313562057748065E-2</v>
      </c>
      <c r="I373" s="13">
        <f t="shared" si="51"/>
        <v>0</v>
      </c>
      <c r="J373" s="12">
        <f>((SUMIFS(SSP2_Baseline!$E:$E,SSP2_Baseline!$C:$C,Results_list!$C$361,SSP2_Baseline!$D:$D,Results_list!$D373,SSP2_Baseline!$B:$B,2040)) - (SUMIFS(SSP2_Baseline!$E:$E,SSP2_Baseline!$C:$C,Results_list!$C$361,SSP2_Baseline!$D:$D,Results_list!$D373,SSP2_Baseline!$B:$B,2025))) / (SUMIFS(SSP2_Baseline!$E:$E,SSP2_Baseline!$C:$C,Results_list!$C$361,SSP2_Baseline!$D:$D,Results_list!$D373,SSP2_Baseline!$B:$B,2025))</f>
        <v>6.1923345332926705E-2</v>
      </c>
      <c r="K373" s="16">
        <f>((SUMIFS(SSP2_VSI!$F:$F,SSP2_VSI!$C:$C,Results_list!$C$361,SSP2_VSI!$D:$D,Results_list!$D373,SSP2_VSI!$B:$B,2040)) - (SUMIFS(SSP2_VSI!$F:$F,SSP2_VSI!$C:$C,Results_list!$C$361,SSP2_VSI!$D:$D,Results_list!$D373,SSP2_VSI!$B:$B,2025))) / (SUMIFS(SSP2_VSI!$F:$F,SSP2_VSI!$C:$C,Results_list!$C$361,SSP2_VSI!$D:$D,Results_list!$D373,SSP2_VSI!$B:$B,2025))</f>
        <v>6.1873632234036982E-2</v>
      </c>
      <c r="L373" s="13">
        <f t="shared" si="52"/>
        <v>0</v>
      </c>
      <c r="M373" s="12">
        <f>((SUMIFS(SSP5_Baseline!$E:$E,SSP5_Baseline!$C:$C,Results_list!$C$361,SSP5_Baseline!$D:$D,Results_list!$D373,SSP5_Baseline!$B:$B,2040)) - (SUMIFS(SSP5_Baseline!$E:$E,SSP5_Baseline!$C:$C,Results_list!$C$361,SSP5_Baseline!$D:$D,Results_list!$D373,SSP5_Baseline!$B:$B,2025))) / (SUMIFS(SSP5_Baseline!$E:$E,SSP5_Baseline!$C:$C,Results_list!$C$361,SSP5_Baseline!$D:$D,Results_list!$D373,SSP5_Baseline!$B:$B,2025))</f>
        <v>-4.7575382924413137E-3</v>
      </c>
      <c r="N373" s="16">
        <f>((SUMIFS(SSP5_VSI!$F:$F,SSP5_VSI!$C:$C,Results_list!$C$361,SSP5_VSI!$D:$D,Results_list!$D373,SSP5_VSI!$B:$B,2040)) - (SUMIFS(SSP5_VSI!$F:$F,SSP5_VSI!$C:$C,Results_list!$C$361,SSP5_VSI!$D:$D,Results_list!$D373,SSP5_VSI!$B:$B,2025))) / (SUMIFS(SSP5_VSI!$F:$F,SSP5_VSI!$C:$C,Results_list!$C$361,SSP5_VSI!$D:$D,Results_list!$D373,SSP5_VSI!$B:$B,2025))</f>
        <v>-4.7384765864737196E-3</v>
      </c>
      <c r="O373" s="13">
        <f t="shared" si="53"/>
        <v>0</v>
      </c>
    </row>
    <row r="374" spans="2:15" x14ac:dyDescent="0.35">
      <c r="B374" s="81"/>
      <c r="C374" s="87"/>
      <c r="D374" t="s">
        <v>52</v>
      </c>
      <c r="F374" s="3" t="s">
        <v>100</v>
      </c>
      <c r="G374" s="12">
        <f>((SUMIFS(SSP1_Baseline!$E:$E,SSP1_Baseline!$C:$C,Results_list!$C$361,SSP1_Baseline!$D:$D,Results_list!$D374,SSP1_Baseline!$B:$B,2040)) - (SUMIFS(SSP1_Baseline!$E:$E,SSP1_Baseline!$C:$C,Results_list!$C$361,SSP1_Baseline!$D:$D,Results_list!$D374,SSP1_Baseline!$B:$B,2025))) / (SUMIFS(SSP1_Baseline!$E:$E,SSP1_Baseline!$C:$C,Results_list!$C$361,SSP1_Baseline!$D:$D,Results_list!$D374,SSP1_Baseline!$B:$B,2025))</f>
        <v>-0.53462441183251908</v>
      </c>
      <c r="H374" s="16">
        <f>((SUMIFS(SSP1_VSI!$F:$F,SSP1_VSI!$C:$C,Results_list!$C$361,SSP1_VSI!$D:$D,Results_list!$D374,SSP1_VSI!$B:$B,2040)) - (SUMIFS(SSP1_VSI!$F:$F,SSP1_VSI!$C:$C,Results_list!$C$361,SSP1_VSI!$D:$D,Results_list!$D374,SSP1_VSI!$B:$B,2025))) / (SUMIFS(SSP1_VSI!$F:$F,SSP1_VSI!$C:$C,Results_list!$C$361,SSP1_VSI!$D:$D,Results_list!$D374,SSP1_VSI!$B:$B,2025))</f>
        <v>-0.53461664575850898</v>
      </c>
      <c r="I374" s="13">
        <f t="shared" si="51"/>
        <v>0</v>
      </c>
      <c r="J374" s="12">
        <f>((SUMIFS(SSP2_Baseline!$E:$E,SSP2_Baseline!$C:$C,Results_list!$C$361,SSP2_Baseline!$D:$D,Results_list!$D374,SSP2_Baseline!$B:$B,2040)) - (SUMIFS(SSP2_Baseline!$E:$E,SSP2_Baseline!$C:$C,Results_list!$C$361,SSP2_Baseline!$D:$D,Results_list!$D374,SSP2_Baseline!$B:$B,2025))) / (SUMIFS(SSP2_Baseline!$E:$E,SSP2_Baseline!$C:$C,Results_list!$C$361,SSP2_Baseline!$D:$D,Results_list!$D374,SSP2_Baseline!$B:$B,2025))</f>
        <v>-0.54687829302566338</v>
      </c>
      <c r="K374" s="16">
        <f>((SUMIFS(SSP2_VSI!$F:$F,SSP2_VSI!$C:$C,Results_list!$C$361,SSP2_VSI!$D:$D,Results_list!$D374,SSP2_VSI!$B:$B,2040)) - (SUMIFS(SSP2_VSI!$F:$F,SSP2_VSI!$C:$C,Results_list!$C$361,SSP2_VSI!$D:$D,Results_list!$D374,SSP2_VSI!$B:$B,2025))) / (SUMIFS(SSP2_VSI!$F:$F,SSP2_VSI!$C:$C,Results_list!$C$361,SSP2_VSI!$D:$D,Results_list!$D374,SSP2_VSI!$B:$B,2025))</f>
        <v>-0.54685572753807399</v>
      </c>
      <c r="L374" s="13">
        <f t="shared" si="52"/>
        <v>0</v>
      </c>
      <c r="M374" s="12">
        <f>((SUMIFS(SSP5_Baseline!$E:$E,SSP5_Baseline!$C:$C,Results_list!$C$361,SSP5_Baseline!$D:$D,Results_list!$D374,SSP5_Baseline!$B:$B,2040)) - (SUMIFS(SSP5_Baseline!$E:$E,SSP5_Baseline!$C:$C,Results_list!$C$361,SSP5_Baseline!$D:$D,Results_list!$D374,SSP5_Baseline!$B:$B,2025))) / (SUMIFS(SSP5_Baseline!$E:$E,SSP5_Baseline!$C:$C,Results_list!$C$361,SSP5_Baseline!$D:$D,Results_list!$D374,SSP5_Baseline!$B:$B,2025))</f>
        <v>-0.5111063810071993</v>
      </c>
      <c r="N374" s="16">
        <f>((SUMIFS(SSP5_VSI!$F:$F,SSP5_VSI!$C:$C,Results_list!$C$361,SSP5_VSI!$D:$D,Results_list!$D374,SSP5_VSI!$B:$B,2040)) - (SUMIFS(SSP5_VSI!$F:$F,SSP5_VSI!$C:$C,Results_list!$C$361,SSP5_VSI!$D:$D,Results_list!$D374,SSP5_VSI!$B:$B,2025))) / (SUMIFS(SSP5_VSI!$F:$F,SSP5_VSI!$C:$C,Results_list!$C$361,SSP5_VSI!$D:$D,Results_list!$D374,SSP5_VSI!$B:$B,2025))</f>
        <v>-0.51108721742075147</v>
      </c>
      <c r="O374" s="13">
        <f t="shared" si="53"/>
        <v>0</v>
      </c>
    </row>
    <row r="375" spans="2:15" x14ac:dyDescent="0.35">
      <c r="B375" s="81"/>
      <c r="C375" s="87"/>
      <c r="D375" t="s">
        <v>53</v>
      </c>
      <c r="F375" s="3" t="s">
        <v>101</v>
      </c>
      <c r="G375" s="12">
        <f>((SUMIFS(SSP1_Baseline!$E:$E,SSP1_Baseline!$C:$C,Results_list!$C$361,SSP1_Baseline!$D:$D,Results_list!$D375,SSP1_Baseline!$B:$B,2040)) - (SUMIFS(SSP1_Baseline!$E:$E,SSP1_Baseline!$C:$C,Results_list!$C$361,SSP1_Baseline!$D:$D,Results_list!$D375,SSP1_Baseline!$B:$B,2025))) / (SUMIFS(SSP1_Baseline!$E:$E,SSP1_Baseline!$C:$C,Results_list!$C$361,SSP1_Baseline!$D:$D,Results_list!$D375,SSP1_Baseline!$B:$B,2025))</f>
        <v>-0.29647713107561291</v>
      </c>
      <c r="H375" s="16">
        <f>((SUMIFS(SSP1_VSI!$F:$F,SSP1_VSI!$C:$C,Results_list!$C$361,SSP1_VSI!$D:$D,Results_list!$D375,SSP1_VSI!$B:$B,2040)) - (SUMIFS(SSP1_VSI!$F:$F,SSP1_VSI!$C:$C,Results_list!$C$361,SSP1_VSI!$D:$D,Results_list!$D375,SSP1_VSI!$B:$B,2025))) / (SUMIFS(SSP1_VSI!$F:$F,SSP1_VSI!$C:$C,Results_list!$C$361,SSP1_VSI!$D:$D,Results_list!$D375,SSP1_VSI!$B:$B,2025))</f>
        <v>-0.29653291923634428</v>
      </c>
      <c r="I375" s="13">
        <f t="shared" si="51"/>
        <v>0</v>
      </c>
      <c r="J375" s="12">
        <f>((SUMIFS(SSP2_Baseline!$E:$E,SSP2_Baseline!$C:$C,Results_list!$C$361,SSP2_Baseline!$D:$D,Results_list!$D375,SSP2_Baseline!$B:$B,2040)) - (SUMIFS(SSP2_Baseline!$E:$E,SSP2_Baseline!$C:$C,Results_list!$C$361,SSP2_Baseline!$D:$D,Results_list!$D375,SSP2_Baseline!$B:$B,2025))) / (SUMIFS(SSP2_Baseline!$E:$E,SSP2_Baseline!$C:$C,Results_list!$C$361,SSP2_Baseline!$D:$D,Results_list!$D375,SSP2_Baseline!$B:$B,2025))</f>
        <v>-0.29231841532990122</v>
      </c>
      <c r="K375" s="16">
        <f>((SUMIFS(SSP2_VSI!$F:$F,SSP2_VSI!$C:$C,Results_list!$C$361,SSP2_VSI!$D:$D,Results_list!$D375,SSP2_VSI!$B:$B,2040)) - (SUMIFS(SSP2_VSI!$F:$F,SSP2_VSI!$C:$C,Results_list!$C$361,SSP2_VSI!$D:$D,Results_list!$D375,SSP2_VSI!$B:$B,2025))) / (SUMIFS(SSP2_VSI!$F:$F,SSP2_VSI!$C:$C,Results_list!$C$361,SSP2_VSI!$D:$D,Results_list!$D375,SSP2_VSI!$B:$B,2025))</f>
        <v>-0.29231970408750502</v>
      </c>
      <c r="L375" s="13">
        <f t="shared" si="52"/>
        <v>0</v>
      </c>
      <c r="M375" s="12">
        <f>((SUMIFS(SSP5_Baseline!$E:$E,SSP5_Baseline!$C:$C,Results_list!$C$361,SSP5_Baseline!$D:$D,Results_list!$D375,SSP5_Baseline!$B:$B,2040)) - (SUMIFS(SSP5_Baseline!$E:$E,SSP5_Baseline!$C:$C,Results_list!$C$361,SSP5_Baseline!$D:$D,Results_list!$D375,SSP5_Baseline!$B:$B,2025))) / (SUMIFS(SSP5_Baseline!$E:$E,SSP5_Baseline!$C:$C,Results_list!$C$361,SSP5_Baseline!$D:$D,Results_list!$D375,SSP5_Baseline!$B:$B,2025))</f>
        <v>9.7409446403383448E-2</v>
      </c>
      <c r="N375" s="16">
        <f>((SUMIFS(SSP5_VSI!$F:$F,SSP5_VSI!$C:$C,Results_list!$C$361,SSP5_VSI!$D:$D,Results_list!$D375,SSP5_VSI!$B:$B,2040)) - (SUMIFS(SSP5_VSI!$F:$F,SSP5_VSI!$C:$C,Results_list!$C$361,SSP5_VSI!$D:$D,Results_list!$D375,SSP5_VSI!$B:$B,2025))) / (SUMIFS(SSP5_VSI!$F:$F,SSP5_VSI!$C:$C,Results_list!$C$361,SSP5_VSI!$D:$D,Results_list!$D375,SSP5_VSI!$B:$B,2025))</f>
        <v>9.743431841453655E-2</v>
      </c>
      <c r="O375" s="13">
        <f t="shared" si="53"/>
        <v>0</v>
      </c>
    </row>
    <row r="376" spans="2:15" x14ac:dyDescent="0.35">
      <c r="B376" s="81"/>
      <c r="C376" s="87"/>
      <c r="D376" t="s">
        <v>54</v>
      </c>
      <c r="F376" s="3" t="s">
        <v>102</v>
      </c>
      <c r="G376" s="12">
        <f>((SUMIFS(SSP1_Baseline!$E:$E,SSP1_Baseline!$C:$C,Results_list!$C$361,SSP1_Baseline!$D:$D,Results_list!$D376,SSP1_Baseline!$B:$B,2040)) - (SUMIFS(SSP1_Baseline!$E:$E,SSP1_Baseline!$C:$C,Results_list!$C$361,SSP1_Baseline!$D:$D,Results_list!$D376,SSP1_Baseline!$B:$B,2025))) / (SUMIFS(SSP1_Baseline!$E:$E,SSP1_Baseline!$C:$C,Results_list!$C$361,SSP1_Baseline!$D:$D,Results_list!$D376,SSP1_Baseline!$B:$B,2025))</f>
        <v>2.8790118559467565E-3</v>
      </c>
      <c r="H376" s="16">
        <f>((SUMIFS(SSP1_VSI!$F:$F,SSP1_VSI!$C:$C,Results_list!$C$361,SSP1_VSI!$D:$D,Results_list!$D376,SSP1_VSI!$B:$B,2040)) - (SUMIFS(SSP1_VSI!$F:$F,SSP1_VSI!$C:$C,Results_list!$C$361,SSP1_VSI!$D:$D,Results_list!$D376,SSP1_VSI!$B:$B,2025))) / (SUMIFS(SSP1_VSI!$F:$F,SSP1_VSI!$C:$C,Results_list!$C$361,SSP1_VSI!$D:$D,Results_list!$D376,SSP1_VSI!$B:$B,2025))</f>
        <v>-4.8657691710907211E-2</v>
      </c>
      <c r="I376" s="13">
        <f t="shared" si="51"/>
        <v>-5.1999999999999998E-2</v>
      </c>
      <c r="J376" s="12">
        <f>((SUMIFS(SSP2_Baseline!$E:$E,SSP2_Baseline!$C:$C,Results_list!$C$361,SSP2_Baseline!$D:$D,Results_list!$D376,SSP2_Baseline!$B:$B,2040)) - (SUMIFS(SSP2_Baseline!$E:$E,SSP2_Baseline!$C:$C,Results_list!$C$361,SSP2_Baseline!$D:$D,Results_list!$D376,SSP2_Baseline!$B:$B,2025))) / (SUMIFS(SSP2_Baseline!$E:$E,SSP2_Baseline!$C:$C,Results_list!$C$361,SSP2_Baseline!$D:$D,Results_list!$D376,SSP2_Baseline!$B:$B,2025))</f>
        <v>5.4718784731419574E-3</v>
      </c>
      <c r="K376" s="16">
        <f>((SUMIFS(SSP2_VSI!$F:$F,SSP2_VSI!$C:$C,Results_list!$C$361,SSP2_VSI!$D:$D,Results_list!$D376,SSP2_VSI!$B:$B,2040)) - (SUMIFS(SSP2_VSI!$F:$F,SSP2_VSI!$C:$C,Results_list!$C$361,SSP2_VSI!$D:$D,Results_list!$D376,SSP2_VSI!$B:$B,2025))) / (SUMIFS(SSP2_VSI!$F:$F,SSP2_VSI!$C:$C,Results_list!$C$361,SSP2_VSI!$D:$D,Results_list!$D376,SSP2_VSI!$B:$B,2025))</f>
        <v>-4.6254495961893523E-2</v>
      </c>
      <c r="L376" s="13">
        <f t="shared" si="52"/>
        <v>-0.05</v>
      </c>
      <c r="M376" s="12">
        <f>((SUMIFS(SSP5_Baseline!$E:$E,SSP5_Baseline!$C:$C,Results_list!$C$361,SSP5_Baseline!$D:$D,Results_list!$D376,SSP5_Baseline!$B:$B,2040)) - (SUMIFS(SSP5_Baseline!$E:$E,SSP5_Baseline!$C:$C,Results_list!$C$361,SSP5_Baseline!$D:$D,Results_list!$D376,SSP5_Baseline!$B:$B,2025))) / (SUMIFS(SSP5_Baseline!$E:$E,SSP5_Baseline!$C:$C,Results_list!$C$361,SSP5_Baseline!$D:$D,Results_list!$D376,SSP5_Baseline!$B:$B,2025))</f>
        <v>9.4991782266154751E-3</v>
      </c>
      <c r="N376" s="16">
        <f>((SUMIFS(SSP5_VSI!$F:$F,SSP5_VSI!$C:$C,Results_list!$C$361,SSP5_VSI!$D:$D,Results_list!$D376,SSP5_VSI!$B:$B,2040)) - (SUMIFS(SSP5_VSI!$F:$F,SSP5_VSI!$C:$C,Results_list!$C$361,SSP5_VSI!$D:$D,Results_list!$D376,SSP5_VSI!$B:$B,2025))) / (SUMIFS(SSP5_VSI!$F:$F,SSP5_VSI!$C:$C,Results_list!$C$361,SSP5_VSI!$D:$D,Results_list!$D376,SSP5_VSI!$B:$B,2025))</f>
        <v>-4.2270306197787079E-2</v>
      </c>
      <c r="O376" s="13">
        <f t="shared" si="53"/>
        <v>-0.05</v>
      </c>
    </row>
    <row r="377" spans="2:15" x14ac:dyDescent="0.35">
      <c r="B377" s="81"/>
      <c r="C377" s="87"/>
      <c r="D377" t="s">
        <v>55</v>
      </c>
      <c r="F377" s="3" t="s">
        <v>103</v>
      </c>
      <c r="G377" s="12">
        <f>((SUMIFS(SSP1_Baseline!$E:$E,SSP1_Baseline!$C:$C,Results_list!$C$361,SSP1_Baseline!$D:$D,Results_list!$D377,SSP1_Baseline!$B:$B,2040)) - (SUMIFS(SSP1_Baseline!$E:$E,SSP1_Baseline!$C:$C,Results_list!$C$361,SSP1_Baseline!$D:$D,Results_list!$D377,SSP1_Baseline!$B:$B,2025))) / (SUMIFS(SSP1_Baseline!$E:$E,SSP1_Baseline!$C:$C,Results_list!$C$361,SSP1_Baseline!$D:$D,Results_list!$D377,SSP1_Baseline!$B:$B,2025))</f>
        <v>-4.7461571247464076E-4</v>
      </c>
      <c r="H377" s="16">
        <f>((SUMIFS(SSP1_VSI!$F:$F,SSP1_VSI!$C:$C,Results_list!$C$361,SSP1_VSI!$D:$D,Results_list!$D377,SSP1_VSI!$B:$B,2040)) - (SUMIFS(SSP1_VSI!$F:$F,SSP1_VSI!$C:$C,Results_list!$C$361,SSP1_VSI!$D:$D,Results_list!$D377,SSP1_VSI!$B:$B,2025))) / (SUMIFS(SSP1_VSI!$F:$F,SSP1_VSI!$C:$C,Results_list!$C$361,SSP1_VSI!$D:$D,Results_list!$D377,SSP1_VSI!$B:$B,2025))</f>
        <v>-7.775468426186162E-2</v>
      </c>
      <c r="I377" s="13">
        <f t="shared" si="51"/>
        <v>-7.6999999999999999E-2</v>
      </c>
      <c r="J377" s="12">
        <f>((SUMIFS(SSP2_Baseline!$E:$E,SSP2_Baseline!$C:$C,Results_list!$C$361,SSP2_Baseline!$D:$D,Results_list!$D377,SSP2_Baseline!$B:$B,2040)) - (SUMIFS(SSP2_Baseline!$E:$E,SSP2_Baseline!$C:$C,Results_list!$C$361,SSP2_Baseline!$D:$D,Results_list!$D377,SSP2_Baseline!$B:$B,2025))) / (SUMIFS(SSP2_Baseline!$E:$E,SSP2_Baseline!$C:$C,Results_list!$C$361,SSP2_Baseline!$D:$D,Results_list!$D377,SSP2_Baseline!$B:$B,2025))</f>
        <v>2.9006067221260917E-4</v>
      </c>
      <c r="K377" s="16">
        <f>((SUMIFS(SSP2_VSI!$F:$F,SSP2_VSI!$C:$C,Results_list!$C$361,SSP2_VSI!$D:$D,Results_list!$D377,SSP2_VSI!$B:$B,2040)) - (SUMIFS(SSP2_VSI!$F:$F,SSP2_VSI!$C:$C,Results_list!$C$361,SSP2_VSI!$D:$D,Results_list!$D377,SSP2_VSI!$B:$B,2025))) / (SUMIFS(SSP2_VSI!$F:$F,SSP2_VSI!$C:$C,Results_list!$C$361,SSP2_VSI!$D:$D,Results_list!$D377,SSP2_VSI!$B:$B,2025))</f>
        <v>-7.7104638935279496E-2</v>
      </c>
      <c r="L377" s="13">
        <f t="shared" si="52"/>
        <v>-0.08</v>
      </c>
      <c r="M377" s="12">
        <f>((SUMIFS(SSP5_Baseline!$E:$E,SSP5_Baseline!$C:$C,Results_list!$C$361,SSP5_Baseline!$D:$D,Results_list!$D377,SSP5_Baseline!$B:$B,2040)) - (SUMIFS(SSP5_Baseline!$E:$E,SSP5_Baseline!$C:$C,Results_list!$C$361,SSP5_Baseline!$D:$D,Results_list!$D377,SSP5_Baseline!$B:$B,2025))) / (SUMIFS(SSP5_Baseline!$E:$E,SSP5_Baseline!$C:$C,Results_list!$C$361,SSP5_Baseline!$D:$D,Results_list!$D377,SSP5_Baseline!$B:$B,2025))</f>
        <v>3.5866470378264886E-3</v>
      </c>
      <c r="N377" s="16">
        <f>((SUMIFS(SSP5_VSI!$F:$F,SSP5_VSI!$C:$C,Results_list!$C$361,SSP5_VSI!$D:$D,Results_list!$D377,SSP5_VSI!$B:$B,2040)) - (SUMIFS(SSP5_VSI!$F:$F,SSP5_VSI!$C:$C,Results_list!$C$361,SSP5_VSI!$D:$D,Results_list!$D377,SSP5_VSI!$B:$B,2025))) / (SUMIFS(SSP5_VSI!$F:$F,SSP5_VSI!$C:$C,Results_list!$C$361,SSP5_VSI!$D:$D,Results_list!$D377,SSP5_VSI!$B:$B,2025))</f>
        <v>-7.3871370765530575E-2</v>
      </c>
      <c r="O377" s="13">
        <f t="shared" si="53"/>
        <v>-0.08</v>
      </c>
    </row>
    <row r="378" spans="2:15" x14ac:dyDescent="0.35">
      <c r="B378" s="82"/>
      <c r="C378" s="88"/>
      <c r="D378" s="20" t="s">
        <v>56</v>
      </c>
      <c r="E378" s="20"/>
      <c r="F378" s="9" t="s">
        <v>104</v>
      </c>
      <c r="G378" s="14">
        <f>((SUMIFS(SSP1_Baseline!$E:$E,SSP1_Baseline!$C:$C,Results_list!$C$361,SSP1_Baseline!$D:$D,Results_list!$D378,SSP1_Baseline!$B:$B,2040)) - (SUMIFS(SSP1_Baseline!$E:$E,SSP1_Baseline!$C:$C,Results_list!$C$361,SSP1_Baseline!$D:$D,Results_list!$D378,SSP1_Baseline!$B:$B,2025))) / (SUMIFS(SSP1_Baseline!$E:$E,SSP1_Baseline!$C:$C,Results_list!$C$361,SSP1_Baseline!$D:$D,Results_list!$D378,SSP1_Baseline!$B:$B,2025))</f>
        <v>-0.23119314437710625</v>
      </c>
      <c r="H378" s="17">
        <f>((SUMIFS(SSP1_VSI!$F:$F,SSP1_VSI!$C:$C,Results_list!$C$361,SSP1_VSI!$D:$D,Results_list!$D378,SSP1_VSI!$B:$B,2040)) - (SUMIFS(SSP1_VSI!$F:$F,SSP1_VSI!$C:$C,Results_list!$C$361,SSP1_VSI!$D:$D,Results_list!$D378,SSP1_VSI!$B:$B,2025))) / (SUMIFS(SSP1_VSI!$F:$F,SSP1_VSI!$C:$C,Results_list!$C$361,SSP1_VSI!$D:$D,Results_list!$D378,SSP1_VSI!$B:$B,2025))</f>
        <v>-0.23121189527308639</v>
      </c>
      <c r="I378" s="15">
        <f t="shared" si="51"/>
        <v>0</v>
      </c>
      <c r="J378" s="14">
        <f>((SUMIFS(SSP2_Baseline!$E:$E,SSP2_Baseline!$C:$C,Results_list!$C$361,SSP2_Baseline!$D:$D,Results_list!$D378,SSP2_Baseline!$B:$B,2040)) - (SUMIFS(SSP2_Baseline!$E:$E,SSP2_Baseline!$C:$C,Results_list!$C$361,SSP2_Baseline!$D:$D,Results_list!$D378,SSP2_Baseline!$B:$B,2025))) / (SUMIFS(SSP2_Baseline!$E:$E,SSP2_Baseline!$C:$C,Results_list!$C$361,SSP2_Baseline!$D:$D,Results_list!$D378,SSP2_Baseline!$B:$B,2025))</f>
        <v>-0.2420494007634689</v>
      </c>
      <c r="K378" s="17">
        <f>((SUMIFS(SSP2_VSI!$F:$F,SSP2_VSI!$C:$C,Results_list!$C$361,SSP2_VSI!$D:$D,Results_list!$D378,SSP2_VSI!$B:$B,2040)) - (SUMIFS(SSP2_VSI!$F:$F,SSP2_VSI!$C:$C,Results_list!$C$361,SSP2_VSI!$D:$D,Results_list!$D378,SSP2_VSI!$B:$B,2025))) / (SUMIFS(SSP2_VSI!$F:$F,SSP2_VSI!$C:$C,Results_list!$C$361,SSP2_VSI!$D:$D,Results_list!$D378,SSP2_VSI!$B:$B,2025))</f>
        <v>-0.242071910517206</v>
      </c>
      <c r="L378" s="15">
        <f t="shared" si="52"/>
        <v>0</v>
      </c>
      <c r="M378" s="14">
        <f>((SUMIFS(SSP5_Baseline!$E:$E,SSP5_Baseline!$C:$C,Results_list!$C$361,SSP5_Baseline!$D:$D,Results_list!$D378,SSP5_Baseline!$B:$B,2040)) - (SUMIFS(SSP5_Baseline!$E:$E,SSP5_Baseline!$C:$C,Results_list!$C$361,SSP5_Baseline!$D:$D,Results_list!$D378,SSP5_Baseline!$B:$B,2025))) / (SUMIFS(SSP5_Baseline!$E:$E,SSP5_Baseline!$C:$C,Results_list!$C$361,SSP5_Baseline!$D:$D,Results_list!$D378,SSP5_Baseline!$B:$B,2025))</f>
        <v>1.9784326194770933E-2</v>
      </c>
      <c r="N378" s="17">
        <f>((SUMIFS(SSP5_VSI!$F:$F,SSP5_VSI!$C:$C,Results_list!$C$361,SSP5_VSI!$D:$D,Results_list!$D378,SSP5_VSI!$B:$B,2040)) - (SUMIFS(SSP5_VSI!$F:$F,SSP5_VSI!$C:$C,Results_list!$C$361,SSP5_VSI!$D:$D,Results_list!$D378,SSP5_VSI!$B:$B,2025))) / (SUMIFS(SSP5_VSI!$F:$F,SSP5_VSI!$C:$C,Results_list!$C$361,SSP5_VSI!$D:$D,Results_list!$D378,SSP5_VSI!$B:$B,2025))</f>
        <v>1.9802547298469524E-2</v>
      </c>
      <c r="O378" s="15">
        <f t="shared" si="53"/>
        <v>0</v>
      </c>
    </row>
    <row r="380" spans="2:15" ht="19" customHeight="1" x14ac:dyDescent="0.35">
      <c r="F380" s="2"/>
      <c r="G380" s="78" t="s">
        <v>3</v>
      </c>
      <c r="H380" s="79"/>
      <c r="I380" s="79"/>
      <c r="J380" s="79"/>
      <c r="K380" s="79"/>
      <c r="L380" s="79"/>
      <c r="M380" s="79"/>
      <c r="N380" s="79"/>
      <c r="O380" s="80"/>
    </row>
    <row r="381" spans="2:15" ht="29" x14ac:dyDescent="0.35">
      <c r="B381" s="8" t="s">
        <v>30</v>
      </c>
      <c r="C381" s="8" t="s">
        <v>30</v>
      </c>
      <c r="D381" s="6" t="s">
        <v>106</v>
      </c>
      <c r="E381" s="27"/>
      <c r="F381" s="7" t="s">
        <v>105</v>
      </c>
      <c r="G381" s="10" t="s">
        <v>0</v>
      </c>
      <c r="H381" s="11" t="s">
        <v>108</v>
      </c>
      <c r="I381" s="18" t="s">
        <v>107</v>
      </c>
      <c r="J381" s="10" t="s">
        <v>1</v>
      </c>
      <c r="K381" s="11" t="s">
        <v>109</v>
      </c>
      <c r="L381" s="18" t="s">
        <v>107</v>
      </c>
      <c r="M381" s="10" t="s">
        <v>2</v>
      </c>
      <c r="N381" s="11" t="s">
        <v>110</v>
      </c>
      <c r="O381" s="18" t="s">
        <v>107</v>
      </c>
    </row>
    <row r="382" spans="2:15" ht="14.5" customHeight="1" x14ac:dyDescent="0.35">
      <c r="B382" s="81" t="s">
        <v>134</v>
      </c>
      <c r="C382" s="87" t="s">
        <v>85</v>
      </c>
      <c r="D382" t="s">
        <v>38</v>
      </c>
      <c r="F382" s="3" t="s">
        <v>87</v>
      </c>
      <c r="G382" s="12">
        <f>((SUMIFS(SSP1_Baseline!$E:$E,SSP1_Baseline!$C:$C,Results_list!$C$382,SSP1_Baseline!$D:$D,Results_list!$D382,SSP1_Baseline!$B:$B,2040)) - (SUMIFS(SSP1_Baseline!$E:$E,SSP1_Baseline!$C:$C,Results_list!$C$382,SSP1_Baseline!$D:$D,Results_list!$D382,SSP1_Baseline!$B:$B,2025))) / (SUMIFS(SSP1_Baseline!$E:$E,SSP1_Baseline!$C:$C,Results_list!$C$382,SSP1_Baseline!$D:$D,Results_list!$D382,SSP1_Baseline!$B:$B,2025))</f>
        <v>-0.14167372880678325</v>
      </c>
      <c r="H382" s="16">
        <f>((SUMIFS(SSP1_VSI!$F:$F,SSP1_VSI!$C:$C,Results_list!$C$382,SSP1_VSI!$D:$D,Results_list!$D382,SSP1_VSI!$B:$B,2040)) - (SUMIFS(SSP1_VSI!$F:$F,SSP1_VSI!$C:$C,Results_list!$C$382,SSP1_VSI!$D:$D,Results_list!$D382,SSP1_VSI!$B:$B,2025))) / (SUMIFS(SSP1_VSI!$F:$F,SSP1_VSI!$C:$C,Results_list!$C$382,SSP1_VSI!$D:$D,Results_list!$D382,SSP1_VSI!$B:$B,2025))</f>
        <v>-0.14166047784162109</v>
      </c>
      <c r="I382" s="19">
        <f>ROUND(H382-G382,3)</f>
        <v>0</v>
      </c>
      <c r="J382" s="12">
        <f>((SUMIFS(SSP2_Baseline!$E:$E,SSP2_Baseline!$C:$C,Results_list!$C$382,SSP2_Baseline!$D:$D,Results_list!$D382,SSP2_Baseline!$B:$B,2040)) - (SUMIFS(SSP2_Baseline!$E:$E,SSP2_Baseline!$C:$C,Results_list!$C$382,SSP2_Baseline!$D:$D,Results_list!$D382,SSP2_Baseline!$B:$B,2025))) / (SUMIFS(SSP2_Baseline!$E:$E,SSP2_Baseline!$C:$C,Results_list!$C$382,SSP2_Baseline!$D:$D,Results_list!$D382,SSP2_Baseline!$B:$B,2025))</f>
        <v>0.72242675522709932</v>
      </c>
      <c r="K382" s="16">
        <f>((SUMIFS(SSP2_VSI!$F:$F,SSP2_VSI!$C:$C,Results_list!$C$382,SSP2_VSI!$D:$D,Results_list!$D382,SSP2_VSI!$B:$B,2040)) - (SUMIFS(SSP2_VSI!$F:$F,SSP2_VSI!$C:$C,Results_list!$C$382,SSP2_VSI!$D:$D,Results_list!$D382,SSP2_VSI!$B:$B,2025))) / (SUMIFS(SSP2_VSI!$F:$F,SSP2_VSI!$C:$C,Results_list!$C$382,SSP2_VSI!$D:$D,Results_list!$D382,SSP2_VSI!$B:$B,2025))</f>
        <v>0.72226382418404733</v>
      </c>
      <c r="L382" s="19">
        <f>ROUND(K382-J382,2)</f>
        <v>0</v>
      </c>
      <c r="M382" s="12">
        <f>((SUMIFS(SSP5_Baseline!$E:$E,SSP5_Baseline!$C:$C,Results_list!$C$382,SSP5_Baseline!$D:$D,Results_list!$D382,SSP5_Baseline!$B:$B,2040)) - (SUMIFS(SSP5_Baseline!$E:$E,SSP5_Baseline!$C:$C,Results_list!$C$382,SSP5_Baseline!$D:$D,Results_list!$D382,SSP5_Baseline!$B:$B,2025))) / (SUMIFS(SSP5_Baseline!$E:$E,SSP5_Baseline!$C:$C,Results_list!$C$382,SSP5_Baseline!$D:$D,Results_list!$D382,SSP5_Baseline!$B:$B,2025))</f>
        <v>1.2643975564273702</v>
      </c>
      <c r="N382" s="16">
        <f>((SUMIFS(SSP5_VSI!$F:$F,SSP5_VSI!$C:$C,Results_list!$C$382,SSP5_VSI!$D:$D,Results_list!$D382,SSP5_VSI!$B:$B,2040)) - (SUMIFS(SSP5_VSI!$F:$F,SSP5_VSI!$C:$C,Results_list!$C$382,SSP5_VSI!$D:$D,Results_list!$D382,SSP5_VSI!$B:$B,2025))) / (SUMIFS(SSP5_VSI!$F:$F,SSP5_VSI!$C:$C,Results_list!$C$382,SSP5_VSI!$D:$D,Results_list!$D382,SSP5_VSI!$B:$B,2025))</f>
        <v>1.2644720736343766</v>
      </c>
      <c r="O382" s="19">
        <f>ROUND(N382-M382,2)</f>
        <v>0</v>
      </c>
    </row>
    <row r="383" spans="2:15" x14ac:dyDescent="0.35">
      <c r="B383" s="81"/>
      <c r="C383" s="87"/>
      <c r="D383" t="s">
        <v>40</v>
      </c>
      <c r="F383" s="3" t="s">
        <v>88</v>
      </c>
      <c r="G383" s="12">
        <f>((SUMIFS(SSP1_Baseline!$E:$E,SSP1_Baseline!$C:$C,Results_list!$C$382,SSP1_Baseline!$D:$D,Results_list!$D383,SSP1_Baseline!$B:$B,2040)) - (SUMIFS(SSP1_Baseline!$E:$E,SSP1_Baseline!$C:$C,Results_list!$C$382,SSP1_Baseline!$D:$D,Results_list!$D383,SSP1_Baseline!$B:$B,2025))) / (SUMIFS(SSP1_Baseline!$E:$E,SSP1_Baseline!$C:$C,Results_list!$C$382,SSP1_Baseline!$D:$D,Results_list!$D383,SSP1_Baseline!$B:$B,2025))</f>
        <v>-0.12574758790249432</v>
      </c>
      <c r="H383" s="16">
        <f>((SUMIFS(SSP1_VSI!$F:$F,SSP1_VSI!$C:$C,Results_list!$C$382,SSP1_VSI!$D:$D,Results_list!$D383,SSP1_VSI!$B:$B,2040)) - (SUMIFS(SSP1_VSI!$F:$F,SSP1_VSI!$C:$C,Results_list!$C$382,SSP1_VSI!$D:$D,Results_list!$D383,SSP1_VSI!$B:$B,2025))) / (SUMIFS(SSP1_VSI!$F:$F,SSP1_VSI!$C:$C,Results_list!$C$382,SSP1_VSI!$D:$D,Results_list!$D383,SSP1_VSI!$B:$B,2025))</f>
        <v>-0.12574972812119975</v>
      </c>
      <c r="I383" s="13">
        <f t="shared" ref="I383:I399" si="54">ROUND(H383-G383,3)</f>
        <v>0</v>
      </c>
      <c r="J383" s="12">
        <f>((SUMIFS(SSP2_Baseline!$E:$E,SSP2_Baseline!$C:$C,Results_list!$C$382,SSP2_Baseline!$D:$D,Results_list!$D383,SSP2_Baseline!$B:$B,2040)) - (SUMIFS(SSP2_Baseline!$E:$E,SSP2_Baseline!$C:$C,Results_list!$C$382,SSP2_Baseline!$D:$D,Results_list!$D383,SSP2_Baseline!$B:$B,2025))) / (SUMIFS(SSP2_Baseline!$E:$E,SSP2_Baseline!$C:$C,Results_list!$C$382,SSP2_Baseline!$D:$D,Results_list!$D383,SSP2_Baseline!$B:$B,2025))</f>
        <v>-0.12621025899286836</v>
      </c>
      <c r="K383" s="16">
        <f>((SUMIFS(SSP2_VSI!$F:$F,SSP2_VSI!$C:$C,Results_list!$C$382,SSP2_VSI!$D:$D,Results_list!$D383,SSP2_VSI!$B:$B,2040)) - (SUMIFS(SSP2_VSI!$F:$F,SSP2_VSI!$C:$C,Results_list!$C$382,SSP2_VSI!$D:$D,Results_list!$D383,SSP2_VSI!$B:$B,2025))) / (SUMIFS(SSP2_VSI!$F:$F,SSP2_VSI!$C:$C,Results_list!$C$382,SSP2_VSI!$D:$D,Results_list!$D383,SSP2_VSI!$B:$B,2025))</f>
        <v>-0.12623099778929189</v>
      </c>
      <c r="L383" s="13">
        <f t="shared" ref="L383:L399" si="55">ROUND(K383-J383,2)</f>
        <v>0</v>
      </c>
      <c r="M383" s="12">
        <f>((SUMIFS(SSP5_Baseline!$E:$E,SSP5_Baseline!$C:$C,Results_list!$C$382,SSP5_Baseline!$D:$D,Results_list!$D383,SSP5_Baseline!$B:$B,2040)) - (SUMIFS(SSP5_Baseline!$E:$E,SSP5_Baseline!$C:$C,Results_list!$C$382,SSP5_Baseline!$D:$D,Results_list!$D383,SSP5_Baseline!$B:$B,2025))) / (SUMIFS(SSP5_Baseline!$E:$E,SSP5_Baseline!$C:$C,Results_list!$C$382,SSP5_Baseline!$D:$D,Results_list!$D383,SSP5_Baseline!$B:$B,2025))</f>
        <v>-2.6555038844162993E-2</v>
      </c>
      <c r="N383" s="16">
        <f>((SUMIFS(SSP5_VSI!$F:$F,SSP5_VSI!$C:$C,Results_list!$C$382,SSP5_VSI!$D:$D,Results_list!$D383,SSP5_VSI!$B:$B,2040)) - (SUMIFS(SSP5_VSI!$F:$F,SSP5_VSI!$C:$C,Results_list!$C$382,SSP5_VSI!$D:$D,Results_list!$D383,SSP5_VSI!$B:$B,2025))) / (SUMIFS(SSP5_VSI!$F:$F,SSP5_VSI!$C:$C,Results_list!$C$382,SSP5_VSI!$D:$D,Results_list!$D383,SSP5_VSI!$B:$B,2025))</f>
        <v>-2.6595988561472987E-2</v>
      </c>
      <c r="O383" s="13">
        <f t="shared" ref="O383:O399" si="56">ROUND(N383-M383,2)</f>
        <v>0</v>
      </c>
    </row>
    <row r="384" spans="2:15" x14ac:dyDescent="0.35">
      <c r="B384" s="81"/>
      <c r="C384" s="87"/>
      <c r="D384" t="s">
        <v>41</v>
      </c>
      <c r="F384" s="3" t="s">
        <v>89</v>
      </c>
      <c r="G384" s="12">
        <f>((SUMIFS(SSP1_Baseline!$E:$E,SSP1_Baseline!$C:$C,Results_list!$C$382,SSP1_Baseline!$D:$D,Results_list!$D384,SSP1_Baseline!$B:$B,2040)) - (SUMIFS(SSP1_Baseline!$E:$E,SSP1_Baseline!$C:$C,Results_list!$C$382,SSP1_Baseline!$D:$D,Results_list!$D384,SSP1_Baseline!$B:$B,2025))) / (SUMIFS(SSP1_Baseline!$E:$E,SSP1_Baseline!$C:$C,Results_list!$C$382,SSP1_Baseline!$D:$D,Results_list!$D384,SSP1_Baseline!$B:$B,2025))</f>
        <v>-9.5979063696623262E-2</v>
      </c>
      <c r="H384" s="16">
        <f>((SUMIFS(SSP1_VSI!$F:$F,SSP1_VSI!$C:$C,Results_list!$C$382,SSP1_VSI!$D:$D,Results_list!$D384,SSP1_VSI!$B:$B,2040)) - (SUMIFS(SSP1_VSI!$F:$F,SSP1_VSI!$C:$C,Results_list!$C$382,SSP1_VSI!$D:$D,Results_list!$D384,SSP1_VSI!$B:$B,2025))) / (SUMIFS(SSP1_VSI!$F:$F,SSP1_VSI!$C:$C,Results_list!$C$382,SSP1_VSI!$D:$D,Results_list!$D384,SSP1_VSI!$B:$B,2025))</f>
        <v>-0.11306039052626449</v>
      </c>
      <c r="I384" s="13">
        <f t="shared" si="54"/>
        <v>-1.7000000000000001E-2</v>
      </c>
      <c r="J384" s="12">
        <f>((SUMIFS(SSP2_Baseline!$E:$E,SSP2_Baseline!$C:$C,Results_list!$C$382,SSP2_Baseline!$D:$D,Results_list!$D384,SSP2_Baseline!$B:$B,2040)) - (SUMIFS(SSP2_Baseline!$E:$E,SSP2_Baseline!$C:$C,Results_list!$C$382,SSP2_Baseline!$D:$D,Results_list!$D384,SSP2_Baseline!$B:$B,2025))) / (SUMIFS(SSP2_Baseline!$E:$E,SSP2_Baseline!$C:$C,Results_list!$C$382,SSP2_Baseline!$D:$D,Results_list!$D384,SSP2_Baseline!$B:$B,2025))</f>
        <v>-9.4376633735546819E-2</v>
      </c>
      <c r="K384" s="16">
        <f>((SUMIFS(SSP2_VSI!$F:$F,SSP2_VSI!$C:$C,Results_list!$C$382,SSP2_VSI!$D:$D,Results_list!$D384,SSP2_VSI!$B:$B,2040)) - (SUMIFS(SSP2_VSI!$F:$F,SSP2_VSI!$C:$C,Results_list!$C$382,SSP2_VSI!$D:$D,Results_list!$D384,SSP2_VSI!$B:$B,2025))) / (SUMIFS(SSP2_VSI!$F:$F,SSP2_VSI!$C:$C,Results_list!$C$382,SSP2_VSI!$D:$D,Results_list!$D384,SSP2_VSI!$B:$B,2025))</f>
        <v>-0.11155256263427873</v>
      </c>
      <c r="L384" s="13">
        <f t="shared" si="55"/>
        <v>-0.02</v>
      </c>
      <c r="M384" s="12">
        <f>((SUMIFS(SSP5_Baseline!$E:$E,SSP5_Baseline!$C:$C,Results_list!$C$382,SSP5_Baseline!$D:$D,Results_list!$D384,SSP5_Baseline!$B:$B,2040)) - (SUMIFS(SSP5_Baseline!$E:$E,SSP5_Baseline!$C:$C,Results_list!$C$382,SSP5_Baseline!$D:$D,Results_list!$D384,SSP5_Baseline!$B:$B,2025))) / (SUMIFS(SSP5_Baseline!$E:$E,SSP5_Baseline!$C:$C,Results_list!$C$382,SSP5_Baseline!$D:$D,Results_list!$D384,SSP5_Baseline!$B:$B,2025))</f>
        <v>-5.1496724450282465E-2</v>
      </c>
      <c r="N384" s="16">
        <f>((SUMIFS(SSP5_VSI!$F:$F,SSP5_VSI!$C:$C,Results_list!$C$382,SSP5_VSI!$D:$D,Results_list!$D384,SSP5_VSI!$B:$B,2040)) - (SUMIFS(SSP5_VSI!$F:$F,SSP5_VSI!$C:$C,Results_list!$C$382,SSP5_VSI!$D:$D,Results_list!$D384,SSP5_VSI!$B:$B,2025))) / (SUMIFS(SSP5_VSI!$F:$F,SSP5_VSI!$C:$C,Results_list!$C$382,SSP5_VSI!$D:$D,Results_list!$D384,SSP5_VSI!$B:$B,2025))</f>
        <v>-6.8518416653801623E-2</v>
      </c>
      <c r="O384" s="13">
        <f t="shared" si="56"/>
        <v>-0.02</v>
      </c>
    </row>
    <row r="385" spans="2:15" x14ac:dyDescent="0.35">
      <c r="B385" s="81"/>
      <c r="C385" s="87"/>
      <c r="D385" t="s">
        <v>42</v>
      </c>
      <c r="F385" s="3" t="s">
        <v>90</v>
      </c>
      <c r="G385" s="12">
        <f>((SUMIFS(SSP1_Baseline!$E:$E,SSP1_Baseline!$C:$C,Results_list!$C$382,SSP1_Baseline!$D:$D,Results_list!$D385,SSP1_Baseline!$B:$B,2040)) - (SUMIFS(SSP1_Baseline!$E:$E,SSP1_Baseline!$C:$C,Results_list!$C$382,SSP1_Baseline!$D:$D,Results_list!$D385,SSP1_Baseline!$B:$B,2025))) / (SUMIFS(SSP1_Baseline!$E:$E,SSP1_Baseline!$C:$C,Results_list!$C$382,SSP1_Baseline!$D:$D,Results_list!$D385,SSP1_Baseline!$B:$B,2025))</f>
        <v>-3.3168771387051287E-2</v>
      </c>
      <c r="H385" s="16">
        <f>((SUMIFS(SSP1_VSI!$F:$F,SSP1_VSI!$C:$C,Results_list!$C$382,SSP1_VSI!$D:$D,Results_list!$D385,SSP1_VSI!$B:$B,2040)) - (SUMIFS(SSP1_VSI!$F:$F,SSP1_VSI!$C:$C,Results_list!$C$382,SSP1_VSI!$D:$D,Results_list!$D385,SSP1_VSI!$B:$B,2025))) / (SUMIFS(SSP1_VSI!$F:$F,SSP1_VSI!$C:$C,Results_list!$C$382,SSP1_VSI!$D:$D,Results_list!$D385,SSP1_VSI!$B:$B,2025))</f>
        <v>-0.75514703341663469</v>
      </c>
      <c r="I385" s="13">
        <f t="shared" si="54"/>
        <v>-0.72199999999999998</v>
      </c>
      <c r="J385" s="12">
        <f>((SUMIFS(SSP2_Baseline!$E:$E,SSP2_Baseline!$C:$C,Results_list!$C$382,SSP2_Baseline!$D:$D,Results_list!$D385,SSP2_Baseline!$B:$B,2040)) - (SUMIFS(SSP2_Baseline!$E:$E,SSP2_Baseline!$C:$C,Results_list!$C$382,SSP2_Baseline!$D:$D,Results_list!$D385,SSP2_Baseline!$B:$B,2025))) / (SUMIFS(SSP2_Baseline!$E:$E,SSP2_Baseline!$C:$C,Results_list!$C$382,SSP2_Baseline!$D:$D,Results_list!$D385,SSP2_Baseline!$B:$B,2025))</f>
        <v>-3.3559783390086452E-2</v>
      </c>
      <c r="K385" s="16">
        <f>((SUMIFS(SSP2_VSI!$F:$F,SSP2_VSI!$C:$C,Results_list!$C$382,SSP2_VSI!$D:$D,Results_list!$D385,SSP2_VSI!$B:$B,2040)) - (SUMIFS(SSP2_VSI!$F:$F,SSP2_VSI!$C:$C,Results_list!$C$382,SSP2_VSI!$D:$D,Results_list!$D385,SSP2_VSI!$B:$B,2025))) / (SUMIFS(SSP2_VSI!$F:$F,SSP2_VSI!$C:$C,Results_list!$C$382,SSP2_VSI!$D:$D,Results_list!$D385,SSP2_VSI!$B:$B,2025))</f>
        <v>-0.75874566540796085</v>
      </c>
      <c r="L385" s="13">
        <f t="shared" si="55"/>
        <v>-0.73</v>
      </c>
      <c r="M385" s="12">
        <f>((SUMIFS(SSP5_Baseline!$E:$E,SSP5_Baseline!$C:$C,Results_list!$C$382,SSP5_Baseline!$D:$D,Results_list!$D385,SSP5_Baseline!$B:$B,2040)) - (SUMIFS(SSP5_Baseline!$E:$E,SSP5_Baseline!$C:$C,Results_list!$C$382,SSP5_Baseline!$D:$D,Results_list!$D385,SSP5_Baseline!$B:$B,2025))) / (SUMIFS(SSP5_Baseline!$E:$E,SSP5_Baseline!$C:$C,Results_list!$C$382,SSP5_Baseline!$D:$D,Results_list!$D385,SSP5_Baseline!$B:$B,2025))</f>
        <v>2.1252534394157082E-2</v>
      </c>
      <c r="N385" s="16">
        <f>((SUMIFS(SSP5_VSI!$F:$F,SSP5_VSI!$C:$C,Results_list!$C$382,SSP5_VSI!$D:$D,Results_list!$D385,SSP5_VSI!$B:$B,2040)) - (SUMIFS(SSP5_VSI!$F:$F,SSP5_VSI!$C:$C,Results_list!$C$382,SSP5_VSI!$D:$D,Results_list!$D385,SSP5_VSI!$B:$B,2025))) / (SUMIFS(SSP5_VSI!$F:$F,SSP5_VSI!$C:$C,Results_list!$C$382,SSP5_VSI!$D:$D,Results_list!$D385,SSP5_VSI!$B:$B,2025))</f>
        <v>-0.69574627357275942</v>
      </c>
      <c r="O385" s="13">
        <f t="shared" si="56"/>
        <v>-0.72</v>
      </c>
    </row>
    <row r="386" spans="2:15" x14ac:dyDescent="0.35">
      <c r="B386" s="81"/>
      <c r="C386" s="87"/>
      <c r="D386" t="s">
        <v>43</v>
      </c>
      <c r="F386" s="3" t="s">
        <v>91</v>
      </c>
      <c r="G386" s="12">
        <f>((SUMIFS(SSP1_Baseline!$E:$E,SSP1_Baseline!$C:$C,Results_list!$C$382,SSP1_Baseline!$D:$D,Results_list!$D386,SSP1_Baseline!$B:$B,2040)) - (SUMIFS(SSP1_Baseline!$E:$E,SSP1_Baseline!$C:$C,Results_list!$C$382,SSP1_Baseline!$D:$D,Results_list!$D386,SSP1_Baseline!$B:$B,2025))) / (SUMIFS(SSP1_Baseline!$E:$E,SSP1_Baseline!$C:$C,Results_list!$C$382,SSP1_Baseline!$D:$D,Results_list!$D386,SSP1_Baseline!$B:$B,2025))</f>
        <v>-0.19805613170218592</v>
      </c>
      <c r="H386" s="16">
        <f>((SUMIFS(SSP1_VSI!$F:$F,SSP1_VSI!$C:$C,Results_list!$C$382,SSP1_VSI!$D:$D,Results_list!$D386,SSP1_VSI!$B:$B,2040)) - (SUMIFS(SSP1_VSI!$F:$F,SSP1_VSI!$C:$C,Results_list!$C$382,SSP1_VSI!$D:$D,Results_list!$D386,SSP1_VSI!$B:$B,2025))) / (SUMIFS(SSP1_VSI!$F:$F,SSP1_VSI!$C:$C,Results_list!$C$382,SSP1_VSI!$D:$D,Results_list!$D386,SSP1_VSI!$B:$B,2025))</f>
        <v>-0.19808989495501578</v>
      </c>
      <c r="I386" s="13">
        <f t="shared" si="54"/>
        <v>0</v>
      </c>
      <c r="J386" s="12">
        <f>((SUMIFS(SSP2_Baseline!$E:$E,SSP2_Baseline!$C:$C,Results_list!$C$382,SSP2_Baseline!$D:$D,Results_list!$D386,SSP2_Baseline!$B:$B,2040)) - (SUMIFS(SSP2_Baseline!$E:$E,SSP2_Baseline!$C:$C,Results_list!$C$382,SSP2_Baseline!$D:$D,Results_list!$D386,SSP2_Baseline!$B:$B,2025))) / (SUMIFS(SSP2_Baseline!$E:$E,SSP2_Baseline!$C:$C,Results_list!$C$382,SSP2_Baseline!$D:$D,Results_list!$D386,SSP2_Baseline!$B:$B,2025))</f>
        <v>-0.13593253806354055</v>
      </c>
      <c r="K386" s="16">
        <f>((SUMIFS(SSP2_VSI!$F:$F,SSP2_VSI!$C:$C,Results_list!$C$382,SSP2_VSI!$D:$D,Results_list!$D386,SSP2_VSI!$B:$B,2040)) - (SUMIFS(SSP2_VSI!$F:$F,SSP2_VSI!$C:$C,Results_list!$C$382,SSP2_VSI!$D:$D,Results_list!$D386,SSP2_VSI!$B:$B,2025))) / (SUMIFS(SSP2_VSI!$F:$F,SSP2_VSI!$C:$C,Results_list!$C$382,SSP2_VSI!$D:$D,Results_list!$D386,SSP2_VSI!$B:$B,2025))</f>
        <v>-0.13591424382618938</v>
      </c>
      <c r="L386" s="13">
        <f t="shared" si="55"/>
        <v>0</v>
      </c>
      <c r="M386" s="12">
        <f>((SUMIFS(SSP5_Baseline!$E:$E,SSP5_Baseline!$C:$C,Results_list!$C$382,SSP5_Baseline!$D:$D,Results_list!$D386,SSP5_Baseline!$B:$B,2040)) - (SUMIFS(SSP5_Baseline!$E:$E,SSP5_Baseline!$C:$C,Results_list!$C$382,SSP5_Baseline!$D:$D,Results_list!$D386,SSP5_Baseline!$B:$B,2025))) / (SUMIFS(SSP5_Baseline!$E:$E,SSP5_Baseline!$C:$C,Results_list!$C$382,SSP5_Baseline!$D:$D,Results_list!$D386,SSP5_Baseline!$B:$B,2025))</f>
        <v>-1.5588267191318927E-2</v>
      </c>
      <c r="N386" s="16">
        <f>((SUMIFS(SSP5_VSI!$F:$F,SSP5_VSI!$C:$C,Results_list!$C$382,SSP5_VSI!$D:$D,Results_list!$D386,SSP5_VSI!$B:$B,2040)) - (SUMIFS(SSP5_VSI!$F:$F,SSP5_VSI!$C:$C,Results_list!$C$382,SSP5_VSI!$D:$D,Results_list!$D386,SSP5_VSI!$B:$B,2025))) / (SUMIFS(SSP5_VSI!$F:$F,SSP5_VSI!$C:$C,Results_list!$C$382,SSP5_VSI!$D:$D,Results_list!$D386,SSP5_VSI!$B:$B,2025))</f>
        <v>-1.5602190146727849E-2</v>
      </c>
      <c r="O386" s="13">
        <f t="shared" si="56"/>
        <v>0</v>
      </c>
    </row>
    <row r="387" spans="2:15" x14ac:dyDescent="0.35">
      <c r="B387" s="81"/>
      <c r="C387" s="87"/>
      <c r="D387" t="s">
        <v>136</v>
      </c>
      <c r="F387" s="3" t="s">
        <v>92</v>
      </c>
      <c r="G387" s="12">
        <f>((SUMIFS(SSP1_Baseline!$E:$E,SSP1_Baseline!$C:$C,Results_list!$C$382,SSP1_Baseline!$D:$D,Results_list!$D387,SSP1_Baseline!$B:$B,2040)) - (SUMIFS(SSP1_Baseline!$E:$E,SSP1_Baseline!$C:$C,Results_list!$C$382,SSP1_Baseline!$D:$D,Results_list!$D387,SSP1_Baseline!$B:$B,2025))) / (SUMIFS(SSP1_Baseline!$E:$E,SSP1_Baseline!$C:$C,Results_list!$C$382,SSP1_Baseline!$D:$D,Results_list!$D387,SSP1_Baseline!$B:$B,2025))</f>
        <v>-0.28142828852548096</v>
      </c>
      <c r="H387" s="16">
        <f>((SUMIFS(SSP1_VSI!$F:$F,SSP1_VSI!$C:$C,Results_list!$C$382,SSP1_VSI!$D:$D,Results_list!$D387,SSP1_VSI!$B:$B,2040)) - (SUMIFS(SSP1_VSI!$F:$F,SSP1_VSI!$C:$C,Results_list!$C$382,SSP1_VSI!$D:$D,Results_list!$D387,SSP1_VSI!$B:$B,2025))) / (SUMIFS(SSP1_VSI!$F:$F,SSP1_VSI!$C:$C,Results_list!$C$382,SSP1_VSI!$D:$D,Results_list!$D387,SSP1_VSI!$B:$B,2025))</f>
        <v>-0.28151863919348513</v>
      </c>
      <c r="I387" s="13">
        <f t="shared" si="54"/>
        <v>0</v>
      </c>
      <c r="J387" s="12">
        <f>((SUMIFS(SSP2_Baseline!$E:$E,SSP2_Baseline!$C:$C,Results_list!$C$382,SSP2_Baseline!$D:$D,Results_list!$D387,SSP2_Baseline!$B:$B,2040)) - (SUMIFS(SSP2_Baseline!$E:$E,SSP2_Baseline!$C:$C,Results_list!$C$382,SSP2_Baseline!$D:$D,Results_list!$D387,SSP2_Baseline!$B:$B,2025))) / (SUMIFS(SSP2_Baseline!$E:$E,SSP2_Baseline!$C:$C,Results_list!$C$382,SSP2_Baseline!$D:$D,Results_list!$D387,SSP2_Baseline!$B:$B,2025))</f>
        <v>-0.2759727948787169</v>
      </c>
      <c r="K387" s="16">
        <f>((SUMIFS(SSP2_VSI!$F:$F,SSP2_VSI!$C:$C,Results_list!$C$382,SSP2_VSI!$D:$D,Results_list!$D387,SSP2_VSI!$B:$B,2040)) - (SUMIFS(SSP2_VSI!$F:$F,SSP2_VSI!$C:$C,Results_list!$C$382,SSP2_VSI!$D:$D,Results_list!$D387,SSP2_VSI!$B:$B,2025))) / (SUMIFS(SSP2_VSI!$F:$F,SSP2_VSI!$C:$C,Results_list!$C$382,SSP2_VSI!$D:$D,Results_list!$D387,SSP2_VSI!$B:$B,2025))</f>
        <v>-0.27597372155187172</v>
      </c>
      <c r="L387" s="13">
        <f t="shared" si="55"/>
        <v>0</v>
      </c>
      <c r="M387" s="12">
        <f>((SUMIFS(SSP5_Baseline!$E:$E,SSP5_Baseline!$C:$C,Results_list!$C$382,SSP5_Baseline!$D:$D,Results_list!$D387,SSP5_Baseline!$B:$B,2040)) - (SUMIFS(SSP5_Baseline!$E:$E,SSP5_Baseline!$C:$C,Results_list!$C$382,SSP5_Baseline!$D:$D,Results_list!$D387,SSP5_Baseline!$B:$B,2025))) / (SUMIFS(SSP5_Baseline!$E:$E,SSP5_Baseline!$C:$C,Results_list!$C$382,SSP5_Baseline!$D:$D,Results_list!$D387,SSP5_Baseline!$B:$B,2025))</f>
        <v>3.097892382809529E-3</v>
      </c>
      <c r="N387" s="16">
        <f>((SUMIFS(SSP5_VSI!$F:$F,SSP5_VSI!$C:$C,Results_list!$C$382,SSP5_VSI!$D:$D,Results_list!$D387,SSP5_VSI!$B:$B,2040)) - (SUMIFS(SSP5_VSI!$F:$F,SSP5_VSI!$C:$C,Results_list!$C$382,SSP5_VSI!$D:$D,Results_list!$D387,SSP5_VSI!$B:$B,2025))) / (SUMIFS(SSP5_VSI!$F:$F,SSP5_VSI!$C:$C,Results_list!$C$382,SSP5_VSI!$D:$D,Results_list!$D387,SSP5_VSI!$B:$B,2025))</f>
        <v>3.1343221322977068E-3</v>
      </c>
      <c r="O387" s="13">
        <f t="shared" si="56"/>
        <v>0</v>
      </c>
    </row>
    <row r="388" spans="2:15" x14ac:dyDescent="0.35">
      <c r="B388" s="81"/>
      <c r="C388" s="87"/>
      <c r="D388" t="s">
        <v>45</v>
      </c>
      <c r="F388" s="3" t="s">
        <v>93</v>
      </c>
      <c r="G388" s="12">
        <f>((SUMIFS(SSP1_Baseline!$E:$E,SSP1_Baseline!$C:$C,Results_list!$C$382,SSP1_Baseline!$D:$D,Results_list!$D388,SSP1_Baseline!$B:$B,2040)) - (SUMIFS(SSP1_Baseline!$E:$E,SSP1_Baseline!$C:$C,Results_list!$C$382,SSP1_Baseline!$D:$D,Results_list!$D388,SSP1_Baseline!$B:$B,2025))) / (SUMIFS(SSP1_Baseline!$E:$E,SSP1_Baseline!$C:$C,Results_list!$C$382,SSP1_Baseline!$D:$D,Results_list!$D388,SSP1_Baseline!$B:$B,2025))</f>
        <v>-8.0017114688759008E-2</v>
      </c>
      <c r="H388" s="16">
        <f>((SUMIFS(SSP1_VSI!$F:$F,SSP1_VSI!$C:$C,Results_list!$C$382,SSP1_VSI!$D:$D,Results_list!$D388,SSP1_VSI!$B:$B,2040)) - (SUMIFS(SSP1_VSI!$F:$F,SSP1_VSI!$C:$C,Results_list!$C$382,SSP1_VSI!$D:$D,Results_list!$D388,SSP1_VSI!$B:$B,2025))) / (SUMIFS(SSP1_VSI!$F:$F,SSP1_VSI!$C:$C,Results_list!$C$382,SSP1_VSI!$D:$D,Results_list!$D388,SSP1_VSI!$B:$B,2025))</f>
        <v>-0.11045109676891839</v>
      </c>
      <c r="I388" s="13">
        <f t="shared" si="54"/>
        <v>-0.03</v>
      </c>
      <c r="J388" s="12">
        <f>((SUMIFS(SSP2_Baseline!$E:$E,SSP2_Baseline!$C:$C,Results_list!$C$382,SSP2_Baseline!$D:$D,Results_list!$D388,SSP2_Baseline!$B:$B,2040)) - (SUMIFS(SSP2_Baseline!$E:$E,SSP2_Baseline!$C:$C,Results_list!$C$382,SSP2_Baseline!$D:$D,Results_list!$D388,SSP2_Baseline!$B:$B,2025))) / (SUMIFS(SSP2_Baseline!$E:$E,SSP2_Baseline!$C:$C,Results_list!$C$382,SSP2_Baseline!$D:$D,Results_list!$D388,SSP2_Baseline!$B:$B,2025))</f>
        <v>-8.0146039461532426E-2</v>
      </c>
      <c r="K388" s="16">
        <f>((SUMIFS(SSP2_VSI!$F:$F,SSP2_VSI!$C:$C,Results_list!$C$382,SSP2_VSI!$D:$D,Results_list!$D388,SSP2_VSI!$B:$B,2040)) - (SUMIFS(SSP2_VSI!$F:$F,SSP2_VSI!$C:$C,Results_list!$C$382,SSP2_VSI!$D:$D,Results_list!$D388,SSP2_VSI!$B:$B,2025))) / (SUMIFS(SSP2_VSI!$F:$F,SSP2_VSI!$C:$C,Results_list!$C$382,SSP2_VSI!$D:$D,Results_list!$D388,SSP2_VSI!$B:$B,2025))</f>
        <v>-0.11093692227141555</v>
      </c>
      <c r="L388" s="13">
        <f t="shared" si="55"/>
        <v>-0.03</v>
      </c>
      <c r="M388" s="12">
        <f>((SUMIFS(SSP5_Baseline!$E:$E,SSP5_Baseline!$C:$C,Results_list!$C$382,SSP5_Baseline!$D:$D,Results_list!$D388,SSP5_Baseline!$B:$B,2040)) - (SUMIFS(SSP5_Baseline!$E:$E,SSP5_Baseline!$C:$C,Results_list!$C$382,SSP5_Baseline!$D:$D,Results_list!$D388,SSP5_Baseline!$B:$B,2025))) / (SUMIFS(SSP5_Baseline!$E:$E,SSP5_Baseline!$C:$C,Results_list!$C$382,SSP5_Baseline!$D:$D,Results_list!$D388,SSP5_Baseline!$B:$B,2025))</f>
        <v>-7.0322590678579516E-2</v>
      </c>
      <c r="N388" s="16">
        <f>((SUMIFS(SSP5_VSI!$F:$F,SSP5_VSI!$C:$C,Results_list!$C$382,SSP5_VSI!$D:$D,Results_list!$D388,SSP5_VSI!$B:$B,2040)) - (SUMIFS(SSP5_VSI!$F:$F,SSP5_VSI!$C:$C,Results_list!$C$382,SSP5_VSI!$D:$D,Results_list!$D388,SSP5_VSI!$B:$B,2025))) / (SUMIFS(SSP5_VSI!$F:$F,SSP5_VSI!$C:$C,Results_list!$C$382,SSP5_VSI!$D:$D,Results_list!$D388,SSP5_VSI!$B:$B,2025))</f>
        <v>-0.10117479054391432</v>
      </c>
      <c r="O388" s="13">
        <f t="shared" si="56"/>
        <v>-0.03</v>
      </c>
    </row>
    <row r="389" spans="2:15" x14ac:dyDescent="0.35">
      <c r="B389" s="81"/>
      <c r="C389" s="87"/>
      <c r="D389" t="s">
        <v>46</v>
      </c>
      <c r="F389" s="3" t="s">
        <v>94</v>
      </c>
      <c r="G389" s="12">
        <f>((SUMIFS(SSP1_Baseline!$E:$E,SSP1_Baseline!$C:$C,Results_list!$C$382,SSP1_Baseline!$D:$D,Results_list!$D389,SSP1_Baseline!$B:$B,2040)) - (SUMIFS(SSP1_Baseline!$E:$E,SSP1_Baseline!$C:$C,Results_list!$C$382,SSP1_Baseline!$D:$D,Results_list!$D389,SSP1_Baseline!$B:$B,2025))) / (SUMIFS(SSP1_Baseline!$E:$E,SSP1_Baseline!$C:$C,Results_list!$C$382,SSP1_Baseline!$D:$D,Results_list!$D389,SSP1_Baseline!$B:$B,2025))</f>
        <v>0.37069104187403046</v>
      </c>
      <c r="H389" s="16">
        <f>((SUMIFS(SSP1_VSI!$F:$F,SSP1_VSI!$C:$C,Results_list!$C$382,SSP1_VSI!$D:$D,Results_list!$D389,SSP1_VSI!$B:$B,2040)) - (SUMIFS(SSP1_VSI!$F:$F,SSP1_VSI!$C:$C,Results_list!$C$382,SSP1_VSI!$D:$D,Results_list!$D389,SSP1_VSI!$B:$B,2025))) / (SUMIFS(SSP1_VSI!$F:$F,SSP1_VSI!$C:$C,Results_list!$C$382,SSP1_VSI!$D:$D,Results_list!$D389,SSP1_VSI!$B:$B,2025))</f>
        <v>0.37069946877836235</v>
      </c>
      <c r="I389" s="13">
        <f t="shared" si="54"/>
        <v>0</v>
      </c>
      <c r="J389" s="12">
        <f>((SUMIFS(SSP2_Baseline!$E:$E,SSP2_Baseline!$C:$C,Results_list!$C$382,SSP2_Baseline!$D:$D,Results_list!$D389,SSP2_Baseline!$B:$B,2040)) - (SUMIFS(SSP2_Baseline!$E:$E,SSP2_Baseline!$C:$C,Results_list!$C$382,SSP2_Baseline!$D:$D,Results_list!$D389,SSP2_Baseline!$B:$B,2025))) / (SUMIFS(SSP2_Baseline!$E:$E,SSP2_Baseline!$C:$C,Results_list!$C$382,SSP2_Baseline!$D:$D,Results_list!$D389,SSP2_Baseline!$B:$B,2025))</f>
        <v>0.95537120398128506</v>
      </c>
      <c r="K389" s="16">
        <f>((SUMIFS(SSP2_VSI!$F:$F,SSP2_VSI!$C:$C,Results_list!$C$382,SSP2_VSI!$D:$D,Results_list!$D389,SSP2_VSI!$B:$B,2040)) - (SUMIFS(SSP2_VSI!$F:$F,SSP2_VSI!$C:$C,Results_list!$C$382,SSP2_VSI!$D:$D,Results_list!$D389,SSP2_VSI!$B:$B,2025))) / (SUMIFS(SSP2_VSI!$F:$F,SSP2_VSI!$C:$C,Results_list!$C$382,SSP2_VSI!$D:$D,Results_list!$D389,SSP2_VSI!$B:$B,2025))</f>
        <v>0.95525592344242205</v>
      </c>
      <c r="L389" s="13">
        <f t="shared" si="55"/>
        <v>0</v>
      </c>
      <c r="M389" s="12">
        <f>((SUMIFS(SSP5_Baseline!$E:$E,SSP5_Baseline!$C:$C,Results_list!$C$382,SSP5_Baseline!$D:$D,Results_list!$D389,SSP5_Baseline!$B:$B,2040)) - (SUMIFS(SSP5_Baseline!$E:$E,SSP5_Baseline!$C:$C,Results_list!$C$382,SSP5_Baseline!$D:$D,Results_list!$D389,SSP5_Baseline!$B:$B,2025))) / (SUMIFS(SSP5_Baseline!$E:$E,SSP5_Baseline!$C:$C,Results_list!$C$382,SSP5_Baseline!$D:$D,Results_list!$D389,SSP5_Baseline!$B:$B,2025))</f>
        <v>0.86531580434171895</v>
      </c>
      <c r="N389" s="16">
        <f>((SUMIFS(SSP5_VSI!$F:$F,SSP5_VSI!$C:$C,Results_list!$C$382,SSP5_VSI!$D:$D,Results_list!$D389,SSP5_VSI!$B:$B,2040)) - (SUMIFS(SSP5_VSI!$F:$F,SSP5_VSI!$C:$C,Results_list!$C$382,SSP5_VSI!$D:$D,Results_list!$D389,SSP5_VSI!$B:$B,2025))) / (SUMIFS(SSP5_VSI!$F:$F,SSP5_VSI!$C:$C,Results_list!$C$382,SSP5_VSI!$D:$D,Results_list!$D389,SSP5_VSI!$B:$B,2025))</f>
        <v>0.86533165196513273</v>
      </c>
      <c r="O389" s="13">
        <f t="shared" si="56"/>
        <v>0</v>
      </c>
    </row>
    <row r="390" spans="2:15" x14ac:dyDescent="0.35">
      <c r="B390" s="81"/>
      <c r="C390" s="87"/>
      <c r="D390" t="s">
        <v>47</v>
      </c>
      <c r="F390" s="3" t="s">
        <v>95</v>
      </c>
      <c r="G390" s="12">
        <f>((SUMIFS(SSP1_Baseline!$E:$E,SSP1_Baseline!$C:$C,Results_list!$C$382,SSP1_Baseline!$D:$D,Results_list!$D390,SSP1_Baseline!$B:$B,2040)) - (SUMIFS(SSP1_Baseline!$E:$E,SSP1_Baseline!$C:$C,Results_list!$C$382,SSP1_Baseline!$D:$D,Results_list!$D390,SSP1_Baseline!$B:$B,2025))) / (SUMIFS(SSP1_Baseline!$E:$E,SSP1_Baseline!$C:$C,Results_list!$C$382,SSP1_Baseline!$D:$D,Results_list!$D390,SSP1_Baseline!$B:$B,2025))</f>
        <v>-0.32752601900314793</v>
      </c>
      <c r="H390" s="16">
        <f>((SUMIFS(SSP1_VSI!$F:$F,SSP1_VSI!$C:$C,Results_list!$C$382,SSP1_VSI!$D:$D,Results_list!$D390,SSP1_VSI!$B:$B,2040)) - (SUMIFS(SSP1_VSI!$F:$F,SSP1_VSI!$C:$C,Results_list!$C$382,SSP1_VSI!$D:$D,Results_list!$D390,SSP1_VSI!$B:$B,2025))) / (SUMIFS(SSP1_VSI!$F:$F,SSP1_VSI!$C:$C,Results_list!$C$382,SSP1_VSI!$D:$D,Results_list!$D390,SSP1_VSI!$B:$B,2025))</f>
        <v>-0.32744385520582125</v>
      </c>
      <c r="I390" s="13">
        <f t="shared" si="54"/>
        <v>0</v>
      </c>
      <c r="J390" s="12">
        <f>((SUMIFS(SSP2_Baseline!$E:$E,SSP2_Baseline!$C:$C,Results_list!$C$382,SSP2_Baseline!$D:$D,Results_list!$D390,SSP2_Baseline!$B:$B,2040)) - (SUMIFS(SSP2_Baseline!$E:$E,SSP2_Baseline!$C:$C,Results_list!$C$382,SSP2_Baseline!$D:$D,Results_list!$D390,SSP2_Baseline!$B:$B,2025))) / (SUMIFS(SSP2_Baseline!$E:$E,SSP2_Baseline!$C:$C,Results_list!$C$382,SSP2_Baseline!$D:$D,Results_list!$D390,SSP2_Baseline!$B:$B,2025))</f>
        <v>-0.35312201100633789</v>
      </c>
      <c r="K390" s="16">
        <f>((SUMIFS(SSP2_VSI!$F:$F,SSP2_VSI!$C:$C,Results_list!$C$382,SSP2_VSI!$D:$D,Results_list!$D390,SSP2_VSI!$B:$B,2040)) - (SUMIFS(SSP2_VSI!$F:$F,SSP2_VSI!$C:$C,Results_list!$C$382,SSP2_VSI!$D:$D,Results_list!$D390,SSP2_VSI!$B:$B,2025))) / (SUMIFS(SSP2_VSI!$F:$F,SSP2_VSI!$C:$C,Results_list!$C$382,SSP2_VSI!$D:$D,Results_list!$D390,SSP2_VSI!$B:$B,2025))</f>
        <v>-0.35308453562361752</v>
      </c>
      <c r="L390" s="13">
        <f t="shared" si="55"/>
        <v>0</v>
      </c>
      <c r="M390" s="12">
        <f>((SUMIFS(SSP5_Baseline!$E:$E,SSP5_Baseline!$C:$C,Results_list!$C$382,SSP5_Baseline!$D:$D,Results_list!$D390,SSP5_Baseline!$B:$B,2040)) - (SUMIFS(SSP5_Baseline!$E:$E,SSP5_Baseline!$C:$C,Results_list!$C$382,SSP5_Baseline!$D:$D,Results_list!$D390,SSP5_Baseline!$B:$B,2025))) / (SUMIFS(SSP5_Baseline!$E:$E,SSP5_Baseline!$C:$C,Results_list!$C$382,SSP5_Baseline!$D:$D,Results_list!$D390,SSP5_Baseline!$B:$B,2025))</f>
        <v>0.28964319412178036</v>
      </c>
      <c r="N390" s="16">
        <f>((SUMIFS(SSP5_VSI!$F:$F,SSP5_VSI!$C:$C,Results_list!$C$382,SSP5_VSI!$D:$D,Results_list!$D390,SSP5_VSI!$B:$B,2040)) - (SUMIFS(SSP5_VSI!$F:$F,SSP5_VSI!$C:$C,Results_list!$C$382,SSP5_VSI!$D:$D,Results_list!$D390,SSP5_VSI!$B:$B,2025))) / (SUMIFS(SSP5_VSI!$F:$F,SSP5_VSI!$C:$C,Results_list!$C$382,SSP5_VSI!$D:$D,Results_list!$D390,SSP5_VSI!$B:$B,2025))</f>
        <v>0.2899131087172882</v>
      </c>
      <c r="O390" s="13">
        <f t="shared" si="56"/>
        <v>0</v>
      </c>
    </row>
    <row r="391" spans="2:15" x14ac:dyDescent="0.35">
      <c r="B391" s="81"/>
      <c r="C391" s="87"/>
      <c r="D391" t="s">
        <v>48</v>
      </c>
      <c r="F391" s="3" t="s">
        <v>96</v>
      </c>
      <c r="G391" s="12">
        <f>((SUMIFS(SSP1_Baseline!$E:$E,SSP1_Baseline!$C:$C,Results_list!$C$382,SSP1_Baseline!$D:$D,Results_list!$D391,SSP1_Baseline!$B:$B,2040)) - (SUMIFS(SSP1_Baseline!$E:$E,SSP1_Baseline!$C:$C,Results_list!$C$382,SSP1_Baseline!$D:$D,Results_list!$D391,SSP1_Baseline!$B:$B,2025))) / (SUMIFS(SSP1_Baseline!$E:$E,SSP1_Baseline!$C:$C,Results_list!$C$382,SSP1_Baseline!$D:$D,Results_list!$D391,SSP1_Baseline!$B:$B,2025))</f>
        <v>3.7047831879296181E-5</v>
      </c>
      <c r="H391" s="16">
        <f>((SUMIFS(SSP1_VSI!$F:$F,SSP1_VSI!$C:$C,Results_list!$C$382,SSP1_VSI!$D:$D,Results_list!$D391,SSP1_VSI!$B:$B,2040)) - (SUMIFS(SSP1_VSI!$F:$F,SSP1_VSI!$C:$C,Results_list!$C$382,SSP1_VSI!$D:$D,Results_list!$D391,SSP1_VSI!$B:$B,2025))) / (SUMIFS(SSP1_VSI!$F:$F,SSP1_VSI!$C:$C,Results_list!$C$382,SSP1_VSI!$D:$D,Results_list!$D391,SSP1_VSI!$B:$B,2025))</f>
        <v>3.7056418189168433E-5</v>
      </c>
      <c r="I391" s="13">
        <f t="shared" si="54"/>
        <v>0</v>
      </c>
      <c r="J391" s="12">
        <f>((SUMIFS(SSP2_Baseline!$E:$E,SSP2_Baseline!$C:$C,Results_list!$C$382,SSP2_Baseline!$D:$D,Results_list!$D391,SSP2_Baseline!$B:$B,2040)) - (SUMIFS(SSP2_Baseline!$E:$E,SSP2_Baseline!$C:$C,Results_list!$C$382,SSP2_Baseline!$D:$D,Results_list!$D391,SSP2_Baseline!$B:$B,2025))) / (SUMIFS(SSP2_Baseline!$E:$E,SSP2_Baseline!$C:$C,Results_list!$C$382,SSP2_Baseline!$D:$D,Results_list!$D391,SSP2_Baseline!$B:$B,2025))</f>
        <v>1.3368294292278457E-5</v>
      </c>
      <c r="K391" s="16">
        <f>((SUMIFS(SSP2_VSI!$F:$F,SSP2_VSI!$C:$C,Results_list!$C$382,SSP2_VSI!$D:$D,Results_list!$D391,SSP2_VSI!$B:$B,2040)) - (SUMIFS(SSP2_VSI!$F:$F,SSP2_VSI!$C:$C,Results_list!$C$382,SSP2_VSI!$D:$D,Results_list!$D391,SSP2_VSI!$B:$B,2025))) / (SUMIFS(SSP2_VSI!$F:$F,SSP2_VSI!$C:$C,Results_list!$C$382,SSP2_VSI!$D:$D,Results_list!$D391,SSP2_VSI!$B:$B,2025))</f>
        <v>1.3373084010197071E-5</v>
      </c>
      <c r="L391" s="13">
        <f t="shared" si="55"/>
        <v>0</v>
      </c>
      <c r="M391" s="12">
        <f>((SUMIFS(SSP5_Baseline!$E:$E,SSP5_Baseline!$C:$C,Results_list!$C$382,SSP5_Baseline!$D:$D,Results_list!$D391,SSP5_Baseline!$B:$B,2040)) - (SUMIFS(SSP5_Baseline!$E:$E,SSP5_Baseline!$C:$C,Results_list!$C$382,SSP5_Baseline!$D:$D,Results_list!$D391,SSP5_Baseline!$B:$B,2025))) / (SUMIFS(SSP5_Baseline!$E:$E,SSP5_Baseline!$C:$C,Results_list!$C$382,SSP5_Baseline!$D:$D,Results_list!$D391,SSP5_Baseline!$B:$B,2025))</f>
        <v>1.9168220472102987E-5</v>
      </c>
      <c r="N391" s="16">
        <f>((SUMIFS(SSP5_VSI!$F:$F,SSP5_VSI!$C:$C,Results_list!$C$382,SSP5_VSI!$D:$D,Results_list!$D391,SSP5_VSI!$B:$B,2040)) - (SUMIFS(SSP5_VSI!$F:$F,SSP5_VSI!$C:$C,Results_list!$C$382,SSP5_VSI!$D:$D,Results_list!$D391,SSP5_VSI!$B:$B,2025))) / (SUMIFS(SSP5_VSI!$F:$F,SSP5_VSI!$C:$C,Results_list!$C$382,SSP5_VSI!$D:$D,Results_list!$D391,SSP5_VSI!$B:$B,2025))</f>
        <v>1.9183432636341742E-5</v>
      </c>
      <c r="O391" s="13">
        <f t="shared" si="56"/>
        <v>0</v>
      </c>
    </row>
    <row r="392" spans="2:15" x14ac:dyDescent="0.35">
      <c r="B392" s="81"/>
      <c r="C392" s="87"/>
      <c r="D392" t="s">
        <v>49</v>
      </c>
      <c r="F392" s="3" t="s">
        <v>97</v>
      </c>
      <c r="G392" s="12">
        <f>((SUMIFS(SSP1_Baseline!$E:$E,SSP1_Baseline!$C:$C,Results_list!$C$382,SSP1_Baseline!$D:$D,Results_list!$D392,SSP1_Baseline!$B:$B,2040)) - (SUMIFS(SSP1_Baseline!$E:$E,SSP1_Baseline!$C:$C,Results_list!$C$382,SSP1_Baseline!$D:$D,Results_list!$D392,SSP1_Baseline!$B:$B,2025))) / (SUMIFS(SSP1_Baseline!$E:$E,SSP1_Baseline!$C:$C,Results_list!$C$382,SSP1_Baseline!$D:$D,Results_list!$D392,SSP1_Baseline!$B:$B,2025))</f>
        <v>-2.5949899919659548E-2</v>
      </c>
      <c r="H392" s="16">
        <f>((SUMIFS(SSP1_VSI!$F:$F,SSP1_VSI!$C:$C,Results_list!$C$382,SSP1_VSI!$D:$D,Results_list!$D392,SSP1_VSI!$B:$B,2040)) - (SUMIFS(SSP1_VSI!$F:$F,SSP1_VSI!$C:$C,Results_list!$C$382,SSP1_VSI!$D:$D,Results_list!$D392,SSP1_VSI!$B:$B,2025))) / (SUMIFS(SSP1_VSI!$F:$F,SSP1_VSI!$C:$C,Results_list!$C$382,SSP1_VSI!$D:$D,Results_list!$D392,SSP1_VSI!$B:$B,2025))</f>
        <v>-6.238415432174782E-2</v>
      </c>
      <c r="I392" s="13">
        <f t="shared" si="54"/>
        <v>-3.5999999999999997E-2</v>
      </c>
      <c r="J392" s="12">
        <f>((SUMIFS(SSP2_Baseline!$E:$E,SSP2_Baseline!$C:$C,Results_list!$C$382,SSP2_Baseline!$D:$D,Results_list!$D392,SSP2_Baseline!$B:$B,2040)) - (SUMIFS(SSP2_Baseline!$E:$E,SSP2_Baseline!$C:$C,Results_list!$C$382,SSP2_Baseline!$D:$D,Results_list!$D392,SSP2_Baseline!$B:$B,2025))) / (SUMIFS(SSP2_Baseline!$E:$E,SSP2_Baseline!$C:$C,Results_list!$C$382,SSP2_Baseline!$D:$D,Results_list!$D392,SSP2_Baseline!$B:$B,2025))</f>
        <v>-2.3440911129362699E-2</v>
      </c>
      <c r="K392" s="16">
        <f>((SUMIFS(SSP2_VSI!$F:$F,SSP2_VSI!$C:$C,Results_list!$C$382,SSP2_VSI!$D:$D,Results_list!$D392,SSP2_VSI!$B:$B,2040)) - (SUMIFS(SSP2_VSI!$F:$F,SSP2_VSI!$C:$C,Results_list!$C$382,SSP2_VSI!$D:$D,Results_list!$D392,SSP2_VSI!$B:$B,2025))) / (SUMIFS(SSP2_VSI!$F:$F,SSP2_VSI!$C:$C,Results_list!$C$382,SSP2_VSI!$D:$D,Results_list!$D392,SSP2_VSI!$B:$B,2025))</f>
        <v>-6.0102255100860896E-2</v>
      </c>
      <c r="L392" s="13">
        <f t="shared" si="55"/>
        <v>-0.04</v>
      </c>
      <c r="M392" s="12">
        <f>((SUMIFS(SSP5_Baseline!$E:$E,SSP5_Baseline!$C:$C,Results_list!$C$382,SSP5_Baseline!$D:$D,Results_list!$D392,SSP5_Baseline!$B:$B,2040)) - (SUMIFS(SSP5_Baseline!$E:$E,SSP5_Baseline!$C:$C,Results_list!$C$382,SSP5_Baseline!$D:$D,Results_list!$D392,SSP5_Baseline!$B:$B,2025))) / (SUMIFS(SSP5_Baseline!$E:$E,SSP5_Baseline!$C:$C,Results_list!$C$382,SSP5_Baseline!$D:$D,Results_list!$D392,SSP5_Baseline!$B:$B,2025))</f>
        <v>-1.8267704965769512E-2</v>
      </c>
      <c r="N392" s="16">
        <f>((SUMIFS(SSP5_VSI!$F:$F,SSP5_VSI!$C:$C,Results_list!$C$382,SSP5_VSI!$D:$D,Results_list!$D392,SSP5_VSI!$B:$B,2040)) - (SUMIFS(SSP5_VSI!$F:$F,SSP5_VSI!$C:$C,Results_list!$C$382,SSP5_VSI!$D:$D,Results_list!$D392,SSP5_VSI!$B:$B,2025))) / (SUMIFS(SSP5_VSI!$F:$F,SSP5_VSI!$C:$C,Results_list!$C$382,SSP5_VSI!$D:$D,Results_list!$D392,SSP5_VSI!$B:$B,2025))</f>
        <v>-5.4841338025980846E-2</v>
      </c>
      <c r="O392" s="13">
        <f t="shared" si="56"/>
        <v>-0.04</v>
      </c>
    </row>
    <row r="393" spans="2:15" x14ac:dyDescent="0.35">
      <c r="B393" s="81"/>
      <c r="C393" s="87"/>
      <c r="D393" t="s">
        <v>50</v>
      </c>
      <c r="F393" s="3" t="s">
        <v>98</v>
      </c>
      <c r="G393" s="12">
        <f>((SUMIFS(SSP1_Baseline!$E:$E,SSP1_Baseline!$C:$C,Results_list!$C$382,SSP1_Baseline!$D:$D,Results_list!$D393,SSP1_Baseline!$B:$B,2040)) - (SUMIFS(SSP1_Baseline!$E:$E,SSP1_Baseline!$C:$C,Results_list!$C$382,SSP1_Baseline!$D:$D,Results_list!$D393,SSP1_Baseline!$B:$B,2025))) / (SUMIFS(SSP1_Baseline!$E:$E,SSP1_Baseline!$C:$C,Results_list!$C$382,SSP1_Baseline!$D:$D,Results_list!$D393,SSP1_Baseline!$B:$B,2025))</f>
        <v>-0.14760250819869281</v>
      </c>
      <c r="H393" s="16">
        <f>((SUMIFS(SSP1_VSI!$F:$F,SSP1_VSI!$C:$C,Results_list!$C$382,SSP1_VSI!$D:$D,Results_list!$D393,SSP1_VSI!$B:$B,2040)) - (SUMIFS(SSP1_VSI!$F:$F,SSP1_VSI!$C:$C,Results_list!$C$382,SSP1_VSI!$D:$D,Results_list!$D393,SSP1_VSI!$B:$B,2025))) / (SUMIFS(SSP1_VSI!$F:$F,SSP1_VSI!$C:$C,Results_list!$C$382,SSP1_VSI!$D:$D,Results_list!$D393,SSP1_VSI!$B:$B,2025))</f>
        <v>-0.14761070236350107</v>
      </c>
      <c r="I393" s="13">
        <f t="shared" si="54"/>
        <v>0</v>
      </c>
      <c r="J393" s="12">
        <f>((SUMIFS(SSP2_Baseline!$E:$E,SSP2_Baseline!$C:$C,Results_list!$C$382,SSP2_Baseline!$D:$D,Results_list!$D393,SSP2_Baseline!$B:$B,2040)) - (SUMIFS(SSP2_Baseline!$E:$E,SSP2_Baseline!$C:$C,Results_list!$C$382,SSP2_Baseline!$D:$D,Results_list!$D393,SSP2_Baseline!$B:$B,2025))) / (SUMIFS(SSP2_Baseline!$E:$E,SSP2_Baseline!$C:$C,Results_list!$C$382,SSP2_Baseline!$D:$D,Results_list!$D393,SSP2_Baseline!$B:$B,2025))</f>
        <v>9.4349516063729905E-3</v>
      </c>
      <c r="K393" s="16">
        <f>((SUMIFS(SSP2_VSI!$F:$F,SSP2_VSI!$C:$C,Results_list!$C$382,SSP2_VSI!$D:$D,Results_list!$D393,SSP2_VSI!$B:$B,2040)) - (SUMIFS(SSP2_VSI!$F:$F,SSP2_VSI!$C:$C,Results_list!$C$382,SSP2_VSI!$D:$D,Results_list!$D393,SSP2_VSI!$B:$B,2025))) / (SUMIFS(SSP2_VSI!$F:$F,SSP2_VSI!$C:$C,Results_list!$C$382,SSP2_VSI!$D:$D,Results_list!$D393,SSP2_VSI!$B:$B,2025))</f>
        <v>9.4349913308959376E-3</v>
      </c>
      <c r="L393" s="13">
        <f t="shared" si="55"/>
        <v>0</v>
      </c>
      <c r="M393" s="12">
        <f>((SUMIFS(SSP5_Baseline!$E:$E,SSP5_Baseline!$C:$C,Results_list!$C$382,SSP5_Baseline!$D:$D,Results_list!$D393,SSP5_Baseline!$B:$B,2040)) - (SUMIFS(SSP5_Baseline!$E:$E,SSP5_Baseline!$C:$C,Results_list!$C$382,SSP5_Baseline!$D:$D,Results_list!$D393,SSP5_Baseline!$B:$B,2025))) / (SUMIFS(SSP5_Baseline!$E:$E,SSP5_Baseline!$C:$C,Results_list!$C$382,SSP5_Baseline!$D:$D,Results_list!$D393,SSP5_Baseline!$B:$B,2025))</f>
        <v>0.1379251483749446</v>
      </c>
      <c r="N393" s="16">
        <f>((SUMIFS(SSP5_VSI!$F:$F,SSP5_VSI!$C:$C,Results_list!$C$382,SSP5_VSI!$D:$D,Results_list!$D393,SSP5_VSI!$B:$B,2040)) - (SUMIFS(SSP5_VSI!$F:$F,SSP5_VSI!$C:$C,Results_list!$C$382,SSP5_VSI!$D:$D,Results_list!$D393,SSP5_VSI!$B:$B,2025))) / (SUMIFS(SSP5_VSI!$F:$F,SSP5_VSI!$C:$C,Results_list!$C$382,SSP5_VSI!$D:$D,Results_list!$D393,SSP5_VSI!$B:$B,2025))</f>
        <v>0.13794029023609675</v>
      </c>
      <c r="O393" s="13">
        <f t="shared" si="56"/>
        <v>0</v>
      </c>
    </row>
    <row r="394" spans="2:15" x14ac:dyDescent="0.35">
      <c r="B394" s="81"/>
      <c r="C394" s="87"/>
      <c r="D394" t="s">
        <v>51</v>
      </c>
      <c r="F394" s="3" t="s">
        <v>99</v>
      </c>
      <c r="G394" s="12">
        <f>((SUMIFS(SSP1_Baseline!$E:$E,SSP1_Baseline!$C:$C,Results_list!$C$382,SSP1_Baseline!$D:$D,Results_list!$D394,SSP1_Baseline!$B:$B,2040)) - (SUMIFS(SSP1_Baseline!$E:$E,SSP1_Baseline!$C:$C,Results_list!$C$382,SSP1_Baseline!$D:$D,Results_list!$D394,SSP1_Baseline!$B:$B,2025))) / (SUMIFS(SSP1_Baseline!$E:$E,SSP1_Baseline!$C:$C,Results_list!$C$382,SSP1_Baseline!$D:$D,Results_list!$D394,SSP1_Baseline!$B:$B,2025))</f>
        <v>4.3181200217626496E-2</v>
      </c>
      <c r="H394" s="16">
        <f>((SUMIFS(SSP1_VSI!$F:$F,SSP1_VSI!$C:$C,Results_list!$C$382,SSP1_VSI!$D:$D,Results_list!$D394,SSP1_VSI!$B:$B,2040)) - (SUMIFS(SSP1_VSI!$F:$F,SSP1_VSI!$C:$C,Results_list!$C$382,SSP1_VSI!$D:$D,Results_list!$D394,SSP1_VSI!$B:$B,2025))) / (SUMIFS(SSP1_VSI!$F:$F,SSP1_VSI!$C:$C,Results_list!$C$382,SSP1_VSI!$D:$D,Results_list!$D394,SSP1_VSI!$B:$B,2025))</f>
        <v>4.3171925097718486E-2</v>
      </c>
      <c r="I394" s="13">
        <f t="shared" si="54"/>
        <v>0</v>
      </c>
      <c r="J394" s="12">
        <f>((SUMIFS(SSP2_Baseline!$E:$E,SSP2_Baseline!$C:$C,Results_list!$C$382,SSP2_Baseline!$D:$D,Results_list!$D394,SSP2_Baseline!$B:$B,2040)) - (SUMIFS(SSP2_Baseline!$E:$E,SSP2_Baseline!$C:$C,Results_list!$C$382,SSP2_Baseline!$D:$D,Results_list!$D394,SSP2_Baseline!$B:$B,2025))) / (SUMIFS(SSP2_Baseline!$E:$E,SSP2_Baseline!$C:$C,Results_list!$C$382,SSP2_Baseline!$D:$D,Results_list!$D394,SSP2_Baseline!$B:$B,2025))</f>
        <v>3.8639018752020769E-2</v>
      </c>
      <c r="K394" s="16">
        <f>((SUMIFS(SSP2_VSI!$F:$F,SSP2_VSI!$C:$C,Results_list!$C$382,SSP2_VSI!$D:$D,Results_list!$D394,SSP2_VSI!$B:$B,2040)) - (SUMIFS(SSP2_VSI!$F:$F,SSP2_VSI!$C:$C,Results_list!$C$382,SSP2_VSI!$D:$D,Results_list!$D394,SSP2_VSI!$B:$B,2025))) / (SUMIFS(SSP2_VSI!$F:$F,SSP2_VSI!$C:$C,Results_list!$C$382,SSP2_VSI!$D:$D,Results_list!$D394,SSP2_VSI!$B:$B,2025))</f>
        <v>3.8585103429026553E-2</v>
      </c>
      <c r="L394" s="13">
        <f t="shared" si="55"/>
        <v>0</v>
      </c>
      <c r="M394" s="12">
        <f>((SUMIFS(SSP5_Baseline!$E:$E,SSP5_Baseline!$C:$C,Results_list!$C$382,SSP5_Baseline!$D:$D,Results_list!$D394,SSP5_Baseline!$B:$B,2040)) - (SUMIFS(SSP5_Baseline!$E:$E,SSP5_Baseline!$C:$C,Results_list!$C$382,SSP5_Baseline!$D:$D,Results_list!$D394,SSP5_Baseline!$B:$B,2025))) / (SUMIFS(SSP5_Baseline!$E:$E,SSP5_Baseline!$C:$C,Results_list!$C$382,SSP5_Baseline!$D:$D,Results_list!$D394,SSP5_Baseline!$B:$B,2025))</f>
        <v>2.6802039954503332E-3</v>
      </c>
      <c r="N394" s="16">
        <f>((SUMIFS(SSP5_VSI!$F:$F,SSP5_VSI!$C:$C,Results_list!$C$382,SSP5_VSI!$D:$D,Results_list!$D394,SSP5_VSI!$B:$B,2040)) - (SUMIFS(SSP5_VSI!$F:$F,SSP5_VSI!$C:$C,Results_list!$C$382,SSP5_VSI!$D:$D,Results_list!$D394,SSP5_VSI!$B:$B,2025))) / (SUMIFS(SSP5_VSI!$F:$F,SSP5_VSI!$C:$C,Results_list!$C$382,SSP5_VSI!$D:$D,Results_list!$D394,SSP5_VSI!$B:$B,2025))</f>
        <v>2.7020846444032573E-3</v>
      </c>
      <c r="O394" s="13">
        <f t="shared" si="56"/>
        <v>0</v>
      </c>
    </row>
    <row r="395" spans="2:15" x14ac:dyDescent="0.35">
      <c r="B395" s="81"/>
      <c r="C395" s="87"/>
      <c r="D395" t="s">
        <v>52</v>
      </c>
      <c r="F395" s="3" t="s">
        <v>100</v>
      </c>
      <c r="G395" s="12">
        <f>((SUMIFS(SSP1_Baseline!$E:$E,SSP1_Baseline!$C:$C,Results_list!$C$382,SSP1_Baseline!$D:$D,Results_list!$D395,SSP1_Baseline!$B:$B,2040)) - (SUMIFS(SSP1_Baseline!$E:$E,SSP1_Baseline!$C:$C,Results_list!$C$382,SSP1_Baseline!$D:$D,Results_list!$D395,SSP1_Baseline!$B:$B,2025))) / (SUMIFS(SSP1_Baseline!$E:$E,SSP1_Baseline!$C:$C,Results_list!$C$382,SSP1_Baseline!$D:$D,Results_list!$D395,SSP1_Baseline!$B:$B,2025))</f>
        <v>-0.42564888001747625</v>
      </c>
      <c r="H395" s="16">
        <f>((SUMIFS(SSP1_VSI!$F:$F,SSP1_VSI!$C:$C,Results_list!$C$382,SSP1_VSI!$D:$D,Results_list!$D395,SSP1_VSI!$B:$B,2040)) - (SUMIFS(SSP1_VSI!$F:$F,SSP1_VSI!$C:$C,Results_list!$C$382,SSP1_VSI!$D:$D,Results_list!$D395,SSP1_VSI!$B:$B,2025))) / (SUMIFS(SSP1_VSI!$F:$F,SSP1_VSI!$C:$C,Results_list!$C$382,SSP1_VSI!$D:$D,Results_list!$D395,SSP1_VSI!$B:$B,2025))</f>
        <v>-0.42561147849749836</v>
      </c>
      <c r="I395" s="13">
        <f t="shared" si="54"/>
        <v>0</v>
      </c>
      <c r="J395" s="12">
        <f>((SUMIFS(SSP2_Baseline!$E:$E,SSP2_Baseline!$C:$C,Results_list!$C$382,SSP2_Baseline!$D:$D,Results_list!$D395,SSP2_Baseline!$B:$B,2040)) - (SUMIFS(SSP2_Baseline!$E:$E,SSP2_Baseline!$C:$C,Results_list!$C$382,SSP2_Baseline!$D:$D,Results_list!$D395,SSP2_Baseline!$B:$B,2025))) / (SUMIFS(SSP2_Baseline!$E:$E,SSP2_Baseline!$C:$C,Results_list!$C$382,SSP2_Baseline!$D:$D,Results_list!$D395,SSP2_Baseline!$B:$B,2025))</f>
        <v>-0.34632965768517965</v>
      </c>
      <c r="K395" s="16">
        <f>((SUMIFS(SSP2_VSI!$F:$F,SSP2_VSI!$C:$C,Results_list!$C$382,SSP2_VSI!$D:$D,Results_list!$D395,SSP2_VSI!$B:$B,2040)) - (SUMIFS(SSP2_VSI!$F:$F,SSP2_VSI!$C:$C,Results_list!$C$382,SSP2_VSI!$D:$D,Results_list!$D395,SSP2_VSI!$B:$B,2025))) / (SUMIFS(SSP2_VSI!$F:$F,SSP2_VSI!$C:$C,Results_list!$C$382,SSP2_VSI!$D:$D,Results_list!$D395,SSP2_VSI!$B:$B,2025))</f>
        <v>-0.34623976409600604</v>
      </c>
      <c r="L395" s="13">
        <f t="shared" si="55"/>
        <v>0</v>
      </c>
      <c r="M395" s="12">
        <f>((SUMIFS(SSP5_Baseline!$E:$E,SSP5_Baseline!$C:$C,Results_list!$C$382,SSP5_Baseline!$D:$D,Results_list!$D395,SSP5_Baseline!$B:$B,2040)) - (SUMIFS(SSP5_Baseline!$E:$E,SSP5_Baseline!$C:$C,Results_list!$C$382,SSP5_Baseline!$D:$D,Results_list!$D395,SSP5_Baseline!$B:$B,2025))) / (SUMIFS(SSP5_Baseline!$E:$E,SSP5_Baseline!$C:$C,Results_list!$C$382,SSP5_Baseline!$D:$D,Results_list!$D395,SSP5_Baseline!$B:$B,2025))</f>
        <v>-0.40535520345795173</v>
      </c>
      <c r="N395" s="16">
        <f>((SUMIFS(SSP5_VSI!$F:$F,SSP5_VSI!$C:$C,Results_list!$C$382,SSP5_VSI!$D:$D,Results_list!$D395,SSP5_VSI!$B:$B,2040)) - (SUMIFS(SSP5_VSI!$F:$F,SSP5_VSI!$C:$C,Results_list!$C$382,SSP5_VSI!$D:$D,Results_list!$D395,SSP5_VSI!$B:$B,2025))) / (SUMIFS(SSP5_VSI!$F:$F,SSP5_VSI!$C:$C,Results_list!$C$382,SSP5_VSI!$D:$D,Results_list!$D395,SSP5_VSI!$B:$B,2025))</f>
        <v>-0.40529047384786043</v>
      </c>
      <c r="O395" s="13">
        <f t="shared" si="56"/>
        <v>0</v>
      </c>
    </row>
    <row r="396" spans="2:15" x14ac:dyDescent="0.35">
      <c r="B396" s="81"/>
      <c r="C396" s="87"/>
      <c r="D396" t="s">
        <v>53</v>
      </c>
      <c r="F396" s="3" t="s">
        <v>101</v>
      </c>
      <c r="G396" s="12">
        <f>((SUMIFS(SSP1_Baseline!$E:$E,SSP1_Baseline!$C:$C,Results_list!$C$382,SSP1_Baseline!$D:$D,Results_list!$D396,SSP1_Baseline!$B:$B,2040)) - (SUMIFS(SSP1_Baseline!$E:$E,SSP1_Baseline!$C:$C,Results_list!$C$382,SSP1_Baseline!$D:$D,Results_list!$D396,SSP1_Baseline!$B:$B,2025))) / (SUMIFS(SSP1_Baseline!$E:$E,SSP1_Baseline!$C:$C,Results_list!$C$382,SSP1_Baseline!$D:$D,Results_list!$D396,SSP1_Baseline!$B:$B,2025))</f>
        <v>-0.19233532486327495</v>
      </c>
      <c r="H396" s="16">
        <f>((SUMIFS(SSP1_VSI!$F:$F,SSP1_VSI!$C:$C,Results_list!$C$382,SSP1_VSI!$D:$D,Results_list!$D396,SSP1_VSI!$B:$B,2040)) - (SUMIFS(SSP1_VSI!$F:$F,SSP1_VSI!$C:$C,Results_list!$C$382,SSP1_VSI!$D:$D,Results_list!$D396,SSP1_VSI!$B:$B,2025))) / (SUMIFS(SSP1_VSI!$F:$F,SSP1_VSI!$C:$C,Results_list!$C$382,SSP1_VSI!$D:$D,Results_list!$D396,SSP1_VSI!$B:$B,2025))</f>
        <v>-0.19240018868879502</v>
      </c>
      <c r="I396" s="13">
        <f t="shared" si="54"/>
        <v>0</v>
      </c>
      <c r="J396" s="12">
        <f>((SUMIFS(SSP2_Baseline!$E:$E,SSP2_Baseline!$C:$C,Results_list!$C$382,SSP2_Baseline!$D:$D,Results_list!$D396,SSP2_Baseline!$B:$B,2040)) - (SUMIFS(SSP2_Baseline!$E:$E,SSP2_Baseline!$C:$C,Results_list!$C$382,SSP2_Baseline!$D:$D,Results_list!$D396,SSP2_Baseline!$B:$B,2025))) / (SUMIFS(SSP2_Baseline!$E:$E,SSP2_Baseline!$C:$C,Results_list!$C$382,SSP2_Baseline!$D:$D,Results_list!$D396,SSP2_Baseline!$B:$B,2025))</f>
        <v>-0.1901688804933408</v>
      </c>
      <c r="K396" s="16">
        <f>((SUMIFS(SSP2_VSI!$F:$F,SSP2_VSI!$C:$C,Results_list!$C$382,SSP2_VSI!$D:$D,Results_list!$D396,SSP2_VSI!$B:$B,2040)) - (SUMIFS(SSP2_VSI!$F:$F,SSP2_VSI!$C:$C,Results_list!$C$382,SSP2_VSI!$D:$D,Results_list!$D396,SSP2_VSI!$B:$B,2025))) / (SUMIFS(SSP2_VSI!$F:$F,SSP2_VSI!$C:$C,Results_list!$C$382,SSP2_VSI!$D:$D,Results_list!$D396,SSP2_VSI!$B:$B,2025))</f>
        <v>-0.19015836896540259</v>
      </c>
      <c r="L396" s="13">
        <f t="shared" si="55"/>
        <v>0</v>
      </c>
      <c r="M396" s="12">
        <f>((SUMIFS(SSP5_Baseline!$E:$E,SSP5_Baseline!$C:$C,Results_list!$C$382,SSP5_Baseline!$D:$D,Results_list!$D396,SSP5_Baseline!$B:$B,2040)) - (SUMIFS(SSP5_Baseline!$E:$E,SSP5_Baseline!$C:$C,Results_list!$C$382,SSP5_Baseline!$D:$D,Results_list!$D396,SSP5_Baseline!$B:$B,2025))) / (SUMIFS(SSP5_Baseline!$E:$E,SSP5_Baseline!$C:$C,Results_list!$C$382,SSP5_Baseline!$D:$D,Results_list!$D396,SSP5_Baseline!$B:$B,2025))</f>
        <v>2.2559458399237259E-2</v>
      </c>
      <c r="N396" s="16">
        <f>((SUMIFS(SSP5_VSI!$F:$F,SSP5_VSI!$C:$C,Results_list!$C$382,SSP5_VSI!$D:$D,Results_list!$D396,SSP5_VSI!$B:$B,2040)) - (SUMIFS(SSP5_VSI!$F:$F,SSP5_VSI!$C:$C,Results_list!$C$382,SSP5_VSI!$D:$D,Results_list!$D396,SSP5_VSI!$B:$B,2025))) / (SUMIFS(SSP5_VSI!$F:$F,SSP5_VSI!$C:$C,Results_list!$C$382,SSP5_VSI!$D:$D,Results_list!$D396,SSP5_VSI!$B:$B,2025))</f>
        <v>2.2589389671941851E-2</v>
      </c>
      <c r="O396" s="13">
        <f t="shared" si="56"/>
        <v>0</v>
      </c>
    </row>
    <row r="397" spans="2:15" x14ac:dyDescent="0.35">
      <c r="B397" s="81"/>
      <c r="C397" s="87"/>
      <c r="D397" t="s">
        <v>54</v>
      </c>
      <c r="F397" s="3" t="s">
        <v>102</v>
      </c>
      <c r="G397" s="12">
        <f>((SUMIFS(SSP1_Baseline!$E:$E,SSP1_Baseline!$C:$C,Results_list!$C$382,SSP1_Baseline!$D:$D,Results_list!$D397,SSP1_Baseline!$B:$B,2040)) - (SUMIFS(SSP1_Baseline!$E:$E,SSP1_Baseline!$C:$C,Results_list!$C$382,SSP1_Baseline!$D:$D,Results_list!$D397,SSP1_Baseline!$B:$B,2025))) / (SUMIFS(SSP1_Baseline!$E:$E,SSP1_Baseline!$C:$C,Results_list!$C$382,SSP1_Baseline!$D:$D,Results_list!$D397,SSP1_Baseline!$B:$B,2025))</f>
        <v>1.7746962137281922E-4</v>
      </c>
      <c r="H397" s="16">
        <f>((SUMIFS(SSP1_VSI!$F:$F,SSP1_VSI!$C:$C,Results_list!$C$382,SSP1_VSI!$D:$D,Results_list!$D397,SSP1_VSI!$B:$B,2040)) - (SUMIFS(SSP1_VSI!$F:$F,SSP1_VSI!$C:$C,Results_list!$C$382,SSP1_VSI!$D:$D,Results_list!$D397,SSP1_VSI!$B:$B,2025))) / (SUMIFS(SSP1_VSI!$F:$F,SSP1_VSI!$C:$C,Results_list!$C$382,SSP1_VSI!$D:$D,Results_list!$D397,SSP1_VSI!$B:$B,2025))</f>
        <v>-0.14679707832884814</v>
      </c>
      <c r="I397" s="13">
        <f t="shared" si="54"/>
        <v>-0.14699999999999999</v>
      </c>
      <c r="J397" s="12">
        <f>((SUMIFS(SSP2_Baseline!$E:$E,SSP2_Baseline!$C:$C,Results_list!$C$382,SSP2_Baseline!$D:$D,Results_list!$D397,SSP2_Baseline!$B:$B,2040)) - (SUMIFS(SSP2_Baseline!$E:$E,SSP2_Baseline!$C:$C,Results_list!$C$382,SSP2_Baseline!$D:$D,Results_list!$D397,SSP2_Baseline!$B:$B,2025))) / (SUMIFS(SSP2_Baseline!$E:$E,SSP2_Baseline!$C:$C,Results_list!$C$382,SSP2_Baseline!$D:$D,Results_list!$D397,SSP2_Baseline!$B:$B,2025))</f>
        <v>1.6105120493471515E-3</v>
      </c>
      <c r="K397" s="16">
        <f>((SUMIFS(SSP2_VSI!$F:$F,SSP2_VSI!$C:$C,Results_list!$C$382,SSP2_VSI!$D:$D,Results_list!$D397,SSP2_VSI!$B:$B,2040)) - (SUMIFS(SSP2_VSI!$F:$F,SSP2_VSI!$C:$C,Results_list!$C$382,SSP2_VSI!$D:$D,Results_list!$D397,SSP2_VSI!$B:$B,2025))) / (SUMIFS(SSP2_VSI!$F:$F,SSP2_VSI!$C:$C,Results_list!$C$382,SSP2_VSI!$D:$D,Results_list!$D397,SSP2_VSI!$B:$B,2025))</f>
        <v>-0.14682224397881927</v>
      </c>
      <c r="L397" s="13">
        <f t="shared" si="55"/>
        <v>-0.15</v>
      </c>
      <c r="M397" s="12">
        <f>((SUMIFS(SSP5_Baseline!$E:$E,SSP5_Baseline!$C:$C,Results_list!$C$382,SSP5_Baseline!$D:$D,Results_list!$D397,SSP5_Baseline!$B:$B,2040)) - (SUMIFS(SSP5_Baseline!$E:$E,SSP5_Baseline!$C:$C,Results_list!$C$382,SSP5_Baseline!$D:$D,Results_list!$D397,SSP5_Baseline!$B:$B,2025))) / (SUMIFS(SSP5_Baseline!$E:$E,SSP5_Baseline!$C:$C,Results_list!$C$382,SSP5_Baseline!$D:$D,Results_list!$D397,SSP5_Baseline!$B:$B,2025))</f>
        <v>4.3796522701138485E-2</v>
      </c>
      <c r="N397" s="16">
        <f>((SUMIFS(SSP5_VSI!$F:$F,SSP5_VSI!$C:$C,Results_list!$C$382,SSP5_VSI!$D:$D,Results_list!$D397,SSP5_VSI!$B:$B,2040)) - (SUMIFS(SSP5_VSI!$F:$F,SSP5_VSI!$C:$C,Results_list!$C$382,SSP5_VSI!$D:$D,Results_list!$D397,SSP5_VSI!$B:$B,2025))) / (SUMIFS(SSP5_VSI!$F:$F,SSP5_VSI!$C:$C,Results_list!$C$382,SSP5_VSI!$D:$D,Results_list!$D397,SSP5_VSI!$B:$B,2025))</f>
        <v>-0.10379062127485239</v>
      </c>
      <c r="O397" s="13">
        <f t="shared" si="56"/>
        <v>-0.15</v>
      </c>
    </row>
    <row r="398" spans="2:15" x14ac:dyDescent="0.35">
      <c r="B398" s="81"/>
      <c r="C398" s="87"/>
      <c r="D398" t="s">
        <v>55</v>
      </c>
      <c r="F398" s="3" t="s">
        <v>103</v>
      </c>
      <c r="G398" s="12">
        <f>((SUMIFS(SSP1_Baseline!$E:$E,SSP1_Baseline!$C:$C,Results_list!$C$382,SSP1_Baseline!$D:$D,Results_list!$D398,SSP1_Baseline!$B:$B,2040)) - (SUMIFS(SSP1_Baseline!$E:$E,SSP1_Baseline!$C:$C,Results_list!$C$382,SSP1_Baseline!$D:$D,Results_list!$D398,SSP1_Baseline!$B:$B,2025))) / (SUMIFS(SSP1_Baseline!$E:$E,SSP1_Baseline!$C:$C,Results_list!$C$382,SSP1_Baseline!$D:$D,Results_list!$D398,SSP1_Baseline!$B:$B,2025))</f>
        <v>-2.4671731629592681E-3</v>
      </c>
      <c r="H398" s="16">
        <f>((SUMIFS(SSP1_VSI!$F:$F,SSP1_VSI!$C:$C,Results_list!$C$382,SSP1_VSI!$D:$D,Results_list!$D398,SSP1_VSI!$B:$B,2040)) - (SUMIFS(SSP1_VSI!$F:$F,SSP1_VSI!$C:$C,Results_list!$C$382,SSP1_VSI!$D:$D,Results_list!$D398,SSP1_VSI!$B:$B,2025))) / (SUMIFS(SSP1_VSI!$F:$F,SSP1_VSI!$C:$C,Results_list!$C$382,SSP1_VSI!$D:$D,Results_list!$D398,SSP1_VSI!$B:$B,2025))</f>
        <v>-0.15890316674967894</v>
      </c>
      <c r="I398" s="13">
        <f t="shared" si="54"/>
        <v>-0.156</v>
      </c>
      <c r="J398" s="12">
        <f>((SUMIFS(SSP2_Baseline!$E:$E,SSP2_Baseline!$C:$C,Results_list!$C$382,SSP2_Baseline!$D:$D,Results_list!$D398,SSP2_Baseline!$B:$B,2040)) - (SUMIFS(SSP2_Baseline!$E:$E,SSP2_Baseline!$C:$C,Results_list!$C$382,SSP2_Baseline!$D:$D,Results_list!$D398,SSP2_Baseline!$B:$B,2025))) / (SUMIFS(SSP2_Baseline!$E:$E,SSP2_Baseline!$C:$C,Results_list!$C$382,SSP2_Baseline!$D:$D,Results_list!$D398,SSP2_Baseline!$B:$B,2025))</f>
        <v>-2.275445944955498E-3</v>
      </c>
      <c r="K398" s="16">
        <f>((SUMIFS(SSP2_VSI!$F:$F,SSP2_VSI!$C:$C,Results_list!$C$382,SSP2_VSI!$D:$D,Results_list!$D398,SSP2_VSI!$B:$B,2040)) - (SUMIFS(SSP2_VSI!$F:$F,SSP2_VSI!$C:$C,Results_list!$C$382,SSP2_VSI!$D:$D,Results_list!$D398,SSP2_VSI!$B:$B,2025))) / (SUMIFS(SSP2_VSI!$F:$F,SSP2_VSI!$C:$C,Results_list!$C$382,SSP2_VSI!$D:$D,Results_list!$D398,SSP2_VSI!$B:$B,2025))</f>
        <v>-0.16002563713243201</v>
      </c>
      <c r="L398" s="13">
        <f t="shared" si="55"/>
        <v>-0.16</v>
      </c>
      <c r="M398" s="12">
        <f>((SUMIFS(SSP5_Baseline!$E:$E,SSP5_Baseline!$C:$C,Results_list!$C$382,SSP5_Baseline!$D:$D,Results_list!$D398,SSP5_Baseline!$B:$B,2040)) - (SUMIFS(SSP5_Baseline!$E:$E,SSP5_Baseline!$C:$C,Results_list!$C$382,SSP5_Baseline!$D:$D,Results_list!$D398,SSP5_Baseline!$B:$B,2025))) / (SUMIFS(SSP5_Baseline!$E:$E,SSP5_Baseline!$C:$C,Results_list!$C$382,SSP5_Baseline!$D:$D,Results_list!$D398,SSP5_Baseline!$B:$B,2025))</f>
        <v>3.9837714773587031E-2</v>
      </c>
      <c r="N398" s="16">
        <f>((SUMIFS(SSP5_VSI!$F:$F,SSP5_VSI!$C:$C,Results_list!$C$382,SSP5_VSI!$D:$D,Results_list!$D398,SSP5_VSI!$B:$B,2040)) - (SUMIFS(SSP5_VSI!$F:$F,SSP5_VSI!$C:$C,Results_list!$C$382,SSP5_VSI!$D:$D,Results_list!$D398,SSP5_VSI!$B:$B,2025))) / (SUMIFS(SSP5_VSI!$F:$F,SSP5_VSI!$C:$C,Results_list!$C$382,SSP5_VSI!$D:$D,Results_list!$D398,SSP5_VSI!$B:$B,2025))</f>
        <v>-0.1169822665807682</v>
      </c>
      <c r="O398" s="13">
        <f t="shared" si="56"/>
        <v>-0.16</v>
      </c>
    </row>
    <row r="399" spans="2:15" x14ac:dyDescent="0.35">
      <c r="B399" s="82"/>
      <c r="C399" s="88"/>
      <c r="D399" s="20" t="s">
        <v>56</v>
      </c>
      <c r="E399" s="20"/>
      <c r="F399" s="9" t="s">
        <v>104</v>
      </c>
      <c r="G399" s="14">
        <f>((SUMIFS(SSP1_Baseline!$E:$E,SSP1_Baseline!$C:$C,Results_list!$C$382,SSP1_Baseline!$D:$D,Results_list!$D399,SSP1_Baseline!$B:$B,2040)) - (SUMIFS(SSP1_Baseline!$E:$E,SSP1_Baseline!$C:$C,Results_list!$C$382,SSP1_Baseline!$D:$D,Results_list!$D399,SSP1_Baseline!$B:$B,2025))) / (SUMIFS(SSP1_Baseline!$E:$E,SSP1_Baseline!$C:$C,Results_list!$C$382,SSP1_Baseline!$D:$D,Results_list!$D399,SSP1_Baseline!$B:$B,2025))</f>
        <v>-0.18097253892135315</v>
      </c>
      <c r="H399" s="17">
        <f>((SUMIFS(SSP1_VSI!$F:$F,SSP1_VSI!$C:$C,Results_list!$C$382,SSP1_VSI!$D:$D,Results_list!$D399,SSP1_VSI!$B:$B,2040)) - (SUMIFS(SSP1_VSI!$F:$F,SSP1_VSI!$C:$C,Results_list!$C$382,SSP1_VSI!$D:$D,Results_list!$D399,SSP1_VSI!$B:$B,2025))) / (SUMIFS(SSP1_VSI!$F:$F,SSP1_VSI!$C:$C,Results_list!$C$382,SSP1_VSI!$D:$D,Results_list!$D399,SSP1_VSI!$B:$B,2025))</f>
        <v>-0.18100321888839657</v>
      </c>
      <c r="I399" s="15">
        <f t="shared" si="54"/>
        <v>0</v>
      </c>
      <c r="J399" s="14">
        <f>((SUMIFS(SSP2_Baseline!$E:$E,SSP2_Baseline!$C:$C,Results_list!$C$382,SSP2_Baseline!$D:$D,Results_list!$D399,SSP2_Baseline!$B:$B,2040)) - (SUMIFS(SSP2_Baseline!$E:$E,SSP2_Baseline!$C:$C,Results_list!$C$382,SSP2_Baseline!$D:$D,Results_list!$D399,SSP2_Baseline!$B:$B,2025))) / (SUMIFS(SSP2_Baseline!$E:$E,SSP2_Baseline!$C:$C,Results_list!$C$382,SSP2_Baseline!$D:$D,Results_list!$D399,SSP2_Baseline!$B:$B,2025))</f>
        <v>-0.19368382236893517</v>
      </c>
      <c r="K399" s="17">
        <f>((SUMIFS(SSP2_VSI!$F:$F,SSP2_VSI!$C:$C,Results_list!$C$382,SSP2_VSI!$D:$D,Results_list!$D399,SSP2_VSI!$B:$B,2040)) - (SUMIFS(SSP2_VSI!$F:$F,SSP2_VSI!$C:$C,Results_list!$C$382,SSP2_VSI!$D:$D,Results_list!$D399,SSP2_VSI!$B:$B,2025))) / (SUMIFS(SSP2_VSI!$F:$F,SSP2_VSI!$C:$C,Results_list!$C$382,SSP2_VSI!$D:$D,Results_list!$D399,SSP2_VSI!$B:$B,2025))</f>
        <v>-0.19371568520896831</v>
      </c>
      <c r="L399" s="15">
        <f t="shared" si="55"/>
        <v>0</v>
      </c>
      <c r="M399" s="14">
        <f>((SUMIFS(SSP5_Baseline!$E:$E,SSP5_Baseline!$C:$C,Results_list!$C$382,SSP5_Baseline!$D:$D,Results_list!$D399,SSP5_Baseline!$B:$B,2040)) - (SUMIFS(SSP5_Baseline!$E:$E,SSP5_Baseline!$C:$C,Results_list!$C$382,SSP5_Baseline!$D:$D,Results_list!$D399,SSP5_Baseline!$B:$B,2025))) / (SUMIFS(SSP5_Baseline!$E:$E,SSP5_Baseline!$C:$C,Results_list!$C$382,SSP5_Baseline!$D:$D,Results_list!$D399,SSP5_Baseline!$B:$B,2025))</f>
        <v>-3.3911982915262449E-2</v>
      </c>
      <c r="N399" s="17">
        <f>((SUMIFS(SSP5_VSI!$F:$F,SSP5_VSI!$C:$C,Results_list!$C$382,SSP5_VSI!$D:$D,Results_list!$D399,SSP5_VSI!$B:$B,2040)) - (SUMIFS(SSP5_VSI!$F:$F,SSP5_VSI!$C:$C,Results_list!$C$382,SSP5_VSI!$D:$D,Results_list!$D399,SSP5_VSI!$B:$B,2025))) / (SUMIFS(SSP5_VSI!$F:$F,SSP5_VSI!$C:$C,Results_list!$C$382,SSP5_VSI!$D:$D,Results_list!$D399,SSP5_VSI!$B:$B,2025))</f>
        <v>-3.3887555283958197E-2</v>
      </c>
      <c r="O399" s="15">
        <f t="shared" si="56"/>
        <v>0</v>
      </c>
    </row>
  </sheetData>
  <mergeCells count="57">
    <mergeCell ref="B4:B21"/>
    <mergeCell ref="B67:B84"/>
    <mergeCell ref="C67:C84"/>
    <mergeCell ref="C4:C21"/>
    <mergeCell ref="C88:C105"/>
    <mergeCell ref="C130:C147"/>
    <mergeCell ref="G2:O2"/>
    <mergeCell ref="G44:O44"/>
    <mergeCell ref="B46:B63"/>
    <mergeCell ref="C46:C63"/>
    <mergeCell ref="G65:O65"/>
    <mergeCell ref="G23:O23"/>
    <mergeCell ref="B25:B42"/>
    <mergeCell ref="C25:C42"/>
    <mergeCell ref="B88:B105"/>
    <mergeCell ref="G86:O86"/>
    <mergeCell ref="G107:O107"/>
    <mergeCell ref="B109:B126"/>
    <mergeCell ref="C109:C126"/>
    <mergeCell ref="B130:B147"/>
    <mergeCell ref="G128:O128"/>
    <mergeCell ref="G254:O254"/>
    <mergeCell ref="B151:B168"/>
    <mergeCell ref="G149:O149"/>
    <mergeCell ref="B172:B189"/>
    <mergeCell ref="G170:O170"/>
    <mergeCell ref="C151:C168"/>
    <mergeCell ref="C172:C189"/>
    <mergeCell ref="B193:B210"/>
    <mergeCell ref="B214:B231"/>
    <mergeCell ref="G191:O191"/>
    <mergeCell ref="G212:O212"/>
    <mergeCell ref="B235:B252"/>
    <mergeCell ref="G233:O233"/>
    <mergeCell ref="C193:C210"/>
    <mergeCell ref="C214:C231"/>
    <mergeCell ref="C235:C252"/>
    <mergeCell ref="B361:B378"/>
    <mergeCell ref="G359:O359"/>
    <mergeCell ref="G380:O380"/>
    <mergeCell ref="B382:B399"/>
    <mergeCell ref="B319:B336"/>
    <mergeCell ref="C361:C378"/>
    <mergeCell ref="C382:C399"/>
    <mergeCell ref="G317:O317"/>
    <mergeCell ref="G338:O338"/>
    <mergeCell ref="B340:B357"/>
    <mergeCell ref="C340:C357"/>
    <mergeCell ref="B256:B273"/>
    <mergeCell ref="C319:C336"/>
    <mergeCell ref="B277:B294"/>
    <mergeCell ref="G275:O275"/>
    <mergeCell ref="B298:B315"/>
    <mergeCell ref="G296:O296"/>
    <mergeCell ref="C277:C294"/>
    <mergeCell ref="C298:C315"/>
    <mergeCell ref="C256:C273"/>
  </mergeCells>
  <conditionalFormatting sqref="E193:E210">
    <cfRule type="colorScale" priority="12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2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214:E231">
    <cfRule type="colorScale" priority="11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1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19:E336">
    <cfRule type="colorScale" priority="8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8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8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40:E357">
    <cfRule type="colorScale" priority="7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7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7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4:O21">
    <cfRule type="colorScale" priority="23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8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3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5:O42">
    <cfRule type="colorScale" priority="16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6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6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46:O63">
    <cfRule type="colorScale" priority="15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5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67:O84">
    <cfRule type="colorScale" priority="17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6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7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88:O105">
    <cfRule type="colorScale" priority="15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5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109:O126">
    <cfRule type="colorScale" priority="14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4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4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130:O147">
    <cfRule type="colorScale" priority="13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4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4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151:O168">
    <cfRule type="colorScale" priority="13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3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172:O189">
    <cfRule type="colorScale" priority="12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2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193:O210">
    <cfRule type="colorScale" priority="6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14:O231">
    <cfRule type="colorScale" priority="5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35:O252">
    <cfRule type="colorScale" priority="10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0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0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56:O273">
    <cfRule type="colorScale" priority="10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0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0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77:O294">
    <cfRule type="colorScale" priority="9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9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9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98:O315">
    <cfRule type="colorScale" priority="8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8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8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19:O336">
    <cfRule type="colorScale" priority="5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40:O357">
    <cfRule type="colorScale" priority="5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61:O378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82:O399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3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3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C5B5-5385-45F6-8748-50A54F78CC95}">
  <dimension ref="B2:BH105"/>
  <sheetViews>
    <sheetView showGridLines="0" zoomScale="85" zoomScaleNormal="85" workbookViewId="0">
      <selection activeCell="BL3" sqref="BL3"/>
    </sheetView>
  </sheetViews>
  <sheetFormatPr defaultRowHeight="14.5" x14ac:dyDescent="0.35"/>
  <cols>
    <col min="2" max="2" width="13.36328125" customWidth="1"/>
    <col min="3" max="5" width="0" hidden="1" customWidth="1"/>
    <col min="7" max="8" width="6.90625" customWidth="1"/>
    <col min="9" max="9" width="5.453125" customWidth="1"/>
    <col min="10" max="11" width="6.90625" customWidth="1"/>
    <col min="12" max="12" width="5.453125" customWidth="1"/>
    <col min="13" max="14" width="6.90625" customWidth="1"/>
    <col min="15" max="15" width="5.453125" customWidth="1"/>
    <col min="16" max="16" width="3.54296875" customWidth="1"/>
    <col min="17" max="17" width="13.36328125" customWidth="1"/>
    <col min="18" max="20" width="0" hidden="1" customWidth="1"/>
    <col min="22" max="23" width="6.90625" customWidth="1"/>
    <col min="24" max="24" width="5.453125" customWidth="1"/>
    <col min="25" max="26" width="6.90625" customWidth="1"/>
    <col min="27" max="27" width="5.453125" customWidth="1"/>
    <col min="28" max="29" width="6.90625" customWidth="1"/>
    <col min="30" max="30" width="5.453125" customWidth="1"/>
    <col min="31" max="31" width="3.54296875" customWidth="1"/>
    <col min="32" max="32" width="13.36328125" customWidth="1"/>
    <col min="33" max="35" width="0" hidden="1" customWidth="1"/>
    <col min="37" max="38" width="6.90625" customWidth="1"/>
    <col min="39" max="39" width="5.453125" customWidth="1"/>
    <col min="40" max="41" width="6.90625" customWidth="1"/>
    <col min="42" max="42" width="5.453125" customWidth="1"/>
    <col min="43" max="44" width="6.90625" customWidth="1"/>
    <col min="45" max="45" width="5.453125" customWidth="1"/>
    <col min="46" max="46" width="3.54296875" customWidth="1"/>
    <col min="47" max="47" width="13.36328125" customWidth="1"/>
    <col min="48" max="50" width="0" hidden="1" customWidth="1"/>
    <col min="52" max="53" width="6.90625" customWidth="1"/>
    <col min="54" max="54" width="5.453125" customWidth="1"/>
    <col min="55" max="56" width="6.90625" customWidth="1"/>
    <col min="57" max="57" width="5.453125" customWidth="1"/>
    <col min="58" max="59" width="6.90625" customWidth="1"/>
    <col min="60" max="60" width="5.453125" customWidth="1"/>
  </cols>
  <sheetData>
    <row r="2" spans="2:60" x14ac:dyDescent="0.35">
      <c r="F2" s="2"/>
      <c r="G2" s="78" t="s">
        <v>3</v>
      </c>
      <c r="H2" s="79"/>
      <c r="I2" s="79"/>
      <c r="J2" s="79"/>
      <c r="K2" s="79"/>
      <c r="L2" s="79"/>
      <c r="M2" s="79"/>
      <c r="N2" s="79"/>
      <c r="O2" s="80"/>
      <c r="U2" s="2"/>
      <c r="V2" s="78" t="s">
        <v>3</v>
      </c>
      <c r="W2" s="79"/>
      <c r="X2" s="79"/>
      <c r="Y2" s="79"/>
      <c r="Z2" s="79"/>
      <c r="AA2" s="79"/>
      <c r="AB2" s="79"/>
      <c r="AC2" s="79"/>
      <c r="AD2" s="80"/>
      <c r="AJ2" s="2"/>
      <c r="AK2" s="78" t="s">
        <v>3</v>
      </c>
      <c r="AL2" s="79"/>
      <c r="AM2" s="79"/>
      <c r="AN2" s="79"/>
      <c r="AO2" s="79"/>
      <c r="AP2" s="79"/>
      <c r="AQ2" s="79"/>
      <c r="AR2" s="79"/>
      <c r="AS2" s="80"/>
      <c r="AY2" s="2"/>
      <c r="AZ2" s="93" t="s">
        <v>3</v>
      </c>
      <c r="BA2" s="94"/>
      <c r="BB2" s="94"/>
      <c r="BC2" s="94"/>
      <c r="BD2" s="94"/>
      <c r="BE2" s="94"/>
      <c r="BF2" s="94"/>
      <c r="BG2" s="94"/>
      <c r="BH2" s="95"/>
    </row>
    <row r="3" spans="2:60" ht="43.5" x14ac:dyDescent="0.35">
      <c r="B3" s="8" t="s">
        <v>30</v>
      </c>
      <c r="C3" s="8" t="s">
        <v>30</v>
      </c>
      <c r="D3" s="7" t="s">
        <v>106</v>
      </c>
      <c r="E3" s="3"/>
      <c r="F3" s="7" t="s">
        <v>105</v>
      </c>
      <c r="G3" s="10" t="s">
        <v>0</v>
      </c>
      <c r="H3" s="11" t="s">
        <v>108</v>
      </c>
      <c r="I3" s="18" t="s">
        <v>107</v>
      </c>
      <c r="J3" s="10" t="s">
        <v>1</v>
      </c>
      <c r="K3" s="11" t="s">
        <v>109</v>
      </c>
      <c r="L3" s="18" t="s">
        <v>107</v>
      </c>
      <c r="M3" s="10" t="s">
        <v>2</v>
      </c>
      <c r="N3" s="11" t="s">
        <v>110</v>
      </c>
      <c r="O3" s="18" t="s">
        <v>107</v>
      </c>
      <c r="Q3" s="8" t="s">
        <v>30</v>
      </c>
      <c r="R3" s="8" t="s">
        <v>30</v>
      </c>
      <c r="S3" s="6" t="s">
        <v>106</v>
      </c>
      <c r="U3" s="7" t="s">
        <v>105</v>
      </c>
      <c r="V3" s="10" t="s">
        <v>0</v>
      </c>
      <c r="W3" s="11" t="s">
        <v>108</v>
      </c>
      <c r="X3" s="18" t="s">
        <v>107</v>
      </c>
      <c r="Y3" s="10" t="s">
        <v>1</v>
      </c>
      <c r="Z3" s="11" t="s">
        <v>109</v>
      </c>
      <c r="AA3" s="18" t="s">
        <v>107</v>
      </c>
      <c r="AB3" s="10" t="s">
        <v>2</v>
      </c>
      <c r="AC3" s="11" t="s">
        <v>110</v>
      </c>
      <c r="AD3" s="18" t="s">
        <v>107</v>
      </c>
      <c r="AF3" s="8" t="s">
        <v>30</v>
      </c>
      <c r="AG3" s="8" t="s">
        <v>30</v>
      </c>
      <c r="AH3" s="6" t="s">
        <v>106</v>
      </c>
      <c r="AI3" s="18" t="s">
        <v>131</v>
      </c>
      <c r="AJ3" s="7" t="s">
        <v>105</v>
      </c>
      <c r="AK3" s="10" t="s">
        <v>0</v>
      </c>
      <c r="AL3" s="11" t="s">
        <v>108</v>
      </c>
      <c r="AM3" s="18" t="s">
        <v>107</v>
      </c>
      <c r="AN3" s="10" t="s">
        <v>1</v>
      </c>
      <c r="AO3" s="11" t="s">
        <v>109</v>
      </c>
      <c r="AP3" s="18" t="s">
        <v>107</v>
      </c>
      <c r="AQ3" s="10" t="s">
        <v>2</v>
      </c>
      <c r="AR3" s="11" t="s">
        <v>110</v>
      </c>
      <c r="AS3" s="18" t="s">
        <v>107</v>
      </c>
      <c r="AU3" s="8" t="s">
        <v>30</v>
      </c>
      <c r="AV3" s="8" t="s">
        <v>30</v>
      </c>
      <c r="AW3" s="6" t="s">
        <v>106</v>
      </c>
      <c r="AX3" s="27"/>
      <c r="AY3" s="7" t="s">
        <v>105</v>
      </c>
      <c r="AZ3" s="10" t="s">
        <v>0</v>
      </c>
      <c r="BA3" s="11" t="s">
        <v>108</v>
      </c>
      <c r="BB3" s="18" t="s">
        <v>107</v>
      </c>
      <c r="BC3" s="10" t="s">
        <v>1</v>
      </c>
      <c r="BD3" s="11" t="s">
        <v>109</v>
      </c>
      <c r="BE3" s="18" t="s">
        <v>107</v>
      </c>
      <c r="BF3" s="10" t="s">
        <v>2</v>
      </c>
      <c r="BG3" s="11" t="s">
        <v>110</v>
      </c>
      <c r="BH3" s="18" t="s">
        <v>107</v>
      </c>
    </row>
    <row r="4" spans="2:60" x14ac:dyDescent="0.35">
      <c r="B4" s="91" t="s">
        <v>112</v>
      </c>
      <c r="C4" s="91" t="s">
        <v>37</v>
      </c>
      <c r="D4" t="s">
        <v>38</v>
      </c>
      <c r="F4" s="3" t="s">
        <v>87</v>
      </c>
      <c r="G4" s="12">
        <f>((SUMIFS(SSP1_Baseline!$E:$E,SSP1_Baseline!$C:$C,Results_list!$C$4,SSP1_Baseline!$D:$D,Results_list!$D4,SSP1_Baseline!$B:$B,2040))
- (SUMIFS(SSP1_Baseline!$E:$E,SSP1_Baseline!$C:$C,Results_list!$C$4,SSP1_Baseline!$D:$D,Results_list!$D4,SSP1_Baseline!$B:$B,2025)))
/ (SUMIFS(SSP1_Baseline!$E:$E,SSP1_Baseline!$C:$C,Results_list!$C$4,SSP1_Baseline!$D:$D,Results_list!$D4,SSP1_Baseline!$B:$B,2025))</f>
        <v>-8.6069653521533618E-2</v>
      </c>
      <c r="H4" s="16">
        <f>((SUMIFS(SSP1_VSI!$F:$F,SSP1_VSI!$C:$C,Results_list!$C$4,SSP1_VSI!$D:$D,Results_list!$D4,SSP1_VSI!$B:$B,2040))
- (SUMIFS(SSP1_VSI!$F:$F,SSP1_VSI!$C:$C,Results_list!$C$4,SSP1_VSI!$D:$D,Results_list!$D4,SSP1_VSI!$B:$B,2025)))
/ (SUMIFS(SSP1_VSI!$F:$F,SSP1_VSI!$C:$C,Results_list!$C$4,SSP1_VSI!$D:$D,Results_list!$D4,SSP1_VSI!$B:$B,2025))</f>
        <v>-0.32276357621244844</v>
      </c>
      <c r="I4" s="19">
        <f>ROUND(H4-G4,2)</f>
        <v>-0.24</v>
      </c>
      <c r="J4" s="12">
        <f>((SUMIFS(SSP2_Baseline!$E:$E,SSP2_Baseline!$C:$C,Results_list!$C$4,SSP2_Baseline!$D:$D,Results_list!$D4,SSP2_Baseline!$B:$B,2040))
- (SUMIFS(SSP2_Baseline!$E:$E,SSP2_Baseline!$C:$C,Results_list!$C$4,SSP2_Baseline!$D:$D,Results_list!$D4,SSP2_Baseline!$B:$B,2025)))
/ (SUMIFS(SSP2_Baseline!$E:$E,SSP2_Baseline!$C:$C,Results_list!$C$4,SSP2_Baseline!$D:$D,Results_list!$D4,SSP2_Baseline!$B:$B,2025))</f>
        <v>0.32899822980057986</v>
      </c>
      <c r="K4" s="16">
        <f>((SUMIFS(SSP2_VSI!$F:$F,SSP2_VSI!$C:$C,Results_list!$C$4,SSP2_VSI!$D:$D,Results_list!$D4,SSP2_VSI!$B:$B,2040))
- (SUMIFS(SSP2_VSI!$F:$F,SSP2_VSI!$C:$C,Results_list!$C$4,SSP2_VSI!$D:$D,Results_list!$D4,SSP2_VSI!$B:$B,2025)))
/ (SUMIFS(SSP2_VSI!$F:$F,SSP2_VSI!$C:$C,Results_list!$C$4,SSP2_VSI!$D:$D,Results_list!$D4,SSP2_VSI!$B:$B,2025))</f>
        <v>-0.12398301590718751</v>
      </c>
      <c r="L4" s="19">
        <f>ROUND(K4-J4,2)</f>
        <v>-0.45</v>
      </c>
      <c r="M4" s="12">
        <f>((SUMIFS(SSP5_Baseline!$E:$E,SSP5_Baseline!$C:$C,Results_list!$C$4,SSP5_Baseline!$D:$D,Results_list!$D4,SSP5_Baseline!$B:$B,2040))
- (SUMIFS(SSP5_Baseline!$E:$E,SSP5_Baseline!$C:$C,Results_list!$C$4,SSP5_Baseline!$D:$D,Results_list!$D4,SSP5_Baseline!$B:$B,2025)))
/ (SUMIFS(SSP5_Baseline!$E:$E,SSP5_Baseline!$C:$C,Results_list!$C$4,SSP5_Baseline!$D:$D,Results_list!$D4,SSP5_Baseline!$B:$B,2025))</f>
        <v>0.53114617735533221</v>
      </c>
      <c r="N4" s="16">
        <f>((SUMIFS(SSP5_VSI!$F:$F,SSP5_VSI!$C:$C,Results_list!$C$4,SSP5_VSI!$D:$D,Results_list!$D4,SSP5_VSI!$B:$B,2040))
- (SUMIFS(SSP5_VSI!$F:$F,SSP5_VSI!$C:$C,Results_list!$C$4,SSP5_VSI!$D:$D,Results_list!$D4,SSP5_VSI!$B:$B,2025)))
/ (SUMIFS(SSP5_VSI!$F:$F,SSP5_VSI!$C:$C,Results_list!$C$4,SSP5_VSI!$D:$D,Results_list!$D4,SSP5_VSI!$B:$B,2025))</f>
        <v>5.6086358340901081E-2</v>
      </c>
      <c r="O4" s="19">
        <f>ROUND(N4-M4,2)</f>
        <v>-0.48</v>
      </c>
      <c r="Q4" s="91" t="s">
        <v>116</v>
      </c>
      <c r="R4" s="96" t="s">
        <v>63</v>
      </c>
      <c r="S4" s="22" t="s">
        <v>38</v>
      </c>
      <c r="U4" s="3" t="s">
        <v>87</v>
      </c>
      <c r="V4" s="12">
        <f>((SUMIFS(SSP1_Baseline!$E:$E,SSP1_Baseline!$C:$C,Results_list!$C$109,SSP1_Baseline!$D:$D,Results_list!$D109,SSP1_Baseline!$B:$B,2040))
- (SUMIFS(SSP1_Baseline!$E:$E,SSP1_Baseline!$C:$C,Results_list!$C$109,SSP1_Baseline!$D:$D,Results_list!$D109,SSP1_Baseline!$B:$B,2025)))
/ (SUMIFS(SSP1_Baseline!$E:$E,SSP1_Baseline!$C:$C,Results_list!$C$109,SSP1_Baseline!$D:$D,Results_list!$D109,SSP1_Baseline!$B:$B,2025))</f>
        <v>-3.3906701266766317E-4</v>
      </c>
      <c r="W4" s="16">
        <f>((SUMIFS(SSP1_VSI!$F:$F,SSP1_VSI!$C:$C,Results_list!$C$109,SSP1_VSI!$D:$D,Results_list!$D109,SSP1_VSI!$B:$B,2040))
- (SUMIFS(SSP1_VSI!$F:$F,SSP1_VSI!$C:$C,Results_list!$C$109,SSP1_VSI!$D:$D,Results_list!$D109,SSP1_VSI!$B:$B,2025)))
/ (SUMIFS(SSP1_VSI!$F:$F,SSP1_VSI!$C:$C,Results_list!$C$109,SSP1_VSI!$D:$D,Results_list!$D109,SSP1_VSI!$B:$B,2025))</f>
        <v>-0.88399656954968553</v>
      </c>
      <c r="X4" s="19">
        <f>ROUND(W4-V4,3)</f>
        <v>-0.88400000000000001</v>
      </c>
      <c r="Y4" s="12">
        <f>((SUMIFS(SSP2_Baseline!$E:$E,SSP2_Baseline!$C:$C,Results_list!$C$109,SSP2_Baseline!$D:$D,Results_list!$D109,SSP2_Baseline!$B:$B,2040))
- (SUMIFS(SSP2_Baseline!$E:$E,SSP2_Baseline!$C:$C,Results_list!$C$109,SSP2_Baseline!$D:$D,Results_list!$D109,SSP2_Baseline!$B:$B,2025)))
/ (SUMIFS(SSP2_Baseline!$E:$E,SSP2_Baseline!$C:$C,Results_list!$C$109,SSP2_Baseline!$D:$D,Results_list!$D109,SSP2_Baseline!$B:$B,2025))</f>
        <v>3.8610055664333961E-3</v>
      </c>
      <c r="Z4" s="16">
        <f>((SUMIFS(SSP2_VSI!$F:$F,SSP2_VSI!$C:$C,Results_list!$C$109,SSP2_VSI!$D:$D,Results_list!$D109,SSP2_VSI!$B:$B,2040))
- (SUMIFS(SSP2_VSI!$F:$F,SSP2_VSI!$C:$C,Results_list!$C$109,SSP2_VSI!$D:$D,Results_list!$D109,SSP2_VSI!$B:$B,2025)))
/ (SUMIFS(SSP2_VSI!$F:$F,SSP2_VSI!$C:$C,Results_list!$C$109,SSP2_VSI!$D:$D,Results_list!$D109,SSP2_VSI!$B:$B,2025))</f>
        <v>-0.88793958366744719</v>
      </c>
      <c r="AA4" s="19">
        <f>ROUND(Z4-Y4,2)</f>
        <v>-0.89</v>
      </c>
      <c r="AB4" s="12">
        <f>((SUMIFS(SSP5_Baseline!$E:$E,SSP5_Baseline!$C:$C,Results_list!$C$109,SSP5_Baseline!$D:$D,Results_list!$D109,SSP5_Baseline!$B:$B,2040))
- (SUMIFS(SSP5_Baseline!$E:$E,SSP5_Baseline!$C:$C,Results_list!$C$109,SSP5_Baseline!$D:$D,Results_list!$D109,SSP5_Baseline!$B:$B,2025)))
/ (SUMIFS(SSP5_Baseline!$E:$E,SSP5_Baseline!$C:$C,Results_list!$C$109,SSP5_Baseline!$D:$D,Results_list!$D109,SSP5_Baseline!$B:$B,2025))</f>
        <v>5.6703685600594644E-3</v>
      </c>
      <c r="AC4" s="16">
        <f>((SUMIFS(SSP5_VSI!$F:$F,SSP5_VSI!$C:$C,Results_list!$C$109,SSP5_VSI!$D:$D,Results_list!$D109,SSP5_VSI!$B:$B,2040))
- (SUMIFS(SSP5_VSI!$F:$F,SSP5_VSI!$C:$C,Results_list!$C$109,SSP5_VSI!$D:$D,Results_list!$D109,SSP5_VSI!$B:$B,2025)))
/ (SUMIFS(SSP5_VSI!$F:$F,SSP5_VSI!$C:$C,Results_list!$C$109,SSP5_VSI!$D:$D,Results_list!$D109,SSP5_VSI!$B:$B,2025))</f>
        <v>-0.88660769817512897</v>
      </c>
      <c r="AD4" s="19">
        <f>ROUND(AC4-AB4,2)</f>
        <v>-0.89</v>
      </c>
      <c r="AF4" s="85" t="s">
        <v>118</v>
      </c>
      <c r="AG4" s="85" t="s">
        <v>69</v>
      </c>
      <c r="AH4" t="s">
        <v>38</v>
      </c>
      <c r="AI4" s="24" t="s">
        <v>70</v>
      </c>
      <c r="AJ4" s="3" t="s">
        <v>87</v>
      </c>
      <c r="AK4" s="12">
        <v>0.12819002755658629</v>
      </c>
      <c r="AL4" s="16">
        <v>0.12815858545843412</v>
      </c>
      <c r="AM4" s="19">
        <f>ROUND(AL4-AK4,3)</f>
        <v>0</v>
      </c>
      <c r="AN4" s="12">
        <v>0.99121283183242237</v>
      </c>
      <c r="AO4" s="16">
        <v>0.99141793660952349</v>
      </c>
      <c r="AP4" s="19">
        <f>ROUND(AO4-AN4,2)</f>
        <v>0</v>
      </c>
      <c r="AQ4" s="12">
        <v>1.7185949621457326</v>
      </c>
      <c r="AR4" s="16">
        <v>1.7185884871867962</v>
      </c>
      <c r="AS4" s="19">
        <f>ROUND(AR4-AQ4,2)</f>
        <v>0</v>
      </c>
      <c r="AU4" s="87" t="s">
        <v>123</v>
      </c>
      <c r="AV4" s="87" t="s">
        <v>78</v>
      </c>
      <c r="AW4" t="s">
        <v>38</v>
      </c>
      <c r="AY4" s="3" t="s">
        <v>87</v>
      </c>
      <c r="AZ4" s="12">
        <f>((SUMIFS(SSP1_Baseline!$E:$E,SSP1_Baseline!$C:$C,Results_list!$C$298,SSP1_Baseline!$D:$D,Results_list!$D4,SSP1_Baseline!$B:$B,2040)) - (SUMIFS(SSP1_Baseline!$E:$E,SSP1_Baseline!$C:$C,Results_list!$C$298,SSP1_Baseline!$D:$D,Results_list!$D4,SSP1_Baseline!$B:$B,2025))) / (SUMIFS(SSP1_Baseline!$E:$E,SSP1_Baseline!$C:$C,Results_list!$C$298,SSP1_Baseline!$D:$D,Results_list!$D4,SSP1_Baseline!$B:$B,2025))</f>
        <v>0.19294315032975209</v>
      </c>
      <c r="BA4" s="16">
        <f>((SUMIFS(SSP1_VSI!$F:$F,SSP1_VSI!$C:$C,Results_list!$C$298,SSP1_VSI!$D:$D,Results_list!$D4,SSP1_VSI!$B:$B,2040)) - (SUMIFS(SSP1_VSI!$F:$F,SSP1_VSI!$C:$C,Results_list!$C$298,SSP1_VSI!$D:$D,Results_list!$D4,SSP1_VSI!$B:$B,2025))) / (SUMIFS(SSP1_VSI!$F:$F,SSP1_VSI!$C:$C,Results_list!$C$298,SSP1_VSI!$D:$D,Results_list!$D4,SSP1_VSI!$B:$B,2025))</f>
        <v>0.19302162635848402</v>
      </c>
      <c r="BB4" s="19">
        <f>ROUND(BA4-AZ4,3)</f>
        <v>0</v>
      </c>
      <c r="BC4" s="12">
        <f>((SUMIFS(SSP2_Baseline!$E:$E,SSP2_Baseline!$C:$C,Results_list!$C$298,SSP2_Baseline!$D:$D,Results_list!$D4,SSP2_Baseline!$B:$B,2040)) - (SUMIFS(SSP2_Baseline!$E:$E,SSP2_Baseline!$C:$C,Results_list!$C$298,SSP2_Baseline!$D:$D,Results_list!$D4,SSP2_Baseline!$B:$B,2025))) / (SUMIFS(SSP2_Baseline!$E:$E,SSP2_Baseline!$C:$C,Results_list!$C$298,SSP2_Baseline!$D:$D,Results_list!$D4,SSP2_Baseline!$B:$B,2025))</f>
        <v>1.797435961852669</v>
      </c>
      <c r="BD4" s="16">
        <f>((SUMIFS(SSP2_VSI!$F:$F,SSP2_VSI!$C:$C,Results_list!$C$298,SSP2_VSI!$D:$D,Results_list!$D4,SSP2_VSI!$B:$B,2040)) - (SUMIFS(SSP2_VSI!$F:$F,SSP2_VSI!$C:$C,Results_list!$C$298,SSP2_VSI!$D:$D,Results_list!$D4,SSP2_VSI!$B:$B,2025))) / (SUMIFS(SSP2_VSI!$F:$F,SSP2_VSI!$C:$C,Results_list!$C$298,SSP2_VSI!$D:$D,Results_list!$D4,SSP2_VSI!$B:$B,2025))</f>
        <v>1.7968240789079279</v>
      </c>
      <c r="BE4" s="19">
        <f>ROUND(BD4-BC4,2)</f>
        <v>0</v>
      </c>
      <c r="BF4" s="12">
        <f>((SUMIFS(SSP5_Baseline!$E:$E,SSP5_Baseline!$C:$C,Results_list!$C$298,SSP5_Baseline!$D:$D,Results_list!$D4,SSP5_Baseline!$B:$B,2040)) - (SUMIFS(SSP5_Baseline!$E:$E,SSP5_Baseline!$C:$C,Results_list!$C$298,SSP5_Baseline!$D:$D,Results_list!$D4,SSP5_Baseline!$B:$B,2025))) / (SUMIFS(SSP5_Baseline!$E:$E,SSP5_Baseline!$C:$C,Results_list!$C$298,SSP5_Baseline!$D:$D,Results_list!$D4,SSP5_Baseline!$B:$B,2025))</f>
        <v>3.6080083728946546</v>
      </c>
      <c r="BG4" s="16">
        <f>((SUMIFS(SSP5_VSI!$F:$F,SSP5_VSI!$C:$C,Results_list!$C$298,SSP5_VSI!$D:$D,Results_list!$D4,SSP5_VSI!$B:$B,2040)) - (SUMIFS(SSP5_VSI!$F:$F,SSP5_VSI!$C:$C,Results_list!$C$298,SSP5_VSI!$D:$D,Results_list!$D4,SSP5_VSI!$B:$B,2025))) / (SUMIFS(SSP5_VSI!$F:$F,SSP5_VSI!$C:$C,Results_list!$C$298,SSP5_VSI!$D:$D,Results_list!$D4,SSP5_VSI!$B:$B,2025))</f>
        <v>3.6086902342070997</v>
      </c>
      <c r="BH4" s="19">
        <f>ROUND(BG4-BF4,2)</f>
        <v>0</v>
      </c>
    </row>
    <row r="5" spans="2:60" x14ac:dyDescent="0.35">
      <c r="B5" s="91"/>
      <c r="C5" s="91"/>
      <c r="D5" t="s">
        <v>40</v>
      </c>
      <c r="F5" s="3" t="s">
        <v>88</v>
      </c>
      <c r="G5" s="12">
        <f>((SUMIFS(SSP1_Baseline!E:E,SSP1_Baseline!C:C,Results_list!$C$4,SSP1_Baseline!D:D,Results_list!D5,SSP1_Baseline!B:B,2040)) - (SUMIFS(SSP1_Baseline!E:E,SSP1_Baseline!C:C,Results_list!$C$4,SSP1_Baseline!D:D,Results_list!D5,SSP1_Baseline!B:B,2025))) / (SUMIFS(SSP1_Baseline!E:E,SSP1_Baseline!C:C,Results_list!$C$4,SSP1_Baseline!D:D,Results_list!D5,SSP1_Baseline!B:B,2025))</f>
        <v>-6.3355466665627122E-2</v>
      </c>
      <c r="H5" s="16">
        <f>((SUMIFS(SSP1_VSI!F:F,SSP1_VSI!C:C,Results_list!$C$4,SSP1_VSI!D:D,Results_list!D5,SSP1_VSI!B:B,2040)) - (SUMIFS(SSP1_VSI!F:F,SSP1_VSI!C:C,Results_list!$C$4,SSP1_VSI!D:D,Results_list!D5,SSP1_VSI!B:B,2025))) / (SUMIFS(SSP1_VSI!F:F,SSP1_VSI!C:C,Results_list!$C$4,SSP1_VSI!D:D,Results_list!D5,SSP1_VSI!B:B,2025))</f>
        <v>-6.3357723827787329E-2</v>
      </c>
      <c r="I5" s="13">
        <f t="shared" ref="I5:I21" si="0">ROUND(H5-G5,2)</f>
        <v>0</v>
      </c>
      <c r="J5" s="12">
        <f>((SUMIFS(SSP2_Baseline!$E:$E,SSP2_Baseline!$C:$C,Results_list!$C$4,SSP2_Baseline!$D:$D,Results_list!$D5,SSP2_Baseline!$B:$B,2040)) - (SUMIFS(SSP2_Baseline!$E:$E,SSP2_Baseline!$C:$C,Results_list!$C$4,SSP2_Baseline!$D:$D,Results_list!$D5,SSP2_Baseline!$B:$B,2025))) / (SUMIFS(SSP2_Baseline!$E:$E,SSP2_Baseline!$C:$C,Results_list!$C$4,SSP2_Baseline!$D:$D,Results_list!$D5,SSP2_Baseline!$B:$B,2025))</f>
        <v>-7.2682945450585443E-2</v>
      </c>
      <c r="K5" s="16">
        <f>((SUMIFS(SSP2_VSI!$F:$F,SSP2_VSI!$C:$C,Results_list!$C$4,SSP2_VSI!$D:$D,Results_list!$D5,SSP2_VSI!$B:$B,2040)) - (SUMIFS(SSP2_VSI!$F:$F,SSP2_VSI!$C:$C,Results_list!$C$4,SSP2_VSI!$D:$D,Results_list!$D5,SSP2_VSI!$B:$B,2025))) / (SUMIFS(SSP2_VSI!$F:$F,SSP2_VSI!$C:$C,Results_list!$C$4,SSP2_VSI!$D:$D,Results_list!$D5,SSP2_VSI!$B:$B,2025))</f>
        <v>-7.2677614610132557E-2</v>
      </c>
      <c r="L5" s="13">
        <f t="shared" ref="L5:L21" si="1">ROUND(K5-J5,2)</f>
        <v>0</v>
      </c>
      <c r="M5" s="12">
        <f>((SUMIFS(SSP5_Baseline!$E:$E,SSP5_Baseline!$C:$C,Results_list!$C$4,SSP5_Baseline!$D:$D,Results_list!$D5,SSP5_Baseline!$B:$B,2040)) - (SUMIFS(SSP5_Baseline!$E:$E,SSP5_Baseline!$C:$C,Results_list!$C$4,SSP5_Baseline!$D:$D,Results_list!$D5,SSP5_Baseline!$B:$B,2025))) / (SUMIFS(SSP5_Baseline!$E:$E,SSP5_Baseline!$C:$C,Results_list!$C$4,SSP5_Baseline!$D:$D,Results_list!$D5,SSP5_Baseline!$B:$B,2025))</f>
        <v>0.16400753336870419</v>
      </c>
      <c r="N5" s="16">
        <f>((SUMIFS(SSP5_VSI!$F:$F,SSP5_VSI!$C:$C,Results_list!$C$4,SSP5_VSI!$D:$D,Results_list!$D5,SSP5_VSI!$B:$B,2040)) - (SUMIFS(SSP5_VSI!$F:$F,SSP5_VSI!$C:$C,Results_list!$C$4,SSP5_VSI!$D:$D,Results_list!$D5,SSP5_VSI!$B:$B,2025))) / (SUMIFS(SSP5_VSI!$F:$F,SSP5_VSI!$C:$C,Results_list!$C$4,SSP5_VSI!$D:$D,Results_list!$D5,SSP5_VSI!$B:$B,2025))</f>
        <v>0.16392899674072381</v>
      </c>
      <c r="O5" s="13">
        <f t="shared" ref="O5:O21" si="2">ROUND(N5-M5,2)</f>
        <v>0</v>
      </c>
      <c r="Q5" s="91"/>
      <c r="R5" s="96"/>
      <c r="S5" s="22" t="s">
        <v>40</v>
      </c>
      <c r="U5" s="3" t="s">
        <v>88</v>
      </c>
      <c r="V5" s="12">
        <f>((SUMIFS(SSP1_Baseline!$E:$E,SSP1_Baseline!$C:$C,Results_list!$C$109,SSP1_Baseline!$D:$D,Results_list!$D110,SSP1_Baseline!$B:$B,2040)) - (SUMIFS(SSP1_Baseline!$E:$E,SSP1_Baseline!$C:$C,Results_list!$C$109,SSP1_Baseline!$D:$D,Results_list!$D110,SSP1_Baseline!$B:$B,2025))) / (SUMIFS(SSP1_Baseline!$E:$E,SSP1_Baseline!$C:$C,Results_list!$C$109,SSP1_Baseline!$D:$D,Results_list!$D110,SSP1_Baseline!$B:$B,2025))</f>
        <v>-2.7762127407385431E-3</v>
      </c>
      <c r="W5" s="16">
        <f>((SUMIFS(SSP1_VSI!$F:$F,SSP1_VSI!$C:$C,Results_list!$C$109,SSP1_VSI!$D:$D,Results_list!$D110,SSP1_VSI!$B:$B,2040)) - (SUMIFS(SSP1_VSI!$F:$F,SSP1_VSI!$C:$C,Results_list!$C$109,SSP1_VSI!$D:$D,Results_list!$D110,SSP1_VSI!$B:$B,2025))) / (SUMIFS(SSP1_VSI!$F:$F,SSP1_VSI!$C:$C,Results_list!$C$109,SSP1_VSI!$D:$D,Results_list!$D110,SSP1_VSI!$B:$B,2025))</f>
        <v>-2.7776381667049782E-3</v>
      </c>
      <c r="X5" s="13">
        <f t="shared" ref="X5:X21" si="3">ROUND(W5-V5,3)</f>
        <v>0</v>
      </c>
      <c r="Y5" s="12">
        <f>((SUMIFS(SSP2_Baseline!$E:$E,SSP2_Baseline!$C:$C,Results_list!$C$109,SSP2_Baseline!$D:$D,Results_list!$D110,SSP2_Baseline!$B:$B,2040)) - (SUMIFS(SSP2_Baseline!$E:$E,SSP2_Baseline!$C:$C,Results_list!$C$109,SSP2_Baseline!$D:$D,Results_list!$D110,SSP2_Baseline!$B:$B,2025))) / (SUMIFS(SSP2_Baseline!$E:$E,SSP2_Baseline!$C:$C,Results_list!$C$109,SSP2_Baseline!$D:$D,Results_list!$D110,SSP2_Baseline!$B:$B,2025))</f>
        <v>-2.9650428948088895E-3</v>
      </c>
      <c r="Z5" s="16">
        <f>((SUMIFS(SSP2_VSI!$F:$F,SSP2_VSI!$C:$C,Results_list!$C$109,SSP2_VSI!$D:$D,Results_list!$D110,SSP2_VSI!$B:$B,2040)) - (SUMIFS(SSP2_VSI!$F:$F,SSP2_VSI!$C:$C,Results_list!$C$109,SSP2_VSI!$D:$D,Results_list!$D110,SSP2_VSI!$B:$B,2025))) / (SUMIFS(SSP2_VSI!$F:$F,SSP2_VSI!$C:$C,Results_list!$C$109,SSP2_VSI!$D:$D,Results_list!$D110,SSP2_VSI!$B:$B,2025))</f>
        <v>-2.9689070652507915E-3</v>
      </c>
      <c r="AA5" s="13">
        <f t="shared" ref="AA5:AA21" si="4">ROUND(Z5-Y5,2)</f>
        <v>0</v>
      </c>
      <c r="AB5" s="12">
        <f>((SUMIFS(SSP5_Baseline!$E:$E,SSP5_Baseline!$C:$C,Results_list!$C$109,SSP5_Baseline!$D:$D,Results_list!$D110,SSP5_Baseline!$B:$B,2040)) - (SUMIFS(SSP5_Baseline!$E:$E,SSP5_Baseline!$C:$C,Results_list!$C$109,SSP5_Baseline!$D:$D,Results_list!$D110,SSP5_Baseline!$B:$B,2025))) / (SUMIFS(SSP5_Baseline!$E:$E,SSP5_Baseline!$C:$C,Results_list!$C$109,SSP5_Baseline!$D:$D,Results_list!$D110,SSP5_Baseline!$B:$B,2025))</f>
        <v>-1.1450370029444502E-3</v>
      </c>
      <c r="AC5" s="16">
        <f>((SUMIFS(SSP5_VSI!$F:$F,SSP5_VSI!$C:$C,Results_list!$C$109,SSP5_VSI!$D:$D,Results_list!$D110,SSP5_VSI!$B:$B,2040)) - (SUMIFS(SSP5_VSI!$F:$F,SSP5_VSI!$C:$C,Results_list!$C$109,SSP5_VSI!$D:$D,Results_list!$D110,SSP5_VSI!$B:$B,2025))) / (SUMIFS(SSP5_VSI!$F:$F,SSP5_VSI!$C:$C,Results_list!$C$109,SSP5_VSI!$D:$D,Results_list!$D110,SSP5_VSI!$B:$B,2025))</f>
        <v>-1.1502402119708264E-3</v>
      </c>
      <c r="AD5" s="13">
        <f t="shared" ref="AD5:AD21" si="5">ROUND(AC5-AB5,2)</f>
        <v>0</v>
      </c>
      <c r="AF5" s="85"/>
      <c r="AG5" s="85"/>
      <c r="AH5" t="s">
        <v>40</v>
      </c>
      <c r="AI5" s="25" t="s">
        <v>70</v>
      </c>
      <c r="AJ5" s="3" t="s">
        <v>88</v>
      </c>
      <c r="AK5" s="12">
        <v>2.1470527372672056E-2</v>
      </c>
      <c r="AL5" s="16">
        <v>2.1471127560671217E-2</v>
      </c>
      <c r="AM5" s="13">
        <f t="shared" ref="AM5:AM21" si="6">ROUND(AL5-AK5,3)</f>
        <v>0</v>
      </c>
      <c r="AN5" s="12">
        <v>3.6882941491444567E-3</v>
      </c>
      <c r="AO5" s="16">
        <v>3.6859980255575507E-3</v>
      </c>
      <c r="AP5" s="13">
        <f t="shared" ref="AP5:AP21" si="7">ROUND(AO5-AN5,2)</f>
        <v>0</v>
      </c>
      <c r="AQ5" s="12">
        <v>-1.3035471211292572E-2</v>
      </c>
      <c r="AR5" s="16">
        <v>-1.303513274413964E-2</v>
      </c>
      <c r="AS5" s="13">
        <f t="shared" ref="AS5:AS21" si="8">ROUND(AR5-AQ5,2)</f>
        <v>0</v>
      </c>
      <c r="AU5" s="87"/>
      <c r="AV5" s="87"/>
      <c r="AW5" t="s">
        <v>40</v>
      </c>
      <c r="AY5" s="3" t="s">
        <v>88</v>
      </c>
      <c r="AZ5" s="12">
        <f>((SUMIFS(SSP1_Baseline!$E:$E,SSP1_Baseline!$C:$C,Results_list!$C$298,SSP1_Baseline!$D:$D,Results_list!$D5,SSP1_Baseline!$B:$B,2040)) - (SUMIFS(SSP1_Baseline!$E:$E,SSP1_Baseline!$C:$C,Results_list!$C$298,SSP1_Baseline!$D:$D,Results_list!$D5,SSP1_Baseline!$B:$B,2025))) / (SUMIFS(SSP1_Baseline!$E:$E,SSP1_Baseline!$C:$C,Results_list!$C$298,SSP1_Baseline!$D:$D,Results_list!$D5,SSP1_Baseline!$B:$B,2025))</f>
        <v>-8.2894653566400744E-3</v>
      </c>
      <c r="BA5" s="16">
        <f>((SUMIFS(SSP1_VSI!$F:$F,SSP1_VSI!$C:$C,Results_list!$C$298,SSP1_VSI!$D:$D,Results_list!$D5,SSP1_VSI!$B:$B,2040)) - (SUMIFS(SSP1_VSI!$F:$F,SSP1_VSI!$C:$C,Results_list!$C$298,SSP1_VSI!$D:$D,Results_list!$D5,SSP1_VSI!$B:$B,2025))) / (SUMIFS(SSP1_VSI!$F:$F,SSP1_VSI!$C:$C,Results_list!$C$298,SSP1_VSI!$D:$D,Results_list!$D5,SSP1_VSI!$B:$B,2025))</f>
        <v>-8.2906248931802293E-3</v>
      </c>
      <c r="BB5" s="13">
        <f t="shared" ref="BB5:BB21" si="9">ROUND(BA5-AZ5,3)</f>
        <v>0</v>
      </c>
      <c r="BC5" s="12">
        <f>((SUMIFS(SSP2_Baseline!$E:$E,SSP2_Baseline!$C:$C,Results_list!$C$298,SSP2_Baseline!$D:$D,Results_list!$D5,SSP2_Baseline!$B:$B,2040)) - (SUMIFS(SSP2_Baseline!$E:$E,SSP2_Baseline!$C:$C,Results_list!$C$298,SSP2_Baseline!$D:$D,Results_list!$D5,SSP2_Baseline!$B:$B,2025))) / (SUMIFS(SSP2_Baseline!$E:$E,SSP2_Baseline!$C:$C,Results_list!$C$298,SSP2_Baseline!$D:$D,Results_list!$D5,SSP2_Baseline!$B:$B,2025))</f>
        <v>-8.9253584479641618E-3</v>
      </c>
      <c r="BD5" s="16">
        <f>((SUMIFS(SSP2_VSI!$F:$F,SSP2_VSI!$C:$C,Results_list!$C$298,SSP2_VSI!$D:$D,Results_list!$D5,SSP2_VSI!$B:$B,2040)) - (SUMIFS(SSP2_VSI!$F:$F,SSP2_VSI!$C:$C,Results_list!$C$298,SSP2_VSI!$D:$D,Results_list!$D5,SSP2_VSI!$B:$B,2025))) / (SUMIFS(SSP2_VSI!$F:$F,SSP2_VSI!$C:$C,Results_list!$C$298,SSP2_VSI!$D:$D,Results_list!$D5,SSP2_VSI!$B:$B,2025))</f>
        <v>-8.9276583416036028E-3</v>
      </c>
      <c r="BE5" s="13">
        <f t="shared" ref="BE5:BE21" si="10">ROUND(BD5-BC5,2)</f>
        <v>0</v>
      </c>
      <c r="BF5" s="12">
        <f>((SUMIFS(SSP5_Baseline!$E:$E,SSP5_Baseline!$C:$C,Results_list!$C$298,SSP5_Baseline!$D:$D,Results_list!$D5,SSP5_Baseline!$B:$B,2040)) - (SUMIFS(SSP5_Baseline!$E:$E,SSP5_Baseline!$C:$C,Results_list!$C$298,SSP5_Baseline!$D:$D,Results_list!$D5,SSP5_Baseline!$B:$B,2025))) / (SUMIFS(SSP5_Baseline!$E:$E,SSP5_Baseline!$C:$C,Results_list!$C$298,SSP5_Baseline!$D:$D,Results_list!$D5,SSP5_Baseline!$B:$B,2025))</f>
        <v>-2.9214431438036015E-3</v>
      </c>
      <c r="BG5" s="16">
        <f>((SUMIFS(SSP5_VSI!$F:$F,SSP5_VSI!$C:$C,Results_list!$C$298,SSP5_VSI!$D:$D,Results_list!$D5,SSP5_VSI!$B:$B,2040)) - (SUMIFS(SSP5_VSI!$F:$F,SSP5_VSI!$C:$C,Results_list!$C$298,SSP5_VSI!$D:$D,Results_list!$D5,SSP5_VSI!$B:$B,2025))) / (SUMIFS(SSP5_VSI!$F:$F,SSP5_VSI!$C:$C,Results_list!$C$298,SSP5_VSI!$D:$D,Results_list!$D5,SSP5_VSI!$B:$B,2025))</f>
        <v>-2.9273516381298497E-3</v>
      </c>
      <c r="BH5" s="13">
        <f t="shared" ref="BH5:BH21" si="11">ROUND(BG5-BF5,2)</f>
        <v>0</v>
      </c>
    </row>
    <row r="6" spans="2:60" x14ac:dyDescent="0.35">
      <c r="B6" s="91"/>
      <c r="C6" s="91"/>
      <c r="D6" t="s">
        <v>41</v>
      </c>
      <c r="F6" s="3" t="s">
        <v>89</v>
      </c>
      <c r="G6" s="12">
        <f>((SUMIFS(SSP1_Baseline!E:E,SSP1_Baseline!C:C,Results_list!$C$4,SSP1_Baseline!D:D,Results_list!D6,SSP1_Baseline!B:B,2040)) - (SUMIFS(SSP1_Baseline!E:E,SSP1_Baseline!C:C,Results_list!$C$4,SSP1_Baseline!D:D,Results_list!D6,SSP1_Baseline!B:B,2025))) / (SUMIFS(SSP1_Baseline!E:E,SSP1_Baseline!C:C,Results_list!$C$4,SSP1_Baseline!D:D,Results_list!D6,SSP1_Baseline!B:B,2025))</f>
        <v>-3.2533836499250039E-3</v>
      </c>
      <c r="H6" s="16">
        <f>((SUMIFS(SSP1_VSI!F:F,SSP1_VSI!C:C,Results_list!$C$4,SSP1_VSI!D:D,Results_list!D6,SSP1_VSI!B:B,2040)) - (SUMIFS(SSP1_VSI!F:F,SSP1_VSI!C:C,Results_list!$C$4,SSP1_VSI!D:D,Results_list!D6,SSP1_VSI!B:B,2025))) / (SUMIFS(SSP1_VSI!F:F,SSP1_VSI!C:C,Results_list!$C$4,SSP1_VSI!D:D,Results_list!D6,SSP1_VSI!B:B,2025))</f>
        <v>-0.93631373115846972</v>
      </c>
      <c r="I6" s="13">
        <f t="shared" si="0"/>
        <v>-0.93</v>
      </c>
      <c r="J6" s="12">
        <f>((SUMIFS(SSP2_Baseline!$E:$E,SSP2_Baseline!$C:$C,Results_list!$C$4,SSP2_Baseline!$D:$D,Results_list!$D6,SSP2_Baseline!$B:$B,2040)) - (SUMIFS(SSP2_Baseline!$E:$E,SSP2_Baseline!$C:$C,Results_list!$C$4,SSP2_Baseline!$D:$D,Results_list!$D6,SSP2_Baseline!$B:$B,2025))) / (SUMIFS(SSP2_Baseline!$E:$E,SSP2_Baseline!$C:$C,Results_list!$C$4,SSP2_Baseline!$D:$D,Results_list!$D6,SSP2_Baseline!$B:$B,2025))</f>
        <v>-3.0202638464701414E-3</v>
      </c>
      <c r="K6" s="16">
        <f>((SUMIFS(SSP2_VSI!$F:$F,SSP2_VSI!$C:$C,Results_list!$C$4,SSP2_VSI!$D:$D,Results_list!$D6,SSP2_VSI!$B:$B,2040)) - (SUMIFS(SSP2_VSI!$F:$F,SSP2_VSI!$C:$C,Results_list!$C$4,SSP2_VSI!$D:$D,Results_list!$D6,SSP2_VSI!$B:$B,2025))) / (SUMIFS(SSP2_VSI!$F:$F,SSP2_VSI!$C:$C,Results_list!$C$4,SSP2_VSI!$D:$D,Results_list!$D6,SSP2_VSI!$B:$B,2025))</f>
        <v>-0.93595551546568156</v>
      </c>
      <c r="L6" s="13">
        <f t="shared" si="1"/>
        <v>-0.93</v>
      </c>
      <c r="M6" s="12">
        <f>((SUMIFS(SSP5_Baseline!$E:$E,SSP5_Baseline!$C:$C,Results_list!$C$4,SSP5_Baseline!$D:$D,Results_list!$D6,SSP5_Baseline!$B:$B,2040)) - (SUMIFS(SSP5_Baseline!$E:$E,SSP5_Baseline!$C:$C,Results_list!$C$4,SSP5_Baseline!$D:$D,Results_list!$D6,SSP5_Baseline!$B:$B,2025))) / (SUMIFS(SSP5_Baseline!$E:$E,SSP5_Baseline!$C:$C,Results_list!$C$4,SSP5_Baseline!$D:$D,Results_list!$D6,SSP5_Baseline!$B:$B,2025))</f>
        <v>1.5985024391315618E-4</v>
      </c>
      <c r="N6" s="16">
        <f>((SUMIFS(SSP5_VSI!$F:$F,SSP5_VSI!$C:$C,Results_list!$C$4,SSP5_VSI!$D:$D,Results_list!$D6,SSP5_VSI!$B:$B,2040)) - (SUMIFS(SSP5_VSI!$F:$F,SSP5_VSI!$C:$C,Results_list!$C$4,SSP5_VSI!$D:$D,Results_list!$D6,SSP5_VSI!$B:$B,2025))) / (SUMIFS(SSP5_VSI!$F:$F,SSP5_VSI!$C:$C,Results_list!$C$4,SSP5_VSI!$D:$D,Results_list!$D6,SSP5_VSI!$B:$B,2025))</f>
        <v>-0.93033959721095483</v>
      </c>
      <c r="O6" s="13">
        <f t="shared" si="2"/>
        <v>-0.93</v>
      </c>
      <c r="Q6" s="91"/>
      <c r="R6" s="96"/>
      <c r="S6" s="22" t="s">
        <v>41</v>
      </c>
      <c r="U6" s="3" t="s">
        <v>89</v>
      </c>
      <c r="V6" s="12">
        <f>((SUMIFS(SSP1_Baseline!$E:$E,SSP1_Baseline!$C:$C,Results_list!$C$109,SSP1_Baseline!$D:$D,Results_list!$D111,SSP1_Baseline!$B:$B,2040)) - (SUMIFS(SSP1_Baseline!$E:$E,SSP1_Baseline!$C:$C,Results_list!$C$109,SSP1_Baseline!$D:$D,Results_list!$D111,SSP1_Baseline!$B:$B,2025))) / (SUMIFS(SSP1_Baseline!$E:$E,SSP1_Baseline!$C:$C,Results_list!$C$109,SSP1_Baseline!$D:$D,Results_list!$D111,SSP1_Baseline!$B:$B,2025))</f>
        <v>-2.9952672379750089E-3</v>
      </c>
      <c r="W6" s="16">
        <f>((SUMIFS(SSP1_VSI!$F:$F,SSP1_VSI!$C:$C,Results_list!$C$109,SSP1_VSI!$D:$D,Results_list!$D111,SSP1_VSI!$B:$B,2040)) - (SUMIFS(SSP1_VSI!$F:$F,SSP1_VSI!$C:$C,Results_list!$C$109,SSP1_VSI!$D:$D,Results_list!$D111,SSP1_VSI!$B:$B,2025))) / (SUMIFS(SSP1_VSI!$F:$F,SSP1_VSI!$C:$C,Results_list!$C$109,SSP1_VSI!$D:$D,Results_list!$D111,SSP1_VSI!$B:$B,2025))</f>
        <v>-0.70835833572120088</v>
      </c>
      <c r="X6" s="13">
        <f t="shared" si="3"/>
        <v>-0.70499999999999996</v>
      </c>
      <c r="Y6" s="12">
        <f>((SUMIFS(SSP2_Baseline!$E:$E,SSP2_Baseline!$C:$C,Results_list!$C$109,SSP2_Baseline!$D:$D,Results_list!$D111,SSP2_Baseline!$B:$B,2040)) - (SUMIFS(SSP2_Baseline!$E:$E,SSP2_Baseline!$C:$C,Results_list!$C$109,SSP2_Baseline!$D:$D,Results_list!$D111,SSP2_Baseline!$B:$B,2025))) / (SUMIFS(SSP2_Baseline!$E:$E,SSP2_Baseline!$C:$C,Results_list!$C$109,SSP2_Baseline!$D:$D,Results_list!$D111,SSP2_Baseline!$B:$B,2025))</f>
        <v>-2.5589609396331797E-3</v>
      </c>
      <c r="Z6" s="16">
        <f>((SUMIFS(SSP2_VSI!$F:$F,SSP2_VSI!$C:$C,Results_list!$C$109,SSP2_VSI!$D:$D,Results_list!$D111,SSP2_VSI!$B:$B,2040)) - (SUMIFS(SSP2_VSI!$F:$F,SSP2_VSI!$C:$C,Results_list!$C$109,SSP2_VSI!$D:$D,Results_list!$D111,SSP2_VSI!$B:$B,2025))) / (SUMIFS(SSP2_VSI!$F:$F,SSP2_VSI!$C:$C,Results_list!$C$109,SSP2_VSI!$D:$D,Results_list!$D111,SSP2_VSI!$B:$B,2025))</f>
        <v>-0.7082593081664279</v>
      </c>
      <c r="AA6" s="13">
        <f t="shared" si="4"/>
        <v>-0.71</v>
      </c>
      <c r="AB6" s="12">
        <f>((SUMIFS(SSP5_Baseline!$E:$E,SSP5_Baseline!$C:$C,Results_list!$C$109,SSP5_Baseline!$D:$D,Results_list!$D111,SSP5_Baseline!$B:$B,2040)) - (SUMIFS(SSP5_Baseline!$E:$E,SSP5_Baseline!$C:$C,Results_list!$C$109,SSP5_Baseline!$D:$D,Results_list!$D111,SSP5_Baseline!$B:$B,2025))) / (SUMIFS(SSP5_Baseline!$E:$E,SSP5_Baseline!$C:$C,Results_list!$C$109,SSP5_Baseline!$D:$D,Results_list!$D111,SSP5_Baseline!$B:$B,2025))</f>
        <v>-1.6831720874821655E-3</v>
      </c>
      <c r="AC6" s="16">
        <f>((SUMIFS(SSP5_VSI!$F:$F,SSP5_VSI!$C:$C,Results_list!$C$109,SSP5_VSI!$D:$D,Results_list!$D111,SSP5_VSI!$B:$B,2040)) - (SUMIFS(SSP5_VSI!$F:$F,SSP5_VSI!$C:$C,Results_list!$C$109,SSP5_VSI!$D:$D,Results_list!$D111,SSP5_VSI!$B:$B,2025))) / (SUMIFS(SSP5_VSI!$F:$F,SSP5_VSI!$C:$C,Results_list!$C$109,SSP5_VSI!$D:$D,Results_list!$D111,SSP5_VSI!$B:$B,2025))</f>
        <v>-0.70727495547400232</v>
      </c>
      <c r="AD6" s="13">
        <f t="shared" si="5"/>
        <v>-0.71</v>
      </c>
      <c r="AF6" s="85"/>
      <c r="AG6" s="85"/>
      <c r="AH6" t="s">
        <v>41</v>
      </c>
      <c r="AI6" s="25" t="s">
        <v>70</v>
      </c>
      <c r="AJ6" s="3" t="s">
        <v>89</v>
      </c>
      <c r="AK6" s="12">
        <v>-3.3204526721474559E-2</v>
      </c>
      <c r="AL6" s="16">
        <v>-3.320552084708437E-2</v>
      </c>
      <c r="AM6" s="13">
        <f t="shared" si="6"/>
        <v>0</v>
      </c>
      <c r="AN6" s="12">
        <v>-3.3556698989407129E-2</v>
      </c>
      <c r="AO6" s="16">
        <v>-3.3555639733995772E-2</v>
      </c>
      <c r="AP6" s="13">
        <f t="shared" si="7"/>
        <v>0</v>
      </c>
      <c r="AQ6" s="12">
        <v>2.3595759199955733E-2</v>
      </c>
      <c r="AR6" s="16">
        <v>2.3595770158631357E-2</v>
      </c>
      <c r="AS6" s="13">
        <f t="shared" si="8"/>
        <v>0</v>
      </c>
      <c r="AU6" s="87"/>
      <c r="AV6" s="87"/>
      <c r="AW6" t="s">
        <v>41</v>
      </c>
      <c r="AY6" s="3" t="s">
        <v>89</v>
      </c>
      <c r="AZ6" s="12">
        <f>((SUMIFS(SSP1_Baseline!$E:$E,SSP1_Baseline!$C:$C,Results_list!$C$298,SSP1_Baseline!$D:$D,Results_list!$D6,SSP1_Baseline!$B:$B,2040)) - (SUMIFS(SSP1_Baseline!$E:$E,SSP1_Baseline!$C:$C,Results_list!$C$298,SSP1_Baseline!$D:$D,Results_list!$D6,SSP1_Baseline!$B:$B,2025))) / (SUMIFS(SSP1_Baseline!$E:$E,SSP1_Baseline!$C:$C,Results_list!$C$298,SSP1_Baseline!$D:$D,Results_list!$D6,SSP1_Baseline!$B:$B,2025))</f>
        <v>-1.1063286665465027E-2</v>
      </c>
      <c r="BA6" s="16">
        <f>((SUMIFS(SSP1_VSI!$F:$F,SSP1_VSI!$C:$C,Results_list!$C$298,SSP1_VSI!$D:$D,Results_list!$D6,SSP1_VSI!$B:$B,2040)) - (SUMIFS(SSP1_VSI!$F:$F,SSP1_VSI!$C:$C,Results_list!$C$298,SSP1_VSI!$D:$D,Results_list!$D6,SSP1_VSI!$B:$B,2025))) / (SUMIFS(SSP1_VSI!$F:$F,SSP1_VSI!$C:$C,Results_list!$C$298,SSP1_VSI!$D:$D,Results_list!$D6,SSP1_VSI!$B:$B,2025))</f>
        <v>-1.1091922078044051E-2</v>
      </c>
      <c r="BB6" s="13">
        <f t="shared" si="9"/>
        <v>0</v>
      </c>
      <c r="BC6" s="12">
        <f>((SUMIFS(SSP2_Baseline!$E:$E,SSP2_Baseline!$C:$C,Results_list!$C$298,SSP2_Baseline!$D:$D,Results_list!$D6,SSP2_Baseline!$B:$B,2040)) - (SUMIFS(SSP2_Baseline!$E:$E,SSP2_Baseline!$C:$C,Results_list!$C$298,SSP2_Baseline!$D:$D,Results_list!$D6,SSP2_Baseline!$B:$B,2025))) / (SUMIFS(SSP2_Baseline!$E:$E,SSP2_Baseline!$C:$C,Results_list!$C$298,SSP2_Baseline!$D:$D,Results_list!$D6,SSP2_Baseline!$B:$B,2025))</f>
        <v>-6.8250359296339281E-3</v>
      </c>
      <c r="BD6" s="16">
        <f>((SUMIFS(SSP2_VSI!$F:$F,SSP2_VSI!$C:$C,Results_list!$C$298,SSP2_VSI!$D:$D,Results_list!$D6,SSP2_VSI!$B:$B,2040)) - (SUMIFS(SSP2_VSI!$F:$F,SSP2_VSI!$C:$C,Results_list!$C$298,SSP2_VSI!$D:$D,Results_list!$D6,SSP2_VSI!$B:$B,2025))) / (SUMIFS(SSP2_VSI!$F:$F,SSP2_VSI!$C:$C,Results_list!$C$298,SSP2_VSI!$D:$D,Results_list!$D6,SSP2_VSI!$B:$B,2025))</f>
        <v>-6.8281105326416383E-3</v>
      </c>
      <c r="BE6" s="13">
        <f t="shared" si="10"/>
        <v>0</v>
      </c>
      <c r="BF6" s="12">
        <f>((SUMIFS(SSP5_Baseline!$E:$E,SSP5_Baseline!$C:$C,Results_list!$C$298,SSP5_Baseline!$D:$D,Results_list!$D6,SSP5_Baseline!$B:$B,2040)) - (SUMIFS(SSP5_Baseline!$E:$E,SSP5_Baseline!$C:$C,Results_list!$C$298,SSP5_Baseline!$D:$D,Results_list!$D6,SSP5_Baseline!$B:$B,2025))) / (SUMIFS(SSP5_Baseline!$E:$E,SSP5_Baseline!$C:$C,Results_list!$C$298,SSP5_Baseline!$D:$D,Results_list!$D6,SSP5_Baseline!$B:$B,2025))</f>
        <v>-4.0208457741165542E-3</v>
      </c>
      <c r="BG6" s="16">
        <f>((SUMIFS(SSP5_VSI!$F:$F,SSP5_VSI!$C:$C,Results_list!$C$298,SSP5_VSI!$D:$D,Results_list!$D6,SSP5_VSI!$B:$B,2040)) - (SUMIFS(SSP5_VSI!$F:$F,SSP5_VSI!$C:$C,Results_list!$C$298,SSP5_VSI!$D:$D,Results_list!$D6,SSP5_VSI!$B:$B,2025))) / (SUMIFS(SSP5_VSI!$F:$F,SSP5_VSI!$C:$C,Results_list!$C$298,SSP5_VSI!$D:$D,Results_list!$D6,SSP5_VSI!$B:$B,2025))</f>
        <v>-4.0385468286151466E-3</v>
      </c>
      <c r="BH6" s="13">
        <f t="shared" si="11"/>
        <v>0</v>
      </c>
    </row>
    <row r="7" spans="2:60" x14ac:dyDescent="0.35">
      <c r="B7" s="91"/>
      <c r="C7" s="91"/>
      <c r="D7" t="s">
        <v>42</v>
      </c>
      <c r="F7" s="3" t="s">
        <v>90</v>
      </c>
      <c r="G7" s="12">
        <f>((SUMIFS(SSP1_Baseline!E:E,SSP1_Baseline!C:C,Results_list!$C$4,SSP1_Baseline!D:D,Results_list!D7,SSP1_Baseline!B:B,2040)) - (SUMIFS(SSP1_Baseline!E:E,SSP1_Baseline!C:C,Results_list!$C$4,SSP1_Baseline!D:D,Results_list!D7,SSP1_Baseline!B:B,2025))) / (SUMIFS(SSP1_Baseline!E:E,SSP1_Baseline!C:C,Results_list!$C$4,SSP1_Baseline!D:D,Results_list!D7,SSP1_Baseline!B:B,2025))</f>
        <v>-6.3126918008191091E-2</v>
      </c>
      <c r="H7" s="16">
        <f>((SUMIFS(SSP1_VSI!F:F,SSP1_VSI!C:C,Results_list!$C$4,SSP1_VSI!D:D,Results_list!D7,SSP1_VSI!B:B,2040)) - (SUMIFS(SSP1_VSI!F:F,SSP1_VSI!C:C,Results_list!$C$4,SSP1_VSI!D:D,Results_list!D7,SSP1_VSI!B:B,2025))) / (SUMIFS(SSP1_VSI!F:F,SSP1_VSI!C:C,Results_list!$C$4,SSP1_VSI!D:D,Results_list!D7,SSP1_VSI!B:B,2025))</f>
        <v>-0.1841598492953454</v>
      </c>
      <c r="I7" s="13">
        <f t="shared" si="0"/>
        <v>-0.12</v>
      </c>
      <c r="J7" s="12">
        <f>((SUMIFS(SSP2_Baseline!$E:$E,SSP2_Baseline!$C:$C,Results_list!$C$4,SSP2_Baseline!$D:$D,Results_list!$D7,SSP2_Baseline!$B:$B,2040)) - (SUMIFS(SSP2_Baseline!$E:$E,SSP2_Baseline!$C:$C,Results_list!$C$4,SSP2_Baseline!$D:$D,Results_list!$D7,SSP2_Baseline!$B:$B,2025))) / (SUMIFS(SSP2_Baseline!$E:$E,SSP2_Baseline!$C:$C,Results_list!$C$4,SSP2_Baseline!$D:$D,Results_list!$D7,SSP2_Baseline!$B:$B,2025))</f>
        <v>-5.8711920456226273E-2</v>
      </c>
      <c r="K7" s="16">
        <f>((SUMIFS(SSP2_VSI!$F:$F,SSP2_VSI!$C:$C,Results_list!$C$4,SSP2_VSI!$D:$D,Results_list!$D7,SSP2_VSI!$B:$B,2040)) - (SUMIFS(SSP2_VSI!$F:$F,SSP2_VSI!$C:$C,Results_list!$C$4,SSP2_VSI!$D:$D,Results_list!$D7,SSP2_VSI!$B:$B,2025))) / (SUMIFS(SSP2_VSI!$F:$F,SSP2_VSI!$C:$C,Results_list!$C$4,SSP2_VSI!$D:$D,Results_list!$D7,SSP2_VSI!$B:$B,2025))</f>
        <v>-0.17971457572885238</v>
      </c>
      <c r="L7" s="13">
        <f t="shared" si="1"/>
        <v>-0.12</v>
      </c>
      <c r="M7" s="12">
        <f>((SUMIFS(SSP5_Baseline!$E:$E,SSP5_Baseline!$C:$C,Results_list!$C$4,SSP5_Baseline!$D:$D,Results_list!$D7,SSP5_Baseline!$B:$B,2040)) - (SUMIFS(SSP5_Baseline!$E:$E,SSP5_Baseline!$C:$C,Results_list!$C$4,SSP5_Baseline!$D:$D,Results_list!$D7,SSP5_Baseline!$B:$B,2025))) / (SUMIFS(SSP5_Baseline!$E:$E,SSP5_Baseline!$C:$C,Results_list!$C$4,SSP5_Baseline!$D:$D,Results_list!$D7,SSP5_Baseline!$B:$B,2025))</f>
        <v>-5.5562809909781151E-2</v>
      </c>
      <c r="N7" s="16">
        <f>((SUMIFS(SSP5_VSI!$F:$F,SSP5_VSI!$C:$C,Results_list!$C$4,SSP5_VSI!$D:$D,Results_list!$D7,SSP5_VSI!$B:$B,2040)) - (SUMIFS(SSP5_VSI!$F:$F,SSP5_VSI!$C:$C,Results_list!$C$4,SSP5_VSI!$D:$D,Results_list!$D7,SSP5_VSI!$B:$B,2025))) / (SUMIFS(SSP5_VSI!$F:$F,SSP5_VSI!$C:$C,Results_list!$C$4,SSP5_VSI!$D:$D,Results_list!$D7,SSP5_VSI!$B:$B,2025))</f>
        <v>-0.16680077134145846</v>
      </c>
      <c r="O7" s="13">
        <f t="shared" si="2"/>
        <v>-0.11</v>
      </c>
      <c r="Q7" s="91"/>
      <c r="R7" s="96"/>
      <c r="S7" s="22" t="s">
        <v>42</v>
      </c>
      <c r="U7" s="3" t="s">
        <v>90</v>
      </c>
      <c r="V7" s="12">
        <f>((SUMIFS(SSP1_Baseline!$E:$E,SSP1_Baseline!$C:$C,Results_list!$C$109,SSP1_Baseline!$D:$D,Results_list!$D112,SSP1_Baseline!$B:$B,2040)) - (SUMIFS(SSP1_Baseline!$E:$E,SSP1_Baseline!$C:$C,Results_list!$C$109,SSP1_Baseline!$D:$D,Results_list!$D112,SSP1_Baseline!$B:$B,2025))) / (SUMIFS(SSP1_Baseline!$E:$E,SSP1_Baseline!$C:$C,Results_list!$C$109,SSP1_Baseline!$D:$D,Results_list!$D112,SSP1_Baseline!$B:$B,2025))</f>
        <v>-3.5323386003694015E-4</v>
      </c>
      <c r="W7" s="16">
        <f>((SUMIFS(SSP1_VSI!$F:$F,SSP1_VSI!$C:$C,Results_list!$C$109,SSP1_VSI!$D:$D,Results_list!$D112,SSP1_VSI!$B:$B,2040)) - (SUMIFS(SSP1_VSI!$F:$F,SSP1_VSI!$C:$C,Results_list!$C$109,SSP1_VSI!$D:$D,Results_list!$D112,SSP1_VSI!$B:$B,2025))) / (SUMIFS(SSP1_VSI!$F:$F,SSP1_VSI!$C:$C,Results_list!$C$109,SSP1_VSI!$D:$D,Results_list!$D112,SSP1_VSI!$B:$B,2025))</f>
        <v>-1.635571324170227E-2</v>
      </c>
      <c r="X7" s="13">
        <f t="shared" si="3"/>
        <v>-1.6E-2</v>
      </c>
      <c r="Y7" s="12">
        <f>((SUMIFS(SSP2_Baseline!$E:$E,SSP2_Baseline!$C:$C,Results_list!$C$109,SSP2_Baseline!$D:$D,Results_list!$D112,SSP2_Baseline!$B:$B,2040)) - (SUMIFS(SSP2_Baseline!$E:$E,SSP2_Baseline!$C:$C,Results_list!$C$109,SSP2_Baseline!$D:$D,Results_list!$D112,SSP2_Baseline!$B:$B,2025))) / (SUMIFS(SSP2_Baseline!$E:$E,SSP2_Baseline!$C:$C,Results_list!$C$109,SSP2_Baseline!$D:$D,Results_list!$D112,SSP2_Baseline!$B:$B,2025))</f>
        <v>-1.5754563409595465E-5</v>
      </c>
      <c r="Z7" s="16">
        <f>((SUMIFS(SSP2_VSI!$F:$F,SSP2_VSI!$C:$C,Results_list!$C$109,SSP2_VSI!$D:$D,Results_list!$D112,SSP2_VSI!$B:$B,2040)) - (SUMIFS(SSP2_VSI!$F:$F,SSP2_VSI!$C:$C,Results_list!$C$109,SSP2_VSI!$D:$D,Results_list!$D112,SSP2_VSI!$B:$B,2025))) / (SUMIFS(SSP2_VSI!$F:$F,SSP2_VSI!$C:$C,Results_list!$C$109,SSP2_VSI!$D:$D,Results_list!$D112,SSP2_VSI!$B:$B,2025))</f>
        <v>-1.6021139466426648E-2</v>
      </c>
      <c r="AA7" s="13">
        <f t="shared" si="4"/>
        <v>-0.02</v>
      </c>
      <c r="AB7" s="12">
        <f>((SUMIFS(SSP5_Baseline!$E:$E,SSP5_Baseline!$C:$C,Results_list!$C$109,SSP5_Baseline!$D:$D,Results_list!$D112,SSP5_Baseline!$B:$B,2040)) - (SUMIFS(SSP5_Baseline!$E:$E,SSP5_Baseline!$C:$C,Results_list!$C$109,SSP5_Baseline!$D:$D,Results_list!$D112,SSP5_Baseline!$B:$B,2025))) / (SUMIFS(SSP5_Baseline!$E:$E,SSP5_Baseline!$C:$C,Results_list!$C$109,SSP5_Baseline!$D:$D,Results_list!$D112,SSP5_Baseline!$B:$B,2025))</f>
        <v>1.383487255160798E-3</v>
      </c>
      <c r="AC7" s="16">
        <f>((SUMIFS(SSP5_VSI!$F:$F,SSP5_VSI!$C:$C,Results_list!$C$109,SSP5_VSI!$D:$D,Results_list!$D112,SSP5_VSI!$B:$B,2040)) - (SUMIFS(SSP5_VSI!$F:$F,SSP5_VSI!$C:$C,Results_list!$C$109,SSP5_VSI!$D:$D,Results_list!$D112,SSP5_VSI!$B:$B,2025))) / (SUMIFS(SSP5_VSI!$F:$F,SSP5_VSI!$C:$C,Results_list!$C$109,SSP5_VSI!$D:$D,Results_list!$D112,SSP5_VSI!$B:$B,2025))</f>
        <v>-1.461197006499158E-2</v>
      </c>
      <c r="AD7" s="13">
        <f t="shared" si="5"/>
        <v>-0.02</v>
      </c>
      <c r="AF7" s="85"/>
      <c r="AG7" s="85"/>
      <c r="AH7" t="s">
        <v>42</v>
      </c>
      <c r="AI7" s="25" t="s">
        <v>70</v>
      </c>
      <c r="AJ7" s="3" t="s">
        <v>90</v>
      </c>
      <c r="AK7" s="12">
        <v>-0.38942720767343308</v>
      </c>
      <c r="AL7" s="16">
        <v>-0.38942334307139209</v>
      </c>
      <c r="AM7" s="13">
        <f t="shared" si="6"/>
        <v>0</v>
      </c>
      <c r="AN7" s="12">
        <v>-0.32660773323897296</v>
      </c>
      <c r="AO7" s="16">
        <v>-0.32660368178515509</v>
      </c>
      <c r="AP7" s="13">
        <f t="shared" si="7"/>
        <v>0</v>
      </c>
      <c r="AQ7" s="12">
        <v>-0.29845293270783407</v>
      </c>
      <c r="AR7" s="16">
        <v>-0.29845194585546891</v>
      </c>
      <c r="AS7" s="13">
        <f t="shared" si="8"/>
        <v>0</v>
      </c>
      <c r="AU7" s="87"/>
      <c r="AV7" s="87"/>
      <c r="AW7" t="s">
        <v>42</v>
      </c>
      <c r="AY7" s="3" t="s">
        <v>90</v>
      </c>
      <c r="AZ7" s="12">
        <f>((SUMIFS(SSP1_Baseline!$E:$E,SSP1_Baseline!$C:$C,Results_list!$C$298,SSP1_Baseline!$D:$D,Results_list!$D7,SSP1_Baseline!$B:$B,2040)) - (SUMIFS(SSP1_Baseline!$E:$E,SSP1_Baseline!$C:$C,Results_list!$C$298,SSP1_Baseline!$D:$D,Results_list!$D7,SSP1_Baseline!$B:$B,2025))) / (SUMIFS(SSP1_Baseline!$E:$E,SSP1_Baseline!$C:$C,Results_list!$C$298,SSP1_Baseline!$D:$D,Results_list!$D7,SSP1_Baseline!$B:$B,2025))</f>
        <v>-6.6244047402449048E-4</v>
      </c>
      <c r="BA7" s="16">
        <f>((SUMIFS(SSP1_VSI!$F:$F,SSP1_VSI!$C:$C,Results_list!$C$298,SSP1_VSI!$D:$D,Results_list!$D7,SSP1_VSI!$B:$B,2040)) - (SUMIFS(SSP1_VSI!$F:$F,SSP1_VSI!$C:$C,Results_list!$C$298,SSP1_VSI!$D:$D,Results_list!$D7,SSP1_VSI!$B:$B,2025))) / (SUMIFS(SSP1_VSI!$F:$F,SSP1_VSI!$C:$C,Results_list!$C$298,SSP1_VSI!$D:$D,Results_list!$D7,SSP1_VSI!$B:$B,2025))</f>
        <v>-6.2561489259953913E-4</v>
      </c>
      <c r="BB7" s="13">
        <f t="shared" si="9"/>
        <v>0</v>
      </c>
      <c r="BC7" s="12">
        <f>((SUMIFS(SSP2_Baseline!$E:$E,SSP2_Baseline!$C:$C,Results_list!$C$298,SSP2_Baseline!$D:$D,Results_list!$D7,SSP2_Baseline!$B:$B,2040)) - (SUMIFS(SSP2_Baseline!$E:$E,SSP2_Baseline!$C:$C,Results_list!$C$298,SSP2_Baseline!$D:$D,Results_list!$D7,SSP2_Baseline!$B:$B,2025))) / (SUMIFS(SSP2_Baseline!$E:$E,SSP2_Baseline!$C:$C,Results_list!$C$298,SSP2_Baseline!$D:$D,Results_list!$D7,SSP2_Baseline!$B:$B,2025))</f>
        <v>6.5586407360909052E-2</v>
      </c>
      <c r="BD7" s="16">
        <f>((SUMIFS(SSP2_VSI!$F:$F,SSP2_VSI!$C:$C,Results_list!$C$298,SSP2_VSI!$D:$D,Results_list!$D7,SSP2_VSI!$B:$B,2040)) - (SUMIFS(SSP2_VSI!$F:$F,SSP2_VSI!$C:$C,Results_list!$C$298,SSP2_VSI!$D:$D,Results_list!$D7,SSP2_VSI!$B:$B,2025))) / (SUMIFS(SSP2_VSI!$F:$F,SSP2_VSI!$C:$C,Results_list!$C$298,SSP2_VSI!$D:$D,Results_list!$D7,SSP2_VSI!$B:$B,2025))</f>
        <v>6.5560741490541669E-2</v>
      </c>
      <c r="BE7" s="13">
        <f t="shared" si="10"/>
        <v>0</v>
      </c>
      <c r="BF7" s="12">
        <f>((SUMIFS(SSP5_Baseline!$E:$E,SSP5_Baseline!$C:$C,Results_list!$C$298,SSP5_Baseline!$D:$D,Results_list!$D7,SSP5_Baseline!$B:$B,2040)) - (SUMIFS(SSP5_Baseline!$E:$E,SSP5_Baseline!$C:$C,Results_list!$C$298,SSP5_Baseline!$D:$D,Results_list!$D7,SSP5_Baseline!$B:$B,2025))) / (SUMIFS(SSP5_Baseline!$E:$E,SSP5_Baseline!$C:$C,Results_list!$C$298,SSP5_Baseline!$D:$D,Results_list!$D7,SSP5_Baseline!$B:$B,2025))</f>
        <v>5.6822479700069789E-2</v>
      </c>
      <c r="BG7" s="16">
        <f>((SUMIFS(SSP5_VSI!$F:$F,SSP5_VSI!$C:$C,Results_list!$C$298,SSP5_VSI!$D:$D,Results_list!$D7,SSP5_VSI!$B:$B,2040)) - (SUMIFS(SSP5_VSI!$F:$F,SSP5_VSI!$C:$C,Results_list!$C$298,SSP5_VSI!$D:$D,Results_list!$D7,SSP5_VSI!$B:$B,2025))) / (SUMIFS(SSP5_VSI!$F:$F,SSP5_VSI!$C:$C,Results_list!$C$298,SSP5_VSI!$D:$D,Results_list!$D7,SSP5_VSI!$B:$B,2025))</f>
        <v>5.6995263052946311E-2</v>
      </c>
      <c r="BH7" s="13">
        <f t="shared" si="11"/>
        <v>0</v>
      </c>
    </row>
    <row r="8" spans="2:60" x14ac:dyDescent="0.35">
      <c r="B8" s="91"/>
      <c r="C8" s="91"/>
      <c r="D8" t="s">
        <v>43</v>
      </c>
      <c r="F8" s="3" t="s">
        <v>91</v>
      </c>
      <c r="G8" s="12">
        <f>((SUMIFS(SSP1_Baseline!E:E,SSP1_Baseline!C:C,Results_list!$C$4,SSP1_Baseline!D:D,Results_list!D8,SSP1_Baseline!B:B,2040)) - (SUMIFS(SSP1_Baseline!E:E,SSP1_Baseline!C:C,Results_list!$C$4,SSP1_Baseline!D:D,Results_list!D8,SSP1_Baseline!B:B,2025))) / (SUMIFS(SSP1_Baseline!E:E,SSP1_Baseline!C:C,Results_list!$C$4,SSP1_Baseline!D:D,Results_list!D8,SSP1_Baseline!B:B,2025))</f>
        <v>-0.15134480063714914</v>
      </c>
      <c r="H8" s="16">
        <f>((SUMIFS(SSP1_VSI!F:F,SSP1_VSI!C:C,Results_list!$C$4,SSP1_VSI!D:D,Results_list!D8,SSP1_VSI!B:B,2040)) - (SUMIFS(SSP1_VSI!F:F,SSP1_VSI!C:C,Results_list!$C$4,SSP1_VSI!D:D,Results_list!D8,SSP1_VSI!B:B,2025))) / (SUMIFS(SSP1_VSI!F:F,SSP1_VSI!C:C,Results_list!$C$4,SSP1_VSI!D:D,Results_list!D8,SSP1_VSI!B:B,2025))</f>
        <v>-0.19315105134490587</v>
      </c>
      <c r="I8" s="13">
        <f t="shared" si="0"/>
        <v>-0.04</v>
      </c>
      <c r="J8" s="12">
        <f>((SUMIFS(SSP2_Baseline!$E:$E,SSP2_Baseline!$C:$C,Results_list!$C$4,SSP2_Baseline!$D:$D,Results_list!$D8,SSP2_Baseline!$B:$B,2040)) - (SUMIFS(SSP2_Baseline!$E:$E,SSP2_Baseline!$C:$C,Results_list!$C$4,SSP2_Baseline!$D:$D,Results_list!$D8,SSP2_Baseline!$B:$B,2025))) / (SUMIFS(SSP2_Baseline!$E:$E,SSP2_Baseline!$C:$C,Results_list!$C$4,SSP2_Baseline!$D:$D,Results_list!$D8,SSP2_Baseline!$B:$B,2025))</f>
        <v>-0.10974660196101307</v>
      </c>
      <c r="K8" s="16">
        <f>((SUMIFS(SSP2_VSI!$F:$F,SSP2_VSI!$C:$C,Results_list!$C$4,SSP2_VSI!$D:$D,Results_list!$D8,SSP2_VSI!$B:$B,2040)) - (SUMIFS(SSP2_VSI!$F:$F,SSP2_VSI!$C:$C,Results_list!$C$4,SSP2_VSI!$D:$D,Results_list!$D8,SSP2_VSI!$B:$B,2025))) / (SUMIFS(SSP2_VSI!$F:$F,SSP2_VSI!$C:$C,Results_list!$C$4,SSP2_VSI!$D:$D,Results_list!$D8,SSP2_VSI!$B:$B,2025))</f>
        <v>-0.15413151736071526</v>
      </c>
      <c r="L8" s="13">
        <f t="shared" si="1"/>
        <v>-0.04</v>
      </c>
      <c r="M8" s="12">
        <f>((SUMIFS(SSP5_Baseline!$E:$E,SSP5_Baseline!$C:$C,Results_list!$C$4,SSP5_Baseline!$D:$D,Results_list!$D8,SSP5_Baseline!$B:$B,2040)) - (SUMIFS(SSP5_Baseline!$E:$E,SSP5_Baseline!$C:$C,Results_list!$C$4,SSP5_Baseline!$D:$D,Results_list!$D8,SSP5_Baseline!$B:$B,2025))) / (SUMIFS(SSP5_Baseline!$E:$E,SSP5_Baseline!$C:$C,Results_list!$C$4,SSP5_Baseline!$D:$D,Results_list!$D8,SSP5_Baseline!$B:$B,2025))</f>
        <v>-7.4212602663830257E-2</v>
      </c>
      <c r="N8" s="16">
        <f>((SUMIFS(SSP5_VSI!$F:$F,SSP5_VSI!$C:$C,Results_list!$C$4,SSP5_VSI!$D:$D,Results_list!$D8,SSP5_VSI!$B:$B,2040)) - (SUMIFS(SSP5_VSI!$F:$F,SSP5_VSI!$C:$C,Results_list!$C$4,SSP5_VSI!$D:$D,Results_list!$D8,SSP5_VSI!$B:$B,2025))) / (SUMIFS(SSP5_VSI!$F:$F,SSP5_VSI!$C:$C,Results_list!$C$4,SSP5_VSI!$D:$D,Results_list!$D8,SSP5_VSI!$B:$B,2025))</f>
        <v>-0.11293628891954208</v>
      </c>
      <c r="O8" s="13">
        <f t="shared" si="2"/>
        <v>-0.04</v>
      </c>
      <c r="Q8" s="91"/>
      <c r="R8" s="96"/>
      <c r="S8" s="22" t="s">
        <v>43</v>
      </c>
      <c r="U8" s="3" t="s">
        <v>91</v>
      </c>
      <c r="V8" s="12">
        <f>((SUMIFS(SSP1_Baseline!$E:$E,SSP1_Baseline!$C:$C,Results_list!$C$109,SSP1_Baseline!$D:$D,Results_list!$D113,SSP1_Baseline!$B:$B,2040)) - (SUMIFS(SSP1_Baseline!$E:$E,SSP1_Baseline!$C:$C,Results_list!$C$109,SSP1_Baseline!$D:$D,Results_list!$D113,SSP1_Baseline!$B:$B,2025))) / (SUMIFS(SSP1_Baseline!$E:$E,SSP1_Baseline!$C:$C,Results_list!$C$109,SSP1_Baseline!$D:$D,Results_list!$D113,SSP1_Baseline!$B:$B,2025))</f>
        <v>-3.8214764504935659E-3</v>
      </c>
      <c r="W8" s="16">
        <f>((SUMIFS(SSP1_VSI!$F:$F,SSP1_VSI!$C:$C,Results_list!$C$109,SSP1_VSI!$D:$D,Results_list!$D113,SSP1_VSI!$B:$B,2040)) - (SUMIFS(SSP1_VSI!$F:$F,SSP1_VSI!$C:$C,Results_list!$C$109,SSP1_VSI!$D:$D,Results_list!$D113,SSP1_VSI!$B:$B,2025))) / (SUMIFS(SSP1_VSI!$F:$F,SSP1_VSI!$C:$C,Results_list!$C$109,SSP1_VSI!$D:$D,Results_list!$D113,SSP1_VSI!$B:$B,2025))</f>
        <v>-0.7806043182885869</v>
      </c>
      <c r="X8" s="13">
        <f t="shared" si="3"/>
        <v>-0.77700000000000002</v>
      </c>
      <c r="Y8" s="12">
        <f>((SUMIFS(SSP2_Baseline!$E:$E,SSP2_Baseline!$C:$C,Results_list!$C$109,SSP2_Baseline!$D:$D,Results_list!$D113,SSP2_Baseline!$B:$B,2040)) - (SUMIFS(SSP2_Baseline!$E:$E,SSP2_Baseline!$C:$C,Results_list!$C$109,SSP2_Baseline!$D:$D,Results_list!$D113,SSP2_Baseline!$B:$B,2025))) / (SUMIFS(SSP2_Baseline!$E:$E,SSP2_Baseline!$C:$C,Results_list!$C$109,SSP2_Baseline!$D:$D,Results_list!$D113,SSP2_Baseline!$B:$B,2025))</f>
        <v>4.2018065604512413E-5</v>
      </c>
      <c r="Z8" s="16">
        <f>((SUMIFS(SSP2_VSI!$F:$F,SSP2_VSI!$C:$C,Results_list!$C$109,SSP2_VSI!$D:$D,Results_list!$D113,SSP2_VSI!$B:$B,2040)) - (SUMIFS(SSP2_VSI!$F:$F,SSP2_VSI!$C:$C,Results_list!$C$109,SSP2_VSI!$D:$D,Results_list!$D113,SSP2_VSI!$B:$B,2025))) / (SUMIFS(SSP2_VSI!$F:$F,SSP2_VSI!$C:$C,Results_list!$C$109,SSP2_VSI!$D:$D,Results_list!$D113,SSP2_VSI!$B:$B,2025))</f>
        <v>-0.78149207344698368</v>
      </c>
      <c r="AA8" s="13">
        <f t="shared" si="4"/>
        <v>-0.78</v>
      </c>
      <c r="AB8" s="12">
        <f>((SUMIFS(SSP5_Baseline!$E:$E,SSP5_Baseline!$C:$C,Results_list!$C$109,SSP5_Baseline!$D:$D,Results_list!$D113,SSP5_Baseline!$B:$B,2040)) - (SUMIFS(SSP5_Baseline!$E:$E,SSP5_Baseline!$C:$C,Results_list!$C$109,SSP5_Baseline!$D:$D,Results_list!$D113,SSP5_Baseline!$B:$B,2025))) / (SUMIFS(SSP5_Baseline!$E:$E,SSP5_Baseline!$C:$C,Results_list!$C$109,SSP5_Baseline!$D:$D,Results_list!$D113,SSP5_Baseline!$B:$B,2025))</f>
        <v>2.3325727146422002E-3</v>
      </c>
      <c r="AC8" s="16">
        <f>((SUMIFS(SSP5_VSI!$F:$F,SSP5_VSI!$C:$C,Results_list!$C$109,SSP5_VSI!$D:$D,Results_list!$D113,SSP5_VSI!$B:$B,2040)) - (SUMIFS(SSP5_VSI!$F:$F,SSP5_VSI!$C:$C,Results_list!$C$109,SSP5_VSI!$D:$D,Results_list!$D113,SSP5_VSI!$B:$B,2025))) / (SUMIFS(SSP5_VSI!$F:$F,SSP5_VSI!$C:$C,Results_list!$C$109,SSP5_VSI!$D:$D,Results_list!$D113,SSP5_VSI!$B:$B,2025))</f>
        <v>-0.77922975598933542</v>
      </c>
      <c r="AD8" s="13">
        <f t="shared" si="5"/>
        <v>-0.78</v>
      </c>
      <c r="AF8" s="85"/>
      <c r="AG8" s="85"/>
      <c r="AH8" t="s">
        <v>43</v>
      </c>
      <c r="AI8" s="25" t="s">
        <v>70</v>
      </c>
      <c r="AJ8" s="3" t="s">
        <v>91</v>
      </c>
      <c r="AK8" s="12">
        <v>-5.2854681470181929E-2</v>
      </c>
      <c r="AL8" s="16">
        <v>-5.2856064075926905E-2</v>
      </c>
      <c r="AM8" s="13">
        <f t="shared" si="6"/>
        <v>0</v>
      </c>
      <c r="AN8" s="12">
        <v>-4.240245335335751E-2</v>
      </c>
      <c r="AO8" s="16">
        <v>-4.2401058664724031E-2</v>
      </c>
      <c r="AP8" s="13">
        <f t="shared" si="7"/>
        <v>0</v>
      </c>
      <c r="AQ8" s="12">
        <v>1.1817747750434269E-2</v>
      </c>
      <c r="AR8" s="16">
        <v>1.1818284459221236E-2</v>
      </c>
      <c r="AS8" s="13">
        <f t="shared" si="8"/>
        <v>0</v>
      </c>
      <c r="AU8" s="87"/>
      <c r="AV8" s="87"/>
      <c r="AW8" t="s">
        <v>43</v>
      </c>
      <c r="AY8" s="3" t="s">
        <v>91</v>
      </c>
      <c r="AZ8" s="12">
        <f>((SUMIFS(SSP1_Baseline!$E:$E,SSP1_Baseline!$C:$C,Results_list!$C$298,SSP1_Baseline!$D:$D,Results_list!$D8,SSP1_Baseline!$B:$B,2040)) - (SUMIFS(SSP1_Baseline!$E:$E,SSP1_Baseline!$C:$C,Results_list!$C$298,SSP1_Baseline!$D:$D,Results_list!$D8,SSP1_Baseline!$B:$B,2025))) / (SUMIFS(SSP1_Baseline!$E:$E,SSP1_Baseline!$C:$C,Results_list!$C$298,SSP1_Baseline!$D:$D,Results_list!$D8,SSP1_Baseline!$B:$B,2025))</f>
        <v>-1.4277257419370925E-2</v>
      </c>
      <c r="BA8" s="16">
        <f>((SUMIFS(SSP1_VSI!$F:$F,SSP1_VSI!$C:$C,Results_list!$C$298,SSP1_VSI!$D:$D,Results_list!$D8,SSP1_VSI!$B:$B,2040)) - (SUMIFS(SSP1_VSI!$F:$F,SSP1_VSI!$C:$C,Results_list!$C$298,SSP1_VSI!$D:$D,Results_list!$D8,SSP1_VSI!$B:$B,2025))) / (SUMIFS(SSP1_VSI!$F:$F,SSP1_VSI!$C:$C,Results_list!$C$298,SSP1_VSI!$D:$D,Results_list!$D8,SSP1_VSI!$B:$B,2025))</f>
        <v>-1.4290443623282509E-2</v>
      </c>
      <c r="BB8" s="13">
        <f t="shared" si="9"/>
        <v>0</v>
      </c>
      <c r="BC8" s="12">
        <f>((SUMIFS(SSP2_Baseline!$E:$E,SSP2_Baseline!$C:$C,Results_list!$C$298,SSP2_Baseline!$D:$D,Results_list!$D8,SSP2_Baseline!$B:$B,2040)) - (SUMIFS(SSP2_Baseline!$E:$E,SSP2_Baseline!$C:$C,Results_list!$C$298,SSP2_Baseline!$D:$D,Results_list!$D8,SSP2_Baseline!$B:$B,2025))) / (SUMIFS(SSP2_Baseline!$E:$E,SSP2_Baseline!$C:$C,Results_list!$C$298,SSP2_Baseline!$D:$D,Results_list!$D8,SSP2_Baseline!$B:$B,2025))</f>
        <v>1.4324391462316875E-2</v>
      </c>
      <c r="BD8" s="16">
        <f>((SUMIFS(SSP2_VSI!$F:$F,SSP2_VSI!$C:$C,Results_list!$C$298,SSP2_VSI!$D:$D,Results_list!$D8,SSP2_VSI!$B:$B,2040)) - (SUMIFS(SSP2_VSI!$F:$F,SSP2_VSI!$C:$C,Results_list!$C$298,SSP2_VSI!$D:$D,Results_list!$D8,SSP2_VSI!$B:$B,2025))) / (SUMIFS(SSP2_VSI!$F:$F,SSP2_VSI!$C:$C,Results_list!$C$298,SSP2_VSI!$D:$D,Results_list!$D8,SSP2_VSI!$B:$B,2025))</f>
        <v>1.432447555740512E-2</v>
      </c>
      <c r="BE8" s="13">
        <f t="shared" si="10"/>
        <v>0</v>
      </c>
      <c r="BF8" s="12">
        <f>((SUMIFS(SSP5_Baseline!$E:$E,SSP5_Baseline!$C:$C,Results_list!$C$298,SSP5_Baseline!$D:$D,Results_list!$D8,SSP5_Baseline!$B:$B,2040)) - (SUMIFS(SSP5_Baseline!$E:$E,SSP5_Baseline!$C:$C,Results_list!$C$298,SSP5_Baseline!$D:$D,Results_list!$D8,SSP5_Baseline!$B:$B,2025))) / (SUMIFS(SSP5_Baseline!$E:$E,SSP5_Baseline!$C:$C,Results_list!$C$298,SSP5_Baseline!$D:$D,Results_list!$D8,SSP5_Baseline!$B:$B,2025))</f>
        <v>1.7851600762277348E-2</v>
      </c>
      <c r="BG8" s="16">
        <f>((SUMIFS(SSP5_VSI!$F:$F,SSP5_VSI!$C:$C,Results_list!$C$298,SSP5_VSI!$D:$D,Results_list!$D8,SSP5_VSI!$B:$B,2040)) - (SUMIFS(SSP5_VSI!$F:$F,SSP5_VSI!$C:$C,Results_list!$C$298,SSP5_VSI!$D:$D,Results_list!$D8,SSP5_VSI!$B:$B,2025))) / (SUMIFS(SSP5_VSI!$F:$F,SSP5_VSI!$C:$C,Results_list!$C$298,SSP5_VSI!$D:$D,Results_list!$D8,SSP5_VSI!$B:$B,2025))</f>
        <v>1.7845986793342199E-2</v>
      </c>
      <c r="BH8" s="13">
        <f t="shared" si="11"/>
        <v>0</v>
      </c>
    </row>
    <row r="9" spans="2:60" x14ac:dyDescent="0.35">
      <c r="B9" s="91"/>
      <c r="C9" s="91"/>
      <c r="D9" t="s">
        <v>44</v>
      </c>
      <c r="F9" s="3" t="s">
        <v>92</v>
      </c>
      <c r="G9" s="12">
        <f>((SUMIFS(SSP1_Baseline!E:E,SSP1_Baseline!C:C,Results_list!$C$4,SSP1_Baseline!D:D,Results_list!D9,SSP1_Baseline!B:B,2040)) - (SUMIFS(SSP1_Baseline!E:E,SSP1_Baseline!C:C,Results_list!$C$4,SSP1_Baseline!D:D,Results_list!D9,SSP1_Baseline!B:B,2025))) / (SUMIFS(SSP1_Baseline!E:E,SSP1_Baseline!C:C,Results_list!$C$4,SSP1_Baseline!D:D,Results_list!D9,SSP1_Baseline!B:B,2025))</f>
        <v>-8.3937643411941945E-2</v>
      </c>
      <c r="H9" s="16">
        <f>((SUMIFS(SSP1_VSI!F:F,SSP1_VSI!C:C,Results_list!$C$4,SSP1_VSI!D:D,Results_list!D9,SSP1_VSI!B:B,2040)) - (SUMIFS(SSP1_VSI!F:F,SSP1_VSI!C:C,Results_list!$C$4,SSP1_VSI!D:D,Results_list!D9,SSP1_VSI!B:B,2025))) / (SUMIFS(SSP1_VSI!F:F,SSP1_VSI!C:C,Results_list!$C$4,SSP1_VSI!D:D,Results_list!D9,SSP1_VSI!B:B,2025))</f>
        <v>-9.6716074514266212E-2</v>
      </c>
      <c r="I9" s="13">
        <f t="shared" si="0"/>
        <v>-0.01</v>
      </c>
      <c r="J9" s="12">
        <f>((SUMIFS(SSP2_Baseline!$E:$E,SSP2_Baseline!$C:$C,Results_list!$C$4,SSP2_Baseline!$D:$D,Results_list!$D9,SSP2_Baseline!$B:$B,2040)) - (SUMIFS(SSP2_Baseline!$E:$E,SSP2_Baseline!$C:$C,Results_list!$C$4,SSP2_Baseline!$D:$D,Results_list!$D9,SSP2_Baseline!$B:$B,2025))) / (SUMIFS(SSP2_Baseline!$E:$E,SSP2_Baseline!$C:$C,Results_list!$C$4,SSP2_Baseline!$D:$D,Results_list!$D9,SSP2_Baseline!$B:$B,2025))</f>
        <v>-6.695730361662125E-2</v>
      </c>
      <c r="K9" s="16">
        <f>((SUMIFS(SSP2_VSI!$F:$F,SSP2_VSI!$C:$C,Results_list!$C$4,SSP2_VSI!$D:$D,Results_list!$D9,SSP2_VSI!$B:$B,2040)) - (SUMIFS(SSP2_VSI!$F:$F,SSP2_VSI!$C:$C,Results_list!$C$4,SSP2_VSI!$D:$D,Results_list!$D9,SSP2_VSI!$B:$B,2025))) / (SUMIFS(SSP2_VSI!$F:$F,SSP2_VSI!$C:$C,Results_list!$C$4,SSP2_VSI!$D:$D,Results_list!$D9,SSP2_VSI!$B:$B,2025))</f>
        <v>-7.9768049283650042E-2</v>
      </c>
      <c r="L9" s="13">
        <f t="shared" si="1"/>
        <v>-0.01</v>
      </c>
      <c r="M9" s="12">
        <f>((SUMIFS(SSP5_Baseline!$E:$E,SSP5_Baseline!$C:$C,Results_list!$C$4,SSP5_Baseline!$D:$D,Results_list!$D9,SSP5_Baseline!$B:$B,2040)) - (SUMIFS(SSP5_Baseline!$E:$E,SSP5_Baseline!$C:$C,Results_list!$C$4,SSP5_Baseline!$D:$D,Results_list!$D9,SSP5_Baseline!$B:$B,2025))) / (SUMIFS(SSP5_Baseline!$E:$E,SSP5_Baseline!$C:$C,Results_list!$C$4,SSP5_Baseline!$D:$D,Results_list!$D9,SSP5_Baseline!$B:$B,2025))</f>
        <v>5.0519623931402295E-2</v>
      </c>
      <c r="N9" s="16">
        <f>((SUMIFS(SSP5_VSI!$F:$F,SSP5_VSI!$C:$C,Results_list!$C$4,SSP5_VSI!$D:$D,Results_list!$D9,SSP5_VSI!$B:$B,2040)) - (SUMIFS(SSP5_VSI!$F:$F,SSP5_VSI!$C:$C,Results_list!$C$4,SSP5_VSI!$D:$D,Results_list!$D9,SSP5_VSI!$B:$B,2025))) / (SUMIFS(SSP5_VSI!$F:$F,SSP5_VSI!$C:$C,Results_list!$C$4,SSP5_VSI!$D:$D,Results_list!$D9,SSP5_VSI!$B:$B,2025))</f>
        <v>3.8729879259767924E-2</v>
      </c>
      <c r="O9" s="13">
        <f t="shared" si="2"/>
        <v>-0.01</v>
      </c>
      <c r="Q9" s="91"/>
      <c r="R9" s="96"/>
      <c r="S9" s="22" t="s">
        <v>44</v>
      </c>
      <c r="U9" s="3" t="s">
        <v>92</v>
      </c>
      <c r="V9" s="12">
        <f>((SUMIFS(SSP1_Baseline!$E:$E,SSP1_Baseline!$C:$C,Results_list!$C$109,SSP1_Baseline!$D:$D,Results_list!$D114,SSP1_Baseline!$B:$B,2040)) - (SUMIFS(SSP1_Baseline!$E:$E,SSP1_Baseline!$C:$C,Results_list!$C$109,SSP1_Baseline!$D:$D,Results_list!$D114,SSP1_Baseline!$B:$B,2025))) / (SUMIFS(SSP1_Baseline!$E:$E,SSP1_Baseline!$C:$C,Results_list!$C$109,SSP1_Baseline!$D:$D,Results_list!$D114,SSP1_Baseline!$B:$B,2025))</f>
        <v>-8.1205579172266718E-3</v>
      </c>
      <c r="W9" s="16">
        <f>((SUMIFS(SSP1_VSI!$F:$F,SSP1_VSI!$C:$C,Results_list!$C$109,SSP1_VSI!$D:$D,Results_list!$D114,SSP1_VSI!$B:$B,2040)) - (SUMIFS(SSP1_VSI!$F:$F,SSP1_VSI!$C:$C,Results_list!$C$109,SSP1_VSI!$D:$D,Results_list!$D114,SSP1_VSI!$B:$B,2025))) / (SUMIFS(SSP1_VSI!$F:$F,SSP1_VSI!$C:$C,Results_list!$C$109,SSP1_VSI!$D:$D,Results_list!$D114,SSP1_VSI!$B:$B,2025))</f>
        <v>-0.35821603613600517</v>
      </c>
      <c r="X9" s="13">
        <f t="shared" si="3"/>
        <v>-0.35</v>
      </c>
      <c r="Y9" s="12">
        <f>((SUMIFS(SSP2_Baseline!$E:$E,SSP2_Baseline!$C:$C,Results_list!$C$109,SSP2_Baseline!$D:$D,Results_list!$D114,SSP2_Baseline!$B:$B,2040)) - (SUMIFS(SSP2_Baseline!$E:$E,SSP2_Baseline!$C:$C,Results_list!$C$109,SSP2_Baseline!$D:$D,Results_list!$D114,SSP2_Baseline!$B:$B,2025))) / (SUMIFS(SSP2_Baseline!$E:$E,SSP2_Baseline!$C:$C,Results_list!$C$109,SSP2_Baseline!$D:$D,Results_list!$D114,SSP2_Baseline!$B:$B,2025))</f>
        <v>-3.6922963041039051E-3</v>
      </c>
      <c r="Z9" s="16">
        <f>((SUMIFS(SSP2_VSI!$F:$F,SSP2_VSI!$C:$C,Results_list!$C$109,SSP2_VSI!$D:$D,Results_list!$D114,SSP2_VSI!$B:$B,2040)) - (SUMIFS(SSP2_VSI!$F:$F,SSP2_VSI!$C:$C,Results_list!$C$109,SSP2_VSI!$D:$D,Results_list!$D114,SSP2_VSI!$B:$B,2025))) / (SUMIFS(SSP2_VSI!$F:$F,SSP2_VSI!$C:$C,Results_list!$C$109,SSP2_VSI!$D:$D,Results_list!$D114,SSP2_VSI!$B:$B,2025))</f>
        <v>-0.35381261207132808</v>
      </c>
      <c r="AA9" s="13">
        <f t="shared" si="4"/>
        <v>-0.35</v>
      </c>
      <c r="AB9" s="12">
        <f>((SUMIFS(SSP5_Baseline!$E:$E,SSP5_Baseline!$C:$C,Results_list!$C$109,SSP5_Baseline!$D:$D,Results_list!$D114,SSP5_Baseline!$B:$B,2040)) - (SUMIFS(SSP5_Baseline!$E:$E,SSP5_Baseline!$C:$C,Results_list!$C$109,SSP5_Baseline!$D:$D,Results_list!$D114,SSP5_Baseline!$B:$B,2025))) / (SUMIFS(SSP5_Baseline!$E:$E,SSP5_Baseline!$C:$C,Results_list!$C$109,SSP5_Baseline!$D:$D,Results_list!$D114,SSP5_Baseline!$B:$B,2025))</f>
        <v>1.5682460996053024E-3</v>
      </c>
      <c r="AC9" s="16">
        <f>((SUMIFS(SSP5_VSI!$F:$F,SSP5_VSI!$C:$C,Results_list!$C$109,SSP5_VSI!$D:$D,Results_list!$D114,SSP5_VSI!$B:$B,2040)) - (SUMIFS(SSP5_VSI!$F:$F,SSP5_VSI!$C:$C,Results_list!$C$109,SSP5_VSI!$D:$D,Results_list!$D114,SSP5_VSI!$B:$B,2025))) / (SUMIFS(SSP5_VSI!$F:$F,SSP5_VSI!$C:$C,Results_list!$C$109,SSP5_VSI!$D:$D,Results_list!$D114,SSP5_VSI!$B:$B,2025))</f>
        <v>-0.34804561692717273</v>
      </c>
      <c r="AD9" s="13">
        <f t="shared" si="5"/>
        <v>-0.35</v>
      </c>
      <c r="AF9" s="85"/>
      <c r="AG9" s="85"/>
      <c r="AH9" t="s">
        <v>44</v>
      </c>
      <c r="AI9" s="25" t="s">
        <v>70</v>
      </c>
      <c r="AJ9" s="3" t="s">
        <v>92</v>
      </c>
      <c r="AK9" s="12">
        <v>-0.22406776293727093</v>
      </c>
      <c r="AL9" s="16">
        <v>-0.2240632820572297</v>
      </c>
      <c r="AM9" s="13">
        <f t="shared" si="6"/>
        <v>0</v>
      </c>
      <c r="AN9" s="12">
        <v>-0.18839048630765945</v>
      </c>
      <c r="AO9" s="16">
        <v>-0.18839216644430856</v>
      </c>
      <c r="AP9" s="13">
        <f t="shared" si="7"/>
        <v>0</v>
      </c>
      <c r="AQ9" s="12">
        <v>6.6934132884532274E-2</v>
      </c>
      <c r="AR9" s="16">
        <v>6.6930898095943395E-2</v>
      </c>
      <c r="AS9" s="13">
        <f t="shared" si="8"/>
        <v>0</v>
      </c>
      <c r="AU9" s="87"/>
      <c r="AV9" s="87"/>
      <c r="AW9" t="s">
        <v>44</v>
      </c>
      <c r="AY9" s="3" t="s">
        <v>92</v>
      </c>
      <c r="AZ9" s="12">
        <f>((SUMIFS(SSP1_Baseline!$E:$E,SSP1_Baseline!$C:$C,Results_list!$C$298,SSP1_Baseline!$D:$D,Results_list!$D9,SSP1_Baseline!$B:$B,2040)) - (SUMIFS(SSP1_Baseline!$E:$E,SSP1_Baseline!$C:$C,Results_list!$C$298,SSP1_Baseline!$D:$D,Results_list!$D9,SSP1_Baseline!$B:$B,2025))) / (SUMIFS(SSP1_Baseline!$E:$E,SSP1_Baseline!$C:$C,Results_list!$C$298,SSP1_Baseline!$D:$D,Results_list!$D9,SSP1_Baseline!$B:$B,2025))</f>
        <v>-0.10067039624273408</v>
      </c>
      <c r="BA9" s="16">
        <f>((SUMIFS(SSP1_VSI!$F:$F,SSP1_VSI!$C:$C,Results_list!$C$298,SSP1_VSI!$D:$D,Results_list!$D9,SSP1_VSI!$B:$B,2040)) - (SUMIFS(SSP1_VSI!$F:$F,SSP1_VSI!$C:$C,Results_list!$C$298,SSP1_VSI!$D:$D,Results_list!$D9,SSP1_VSI!$B:$B,2025))) / (SUMIFS(SSP1_VSI!$F:$F,SSP1_VSI!$C:$C,Results_list!$C$298,SSP1_VSI!$D:$D,Results_list!$D9,SSP1_VSI!$B:$B,2025))</f>
        <v>-0.10080238397114491</v>
      </c>
      <c r="BB9" s="13">
        <f t="shared" si="9"/>
        <v>0</v>
      </c>
      <c r="BC9" s="12">
        <f>((SUMIFS(SSP2_Baseline!$E:$E,SSP2_Baseline!$C:$C,Results_list!$C$298,SSP2_Baseline!$D:$D,Results_list!$D9,SSP2_Baseline!$B:$B,2040)) - (SUMIFS(SSP2_Baseline!$E:$E,SSP2_Baseline!$C:$C,Results_list!$C$298,SSP2_Baseline!$D:$D,Results_list!$D9,SSP2_Baseline!$B:$B,2025))) / (SUMIFS(SSP2_Baseline!$E:$E,SSP2_Baseline!$C:$C,Results_list!$C$298,SSP2_Baseline!$D:$D,Results_list!$D9,SSP2_Baseline!$B:$B,2025))</f>
        <v>2.8547200564619062E-2</v>
      </c>
      <c r="BD9" s="16">
        <f>((SUMIFS(SSP2_VSI!$F:$F,SSP2_VSI!$C:$C,Results_list!$C$298,SSP2_VSI!$D:$D,Results_list!$D9,SSP2_VSI!$B:$B,2040)) - (SUMIFS(SSP2_VSI!$F:$F,SSP2_VSI!$C:$C,Results_list!$C$298,SSP2_VSI!$D:$D,Results_list!$D9,SSP2_VSI!$B:$B,2025))) / (SUMIFS(SSP2_VSI!$F:$F,SSP2_VSI!$C:$C,Results_list!$C$298,SSP2_VSI!$D:$D,Results_list!$D9,SSP2_VSI!$B:$B,2025))</f>
        <v>2.8578094798689987E-2</v>
      </c>
      <c r="BE9" s="13">
        <f t="shared" si="10"/>
        <v>0</v>
      </c>
      <c r="BF9" s="12">
        <f>((SUMIFS(SSP5_Baseline!$E:$E,SSP5_Baseline!$C:$C,Results_list!$C$298,SSP5_Baseline!$D:$D,Results_list!$D9,SSP5_Baseline!$B:$B,2040)) - (SUMIFS(SSP5_Baseline!$E:$E,SSP5_Baseline!$C:$C,Results_list!$C$298,SSP5_Baseline!$D:$D,Results_list!$D9,SSP5_Baseline!$B:$B,2025))) / (SUMIFS(SSP5_Baseline!$E:$E,SSP5_Baseline!$C:$C,Results_list!$C$298,SSP5_Baseline!$D:$D,Results_list!$D9,SSP5_Baseline!$B:$B,2025))</f>
        <v>2.3328303854302096E-2</v>
      </c>
      <c r="BG9" s="16">
        <f>((SUMIFS(SSP5_VSI!$F:$F,SSP5_VSI!$C:$C,Results_list!$C$298,SSP5_VSI!$D:$D,Results_list!$D9,SSP5_VSI!$B:$B,2040)) - (SUMIFS(SSP5_VSI!$F:$F,SSP5_VSI!$C:$C,Results_list!$C$298,SSP5_VSI!$D:$D,Results_list!$D9,SSP5_VSI!$B:$B,2025))) / (SUMIFS(SSP5_VSI!$F:$F,SSP5_VSI!$C:$C,Results_list!$C$298,SSP5_VSI!$D:$D,Results_list!$D9,SSP5_VSI!$B:$B,2025))</f>
        <v>2.340380264700721E-2</v>
      </c>
      <c r="BH9" s="13">
        <f t="shared" si="11"/>
        <v>0</v>
      </c>
    </row>
    <row r="10" spans="2:60" x14ac:dyDescent="0.35">
      <c r="B10" s="91"/>
      <c r="C10" s="91"/>
      <c r="D10" t="s">
        <v>45</v>
      </c>
      <c r="F10" s="3" t="s">
        <v>93</v>
      </c>
      <c r="G10" s="12">
        <f>((SUMIFS(SSP1_Baseline!E:E,SSP1_Baseline!C:C,Results_list!$C$4,SSP1_Baseline!D:D,Results_list!D10,SSP1_Baseline!B:B,2040)) - (SUMIFS(SSP1_Baseline!E:E,SSP1_Baseline!C:C,Results_list!$C$4,SSP1_Baseline!D:D,Results_list!D10,SSP1_Baseline!B:B,2025))) / (SUMIFS(SSP1_Baseline!E:E,SSP1_Baseline!C:C,Results_list!$C$4,SSP1_Baseline!D:D,Results_list!D10,SSP1_Baseline!B:B,2025))</f>
        <v>-3.487092489976037E-3</v>
      </c>
      <c r="H10" s="16">
        <f>((SUMIFS(SSP1_VSI!F:F,SSP1_VSI!C:C,Results_list!$C$4,SSP1_VSI!D:D,Results_list!D10,SSP1_VSI!B:B,2040)) - (SUMIFS(SSP1_VSI!F:F,SSP1_VSI!C:C,Results_list!$C$4,SSP1_VSI!D:D,Results_list!D10,SSP1_VSI!B:B,2025))) / (SUMIFS(SSP1_VSI!F:F,SSP1_VSI!C:C,Results_list!$C$4,SSP1_VSI!D:D,Results_list!D10,SSP1_VSI!B:B,2025))</f>
        <v>-0.9619458748249694</v>
      </c>
      <c r="I10" s="13">
        <f t="shared" si="0"/>
        <v>-0.96</v>
      </c>
      <c r="J10" s="12">
        <f>((SUMIFS(SSP2_Baseline!$E:$E,SSP2_Baseline!$C:$C,Results_list!$C$4,SSP2_Baseline!$D:$D,Results_list!$D10,SSP2_Baseline!$B:$B,2040)) - (SUMIFS(SSP2_Baseline!$E:$E,SSP2_Baseline!$C:$C,Results_list!$C$4,SSP2_Baseline!$D:$D,Results_list!$D10,SSP2_Baseline!$B:$B,2025))) / (SUMIFS(SSP2_Baseline!$E:$E,SSP2_Baseline!$C:$C,Results_list!$C$4,SSP2_Baseline!$D:$D,Results_list!$D10,SSP2_Baseline!$B:$B,2025))</f>
        <v>-3.6665373003454509E-3</v>
      </c>
      <c r="K10" s="16">
        <f>((SUMIFS(SSP2_VSI!$F:$F,SSP2_VSI!$C:$C,Results_list!$C$4,SSP2_VSI!$D:$D,Results_list!$D10,SSP2_VSI!$B:$B,2040)) - (SUMIFS(SSP2_VSI!$F:$F,SSP2_VSI!$C:$C,Results_list!$C$4,SSP2_VSI!$D:$D,Results_list!$D10,SSP2_VSI!$B:$B,2025))) / (SUMIFS(SSP2_VSI!$F:$F,SSP2_VSI!$C:$C,Results_list!$C$4,SSP2_VSI!$D:$D,Results_list!$D10,SSP2_VSI!$B:$B,2025))</f>
        <v>-0.96246239346716256</v>
      </c>
      <c r="L10" s="13">
        <f t="shared" si="1"/>
        <v>-0.96</v>
      </c>
      <c r="M10" s="12">
        <f>((SUMIFS(SSP5_Baseline!$E:$E,SSP5_Baseline!$C:$C,Results_list!$C$4,SSP5_Baseline!$D:$D,Results_list!$D10,SSP5_Baseline!$B:$B,2040)) - (SUMIFS(SSP5_Baseline!$E:$E,SSP5_Baseline!$C:$C,Results_list!$C$4,SSP5_Baseline!$D:$D,Results_list!$D10,SSP5_Baseline!$B:$B,2025))) / (SUMIFS(SSP5_Baseline!$E:$E,SSP5_Baseline!$C:$C,Results_list!$C$4,SSP5_Baseline!$D:$D,Results_list!$D10,SSP5_Baseline!$B:$B,2025))</f>
        <v>-3.9762496959901842E-3</v>
      </c>
      <c r="N10" s="16">
        <f>((SUMIFS(SSP5_VSI!$F:$F,SSP5_VSI!$C:$C,Results_list!$C$4,SSP5_VSI!$D:$D,Results_list!$D10,SSP5_VSI!$B:$B,2040)) - (SUMIFS(SSP5_VSI!$F:$F,SSP5_VSI!$C:$C,Results_list!$C$4,SSP5_VSI!$D:$D,Results_list!$D10,SSP5_VSI!$B:$B,2025))) / (SUMIFS(SSP5_VSI!$F:$F,SSP5_VSI!$C:$C,Results_list!$C$4,SSP5_VSI!$D:$D,Results_list!$D10,SSP5_VSI!$B:$B,2025))</f>
        <v>-0.95862539567701177</v>
      </c>
      <c r="O10" s="13">
        <f t="shared" si="2"/>
        <v>-0.95</v>
      </c>
      <c r="Q10" s="91"/>
      <c r="R10" s="96"/>
      <c r="S10" s="22" t="s">
        <v>45</v>
      </c>
      <c r="U10" s="3" t="s">
        <v>93</v>
      </c>
      <c r="V10" s="12">
        <f>((SUMIFS(SSP1_Baseline!$E:$E,SSP1_Baseline!$C:$C,Results_list!$C$109,SSP1_Baseline!$D:$D,Results_list!$D115,SSP1_Baseline!$B:$B,2040)) - (SUMIFS(SSP1_Baseline!$E:$E,SSP1_Baseline!$C:$C,Results_list!$C$109,SSP1_Baseline!$D:$D,Results_list!$D115,SSP1_Baseline!$B:$B,2025))) / (SUMIFS(SSP1_Baseline!$E:$E,SSP1_Baseline!$C:$C,Results_list!$C$109,SSP1_Baseline!$D:$D,Results_list!$D115,SSP1_Baseline!$B:$B,2025))</f>
        <v>-2.4808487873088567E-2</v>
      </c>
      <c r="W10" s="16">
        <f>((SUMIFS(SSP1_VSI!$F:$F,SSP1_VSI!$C:$C,Results_list!$C$109,SSP1_VSI!$D:$D,Results_list!$D115,SSP1_VSI!$B:$B,2040)) - (SUMIFS(SSP1_VSI!$F:$F,SSP1_VSI!$C:$C,Results_list!$C$109,SSP1_VSI!$D:$D,Results_list!$D115,SSP1_VSI!$B:$B,2025))) / (SUMIFS(SSP1_VSI!$F:$F,SSP1_VSI!$C:$C,Results_list!$C$109,SSP1_VSI!$D:$D,Results_list!$D115,SSP1_VSI!$B:$B,2025))</f>
        <v>-0.76409755739518637</v>
      </c>
      <c r="X10" s="13">
        <f t="shared" si="3"/>
        <v>-0.73899999999999999</v>
      </c>
      <c r="Y10" s="12">
        <f>((SUMIFS(SSP2_Baseline!$E:$E,SSP2_Baseline!$C:$C,Results_list!$C$109,SSP2_Baseline!$D:$D,Results_list!$D115,SSP2_Baseline!$B:$B,2040)) - (SUMIFS(SSP2_Baseline!$E:$E,SSP2_Baseline!$C:$C,Results_list!$C$109,SSP2_Baseline!$D:$D,Results_list!$D115,SSP2_Baseline!$B:$B,2025))) / (SUMIFS(SSP2_Baseline!$E:$E,SSP2_Baseline!$C:$C,Results_list!$C$109,SSP2_Baseline!$D:$D,Results_list!$D115,SSP2_Baseline!$B:$B,2025))</f>
        <v>-2.3646603226862139E-2</v>
      </c>
      <c r="Z10" s="16">
        <f>((SUMIFS(SSP2_VSI!$F:$F,SSP2_VSI!$C:$C,Results_list!$C$109,SSP2_VSI!$D:$D,Results_list!$D115,SSP2_VSI!$B:$B,2040)) - (SUMIFS(SSP2_VSI!$F:$F,SSP2_VSI!$C:$C,Results_list!$C$109,SSP2_VSI!$D:$D,Results_list!$D115,SSP2_VSI!$B:$B,2025))) / (SUMIFS(SSP2_VSI!$F:$F,SSP2_VSI!$C:$C,Results_list!$C$109,SSP2_VSI!$D:$D,Results_list!$D115,SSP2_VSI!$B:$B,2025))</f>
        <v>-0.76417621785729095</v>
      </c>
      <c r="AA10" s="13">
        <f t="shared" si="4"/>
        <v>-0.74</v>
      </c>
      <c r="AB10" s="12">
        <f>((SUMIFS(SSP5_Baseline!$E:$E,SSP5_Baseline!$C:$C,Results_list!$C$109,SSP5_Baseline!$D:$D,Results_list!$D115,SSP5_Baseline!$B:$B,2040)) - (SUMIFS(SSP5_Baseline!$E:$E,SSP5_Baseline!$C:$C,Results_list!$C$109,SSP5_Baseline!$D:$D,Results_list!$D115,SSP5_Baseline!$B:$B,2025))) / (SUMIFS(SSP5_Baseline!$E:$E,SSP5_Baseline!$C:$C,Results_list!$C$109,SSP5_Baseline!$D:$D,Results_list!$D115,SSP5_Baseline!$B:$B,2025))</f>
        <v>-2.3170027265685664E-2</v>
      </c>
      <c r="AC10" s="16">
        <f>((SUMIFS(SSP5_VSI!$F:$F,SSP5_VSI!$C:$C,Results_list!$C$109,SSP5_VSI!$D:$D,Results_list!$D115,SSP5_VSI!$B:$B,2040)) - (SUMIFS(SSP5_VSI!$F:$F,SSP5_VSI!$C:$C,Results_list!$C$109,SSP5_VSI!$D:$D,Results_list!$D115,SSP5_VSI!$B:$B,2025))) / (SUMIFS(SSP5_VSI!$F:$F,SSP5_VSI!$C:$C,Results_list!$C$109,SSP5_VSI!$D:$D,Results_list!$D115,SSP5_VSI!$B:$B,2025))</f>
        <v>-0.76390992966546545</v>
      </c>
      <c r="AD10" s="13">
        <f t="shared" si="5"/>
        <v>-0.74</v>
      </c>
      <c r="AF10" s="85"/>
      <c r="AG10" s="85"/>
      <c r="AH10" t="s">
        <v>45</v>
      </c>
      <c r="AI10" s="25" t="s">
        <v>70</v>
      </c>
      <c r="AJ10" s="3" t="s">
        <v>93</v>
      </c>
      <c r="AK10" s="12">
        <v>-3.6113124795194374E-3</v>
      </c>
      <c r="AL10" s="16">
        <v>-0.90426254883324975</v>
      </c>
      <c r="AM10" s="13">
        <f t="shared" si="6"/>
        <v>-0.90100000000000002</v>
      </c>
      <c r="AN10" s="12">
        <v>-3.6383539802948362E-3</v>
      </c>
      <c r="AO10" s="16">
        <v>-0.90382611675157731</v>
      </c>
      <c r="AP10" s="13">
        <f t="shared" si="7"/>
        <v>-0.9</v>
      </c>
      <c r="AQ10" s="12">
        <v>-6.6750603104835302E-4</v>
      </c>
      <c r="AR10" s="16">
        <v>-0.90238047274081734</v>
      </c>
      <c r="AS10" s="13">
        <f t="shared" si="8"/>
        <v>-0.9</v>
      </c>
      <c r="AU10" s="87"/>
      <c r="AV10" s="87"/>
      <c r="AW10" t="s">
        <v>45</v>
      </c>
      <c r="AY10" s="3" t="s">
        <v>93</v>
      </c>
      <c r="AZ10" s="12">
        <f>((SUMIFS(SSP1_Baseline!$E:$E,SSP1_Baseline!$C:$C,Results_list!$C$298,SSP1_Baseline!$D:$D,Results_list!$D10,SSP1_Baseline!$B:$B,2040)) - (SUMIFS(SSP1_Baseline!$E:$E,SSP1_Baseline!$C:$C,Results_list!$C$298,SSP1_Baseline!$D:$D,Results_list!$D10,SSP1_Baseline!$B:$B,2025))) / (SUMIFS(SSP1_Baseline!$E:$E,SSP1_Baseline!$C:$C,Results_list!$C$298,SSP1_Baseline!$D:$D,Results_list!$D10,SSP1_Baseline!$B:$B,2025))</f>
        <v>-4.1107038525297727E-2</v>
      </c>
      <c r="BA10" s="16">
        <f>((SUMIFS(SSP1_VSI!$F:$F,SSP1_VSI!$C:$C,Results_list!$C$298,SSP1_VSI!$D:$D,Results_list!$D10,SSP1_VSI!$B:$B,2040)) - (SUMIFS(SSP1_VSI!$F:$F,SSP1_VSI!$C:$C,Results_list!$C$298,SSP1_VSI!$D:$D,Results_list!$D10,SSP1_VSI!$B:$B,2025))) / (SUMIFS(SSP1_VSI!$F:$F,SSP1_VSI!$C:$C,Results_list!$C$298,SSP1_VSI!$D:$D,Results_list!$D10,SSP1_VSI!$B:$B,2025))</f>
        <v>-4.2060582781203976E-2</v>
      </c>
      <c r="BB10" s="13">
        <f t="shared" si="9"/>
        <v>-1E-3</v>
      </c>
      <c r="BC10" s="12">
        <f>((SUMIFS(SSP2_Baseline!$E:$E,SSP2_Baseline!$C:$C,Results_list!$C$298,SSP2_Baseline!$D:$D,Results_list!$D10,SSP2_Baseline!$B:$B,2040)) - (SUMIFS(SSP2_Baseline!$E:$E,SSP2_Baseline!$C:$C,Results_list!$C$298,SSP2_Baseline!$D:$D,Results_list!$D10,SSP2_Baseline!$B:$B,2025))) / (SUMIFS(SSP2_Baseline!$E:$E,SSP2_Baseline!$C:$C,Results_list!$C$298,SSP2_Baseline!$D:$D,Results_list!$D10,SSP2_Baseline!$B:$B,2025))</f>
        <v>-3.0291816880796053E-2</v>
      </c>
      <c r="BD10" s="16">
        <f>((SUMIFS(SSP2_VSI!$F:$F,SSP2_VSI!$C:$C,Results_list!$C$298,SSP2_VSI!$D:$D,Results_list!$D10,SSP2_VSI!$B:$B,2040)) - (SUMIFS(SSP2_VSI!$F:$F,SSP2_VSI!$C:$C,Results_list!$C$298,SSP2_VSI!$D:$D,Results_list!$D10,SSP2_VSI!$B:$B,2025))) / (SUMIFS(SSP2_VSI!$F:$F,SSP2_VSI!$C:$C,Results_list!$C$298,SSP2_VSI!$D:$D,Results_list!$D10,SSP2_VSI!$B:$B,2025))</f>
        <v>-3.1178327126372248E-2</v>
      </c>
      <c r="BE10" s="13">
        <f t="shared" si="10"/>
        <v>0</v>
      </c>
      <c r="BF10" s="12">
        <f>((SUMIFS(SSP5_Baseline!$E:$E,SSP5_Baseline!$C:$C,Results_list!$C$298,SSP5_Baseline!$D:$D,Results_list!$D10,SSP5_Baseline!$B:$B,2040)) - (SUMIFS(SSP5_Baseline!$E:$E,SSP5_Baseline!$C:$C,Results_list!$C$298,SSP5_Baseline!$D:$D,Results_list!$D10,SSP5_Baseline!$B:$B,2025))) / (SUMIFS(SSP5_Baseline!$E:$E,SSP5_Baseline!$C:$C,Results_list!$C$298,SSP5_Baseline!$D:$D,Results_list!$D10,SSP5_Baseline!$B:$B,2025))</f>
        <v>-3.2560620903654421E-2</v>
      </c>
      <c r="BG10" s="16">
        <f>((SUMIFS(SSP5_VSI!$F:$F,SSP5_VSI!$C:$C,Results_list!$C$298,SSP5_VSI!$D:$D,Results_list!$D10,SSP5_VSI!$B:$B,2040)) - (SUMIFS(SSP5_VSI!$F:$F,SSP5_VSI!$C:$C,Results_list!$C$298,SSP5_VSI!$D:$D,Results_list!$D10,SSP5_VSI!$B:$B,2025))) / (SUMIFS(SSP5_VSI!$F:$F,SSP5_VSI!$C:$C,Results_list!$C$298,SSP5_VSI!$D:$D,Results_list!$D10,SSP5_VSI!$B:$B,2025))</f>
        <v>-3.3539733054218999E-2</v>
      </c>
      <c r="BH10" s="13">
        <f t="shared" si="11"/>
        <v>0</v>
      </c>
    </row>
    <row r="11" spans="2:60" x14ac:dyDescent="0.35">
      <c r="B11" s="91"/>
      <c r="C11" s="91"/>
      <c r="D11" t="s">
        <v>46</v>
      </c>
      <c r="F11" s="3" t="s">
        <v>94</v>
      </c>
      <c r="G11" s="12">
        <f>((SUMIFS(SSP1_Baseline!E:E,SSP1_Baseline!C:C,Results_list!$C$4,SSP1_Baseline!D:D,Results_list!D11,SSP1_Baseline!B:B,2040)) - (SUMIFS(SSP1_Baseline!E:E,SSP1_Baseline!C:C,Results_list!$C$4,SSP1_Baseline!D:D,Results_list!D11,SSP1_Baseline!B:B,2025))) / (SUMIFS(SSP1_Baseline!E:E,SSP1_Baseline!C:C,Results_list!$C$4,SSP1_Baseline!D:D,Results_list!D11,SSP1_Baseline!B:B,2025))</f>
        <v>0.65037747794377565</v>
      </c>
      <c r="H11" s="16">
        <f>((SUMIFS(SSP1_VSI!F:F,SSP1_VSI!C:C,Results_list!$C$4,SSP1_VSI!D:D,Results_list!D11,SSP1_VSI!B:B,2040)) - (SUMIFS(SSP1_VSI!F:F,SSP1_VSI!C:C,Results_list!$C$4,SSP1_VSI!D:D,Results_list!D11,SSP1_VSI!B:B,2025))) / (SUMIFS(SSP1_VSI!F:F,SSP1_VSI!C:C,Results_list!$C$4,SSP1_VSI!D:D,Results_list!D11,SSP1_VSI!B:B,2025))</f>
        <v>0.65044170599884776</v>
      </c>
      <c r="I11" s="13">
        <f t="shared" si="0"/>
        <v>0</v>
      </c>
      <c r="J11" s="12">
        <f>((SUMIFS(SSP2_Baseline!$E:$E,SSP2_Baseline!$C:$C,Results_list!$C$4,SSP2_Baseline!$D:$D,Results_list!$D11,SSP2_Baseline!$B:$B,2040)) - (SUMIFS(SSP2_Baseline!$E:$E,SSP2_Baseline!$C:$C,Results_list!$C$4,SSP2_Baseline!$D:$D,Results_list!$D11,SSP2_Baseline!$B:$B,2025))) / (SUMIFS(SSP2_Baseline!$E:$E,SSP2_Baseline!$C:$C,Results_list!$C$4,SSP2_Baseline!$D:$D,Results_list!$D11,SSP2_Baseline!$B:$B,2025))</f>
        <v>0.58893618015481475</v>
      </c>
      <c r="K11" s="16">
        <f>((SUMIFS(SSP2_VSI!$F:$F,SSP2_VSI!$C:$C,Results_list!$C$4,SSP2_VSI!$D:$D,Results_list!$D11,SSP2_VSI!$B:$B,2040)) - (SUMIFS(SSP2_VSI!$F:$F,SSP2_VSI!$C:$C,Results_list!$C$4,SSP2_VSI!$D:$D,Results_list!$D11,SSP2_VSI!$B:$B,2025))) / (SUMIFS(SSP2_VSI!$F:$F,SSP2_VSI!$C:$C,Results_list!$C$4,SSP2_VSI!$D:$D,Results_list!$D11,SSP2_VSI!$B:$B,2025))</f>
        <v>0.58869787219158842</v>
      </c>
      <c r="L11" s="13">
        <f t="shared" si="1"/>
        <v>0</v>
      </c>
      <c r="M11" s="12">
        <f>((SUMIFS(SSP5_Baseline!$E:$E,SSP5_Baseline!$C:$C,Results_list!$C$4,SSP5_Baseline!$D:$D,Results_list!$D11,SSP5_Baseline!$B:$B,2040)) - (SUMIFS(SSP5_Baseline!$E:$E,SSP5_Baseline!$C:$C,Results_list!$C$4,SSP5_Baseline!$D:$D,Results_list!$D11,SSP5_Baseline!$B:$B,2025))) / (SUMIFS(SSP5_Baseline!$E:$E,SSP5_Baseline!$C:$C,Results_list!$C$4,SSP5_Baseline!$D:$D,Results_list!$D11,SSP5_Baseline!$B:$B,2025))</f>
        <v>0.4091827517863677</v>
      </c>
      <c r="N11" s="16">
        <f>((SUMIFS(SSP5_VSI!$F:$F,SSP5_VSI!$C:$C,Results_list!$C$4,SSP5_VSI!$D:$D,Results_list!$D11,SSP5_VSI!$B:$B,2040)) - (SUMIFS(SSP5_VSI!$F:$F,SSP5_VSI!$C:$C,Results_list!$C$4,SSP5_VSI!$D:$D,Results_list!$D11,SSP5_VSI!$B:$B,2025))) / (SUMIFS(SSP5_VSI!$F:$F,SSP5_VSI!$C:$C,Results_list!$C$4,SSP5_VSI!$D:$D,Results_list!$D11,SSP5_VSI!$B:$B,2025))</f>
        <v>0.40922026392114647</v>
      </c>
      <c r="O11" s="13">
        <f t="shared" si="2"/>
        <v>0</v>
      </c>
      <c r="Q11" s="91"/>
      <c r="R11" s="96"/>
      <c r="S11" s="22" t="s">
        <v>46</v>
      </c>
      <c r="U11" s="3" t="s">
        <v>94</v>
      </c>
      <c r="V11" s="12">
        <f>((SUMIFS(SSP1_Baseline!$E:$E,SSP1_Baseline!$C:$C,Results_list!$C$109,SSP1_Baseline!$D:$D,Results_list!$D116,SSP1_Baseline!$B:$B,2040)) - (SUMIFS(SSP1_Baseline!$E:$E,SSP1_Baseline!$C:$C,Results_list!$C$109,SSP1_Baseline!$D:$D,Results_list!$D116,SSP1_Baseline!$B:$B,2025))) / (SUMIFS(SSP1_Baseline!$E:$E,SSP1_Baseline!$C:$C,Results_list!$C$109,SSP1_Baseline!$D:$D,Results_list!$D116,SSP1_Baseline!$B:$B,2025))</f>
        <v>0.35885836563767243</v>
      </c>
      <c r="W11" s="16">
        <f>((SUMIFS(SSP1_VSI!$F:$F,SSP1_VSI!$C:$C,Results_list!$C$109,SSP1_VSI!$D:$D,Results_list!$D116,SSP1_VSI!$B:$B,2040)) - (SUMIFS(SSP1_VSI!$F:$F,SSP1_VSI!$C:$C,Results_list!$C$109,SSP1_VSI!$D:$D,Results_list!$D116,SSP1_VSI!$B:$B,2025))) / (SUMIFS(SSP1_VSI!$F:$F,SSP1_VSI!$C:$C,Results_list!$C$109,SSP1_VSI!$D:$D,Results_list!$D116,SSP1_VSI!$B:$B,2025))</f>
        <v>0.35886958764215277</v>
      </c>
      <c r="X11" s="13">
        <f t="shared" si="3"/>
        <v>0</v>
      </c>
      <c r="Y11" s="12">
        <f>((SUMIFS(SSP2_Baseline!$E:$E,SSP2_Baseline!$C:$C,Results_list!$C$109,SSP2_Baseline!$D:$D,Results_list!$D116,SSP2_Baseline!$B:$B,2040)) - (SUMIFS(SSP2_Baseline!$E:$E,SSP2_Baseline!$C:$C,Results_list!$C$109,SSP2_Baseline!$D:$D,Results_list!$D116,SSP2_Baseline!$B:$B,2025))) / (SUMIFS(SSP2_Baseline!$E:$E,SSP2_Baseline!$C:$C,Results_list!$C$109,SSP2_Baseline!$D:$D,Results_list!$D116,SSP2_Baseline!$B:$B,2025))</f>
        <v>0.20418181782045314</v>
      </c>
      <c r="Z11" s="16">
        <f>((SUMIFS(SSP2_VSI!$F:$F,SSP2_VSI!$C:$C,Results_list!$C$109,SSP2_VSI!$D:$D,Results_list!$D116,SSP2_VSI!$B:$B,2040)) - (SUMIFS(SSP2_VSI!$F:$F,SSP2_VSI!$C:$C,Results_list!$C$109,SSP2_VSI!$D:$D,Results_list!$D116,SSP2_VSI!$B:$B,2025))) / (SUMIFS(SSP2_VSI!$F:$F,SSP2_VSI!$C:$C,Results_list!$C$109,SSP2_VSI!$D:$D,Results_list!$D116,SSP2_VSI!$B:$B,2025))</f>
        <v>0.20413599003969285</v>
      </c>
      <c r="AA11" s="13">
        <f t="shared" si="4"/>
        <v>0</v>
      </c>
      <c r="AB11" s="12">
        <f>((SUMIFS(SSP5_Baseline!$E:$E,SSP5_Baseline!$C:$C,Results_list!$C$109,SSP5_Baseline!$D:$D,Results_list!$D116,SSP5_Baseline!$B:$B,2040)) - (SUMIFS(SSP5_Baseline!$E:$E,SSP5_Baseline!$C:$C,Results_list!$C$109,SSP5_Baseline!$D:$D,Results_list!$D116,SSP5_Baseline!$B:$B,2025))) / (SUMIFS(SSP5_Baseline!$E:$E,SSP5_Baseline!$C:$C,Results_list!$C$109,SSP5_Baseline!$D:$D,Results_list!$D116,SSP5_Baseline!$B:$B,2025))</f>
        <v>0.14763757713803868</v>
      </c>
      <c r="AC11" s="16">
        <f>((SUMIFS(SSP5_VSI!$F:$F,SSP5_VSI!$C:$C,Results_list!$C$109,SSP5_VSI!$D:$D,Results_list!$D116,SSP5_VSI!$B:$B,2040)) - (SUMIFS(SSP5_VSI!$F:$F,SSP5_VSI!$C:$C,Results_list!$C$109,SSP5_VSI!$D:$D,Results_list!$D116,SSP5_VSI!$B:$B,2025))) / (SUMIFS(SSP5_VSI!$F:$F,SSP5_VSI!$C:$C,Results_list!$C$109,SSP5_VSI!$D:$D,Results_list!$D116,SSP5_VSI!$B:$B,2025))</f>
        <v>0.14765431971796097</v>
      </c>
      <c r="AD11" s="13">
        <f t="shared" si="5"/>
        <v>0</v>
      </c>
      <c r="AF11" s="85"/>
      <c r="AG11" s="85"/>
      <c r="AH11" t="s">
        <v>46</v>
      </c>
      <c r="AI11" s="25" t="s">
        <v>70</v>
      </c>
      <c r="AJ11" s="3" t="s">
        <v>94</v>
      </c>
      <c r="AK11" s="12">
        <v>2.9746702787028676</v>
      </c>
      <c r="AL11" s="16">
        <v>2.9745249815067112</v>
      </c>
      <c r="AM11" s="13">
        <f t="shared" si="6"/>
        <v>0</v>
      </c>
      <c r="AN11" s="12">
        <v>3.7986262363645893</v>
      </c>
      <c r="AO11" s="16">
        <v>3.7986999479354093</v>
      </c>
      <c r="AP11" s="13">
        <f t="shared" si="7"/>
        <v>0</v>
      </c>
      <c r="AQ11" s="12">
        <v>1.6620475150879968</v>
      </c>
      <c r="AR11" s="16">
        <v>1.6620744627122905</v>
      </c>
      <c r="AS11" s="13">
        <f t="shared" si="8"/>
        <v>0</v>
      </c>
      <c r="AU11" s="87"/>
      <c r="AV11" s="87"/>
      <c r="AW11" t="s">
        <v>46</v>
      </c>
      <c r="AY11" s="3" t="s">
        <v>94</v>
      </c>
      <c r="AZ11" s="12">
        <f>((SUMIFS(SSP1_Baseline!$E:$E,SSP1_Baseline!$C:$C,Results_list!$C$298,SSP1_Baseline!$D:$D,Results_list!$D11,SSP1_Baseline!$B:$B,2040)) - (SUMIFS(SSP1_Baseline!$E:$E,SSP1_Baseline!$C:$C,Results_list!$C$298,SSP1_Baseline!$D:$D,Results_list!$D11,SSP1_Baseline!$B:$B,2025))) / (SUMIFS(SSP1_Baseline!$E:$E,SSP1_Baseline!$C:$C,Results_list!$C$298,SSP1_Baseline!$D:$D,Results_list!$D11,SSP1_Baseline!$B:$B,2025))</f>
        <v>1.1261350404958141</v>
      </c>
      <c r="BA11" s="16">
        <f>((SUMIFS(SSP1_VSI!$F:$F,SSP1_VSI!$C:$C,Results_list!$C$298,SSP1_VSI!$D:$D,Results_list!$D11,SSP1_VSI!$B:$B,2040)) - (SUMIFS(SSP1_VSI!$F:$F,SSP1_VSI!$C:$C,Results_list!$C$298,SSP1_VSI!$D:$D,Results_list!$D11,SSP1_VSI!$B:$B,2025))) / (SUMIFS(SSP1_VSI!$F:$F,SSP1_VSI!$C:$C,Results_list!$C$298,SSP1_VSI!$D:$D,Results_list!$D11,SSP1_VSI!$B:$B,2025))</f>
        <v>1.1261656019953747</v>
      </c>
      <c r="BB11" s="13">
        <f t="shared" si="9"/>
        <v>0</v>
      </c>
      <c r="BC11" s="12">
        <f>((SUMIFS(SSP2_Baseline!$E:$E,SSP2_Baseline!$C:$C,Results_list!$C$298,SSP2_Baseline!$D:$D,Results_list!$D11,SSP2_Baseline!$B:$B,2040)) - (SUMIFS(SSP2_Baseline!$E:$E,SSP2_Baseline!$C:$C,Results_list!$C$298,SSP2_Baseline!$D:$D,Results_list!$D11,SSP2_Baseline!$B:$B,2025))) / (SUMIFS(SSP2_Baseline!$E:$E,SSP2_Baseline!$C:$C,Results_list!$C$298,SSP2_Baseline!$D:$D,Results_list!$D11,SSP2_Baseline!$B:$B,2025))</f>
        <v>0.96528840541993388</v>
      </c>
      <c r="BD11" s="16">
        <f>((SUMIFS(SSP2_VSI!$F:$F,SSP2_VSI!$C:$C,Results_list!$C$298,SSP2_VSI!$D:$D,Results_list!$D11,SSP2_VSI!$B:$B,2040)) - (SUMIFS(SSP2_VSI!$F:$F,SSP2_VSI!$C:$C,Results_list!$C$298,SSP2_VSI!$D:$D,Results_list!$D11,SSP2_VSI!$B:$B,2025))) / (SUMIFS(SSP2_VSI!$F:$F,SSP2_VSI!$C:$C,Results_list!$C$298,SSP2_VSI!$D:$D,Results_list!$D11,SSP2_VSI!$B:$B,2025))</f>
        <v>0.96517111175568138</v>
      </c>
      <c r="BE11" s="13">
        <f t="shared" si="10"/>
        <v>0</v>
      </c>
      <c r="BF11" s="12">
        <f>((SUMIFS(SSP5_Baseline!$E:$E,SSP5_Baseline!$C:$C,Results_list!$C$298,SSP5_Baseline!$D:$D,Results_list!$D11,SSP5_Baseline!$B:$B,2040)) - (SUMIFS(SSP5_Baseline!$E:$E,SSP5_Baseline!$C:$C,Results_list!$C$298,SSP5_Baseline!$D:$D,Results_list!$D11,SSP5_Baseline!$B:$B,2025))) / (SUMIFS(SSP5_Baseline!$E:$E,SSP5_Baseline!$C:$C,Results_list!$C$298,SSP5_Baseline!$D:$D,Results_list!$D11,SSP5_Baseline!$B:$B,2025))</f>
        <v>0.5999162491006671</v>
      </c>
      <c r="BG11" s="16">
        <f>((SUMIFS(SSP5_VSI!$F:$F,SSP5_VSI!$C:$C,Results_list!$C$298,SSP5_VSI!$D:$D,Results_list!$D11,SSP5_VSI!$B:$B,2040)) - (SUMIFS(SSP5_VSI!$F:$F,SSP5_VSI!$C:$C,Results_list!$C$298,SSP5_VSI!$D:$D,Results_list!$D11,SSP5_VSI!$B:$B,2025))) / (SUMIFS(SSP5_VSI!$F:$F,SSP5_VSI!$C:$C,Results_list!$C$298,SSP5_VSI!$D:$D,Results_list!$D11,SSP5_VSI!$B:$B,2025))</f>
        <v>0.59993515500137928</v>
      </c>
      <c r="BH11" s="13">
        <f t="shared" si="11"/>
        <v>0</v>
      </c>
    </row>
    <row r="12" spans="2:60" x14ac:dyDescent="0.35">
      <c r="B12" s="91"/>
      <c r="C12" s="91"/>
      <c r="D12" t="s">
        <v>47</v>
      </c>
      <c r="F12" s="3" t="s">
        <v>95</v>
      </c>
      <c r="G12" s="12">
        <f>((SUMIFS(SSP1_Baseline!E:E,SSP1_Baseline!C:C,Results_list!$C$4,SSP1_Baseline!D:D,Results_list!D12,SSP1_Baseline!B:B,2040)) - (SUMIFS(SSP1_Baseline!E:E,SSP1_Baseline!C:C,Results_list!$C$4,SSP1_Baseline!D:D,Results_list!D12,SSP1_Baseline!B:B,2025))) / (SUMIFS(SSP1_Baseline!E:E,SSP1_Baseline!C:C,Results_list!$C$4,SSP1_Baseline!D:D,Results_list!D12,SSP1_Baseline!B:B,2025))</f>
        <v>-0.23944373045518455</v>
      </c>
      <c r="H12" s="16">
        <f>((SUMIFS(SSP1_VSI!F:F,SSP1_VSI!C:C,Results_list!$C$4,SSP1_VSI!D:D,Results_list!D12,SSP1_VSI!B:B,2040)) - (SUMIFS(SSP1_VSI!F:F,SSP1_VSI!C:C,Results_list!$C$4,SSP1_VSI!D:D,Results_list!D12,SSP1_VSI!B:B,2025))) / (SUMIFS(SSP1_VSI!F:F,SSP1_VSI!C:C,Results_list!$C$4,SSP1_VSI!D:D,Results_list!D12,SSP1_VSI!B:B,2025))</f>
        <v>-0.23941732766949614</v>
      </c>
      <c r="I12" s="13">
        <f t="shared" si="0"/>
        <v>0</v>
      </c>
      <c r="J12" s="12">
        <f>((SUMIFS(SSP2_Baseline!$E:$E,SSP2_Baseline!$C:$C,Results_list!$C$4,SSP2_Baseline!$D:$D,Results_list!$D12,SSP2_Baseline!$B:$B,2040)) - (SUMIFS(SSP2_Baseline!$E:$E,SSP2_Baseline!$C:$C,Results_list!$C$4,SSP2_Baseline!$D:$D,Results_list!$D12,SSP2_Baseline!$B:$B,2025))) / (SUMIFS(SSP2_Baseline!$E:$E,SSP2_Baseline!$C:$C,Results_list!$C$4,SSP2_Baseline!$D:$D,Results_list!$D12,SSP2_Baseline!$B:$B,2025))</f>
        <v>-0.24071121781984242</v>
      </c>
      <c r="K12" s="16">
        <f>((SUMIFS(SSP2_VSI!$F:$F,SSP2_VSI!$C:$C,Results_list!$C$4,SSP2_VSI!$D:$D,Results_list!$D12,SSP2_VSI!$B:$B,2040)) - (SUMIFS(SSP2_VSI!$F:$F,SSP2_VSI!$C:$C,Results_list!$C$4,SSP2_VSI!$D:$D,Results_list!$D12,SSP2_VSI!$B:$B,2025))) / (SUMIFS(SSP2_VSI!$F:$F,SSP2_VSI!$C:$C,Results_list!$C$4,SSP2_VSI!$D:$D,Results_list!$D12,SSP2_VSI!$B:$B,2025))</f>
        <v>-0.24070475593134524</v>
      </c>
      <c r="L12" s="13">
        <f t="shared" si="1"/>
        <v>0</v>
      </c>
      <c r="M12" s="12">
        <f>((SUMIFS(SSP5_Baseline!$E:$E,SSP5_Baseline!$C:$C,Results_list!$C$4,SSP5_Baseline!$D:$D,Results_list!$D12,SSP5_Baseline!$B:$B,2040)) - (SUMIFS(SSP5_Baseline!$E:$E,SSP5_Baseline!$C:$C,Results_list!$C$4,SSP5_Baseline!$D:$D,Results_list!$D12,SSP5_Baseline!$B:$B,2025))) / (SUMIFS(SSP5_Baseline!$E:$E,SSP5_Baseline!$C:$C,Results_list!$C$4,SSP5_Baseline!$D:$D,Results_list!$D12,SSP5_Baseline!$B:$B,2025))</f>
        <v>-0.15345199146129673</v>
      </c>
      <c r="N12" s="16">
        <f>((SUMIFS(SSP5_VSI!$F:$F,SSP5_VSI!$C:$C,Results_list!$C$4,SSP5_VSI!$D:$D,Results_list!$D12,SSP5_VSI!$B:$B,2040)) - (SUMIFS(SSP5_VSI!$F:$F,SSP5_VSI!$C:$C,Results_list!$C$4,SSP5_VSI!$D:$D,Results_list!$D12,SSP5_VSI!$B:$B,2025))) / (SUMIFS(SSP5_VSI!$F:$F,SSP5_VSI!$C:$C,Results_list!$C$4,SSP5_VSI!$D:$D,Results_list!$D12,SSP5_VSI!$B:$B,2025))</f>
        <v>-0.15335376098452394</v>
      </c>
      <c r="O12" s="13">
        <f t="shared" si="2"/>
        <v>0</v>
      </c>
      <c r="Q12" s="91"/>
      <c r="R12" s="96"/>
      <c r="S12" s="22" t="s">
        <v>47</v>
      </c>
      <c r="U12" s="3" t="s">
        <v>95</v>
      </c>
      <c r="V12" s="12">
        <f>((SUMIFS(SSP1_Baseline!$E:$E,SSP1_Baseline!$C:$C,Results_list!$C$109,SSP1_Baseline!$D:$D,Results_list!$D117,SSP1_Baseline!$B:$B,2040)) - (SUMIFS(SSP1_Baseline!$E:$E,SSP1_Baseline!$C:$C,Results_list!$C$109,SSP1_Baseline!$D:$D,Results_list!$D117,SSP1_Baseline!$B:$B,2025))) / (SUMIFS(SSP1_Baseline!$E:$E,SSP1_Baseline!$C:$C,Results_list!$C$109,SSP1_Baseline!$D:$D,Results_list!$D117,SSP1_Baseline!$B:$B,2025))</f>
        <v>-6.874799600864221E-4</v>
      </c>
      <c r="W12" s="16">
        <f>((SUMIFS(SSP1_VSI!$F:$F,SSP1_VSI!$C:$C,Results_list!$C$109,SSP1_VSI!$D:$D,Results_list!$D117,SSP1_VSI!$B:$B,2040)) - (SUMIFS(SSP1_VSI!$F:$F,SSP1_VSI!$C:$C,Results_list!$C$109,SSP1_VSI!$D:$D,Results_list!$D117,SSP1_VSI!$B:$B,2025))) / (SUMIFS(SSP1_VSI!$F:$F,SSP1_VSI!$C:$C,Results_list!$C$109,SSP1_VSI!$D:$D,Results_list!$D117,SSP1_VSI!$B:$B,2025))</f>
        <v>-6.8538632398227272E-4</v>
      </c>
      <c r="X12" s="13">
        <f t="shared" si="3"/>
        <v>0</v>
      </c>
      <c r="Y12" s="12">
        <f>((SUMIFS(SSP2_Baseline!$E:$E,SSP2_Baseline!$C:$C,Results_list!$C$109,SSP2_Baseline!$D:$D,Results_list!$D117,SSP2_Baseline!$B:$B,2040)) - (SUMIFS(SSP2_Baseline!$E:$E,SSP2_Baseline!$C:$C,Results_list!$C$109,SSP2_Baseline!$D:$D,Results_list!$D117,SSP2_Baseline!$B:$B,2025))) / (SUMIFS(SSP2_Baseline!$E:$E,SSP2_Baseline!$C:$C,Results_list!$C$109,SSP2_Baseline!$D:$D,Results_list!$D117,SSP2_Baseline!$B:$B,2025))</f>
        <v>-8.4600207999169208E-5</v>
      </c>
      <c r="Z12" s="16">
        <f>((SUMIFS(SSP2_VSI!$F:$F,SSP2_VSI!$C:$C,Results_list!$C$109,SSP2_VSI!$D:$D,Results_list!$D117,SSP2_VSI!$B:$B,2040)) - (SUMIFS(SSP2_VSI!$F:$F,SSP2_VSI!$C:$C,Results_list!$C$109,SSP2_VSI!$D:$D,Results_list!$D117,SSP2_VSI!$B:$B,2025))) / (SUMIFS(SSP2_VSI!$F:$F,SSP2_VSI!$C:$C,Results_list!$C$109,SSP2_VSI!$D:$D,Results_list!$D117,SSP2_VSI!$B:$B,2025))</f>
        <v>-8.4087156039927734E-5</v>
      </c>
      <c r="AA12" s="13">
        <f t="shared" si="4"/>
        <v>0</v>
      </c>
      <c r="AB12" s="12">
        <f>((SUMIFS(SSP5_Baseline!$E:$E,SSP5_Baseline!$C:$C,Results_list!$C$109,SSP5_Baseline!$D:$D,Results_list!$D117,SSP5_Baseline!$B:$B,2040)) - (SUMIFS(SSP5_Baseline!$E:$E,SSP5_Baseline!$C:$C,Results_list!$C$109,SSP5_Baseline!$D:$D,Results_list!$D117,SSP5_Baseline!$B:$B,2025))) / (SUMIFS(SSP5_Baseline!$E:$E,SSP5_Baseline!$C:$C,Results_list!$C$109,SSP5_Baseline!$D:$D,Results_list!$D117,SSP5_Baseline!$B:$B,2025))</f>
        <v>3.590859294071499E-3</v>
      </c>
      <c r="AC12" s="16">
        <f>((SUMIFS(SSP5_VSI!$F:$F,SSP5_VSI!$C:$C,Results_list!$C$109,SSP5_VSI!$D:$D,Results_list!$D117,SSP5_VSI!$B:$B,2040)) - (SUMIFS(SSP5_VSI!$F:$F,SSP5_VSI!$C:$C,Results_list!$C$109,SSP5_VSI!$D:$D,Results_list!$D117,SSP5_VSI!$B:$B,2025))) / (SUMIFS(SSP5_VSI!$F:$F,SSP5_VSI!$C:$C,Results_list!$C$109,SSP5_VSI!$D:$D,Results_list!$D117,SSP5_VSI!$B:$B,2025))</f>
        <v>3.6016070281178038E-3</v>
      </c>
      <c r="AD12" s="13">
        <f t="shared" si="5"/>
        <v>0</v>
      </c>
      <c r="AF12" s="85"/>
      <c r="AG12" s="85"/>
      <c r="AH12" t="s">
        <v>47</v>
      </c>
      <c r="AI12" s="25" t="s">
        <v>70</v>
      </c>
      <c r="AJ12" s="3" t="s">
        <v>95</v>
      </c>
      <c r="AK12" s="12">
        <v>-0.53995779847985759</v>
      </c>
      <c r="AL12" s="16">
        <v>-0.53995663876158162</v>
      </c>
      <c r="AM12" s="13">
        <f t="shared" si="6"/>
        <v>0</v>
      </c>
      <c r="AN12" s="12">
        <v>-0.44165487076059262</v>
      </c>
      <c r="AO12" s="16">
        <v>-0.44165440314655352</v>
      </c>
      <c r="AP12" s="13">
        <f t="shared" si="7"/>
        <v>0</v>
      </c>
      <c r="AQ12" s="12">
        <v>-0.45120247687638648</v>
      </c>
      <c r="AR12" s="16">
        <v>-0.4512019843467206</v>
      </c>
      <c r="AS12" s="13">
        <f t="shared" si="8"/>
        <v>0</v>
      </c>
      <c r="AU12" s="87"/>
      <c r="AV12" s="87"/>
      <c r="AW12" t="s">
        <v>47</v>
      </c>
      <c r="AY12" s="3" t="s">
        <v>95</v>
      </c>
      <c r="AZ12" s="12">
        <f>((SUMIFS(SSP1_Baseline!$E:$E,SSP1_Baseline!$C:$C,Results_list!$C$298,SSP1_Baseline!$D:$D,Results_list!$D12,SSP1_Baseline!$B:$B,2040)) - (SUMIFS(SSP1_Baseline!$E:$E,SSP1_Baseline!$C:$C,Results_list!$C$298,SSP1_Baseline!$D:$D,Results_list!$D12,SSP1_Baseline!$B:$B,2025))) / (SUMIFS(SSP1_Baseline!$E:$E,SSP1_Baseline!$C:$C,Results_list!$C$298,SSP1_Baseline!$D:$D,Results_list!$D12,SSP1_Baseline!$B:$B,2025))</f>
        <v>-7.9510903521696206E-4</v>
      </c>
      <c r="BA12" s="16">
        <f>((SUMIFS(SSP1_VSI!$F:$F,SSP1_VSI!$C:$C,Results_list!$C$298,SSP1_VSI!$D:$D,Results_list!$D12,SSP1_VSI!$B:$B,2040)) - (SUMIFS(SSP1_VSI!$F:$F,SSP1_VSI!$C:$C,Results_list!$C$298,SSP1_VSI!$D:$D,Results_list!$D12,SSP1_VSI!$B:$B,2025))) / (SUMIFS(SSP1_VSI!$F:$F,SSP1_VSI!$C:$C,Results_list!$C$298,SSP1_VSI!$D:$D,Results_list!$D12,SSP1_VSI!$B:$B,2025))</f>
        <v>-6.7816877909284844E-4</v>
      </c>
      <c r="BB12" s="13">
        <f t="shared" si="9"/>
        <v>0</v>
      </c>
      <c r="BC12" s="12">
        <f>((SUMIFS(SSP2_Baseline!$E:$E,SSP2_Baseline!$C:$C,Results_list!$C$298,SSP2_Baseline!$D:$D,Results_list!$D12,SSP2_Baseline!$B:$B,2040)) - (SUMIFS(SSP2_Baseline!$E:$E,SSP2_Baseline!$C:$C,Results_list!$C$298,SSP2_Baseline!$D:$D,Results_list!$D12,SSP2_Baseline!$B:$B,2025))) / (SUMIFS(SSP2_Baseline!$E:$E,SSP2_Baseline!$C:$C,Results_list!$C$298,SSP2_Baseline!$D:$D,Results_list!$D12,SSP2_Baseline!$B:$B,2025))</f>
        <v>0.20385505985740701</v>
      </c>
      <c r="BD12" s="16">
        <f>((SUMIFS(SSP2_VSI!$F:$F,SSP2_VSI!$C:$C,Results_list!$C$298,SSP2_VSI!$D:$D,Results_list!$D12,SSP2_VSI!$B:$B,2040)) - (SUMIFS(SSP2_VSI!$F:$F,SSP2_VSI!$C:$C,Results_list!$C$298,SSP2_VSI!$D:$D,Results_list!$D12,SSP2_VSI!$B:$B,2025))) / (SUMIFS(SSP2_VSI!$F:$F,SSP2_VSI!$C:$C,Results_list!$C$298,SSP2_VSI!$D:$D,Results_list!$D12,SSP2_VSI!$B:$B,2025))</f>
        <v>0.20385959110069377</v>
      </c>
      <c r="BE12" s="13">
        <f t="shared" si="10"/>
        <v>0</v>
      </c>
      <c r="BF12" s="12">
        <f>((SUMIFS(SSP5_Baseline!$E:$E,SSP5_Baseline!$C:$C,Results_list!$C$298,SSP5_Baseline!$D:$D,Results_list!$D12,SSP5_Baseline!$B:$B,2040)) - (SUMIFS(SSP5_Baseline!$E:$E,SSP5_Baseline!$C:$C,Results_list!$C$298,SSP5_Baseline!$D:$D,Results_list!$D12,SSP5_Baseline!$B:$B,2025))) / (SUMIFS(SSP5_Baseline!$E:$E,SSP5_Baseline!$C:$C,Results_list!$C$298,SSP5_Baseline!$D:$D,Results_list!$D12,SSP5_Baseline!$B:$B,2025))</f>
        <v>0.22133212179517414</v>
      </c>
      <c r="BG12" s="16">
        <f>((SUMIFS(SSP5_VSI!$F:$F,SSP5_VSI!$C:$C,Results_list!$C$298,SSP5_VSI!$D:$D,Results_list!$D12,SSP5_VSI!$B:$B,2040)) - (SUMIFS(SSP5_VSI!$F:$F,SSP5_VSI!$C:$C,Results_list!$C$298,SSP5_VSI!$D:$D,Results_list!$D12,SSP5_VSI!$B:$B,2025))) / (SUMIFS(SSP5_VSI!$F:$F,SSP5_VSI!$C:$C,Results_list!$C$298,SSP5_VSI!$D:$D,Results_list!$D12,SSP5_VSI!$B:$B,2025))</f>
        <v>0.22190208558601754</v>
      </c>
      <c r="BH12" s="13">
        <f t="shared" si="11"/>
        <v>0</v>
      </c>
    </row>
    <row r="13" spans="2:60" x14ac:dyDescent="0.35">
      <c r="B13" s="91"/>
      <c r="C13" s="91"/>
      <c r="D13" t="s">
        <v>48</v>
      </c>
      <c r="F13" s="3" t="s">
        <v>96</v>
      </c>
      <c r="G13" s="12">
        <f>((SUMIFS(SSP1_Baseline!E:E,SSP1_Baseline!C:C,Results_list!$C$4,SSP1_Baseline!D:D,Results_list!D13,SSP1_Baseline!B:B,2040)) - (SUMIFS(SSP1_Baseline!E:E,SSP1_Baseline!C:C,Results_list!$C$4,SSP1_Baseline!D:D,Results_list!D13,SSP1_Baseline!B:B,2025))) / (SUMIFS(SSP1_Baseline!E:E,SSP1_Baseline!C:C,Results_list!$C$4,SSP1_Baseline!D:D,Results_list!D13,SSP1_Baseline!B:B,2025))</f>
        <v>1.8348860162558774E-4</v>
      </c>
      <c r="H13" s="16">
        <f>((SUMIFS(SSP1_VSI!F:F,SSP1_VSI!C:C,Results_list!$C$4,SSP1_VSI!D:D,Results_list!D13,SSP1_VSI!B:B,2040)) - (SUMIFS(SSP1_VSI!F:F,SSP1_VSI!C:C,Results_list!$C$4,SSP1_VSI!D:D,Results_list!D13,SSP1_VSI!B:B,2025))) / (SUMIFS(SSP1_VSI!F:F,SSP1_VSI!C:C,Results_list!$C$4,SSP1_VSI!D:D,Results_list!D13,SSP1_VSI!B:B,2025))</f>
        <v>1.83561586518659E-4</v>
      </c>
      <c r="I13" s="13">
        <f t="shared" si="0"/>
        <v>0</v>
      </c>
      <c r="J13" s="12">
        <f>((SUMIFS(SSP2_Baseline!$E:$E,SSP2_Baseline!$C:$C,Results_list!$C$4,SSP2_Baseline!$D:$D,Results_list!$D13,SSP2_Baseline!$B:$B,2040)) - (SUMIFS(SSP2_Baseline!$E:$E,SSP2_Baseline!$C:$C,Results_list!$C$4,SSP2_Baseline!$D:$D,Results_list!$D13,SSP2_Baseline!$B:$B,2025))) / (SUMIFS(SSP2_Baseline!$E:$E,SSP2_Baseline!$C:$C,Results_list!$C$4,SSP2_Baseline!$D:$D,Results_list!$D13,SSP2_Baseline!$B:$B,2025))</f>
        <v>1.1073193351583498E-4</v>
      </c>
      <c r="K13" s="16">
        <f>((SUMIFS(SSP2_VSI!$F:$F,SSP2_VSI!$C:$C,Results_list!$C$4,SSP2_VSI!$D:$D,Results_list!$D13,SSP2_VSI!$B:$B,2040)) - (SUMIFS(SSP2_VSI!$F:$F,SSP2_VSI!$C:$C,Results_list!$C$4,SSP2_VSI!$D:$D,Results_list!$D13,SSP2_VSI!$B:$B,2025))) / (SUMIFS(SSP2_VSI!$F:$F,SSP2_VSI!$C:$C,Results_list!$C$4,SSP2_VSI!$D:$D,Results_list!$D13,SSP2_VSI!$B:$B,2025))</f>
        <v>1.1065093343984355E-4</v>
      </c>
      <c r="L13" s="13">
        <f t="shared" si="1"/>
        <v>0</v>
      </c>
      <c r="M13" s="12">
        <f>((SUMIFS(SSP5_Baseline!$E:$E,SSP5_Baseline!$C:$C,Results_list!$C$4,SSP5_Baseline!$D:$D,Results_list!$D13,SSP5_Baseline!$B:$B,2040)) - (SUMIFS(SSP5_Baseline!$E:$E,SSP5_Baseline!$C:$C,Results_list!$C$4,SSP5_Baseline!$D:$D,Results_list!$D13,SSP5_Baseline!$B:$B,2025))) / (SUMIFS(SSP5_Baseline!$E:$E,SSP5_Baseline!$C:$C,Results_list!$C$4,SSP5_Baseline!$D:$D,Results_list!$D13,SSP5_Baseline!$B:$B,2025))</f>
        <v>4.3000304427371353E-4</v>
      </c>
      <c r="N13" s="16">
        <f>((SUMIFS(SSP5_VSI!$F:$F,SSP5_VSI!$C:$C,Results_list!$C$4,SSP5_VSI!$D:$D,Results_list!$D13,SSP5_VSI!$B:$B,2040)) - (SUMIFS(SSP5_VSI!$F:$F,SSP5_VSI!$C:$C,Results_list!$C$4,SSP5_VSI!$D:$D,Results_list!$D13,SSP5_VSI!$B:$B,2025))) / (SUMIFS(SSP5_VSI!$F:$F,SSP5_VSI!$C:$C,Results_list!$C$4,SSP5_VSI!$D:$D,Results_list!$D13,SSP5_VSI!$B:$B,2025))</f>
        <v>4.3012339507401455E-4</v>
      </c>
      <c r="O13" s="13">
        <f t="shared" si="2"/>
        <v>0</v>
      </c>
      <c r="Q13" s="91"/>
      <c r="R13" s="96"/>
      <c r="S13" s="22" t="s">
        <v>48</v>
      </c>
      <c r="U13" s="3" t="s">
        <v>96</v>
      </c>
      <c r="V13" s="12">
        <f>((SUMIFS(SSP1_Baseline!$E:$E,SSP1_Baseline!$C:$C,Results_list!$C$109,SSP1_Baseline!$D:$D,Results_list!$D118,SSP1_Baseline!$B:$B,2040)) - (SUMIFS(SSP1_Baseline!$E:$E,SSP1_Baseline!$C:$C,Results_list!$C$109,SSP1_Baseline!$D:$D,Results_list!$D118,SSP1_Baseline!$B:$B,2025))) / (SUMIFS(SSP1_Baseline!$E:$E,SSP1_Baseline!$C:$C,Results_list!$C$109,SSP1_Baseline!$D:$D,Results_list!$D118,SSP1_Baseline!$B:$B,2025))</f>
        <v>1.870216106086594E-6</v>
      </c>
      <c r="W13" s="16">
        <f>((SUMIFS(SSP1_VSI!$F:$F,SSP1_VSI!$C:$C,Results_list!$C$109,SSP1_VSI!$D:$D,Results_list!$D118,SSP1_VSI!$B:$B,2040)) - (SUMIFS(SSP1_VSI!$F:$F,SSP1_VSI!$C:$C,Results_list!$C$109,SSP1_VSI!$D:$D,Results_list!$D118,SSP1_VSI!$B:$B,2025))) / (SUMIFS(SSP1_VSI!$F:$F,SSP1_VSI!$C:$C,Results_list!$C$109,SSP1_VSI!$D:$D,Results_list!$D118,SSP1_VSI!$B:$B,2025))</f>
        <v>1.98549382077418E-6</v>
      </c>
      <c r="X13" s="13">
        <f t="shared" si="3"/>
        <v>0</v>
      </c>
      <c r="Y13" s="12">
        <f>((SUMIFS(SSP2_Baseline!$E:$E,SSP2_Baseline!$C:$C,Results_list!$C$109,SSP2_Baseline!$D:$D,Results_list!$D118,SSP2_Baseline!$B:$B,2040)) - (SUMIFS(SSP2_Baseline!$E:$E,SSP2_Baseline!$C:$C,Results_list!$C$109,SSP2_Baseline!$D:$D,Results_list!$D118,SSP2_Baseline!$B:$B,2025))) / (SUMIFS(SSP2_Baseline!$E:$E,SSP2_Baseline!$C:$C,Results_list!$C$109,SSP2_Baseline!$D:$D,Results_list!$D118,SSP2_Baseline!$B:$B,2025))</f>
        <v>-1.5820662905416535E-4</v>
      </c>
      <c r="Z13" s="16">
        <f>((SUMIFS(SSP2_VSI!$F:$F,SSP2_VSI!$C:$C,Results_list!$C$109,SSP2_VSI!$D:$D,Results_list!$D118,SSP2_VSI!$B:$B,2040)) - (SUMIFS(SSP2_VSI!$F:$F,SSP2_VSI!$C:$C,Results_list!$C$109,SSP2_VSI!$D:$D,Results_list!$D118,SSP2_VSI!$B:$B,2025))) / (SUMIFS(SSP2_VSI!$F:$F,SSP2_VSI!$C:$C,Results_list!$C$109,SSP2_VSI!$D:$D,Results_list!$D118,SSP2_VSI!$B:$B,2025))</f>
        <v>-1.5819777100984535E-4</v>
      </c>
      <c r="AA13" s="13">
        <f t="shared" si="4"/>
        <v>0</v>
      </c>
      <c r="AB13" s="12">
        <f>((SUMIFS(SSP5_Baseline!$E:$E,SSP5_Baseline!$C:$C,Results_list!$C$109,SSP5_Baseline!$D:$D,Results_list!$D118,SSP5_Baseline!$B:$B,2040)) - (SUMIFS(SSP5_Baseline!$E:$E,SSP5_Baseline!$C:$C,Results_list!$C$109,SSP5_Baseline!$D:$D,Results_list!$D118,SSP5_Baseline!$B:$B,2025))) / (SUMIFS(SSP5_Baseline!$E:$E,SSP5_Baseline!$C:$C,Results_list!$C$109,SSP5_Baseline!$D:$D,Results_list!$D118,SSP5_Baseline!$B:$B,2025))</f>
        <v>-2.7533391353064141E-5</v>
      </c>
      <c r="AC13" s="16">
        <f>((SUMIFS(SSP5_VSI!$F:$F,SSP5_VSI!$C:$C,Results_list!$C$109,SSP5_VSI!$D:$D,Results_list!$D118,SSP5_VSI!$B:$B,2040)) - (SUMIFS(SSP5_VSI!$F:$F,SSP5_VSI!$C:$C,Results_list!$C$109,SSP5_VSI!$D:$D,Results_list!$D118,SSP5_VSI!$B:$B,2025))) / (SUMIFS(SSP5_VSI!$F:$F,SSP5_VSI!$C:$C,Results_list!$C$109,SSP5_VSI!$D:$D,Results_list!$D118,SSP5_VSI!$B:$B,2025))</f>
        <v>-2.7352226641542524E-5</v>
      </c>
      <c r="AD13" s="13">
        <f t="shared" si="5"/>
        <v>0</v>
      </c>
      <c r="AF13" s="85"/>
      <c r="AG13" s="85"/>
      <c r="AH13" t="s">
        <v>48</v>
      </c>
      <c r="AI13" s="25" t="s">
        <v>70</v>
      </c>
      <c r="AJ13" s="3" t="s">
        <v>96</v>
      </c>
      <c r="AK13" s="12">
        <v>1.9241660821705858E-3</v>
      </c>
      <c r="AL13" s="16">
        <v>1.928764922913077E-3</v>
      </c>
      <c r="AM13" s="13">
        <f t="shared" si="6"/>
        <v>0</v>
      </c>
      <c r="AN13" s="12">
        <v>-2.0030564196046968E-2</v>
      </c>
      <c r="AO13" s="16">
        <v>-2.0030105088713324E-2</v>
      </c>
      <c r="AP13" s="13">
        <f t="shared" si="7"/>
        <v>0</v>
      </c>
      <c r="AQ13" s="12">
        <v>-2.3469189282587E-2</v>
      </c>
      <c r="AR13" s="16">
        <v>-2.3468559575904217E-2</v>
      </c>
      <c r="AS13" s="13">
        <f t="shared" si="8"/>
        <v>0</v>
      </c>
      <c r="AU13" s="87"/>
      <c r="AV13" s="87"/>
      <c r="AW13" t="s">
        <v>48</v>
      </c>
      <c r="AY13" s="3" t="s">
        <v>96</v>
      </c>
      <c r="AZ13" s="12">
        <f>((SUMIFS(SSP1_Baseline!$E:$E,SSP1_Baseline!$C:$C,Results_list!$C$298,SSP1_Baseline!$D:$D,Results_list!$D13,SSP1_Baseline!$B:$B,2040)) - (SUMIFS(SSP1_Baseline!$E:$E,SSP1_Baseline!$C:$C,Results_list!$C$298,SSP1_Baseline!$D:$D,Results_list!$D13,SSP1_Baseline!$B:$B,2025))) / (SUMIFS(SSP1_Baseline!$E:$E,SSP1_Baseline!$C:$C,Results_list!$C$298,SSP1_Baseline!$D:$D,Results_list!$D13,SSP1_Baseline!$B:$B,2025))</f>
        <v>4.4195429166713438E-7</v>
      </c>
      <c r="BA13" s="16">
        <f>((SUMIFS(SSP1_VSI!$F:$F,SSP1_VSI!$C:$C,Results_list!$C$298,SSP1_VSI!$D:$D,Results_list!$D13,SSP1_VSI!$B:$B,2040)) - (SUMIFS(SSP1_VSI!$F:$F,SSP1_VSI!$C:$C,Results_list!$C$298,SSP1_VSI!$D:$D,Results_list!$D13,SSP1_VSI!$B:$B,2025))) / (SUMIFS(SSP1_VSI!$F:$F,SSP1_VSI!$C:$C,Results_list!$C$298,SSP1_VSI!$D:$D,Results_list!$D13,SSP1_VSI!$B:$B,2025))</f>
        <v>4.4249501710201218E-7</v>
      </c>
      <c r="BB13" s="13">
        <f t="shared" si="9"/>
        <v>0</v>
      </c>
      <c r="BC13" s="12">
        <f>((SUMIFS(SSP2_Baseline!$E:$E,SSP2_Baseline!$C:$C,Results_list!$C$298,SSP2_Baseline!$D:$D,Results_list!$D13,SSP2_Baseline!$B:$B,2040)) - (SUMIFS(SSP2_Baseline!$E:$E,SSP2_Baseline!$C:$C,Results_list!$C$298,SSP2_Baseline!$D:$D,Results_list!$D13,SSP2_Baseline!$B:$B,2025))) / (SUMIFS(SSP2_Baseline!$E:$E,SSP2_Baseline!$C:$C,Results_list!$C$298,SSP2_Baseline!$D:$D,Results_list!$D13,SSP2_Baseline!$B:$B,2025))</f>
        <v>-2.7650611063414456E-7</v>
      </c>
      <c r="BD13" s="16">
        <f>((SUMIFS(SSP2_VSI!$F:$F,SSP2_VSI!$C:$C,Results_list!$C$298,SSP2_VSI!$D:$D,Results_list!$D13,SSP2_VSI!$B:$B,2040)) - (SUMIFS(SSP2_VSI!$F:$F,SSP2_VSI!$C:$C,Results_list!$C$298,SSP2_VSI!$D:$D,Results_list!$D13,SSP2_VSI!$B:$B,2025))) / (SUMIFS(SSP2_VSI!$F:$F,SSP2_VSI!$C:$C,Results_list!$C$298,SSP2_VSI!$D:$D,Results_list!$D13,SSP2_VSI!$B:$B,2025))</f>
        <v>-2.7685365172943984E-7</v>
      </c>
      <c r="BE13" s="13">
        <f t="shared" si="10"/>
        <v>0</v>
      </c>
      <c r="BF13" s="12">
        <f>((SUMIFS(SSP5_Baseline!$E:$E,SSP5_Baseline!$C:$C,Results_list!$C$298,SSP5_Baseline!$D:$D,Results_list!$D13,SSP5_Baseline!$B:$B,2040)) - (SUMIFS(SSP5_Baseline!$E:$E,SSP5_Baseline!$C:$C,Results_list!$C$298,SSP5_Baseline!$D:$D,Results_list!$D13,SSP5_Baseline!$B:$B,2025))) / (SUMIFS(SSP5_Baseline!$E:$E,SSP5_Baseline!$C:$C,Results_list!$C$298,SSP5_Baseline!$D:$D,Results_list!$D13,SSP5_Baseline!$B:$B,2025))</f>
        <v>1.9147171562359829E-8</v>
      </c>
      <c r="BG13" s="16">
        <f>((SUMIFS(SSP5_VSI!$F:$F,SSP5_VSI!$C:$C,Results_list!$C$298,SSP5_VSI!$D:$D,Results_list!$D13,SSP5_VSI!$B:$B,2040)) - (SUMIFS(SSP5_VSI!$F:$F,SSP5_VSI!$C:$C,Results_list!$C$298,SSP5_VSI!$D:$D,Results_list!$D13,SSP5_VSI!$B:$B,2025))) / (SUMIFS(SSP5_VSI!$F:$F,SSP5_VSI!$C:$C,Results_list!$C$298,SSP5_VSI!$D:$D,Results_list!$D13,SSP5_VSI!$B:$B,2025))</f>
        <v>2.0025415538913121E-8</v>
      </c>
      <c r="BH13" s="13">
        <f t="shared" si="11"/>
        <v>0</v>
      </c>
    </row>
    <row r="14" spans="2:60" x14ac:dyDescent="0.35">
      <c r="B14" s="91"/>
      <c r="C14" s="91"/>
      <c r="D14" t="s">
        <v>49</v>
      </c>
      <c r="F14" s="3" t="s">
        <v>97</v>
      </c>
      <c r="G14" s="12">
        <f>((SUMIFS(SSP1_Baseline!E:E,SSP1_Baseline!C:C,Results_list!$C$4,SSP1_Baseline!D:D,Results_list!D14,SSP1_Baseline!B:B,2040)) - (SUMIFS(SSP1_Baseline!E:E,SSP1_Baseline!C:C,Results_list!$C$4,SSP1_Baseline!D:D,Results_list!D14,SSP1_Baseline!B:B,2025))) / (SUMIFS(SSP1_Baseline!E:E,SSP1_Baseline!C:C,Results_list!$C$4,SSP1_Baseline!D:D,Results_list!D14,SSP1_Baseline!B:B,2025))</f>
        <v>-1.7032690111033206E-3</v>
      </c>
      <c r="H14" s="16">
        <f>((SUMIFS(SSP1_VSI!F:F,SSP1_VSI!C:C,Results_list!$C$4,SSP1_VSI!D:D,Results_list!D14,SSP1_VSI!B:B,2040)) - (SUMIFS(SSP1_VSI!F:F,SSP1_VSI!C:C,Results_list!$C$4,SSP1_VSI!D:D,Results_list!D14,SSP1_VSI!B:B,2025))) / (SUMIFS(SSP1_VSI!F:F,SSP1_VSI!C:C,Results_list!$C$4,SSP1_VSI!D:D,Results_list!D14,SSP1_VSI!B:B,2025))</f>
        <v>-0.96570455895753693</v>
      </c>
      <c r="I14" s="13">
        <f t="shared" si="0"/>
        <v>-0.96</v>
      </c>
      <c r="J14" s="12">
        <f>((SUMIFS(SSP2_Baseline!$E:$E,SSP2_Baseline!$C:$C,Results_list!$C$4,SSP2_Baseline!$D:$D,Results_list!$D14,SSP2_Baseline!$B:$B,2040)) - (SUMIFS(SSP2_Baseline!$E:$E,SSP2_Baseline!$C:$C,Results_list!$C$4,SSP2_Baseline!$D:$D,Results_list!$D14,SSP2_Baseline!$B:$B,2025))) / (SUMIFS(SSP2_Baseline!$E:$E,SSP2_Baseline!$C:$C,Results_list!$C$4,SSP2_Baseline!$D:$D,Results_list!$D14,SSP2_Baseline!$B:$B,2025))</f>
        <v>-1.7687554323084541E-3</v>
      </c>
      <c r="K14" s="16">
        <f>((SUMIFS(SSP2_VSI!$F:$F,SSP2_VSI!$C:$C,Results_list!$C$4,SSP2_VSI!$D:$D,Results_list!$D14,SSP2_VSI!$B:$B,2040)) - (SUMIFS(SSP2_VSI!$F:$F,SSP2_VSI!$C:$C,Results_list!$C$4,SSP2_VSI!$D:$D,Results_list!$D14,SSP2_VSI!$B:$B,2025))) / (SUMIFS(SSP2_VSI!$F:$F,SSP2_VSI!$C:$C,Results_list!$C$4,SSP2_VSI!$D:$D,Results_list!$D14,SSP2_VSI!$B:$B,2025))</f>
        <v>-0.9659733629035383</v>
      </c>
      <c r="L14" s="13">
        <f t="shared" si="1"/>
        <v>-0.96</v>
      </c>
      <c r="M14" s="12">
        <f>((SUMIFS(SSP5_Baseline!$E:$E,SSP5_Baseline!$C:$C,Results_list!$C$4,SSP5_Baseline!$D:$D,Results_list!$D14,SSP5_Baseline!$B:$B,2040)) - (SUMIFS(SSP5_Baseline!$E:$E,SSP5_Baseline!$C:$C,Results_list!$C$4,SSP5_Baseline!$D:$D,Results_list!$D14,SSP5_Baseline!$B:$B,2025))) / (SUMIFS(SSP5_Baseline!$E:$E,SSP5_Baseline!$C:$C,Results_list!$C$4,SSP5_Baseline!$D:$D,Results_list!$D14,SSP5_Baseline!$B:$B,2025))</f>
        <v>-1.9166263763587858E-3</v>
      </c>
      <c r="N14" s="16">
        <f>((SUMIFS(SSP5_VSI!$F:$F,SSP5_VSI!$C:$C,Results_list!$C$4,SSP5_VSI!$D:$D,Results_list!$D14,SSP5_VSI!$B:$B,2040)) - (SUMIFS(SSP5_VSI!$F:$F,SSP5_VSI!$C:$C,Results_list!$C$4,SSP5_VSI!$D:$D,Results_list!$D14,SSP5_VSI!$B:$B,2025))) / (SUMIFS(SSP5_VSI!$F:$F,SSP5_VSI!$C:$C,Results_list!$C$4,SSP5_VSI!$D:$D,Results_list!$D14,SSP5_VSI!$B:$B,2025))</f>
        <v>-0.9641382634150587</v>
      </c>
      <c r="O14" s="13">
        <f t="shared" si="2"/>
        <v>-0.96</v>
      </c>
      <c r="Q14" s="91"/>
      <c r="R14" s="96"/>
      <c r="S14" s="22" t="s">
        <v>49</v>
      </c>
      <c r="U14" s="3" t="s">
        <v>97</v>
      </c>
      <c r="V14" s="12">
        <f>((SUMIFS(SSP1_Baseline!$E:$E,SSP1_Baseline!$C:$C,Results_list!$C$109,SSP1_Baseline!$D:$D,Results_list!$D119,SSP1_Baseline!$B:$B,2040)) - (SUMIFS(SSP1_Baseline!$E:$E,SSP1_Baseline!$C:$C,Results_list!$C$109,SSP1_Baseline!$D:$D,Results_list!$D119,SSP1_Baseline!$B:$B,2025))) / (SUMIFS(SSP1_Baseline!$E:$E,SSP1_Baseline!$C:$C,Results_list!$C$109,SSP1_Baseline!$D:$D,Results_list!$D119,SSP1_Baseline!$B:$B,2025))</f>
        <v>-4.816839780613774E-3</v>
      </c>
      <c r="W14" s="16">
        <f>((SUMIFS(SSP1_VSI!$F:$F,SSP1_VSI!$C:$C,Results_list!$C$109,SSP1_VSI!$D:$D,Results_list!$D119,SSP1_VSI!$B:$B,2040)) - (SUMIFS(SSP1_VSI!$F:$F,SSP1_VSI!$C:$C,Results_list!$C$109,SSP1_VSI!$D:$D,Results_list!$D119,SSP1_VSI!$B:$B,2025))) / (SUMIFS(SSP1_VSI!$F:$F,SSP1_VSI!$C:$C,Results_list!$C$109,SSP1_VSI!$D:$D,Results_list!$D119,SSP1_VSI!$B:$B,2025))</f>
        <v>-0.81181161121326972</v>
      </c>
      <c r="X14" s="13">
        <f t="shared" si="3"/>
        <v>-0.80700000000000005</v>
      </c>
      <c r="Y14" s="12">
        <f>((SUMIFS(SSP2_Baseline!$E:$E,SSP2_Baseline!$C:$C,Results_list!$C$109,SSP2_Baseline!$D:$D,Results_list!$D119,SSP2_Baseline!$B:$B,2040)) - (SUMIFS(SSP2_Baseline!$E:$E,SSP2_Baseline!$C:$C,Results_list!$C$109,SSP2_Baseline!$D:$D,Results_list!$D119,SSP2_Baseline!$B:$B,2025))) / (SUMIFS(SSP2_Baseline!$E:$E,SSP2_Baseline!$C:$C,Results_list!$C$109,SSP2_Baseline!$D:$D,Results_list!$D119,SSP2_Baseline!$B:$B,2025))</f>
        <v>-2.686020537612905E-3</v>
      </c>
      <c r="Z14" s="16">
        <f>((SUMIFS(SSP2_VSI!$F:$F,SSP2_VSI!$C:$C,Results_list!$C$109,SSP2_VSI!$D:$D,Results_list!$D119,SSP2_VSI!$B:$B,2040)) - (SUMIFS(SSP2_VSI!$F:$F,SSP2_VSI!$C:$C,Results_list!$C$109,SSP2_VSI!$D:$D,Results_list!$D119,SSP2_VSI!$B:$B,2025))) / (SUMIFS(SSP2_VSI!$F:$F,SSP2_VSI!$C:$C,Results_list!$C$109,SSP2_VSI!$D:$D,Results_list!$D119,SSP2_VSI!$B:$B,2025))</f>
        <v>-0.81127180415041589</v>
      </c>
      <c r="AA14" s="13">
        <f t="shared" si="4"/>
        <v>-0.81</v>
      </c>
      <c r="AB14" s="12">
        <f>((SUMIFS(SSP5_Baseline!$E:$E,SSP5_Baseline!$C:$C,Results_list!$C$109,SSP5_Baseline!$D:$D,Results_list!$D119,SSP5_Baseline!$B:$B,2040)) - (SUMIFS(SSP5_Baseline!$E:$E,SSP5_Baseline!$C:$C,Results_list!$C$109,SSP5_Baseline!$D:$D,Results_list!$D119,SSP5_Baseline!$B:$B,2025))) / (SUMIFS(SSP5_Baseline!$E:$E,SSP5_Baseline!$C:$C,Results_list!$C$109,SSP5_Baseline!$D:$D,Results_list!$D119,SSP5_Baseline!$B:$B,2025))</f>
        <v>-2.3401696599574485E-3</v>
      </c>
      <c r="AC14" s="16">
        <f>((SUMIFS(SSP5_VSI!$F:$F,SSP5_VSI!$C:$C,Results_list!$C$109,SSP5_VSI!$D:$D,Results_list!$D119,SSP5_VSI!$B:$B,2040)) - (SUMIFS(SSP5_VSI!$F:$F,SSP5_VSI!$C:$C,Results_list!$C$109,SSP5_VSI!$D:$D,Results_list!$D119,SSP5_VSI!$B:$B,2025))) / (SUMIFS(SSP5_VSI!$F:$F,SSP5_VSI!$C:$C,Results_list!$C$109,SSP5_VSI!$D:$D,Results_list!$D119,SSP5_VSI!$B:$B,2025))</f>
        <v>-0.81086985881302198</v>
      </c>
      <c r="AD14" s="13">
        <f t="shared" si="5"/>
        <v>-0.81</v>
      </c>
      <c r="AF14" s="85"/>
      <c r="AG14" s="85"/>
      <c r="AH14" t="s">
        <v>49</v>
      </c>
      <c r="AI14" s="25" t="s">
        <v>70</v>
      </c>
      <c r="AJ14" s="3" t="s">
        <v>97</v>
      </c>
      <c r="AK14" s="12">
        <v>-8.2610739615644621E-2</v>
      </c>
      <c r="AL14" s="16">
        <v>-8.2611433610744453E-2</v>
      </c>
      <c r="AM14" s="13">
        <f t="shared" si="6"/>
        <v>0</v>
      </c>
      <c r="AN14" s="12">
        <v>-7.821555313596272E-2</v>
      </c>
      <c r="AO14" s="16">
        <v>-7.8214383958140274E-2</v>
      </c>
      <c r="AP14" s="13">
        <f t="shared" si="7"/>
        <v>0</v>
      </c>
      <c r="AQ14" s="12">
        <v>-7.182475151440975E-3</v>
      </c>
      <c r="AR14" s="16">
        <v>-7.1826630866961266E-3</v>
      </c>
      <c r="AS14" s="13">
        <f t="shared" si="8"/>
        <v>0</v>
      </c>
      <c r="AU14" s="87"/>
      <c r="AV14" s="87"/>
      <c r="AW14" t="s">
        <v>49</v>
      </c>
      <c r="AY14" s="3" t="s">
        <v>97</v>
      </c>
      <c r="AZ14" s="12">
        <f>((SUMIFS(SSP1_Baseline!$E:$E,SSP1_Baseline!$C:$C,Results_list!$C$298,SSP1_Baseline!$D:$D,Results_list!$D14,SSP1_Baseline!$B:$B,2040)) - (SUMIFS(SSP1_Baseline!$E:$E,SSP1_Baseline!$C:$C,Results_list!$C$298,SSP1_Baseline!$D:$D,Results_list!$D14,SSP1_Baseline!$B:$B,2025))) / (SUMIFS(SSP1_Baseline!$E:$E,SSP1_Baseline!$C:$C,Results_list!$C$298,SSP1_Baseline!$D:$D,Results_list!$D14,SSP1_Baseline!$B:$B,2025))</f>
        <v>-2.241991649238495E-2</v>
      </c>
      <c r="BA14" s="16">
        <f>((SUMIFS(SSP1_VSI!$F:$F,SSP1_VSI!$C:$C,Results_list!$C$298,SSP1_VSI!$D:$D,Results_list!$D14,SSP1_VSI!$B:$B,2040)) - (SUMIFS(SSP1_VSI!$F:$F,SSP1_VSI!$C:$C,Results_list!$C$298,SSP1_VSI!$D:$D,Results_list!$D14,SSP1_VSI!$B:$B,2025))) / (SUMIFS(SSP1_VSI!$F:$F,SSP1_VSI!$C:$C,Results_list!$C$298,SSP1_VSI!$D:$D,Results_list!$D14,SSP1_VSI!$B:$B,2025))</f>
        <v>-2.250095202543597E-2</v>
      </c>
      <c r="BB14" s="13">
        <f t="shared" si="9"/>
        <v>0</v>
      </c>
      <c r="BC14" s="12">
        <f>((SUMIFS(SSP2_Baseline!$E:$E,SSP2_Baseline!$C:$C,Results_list!$C$298,SSP2_Baseline!$D:$D,Results_list!$D14,SSP2_Baseline!$B:$B,2040)) - (SUMIFS(SSP2_Baseline!$E:$E,SSP2_Baseline!$C:$C,Results_list!$C$298,SSP2_Baseline!$D:$D,Results_list!$D14,SSP2_Baseline!$B:$B,2025))) / (SUMIFS(SSP2_Baseline!$E:$E,SSP2_Baseline!$C:$C,Results_list!$C$298,SSP2_Baseline!$D:$D,Results_list!$D14,SSP2_Baseline!$B:$B,2025))</f>
        <v>-2.1552263870956235E-3</v>
      </c>
      <c r="BD14" s="16">
        <f>((SUMIFS(SSP2_VSI!$F:$F,SSP2_VSI!$C:$C,Results_list!$C$298,SSP2_VSI!$D:$D,Results_list!$D14,SSP2_VSI!$B:$B,2040)) - (SUMIFS(SSP2_VSI!$F:$F,SSP2_VSI!$C:$C,Results_list!$C$298,SSP2_VSI!$D:$D,Results_list!$D14,SSP2_VSI!$B:$B,2025))) / (SUMIFS(SSP2_VSI!$F:$F,SSP2_VSI!$C:$C,Results_list!$C$298,SSP2_VSI!$D:$D,Results_list!$D14,SSP2_VSI!$B:$B,2025))</f>
        <v>-2.1563029641022916E-3</v>
      </c>
      <c r="BE14" s="13">
        <f t="shared" si="10"/>
        <v>0</v>
      </c>
      <c r="BF14" s="12">
        <f>((SUMIFS(SSP5_Baseline!$E:$E,SSP5_Baseline!$C:$C,Results_list!$C$298,SSP5_Baseline!$D:$D,Results_list!$D14,SSP5_Baseline!$B:$B,2040)) - (SUMIFS(SSP5_Baseline!$E:$E,SSP5_Baseline!$C:$C,Results_list!$C$298,SSP5_Baseline!$D:$D,Results_list!$D14,SSP5_Baseline!$B:$B,2025))) / (SUMIFS(SSP5_Baseline!$E:$E,SSP5_Baseline!$C:$C,Results_list!$C$298,SSP5_Baseline!$D:$D,Results_list!$D14,SSP5_Baseline!$B:$B,2025))</f>
        <v>-8.4084982032463645E-3</v>
      </c>
      <c r="BG14" s="16">
        <f>((SUMIFS(SSP5_VSI!$F:$F,SSP5_VSI!$C:$C,Results_list!$C$298,SSP5_VSI!$D:$D,Results_list!$D14,SSP5_VSI!$B:$B,2040)) - (SUMIFS(SSP5_VSI!$F:$F,SSP5_VSI!$C:$C,Results_list!$C$298,SSP5_VSI!$D:$D,Results_list!$D14,SSP5_VSI!$B:$B,2025))) / (SUMIFS(SSP5_VSI!$F:$F,SSP5_VSI!$C:$C,Results_list!$C$298,SSP5_VSI!$D:$D,Results_list!$D14,SSP5_VSI!$B:$B,2025))</f>
        <v>-8.4705769496181086E-3</v>
      </c>
      <c r="BH14" s="13">
        <f t="shared" si="11"/>
        <v>0</v>
      </c>
    </row>
    <row r="15" spans="2:60" x14ac:dyDescent="0.35">
      <c r="B15" s="91"/>
      <c r="C15" s="91"/>
      <c r="D15" t="s">
        <v>50</v>
      </c>
      <c r="F15" s="3" t="s">
        <v>98</v>
      </c>
      <c r="G15" s="12">
        <f>((SUMIFS(SSP1_Baseline!E:E,SSP1_Baseline!C:C,Results_list!$C$4,SSP1_Baseline!D:D,Results_list!D15,SSP1_Baseline!B:B,2040)) - (SUMIFS(SSP1_Baseline!E:E,SSP1_Baseline!C:C,Results_list!$C$4,SSP1_Baseline!D:D,Results_list!D15,SSP1_Baseline!B:B,2025))) / (SUMIFS(SSP1_Baseline!E:E,SSP1_Baseline!C:C,Results_list!$C$4,SSP1_Baseline!D:D,Results_list!D15,SSP1_Baseline!B:B,2025))</f>
        <v>-1.9804362412178592E-2</v>
      </c>
      <c r="H15" s="16">
        <f>((SUMIFS(SSP1_VSI!F:F,SSP1_VSI!C:C,Results_list!$C$4,SSP1_VSI!D:D,Results_list!D15,SSP1_VSI!B:B,2040)) - (SUMIFS(SSP1_VSI!F:F,SSP1_VSI!C:C,Results_list!$C$4,SSP1_VSI!D:D,Results_list!D15,SSP1_VSI!B:B,2025))) / (SUMIFS(SSP1_VSI!F:F,SSP1_VSI!C:C,Results_list!$C$4,SSP1_VSI!D:D,Results_list!D15,SSP1_VSI!B:B,2025))</f>
        <v>-1.9802940730699499E-2</v>
      </c>
      <c r="I15" s="13">
        <f t="shared" si="0"/>
        <v>0</v>
      </c>
      <c r="J15" s="12">
        <f>((SUMIFS(SSP2_Baseline!$E:$E,SSP2_Baseline!$C:$C,Results_list!$C$4,SSP2_Baseline!$D:$D,Results_list!$D15,SSP2_Baseline!$B:$B,2040)) - (SUMIFS(SSP2_Baseline!$E:$E,SSP2_Baseline!$C:$C,Results_list!$C$4,SSP2_Baseline!$D:$D,Results_list!$D15,SSP2_Baseline!$B:$B,2025))) / (SUMIFS(SSP2_Baseline!$E:$E,SSP2_Baseline!$C:$C,Results_list!$C$4,SSP2_Baseline!$D:$D,Results_list!$D15,SSP2_Baseline!$B:$B,2025))</f>
        <v>-3.8794791548672778E-3</v>
      </c>
      <c r="K15" s="16">
        <f>((SUMIFS(SSP2_VSI!$F:$F,SSP2_VSI!$C:$C,Results_list!$C$4,SSP2_VSI!$D:$D,Results_list!$D15,SSP2_VSI!$B:$B,2040)) - (SUMIFS(SSP2_VSI!$F:$F,SSP2_VSI!$C:$C,Results_list!$C$4,SSP2_VSI!$D:$D,Results_list!$D15,SSP2_VSI!$B:$B,2025))) / (SUMIFS(SSP2_VSI!$F:$F,SSP2_VSI!$C:$C,Results_list!$C$4,SSP2_VSI!$D:$D,Results_list!$D15,SSP2_VSI!$B:$B,2025))</f>
        <v>-3.8817101751871183E-3</v>
      </c>
      <c r="L15" s="13">
        <f t="shared" si="1"/>
        <v>0</v>
      </c>
      <c r="M15" s="12">
        <f>((SUMIFS(SSP5_Baseline!$E:$E,SSP5_Baseline!$C:$C,Results_list!$C$4,SSP5_Baseline!$D:$D,Results_list!$D15,SSP5_Baseline!$B:$B,2040)) - (SUMIFS(SSP5_Baseline!$E:$E,SSP5_Baseline!$C:$C,Results_list!$C$4,SSP5_Baseline!$D:$D,Results_list!$D15,SSP5_Baseline!$B:$B,2025))) / (SUMIFS(SSP5_Baseline!$E:$E,SSP5_Baseline!$C:$C,Results_list!$C$4,SSP5_Baseline!$D:$D,Results_list!$D15,SSP5_Baseline!$B:$B,2025))</f>
        <v>8.9564452247395399E-3</v>
      </c>
      <c r="N15" s="16">
        <f>((SUMIFS(SSP5_VSI!$F:$F,SSP5_VSI!$C:$C,Results_list!$C$4,SSP5_VSI!$D:$D,Results_list!$D15,SSP5_VSI!$B:$B,2040)) - (SUMIFS(SSP5_VSI!$F:$F,SSP5_VSI!$C:$C,Results_list!$C$4,SSP5_VSI!$D:$D,Results_list!$D15,SSP5_VSI!$B:$B,2025))) / (SUMIFS(SSP5_VSI!$F:$F,SSP5_VSI!$C:$C,Results_list!$C$4,SSP5_VSI!$D:$D,Results_list!$D15,SSP5_VSI!$B:$B,2025))</f>
        <v>8.9589037270569605E-3</v>
      </c>
      <c r="O15" s="13">
        <f t="shared" si="2"/>
        <v>0</v>
      </c>
      <c r="Q15" s="91"/>
      <c r="R15" s="96"/>
      <c r="S15" s="22" t="s">
        <v>50</v>
      </c>
      <c r="U15" s="3" t="s">
        <v>98</v>
      </c>
      <c r="V15" s="12">
        <f>((SUMIFS(SSP1_Baseline!$E:$E,SSP1_Baseline!$C:$C,Results_list!$C$109,SSP1_Baseline!$D:$D,Results_list!$D120,SSP1_Baseline!$B:$B,2040)) - (SUMIFS(SSP1_Baseline!$E:$E,SSP1_Baseline!$C:$C,Results_list!$C$109,SSP1_Baseline!$D:$D,Results_list!$D120,SSP1_Baseline!$B:$B,2025))) / (SUMIFS(SSP1_Baseline!$E:$E,SSP1_Baseline!$C:$C,Results_list!$C$109,SSP1_Baseline!$D:$D,Results_list!$D120,SSP1_Baseline!$B:$B,2025))</f>
        <v>-2.8293614539733631E-2</v>
      </c>
      <c r="W15" s="16">
        <f>((SUMIFS(SSP1_VSI!$F:$F,SSP1_VSI!$C:$C,Results_list!$C$109,SSP1_VSI!$D:$D,Results_list!$D120,SSP1_VSI!$B:$B,2040)) - (SUMIFS(SSP1_VSI!$F:$F,SSP1_VSI!$C:$C,Results_list!$C$109,SSP1_VSI!$D:$D,Results_list!$D120,SSP1_VSI!$B:$B,2025))) / (SUMIFS(SSP1_VSI!$F:$F,SSP1_VSI!$C:$C,Results_list!$C$109,SSP1_VSI!$D:$D,Results_list!$D120,SSP1_VSI!$B:$B,2025))</f>
        <v>-2.830188184153859E-2</v>
      </c>
      <c r="X15" s="13">
        <f t="shared" si="3"/>
        <v>0</v>
      </c>
      <c r="Y15" s="12">
        <f>((SUMIFS(SSP2_Baseline!$E:$E,SSP2_Baseline!$C:$C,Results_list!$C$109,SSP2_Baseline!$D:$D,Results_list!$D120,SSP2_Baseline!$B:$B,2040)) - (SUMIFS(SSP2_Baseline!$E:$E,SSP2_Baseline!$C:$C,Results_list!$C$109,SSP2_Baseline!$D:$D,Results_list!$D120,SSP2_Baseline!$B:$B,2025))) / (SUMIFS(SSP2_Baseline!$E:$E,SSP2_Baseline!$C:$C,Results_list!$C$109,SSP2_Baseline!$D:$D,Results_list!$D120,SSP2_Baseline!$B:$B,2025))</f>
        <v>4.8997777384610482E-2</v>
      </c>
      <c r="Z15" s="16">
        <f>((SUMIFS(SSP2_VSI!$F:$F,SSP2_VSI!$C:$C,Results_list!$C$109,SSP2_VSI!$D:$D,Results_list!$D120,SSP2_VSI!$B:$B,2040)) - (SUMIFS(SSP2_VSI!$F:$F,SSP2_VSI!$C:$C,Results_list!$C$109,SSP2_VSI!$D:$D,Results_list!$D120,SSP2_VSI!$B:$B,2025))) / (SUMIFS(SSP2_VSI!$F:$F,SSP2_VSI!$C:$C,Results_list!$C$109,SSP2_VSI!$D:$D,Results_list!$D120,SSP2_VSI!$B:$B,2025))</f>
        <v>4.8995352455764758E-2</v>
      </c>
      <c r="AA15" s="13">
        <f t="shared" si="4"/>
        <v>0</v>
      </c>
      <c r="AB15" s="12">
        <f>((SUMIFS(SSP5_Baseline!$E:$E,SSP5_Baseline!$C:$C,Results_list!$C$109,SSP5_Baseline!$D:$D,Results_list!$D120,SSP5_Baseline!$B:$B,2040)) - (SUMIFS(SSP5_Baseline!$E:$E,SSP5_Baseline!$C:$C,Results_list!$C$109,SSP5_Baseline!$D:$D,Results_list!$D120,SSP5_Baseline!$B:$B,2025))) / (SUMIFS(SSP5_Baseline!$E:$E,SSP5_Baseline!$C:$C,Results_list!$C$109,SSP5_Baseline!$D:$D,Results_list!$D120,SSP5_Baseline!$B:$B,2025))</f>
        <v>7.8466452254923491E-2</v>
      </c>
      <c r="AC15" s="16">
        <f>((SUMIFS(SSP5_VSI!$F:$F,SSP5_VSI!$C:$C,Results_list!$C$109,SSP5_VSI!$D:$D,Results_list!$D120,SSP5_VSI!$B:$B,2040)) - (SUMIFS(SSP5_VSI!$F:$F,SSP5_VSI!$C:$C,Results_list!$C$109,SSP5_VSI!$D:$D,Results_list!$D120,SSP5_VSI!$B:$B,2025))) / (SUMIFS(SSP5_VSI!$F:$F,SSP5_VSI!$C:$C,Results_list!$C$109,SSP5_VSI!$D:$D,Results_list!$D120,SSP5_VSI!$B:$B,2025))</f>
        <v>7.8488250545212052E-2</v>
      </c>
      <c r="AD15" s="13">
        <f t="shared" si="5"/>
        <v>0</v>
      </c>
      <c r="AF15" s="85"/>
      <c r="AG15" s="85"/>
      <c r="AH15" t="s">
        <v>50</v>
      </c>
      <c r="AI15" s="25" t="s">
        <v>70</v>
      </c>
      <c r="AJ15" s="3" t="s">
        <v>98</v>
      </c>
      <c r="AK15" s="12">
        <v>-9.4894263156683728E-2</v>
      </c>
      <c r="AL15" s="16">
        <v>-9.4894173214071689E-2</v>
      </c>
      <c r="AM15" s="13">
        <f t="shared" si="6"/>
        <v>0</v>
      </c>
      <c r="AN15" s="12">
        <v>-8.2887798843620519E-2</v>
      </c>
      <c r="AO15" s="16">
        <v>-8.2887937002564374E-2</v>
      </c>
      <c r="AP15" s="13">
        <f t="shared" si="7"/>
        <v>0</v>
      </c>
      <c r="AQ15" s="12">
        <v>-4.1669109306249043E-2</v>
      </c>
      <c r="AR15" s="16">
        <v>-4.1667967066497349E-2</v>
      </c>
      <c r="AS15" s="13">
        <f t="shared" si="8"/>
        <v>0</v>
      </c>
      <c r="AU15" s="87"/>
      <c r="AV15" s="87"/>
      <c r="AW15" t="s">
        <v>50</v>
      </c>
      <c r="AY15" s="3" t="s">
        <v>98</v>
      </c>
      <c r="AZ15" s="12">
        <f>((SUMIFS(SSP1_Baseline!$E:$E,SSP1_Baseline!$C:$C,Results_list!$C$298,SSP1_Baseline!$D:$D,Results_list!$D15,SSP1_Baseline!$B:$B,2040)) - (SUMIFS(SSP1_Baseline!$E:$E,SSP1_Baseline!$C:$C,Results_list!$C$298,SSP1_Baseline!$D:$D,Results_list!$D15,SSP1_Baseline!$B:$B,2025))) / (SUMIFS(SSP1_Baseline!$E:$E,SSP1_Baseline!$C:$C,Results_list!$C$298,SSP1_Baseline!$D:$D,Results_list!$D15,SSP1_Baseline!$B:$B,2025))</f>
        <v>-1.2077350548436052E-2</v>
      </c>
      <c r="BA15" s="16">
        <f>((SUMIFS(SSP1_VSI!$F:$F,SSP1_VSI!$C:$C,Results_list!$C$298,SSP1_VSI!$D:$D,Results_list!$D15,SSP1_VSI!$B:$B,2040)) - (SUMIFS(SSP1_VSI!$F:$F,SSP1_VSI!$C:$C,Results_list!$C$298,SSP1_VSI!$D:$D,Results_list!$D15,SSP1_VSI!$B:$B,2025))) / (SUMIFS(SSP1_VSI!$F:$F,SSP1_VSI!$C:$C,Results_list!$C$298,SSP1_VSI!$D:$D,Results_list!$D15,SSP1_VSI!$B:$B,2025))</f>
        <v>-1.2076963703012041E-2</v>
      </c>
      <c r="BB15" s="13">
        <f t="shared" si="9"/>
        <v>0</v>
      </c>
      <c r="BC15" s="12">
        <f>((SUMIFS(SSP2_Baseline!$E:$E,SSP2_Baseline!$C:$C,Results_list!$C$298,SSP2_Baseline!$D:$D,Results_list!$D15,SSP2_Baseline!$B:$B,2040)) - (SUMIFS(SSP2_Baseline!$E:$E,SSP2_Baseline!$C:$C,Results_list!$C$298,SSP2_Baseline!$D:$D,Results_list!$D15,SSP2_Baseline!$B:$B,2025))) / (SUMIFS(SSP2_Baseline!$E:$E,SSP2_Baseline!$C:$C,Results_list!$C$298,SSP2_Baseline!$D:$D,Results_list!$D15,SSP2_Baseline!$B:$B,2025))</f>
        <v>1.7682537590632028E-2</v>
      </c>
      <c r="BD15" s="16">
        <f>((SUMIFS(SSP2_VSI!$F:$F,SSP2_VSI!$C:$C,Results_list!$C$298,SSP2_VSI!$D:$D,Results_list!$D15,SSP2_VSI!$B:$B,2040)) - (SUMIFS(SSP2_VSI!$F:$F,SSP2_VSI!$C:$C,Results_list!$C$298,SSP2_VSI!$D:$D,Results_list!$D15,SSP2_VSI!$B:$B,2025))) / (SUMIFS(SSP2_VSI!$F:$F,SSP2_VSI!$C:$C,Results_list!$C$298,SSP2_VSI!$D:$D,Results_list!$D15,SSP2_VSI!$B:$B,2025))</f>
        <v>1.7680856310284054E-2</v>
      </c>
      <c r="BE15" s="13">
        <f t="shared" si="10"/>
        <v>0</v>
      </c>
      <c r="BF15" s="12">
        <f>((SUMIFS(SSP5_Baseline!$E:$E,SSP5_Baseline!$C:$C,Results_list!$C$298,SSP5_Baseline!$D:$D,Results_list!$D15,SSP5_Baseline!$B:$B,2040)) - (SUMIFS(SSP5_Baseline!$E:$E,SSP5_Baseline!$C:$C,Results_list!$C$298,SSP5_Baseline!$D:$D,Results_list!$D15,SSP5_Baseline!$B:$B,2025))) / (SUMIFS(SSP5_Baseline!$E:$E,SSP5_Baseline!$C:$C,Results_list!$C$298,SSP5_Baseline!$D:$D,Results_list!$D15,SSP5_Baseline!$B:$B,2025))</f>
        <v>2.2154270146233269E-2</v>
      </c>
      <c r="BG15" s="16">
        <f>((SUMIFS(SSP5_VSI!$F:$F,SSP5_VSI!$C:$C,Results_list!$C$298,SSP5_VSI!$D:$D,Results_list!$D15,SSP5_VSI!$B:$B,2040)) - (SUMIFS(SSP5_VSI!$F:$F,SSP5_VSI!$C:$C,Results_list!$C$298,SSP5_VSI!$D:$D,Results_list!$D15,SSP5_VSI!$B:$B,2025))) / (SUMIFS(SSP5_VSI!$F:$F,SSP5_VSI!$C:$C,Results_list!$C$298,SSP5_VSI!$D:$D,Results_list!$D15,SSP5_VSI!$B:$B,2025))</f>
        <v>2.2157383071424657E-2</v>
      </c>
      <c r="BH15" s="13">
        <f t="shared" si="11"/>
        <v>0</v>
      </c>
    </row>
    <row r="16" spans="2:60" x14ac:dyDescent="0.35">
      <c r="B16" s="91"/>
      <c r="C16" s="91"/>
      <c r="D16" t="s">
        <v>51</v>
      </c>
      <c r="F16" s="3" t="s">
        <v>99</v>
      </c>
      <c r="G16" s="12">
        <f>((SUMIFS(SSP1_Baseline!E:E,SSP1_Baseline!C:C,Results_list!$C$4,SSP1_Baseline!D:D,Results_list!D16,SSP1_Baseline!B:B,2040)) - (SUMIFS(SSP1_Baseline!E:E,SSP1_Baseline!C:C,Results_list!$C$4,SSP1_Baseline!D:D,Results_list!D16,SSP1_Baseline!B:B,2025))) / (SUMIFS(SSP1_Baseline!E:E,SSP1_Baseline!C:C,Results_list!$C$4,SSP1_Baseline!D:D,Results_list!D16,SSP1_Baseline!B:B,2025))</f>
        <v>-1.0297452963368651E-2</v>
      </c>
      <c r="H16" s="16">
        <f>((SUMIFS(SSP1_VSI!F:F,SSP1_VSI!C:C,Results_list!$C$4,SSP1_VSI!D:D,Results_list!D16,SSP1_VSI!B:B,2040)) - (SUMIFS(SSP1_VSI!F:F,SSP1_VSI!C:C,Results_list!$C$4,SSP1_VSI!D:D,Results_list!D16,SSP1_VSI!B:B,2025))) / (SUMIFS(SSP1_VSI!F:F,SSP1_VSI!C:C,Results_list!$C$4,SSP1_VSI!D:D,Results_list!D16,SSP1_VSI!B:B,2025))</f>
        <v>-1.0305499160051194E-2</v>
      </c>
      <c r="I16" s="13">
        <f t="shared" si="0"/>
        <v>0</v>
      </c>
      <c r="J16" s="12">
        <f>((SUMIFS(SSP2_Baseline!$E:$E,SSP2_Baseline!$C:$C,Results_list!$C$4,SSP2_Baseline!$D:$D,Results_list!$D16,SSP2_Baseline!$B:$B,2040)) - (SUMIFS(SSP2_Baseline!$E:$E,SSP2_Baseline!$C:$C,Results_list!$C$4,SSP2_Baseline!$D:$D,Results_list!$D16,SSP2_Baseline!$B:$B,2025))) / (SUMIFS(SSP2_Baseline!$E:$E,SSP2_Baseline!$C:$C,Results_list!$C$4,SSP2_Baseline!$D:$D,Results_list!$D16,SSP2_Baseline!$B:$B,2025))</f>
        <v>-1.0039133533620917E-2</v>
      </c>
      <c r="K16" s="16">
        <f>((SUMIFS(SSP2_VSI!$F:$F,SSP2_VSI!$C:$C,Results_list!$C$4,SSP2_VSI!$D:$D,Results_list!$D16,SSP2_VSI!$B:$B,2040)) - (SUMIFS(SSP2_VSI!$F:$F,SSP2_VSI!$C:$C,Results_list!$C$4,SSP2_VSI!$D:$D,Results_list!$D16,SSP2_VSI!$B:$B,2025))) / (SUMIFS(SSP2_VSI!$F:$F,SSP2_VSI!$C:$C,Results_list!$C$4,SSP2_VSI!$D:$D,Results_list!$D16,SSP2_VSI!$B:$B,2025))</f>
        <v>-1.0196006714833075E-2</v>
      </c>
      <c r="L16" s="13">
        <f t="shared" si="1"/>
        <v>0</v>
      </c>
      <c r="M16" s="12">
        <f>((SUMIFS(SSP5_Baseline!$E:$E,SSP5_Baseline!$C:$C,Results_list!$C$4,SSP5_Baseline!$D:$D,Results_list!$D16,SSP5_Baseline!$B:$B,2040)) - (SUMIFS(SSP5_Baseline!$E:$E,SSP5_Baseline!$C:$C,Results_list!$C$4,SSP5_Baseline!$D:$D,Results_list!$D16,SSP5_Baseline!$B:$B,2025))) / (SUMIFS(SSP5_Baseline!$E:$E,SSP5_Baseline!$C:$C,Results_list!$C$4,SSP5_Baseline!$D:$D,Results_list!$D16,SSP5_Baseline!$B:$B,2025))</f>
        <v>-3.2423092909227812E-2</v>
      </c>
      <c r="N16" s="16">
        <f>((SUMIFS(SSP5_VSI!$F:$F,SSP5_VSI!$C:$C,Results_list!$C$4,SSP5_VSI!$D:$D,Results_list!$D16,SSP5_VSI!$B:$B,2040)) - (SUMIFS(SSP5_VSI!$F:$F,SSP5_VSI!$C:$C,Results_list!$C$4,SSP5_VSI!$D:$D,Results_list!$D16,SSP5_VSI!$B:$B,2025))) / (SUMIFS(SSP5_VSI!$F:$F,SSP5_VSI!$C:$C,Results_list!$C$4,SSP5_VSI!$D:$D,Results_list!$D16,SSP5_VSI!$B:$B,2025))</f>
        <v>-3.2373522160956299E-2</v>
      </c>
      <c r="O16" s="13">
        <f t="shared" si="2"/>
        <v>0</v>
      </c>
      <c r="Q16" s="91"/>
      <c r="R16" s="96"/>
      <c r="S16" s="22" t="s">
        <v>51</v>
      </c>
      <c r="U16" s="3" t="s">
        <v>99</v>
      </c>
      <c r="V16" s="12">
        <f>((SUMIFS(SSP1_Baseline!$E:$E,SSP1_Baseline!$C:$C,Results_list!$C$109,SSP1_Baseline!$D:$D,Results_list!$D121,SSP1_Baseline!$B:$B,2040)) - (SUMIFS(SSP1_Baseline!$E:$E,SSP1_Baseline!$C:$C,Results_list!$C$109,SSP1_Baseline!$D:$D,Results_list!$D121,SSP1_Baseline!$B:$B,2025))) / (SUMIFS(SSP1_Baseline!$E:$E,SSP1_Baseline!$C:$C,Results_list!$C$109,SSP1_Baseline!$D:$D,Results_list!$D121,SSP1_Baseline!$B:$B,2025))</f>
        <v>1.734200481548837E-3</v>
      </c>
      <c r="W16" s="16">
        <f>((SUMIFS(SSP1_VSI!$F:$F,SSP1_VSI!$C:$C,Results_list!$C$109,SSP1_VSI!$D:$D,Results_list!$D121,SSP1_VSI!$B:$B,2040)) - (SUMIFS(SSP1_VSI!$F:$F,SSP1_VSI!$C:$C,Results_list!$C$109,SSP1_VSI!$D:$D,Results_list!$D121,SSP1_VSI!$B:$B,2025))) / (SUMIFS(SSP1_VSI!$F:$F,SSP1_VSI!$C:$C,Results_list!$C$109,SSP1_VSI!$D:$D,Results_list!$D121,SSP1_VSI!$B:$B,2025))</f>
        <v>1.7327303743326858E-3</v>
      </c>
      <c r="X16" s="13">
        <f t="shared" si="3"/>
        <v>0</v>
      </c>
      <c r="Y16" s="12">
        <f>((SUMIFS(SSP2_Baseline!$E:$E,SSP2_Baseline!$C:$C,Results_list!$C$109,SSP2_Baseline!$D:$D,Results_list!$D121,SSP2_Baseline!$B:$B,2040)) - (SUMIFS(SSP2_Baseline!$E:$E,SSP2_Baseline!$C:$C,Results_list!$C$109,SSP2_Baseline!$D:$D,Results_list!$D121,SSP2_Baseline!$B:$B,2025))) / (SUMIFS(SSP2_Baseline!$E:$E,SSP2_Baseline!$C:$C,Results_list!$C$109,SSP2_Baseline!$D:$D,Results_list!$D121,SSP2_Baseline!$B:$B,2025))</f>
        <v>2.2354183527902717E-3</v>
      </c>
      <c r="Z16" s="16">
        <f>((SUMIFS(SSP2_VSI!$F:$F,SSP2_VSI!$C:$C,Results_list!$C$109,SSP2_VSI!$D:$D,Results_list!$D121,SSP2_VSI!$B:$B,2040)) - (SUMIFS(SSP2_VSI!$F:$F,SSP2_VSI!$C:$C,Results_list!$C$109,SSP2_VSI!$D:$D,Results_list!$D121,SSP2_VSI!$B:$B,2025))) / (SUMIFS(SSP2_VSI!$F:$F,SSP2_VSI!$C:$C,Results_list!$C$109,SSP2_VSI!$D:$D,Results_list!$D121,SSP2_VSI!$B:$B,2025))</f>
        <v>2.2239595543992905E-3</v>
      </c>
      <c r="AA16" s="13">
        <f t="shared" si="4"/>
        <v>0</v>
      </c>
      <c r="AB16" s="12">
        <f>((SUMIFS(SSP5_Baseline!$E:$E,SSP5_Baseline!$C:$C,Results_list!$C$109,SSP5_Baseline!$D:$D,Results_list!$D121,SSP5_Baseline!$B:$B,2040)) - (SUMIFS(SSP5_Baseline!$E:$E,SSP5_Baseline!$C:$C,Results_list!$C$109,SSP5_Baseline!$D:$D,Results_list!$D121,SSP5_Baseline!$B:$B,2025))) / (SUMIFS(SSP5_Baseline!$E:$E,SSP5_Baseline!$C:$C,Results_list!$C$109,SSP5_Baseline!$D:$D,Results_list!$D121,SSP5_Baseline!$B:$B,2025))</f>
        <v>2.5345109110463243E-4</v>
      </c>
      <c r="AC16" s="16">
        <f>((SUMIFS(SSP5_VSI!$F:$F,SSP5_VSI!$C:$C,Results_list!$C$109,SSP5_VSI!$D:$D,Results_list!$D121,SSP5_VSI!$B:$B,2040)) - (SUMIFS(SSP5_VSI!$F:$F,SSP5_VSI!$C:$C,Results_list!$C$109,SSP5_VSI!$D:$D,Results_list!$D121,SSP5_VSI!$B:$B,2025))) / (SUMIFS(SSP5_VSI!$F:$F,SSP5_VSI!$C:$C,Results_list!$C$109,SSP5_VSI!$D:$D,Results_list!$D121,SSP5_VSI!$B:$B,2025))</f>
        <v>2.5760172369694535E-4</v>
      </c>
      <c r="AD16" s="13">
        <f t="shared" si="5"/>
        <v>0</v>
      </c>
      <c r="AF16" s="85"/>
      <c r="AG16" s="85"/>
      <c r="AH16" t="s">
        <v>51</v>
      </c>
      <c r="AI16" s="25" t="s">
        <v>70</v>
      </c>
      <c r="AJ16" s="3" t="s">
        <v>99</v>
      </c>
      <c r="AK16" s="12">
        <v>1.3591919457660426E-2</v>
      </c>
      <c r="AL16" s="16">
        <v>1.3591313396491439E-2</v>
      </c>
      <c r="AM16" s="13">
        <f t="shared" si="6"/>
        <v>0</v>
      </c>
      <c r="AN16" s="12">
        <v>1.5022584642392414E-2</v>
      </c>
      <c r="AO16" s="16">
        <v>1.502616157659057E-2</v>
      </c>
      <c r="AP16" s="13">
        <f t="shared" si="7"/>
        <v>0</v>
      </c>
      <c r="AQ16" s="12">
        <v>1.1887637616832558E-3</v>
      </c>
      <c r="AR16" s="16">
        <v>1.187870557162908E-3</v>
      </c>
      <c r="AS16" s="13">
        <f t="shared" si="8"/>
        <v>0</v>
      </c>
      <c r="AU16" s="87"/>
      <c r="AV16" s="87"/>
      <c r="AW16" t="s">
        <v>51</v>
      </c>
      <c r="AY16" s="3" t="s">
        <v>99</v>
      </c>
      <c r="AZ16" s="12">
        <f>((SUMIFS(SSP1_Baseline!$E:$E,SSP1_Baseline!$C:$C,Results_list!$C$298,SSP1_Baseline!$D:$D,Results_list!$D16,SSP1_Baseline!$B:$B,2040)) - (SUMIFS(SSP1_Baseline!$E:$E,SSP1_Baseline!$C:$C,Results_list!$C$298,SSP1_Baseline!$D:$D,Results_list!$D16,SSP1_Baseline!$B:$B,2025))) / (SUMIFS(SSP1_Baseline!$E:$E,SSP1_Baseline!$C:$C,Results_list!$C$298,SSP1_Baseline!$D:$D,Results_list!$D16,SSP1_Baseline!$B:$B,2025))</f>
        <v>2.4199519261095029E-3</v>
      </c>
      <c r="BA16" s="16">
        <f>((SUMIFS(SSP1_VSI!$F:$F,SSP1_VSI!$C:$C,Results_list!$C$298,SSP1_VSI!$D:$D,Results_list!$D16,SSP1_VSI!$B:$B,2040)) - (SUMIFS(SSP1_VSI!$F:$F,SSP1_VSI!$C:$C,Results_list!$C$298,SSP1_VSI!$D:$D,Results_list!$D16,SSP1_VSI!$B:$B,2025))) / (SUMIFS(SSP1_VSI!$F:$F,SSP1_VSI!$C:$C,Results_list!$C$298,SSP1_VSI!$D:$D,Results_list!$D16,SSP1_VSI!$B:$B,2025))</f>
        <v>2.4194486011163492E-3</v>
      </c>
      <c r="BB16" s="13">
        <f t="shared" si="9"/>
        <v>0</v>
      </c>
      <c r="BC16" s="12">
        <f>((SUMIFS(SSP2_Baseline!$E:$E,SSP2_Baseline!$C:$C,Results_list!$C$298,SSP2_Baseline!$D:$D,Results_list!$D16,SSP2_Baseline!$B:$B,2040)) - (SUMIFS(SSP2_Baseline!$E:$E,SSP2_Baseline!$C:$C,Results_list!$C$298,SSP2_Baseline!$D:$D,Results_list!$D16,SSP2_Baseline!$B:$B,2025))) / (SUMIFS(SSP2_Baseline!$E:$E,SSP2_Baseline!$C:$C,Results_list!$C$298,SSP2_Baseline!$D:$D,Results_list!$D16,SSP2_Baseline!$B:$B,2025))</f>
        <v>3.1232435160864339E-3</v>
      </c>
      <c r="BD16" s="16">
        <f>((SUMIFS(SSP2_VSI!$F:$F,SSP2_VSI!$C:$C,Results_list!$C$298,SSP2_VSI!$D:$D,Results_list!$D16,SSP2_VSI!$B:$B,2040)) - (SUMIFS(SSP2_VSI!$F:$F,SSP2_VSI!$C:$C,Results_list!$C$298,SSP2_VSI!$D:$D,Results_list!$D16,SSP2_VSI!$B:$B,2025))) / (SUMIFS(SSP2_VSI!$F:$F,SSP2_VSI!$C:$C,Results_list!$C$298,SSP2_VSI!$D:$D,Results_list!$D16,SSP2_VSI!$B:$B,2025))</f>
        <v>3.1162293198854973E-3</v>
      </c>
      <c r="BE16" s="13">
        <f t="shared" si="10"/>
        <v>0</v>
      </c>
      <c r="BF16" s="12">
        <f>((SUMIFS(SSP5_Baseline!$E:$E,SSP5_Baseline!$C:$C,Results_list!$C$298,SSP5_Baseline!$D:$D,Results_list!$D16,SSP5_Baseline!$B:$B,2040)) - (SUMIFS(SSP5_Baseline!$E:$E,SSP5_Baseline!$C:$C,Results_list!$C$298,SSP5_Baseline!$D:$D,Results_list!$D16,SSP5_Baseline!$B:$B,2025))) / (SUMIFS(SSP5_Baseline!$E:$E,SSP5_Baseline!$C:$C,Results_list!$C$298,SSP5_Baseline!$D:$D,Results_list!$D16,SSP5_Baseline!$B:$B,2025))</f>
        <v>6.4681466765003433E-4</v>
      </c>
      <c r="BG16" s="16">
        <f>((SUMIFS(SSP5_VSI!$F:$F,SSP5_VSI!$C:$C,Results_list!$C$298,SSP5_VSI!$D:$D,Results_list!$D16,SSP5_VSI!$B:$B,2040)) - (SUMIFS(SSP5_VSI!$F:$F,SSP5_VSI!$C:$C,Results_list!$C$298,SSP5_VSI!$D:$D,Results_list!$D16,SSP5_VSI!$B:$B,2025))) / (SUMIFS(SSP5_VSI!$F:$F,SSP5_VSI!$C:$C,Results_list!$C$298,SSP5_VSI!$D:$D,Results_list!$D16,SSP5_VSI!$B:$B,2025))</f>
        <v>6.4922355262353384E-4</v>
      </c>
      <c r="BH16" s="13">
        <f t="shared" si="11"/>
        <v>0</v>
      </c>
    </row>
    <row r="17" spans="2:60" x14ac:dyDescent="0.35">
      <c r="B17" s="91"/>
      <c r="C17" s="91"/>
      <c r="D17" t="s">
        <v>52</v>
      </c>
      <c r="F17" s="3" t="s">
        <v>100</v>
      </c>
      <c r="G17" s="12">
        <f>((SUMIFS(SSP1_Baseline!E:E,SSP1_Baseline!C:C,Results_list!$C$4,SSP1_Baseline!D:D,Results_list!D17,SSP1_Baseline!B:B,2040)) - (SUMIFS(SSP1_Baseline!E:E,SSP1_Baseline!C:C,Results_list!$C$4,SSP1_Baseline!D:D,Results_list!D17,SSP1_Baseline!B:B,2025))) / (SUMIFS(SSP1_Baseline!E:E,SSP1_Baseline!C:C,Results_list!$C$4,SSP1_Baseline!D:D,Results_list!D17,SSP1_Baseline!B:B,2025))</f>
        <v>-0.38610962202992705</v>
      </c>
      <c r="H17" s="16">
        <f>((SUMIFS(SSP1_VSI!F:F,SSP1_VSI!C:C,Results_list!$C$4,SSP1_VSI!D:D,Results_list!D17,SSP1_VSI!B:B,2040)) - (SUMIFS(SSP1_VSI!F:F,SSP1_VSI!C:C,Results_list!$C$4,SSP1_VSI!D:D,Results_list!D17,SSP1_VSI!B:B,2025))) / (SUMIFS(SSP1_VSI!F:F,SSP1_VSI!C:C,Results_list!$C$4,SSP1_VSI!D:D,Results_list!D17,SSP1_VSI!B:B,2025))</f>
        <v>-0.38609509343637083</v>
      </c>
      <c r="I17" s="13">
        <f t="shared" si="0"/>
        <v>0</v>
      </c>
      <c r="J17" s="12">
        <f>((SUMIFS(SSP2_Baseline!$E:$E,SSP2_Baseline!$C:$C,Results_list!$C$4,SSP2_Baseline!$D:$D,Results_list!$D17,SSP2_Baseline!$B:$B,2040)) - (SUMIFS(SSP2_Baseline!$E:$E,SSP2_Baseline!$C:$C,Results_list!$C$4,SSP2_Baseline!$D:$D,Results_list!$D17,SSP2_Baseline!$B:$B,2025))) / (SUMIFS(SSP2_Baseline!$E:$E,SSP2_Baseline!$C:$C,Results_list!$C$4,SSP2_Baseline!$D:$D,Results_list!$D17,SSP2_Baseline!$B:$B,2025))</f>
        <v>-0.40591851644474503</v>
      </c>
      <c r="K17" s="16">
        <f>((SUMIFS(SSP2_VSI!$F:$F,SSP2_VSI!$C:$C,Results_list!$C$4,SSP2_VSI!$D:$D,Results_list!$D17,SSP2_VSI!$B:$B,2040)) - (SUMIFS(SSP2_VSI!$F:$F,SSP2_VSI!$C:$C,Results_list!$C$4,SSP2_VSI!$D:$D,Results_list!$D17,SSP2_VSI!$B:$B,2025))) / (SUMIFS(SSP2_VSI!$F:$F,SSP2_VSI!$C:$C,Results_list!$C$4,SSP2_VSI!$D:$D,Results_list!$D17,SSP2_VSI!$B:$B,2025))</f>
        <v>-0.40589101967549973</v>
      </c>
      <c r="L17" s="13">
        <f t="shared" si="1"/>
        <v>0</v>
      </c>
      <c r="M17" s="12">
        <f>((SUMIFS(SSP5_Baseline!$E:$E,SSP5_Baseline!$C:$C,Results_list!$C$4,SSP5_Baseline!$D:$D,Results_list!$D17,SSP5_Baseline!$B:$B,2040)) - (SUMIFS(SSP5_Baseline!$E:$E,SSP5_Baseline!$C:$C,Results_list!$C$4,SSP5_Baseline!$D:$D,Results_list!$D17,SSP5_Baseline!$B:$B,2025))) / (SUMIFS(SSP5_Baseline!$E:$E,SSP5_Baseline!$C:$C,Results_list!$C$4,SSP5_Baseline!$D:$D,Results_list!$D17,SSP5_Baseline!$B:$B,2025))</f>
        <v>-0.45087768829628938</v>
      </c>
      <c r="N17" s="16">
        <f>((SUMIFS(SSP5_VSI!$F:$F,SSP5_VSI!$C:$C,Results_list!$C$4,SSP5_VSI!$D:$D,Results_list!$D17,SSP5_VSI!$B:$B,2040)) - (SUMIFS(SSP5_VSI!$F:$F,SSP5_VSI!$C:$C,Results_list!$C$4,SSP5_VSI!$D:$D,Results_list!$D17,SSP5_VSI!$B:$B,2025))) / (SUMIFS(SSP5_VSI!$F:$F,SSP5_VSI!$C:$C,Results_list!$C$4,SSP5_VSI!$D:$D,Results_list!$D17,SSP5_VSI!$B:$B,2025))</f>
        <v>-0.45085609277109784</v>
      </c>
      <c r="O17" s="13">
        <f t="shared" si="2"/>
        <v>0</v>
      </c>
      <c r="Q17" s="91"/>
      <c r="R17" s="96"/>
      <c r="S17" s="22" t="s">
        <v>52</v>
      </c>
      <c r="U17" s="3" t="s">
        <v>100</v>
      </c>
      <c r="V17" s="12">
        <f>((SUMIFS(SSP1_Baseline!$E:$E,SSP1_Baseline!$C:$C,Results_list!$C$109,SSP1_Baseline!$D:$D,Results_list!$D122,SSP1_Baseline!$B:$B,2040)) - (SUMIFS(SSP1_Baseline!$E:$E,SSP1_Baseline!$C:$C,Results_list!$C$109,SSP1_Baseline!$D:$D,Results_list!$D122,SSP1_Baseline!$B:$B,2025))) / (SUMIFS(SSP1_Baseline!$E:$E,SSP1_Baseline!$C:$C,Results_list!$C$109,SSP1_Baseline!$D:$D,Results_list!$D122,SSP1_Baseline!$B:$B,2025))</f>
        <v>-4.1203551197350738E-2</v>
      </c>
      <c r="W17" s="16">
        <f>((SUMIFS(SSP1_VSI!$F:$F,SSP1_VSI!$C:$C,Results_list!$C$109,SSP1_VSI!$D:$D,Results_list!$D122,SSP1_VSI!$B:$B,2040)) - (SUMIFS(SSP1_VSI!$F:$F,SSP1_VSI!$C:$C,Results_list!$C$109,SSP1_VSI!$D:$D,Results_list!$D122,SSP1_VSI!$B:$B,2025))) / (SUMIFS(SSP1_VSI!$F:$F,SSP1_VSI!$C:$C,Results_list!$C$109,SSP1_VSI!$D:$D,Results_list!$D122,SSP1_VSI!$B:$B,2025))</f>
        <v>-4.1095892553472825E-2</v>
      </c>
      <c r="X17" s="13">
        <f t="shared" si="3"/>
        <v>0</v>
      </c>
      <c r="Y17" s="12">
        <f>((SUMIFS(SSP2_Baseline!$E:$E,SSP2_Baseline!$C:$C,Results_list!$C$109,SSP2_Baseline!$D:$D,Results_list!$D122,SSP2_Baseline!$B:$B,2040)) - (SUMIFS(SSP2_Baseline!$E:$E,SSP2_Baseline!$C:$C,Results_list!$C$109,SSP2_Baseline!$D:$D,Results_list!$D122,SSP2_Baseline!$B:$B,2025))) / (SUMIFS(SSP2_Baseline!$E:$E,SSP2_Baseline!$C:$C,Results_list!$C$109,SSP2_Baseline!$D:$D,Results_list!$D122,SSP2_Baseline!$B:$B,2025))</f>
        <v>-2.3148132292357945E-2</v>
      </c>
      <c r="Z17" s="16">
        <f>((SUMIFS(SSP2_VSI!$F:$F,SSP2_VSI!$C:$C,Results_list!$C$109,SSP2_VSI!$D:$D,Results_list!$D122,SSP2_VSI!$B:$B,2040)) - (SUMIFS(SSP2_VSI!$F:$F,SSP2_VSI!$C:$C,Results_list!$C$109,SSP2_VSI!$D:$D,Results_list!$D122,SSP2_VSI!$B:$B,2025))) / (SUMIFS(SSP2_VSI!$F:$F,SSP2_VSI!$C:$C,Results_list!$C$109,SSP2_VSI!$D:$D,Results_list!$D122,SSP2_VSI!$B:$B,2025))</f>
        <v>-2.2990517632733274E-2</v>
      </c>
      <c r="AA17" s="13">
        <f t="shared" si="4"/>
        <v>0</v>
      </c>
      <c r="AB17" s="12">
        <f>((SUMIFS(SSP5_Baseline!$E:$E,SSP5_Baseline!$C:$C,Results_list!$C$109,SSP5_Baseline!$D:$D,Results_list!$D122,SSP5_Baseline!$B:$B,2040)) - (SUMIFS(SSP5_Baseline!$E:$E,SSP5_Baseline!$C:$C,Results_list!$C$109,SSP5_Baseline!$D:$D,Results_list!$D122,SSP5_Baseline!$B:$B,2025))) / (SUMIFS(SSP5_Baseline!$E:$E,SSP5_Baseline!$C:$C,Results_list!$C$109,SSP5_Baseline!$D:$D,Results_list!$D122,SSP5_Baseline!$B:$B,2025))</f>
        <v>-3.9815535757783044E-2</v>
      </c>
      <c r="AC17" s="16">
        <f>((SUMIFS(SSP5_VSI!$F:$F,SSP5_VSI!$C:$C,Results_list!$C$109,SSP5_VSI!$D:$D,Results_list!$D122,SSP5_VSI!$B:$B,2040)) - (SUMIFS(SSP5_VSI!$F:$F,SSP5_VSI!$C:$C,Results_list!$C$109,SSP5_VSI!$D:$D,Results_list!$D122,SSP5_VSI!$B:$B,2025))) / (SUMIFS(SSP5_VSI!$F:$F,SSP5_VSI!$C:$C,Results_list!$C$109,SSP5_VSI!$D:$D,Results_list!$D122,SSP5_VSI!$B:$B,2025))</f>
        <v>-3.970232713745464E-2</v>
      </c>
      <c r="AD17" s="13">
        <f t="shared" si="5"/>
        <v>0</v>
      </c>
      <c r="AF17" s="85"/>
      <c r="AG17" s="85"/>
      <c r="AH17" t="s">
        <v>52</v>
      </c>
      <c r="AI17" s="25" t="s">
        <v>70</v>
      </c>
      <c r="AJ17" s="3" t="s">
        <v>100</v>
      </c>
      <c r="AK17" s="12">
        <v>-0.43669621603441972</v>
      </c>
      <c r="AL17" s="16">
        <v>-0.43669529469117907</v>
      </c>
      <c r="AM17" s="13">
        <f t="shared" si="6"/>
        <v>0</v>
      </c>
      <c r="AN17" s="12">
        <v>-0.49533260971357235</v>
      </c>
      <c r="AO17" s="16">
        <v>-0.49533311667203311</v>
      </c>
      <c r="AP17" s="13">
        <f t="shared" si="7"/>
        <v>0</v>
      </c>
      <c r="AQ17" s="12">
        <v>-0.57511485339511303</v>
      </c>
      <c r="AR17" s="16">
        <v>-0.57511447919336334</v>
      </c>
      <c r="AS17" s="13">
        <f t="shared" si="8"/>
        <v>0</v>
      </c>
      <c r="AU17" s="87"/>
      <c r="AV17" s="87"/>
      <c r="AW17" t="s">
        <v>52</v>
      </c>
      <c r="AY17" s="3" t="s">
        <v>100</v>
      </c>
      <c r="AZ17" s="12">
        <f>((SUMIFS(SSP1_Baseline!$E:$E,SSP1_Baseline!$C:$C,Results_list!$C$298,SSP1_Baseline!$D:$D,Results_list!$D17,SSP1_Baseline!$B:$B,2040)) - (SUMIFS(SSP1_Baseline!$E:$E,SSP1_Baseline!$C:$C,Results_list!$C$298,SSP1_Baseline!$D:$D,Results_list!$D17,SSP1_Baseline!$B:$B,2025))) / (SUMIFS(SSP1_Baseline!$E:$E,SSP1_Baseline!$C:$C,Results_list!$C$298,SSP1_Baseline!$D:$D,Results_list!$D17,SSP1_Baseline!$B:$B,2025))</f>
        <v>-0.32994927481377651</v>
      </c>
      <c r="BA17" s="16">
        <f>((SUMIFS(SSP1_VSI!$F:$F,SSP1_VSI!$C:$C,Results_list!$C$298,SSP1_VSI!$D:$D,Results_list!$D17,SSP1_VSI!$B:$B,2040)) - (SUMIFS(SSP1_VSI!$F:$F,SSP1_VSI!$C:$C,Results_list!$C$298,SSP1_VSI!$D:$D,Results_list!$D17,SSP1_VSI!$B:$B,2025))) / (SUMIFS(SSP1_VSI!$F:$F,SSP1_VSI!$C:$C,Results_list!$C$298,SSP1_VSI!$D:$D,Results_list!$D17,SSP1_VSI!$B:$B,2025))</f>
        <v>-0.32978258037341923</v>
      </c>
      <c r="BB17" s="13">
        <f t="shared" si="9"/>
        <v>0</v>
      </c>
      <c r="BC17" s="12">
        <f>((SUMIFS(SSP2_Baseline!$E:$E,SSP2_Baseline!$C:$C,Results_list!$C$298,SSP2_Baseline!$D:$D,Results_list!$D17,SSP2_Baseline!$B:$B,2040)) - (SUMIFS(SSP2_Baseline!$E:$E,SSP2_Baseline!$C:$C,Results_list!$C$298,SSP2_Baseline!$D:$D,Results_list!$D17,SSP2_Baseline!$B:$B,2025))) / (SUMIFS(SSP2_Baseline!$E:$E,SSP2_Baseline!$C:$C,Results_list!$C$298,SSP2_Baseline!$D:$D,Results_list!$D17,SSP2_Baseline!$B:$B,2025))</f>
        <v>-0.25641778276482047</v>
      </c>
      <c r="BD17" s="16">
        <f>((SUMIFS(SSP2_VSI!$F:$F,SSP2_VSI!$C:$C,Results_list!$C$298,SSP2_VSI!$D:$D,Results_list!$D17,SSP2_VSI!$B:$B,2040)) - (SUMIFS(SSP2_VSI!$F:$F,SSP2_VSI!$C:$C,Results_list!$C$298,SSP2_VSI!$D:$D,Results_list!$D17,SSP2_VSI!$B:$B,2025))) / (SUMIFS(SSP2_VSI!$F:$F,SSP2_VSI!$C:$C,Results_list!$C$298,SSP2_VSI!$D:$D,Results_list!$D17,SSP2_VSI!$B:$B,2025))</f>
        <v>-0.25609444477250426</v>
      </c>
      <c r="BE17" s="13">
        <f t="shared" si="10"/>
        <v>0</v>
      </c>
      <c r="BF17" s="12">
        <f>((SUMIFS(SSP5_Baseline!$E:$E,SSP5_Baseline!$C:$C,Results_list!$C$298,SSP5_Baseline!$D:$D,Results_list!$D17,SSP5_Baseline!$B:$B,2040)) - (SUMIFS(SSP5_Baseline!$E:$E,SSP5_Baseline!$C:$C,Results_list!$C$298,SSP5_Baseline!$D:$D,Results_list!$D17,SSP5_Baseline!$B:$B,2025))) / (SUMIFS(SSP5_Baseline!$E:$E,SSP5_Baseline!$C:$C,Results_list!$C$298,SSP5_Baseline!$D:$D,Results_list!$D17,SSP5_Baseline!$B:$B,2025))</f>
        <v>-0.28450954065457079</v>
      </c>
      <c r="BG17" s="16">
        <f>((SUMIFS(SSP5_VSI!$F:$F,SSP5_VSI!$C:$C,Results_list!$C$298,SSP5_VSI!$D:$D,Results_list!$D17,SSP5_VSI!$B:$B,2040)) - (SUMIFS(SSP5_VSI!$F:$F,SSP5_VSI!$C:$C,Results_list!$C$298,SSP5_VSI!$D:$D,Results_list!$D17,SSP5_VSI!$B:$B,2025))) / (SUMIFS(SSP5_VSI!$F:$F,SSP5_VSI!$C:$C,Results_list!$C$298,SSP5_VSI!$D:$D,Results_list!$D17,SSP5_VSI!$B:$B,2025))</f>
        <v>-0.28426538174436305</v>
      </c>
      <c r="BH17" s="13">
        <f t="shared" si="11"/>
        <v>0</v>
      </c>
    </row>
    <row r="18" spans="2:60" x14ac:dyDescent="0.35">
      <c r="B18" s="91"/>
      <c r="C18" s="91"/>
      <c r="D18" t="s">
        <v>53</v>
      </c>
      <c r="F18" s="3" t="s">
        <v>101</v>
      </c>
      <c r="G18" s="12">
        <f>((SUMIFS(SSP1_Baseline!E:E,SSP1_Baseline!C:C,Results_list!$C$4,SSP1_Baseline!D:D,Results_list!D18,SSP1_Baseline!B:B,2040)) - (SUMIFS(SSP1_Baseline!E:E,SSP1_Baseline!C:C,Results_list!$C$4,SSP1_Baseline!D:D,Results_list!D18,SSP1_Baseline!B:B,2025))) / (SUMIFS(SSP1_Baseline!E:E,SSP1_Baseline!C:C,Results_list!$C$4,SSP1_Baseline!D:D,Results_list!D18,SSP1_Baseline!B:B,2025))</f>
        <v>-2.1355603736095144E-2</v>
      </c>
      <c r="H18" s="16">
        <f>((SUMIFS(SSP1_VSI!F:F,SSP1_VSI!C:C,Results_list!$C$4,SSP1_VSI!D:D,Results_list!D18,SSP1_VSI!B:B,2040)) - (SUMIFS(SSP1_VSI!F:F,SSP1_VSI!C:C,Results_list!$C$4,SSP1_VSI!D:D,Results_list!D18,SSP1_VSI!B:B,2025))) / (SUMIFS(SSP1_VSI!F:F,SSP1_VSI!C:C,Results_list!$C$4,SSP1_VSI!D:D,Results_list!D18,SSP1_VSI!B:B,2025))</f>
        <v>-2.1375719379803544E-2</v>
      </c>
      <c r="I18" s="13">
        <f t="shared" si="0"/>
        <v>0</v>
      </c>
      <c r="J18" s="12">
        <f>((SUMIFS(SSP2_Baseline!$E:$E,SSP2_Baseline!$C:$C,Results_list!$C$4,SSP2_Baseline!$D:$D,Results_list!$D18,SSP2_Baseline!$B:$B,2040)) - (SUMIFS(SSP2_Baseline!$E:$E,SSP2_Baseline!$C:$C,Results_list!$C$4,SSP2_Baseline!$D:$D,Results_list!$D18,SSP2_Baseline!$B:$B,2025))) / (SUMIFS(SSP2_Baseline!$E:$E,SSP2_Baseline!$C:$C,Results_list!$C$4,SSP2_Baseline!$D:$D,Results_list!$D18,SSP2_Baseline!$B:$B,2025))</f>
        <v>-1.6697304135673222E-2</v>
      </c>
      <c r="K18" s="16">
        <f>((SUMIFS(SSP2_VSI!$F:$F,SSP2_VSI!$C:$C,Results_list!$C$4,SSP2_VSI!$D:$D,Results_list!$D18,SSP2_VSI!$B:$B,2040)) - (SUMIFS(SSP2_VSI!$F:$F,SSP2_VSI!$C:$C,Results_list!$C$4,SSP2_VSI!$D:$D,Results_list!$D18,SSP2_VSI!$B:$B,2025))) / (SUMIFS(SSP2_VSI!$F:$F,SSP2_VSI!$C:$C,Results_list!$C$4,SSP2_VSI!$D:$D,Results_list!$D18,SSP2_VSI!$B:$B,2025))</f>
        <v>-1.6685751672388283E-2</v>
      </c>
      <c r="L18" s="13">
        <f t="shared" si="1"/>
        <v>0</v>
      </c>
      <c r="M18" s="12">
        <f>((SUMIFS(SSP5_Baseline!$E:$E,SSP5_Baseline!$C:$C,Results_list!$C$4,SSP5_Baseline!$D:$D,Results_list!$D18,SSP5_Baseline!$B:$B,2040)) - (SUMIFS(SSP5_Baseline!$E:$E,SSP5_Baseline!$C:$C,Results_list!$C$4,SSP5_Baseline!$D:$D,Results_list!$D18,SSP5_Baseline!$B:$B,2025))) / (SUMIFS(SSP5_Baseline!$E:$E,SSP5_Baseline!$C:$C,Results_list!$C$4,SSP5_Baseline!$D:$D,Results_list!$D18,SSP5_Baseline!$B:$B,2025))</f>
        <v>0.19999220792195258</v>
      </c>
      <c r="N18" s="16">
        <f>((SUMIFS(SSP5_VSI!$F:$F,SSP5_VSI!$C:$C,Results_list!$C$4,SSP5_VSI!$D:$D,Results_list!$D18,SSP5_VSI!$B:$B,2040)) - (SUMIFS(SSP5_VSI!$F:$F,SSP5_VSI!$C:$C,Results_list!$C$4,SSP5_VSI!$D:$D,Results_list!$D18,SSP5_VSI!$B:$B,2025))) / (SUMIFS(SSP5_VSI!$F:$F,SSP5_VSI!$C:$C,Results_list!$C$4,SSP5_VSI!$D:$D,Results_list!$D18,SSP5_VSI!$B:$B,2025))</f>
        <v>0.20001567544801616</v>
      </c>
      <c r="O18" s="13">
        <f t="shared" si="2"/>
        <v>0</v>
      </c>
      <c r="Q18" s="91"/>
      <c r="R18" s="96"/>
      <c r="S18" s="22" t="s">
        <v>53</v>
      </c>
      <c r="U18" s="3" t="s">
        <v>101</v>
      </c>
      <c r="V18" s="12">
        <f>((SUMIFS(SSP1_Baseline!$E:$E,SSP1_Baseline!$C:$C,Results_list!$C$109,SSP1_Baseline!$D:$D,Results_list!$D123,SSP1_Baseline!$B:$B,2040)) - (SUMIFS(SSP1_Baseline!$E:$E,SSP1_Baseline!$C:$C,Results_list!$C$109,SSP1_Baseline!$D:$D,Results_list!$D123,SSP1_Baseline!$B:$B,2025))) / (SUMIFS(SSP1_Baseline!$E:$E,SSP1_Baseline!$C:$C,Results_list!$C$109,SSP1_Baseline!$D:$D,Results_list!$D123,SSP1_Baseline!$B:$B,2025))</f>
        <v>-7.7235406150677269E-3</v>
      </c>
      <c r="W18" s="16">
        <f>((SUMIFS(SSP1_VSI!$F:$F,SSP1_VSI!$C:$C,Results_list!$C$109,SSP1_VSI!$D:$D,Results_list!$D123,SSP1_VSI!$B:$B,2040)) - (SUMIFS(SSP1_VSI!$F:$F,SSP1_VSI!$C:$C,Results_list!$C$109,SSP1_VSI!$D:$D,Results_list!$D123,SSP1_VSI!$B:$B,2025))) / (SUMIFS(SSP1_VSI!$F:$F,SSP1_VSI!$C:$C,Results_list!$C$109,SSP1_VSI!$D:$D,Results_list!$D123,SSP1_VSI!$B:$B,2025))</f>
        <v>-7.7370738172453154E-3</v>
      </c>
      <c r="X18" s="13">
        <f t="shared" si="3"/>
        <v>0</v>
      </c>
      <c r="Y18" s="12">
        <f>((SUMIFS(SSP2_Baseline!$E:$E,SSP2_Baseline!$C:$C,Results_list!$C$109,SSP2_Baseline!$D:$D,Results_list!$D123,SSP2_Baseline!$B:$B,2040)) - (SUMIFS(SSP2_Baseline!$E:$E,SSP2_Baseline!$C:$C,Results_list!$C$109,SSP2_Baseline!$D:$D,Results_list!$D123,SSP2_Baseline!$B:$B,2025))) / (SUMIFS(SSP2_Baseline!$E:$E,SSP2_Baseline!$C:$C,Results_list!$C$109,SSP2_Baseline!$D:$D,Results_list!$D123,SSP2_Baseline!$B:$B,2025))</f>
        <v>-4.3272594795712221E-3</v>
      </c>
      <c r="Z18" s="16">
        <f>((SUMIFS(SSP2_VSI!$F:$F,SSP2_VSI!$C:$C,Results_list!$C$109,SSP2_VSI!$D:$D,Results_list!$D123,SSP2_VSI!$B:$B,2040)) - (SUMIFS(SSP2_VSI!$F:$F,SSP2_VSI!$C:$C,Results_list!$C$109,SSP2_VSI!$D:$D,Results_list!$D123,SSP2_VSI!$B:$B,2025))) / (SUMIFS(SSP2_VSI!$F:$F,SSP2_VSI!$C:$C,Results_list!$C$109,SSP2_VSI!$D:$D,Results_list!$D123,SSP2_VSI!$B:$B,2025))</f>
        <v>-4.3184226168551734E-3</v>
      </c>
      <c r="AA18" s="13">
        <f t="shared" si="4"/>
        <v>0</v>
      </c>
      <c r="AB18" s="12">
        <f>((SUMIFS(SSP5_Baseline!$E:$E,SSP5_Baseline!$C:$C,Results_list!$C$109,SSP5_Baseline!$D:$D,Results_list!$D123,SSP5_Baseline!$B:$B,2040)) - (SUMIFS(SSP5_Baseline!$E:$E,SSP5_Baseline!$C:$C,Results_list!$C$109,SSP5_Baseline!$D:$D,Results_list!$D123,SSP5_Baseline!$B:$B,2025))) / (SUMIFS(SSP5_Baseline!$E:$E,SSP5_Baseline!$C:$C,Results_list!$C$109,SSP5_Baseline!$D:$D,Results_list!$D123,SSP5_Baseline!$B:$B,2025))</f>
        <v>1.7002271467320411E-3</v>
      </c>
      <c r="AC18" s="16">
        <f>((SUMIFS(SSP5_VSI!$F:$F,SSP5_VSI!$C:$C,Results_list!$C$109,SSP5_VSI!$D:$D,Results_list!$D123,SSP5_VSI!$B:$B,2040)) - (SUMIFS(SSP5_VSI!$F:$F,SSP5_VSI!$C:$C,Results_list!$C$109,SSP5_VSI!$D:$D,Results_list!$D123,SSP5_VSI!$B:$B,2025))) / (SUMIFS(SSP5_VSI!$F:$F,SSP5_VSI!$C:$C,Results_list!$C$109,SSP5_VSI!$D:$D,Results_list!$D123,SSP5_VSI!$B:$B,2025))</f>
        <v>1.7089065067030587E-3</v>
      </c>
      <c r="AD18" s="13">
        <f t="shared" si="5"/>
        <v>0</v>
      </c>
      <c r="AF18" s="85"/>
      <c r="AG18" s="85"/>
      <c r="AH18" t="s">
        <v>53</v>
      </c>
      <c r="AI18" s="25" t="s">
        <v>70</v>
      </c>
      <c r="AJ18" s="3" t="s">
        <v>101</v>
      </c>
      <c r="AK18" s="12">
        <v>-0.27818431520705383</v>
      </c>
      <c r="AL18" s="16">
        <v>-0.27818296505639317</v>
      </c>
      <c r="AM18" s="13">
        <f t="shared" si="6"/>
        <v>0</v>
      </c>
      <c r="AN18" s="12">
        <v>-0.23372774671562335</v>
      </c>
      <c r="AO18" s="16">
        <v>-0.23372631486404521</v>
      </c>
      <c r="AP18" s="13">
        <f t="shared" si="7"/>
        <v>0</v>
      </c>
      <c r="AQ18" s="12">
        <v>0.18774754746947186</v>
      </c>
      <c r="AR18" s="16">
        <v>0.18774597456724101</v>
      </c>
      <c r="AS18" s="13">
        <f t="shared" si="8"/>
        <v>0</v>
      </c>
      <c r="AU18" s="87"/>
      <c r="AV18" s="87"/>
      <c r="AW18" t="s">
        <v>53</v>
      </c>
      <c r="AY18" s="3" t="s">
        <v>101</v>
      </c>
      <c r="AZ18" s="12">
        <f>((SUMIFS(SSP1_Baseline!$E:$E,SSP1_Baseline!$C:$C,Results_list!$C$298,SSP1_Baseline!$D:$D,Results_list!$D18,SSP1_Baseline!$B:$B,2040)) - (SUMIFS(SSP1_Baseline!$E:$E,SSP1_Baseline!$C:$C,Results_list!$C$298,SSP1_Baseline!$D:$D,Results_list!$D18,SSP1_Baseline!$B:$B,2025))) / (SUMIFS(SSP1_Baseline!$E:$E,SSP1_Baseline!$C:$C,Results_list!$C$298,SSP1_Baseline!$D:$D,Results_list!$D18,SSP1_Baseline!$B:$B,2025))</f>
        <v>-0.11165741608732131</v>
      </c>
      <c r="BA18" s="16">
        <f>((SUMIFS(SSP1_VSI!$F:$F,SSP1_VSI!$C:$C,Results_list!$C$298,SSP1_VSI!$D:$D,Results_list!$D18,SSP1_VSI!$B:$B,2040)) - (SUMIFS(SSP1_VSI!$F:$F,SSP1_VSI!$C:$C,Results_list!$C$298,SSP1_VSI!$D:$D,Results_list!$D18,SSP1_VSI!$B:$B,2025))) / (SUMIFS(SSP1_VSI!$F:$F,SSP1_VSI!$C:$C,Results_list!$C$298,SSP1_VSI!$D:$D,Results_list!$D18,SSP1_VSI!$B:$B,2025))</f>
        <v>-0.11177871378643976</v>
      </c>
      <c r="BB18" s="13">
        <f t="shared" si="9"/>
        <v>0</v>
      </c>
      <c r="BC18" s="12">
        <f>((SUMIFS(SSP2_Baseline!$E:$E,SSP2_Baseline!$C:$C,Results_list!$C$298,SSP2_Baseline!$D:$D,Results_list!$D18,SSP2_Baseline!$B:$B,2040)) - (SUMIFS(SSP2_Baseline!$E:$E,SSP2_Baseline!$C:$C,Results_list!$C$298,SSP2_Baseline!$D:$D,Results_list!$D18,SSP2_Baseline!$B:$B,2025))) / (SUMIFS(SSP2_Baseline!$E:$E,SSP2_Baseline!$C:$C,Results_list!$C$298,SSP2_Baseline!$D:$D,Results_list!$D18,SSP2_Baseline!$B:$B,2025))</f>
        <v>-6.3375536340263931E-3</v>
      </c>
      <c r="BD18" s="16">
        <f>((SUMIFS(SSP2_VSI!$F:$F,SSP2_VSI!$C:$C,Results_list!$C$298,SSP2_VSI!$D:$D,Results_list!$D18,SSP2_VSI!$B:$B,2040)) - (SUMIFS(SSP2_VSI!$F:$F,SSP2_VSI!$C:$C,Results_list!$C$298,SSP2_VSI!$D:$D,Results_list!$D18,SSP2_VSI!$B:$B,2025))) / (SUMIFS(SSP2_VSI!$F:$F,SSP2_VSI!$C:$C,Results_list!$C$298,SSP2_VSI!$D:$D,Results_list!$D18,SSP2_VSI!$B:$B,2025))</f>
        <v>-6.2778632554218918E-3</v>
      </c>
      <c r="BE18" s="13">
        <f t="shared" si="10"/>
        <v>0</v>
      </c>
      <c r="BF18" s="12">
        <f>((SUMIFS(SSP5_Baseline!$E:$E,SSP5_Baseline!$C:$C,Results_list!$C$298,SSP5_Baseline!$D:$D,Results_list!$D18,SSP5_Baseline!$B:$B,2040)) - (SUMIFS(SSP5_Baseline!$E:$E,SSP5_Baseline!$C:$C,Results_list!$C$298,SSP5_Baseline!$D:$D,Results_list!$D18,SSP5_Baseline!$B:$B,2025))) / (SUMIFS(SSP5_Baseline!$E:$E,SSP5_Baseline!$C:$C,Results_list!$C$298,SSP5_Baseline!$D:$D,Results_list!$D18,SSP5_Baseline!$B:$B,2025))</f>
        <v>2.5333523104678155E-2</v>
      </c>
      <c r="BG18" s="16">
        <f>((SUMIFS(SSP5_VSI!$F:$F,SSP5_VSI!$C:$C,Results_list!$C$298,SSP5_VSI!$D:$D,Results_list!$D18,SSP5_VSI!$B:$B,2040)) - (SUMIFS(SSP5_VSI!$F:$F,SSP5_VSI!$C:$C,Results_list!$C$298,SSP5_VSI!$D:$D,Results_list!$D18,SSP5_VSI!$B:$B,2025))) / (SUMIFS(SSP5_VSI!$F:$F,SSP5_VSI!$C:$C,Results_list!$C$298,SSP5_VSI!$D:$D,Results_list!$D18,SSP5_VSI!$B:$B,2025))</f>
        <v>2.5413078402960886E-2</v>
      </c>
      <c r="BH18" s="13">
        <f t="shared" si="11"/>
        <v>0</v>
      </c>
    </row>
    <row r="19" spans="2:60" x14ac:dyDescent="0.35">
      <c r="B19" s="91"/>
      <c r="C19" s="91"/>
      <c r="D19" t="s">
        <v>54</v>
      </c>
      <c r="F19" s="3" t="s">
        <v>102</v>
      </c>
      <c r="G19" s="12">
        <f>((SUMIFS(SSP1_Baseline!E:E,SSP1_Baseline!C:C,Results_list!$C$4,SSP1_Baseline!D:D,Results_list!D19,SSP1_Baseline!B:B,2040)) - (SUMIFS(SSP1_Baseline!E:E,SSP1_Baseline!C:C,Results_list!$C$4,SSP1_Baseline!D:D,Results_list!D19,SSP1_Baseline!B:B,2025))) / (SUMIFS(SSP1_Baseline!E:E,SSP1_Baseline!C:C,Results_list!$C$4,SSP1_Baseline!D:D,Results_list!D19,SSP1_Baseline!B:B,2025))</f>
        <v>-7.5984061157387591E-3</v>
      </c>
      <c r="H19" s="16">
        <f>((SUMIFS(SSP1_VSI!F:F,SSP1_VSI!C:C,Results_list!$C$4,SSP1_VSI!D:D,Results_list!D19,SSP1_VSI!B:B,2040)) - (SUMIFS(SSP1_VSI!F:F,SSP1_VSI!C:C,Results_list!$C$4,SSP1_VSI!D:D,Results_list!D19,SSP1_VSI!B:B,2025))) / (SUMIFS(SSP1_VSI!F:F,SSP1_VSI!C:C,Results_list!$C$4,SSP1_VSI!D:D,Results_list!D19,SSP1_VSI!B:B,2025))</f>
        <v>-7.7902413412381452E-3</v>
      </c>
      <c r="I19" s="13">
        <f t="shared" si="0"/>
        <v>0</v>
      </c>
      <c r="J19" s="12">
        <f>((SUMIFS(SSP2_Baseline!$E:$E,SSP2_Baseline!$C:$C,Results_list!$C$4,SSP2_Baseline!$D:$D,Results_list!$D19,SSP2_Baseline!$B:$B,2040)) - (SUMIFS(SSP2_Baseline!$E:$E,SSP2_Baseline!$C:$C,Results_list!$C$4,SSP2_Baseline!$D:$D,Results_list!$D19,SSP2_Baseline!$B:$B,2025))) / (SUMIFS(SSP2_Baseline!$E:$E,SSP2_Baseline!$C:$C,Results_list!$C$4,SSP2_Baseline!$D:$D,Results_list!$D19,SSP2_Baseline!$B:$B,2025))</f>
        <v>-6.8547832601691533E-3</v>
      </c>
      <c r="K19" s="16">
        <f>((SUMIFS(SSP2_VSI!$F:$F,SSP2_VSI!$C:$C,Results_list!$C$4,SSP2_VSI!$D:$D,Results_list!$D19,SSP2_VSI!$B:$B,2040)) - (SUMIFS(SSP2_VSI!$F:$F,SSP2_VSI!$C:$C,Results_list!$C$4,SSP2_VSI!$D:$D,Results_list!$D19,SSP2_VSI!$B:$B,2025))) / (SUMIFS(SSP2_VSI!$F:$F,SSP2_VSI!$C:$C,Results_list!$C$4,SSP2_VSI!$D:$D,Results_list!$D19,SSP2_VSI!$B:$B,2025))</f>
        <v>-7.0481721307053581E-3</v>
      </c>
      <c r="L19" s="13">
        <f t="shared" si="1"/>
        <v>0</v>
      </c>
      <c r="M19" s="12">
        <f>((SUMIFS(SSP5_Baseline!$E:$E,SSP5_Baseline!$C:$C,Results_list!$C$4,SSP5_Baseline!$D:$D,Results_list!$D19,SSP5_Baseline!$B:$B,2040)) - (SUMIFS(SSP5_Baseline!$E:$E,SSP5_Baseline!$C:$C,Results_list!$C$4,SSP5_Baseline!$D:$D,Results_list!$D19,SSP5_Baseline!$B:$B,2025))) / (SUMIFS(SSP5_Baseline!$E:$E,SSP5_Baseline!$C:$C,Results_list!$C$4,SSP5_Baseline!$D:$D,Results_list!$D19,SSP5_Baseline!$B:$B,2025))</f>
        <v>-6.4201369718190054E-3</v>
      </c>
      <c r="N19" s="16">
        <f>((SUMIFS(SSP5_VSI!$F:$F,SSP5_VSI!$C:$C,Results_list!$C$4,SSP5_VSI!$D:$D,Results_list!$D19,SSP5_VSI!$B:$B,2040)) - (SUMIFS(SSP5_VSI!$F:$F,SSP5_VSI!$C:$C,Results_list!$C$4,SSP5_VSI!$D:$D,Results_list!$D19,SSP5_VSI!$B:$B,2025))) / (SUMIFS(SSP5_VSI!$F:$F,SSP5_VSI!$C:$C,Results_list!$C$4,SSP5_VSI!$D:$D,Results_list!$D19,SSP5_VSI!$B:$B,2025))</f>
        <v>-6.6058004902580011E-3</v>
      </c>
      <c r="O19" s="13">
        <f t="shared" si="2"/>
        <v>0</v>
      </c>
      <c r="Q19" s="91"/>
      <c r="R19" s="96"/>
      <c r="S19" s="22" t="s">
        <v>54</v>
      </c>
      <c r="U19" s="3" t="s">
        <v>102</v>
      </c>
      <c r="V19" s="12">
        <f>((SUMIFS(SSP1_Baseline!$E:$E,SSP1_Baseline!$C:$C,Results_list!$C$109,SSP1_Baseline!$D:$D,Results_list!$D124,SSP1_Baseline!$B:$B,2040)) - (SUMIFS(SSP1_Baseline!$E:$E,SSP1_Baseline!$C:$C,Results_list!$C$109,SSP1_Baseline!$D:$D,Results_list!$D124,SSP1_Baseline!$B:$B,2025))) / (SUMIFS(SSP1_Baseline!$E:$E,SSP1_Baseline!$C:$C,Results_list!$C$109,SSP1_Baseline!$D:$D,Results_list!$D124,SSP1_Baseline!$B:$B,2025))</f>
        <v>3.2908823496329156E-5</v>
      </c>
      <c r="W19" s="16">
        <f>((SUMIFS(SSP1_VSI!$F:$F,SSP1_VSI!$C:$C,Results_list!$C$109,SSP1_VSI!$D:$D,Results_list!$D124,SSP1_VSI!$B:$B,2040)) - (SUMIFS(SSP1_VSI!$F:$F,SSP1_VSI!$C:$C,Results_list!$C$109,SSP1_VSI!$D:$D,Results_list!$D124,SSP1_VSI!$B:$B,2025))) / (SUMIFS(SSP1_VSI!$F:$F,SSP1_VSI!$C:$C,Results_list!$C$109,SSP1_VSI!$D:$D,Results_list!$D124,SSP1_VSI!$B:$B,2025))</f>
        <v>-1.0950479794864358E-3</v>
      </c>
      <c r="X19" s="13">
        <f t="shared" si="3"/>
        <v>-1E-3</v>
      </c>
      <c r="Y19" s="12">
        <f>((SUMIFS(SSP2_Baseline!$E:$E,SSP2_Baseline!$C:$C,Results_list!$C$109,SSP2_Baseline!$D:$D,Results_list!$D124,SSP2_Baseline!$B:$B,2040)) - (SUMIFS(SSP2_Baseline!$E:$E,SSP2_Baseline!$C:$C,Results_list!$C$109,SSP2_Baseline!$D:$D,Results_list!$D124,SSP2_Baseline!$B:$B,2025))) / (SUMIFS(SSP2_Baseline!$E:$E,SSP2_Baseline!$C:$C,Results_list!$C$109,SSP2_Baseline!$D:$D,Results_list!$D124,SSP2_Baseline!$B:$B,2025))</f>
        <v>6.1600512815514858E-5</v>
      </c>
      <c r="Z19" s="16">
        <f>((SUMIFS(SSP2_VSI!$F:$F,SSP2_VSI!$C:$C,Results_list!$C$109,SSP2_VSI!$D:$D,Results_list!$D124,SSP2_VSI!$B:$B,2040)) - (SUMIFS(SSP2_VSI!$F:$F,SSP2_VSI!$C:$C,Results_list!$C$109,SSP2_VSI!$D:$D,Results_list!$D124,SSP2_VSI!$B:$B,2025))) / (SUMIFS(SSP2_VSI!$F:$F,SSP2_VSI!$C:$C,Results_list!$C$109,SSP2_VSI!$D:$D,Results_list!$D124,SSP2_VSI!$B:$B,2025))</f>
        <v>-1.0663780935351362E-3</v>
      </c>
      <c r="AA19" s="13">
        <f t="shared" si="4"/>
        <v>0</v>
      </c>
      <c r="AB19" s="12">
        <f>((SUMIFS(SSP5_Baseline!$E:$E,SSP5_Baseline!$C:$C,Results_list!$C$109,SSP5_Baseline!$D:$D,Results_list!$D124,SSP5_Baseline!$B:$B,2040)) - (SUMIFS(SSP5_Baseline!$E:$E,SSP5_Baseline!$C:$C,Results_list!$C$109,SSP5_Baseline!$D:$D,Results_list!$D124,SSP5_Baseline!$B:$B,2025))) / (SUMIFS(SSP5_Baseline!$E:$E,SSP5_Baseline!$C:$C,Results_list!$C$109,SSP5_Baseline!$D:$D,Results_list!$D124,SSP5_Baseline!$B:$B,2025))</f>
        <v>1.1614567210161978E-4</v>
      </c>
      <c r="AC19" s="16">
        <f>((SUMIFS(SSP5_VSI!$F:$F,SSP5_VSI!$C:$C,Results_list!$C$109,SSP5_VSI!$D:$D,Results_list!$D124,SSP5_VSI!$B:$B,2040)) - (SUMIFS(SSP5_VSI!$F:$F,SSP5_VSI!$C:$C,Results_list!$C$109,SSP5_VSI!$D:$D,Results_list!$D124,SSP5_VSI!$B:$B,2025))) / (SUMIFS(SSP5_VSI!$F:$F,SSP5_VSI!$C:$C,Results_list!$C$109,SSP5_VSI!$D:$D,Results_list!$D124,SSP5_VSI!$B:$B,2025))</f>
        <v>-1.0116595130486832E-3</v>
      </c>
      <c r="AD19" s="13">
        <f t="shared" si="5"/>
        <v>0</v>
      </c>
      <c r="AF19" s="85"/>
      <c r="AG19" s="85"/>
      <c r="AH19" t="s">
        <v>54</v>
      </c>
      <c r="AI19" s="25" t="s">
        <v>70</v>
      </c>
      <c r="AJ19" s="3" t="s">
        <v>102</v>
      </c>
      <c r="AK19" s="12">
        <v>-0.23298215064251193</v>
      </c>
      <c r="AL19" s="16">
        <v>-0.23297536788597389</v>
      </c>
      <c r="AM19" s="13">
        <f t="shared" si="6"/>
        <v>0</v>
      </c>
      <c r="AN19" s="12">
        <v>-0.17935731459078877</v>
      </c>
      <c r="AO19" s="16">
        <v>-0.17935633440164905</v>
      </c>
      <c r="AP19" s="13">
        <f t="shared" si="7"/>
        <v>0</v>
      </c>
      <c r="AQ19" s="12">
        <v>-0.20389964670943825</v>
      </c>
      <c r="AR19" s="16">
        <v>-0.20389764303918298</v>
      </c>
      <c r="AS19" s="13">
        <f t="shared" si="8"/>
        <v>0</v>
      </c>
      <c r="AU19" s="87"/>
      <c r="AV19" s="87"/>
      <c r="AW19" t="s">
        <v>54</v>
      </c>
      <c r="AY19" s="3" t="s">
        <v>102</v>
      </c>
      <c r="AZ19" s="12">
        <f>((SUMIFS(SSP1_Baseline!$E:$E,SSP1_Baseline!$C:$C,Results_list!$C$298,SSP1_Baseline!$D:$D,Results_list!$D19,SSP1_Baseline!$B:$B,2040)) - (SUMIFS(SSP1_Baseline!$E:$E,SSP1_Baseline!$C:$C,Results_list!$C$298,SSP1_Baseline!$D:$D,Results_list!$D19,SSP1_Baseline!$B:$B,2025))) / (SUMIFS(SSP1_Baseline!$E:$E,SSP1_Baseline!$C:$C,Results_list!$C$298,SSP1_Baseline!$D:$D,Results_list!$D19,SSP1_Baseline!$B:$B,2025))</f>
        <v>1.4075754243067182E-2</v>
      </c>
      <c r="BA19" s="16">
        <f>((SUMIFS(SSP1_VSI!$F:$F,SSP1_VSI!$C:$C,Results_list!$C$298,SSP1_VSI!$D:$D,Results_list!$D19,SSP1_VSI!$B:$B,2040)) - (SUMIFS(SSP1_VSI!$F:$F,SSP1_VSI!$C:$C,Results_list!$C$298,SSP1_VSI!$D:$D,Results_list!$D19,SSP1_VSI!$B:$B,2025))) / (SUMIFS(SSP1_VSI!$F:$F,SSP1_VSI!$C:$C,Results_list!$C$298,SSP1_VSI!$D:$D,Results_list!$D19,SSP1_VSI!$B:$B,2025))</f>
        <v>1.4089029754728397E-2</v>
      </c>
      <c r="BB19" s="13">
        <f t="shared" si="9"/>
        <v>0</v>
      </c>
      <c r="BC19" s="12">
        <f>((SUMIFS(SSP2_Baseline!$E:$E,SSP2_Baseline!$C:$C,Results_list!$C$298,SSP2_Baseline!$D:$D,Results_list!$D19,SSP2_Baseline!$B:$B,2040)) - (SUMIFS(SSP2_Baseline!$E:$E,SSP2_Baseline!$C:$C,Results_list!$C$298,SSP2_Baseline!$D:$D,Results_list!$D19,SSP2_Baseline!$B:$B,2025))) / (SUMIFS(SSP2_Baseline!$E:$E,SSP2_Baseline!$C:$C,Results_list!$C$298,SSP2_Baseline!$D:$D,Results_list!$D19,SSP2_Baseline!$B:$B,2025))</f>
        <v>3.082385148343909E-2</v>
      </c>
      <c r="BD19" s="16">
        <f>((SUMIFS(SSP2_VSI!$F:$F,SSP2_VSI!$C:$C,Results_list!$C$298,SSP2_VSI!$D:$D,Results_list!$D19,SSP2_VSI!$B:$B,2040)) - (SUMIFS(SSP2_VSI!$F:$F,SSP2_VSI!$C:$C,Results_list!$C$298,SSP2_VSI!$D:$D,Results_list!$D19,SSP2_VSI!$B:$B,2025))) / (SUMIFS(SSP2_VSI!$F:$F,SSP2_VSI!$C:$C,Results_list!$C$298,SSP2_VSI!$D:$D,Results_list!$D19,SSP2_VSI!$B:$B,2025))</f>
        <v>3.083376848188003E-2</v>
      </c>
      <c r="BE19" s="13">
        <f t="shared" si="10"/>
        <v>0</v>
      </c>
      <c r="BF19" s="12">
        <f>((SUMIFS(SSP5_Baseline!$E:$E,SSP5_Baseline!$C:$C,Results_list!$C$298,SSP5_Baseline!$D:$D,Results_list!$D19,SSP5_Baseline!$B:$B,2040)) - (SUMIFS(SSP5_Baseline!$E:$E,SSP5_Baseline!$C:$C,Results_list!$C$298,SSP5_Baseline!$D:$D,Results_list!$D19,SSP5_Baseline!$B:$B,2025))) / (SUMIFS(SSP5_Baseline!$E:$E,SSP5_Baseline!$C:$C,Results_list!$C$298,SSP5_Baseline!$D:$D,Results_list!$D19,SSP5_Baseline!$B:$B,2025))</f>
        <v>1.9725317915242936E-2</v>
      </c>
      <c r="BG19" s="16">
        <f>((SUMIFS(SSP5_VSI!$F:$F,SSP5_VSI!$C:$C,Results_list!$C$298,SSP5_VSI!$D:$D,Results_list!$D19,SSP5_VSI!$B:$B,2040)) - (SUMIFS(SSP5_VSI!$F:$F,SSP5_VSI!$C:$C,Results_list!$C$298,SSP5_VSI!$D:$D,Results_list!$D19,SSP5_VSI!$B:$B,2025))) / (SUMIFS(SSP5_VSI!$F:$F,SSP5_VSI!$C:$C,Results_list!$C$298,SSP5_VSI!$D:$D,Results_list!$D19,SSP5_VSI!$B:$B,2025))</f>
        <v>1.9760535355804267E-2</v>
      </c>
      <c r="BH19" s="13">
        <f t="shared" si="11"/>
        <v>0</v>
      </c>
    </row>
    <row r="20" spans="2:60" x14ac:dyDescent="0.35">
      <c r="B20" s="91"/>
      <c r="C20" s="91"/>
      <c r="D20" t="s">
        <v>55</v>
      </c>
      <c r="F20" s="3" t="s">
        <v>103</v>
      </c>
      <c r="G20" s="12">
        <f>((SUMIFS(SSP1_Baseline!E:E,SSP1_Baseline!C:C,Results_list!$C$4,SSP1_Baseline!D:D,Results_list!D20,SSP1_Baseline!B:B,2040)) - (SUMIFS(SSP1_Baseline!E:E,SSP1_Baseline!C:C,Results_list!$C$4,SSP1_Baseline!D:D,Results_list!D20,SSP1_Baseline!B:B,2025))) / (SUMIFS(SSP1_Baseline!E:E,SSP1_Baseline!C:C,Results_list!$C$4,SSP1_Baseline!D:D,Results_list!D20,SSP1_Baseline!B:B,2025))</f>
        <v>-8.0570194861619236E-3</v>
      </c>
      <c r="H20" s="16">
        <f>((SUMIFS(SSP1_VSI!F:F,SSP1_VSI!C:C,Results_list!$C$4,SSP1_VSI!D:D,Results_list!D20,SSP1_VSI!B:B,2040)) - (SUMIFS(SSP1_VSI!F:F,SSP1_VSI!C:C,Results_list!$C$4,SSP1_VSI!D:D,Results_list!D20,SSP1_VSI!B:B,2025))) / (SUMIFS(SSP1_VSI!F:F,SSP1_VSI!C:C,Results_list!$C$4,SSP1_VSI!D:D,Results_list!D20,SSP1_VSI!B:B,2025))</f>
        <v>-2.9893760945723075E-2</v>
      </c>
      <c r="I20" s="13">
        <f t="shared" si="0"/>
        <v>-0.02</v>
      </c>
      <c r="J20" s="12">
        <f>((SUMIFS(SSP2_Baseline!$E:$E,SSP2_Baseline!$C:$C,Results_list!$C$4,SSP2_Baseline!$D:$D,Results_list!$D20,SSP2_Baseline!$B:$B,2040)) - (SUMIFS(SSP2_Baseline!$E:$E,SSP2_Baseline!$C:$C,Results_list!$C$4,SSP2_Baseline!$D:$D,Results_list!$D20,SSP2_Baseline!$B:$B,2025))) / (SUMIFS(SSP2_Baseline!$E:$E,SSP2_Baseline!$C:$C,Results_list!$C$4,SSP2_Baseline!$D:$D,Results_list!$D20,SSP2_Baseline!$B:$B,2025))</f>
        <v>-7.4527897097914257E-3</v>
      </c>
      <c r="K20" s="16">
        <f>((SUMIFS(SSP2_VSI!$F:$F,SSP2_VSI!$C:$C,Results_list!$C$4,SSP2_VSI!$D:$D,Results_list!$D20,SSP2_VSI!$B:$B,2040)) - (SUMIFS(SSP2_VSI!$F:$F,SSP2_VSI!$C:$C,Results_list!$C$4,SSP2_VSI!$D:$D,Results_list!$D20,SSP2_VSI!$B:$B,2025))) / (SUMIFS(SSP2_VSI!$F:$F,SSP2_VSI!$C:$C,Results_list!$C$4,SSP2_VSI!$D:$D,Results_list!$D20,SSP2_VSI!$B:$B,2025))</f>
        <v>-2.9325735380570497E-2</v>
      </c>
      <c r="L20" s="13">
        <f t="shared" si="1"/>
        <v>-0.02</v>
      </c>
      <c r="M20" s="12">
        <f>((SUMIFS(SSP5_Baseline!$E:$E,SSP5_Baseline!$C:$C,Results_list!$C$4,SSP5_Baseline!$D:$D,Results_list!$D20,SSP5_Baseline!$B:$B,2040)) - (SUMIFS(SSP5_Baseline!$E:$E,SSP5_Baseline!$C:$C,Results_list!$C$4,SSP5_Baseline!$D:$D,Results_list!$D20,SSP5_Baseline!$B:$B,2025))) / (SUMIFS(SSP5_Baseline!$E:$E,SSP5_Baseline!$C:$C,Results_list!$C$4,SSP5_Baseline!$D:$D,Results_list!$D20,SSP5_Baseline!$B:$B,2025))</f>
        <v>-7.1894308978907376E-3</v>
      </c>
      <c r="N20" s="16">
        <f>((SUMIFS(SSP5_VSI!$F:$F,SSP5_VSI!$C:$C,Results_list!$C$4,SSP5_VSI!$D:$D,Results_list!$D20,SSP5_VSI!$B:$B,2040)) - (SUMIFS(SSP5_VSI!$F:$F,SSP5_VSI!$C:$C,Results_list!$C$4,SSP5_VSI!$D:$D,Results_list!$D20,SSP5_VSI!$B:$B,2025))) / (SUMIFS(SSP5_VSI!$F:$F,SSP5_VSI!$C:$C,Results_list!$C$4,SSP5_VSI!$D:$D,Results_list!$D20,SSP5_VSI!$B:$B,2025))</f>
        <v>-2.8752960297187449E-2</v>
      </c>
      <c r="O20" s="13">
        <f t="shared" si="2"/>
        <v>-0.02</v>
      </c>
      <c r="Q20" s="91"/>
      <c r="R20" s="96"/>
      <c r="S20" s="22" t="s">
        <v>55</v>
      </c>
      <c r="U20" s="3" t="s">
        <v>103</v>
      </c>
      <c r="V20" s="12">
        <f>((SUMIFS(SSP1_Baseline!$E:$E,SSP1_Baseline!$C:$C,Results_list!$C$109,SSP1_Baseline!$D:$D,Results_list!$D125,SSP1_Baseline!$B:$B,2040)) - (SUMIFS(SSP1_Baseline!$E:$E,SSP1_Baseline!$C:$C,Results_list!$C$109,SSP1_Baseline!$D:$D,Results_list!$D125,SSP1_Baseline!$B:$B,2025))) / (SUMIFS(SSP1_Baseline!$E:$E,SSP1_Baseline!$C:$C,Results_list!$C$109,SSP1_Baseline!$D:$D,Results_list!$D125,SSP1_Baseline!$B:$B,2025))</f>
        <v>2.5304989172128024E-5</v>
      </c>
      <c r="W20" s="16">
        <f>((SUMIFS(SSP1_VSI!$F:$F,SSP1_VSI!$C:$C,Results_list!$C$109,SSP1_VSI!$D:$D,Results_list!$D125,SSP1_VSI!$B:$B,2040)) - (SUMIFS(SSP1_VSI!$F:$F,SSP1_VSI!$C:$C,Results_list!$C$109,SSP1_VSI!$D:$D,Results_list!$D125,SSP1_VSI!$B:$B,2025))) / (SUMIFS(SSP1_VSI!$F:$F,SSP1_VSI!$C:$C,Results_list!$C$109,SSP1_VSI!$D:$D,Results_list!$D125,SSP1_VSI!$B:$B,2025))</f>
        <v>-0.13837088348770149</v>
      </c>
      <c r="X20" s="13">
        <f t="shared" si="3"/>
        <v>-0.13800000000000001</v>
      </c>
      <c r="Y20" s="12">
        <f>((SUMIFS(SSP2_Baseline!$E:$E,SSP2_Baseline!$C:$C,Results_list!$C$109,SSP2_Baseline!$D:$D,Results_list!$D125,SSP2_Baseline!$B:$B,2040)) - (SUMIFS(SSP2_Baseline!$E:$E,SSP2_Baseline!$C:$C,Results_list!$C$109,SSP2_Baseline!$D:$D,Results_list!$D125,SSP2_Baseline!$B:$B,2025))) / (SUMIFS(SSP2_Baseline!$E:$E,SSP2_Baseline!$C:$C,Results_list!$C$109,SSP2_Baseline!$D:$D,Results_list!$D125,SSP2_Baseline!$B:$B,2025))</f>
        <v>4.7065674618190308E-5</v>
      </c>
      <c r="Z20" s="16">
        <f>((SUMIFS(SSP2_VSI!$F:$F,SSP2_VSI!$C:$C,Results_list!$C$109,SSP2_VSI!$D:$D,Results_list!$D125,SSP2_VSI!$B:$B,2040)) - (SUMIFS(SSP2_VSI!$F:$F,SSP2_VSI!$C:$C,Results_list!$C$109,SSP2_VSI!$D:$D,Results_list!$D125,SSP2_VSI!$B:$B,2025))) / (SUMIFS(SSP2_VSI!$F:$F,SSP2_VSI!$C:$C,Results_list!$C$109,SSP2_VSI!$D:$D,Results_list!$D125,SSP2_VSI!$B:$B,2025))</f>
        <v>-0.13835135827173975</v>
      </c>
      <c r="AA20" s="13">
        <f t="shared" si="4"/>
        <v>-0.14000000000000001</v>
      </c>
      <c r="AB20" s="12">
        <f>((SUMIFS(SSP5_Baseline!$E:$E,SSP5_Baseline!$C:$C,Results_list!$C$109,SSP5_Baseline!$D:$D,Results_list!$D125,SSP5_Baseline!$B:$B,2040)) - (SUMIFS(SSP5_Baseline!$E:$E,SSP5_Baseline!$C:$C,Results_list!$C$109,SSP5_Baseline!$D:$D,Results_list!$D125,SSP5_Baseline!$B:$B,2025))) / (SUMIFS(SSP5_Baseline!$E:$E,SSP5_Baseline!$C:$C,Results_list!$C$109,SSP5_Baseline!$D:$D,Results_list!$D125,SSP5_Baseline!$B:$B,2025))</f>
        <v>9.4672479949753935E-5</v>
      </c>
      <c r="AC20" s="16">
        <f>((SUMIFS(SSP5_VSI!$F:$F,SSP5_VSI!$C:$C,Results_list!$C$109,SSP5_VSI!$D:$D,Results_list!$D125,SSP5_VSI!$B:$B,2040)) - (SUMIFS(SSP5_VSI!$F:$F,SSP5_VSI!$C:$C,Results_list!$C$109,SSP5_VSI!$D:$D,Results_list!$D125,SSP5_VSI!$B:$B,2025))) / (SUMIFS(SSP5_VSI!$F:$F,SSP5_VSI!$C:$C,Results_list!$C$109,SSP5_VSI!$D:$D,Results_list!$D125,SSP5_VSI!$B:$B,2025))</f>
        <v>-0.13830261394986954</v>
      </c>
      <c r="AD20" s="13">
        <f t="shared" si="5"/>
        <v>-0.14000000000000001</v>
      </c>
      <c r="AF20" s="85"/>
      <c r="AG20" s="85"/>
      <c r="AH20" t="s">
        <v>55</v>
      </c>
      <c r="AI20" s="25" t="s">
        <v>70</v>
      </c>
      <c r="AJ20" s="3" t="s">
        <v>103</v>
      </c>
      <c r="AK20" s="12">
        <v>-0.23861856630853004</v>
      </c>
      <c r="AL20" s="16">
        <v>-0.23861144967934622</v>
      </c>
      <c r="AM20" s="13">
        <f t="shared" si="6"/>
        <v>0</v>
      </c>
      <c r="AN20" s="12">
        <v>-0.18659741570523403</v>
      </c>
      <c r="AO20" s="16">
        <v>-0.18659361253158571</v>
      </c>
      <c r="AP20" s="13">
        <f t="shared" si="7"/>
        <v>0</v>
      </c>
      <c r="AQ20" s="12">
        <v>-0.20972404168181955</v>
      </c>
      <c r="AR20" s="16">
        <v>-0.20972202178178959</v>
      </c>
      <c r="AS20" s="13">
        <f t="shared" si="8"/>
        <v>0</v>
      </c>
      <c r="AU20" s="87"/>
      <c r="AV20" s="87"/>
      <c r="AW20" t="s">
        <v>55</v>
      </c>
      <c r="AY20" s="3" t="s">
        <v>103</v>
      </c>
      <c r="AZ20" s="12">
        <f>((SUMIFS(SSP1_Baseline!$E:$E,SSP1_Baseline!$C:$C,Results_list!$C$298,SSP1_Baseline!$D:$D,Results_list!$D20,SSP1_Baseline!$B:$B,2040)) - (SUMIFS(SSP1_Baseline!$E:$E,SSP1_Baseline!$C:$C,Results_list!$C$298,SSP1_Baseline!$D:$D,Results_list!$D20,SSP1_Baseline!$B:$B,2025))) / (SUMIFS(SSP1_Baseline!$E:$E,SSP1_Baseline!$C:$C,Results_list!$C$298,SSP1_Baseline!$D:$D,Results_list!$D20,SSP1_Baseline!$B:$B,2025))</f>
        <v>1.3575686451810129E-2</v>
      </c>
      <c r="BA20" s="16">
        <f>((SUMIFS(SSP1_VSI!$F:$F,SSP1_VSI!$C:$C,Results_list!$C$298,SSP1_VSI!$D:$D,Results_list!$D20,SSP1_VSI!$B:$B,2040)) - (SUMIFS(SSP1_VSI!$F:$F,SSP1_VSI!$C:$C,Results_list!$C$298,SSP1_VSI!$D:$D,Results_list!$D20,SSP1_VSI!$B:$B,2025))) / (SUMIFS(SSP1_VSI!$F:$F,SSP1_VSI!$C:$C,Results_list!$C$298,SSP1_VSI!$D:$D,Results_list!$D20,SSP1_VSI!$B:$B,2025))</f>
        <v>1.358812999010685E-2</v>
      </c>
      <c r="BB20" s="13">
        <f t="shared" si="9"/>
        <v>0</v>
      </c>
      <c r="BC20" s="12">
        <f>((SUMIFS(SSP2_Baseline!$E:$E,SSP2_Baseline!$C:$C,Results_list!$C$298,SSP2_Baseline!$D:$D,Results_list!$D20,SSP2_Baseline!$B:$B,2040)) - (SUMIFS(SSP2_Baseline!$E:$E,SSP2_Baseline!$C:$C,Results_list!$C$298,SSP2_Baseline!$D:$D,Results_list!$D20,SSP2_Baseline!$B:$B,2025))) / (SUMIFS(SSP2_Baseline!$E:$E,SSP2_Baseline!$C:$C,Results_list!$C$298,SSP2_Baseline!$D:$D,Results_list!$D20,SSP2_Baseline!$B:$B,2025))</f>
        <v>2.973551367261058E-2</v>
      </c>
      <c r="BD20" s="16">
        <f>((SUMIFS(SSP2_VSI!$F:$F,SSP2_VSI!$C:$C,Results_list!$C$298,SSP2_VSI!$D:$D,Results_list!$D20,SSP2_VSI!$B:$B,2040)) - (SUMIFS(SSP2_VSI!$F:$F,SSP2_VSI!$C:$C,Results_list!$C$298,SSP2_VSI!$D:$D,Results_list!$D20,SSP2_VSI!$B:$B,2025))) / (SUMIFS(SSP2_VSI!$F:$F,SSP2_VSI!$C:$C,Results_list!$C$298,SSP2_VSI!$D:$D,Results_list!$D20,SSP2_VSI!$B:$B,2025))</f>
        <v>2.9736409100728532E-2</v>
      </c>
      <c r="BE20" s="13">
        <f t="shared" si="10"/>
        <v>0</v>
      </c>
      <c r="BF20" s="12">
        <f>((SUMIFS(SSP5_Baseline!$E:$E,SSP5_Baseline!$C:$C,Results_list!$C$298,SSP5_Baseline!$D:$D,Results_list!$D20,SSP5_Baseline!$B:$B,2040)) - (SUMIFS(SSP5_Baseline!$E:$E,SSP5_Baseline!$C:$C,Results_list!$C$298,SSP5_Baseline!$D:$D,Results_list!$D20,SSP5_Baseline!$B:$B,2025))) / (SUMIFS(SSP5_Baseline!$E:$E,SSP5_Baseline!$C:$C,Results_list!$C$298,SSP5_Baseline!$D:$D,Results_list!$D20,SSP5_Baseline!$B:$B,2025))</f>
        <v>1.8020420585624156E-2</v>
      </c>
      <c r="BG20" s="16">
        <f>((SUMIFS(SSP5_VSI!$F:$F,SSP5_VSI!$C:$C,Results_list!$C$298,SSP5_VSI!$D:$D,Results_list!$D20,SSP5_VSI!$B:$B,2040)) - (SUMIFS(SSP5_VSI!$F:$F,SSP5_VSI!$C:$C,Results_list!$C$298,SSP5_VSI!$D:$D,Results_list!$D20,SSP5_VSI!$B:$B,2025))) / (SUMIFS(SSP5_VSI!$F:$F,SSP5_VSI!$C:$C,Results_list!$C$298,SSP5_VSI!$D:$D,Results_list!$D20,SSP5_VSI!$B:$B,2025))</f>
        <v>1.8057656330587507E-2</v>
      </c>
      <c r="BH20" s="13">
        <f t="shared" si="11"/>
        <v>0</v>
      </c>
    </row>
    <row r="21" spans="2:60" x14ac:dyDescent="0.35">
      <c r="B21" s="92"/>
      <c r="C21" s="92"/>
      <c r="D21" s="20" t="s">
        <v>56</v>
      </c>
      <c r="F21" s="9" t="s">
        <v>104</v>
      </c>
      <c r="G21" s="14">
        <f>((SUMIFS(SSP1_Baseline!E:E,SSP1_Baseline!C:C,Results_list!$C$4,SSP1_Baseline!D:D,Results_list!D21,SSP1_Baseline!B:B,2040)) - (SUMIFS(SSP1_Baseline!E:E,SSP1_Baseline!C:C,Results_list!$C$4,SSP1_Baseline!D:D,Results_list!D21,SSP1_Baseline!B:B,2025))) / (SUMIFS(SSP1_Baseline!E:E,SSP1_Baseline!C:C,Results_list!$C$4,SSP1_Baseline!D:D,Results_list!D21,SSP1_Baseline!B:B,2025))</f>
        <v>7.0987284715135837E-2</v>
      </c>
      <c r="H21" s="17">
        <f>((SUMIFS(SSP1_VSI!F:F,SSP1_VSI!C:C,Results_list!$C$4,SSP1_VSI!D:D,Results_list!D21,SSP1_VSI!B:B,2040)) - (SUMIFS(SSP1_VSI!F:F,SSP1_VSI!C:C,Results_list!$C$4,SSP1_VSI!D:D,Results_list!D21,SSP1_VSI!B:B,2025))) / (SUMIFS(SSP1_VSI!F:F,SSP1_VSI!C:C,Results_list!$C$4,SSP1_VSI!D:D,Results_list!D21,SSP1_VSI!B:B,2025))</f>
        <v>7.1002535302196454E-2</v>
      </c>
      <c r="I21" s="15">
        <f t="shared" si="0"/>
        <v>0</v>
      </c>
      <c r="J21" s="14">
        <f>((SUMIFS(SSP2_Baseline!$E:$E,SSP2_Baseline!$C:$C,Results_list!$C$4,SSP2_Baseline!$D:$D,Results_list!$D21,SSP2_Baseline!$B:$B,2040)) - (SUMIFS(SSP2_Baseline!$E:$E,SSP2_Baseline!$C:$C,Results_list!$C$4,SSP2_Baseline!$D:$D,Results_list!$D21,SSP2_Baseline!$B:$B,2025))) / (SUMIFS(SSP2_Baseline!$E:$E,SSP2_Baseline!$C:$C,Results_list!$C$4,SSP2_Baseline!$D:$D,Results_list!$D21,SSP2_Baseline!$B:$B,2025))</f>
        <v>7.699689119680167E-2</v>
      </c>
      <c r="K21" s="17">
        <f>((SUMIFS(SSP2_VSI!$F:$F,SSP2_VSI!$C:$C,Results_list!$C$4,SSP2_VSI!$D:$D,Results_list!$D21,SSP2_VSI!$B:$B,2040)) - (SUMIFS(SSP2_VSI!$F:$F,SSP2_VSI!$C:$C,Results_list!$C$4,SSP2_VSI!$D:$D,Results_list!$D21,SSP2_VSI!$B:$B,2025))) / (SUMIFS(SSP2_VSI!$F:$F,SSP2_VSI!$C:$C,Results_list!$C$4,SSP2_VSI!$D:$D,Results_list!$D21,SSP2_VSI!$B:$B,2025))</f>
        <v>7.696589925988849E-2</v>
      </c>
      <c r="L21" s="15">
        <f t="shared" si="1"/>
        <v>0</v>
      </c>
      <c r="M21" s="14">
        <f>((SUMIFS(SSP5_Baseline!$E:$E,SSP5_Baseline!$C:$C,Results_list!$C$4,SSP5_Baseline!$D:$D,Results_list!$D21,SSP5_Baseline!$B:$B,2040)) - (SUMIFS(SSP5_Baseline!$E:$E,SSP5_Baseline!$C:$C,Results_list!$C$4,SSP5_Baseline!$D:$D,Results_list!$D21,SSP5_Baseline!$B:$B,2025))) / (SUMIFS(SSP5_Baseline!$E:$E,SSP5_Baseline!$C:$C,Results_list!$C$4,SSP5_Baseline!$D:$D,Results_list!$D21,SSP5_Baseline!$B:$B,2025))</f>
        <v>0.26699579842251064</v>
      </c>
      <c r="N21" s="17">
        <f>((SUMIFS(SSP5_VSI!$F:$F,SSP5_VSI!$C:$C,Results_list!$C$4,SSP5_VSI!$D:$D,Results_list!$D21,SSP5_VSI!$B:$B,2040)) - (SUMIFS(SSP5_VSI!$F:$F,SSP5_VSI!$C:$C,Results_list!$C$4,SSP5_VSI!$D:$D,Results_list!$D21,SSP5_VSI!$B:$B,2025))) / (SUMIFS(SSP5_VSI!$F:$F,SSP5_VSI!$C:$C,Results_list!$C$4,SSP5_VSI!$D:$D,Results_list!$D21,SSP5_VSI!$B:$B,2025))</f>
        <v>0.26705146758941395</v>
      </c>
      <c r="O21" s="15">
        <f t="shared" si="2"/>
        <v>0</v>
      </c>
      <c r="Q21" s="92"/>
      <c r="R21" s="97"/>
      <c r="S21" s="23" t="s">
        <v>56</v>
      </c>
      <c r="U21" s="9" t="s">
        <v>104</v>
      </c>
      <c r="V21" s="14">
        <f>((SUMIFS(SSP1_Baseline!$E:$E,SSP1_Baseline!$C:$C,Results_list!$C$109,SSP1_Baseline!$D:$D,Results_list!$D126,SSP1_Baseline!$B:$B,2040)) - (SUMIFS(SSP1_Baseline!$E:$E,SSP1_Baseline!$C:$C,Results_list!$C$109,SSP1_Baseline!$D:$D,Results_list!$D126,SSP1_Baseline!$B:$B,2025))) / (SUMIFS(SSP1_Baseline!$E:$E,SSP1_Baseline!$C:$C,Results_list!$C$109,SSP1_Baseline!$D:$D,Results_list!$D126,SSP1_Baseline!$B:$B,2025))</f>
        <v>-1.1043854827802468E-2</v>
      </c>
      <c r="W21" s="17">
        <f>((SUMIFS(SSP1_VSI!$F:$F,SSP1_VSI!$C:$C,Results_list!$C$109,SSP1_VSI!$D:$D,Results_list!$D126,SSP1_VSI!$B:$B,2040)) - (SUMIFS(SSP1_VSI!$F:$F,SSP1_VSI!$C:$C,Results_list!$C$109,SSP1_VSI!$D:$D,Results_list!$D126,SSP1_VSI!$B:$B,2025))) / (SUMIFS(SSP1_VSI!$F:$F,SSP1_VSI!$C:$C,Results_list!$C$109,SSP1_VSI!$D:$D,Results_list!$D126,SSP1_VSI!$B:$B,2025))</f>
        <v>-1.1046014752425838E-2</v>
      </c>
      <c r="X21" s="15">
        <f t="shared" si="3"/>
        <v>0</v>
      </c>
      <c r="Y21" s="14">
        <f>((SUMIFS(SSP2_Baseline!$E:$E,SSP2_Baseline!$C:$C,Results_list!$C$109,SSP2_Baseline!$D:$D,Results_list!$D126,SSP2_Baseline!$B:$B,2040)) - (SUMIFS(SSP2_Baseline!$E:$E,SSP2_Baseline!$C:$C,Results_list!$C$109,SSP2_Baseline!$D:$D,Results_list!$D126,SSP2_Baseline!$B:$B,2025))) / (SUMIFS(SSP2_Baseline!$E:$E,SSP2_Baseline!$C:$C,Results_list!$C$109,SSP2_Baseline!$D:$D,Results_list!$D126,SSP2_Baseline!$B:$B,2025))</f>
        <v>-1.3647151800600697E-2</v>
      </c>
      <c r="Z21" s="17">
        <f>((SUMIFS(SSP2_VSI!$F:$F,SSP2_VSI!$C:$C,Results_list!$C$109,SSP2_VSI!$D:$D,Results_list!$D126,SSP2_VSI!$B:$B,2040)) - (SUMIFS(SSP2_VSI!$F:$F,SSP2_VSI!$C:$C,Results_list!$C$109,SSP2_VSI!$D:$D,Results_list!$D126,SSP2_VSI!$B:$B,2025))) / (SUMIFS(SSP2_VSI!$F:$F,SSP2_VSI!$C:$C,Results_list!$C$109,SSP2_VSI!$D:$D,Results_list!$D126,SSP2_VSI!$B:$B,2025))</f>
        <v>-1.3652351865198626E-2</v>
      </c>
      <c r="AA21" s="15">
        <f t="shared" si="4"/>
        <v>0</v>
      </c>
      <c r="AB21" s="14">
        <f>((SUMIFS(SSP5_Baseline!$E:$E,SSP5_Baseline!$C:$C,Results_list!$C$109,SSP5_Baseline!$D:$D,Results_list!$D126,SSP5_Baseline!$B:$B,2040)) - (SUMIFS(SSP5_Baseline!$E:$E,SSP5_Baseline!$C:$C,Results_list!$C$109,SSP5_Baseline!$D:$D,Results_list!$D126,SSP5_Baseline!$B:$B,2025))) / (SUMIFS(SSP5_Baseline!$E:$E,SSP5_Baseline!$C:$C,Results_list!$C$109,SSP5_Baseline!$D:$D,Results_list!$D126,SSP5_Baseline!$B:$B,2025))</f>
        <v>-5.9467991940359323E-3</v>
      </c>
      <c r="AC21" s="17">
        <f>((SUMIFS(SSP5_VSI!$F:$F,SSP5_VSI!$C:$C,Results_list!$C$109,SSP5_VSI!$D:$D,Results_list!$D126,SSP5_VSI!$B:$B,2040)) - (SUMIFS(SSP5_VSI!$F:$F,SSP5_VSI!$C:$C,Results_list!$C$109,SSP5_VSI!$D:$D,Results_list!$D126,SSP5_VSI!$B:$B,2025))) / (SUMIFS(SSP5_VSI!$F:$F,SSP5_VSI!$C:$C,Results_list!$C$109,SSP5_VSI!$D:$D,Results_list!$D126,SSP5_VSI!$B:$B,2025))</f>
        <v>-5.939368189811986E-3</v>
      </c>
      <c r="AD21" s="15">
        <f t="shared" si="5"/>
        <v>0</v>
      </c>
      <c r="AF21" s="86"/>
      <c r="AG21" s="86"/>
      <c r="AH21" t="s">
        <v>56</v>
      </c>
      <c r="AI21" s="26" t="s">
        <v>70</v>
      </c>
      <c r="AJ21" s="9" t="s">
        <v>104</v>
      </c>
      <c r="AK21" s="14">
        <v>-0.26611994904753161</v>
      </c>
      <c r="AL21" s="17">
        <v>-0.26611551652998539</v>
      </c>
      <c r="AM21" s="15">
        <f t="shared" si="6"/>
        <v>0</v>
      </c>
      <c r="AN21" s="14">
        <v>-0.3074429366127272</v>
      </c>
      <c r="AO21" s="17">
        <v>-0.30742983536932167</v>
      </c>
      <c r="AP21" s="15">
        <f t="shared" si="7"/>
        <v>0</v>
      </c>
      <c r="AQ21" s="14">
        <v>0.31116225952351223</v>
      </c>
      <c r="AR21" s="17">
        <v>0.31115706133149618</v>
      </c>
      <c r="AS21" s="15">
        <f t="shared" si="8"/>
        <v>0</v>
      </c>
      <c r="AU21" s="88"/>
      <c r="AV21" s="88"/>
      <c r="AW21" s="20" t="s">
        <v>56</v>
      </c>
      <c r="AX21" s="20"/>
      <c r="AY21" s="9" t="s">
        <v>104</v>
      </c>
      <c r="AZ21" s="14">
        <f>((SUMIFS(SSP1_Baseline!$E:$E,SSP1_Baseline!$C:$C,Results_list!$C$298,SSP1_Baseline!$D:$D,Results_list!$D21,SSP1_Baseline!$B:$B,2040)) - (SUMIFS(SSP1_Baseline!$E:$E,SSP1_Baseline!$C:$C,Results_list!$C$298,SSP1_Baseline!$D:$D,Results_list!$D21,SSP1_Baseline!$B:$B,2025))) / (SUMIFS(SSP1_Baseline!$E:$E,SSP1_Baseline!$C:$C,Results_list!$C$298,SSP1_Baseline!$D:$D,Results_list!$D21,SSP1_Baseline!$B:$B,2025))</f>
        <v>-0.18716857065277726</v>
      </c>
      <c r="BA21" s="17">
        <f>((SUMIFS(SSP1_VSI!$F:$F,SSP1_VSI!$C:$C,Results_list!$C$298,SSP1_VSI!$D:$D,Results_list!$D21,SSP1_VSI!$B:$B,2040)) - (SUMIFS(SSP1_VSI!$F:$F,SSP1_VSI!$C:$C,Results_list!$C$298,SSP1_VSI!$D:$D,Results_list!$D21,SSP1_VSI!$B:$B,2025))) / (SUMIFS(SSP1_VSI!$F:$F,SSP1_VSI!$C:$C,Results_list!$C$298,SSP1_VSI!$D:$D,Results_list!$D21,SSP1_VSI!$B:$B,2025))</f>
        <v>-0.18718813604239445</v>
      </c>
      <c r="BB21" s="15">
        <f t="shared" si="9"/>
        <v>0</v>
      </c>
      <c r="BC21" s="14">
        <f>((SUMIFS(SSP2_Baseline!$E:$E,SSP2_Baseline!$C:$C,Results_list!$C$298,SSP2_Baseline!$D:$D,Results_list!$D21,SSP2_Baseline!$B:$B,2040)) - (SUMIFS(SSP2_Baseline!$E:$E,SSP2_Baseline!$C:$C,Results_list!$C$298,SSP2_Baseline!$D:$D,Results_list!$D21,SSP2_Baseline!$B:$B,2025))) / (SUMIFS(SSP2_Baseline!$E:$E,SSP2_Baseline!$C:$C,Results_list!$C$298,SSP2_Baseline!$D:$D,Results_list!$D21,SSP2_Baseline!$B:$B,2025))</f>
        <v>-0.23922202351997826</v>
      </c>
      <c r="BD21" s="17">
        <f>((SUMIFS(SSP2_VSI!$F:$F,SSP2_VSI!$C:$C,Results_list!$C$298,SSP2_VSI!$D:$D,Results_list!$D21,SSP2_VSI!$B:$B,2040)) - (SUMIFS(SSP2_VSI!$F:$F,SSP2_VSI!$C:$C,Results_list!$C$298,SSP2_VSI!$D:$D,Results_list!$D21,SSP2_VSI!$B:$B,2025))) / (SUMIFS(SSP2_VSI!$F:$F,SSP2_VSI!$C:$C,Results_list!$C$298,SSP2_VSI!$D:$D,Results_list!$D21,SSP2_VSI!$B:$B,2025))</f>
        <v>-0.23931626447996854</v>
      </c>
      <c r="BE21" s="15">
        <f t="shared" si="10"/>
        <v>0</v>
      </c>
      <c r="BF21" s="14">
        <f>((SUMIFS(SSP5_Baseline!$E:$E,SSP5_Baseline!$C:$C,Results_list!$C$298,SSP5_Baseline!$D:$D,Results_list!$D21,SSP5_Baseline!$B:$B,2040)) - (SUMIFS(SSP5_Baseline!$E:$E,SSP5_Baseline!$C:$C,Results_list!$C$298,SSP5_Baseline!$D:$D,Results_list!$D21,SSP5_Baseline!$B:$B,2025))) / (SUMIFS(SSP5_Baseline!$E:$E,SSP5_Baseline!$C:$C,Results_list!$C$298,SSP5_Baseline!$D:$D,Results_list!$D21,SSP5_Baseline!$B:$B,2025))</f>
        <v>-6.3393266535755874E-2</v>
      </c>
      <c r="BG21" s="17">
        <f>((SUMIFS(SSP5_VSI!$F:$F,SSP5_VSI!$C:$C,Results_list!$C$298,SSP5_VSI!$D:$D,Results_list!$D21,SSP5_VSI!$B:$B,2040)) - (SUMIFS(SSP5_VSI!$F:$F,SSP5_VSI!$C:$C,Results_list!$C$298,SSP5_VSI!$D:$D,Results_list!$D21,SSP5_VSI!$B:$B,2025))) / (SUMIFS(SSP5_VSI!$F:$F,SSP5_VSI!$C:$C,Results_list!$C$298,SSP5_VSI!$D:$D,Results_list!$D21,SSP5_VSI!$B:$B,2025))</f>
        <v>-6.3332714696773193E-2</v>
      </c>
      <c r="BH21" s="15">
        <f t="shared" si="11"/>
        <v>0</v>
      </c>
    </row>
    <row r="22" spans="2:60" x14ac:dyDescent="0.35">
      <c r="G22" s="5"/>
    </row>
    <row r="23" spans="2:60" x14ac:dyDescent="0.35">
      <c r="F23" s="2"/>
      <c r="G23" s="78" t="s">
        <v>3</v>
      </c>
      <c r="H23" s="79"/>
      <c r="I23" s="79"/>
      <c r="J23" s="79"/>
      <c r="K23" s="79"/>
      <c r="L23" s="79"/>
      <c r="M23" s="79"/>
      <c r="N23" s="79"/>
      <c r="O23" s="80"/>
      <c r="U23" s="2"/>
      <c r="V23" s="78" t="s">
        <v>3</v>
      </c>
      <c r="W23" s="79"/>
      <c r="X23" s="79"/>
      <c r="Y23" s="79"/>
      <c r="Z23" s="79"/>
      <c r="AA23" s="79"/>
      <c r="AB23" s="79"/>
      <c r="AC23" s="79"/>
      <c r="AD23" s="80"/>
      <c r="AJ23" s="2"/>
      <c r="AK23" s="78" t="s">
        <v>3</v>
      </c>
      <c r="AL23" s="79"/>
      <c r="AM23" s="79"/>
      <c r="AN23" s="79"/>
      <c r="AO23" s="79"/>
      <c r="AP23" s="79"/>
      <c r="AQ23" s="79"/>
      <c r="AR23" s="79"/>
      <c r="AS23" s="80"/>
      <c r="AY23" s="2"/>
      <c r="AZ23" s="78" t="s">
        <v>3</v>
      </c>
      <c r="BA23" s="79"/>
      <c r="BB23" s="79"/>
      <c r="BC23" s="79"/>
      <c r="BD23" s="79"/>
      <c r="BE23" s="79"/>
      <c r="BF23" s="79"/>
      <c r="BG23" s="79"/>
      <c r="BH23" s="80"/>
    </row>
    <row r="24" spans="2:60" ht="43.5" x14ac:dyDescent="0.35">
      <c r="B24" s="8" t="s">
        <v>30</v>
      </c>
      <c r="C24" s="8" t="s">
        <v>30</v>
      </c>
      <c r="D24" s="7" t="s">
        <v>106</v>
      </c>
      <c r="F24" s="7" t="s">
        <v>105</v>
      </c>
      <c r="G24" s="10" t="s">
        <v>0</v>
      </c>
      <c r="H24" s="11" t="s">
        <v>108</v>
      </c>
      <c r="I24" s="18" t="s">
        <v>107</v>
      </c>
      <c r="J24" s="10" t="s">
        <v>1</v>
      </c>
      <c r="K24" s="11" t="s">
        <v>109</v>
      </c>
      <c r="L24" s="18" t="s">
        <v>107</v>
      </c>
      <c r="M24" s="10" t="s">
        <v>2</v>
      </c>
      <c r="N24" s="11" t="s">
        <v>110</v>
      </c>
      <c r="O24" s="18" t="s">
        <v>107</v>
      </c>
      <c r="Q24" s="8" t="s">
        <v>30</v>
      </c>
      <c r="R24" s="8" t="s">
        <v>30</v>
      </c>
      <c r="S24" s="6" t="s">
        <v>106</v>
      </c>
      <c r="U24" s="7" t="s">
        <v>105</v>
      </c>
      <c r="V24" s="10" t="s">
        <v>0</v>
      </c>
      <c r="W24" s="11" t="s">
        <v>108</v>
      </c>
      <c r="X24" s="18" t="s">
        <v>107</v>
      </c>
      <c r="Y24" s="10" t="s">
        <v>1</v>
      </c>
      <c r="Z24" s="11" t="s">
        <v>109</v>
      </c>
      <c r="AA24" s="18" t="s">
        <v>107</v>
      </c>
      <c r="AB24" s="10" t="s">
        <v>2</v>
      </c>
      <c r="AC24" s="11" t="s">
        <v>110</v>
      </c>
      <c r="AD24" s="18" t="s">
        <v>107</v>
      </c>
      <c r="AF24" s="8" t="s">
        <v>30</v>
      </c>
      <c r="AG24" s="8" t="s">
        <v>30</v>
      </c>
      <c r="AH24" s="6" t="s">
        <v>106</v>
      </c>
      <c r="AI24" s="18" t="s">
        <v>131</v>
      </c>
      <c r="AJ24" s="7" t="s">
        <v>105</v>
      </c>
      <c r="AK24" s="10" t="s">
        <v>0</v>
      </c>
      <c r="AL24" s="11" t="s">
        <v>108</v>
      </c>
      <c r="AM24" s="18" t="s">
        <v>107</v>
      </c>
      <c r="AN24" s="10" t="s">
        <v>1</v>
      </c>
      <c r="AO24" s="11" t="s">
        <v>109</v>
      </c>
      <c r="AP24" s="18" t="s">
        <v>107</v>
      </c>
      <c r="AQ24" s="10" t="s">
        <v>2</v>
      </c>
      <c r="AR24" s="11" t="s">
        <v>110</v>
      </c>
      <c r="AS24" s="18" t="s">
        <v>107</v>
      </c>
      <c r="AU24" s="8" t="s">
        <v>30</v>
      </c>
      <c r="AV24" s="8" t="s">
        <v>30</v>
      </c>
      <c r="AW24" s="6" t="s">
        <v>106</v>
      </c>
      <c r="AX24" s="18"/>
      <c r="AY24" s="7" t="s">
        <v>105</v>
      </c>
      <c r="AZ24" s="10" t="s">
        <v>0</v>
      </c>
      <c r="BA24" s="11" t="s">
        <v>108</v>
      </c>
      <c r="BB24" s="18" t="s">
        <v>107</v>
      </c>
      <c r="BC24" s="10" t="s">
        <v>1</v>
      </c>
      <c r="BD24" s="11" t="s">
        <v>109</v>
      </c>
      <c r="BE24" s="18" t="s">
        <v>107</v>
      </c>
      <c r="BF24" s="10" t="s">
        <v>2</v>
      </c>
      <c r="BG24" s="11" t="s">
        <v>110</v>
      </c>
      <c r="BH24" s="18" t="s">
        <v>107</v>
      </c>
    </row>
    <row r="25" spans="2:60" x14ac:dyDescent="0.35">
      <c r="B25" s="91" t="s">
        <v>129</v>
      </c>
      <c r="C25" s="91" t="s">
        <v>125</v>
      </c>
      <c r="D25" t="s">
        <v>38</v>
      </c>
      <c r="F25" s="3" t="s">
        <v>87</v>
      </c>
      <c r="G25" s="12">
        <f>((SUMIFS(SSP1_Baseline!$E:$E,SSP1_Baseline!$C:$C,Results_list!$C$25,SSP1_Baseline!$D:$D,Results_list!$D25,SSP1_Baseline!$B:$B,2040))
- (SUMIFS(SSP1_Baseline!$E:$E,SSP1_Baseline!$C:$C,Results_list!$C$25,SSP1_Baseline!$D:$D,Results_list!$D25,SSP1_Baseline!$B:$B,2025)))
/ (SUMIFS(SSP1_Baseline!$E:$E,SSP1_Baseline!$C:$C,Results_list!$C$25,SSP1_Baseline!$D:$D,Results_list!$D25,SSP1_Baseline!$B:$B,2025))</f>
        <v>-0.10860359278523213</v>
      </c>
      <c r="H25" s="16">
        <f>((SUMIFS(SSP1_VSI!$F:$F,SSP1_VSI!$C:$C,Results_list!$C$25,SSP1_VSI!$D:$D,Results_list!$D25,SSP1_VSI!$B:$B,2040))
- (SUMIFS(SSP1_VSI!$F:$F,SSP1_VSI!$C:$C,Results_list!$C$25,SSP1_VSI!$D:$D,Results_list!$D25,SSP1_VSI!$B:$B,2025)))
/ (SUMIFS(SSP1_VSI!$F:$F,SSP1_VSI!$C:$C,Results_list!$C$25,SSP1_VSI!$D:$D,Results_list!$D25,SSP1_VSI!$B:$B,2025))</f>
        <v>-0.13098718505259674</v>
      </c>
      <c r="I25" s="19">
        <f>ROUND(H25-G25,3)</f>
        <v>-2.1999999999999999E-2</v>
      </c>
      <c r="J25" s="12">
        <f>((SUMIFS(SSP2_Baseline!$E:$E,SSP2_Baseline!$C:$C,Results_list!$C$25,SSP2_Baseline!$D:$D,Results_list!$D25,SSP2_Baseline!$B:$B,2040))
- (SUMIFS(SSP2_Baseline!$E:$E,SSP2_Baseline!$C:$C,Results_list!$C$25,SSP2_Baseline!$D:$D,Results_list!$D25,SSP2_Baseline!$B:$B,2025)))
/ (SUMIFS(SSP2_Baseline!$E:$E,SSP2_Baseline!$C:$C,Results_list!$C$25,SSP2_Baseline!$D:$D,Results_list!$D25,SSP2_Baseline!$B:$B,2025))</f>
        <v>0.73496018944813879</v>
      </c>
      <c r="K25" s="16">
        <f>((SUMIFS(SSP2_VSI!$F:$F,SSP2_VSI!$C:$C,Results_list!$C$25,SSP2_VSI!$D:$D,Results_list!$D25,SSP2_VSI!$B:$B,2040))
- (SUMIFS(SSP2_VSI!$F:$F,SSP2_VSI!$C:$C,Results_list!$C$25,SSP2_VSI!$D:$D,Results_list!$D25,SSP2_VSI!$B:$B,2025)))
/ (SUMIFS(SSP2_VSI!$F:$F,SSP2_VSI!$C:$C,Results_list!$C$25,SSP2_VSI!$D:$D,Results_list!$D25,SSP2_VSI!$B:$B,2025))</f>
        <v>0.65894041241145151</v>
      </c>
      <c r="L25" s="19">
        <f>ROUND(K25-J25,2)</f>
        <v>-0.08</v>
      </c>
      <c r="M25" s="12">
        <f>((SUMIFS(SSP5_Baseline!$E:$E,SSP5_Baseline!$C:$C,Results_list!$C$25,SSP5_Baseline!$D:$D,Results_list!$D25,SSP5_Baseline!$B:$B,2040))
- (SUMIFS(SSP5_Baseline!$E:$E,SSP5_Baseline!$C:$C,Results_list!$C$25,SSP5_Baseline!$D:$D,Results_list!$D25,SSP5_Baseline!$B:$B,2025)))
/ (SUMIFS(SSP5_Baseline!$E:$E,SSP5_Baseline!$C:$C,Results_list!$C$25,SSP5_Baseline!$D:$D,Results_list!$D25,SSP5_Baseline!$B:$B,2025))</f>
        <v>1.4199223089573054</v>
      </c>
      <c r="N25" s="16">
        <f>((SUMIFS(SSP5_VSI!$F:$F,SSP5_VSI!$C:$C,Results_list!$C$25,SSP5_VSI!$D:$D,Results_list!$D25,SSP5_VSI!$B:$B,2040))
- (SUMIFS(SSP5_VSI!$F:$F,SSP5_VSI!$C:$C,Results_list!$C$25,SSP5_VSI!$D:$D,Results_list!$D25,SSP5_VSI!$B:$B,2025)))
/ (SUMIFS(SSP5_VSI!$F:$F,SSP5_VSI!$C:$C,Results_list!$C$25,SSP5_VSI!$D:$D,Results_list!$D25,SSP5_VSI!$B:$B,2025))</f>
        <v>1.3287322506594887</v>
      </c>
      <c r="O25" s="19">
        <f>ROUND(N25-M25,2)</f>
        <v>-0.09</v>
      </c>
      <c r="Q25" s="91" t="s">
        <v>115</v>
      </c>
      <c r="R25" s="91" t="s">
        <v>61</v>
      </c>
      <c r="S25" s="22" t="s">
        <v>38</v>
      </c>
      <c r="U25" s="3" t="s">
        <v>87</v>
      </c>
      <c r="V25" s="12">
        <f>((SUMIFS(SSP1_Baseline!$E:$E,SSP1_Baseline!$C:$C,Results_list!$C$130,SSP1_Baseline!$D:$D,Results_list!$D130,SSP1_Baseline!$B:$B,2040))
- (SUMIFS(SSP1_Baseline!$E:$E,SSP1_Baseline!$C:$C,Results_list!$C$130,SSP1_Baseline!$D:$D,Results_list!$D130,SSP1_Baseline!$B:$B,2025)))
/ (SUMIFS(SSP1_Baseline!$E:$E,SSP1_Baseline!$C:$C,Results_list!$C$130,SSP1_Baseline!$D:$D,Results_list!$D130,SSP1_Baseline!$B:$B,2025))</f>
        <v>-6.0792318782618926E-2</v>
      </c>
      <c r="W25" s="16">
        <f>((SUMIFS(SSP1_VSI!$F:$F,SSP1_VSI!$C:$C,Results_list!$C$130,SSP1_VSI!$D:$D,Results_list!$D130,SSP1_VSI!$B:$B,2040))
- (SUMIFS(SSP1_VSI!$F:$F,SSP1_VSI!$C:$C,Results_list!$C$130,SSP1_VSI!$D:$D,Results_list!$D130,SSP1_VSI!$B:$B,2025)))
/ (SUMIFS(SSP1_VSI!$F:$F,SSP1_VSI!$C:$C,Results_list!$C$130,SSP1_VSI!$D:$D,Results_list!$D130,SSP1_VSI!$B:$B,2025))</f>
        <v>-0.1466845697604558</v>
      </c>
      <c r="X25" s="19">
        <f>ROUND(W25-V25,3)</f>
        <v>-8.5999999999999993E-2</v>
      </c>
      <c r="Y25" s="12">
        <f>((SUMIFS(SSP2_Baseline!$E:$E,SSP2_Baseline!$C:$C,Results_list!$C$130,SSP2_Baseline!$D:$D,Results_list!$D130,SSP2_Baseline!$B:$B,2040))
- (SUMIFS(SSP2_Baseline!$E:$E,SSP2_Baseline!$C:$C,Results_list!$C$130,SSP2_Baseline!$D:$D,Results_list!$D130,SSP2_Baseline!$B:$B,2025)))
/ (SUMIFS(SSP2_Baseline!$E:$E,SSP2_Baseline!$C:$C,Results_list!$C$130,SSP2_Baseline!$D:$D,Results_list!$D130,SSP2_Baseline!$B:$B,2025))</f>
        <v>0.32983976204437315</v>
      </c>
      <c r="Z25" s="16">
        <f>((SUMIFS(SSP2_VSI!$F:$F,SSP2_VSI!$C:$C,Results_list!$C$130,SSP2_VSI!$D:$D,Results_list!$D130,SSP2_VSI!$B:$B,2040))
- (SUMIFS(SSP2_VSI!$F:$F,SSP2_VSI!$C:$C,Results_list!$C$130,SSP2_VSI!$D:$D,Results_list!$D130,SSP2_VSI!$B:$B,2025)))
/ (SUMIFS(SSP2_VSI!$F:$F,SSP2_VSI!$C:$C,Results_list!$C$130,SSP2_VSI!$D:$D,Results_list!$D130,SSP2_VSI!$B:$B,2025))</f>
        <v>0.16561932130258133</v>
      </c>
      <c r="AA25" s="19">
        <f>ROUND(Z25-Y25,2)</f>
        <v>-0.16</v>
      </c>
      <c r="AB25" s="12">
        <f>((SUMIFS(SSP5_Baseline!$E:$E,SSP5_Baseline!$C:$C,Results_list!$C$130,SSP5_Baseline!$D:$D,Results_list!$D130,SSP5_Baseline!$B:$B,2040))
- (SUMIFS(SSP5_Baseline!$E:$E,SSP5_Baseline!$C:$C,Results_list!$C$130,SSP5_Baseline!$D:$D,Results_list!$D130,SSP5_Baseline!$B:$B,2025)))
/ (SUMIFS(SSP5_Baseline!$E:$E,SSP5_Baseline!$C:$C,Results_list!$C$130,SSP5_Baseline!$D:$D,Results_list!$D130,SSP5_Baseline!$B:$B,2025))</f>
        <v>0.53528019598641363</v>
      </c>
      <c r="AC25" s="16">
        <f>((SUMIFS(SSP5_VSI!$F:$F,SSP5_VSI!$C:$C,Results_list!$C$130,SSP5_VSI!$D:$D,Results_list!$D130,SSP5_VSI!$B:$B,2040))
- (SUMIFS(SSP5_VSI!$F:$F,SSP5_VSI!$C:$C,Results_list!$C$130,SSP5_VSI!$D:$D,Results_list!$D130,SSP5_VSI!$B:$B,2025)))
/ (SUMIFS(SSP5_VSI!$F:$F,SSP5_VSI!$C:$C,Results_list!$C$130,SSP5_VSI!$D:$D,Results_list!$D130,SSP5_VSI!$B:$B,2025))</f>
        <v>0.36207163920893753</v>
      </c>
      <c r="AD25" s="19">
        <f>ROUND(AC25-AB25,2)</f>
        <v>-0.17</v>
      </c>
      <c r="AF25" s="85" t="s">
        <v>119</v>
      </c>
      <c r="AG25" s="85" t="s">
        <v>69</v>
      </c>
      <c r="AH25" s="22" t="s">
        <v>38</v>
      </c>
      <c r="AI25" s="24" t="s">
        <v>71</v>
      </c>
      <c r="AJ25" s="3" t="s">
        <v>87</v>
      </c>
      <c r="AK25" s="12">
        <v>0.13339074274014204</v>
      </c>
      <c r="AL25" s="16">
        <v>0.13337722878353572</v>
      </c>
      <c r="AM25" s="19">
        <f>ROUND(AL25-AK25,3)</f>
        <v>0</v>
      </c>
      <c r="AN25" s="12">
        <v>1.494548195134876</v>
      </c>
      <c r="AO25" s="16">
        <v>1.4947320658166316</v>
      </c>
      <c r="AP25" s="19">
        <f>ROUND(AO25-AN25,2)</f>
        <v>0</v>
      </c>
      <c r="AQ25" s="12">
        <v>2.9797873738085388</v>
      </c>
      <c r="AR25" s="16">
        <v>2.9798187987213307</v>
      </c>
      <c r="AS25" s="19">
        <f>ROUND(AR25-AQ25,2)</f>
        <v>0</v>
      </c>
      <c r="AU25" s="87" t="s">
        <v>132</v>
      </c>
      <c r="AV25" s="87" t="s">
        <v>80</v>
      </c>
      <c r="AW25" s="22" t="s">
        <v>38</v>
      </c>
      <c r="AX25" s="24" t="s">
        <v>82</v>
      </c>
      <c r="AY25" s="3" t="s">
        <v>87</v>
      </c>
      <c r="AZ25" s="12">
        <v>-0.16122677300556143</v>
      </c>
      <c r="BA25" s="16">
        <v>-0.16122457495213474</v>
      </c>
      <c r="BB25" s="19">
        <f>ROUND(BA25-AZ25,3)</f>
        <v>0</v>
      </c>
      <c r="BC25" s="12">
        <v>0.77782817366013124</v>
      </c>
      <c r="BD25" s="16">
        <v>0.77789194213066248</v>
      </c>
      <c r="BE25" s="19">
        <f>ROUND(BD25-BC25,2)</f>
        <v>0</v>
      </c>
      <c r="BF25" s="12">
        <v>1.4050087383484433</v>
      </c>
      <c r="BG25" s="16">
        <v>1.4050658608833657</v>
      </c>
      <c r="BH25" s="19">
        <f>ROUND(BG25-BF25,2)</f>
        <v>0</v>
      </c>
    </row>
    <row r="26" spans="2:60" x14ac:dyDescent="0.35">
      <c r="B26" s="91"/>
      <c r="C26" s="91"/>
      <c r="D26" t="s">
        <v>40</v>
      </c>
      <c r="F26" s="3" t="s">
        <v>88</v>
      </c>
      <c r="G26" s="12">
        <f>((SUMIFS(SSP1_Baseline!$E:$E,SSP1_Baseline!$C:$C,Results_list!$C$25,SSP1_Baseline!$D:$D,Results_list!$D26,SSP1_Baseline!$B:$B,2040)) - (SUMIFS(SSP1_Baseline!$E:$E,SSP1_Baseline!$C:$C,Results_list!$C$25,SSP1_Baseline!$D:$D,Results_list!$D26,SSP1_Baseline!$B:$B,2025))) / (SUMIFS(SSP1_Baseline!$E:$E,SSP1_Baseline!$C:$C,Results_list!$C$25,SSP1_Baseline!$D:$D,Results_list!$D26,SSP1_Baseline!$B:$B,2025))</f>
        <v>-4.7633201311955238E-3</v>
      </c>
      <c r="H26" s="16">
        <f>((SUMIFS(SSP1_VSI!$F:$F,SSP1_VSI!$C:$C,Results_list!$C$25,SSP1_VSI!$D:$D,Results_list!$D26,SSP1_VSI!$B:$B,2040)) - (SUMIFS(SSP1_VSI!$F:$F,SSP1_VSI!$C:$C,Results_list!$C$25,SSP1_VSI!$D:$D,Results_list!$D26,SSP1_VSI!$B:$B,2025))) / (SUMIFS(SSP1_VSI!$F:$F,SSP1_VSI!$C:$C,Results_list!$C$25,SSP1_VSI!$D:$D,Results_list!$D26,SSP1_VSI!$B:$B,2025))</f>
        <v>-4.7639340645607379E-3</v>
      </c>
      <c r="I26" s="13">
        <f t="shared" ref="I26:I42" si="12">ROUND(H26-G26,3)</f>
        <v>0</v>
      </c>
      <c r="J26" s="12">
        <f>((SUMIFS(SSP2_Baseline!$E:$E,SSP2_Baseline!$C:$C,Results_list!$C$25,SSP2_Baseline!$D:$D,Results_list!$D26,SSP2_Baseline!$B:$B,2040)) - (SUMIFS(SSP2_Baseline!$E:$E,SSP2_Baseline!$C:$C,Results_list!$C$25,SSP2_Baseline!$D:$D,Results_list!$D26,SSP2_Baseline!$B:$B,2025))) / (SUMIFS(SSP2_Baseline!$E:$E,SSP2_Baseline!$C:$C,Results_list!$C$25,SSP2_Baseline!$D:$D,Results_list!$D26,SSP2_Baseline!$B:$B,2025))</f>
        <v>-8.0161815457308952E-3</v>
      </c>
      <c r="K26" s="16">
        <f>((SUMIFS(SSP2_VSI!$F:$F,SSP2_VSI!$C:$C,Results_list!$C$25,SSP2_VSI!$D:$D,Results_list!$D26,SSP2_VSI!$B:$B,2040)) - (SUMIFS(SSP2_VSI!$F:$F,SSP2_VSI!$C:$C,Results_list!$C$25,SSP2_VSI!$D:$D,Results_list!$D26,SSP2_VSI!$B:$B,2025))) / (SUMIFS(SSP2_VSI!$F:$F,SSP2_VSI!$C:$C,Results_list!$C$25,SSP2_VSI!$D:$D,Results_list!$D26,SSP2_VSI!$B:$B,2025))</f>
        <v>-8.0174421135557807E-3</v>
      </c>
      <c r="L26" s="13">
        <f t="shared" ref="L26:L42" si="13">ROUND(K26-J26,2)</f>
        <v>0</v>
      </c>
      <c r="M26" s="12">
        <f>((SUMIFS(SSP5_Baseline!$E:$E,SSP5_Baseline!$C:$C,Results_list!$C$25,SSP5_Baseline!$D:$D,Results_list!$D26,SSP5_Baseline!$B:$B,2040)) - (SUMIFS(SSP5_Baseline!$E:$E,SSP5_Baseline!$C:$C,Results_list!$C$25,SSP5_Baseline!$D:$D,Results_list!$D26,SSP5_Baseline!$B:$B,2025))) / (SUMIFS(SSP5_Baseline!$E:$E,SSP5_Baseline!$C:$C,Results_list!$C$25,SSP5_Baseline!$D:$D,Results_list!$D26,SSP5_Baseline!$B:$B,2025))</f>
        <v>2.3752316493803941E-2</v>
      </c>
      <c r="N26" s="16">
        <f>((SUMIFS(SSP5_VSI!$F:$F,SSP5_VSI!$C:$C,Results_list!$C$25,SSP5_VSI!$D:$D,Results_list!$D26,SSP5_VSI!$B:$B,2040)) - (SUMIFS(SSP5_VSI!$F:$F,SSP5_VSI!$C:$C,Results_list!$C$25,SSP5_VSI!$D:$D,Results_list!$D26,SSP5_VSI!$B:$B,2025))) / (SUMIFS(SSP5_VSI!$F:$F,SSP5_VSI!$C:$C,Results_list!$C$25,SSP5_VSI!$D:$D,Results_list!$D26,SSP5_VSI!$B:$B,2025))</f>
        <v>2.3750761503749319E-2</v>
      </c>
      <c r="O26" s="13">
        <f t="shared" ref="O26:O42" si="14">ROUND(N26-M26,2)</f>
        <v>0</v>
      </c>
      <c r="Q26" s="91"/>
      <c r="R26" s="91"/>
      <c r="S26" s="22" t="s">
        <v>40</v>
      </c>
      <c r="U26" s="3" t="s">
        <v>88</v>
      </c>
      <c r="V26" s="12">
        <f>((SUMIFS(SSP1_Baseline!$E:$E,SSP1_Baseline!$C:$C,Results_list!$C$130,SSP1_Baseline!$D:$D,Results_list!$D131,SSP1_Baseline!$B:$B,2040)) - (SUMIFS(SSP1_Baseline!$E:$E,SSP1_Baseline!$C:$C,Results_list!$C$130,SSP1_Baseline!$D:$D,Results_list!$D131,SSP1_Baseline!$B:$B,2025))) / (SUMIFS(SSP1_Baseline!$E:$E,SSP1_Baseline!$C:$C,Results_list!$C$130,SSP1_Baseline!$D:$D,Results_list!$D131,SSP1_Baseline!$B:$B,2025))</f>
        <v>2.6067838306918806E-2</v>
      </c>
      <c r="W26" s="16">
        <f>((SUMIFS(SSP1_VSI!$F:$F,SSP1_VSI!$C:$C,Results_list!$C$130,SSP1_VSI!$D:$D,Results_list!$D131,SSP1_VSI!$B:$B,2040)) - (SUMIFS(SSP1_VSI!$F:$F,SSP1_VSI!$C:$C,Results_list!$C$130,SSP1_VSI!$D:$D,Results_list!$D131,SSP1_VSI!$B:$B,2025))) / (SUMIFS(SSP1_VSI!$F:$F,SSP1_VSI!$C:$C,Results_list!$C$130,SSP1_VSI!$D:$D,Results_list!$D131,SSP1_VSI!$B:$B,2025))</f>
        <v>2.6051227524195305E-2</v>
      </c>
      <c r="X26" s="13">
        <f t="shared" ref="X26:X42" si="15">ROUND(W26-V26,3)</f>
        <v>0</v>
      </c>
      <c r="Y26" s="12">
        <f>((SUMIFS(SSP2_Baseline!$E:$E,SSP2_Baseline!$C:$C,Results_list!$C$130,SSP2_Baseline!$D:$D,Results_list!$D131,SSP2_Baseline!$B:$B,2040)) - (SUMIFS(SSP2_Baseline!$E:$E,SSP2_Baseline!$C:$C,Results_list!$C$130,SSP2_Baseline!$D:$D,Results_list!$D131,SSP2_Baseline!$B:$B,2025))) / (SUMIFS(SSP2_Baseline!$E:$E,SSP2_Baseline!$C:$C,Results_list!$C$130,SSP2_Baseline!$D:$D,Results_list!$D131,SSP2_Baseline!$B:$B,2025))</f>
        <v>1.9768393578845619E-2</v>
      </c>
      <c r="Z26" s="16">
        <f>((SUMIFS(SSP2_VSI!$F:$F,SSP2_VSI!$C:$C,Results_list!$C$130,SSP2_VSI!$D:$D,Results_list!$D131,SSP2_VSI!$B:$B,2040)) - (SUMIFS(SSP2_VSI!$F:$F,SSP2_VSI!$C:$C,Results_list!$C$130,SSP2_VSI!$D:$D,Results_list!$D131,SSP2_VSI!$B:$B,2025))) / (SUMIFS(SSP2_VSI!$F:$F,SSP2_VSI!$C:$C,Results_list!$C$130,SSP2_VSI!$D:$D,Results_list!$D131,SSP2_VSI!$B:$B,2025))</f>
        <v>1.9725086542484244E-2</v>
      </c>
      <c r="AA26" s="13">
        <f t="shared" ref="AA26:AA42" si="16">ROUND(Z26-Y26,2)</f>
        <v>0</v>
      </c>
      <c r="AB26" s="12">
        <f>((SUMIFS(SSP5_Baseline!$E:$E,SSP5_Baseline!$C:$C,Results_list!$C$130,SSP5_Baseline!$D:$D,Results_list!$D131,SSP5_Baseline!$B:$B,2040)) - (SUMIFS(SSP5_Baseline!$E:$E,SSP5_Baseline!$C:$C,Results_list!$C$130,SSP5_Baseline!$D:$D,Results_list!$D131,SSP5_Baseline!$B:$B,2025))) / (SUMIFS(SSP5_Baseline!$E:$E,SSP5_Baseline!$C:$C,Results_list!$C$130,SSP5_Baseline!$D:$D,Results_list!$D131,SSP5_Baseline!$B:$B,2025))</f>
        <v>-5.0113640557137989E-3</v>
      </c>
      <c r="AC26" s="16">
        <f>((SUMIFS(SSP5_VSI!$F:$F,SSP5_VSI!$C:$C,Results_list!$C$130,SSP5_VSI!$D:$D,Results_list!$D131,SSP5_VSI!$B:$B,2040)) - (SUMIFS(SSP5_VSI!$F:$F,SSP5_VSI!$C:$C,Results_list!$C$130,SSP5_VSI!$D:$D,Results_list!$D131,SSP5_VSI!$B:$B,2025))) / (SUMIFS(SSP5_VSI!$F:$F,SSP5_VSI!$C:$C,Results_list!$C$130,SSP5_VSI!$D:$D,Results_list!$D131,SSP5_VSI!$B:$B,2025))</f>
        <v>-5.0476416936009261E-3</v>
      </c>
      <c r="AD26" s="13">
        <f t="shared" ref="AD26:AD42" si="17">ROUND(AC26-AB26,2)</f>
        <v>0</v>
      </c>
      <c r="AF26" s="85"/>
      <c r="AG26" s="85"/>
      <c r="AH26" s="22" t="s">
        <v>40</v>
      </c>
      <c r="AI26" s="25" t="s">
        <v>71</v>
      </c>
      <c r="AJ26" s="3" t="s">
        <v>88</v>
      </c>
      <c r="AK26" s="12">
        <v>-4.6291910091483673E-2</v>
      </c>
      <c r="AL26" s="16">
        <v>-4.629133132801197E-2</v>
      </c>
      <c r="AM26" s="13">
        <f t="shared" ref="AM26:AM42" si="18">ROUND(AL26-AK26,3)</f>
        <v>0</v>
      </c>
      <c r="AN26" s="12">
        <v>-4.4546460129820081E-2</v>
      </c>
      <c r="AO26" s="16">
        <v>-4.4549022712921667E-2</v>
      </c>
      <c r="AP26" s="13">
        <f t="shared" ref="AP26:AP42" si="19">ROUND(AO26-AN26,2)</f>
        <v>0</v>
      </c>
      <c r="AQ26" s="12">
        <v>-2.7973113346773928E-3</v>
      </c>
      <c r="AR26" s="16">
        <v>-2.7965825555305848E-3</v>
      </c>
      <c r="AS26" s="13">
        <f t="shared" ref="AS26:AS42" si="20">ROUND(AR26-AQ26,2)</f>
        <v>0</v>
      </c>
      <c r="AU26" s="87"/>
      <c r="AV26" s="87"/>
      <c r="AW26" s="22" t="s">
        <v>40</v>
      </c>
      <c r="AX26" s="25" t="s">
        <v>82</v>
      </c>
      <c r="AY26" s="3" t="s">
        <v>88</v>
      </c>
      <c r="AZ26" s="12">
        <v>-0.24032982094310718</v>
      </c>
      <c r="BA26" s="16">
        <v>-0.24032832503245163</v>
      </c>
      <c r="BB26" s="13">
        <f t="shared" ref="BB26:BB42" si="21">ROUND(BA26-AZ26,3)</f>
        <v>0</v>
      </c>
      <c r="BC26" s="12">
        <v>-0.22899359063134259</v>
      </c>
      <c r="BD26" s="16">
        <v>-0.22900274136834328</v>
      </c>
      <c r="BE26" s="13">
        <f t="shared" ref="BE26:BE42" si="22">ROUND(BD26-BC26,2)</f>
        <v>0</v>
      </c>
      <c r="BF26" s="12">
        <v>-5.8125108711672174E-2</v>
      </c>
      <c r="BG26" s="16">
        <v>-5.812170862566416E-2</v>
      </c>
      <c r="BH26" s="13">
        <f t="shared" ref="BH26:BH42" si="23">ROUND(BG26-BF26,2)</f>
        <v>0</v>
      </c>
    </row>
    <row r="27" spans="2:60" x14ac:dyDescent="0.35">
      <c r="B27" s="91"/>
      <c r="C27" s="91"/>
      <c r="D27" t="s">
        <v>41</v>
      </c>
      <c r="F27" s="3" t="s">
        <v>89</v>
      </c>
      <c r="G27" s="12">
        <f>((SUMIFS(SSP1_Baseline!$E:$E,SSP1_Baseline!$C:$C,Results_list!$C$25,SSP1_Baseline!$D:$D,Results_list!$D27,SSP1_Baseline!$B:$B,2040)) - (SUMIFS(SSP1_Baseline!$E:$E,SSP1_Baseline!$C:$C,Results_list!$C$25,SSP1_Baseline!$D:$D,Results_list!$D27,SSP1_Baseline!$B:$B,2025))) / (SUMIFS(SSP1_Baseline!$E:$E,SSP1_Baseline!$C:$C,Results_list!$C$25,SSP1_Baseline!$D:$D,Results_list!$D27,SSP1_Baseline!$B:$B,2025))</f>
        <v>-2.4683329249652369E-2</v>
      </c>
      <c r="H27" s="16">
        <f>((SUMIFS(SSP1_VSI!$F:$F,SSP1_VSI!$C:$C,Results_list!$C$25,SSP1_VSI!$D:$D,Results_list!$D27,SSP1_VSI!$B:$B,2040)) - (SUMIFS(SSP1_VSI!$F:$F,SSP1_VSI!$C:$C,Results_list!$C$25,SSP1_VSI!$D:$D,Results_list!$D27,SSP1_VSI!$B:$B,2025))) / (SUMIFS(SSP1_VSI!$F:$F,SSP1_VSI!$C:$C,Results_list!$C$25,SSP1_VSI!$D:$D,Results_list!$D27,SSP1_VSI!$B:$B,2025))</f>
        <v>-4.5218978971807718E-2</v>
      </c>
      <c r="I27" s="13">
        <f t="shared" si="12"/>
        <v>-2.1000000000000001E-2</v>
      </c>
      <c r="J27" s="12">
        <f>((SUMIFS(SSP2_Baseline!$E:$E,SSP2_Baseline!$C:$C,Results_list!$C$25,SSP2_Baseline!$D:$D,Results_list!$D27,SSP2_Baseline!$B:$B,2040)) - (SUMIFS(SSP2_Baseline!$E:$E,SSP2_Baseline!$C:$C,Results_list!$C$25,SSP2_Baseline!$D:$D,Results_list!$D27,SSP2_Baseline!$B:$B,2025))) / (SUMIFS(SSP2_Baseline!$E:$E,SSP2_Baseline!$C:$C,Results_list!$C$25,SSP2_Baseline!$D:$D,Results_list!$D27,SSP2_Baseline!$B:$B,2025))</f>
        <v>-2.4416095943677996E-2</v>
      </c>
      <c r="K27" s="16">
        <f>((SUMIFS(SSP2_VSI!$F:$F,SSP2_VSI!$C:$C,Results_list!$C$25,SSP2_VSI!$D:$D,Results_list!$D27,SSP2_VSI!$B:$B,2040)) - (SUMIFS(SSP2_VSI!$F:$F,SSP2_VSI!$C:$C,Results_list!$C$25,SSP2_VSI!$D:$D,Results_list!$D27,SSP2_VSI!$B:$B,2025))) / (SUMIFS(SSP2_VSI!$F:$F,SSP2_VSI!$C:$C,Results_list!$C$25,SSP2_VSI!$D:$D,Results_list!$D27,SSP2_VSI!$B:$B,2025))</f>
        <v>-4.498242051719005E-2</v>
      </c>
      <c r="L27" s="13">
        <f t="shared" si="13"/>
        <v>-0.02</v>
      </c>
      <c r="M27" s="12">
        <f>((SUMIFS(SSP5_Baseline!$E:$E,SSP5_Baseline!$C:$C,Results_list!$C$25,SSP5_Baseline!$D:$D,Results_list!$D27,SSP5_Baseline!$B:$B,2040)) - (SUMIFS(SSP5_Baseline!$E:$E,SSP5_Baseline!$C:$C,Results_list!$C$25,SSP5_Baseline!$D:$D,Results_list!$D27,SSP5_Baseline!$B:$B,2025))) / (SUMIFS(SSP5_Baseline!$E:$E,SSP5_Baseline!$C:$C,Results_list!$C$25,SSP5_Baseline!$D:$D,Results_list!$D27,SSP5_Baseline!$B:$B,2025))</f>
        <v>-1.3432869496120985E-2</v>
      </c>
      <c r="N27" s="16">
        <f>((SUMIFS(SSP5_VSI!$F:$F,SSP5_VSI!$C:$C,Results_list!$C$25,SSP5_VSI!$D:$D,Results_list!$D27,SSP5_VSI!$B:$B,2040)) - (SUMIFS(SSP5_VSI!$F:$F,SSP5_VSI!$C:$C,Results_list!$C$25,SSP5_VSI!$D:$D,Results_list!$D27,SSP5_VSI!$B:$B,2025))) / (SUMIFS(SSP5_VSI!$F:$F,SSP5_VSI!$C:$C,Results_list!$C$25,SSP5_VSI!$D:$D,Results_list!$D27,SSP5_VSI!$B:$B,2025))</f>
        <v>-3.3945285160446897E-2</v>
      </c>
      <c r="O27" s="13">
        <f t="shared" si="14"/>
        <v>-0.02</v>
      </c>
      <c r="Q27" s="91"/>
      <c r="R27" s="91"/>
      <c r="S27" s="22" t="s">
        <v>41</v>
      </c>
      <c r="U27" s="3" t="s">
        <v>89</v>
      </c>
      <c r="V27" s="12">
        <f>((SUMIFS(SSP1_Baseline!$E:$E,SSP1_Baseline!$C:$C,Results_list!$C$130,SSP1_Baseline!$D:$D,Results_list!$D132,SSP1_Baseline!$B:$B,2040)) - (SUMIFS(SSP1_Baseline!$E:$E,SSP1_Baseline!$C:$C,Results_list!$C$130,SSP1_Baseline!$D:$D,Results_list!$D132,SSP1_Baseline!$B:$B,2025))) / (SUMIFS(SSP1_Baseline!$E:$E,SSP1_Baseline!$C:$C,Results_list!$C$130,SSP1_Baseline!$D:$D,Results_list!$D132,SSP1_Baseline!$B:$B,2025))</f>
        <v>-2.6462710717314411E-3</v>
      </c>
      <c r="W27" s="16">
        <f>((SUMIFS(SSP1_VSI!$F:$F,SSP1_VSI!$C:$C,Results_list!$C$130,SSP1_VSI!$D:$D,Results_list!$D132,SSP1_VSI!$B:$B,2040)) - (SUMIFS(SSP1_VSI!$F:$F,SSP1_VSI!$C:$C,Results_list!$C$130,SSP1_VSI!$D:$D,Results_list!$D132,SSP1_VSI!$B:$B,2025))) / (SUMIFS(SSP1_VSI!$F:$F,SSP1_VSI!$C:$C,Results_list!$C$130,SSP1_VSI!$D:$D,Results_list!$D132,SSP1_VSI!$B:$B,2025))</f>
        <v>-0.70917185677437589</v>
      </c>
      <c r="X27" s="13">
        <f t="shared" si="15"/>
        <v>-0.70699999999999996</v>
      </c>
      <c r="Y27" s="12">
        <f>((SUMIFS(SSP2_Baseline!$E:$E,SSP2_Baseline!$C:$C,Results_list!$C$130,SSP2_Baseline!$D:$D,Results_list!$D132,SSP2_Baseline!$B:$B,2040)) - (SUMIFS(SSP2_Baseline!$E:$E,SSP2_Baseline!$C:$C,Results_list!$C$130,SSP2_Baseline!$D:$D,Results_list!$D132,SSP2_Baseline!$B:$B,2025))) / (SUMIFS(SSP2_Baseline!$E:$E,SSP2_Baseline!$C:$C,Results_list!$C$130,SSP2_Baseline!$D:$D,Results_list!$D132,SSP2_Baseline!$B:$B,2025))</f>
        <v>-1.5017204696393316E-3</v>
      </c>
      <c r="Z27" s="16">
        <f>((SUMIFS(SSP2_VSI!$F:$F,SSP2_VSI!$C:$C,Results_list!$C$130,SSP2_VSI!$D:$D,Results_list!$D132,SSP2_VSI!$B:$B,2040)) - (SUMIFS(SSP2_VSI!$F:$F,SSP2_VSI!$C:$C,Results_list!$C$130,SSP2_VSI!$D:$D,Results_list!$D132,SSP2_VSI!$B:$B,2025))) / (SUMIFS(SSP2_VSI!$F:$F,SSP2_VSI!$C:$C,Results_list!$C$130,SSP2_VSI!$D:$D,Results_list!$D132,SSP2_VSI!$B:$B,2025))</f>
        <v>-0.70900238270475147</v>
      </c>
      <c r="AA27" s="13">
        <f t="shared" si="16"/>
        <v>-0.71</v>
      </c>
      <c r="AB27" s="12">
        <f>((SUMIFS(SSP5_Baseline!$E:$E,SSP5_Baseline!$C:$C,Results_list!$C$130,SSP5_Baseline!$D:$D,Results_list!$D132,SSP5_Baseline!$B:$B,2040)) - (SUMIFS(SSP5_Baseline!$E:$E,SSP5_Baseline!$C:$C,Results_list!$C$130,SSP5_Baseline!$D:$D,Results_list!$D132,SSP5_Baseline!$B:$B,2025))) / (SUMIFS(SSP5_Baseline!$E:$E,SSP5_Baseline!$C:$C,Results_list!$C$130,SSP5_Baseline!$D:$D,Results_list!$D132,SSP5_Baseline!$B:$B,2025))</f>
        <v>4.8458728905570129E-3</v>
      </c>
      <c r="AC27" s="16">
        <f>((SUMIFS(SSP5_VSI!$F:$F,SSP5_VSI!$C:$C,Results_list!$C$130,SSP5_VSI!$D:$D,Results_list!$D132,SSP5_VSI!$B:$B,2040)) - (SUMIFS(SSP5_VSI!$F:$F,SSP5_VSI!$C:$C,Results_list!$C$130,SSP5_VSI!$D:$D,Results_list!$D132,SSP5_VSI!$B:$B,2025))) / (SUMIFS(SSP5_VSI!$F:$F,SSP5_VSI!$C:$C,Results_list!$C$130,SSP5_VSI!$D:$D,Results_list!$D132,SSP5_VSI!$B:$B,2025))</f>
        <v>-0.70162148949115966</v>
      </c>
      <c r="AD27" s="13">
        <f t="shared" si="17"/>
        <v>-0.71</v>
      </c>
      <c r="AF27" s="85"/>
      <c r="AG27" s="85"/>
      <c r="AH27" s="22" t="s">
        <v>41</v>
      </c>
      <c r="AI27" s="25" t="s">
        <v>71</v>
      </c>
      <c r="AJ27" s="3" t="s">
        <v>89</v>
      </c>
      <c r="AK27" s="12">
        <v>-7.1557127564146603E-2</v>
      </c>
      <c r="AL27" s="16">
        <v>-7.1558101515303188E-2</v>
      </c>
      <c r="AM27" s="13">
        <f t="shared" si="18"/>
        <v>0</v>
      </c>
      <c r="AN27" s="12">
        <v>-7.005290454341416E-2</v>
      </c>
      <c r="AO27" s="16">
        <v>-7.0051809883583588E-2</v>
      </c>
      <c r="AP27" s="13">
        <f t="shared" si="19"/>
        <v>0</v>
      </c>
      <c r="AQ27" s="12">
        <v>-3.2989926493858922E-2</v>
      </c>
      <c r="AR27" s="16">
        <v>-3.2989574228720002E-2</v>
      </c>
      <c r="AS27" s="13">
        <f t="shared" si="20"/>
        <v>0</v>
      </c>
      <c r="AU27" s="87"/>
      <c r="AV27" s="87"/>
      <c r="AW27" s="22" t="s">
        <v>41</v>
      </c>
      <c r="AX27" s="25" t="s">
        <v>82</v>
      </c>
      <c r="AY27" s="3" t="s">
        <v>89</v>
      </c>
      <c r="AZ27" s="12">
        <v>-0.25917540984552367</v>
      </c>
      <c r="BA27" s="16">
        <v>-0.25917731491463986</v>
      </c>
      <c r="BB27" s="13">
        <f t="shared" si="21"/>
        <v>0</v>
      </c>
      <c r="BC27" s="12">
        <v>-0.2591002244889033</v>
      </c>
      <c r="BD27" s="16">
        <v>-0.25909778620825857</v>
      </c>
      <c r="BE27" s="13">
        <f t="shared" si="22"/>
        <v>0</v>
      </c>
      <c r="BF27" s="12">
        <v>-0.1423919833404366</v>
      </c>
      <c r="BG27" s="16">
        <v>-0.14239059012772637</v>
      </c>
      <c r="BH27" s="13">
        <f t="shared" si="23"/>
        <v>0</v>
      </c>
    </row>
    <row r="28" spans="2:60" x14ac:dyDescent="0.35">
      <c r="B28" s="91"/>
      <c r="C28" s="91"/>
      <c r="D28" t="s">
        <v>42</v>
      </c>
      <c r="F28" s="3" t="s">
        <v>90</v>
      </c>
      <c r="G28" s="12">
        <f>((SUMIFS(SSP1_Baseline!$E:$E,SSP1_Baseline!$C:$C,Results_list!$C$25,SSP1_Baseline!$D:$D,Results_list!$D28,SSP1_Baseline!$B:$B,2040)) - (SUMIFS(SSP1_Baseline!$E:$E,SSP1_Baseline!$C:$C,Results_list!$C$25,SSP1_Baseline!$D:$D,Results_list!$D28,SSP1_Baseline!$B:$B,2025))) / (SUMIFS(SSP1_Baseline!$E:$E,SSP1_Baseline!$C:$C,Results_list!$C$25,SSP1_Baseline!$D:$D,Results_list!$D28,SSP1_Baseline!$B:$B,2025))</f>
        <v>-1.4180315965115996E-2</v>
      </c>
      <c r="H28" s="16">
        <f>((SUMIFS(SSP1_VSI!$F:$F,SSP1_VSI!$C:$C,Results_list!$C$25,SSP1_VSI!$D:$D,Results_list!$D28,SSP1_VSI!$B:$B,2040)) - (SUMIFS(SSP1_VSI!$F:$F,SSP1_VSI!$C:$C,Results_list!$C$25,SSP1_VSI!$D:$D,Results_list!$D28,SSP1_VSI!$B:$B,2025))) / (SUMIFS(SSP1_VSI!$F:$F,SSP1_VSI!$C:$C,Results_list!$C$25,SSP1_VSI!$D:$D,Results_list!$D28,SSP1_VSI!$B:$B,2025))</f>
        <v>-1.4728101142805211E-2</v>
      </c>
      <c r="I28" s="13">
        <f t="shared" si="12"/>
        <v>-1E-3</v>
      </c>
      <c r="J28" s="12">
        <f>((SUMIFS(SSP2_Baseline!$E:$E,SSP2_Baseline!$C:$C,Results_list!$C$25,SSP2_Baseline!$D:$D,Results_list!$D28,SSP2_Baseline!$B:$B,2040)) - (SUMIFS(SSP2_Baseline!$E:$E,SSP2_Baseline!$C:$C,Results_list!$C$25,SSP2_Baseline!$D:$D,Results_list!$D28,SSP2_Baseline!$B:$B,2025))) / (SUMIFS(SSP2_Baseline!$E:$E,SSP2_Baseline!$C:$C,Results_list!$C$25,SSP2_Baseline!$D:$D,Results_list!$D28,SSP2_Baseline!$B:$B,2025))</f>
        <v>-1.247517728294403E-2</v>
      </c>
      <c r="K28" s="16">
        <f>((SUMIFS(SSP2_VSI!$F:$F,SSP2_VSI!$C:$C,Results_list!$C$25,SSP2_VSI!$D:$D,Results_list!$D28,SSP2_VSI!$B:$B,2040)) - (SUMIFS(SSP2_VSI!$F:$F,SSP2_VSI!$C:$C,Results_list!$C$25,SSP2_VSI!$D:$D,Results_list!$D28,SSP2_VSI!$B:$B,2025))) / (SUMIFS(SSP2_VSI!$F:$F,SSP2_VSI!$C:$C,Results_list!$C$25,SSP2_VSI!$D:$D,Results_list!$D28,SSP2_VSI!$B:$B,2025))</f>
        <v>-1.3024051436705871E-2</v>
      </c>
      <c r="L28" s="13">
        <f t="shared" si="13"/>
        <v>0</v>
      </c>
      <c r="M28" s="12">
        <f>((SUMIFS(SSP5_Baseline!$E:$E,SSP5_Baseline!$C:$C,Results_list!$C$25,SSP5_Baseline!$D:$D,Results_list!$D28,SSP5_Baseline!$B:$B,2040)) - (SUMIFS(SSP5_Baseline!$E:$E,SSP5_Baseline!$C:$C,Results_list!$C$25,SSP5_Baseline!$D:$D,Results_list!$D28,SSP5_Baseline!$B:$B,2025))) / (SUMIFS(SSP5_Baseline!$E:$E,SSP5_Baseline!$C:$C,Results_list!$C$25,SSP5_Baseline!$D:$D,Results_list!$D28,SSP5_Baseline!$B:$B,2025))</f>
        <v>-1.0964581115027941E-2</v>
      </c>
      <c r="N28" s="16">
        <f>((SUMIFS(SSP5_VSI!$F:$F,SSP5_VSI!$C:$C,Results_list!$C$25,SSP5_VSI!$D:$D,Results_list!$D28,SSP5_VSI!$B:$B,2040)) - (SUMIFS(SSP5_VSI!$F:$F,SSP5_VSI!$C:$C,Results_list!$C$25,SSP5_VSI!$D:$D,Results_list!$D28,SSP5_VSI!$B:$B,2025))) / (SUMIFS(SSP5_VSI!$F:$F,SSP5_VSI!$C:$C,Results_list!$C$25,SSP5_VSI!$D:$D,Results_list!$D28,SSP5_VSI!$B:$B,2025))</f>
        <v>-1.151249040440791E-2</v>
      </c>
      <c r="O28" s="13">
        <f t="shared" si="14"/>
        <v>0</v>
      </c>
      <c r="Q28" s="91"/>
      <c r="R28" s="91"/>
      <c r="S28" s="22" t="s">
        <v>42</v>
      </c>
      <c r="U28" s="3" t="s">
        <v>90</v>
      </c>
      <c r="V28" s="12">
        <f>((SUMIFS(SSP1_Baseline!$E:$E,SSP1_Baseline!$C:$C,Results_list!$C$130,SSP1_Baseline!$D:$D,Results_list!$D133,SSP1_Baseline!$B:$B,2040)) - (SUMIFS(SSP1_Baseline!$E:$E,SSP1_Baseline!$C:$C,Results_list!$C$130,SSP1_Baseline!$D:$D,Results_list!$D133,SSP1_Baseline!$B:$B,2025))) / (SUMIFS(SSP1_Baseline!$E:$E,SSP1_Baseline!$C:$C,Results_list!$C$130,SSP1_Baseline!$D:$D,Results_list!$D133,SSP1_Baseline!$B:$B,2025))</f>
        <v>-1.3739170229360562E-2</v>
      </c>
      <c r="W28" s="16">
        <f>((SUMIFS(SSP1_VSI!$F:$F,SSP1_VSI!$C:$C,Results_list!$C$130,SSP1_VSI!$D:$D,Results_list!$D133,SSP1_VSI!$B:$B,2040)) - (SUMIFS(SSP1_VSI!$F:$F,SSP1_VSI!$C:$C,Results_list!$C$130,SSP1_VSI!$D:$D,Results_list!$D133,SSP1_VSI!$B:$B,2025))) / (SUMIFS(SSP1_VSI!$F:$F,SSP1_VSI!$C:$C,Results_list!$C$130,SSP1_VSI!$D:$D,Results_list!$D133,SSP1_VSI!$B:$B,2025))</f>
        <v>-6.4057450063753962E-2</v>
      </c>
      <c r="X28" s="13">
        <f t="shared" si="15"/>
        <v>-0.05</v>
      </c>
      <c r="Y28" s="12">
        <f>((SUMIFS(SSP2_Baseline!$E:$E,SSP2_Baseline!$C:$C,Results_list!$C$130,SSP2_Baseline!$D:$D,Results_list!$D133,SSP2_Baseline!$B:$B,2040)) - (SUMIFS(SSP2_Baseline!$E:$E,SSP2_Baseline!$C:$C,Results_list!$C$130,SSP2_Baseline!$D:$D,Results_list!$D133,SSP2_Baseline!$B:$B,2025))) / (SUMIFS(SSP2_Baseline!$E:$E,SSP2_Baseline!$C:$C,Results_list!$C$130,SSP2_Baseline!$D:$D,Results_list!$D133,SSP2_Baseline!$B:$B,2025))</f>
        <v>6.8806885354495114E-3</v>
      </c>
      <c r="Z28" s="16">
        <f>((SUMIFS(SSP2_VSI!$F:$F,SSP2_VSI!$C:$C,Results_list!$C$130,SSP2_VSI!$D:$D,Results_list!$D133,SSP2_VSI!$B:$B,2040)) - (SUMIFS(SSP2_VSI!$F:$F,SSP2_VSI!$C:$C,Results_list!$C$130,SSP2_VSI!$D:$D,Results_list!$D133,SSP2_VSI!$B:$B,2025))) / (SUMIFS(SSP2_VSI!$F:$F,SSP2_VSI!$C:$C,Results_list!$C$130,SSP2_VSI!$D:$D,Results_list!$D133,SSP2_VSI!$B:$B,2025))</f>
        <v>-4.3500875894758533E-2</v>
      </c>
      <c r="AA28" s="13">
        <f t="shared" si="16"/>
        <v>-0.05</v>
      </c>
      <c r="AB28" s="12">
        <f>((SUMIFS(SSP5_Baseline!$E:$E,SSP5_Baseline!$C:$C,Results_list!$C$130,SSP5_Baseline!$D:$D,Results_list!$D133,SSP5_Baseline!$B:$B,2040)) - (SUMIFS(SSP5_Baseline!$E:$E,SSP5_Baseline!$C:$C,Results_list!$C$130,SSP5_Baseline!$D:$D,Results_list!$D133,SSP5_Baseline!$B:$B,2025))) / (SUMIFS(SSP5_Baseline!$E:$E,SSP5_Baseline!$C:$C,Results_list!$C$130,SSP5_Baseline!$D:$D,Results_list!$D133,SSP5_Baseline!$B:$B,2025))</f>
        <v>1.485922765910345E-2</v>
      </c>
      <c r="AC28" s="16">
        <f>((SUMIFS(SSP5_VSI!$F:$F,SSP5_VSI!$C:$C,Results_list!$C$130,SSP5_VSI!$D:$D,Results_list!$D133,SSP5_VSI!$B:$B,2040)) - (SUMIFS(SSP5_VSI!$F:$F,SSP5_VSI!$C:$C,Results_list!$C$130,SSP5_VSI!$D:$D,Results_list!$D133,SSP5_VSI!$B:$B,2025))) / (SUMIFS(SSP5_VSI!$F:$F,SSP5_VSI!$C:$C,Results_list!$C$130,SSP5_VSI!$D:$D,Results_list!$D133,SSP5_VSI!$B:$B,2025))</f>
        <v>-3.5383819400636951E-2</v>
      </c>
      <c r="AD28" s="13">
        <f t="shared" si="17"/>
        <v>-0.05</v>
      </c>
      <c r="AF28" s="85"/>
      <c r="AG28" s="85"/>
      <c r="AH28" s="22" t="s">
        <v>42</v>
      </c>
      <c r="AI28" s="25" t="s">
        <v>71</v>
      </c>
      <c r="AJ28" s="3" t="s">
        <v>90</v>
      </c>
      <c r="AK28" s="12">
        <v>-0.25640061053680208</v>
      </c>
      <c r="AL28" s="16">
        <v>-0.25639555955616694</v>
      </c>
      <c r="AM28" s="13">
        <f t="shared" si="18"/>
        <v>0</v>
      </c>
      <c r="AN28" s="12">
        <v>-0.25808695486156236</v>
      </c>
      <c r="AO28" s="16">
        <v>-0.25808031434410456</v>
      </c>
      <c r="AP28" s="13">
        <f t="shared" si="19"/>
        <v>0</v>
      </c>
      <c r="AQ28" s="12">
        <v>0.31477214777638785</v>
      </c>
      <c r="AR28" s="16">
        <v>0.31477428655799539</v>
      </c>
      <c r="AS28" s="13">
        <f t="shared" si="20"/>
        <v>0</v>
      </c>
      <c r="AU28" s="87"/>
      <c r="AV28" s="87"/>
      <c r="AW28" s="22" t="s">
        <v>42</v>
      </c>
      <c r="AX28" s="25" t="s">
        <v>82</v>
      </c>
      <c r="AY28" s="3" t="s">
        <v>90</v>
      </c>
      <c r="AZ28" s="12">
        <v>-0.26972519341757589</v>
      </c>
      <c r="BA28" s="16">
        <v>-0.26972109228314484</v>
      </c>
      <c r="BB28" s="13">
        <f t="shared" si="21"/>
        <v>0</v>
      </c>
      <c r="BC28" s="12">
        <v>-0.30137464306778483</v>
      </c>
      <c r="BD28" s="16">
        <v>-0.30136960766392779</v>
      </c>
      <c r="BE28" s="13">
        <f t="shared" si="22"/>
        <v>0</v>
      </c>
      <c r="BF28" s="12">
        <v>0.40146386068316975</v>
      </c>
      <c r="BG28" s="16">
        <v>0.40146630902577374</v>
      </c>
      <c r="BH28" s="13">
        <f t="shared" si="23"/>
        <v>0</v>
      </c>
    </row>
    <row r="29" spans="2:60" x14ac:dyDescent="0.35">
      <c r="B29" s="91"/>
      <c r="C29" s="91"/>
      <c r="D29" t="s">
        <v>43</v>
      </c>
      <c r="F29" s="3" t="s">
        <v>91</v>
      </c>
      <c r="G29" s="12">
        <f>((SUMIFS(SSP1_Baseline!$E:$E,SSP1_Baseline!$C:$C,Results_list!$C$25,SSP1_Baseline!$D:$D,Results_list!$D29,SSP1_Baseline!$B:$B,2040)) - (SUMIFS(SSP1_Baseline!$E:$E,SSP1_Baseline!$C:$C,Results_list!$C$25,SSP1_Baseline!$D:$D,Results_list!$D29,SSP1_Baseline!$B:$B,2025))) / (SUMIFS(SSP1_Baseline!$E:$E,SSP1_Baseline!$C:$C,Results_list!$C$25,SSP1_Baseline!$D:$D,Results_list!$D29,SSP1_Baseline!$B:$B,2025))</f>
        <v>-2.7817944755783697E-2</v>
      </c>
      <c r="H29" s="16">
        <f>((SUMIFS(SSP1_VSI!$F:$F,SSP1_VSI!$C:$C,Results_list!$C$25,SSP1_VSI!$D:$D,Results_list!$D29,SSP1_VSI!$B:$B,2040)) - (SUMIFS(SSP1_VSI!$F:$F,SSP1_VSI!$C:$C,Results_list!$C$25,SSP1_VSI!$D:$D,Results_list!$D29,SSP1_VSI!$B:$B,2025))) / (SUMIFS(SSP1_VSI!$F:$F,SSP1_VSI!$C:$C,Results_list!$C$25,SSP1_VSI!$D:$D,Results_list!$D29,SSP1_VSI!$B:$B,2025))</f>
        <v>-2.782478194745934E-2</v>
      </c>
      <c r="I29" s="13">
        <f t="shared" si="12"/>
        <v>0</v>
      </c>
      <c r="J29" s="12">
        <f>((SUMIFS(SSP2_Baseline!$E:$E,SSP2_Baseline!$C:$C,Results_list!$C$25,SSP2_Baseline!$D:$D,Results_list!$D29,SSP2_Baseline!$B:$B,2040)) - (SUMIFS(SSP2_Baseline!$E:$E,SSP2_Baseline!$C:$C,Results_list!$C$25,SSP2_Baseline!$D:$D,Results_list!$D29,SSP2_Baseline!$B:$B,2025))) / (SUMIFS(SSP2_Baseline!$E:$E,SSP2_Baseline!$C:$C,Results_list!$C$25,SSP2_Baseline!$D:$D,Results_list!$D29,SSP2_Baseline!$B:$B,2025))</f>
        <v>-2.239448768992032E-2</v>
      </c>
      <c r="K29" s="16">
        <f>((SUMIFS(SSP2_VSI!$F:$F,SSP2_VSI!$C:$C,Results_list!$C$25,SSP2_VSI!$D:$D,Results_list!$D29,SSP2_VSI!$B:$B,2040)) - (SUMIFS(SSP2_VSI!$F:$F,SSP2_VSI!$C:$C,Results_list!$C$25,SSP2_VSI!$D:$D,Results_list!$D29,SSP2_VSI!$B:$B,2025))) / (SUMIFS(SSP2_VSI!$F:$F,SSP2_VSI!$C:$C,Results_list!$C$25,SSP2_VSI!$D:$D,Results_list!$D29,SSP2_VSI!$B:$B,2025))</f>
        <v>-2.23997424178837E-2</v>
      </c>
      <c r="L29" s="13">
        <f t="shared" si="13"/>
        <v>0</v>
      </c>
      <c r="M29" s="12">
        <f>((SUMIFS(SSP5_Baseline!$E:$E,SSP5_Baseline!$C:$C,Results_list!$C$25,SSP5_Baseline!$D:$D,Results_list!$D29,SSP5_Baseline!$B:$B,2040)) - (SUMIFS(SSP5_Baseline!$E:$E,SSP5_Baseline!$C:$C,Results_list!$C$25,SSP5_Baseline!$D:$D,Results_list!$D29,SSP5_Baseline!$B:$B,2025))) / (SUMIFS(SSP5_Baseline!$E:$E,SSP5_Baseline!$C:$C,Results_list!$C$25,SSP5_Baseline!$D:$D,Results_list!$D29,SSP5_Baseline!$B:$B,2025))</f>
        <v>-1.701333387367612E-2</v>
      </c>
      <c r="N29" s="16">
        <f>((SUMIFS(SSP5_VSI!$F:$F,SSP5_VSI!$C:$C,Results_list!$C$25,SSP5_VSI!$D:$D,Results_list!$D29,SSP5_VSI!$B:$B,2040)) - (SUMIFS(SSP5_VSI!$F:$F,SSP5_VSI!$C:$C,Results_list!$C$25,SSP5_VSI!$D:$D,Results_list!$D29,SSP5_VSI!$B:$B,2025))) / (SUMIFS(SSP5_VSI!$F:$F,SSP5_VSI!$C:$C,Results_list!$C$25,SSP5_VSI!$D:$D,Results_list!$D29,SSP5_VSI!$B:$B,2025))</f>
        <v>-1.7019455462528178E-2</v>
      </c>
      <c r="O29" s="13">
        <f t="shared" si="14"/>
        <v>0</v>
      </c>
      <c r="Q29" s="91"/>
      <c r="R29" s="91"/>
      <c r="S29" s="22" t="s">
        <v>43</v>
      </c>
      <c r="U29" s="3" t="s">
        <v>91</v>
      </c>
      <c r="V29" s="12">
        <f>((SUMIFS(SSP1_Baseline!$E:$E,SSP1_Baseline!$C:$C,Results_list!$C$130,SSP1_Baseline!$D:$D,Results_list!$D134,SSP1_Baseline!$B:$B,2040)) - (SUMIFS(SSP1_Baseline!$E:$E,SSP1_Baseline!$C:$C,Results_list!$C$130,SSP1_Baseline!$D:$D,Results_list!$D134,SSP1_Baseline!$B:$B,2025))) / (SUMIFS(SSP1_Baseline!$E:$E,SSP1_Baseline!$C:$C,Results_list!$C$130,SSP1_Baseline!$D:$D,Results_list!$D134,SSP1_Baseline!$B:$B,2025))</f>
        <v>-1.0318123096041619E-2</v>
      </c>
      <c r="W29" s="16">
        <f>((SUMIFS(SSP1_VSI!$F:$F,SSP1_VSI!$C:$C,Results_list!$C$130,SSP1_VSI!$D:$D,Results_list!$D134,SSP1_VSI!$B:$B,2040)) - (SUMIFS(SSP1_VSI!$F:$F,SSP1_VSI!$C:$C,Results_list!$C$130,SSP1_VSI!$D:$D,Results_list!$D134,SSP1_VSI!$B:$B,2025))) / (SUMIFS(SSP1_VSI!$F:$F,SSP1_VSI!$C:$C,Results_list!$C$130,SSP1_VSI!$D:$D,Results_list!$D134,SSP1_VSI!$B:$B,2025))</f>
        <v>-1.0373862657116588E-2</v>
      </c>
      <c r="X29" s="13">
        <f t="shared" si="15"/>
        <v>0</v>
      </c>
      <c r="Y29" s="12">
        <f>((SUMIFS(SSP2_Baseline!$E:$E,SSP2_Baseline!$C:$C,Results_list!$C$130,SSP2_Baseline!$D:$D,Results_list!$D134,SSP2_Baseline!$B:$B,2040)) - (SUMIFS(SSP2_Baseline!$E:$E,SSP2_Baseline!$C:$C,Results_list!$C$130,SSP2_Baseline!$D:$D,Results_list!$D134,SSP2_Baseline!$B:$B,2025))) / (SUMIFS(SSP2_Baseline!$E:$E,SSP2_Baseline!$C:$C,Results_list!$C$130,SSP2_Baseline!$D:$D,Results_list!$D134,SSP2_Baseline!$B:$B,2025))</f>
        <v>3.4838983762479125E-2</v>
      </c>
      <c r="Z29" s="16">
        <f>((SUMIFS(SSP2_VSI!$F:$F,SSP2_VSI!$C:$C,Results_list!$C$130,SSP2_VSI!$D:$D,Results_list!$D134,SSP2_VSI!$B:$B,2040)) - (SUMIFS(SSP2_VSI!$F:$F,SSP2_VSI!$C:$C,Results_list!$C$130,SSP2_VSI!$D:$D,Results_list!$D134,SSP2_VSI!$B:$B,2025))) / (SUMIFS(SSP2_VSI!$F:$F,SSP2_VSI!$C:$C,Results_list!$C$130,SSP2_VSI!$D:$D,Results_list!$D134,SSP2_VSI!$B:$B,2025))</f>
        <v>3.4845816043783583E-2</v>
      </c>
      <c r="AA29" s="13">
        <f t="shared" si="16"/>
        <v>0</v>
      </c>
      <c r="AB29" s="12">
        <f>((SUMIFS(SSP5_Baseline!$E:$E,SSP5_Baseline!$C:$C,Results_list!$C$130,SSP5_Baseline!$D:$D,Results_list!$D134,SSP5_Baseline!$B:$B,2040)) - (SUMIFS(SSP5_Baseline!$E:$E,SSP5_Baseline!$C:$C,Results_list!$C$130,SSP5_Baseline!$D:$D,Results_list!$D134,SSP5_Baseline!$B:$B,2025))) / (SUMIFS(SSP5_Baseline!$E:$E,SSP5_Baseline!$C:$C,Results_list!$C$130,SSP5_Baseline!$D:$D,Results_list!$D134,SSP5_Baseline!$B:$B,2025))</f>
        <v>5.5095015868767076E-2</v>
      </c>
      <c r="AC29" s="16">
        <f>((SUMIFS(SSP5_VSI!$F:$F,SSP5_VSI!$C:$C,Results_list!$C$130,SSP5_VSI!$D:$D,Results_list!$D134,SSP5_VSI!$B:$B,2040)) - (SUMIFS(SSP5_VSI!$F:$F,SSP5_VSI!$C:$C,Results_list!$C$130,SSP5_VSI!$D:$D,Results_list!$D134,SSP5_VSI!$B:$B,2025))) / (SUMIFS(SSP5_VSI!$F:$F,SSP5_VSI!$C:$C,Results_list!$C$130,SSP5_VSI!$D:$D,Results_list!$D134,SSP5_VSI!$B:$B,2025))</f>
        <v>5.5060358173928327E-2</v>
      </c>
      <c r="AD29" s="13">
        <f t="shared" si="17"/>
        <v>0</v>
      </c>
      <c r="AF29" s="85"/>
      <c r="AG29" s="85"/>
      <c r="AH29" s="22" t="s">
        <v>43</v>
      </c>
      <c r="AI29" s="25" t="s">
        <v>71</v>
      </c>
      <c r="AJ29" s="3" t="s">
        <v>91</v>
      </c>
      <c r="AK29" s="12">
        <v>-7.76969693024884E-2</v>
      </c>
      <c r="AL29" s="16">
        <v>-7.76982230313603E-2</v>
      </c>
      <c r="AM29" s="13">
        <f t="shared" si="18"/>
        <v>0</v>
      </c>
      <c r="AN29" s="12">
        <v>-6.0175995974049164E-2</v>
      </c>
      <c r="AO29" s="16">
        <v>-6.0174494625747074E-2</v>
      </c>
      <c r="AP29" s="13">
        <f t="shared" si="19"/>
        <v>0</v>
      </c>
      <c r="AQ29" s="12">
        <v>-5.2621448938565355E-3</v>
      </c>
      <c r="AR29" s="16">
        <v>-5.2607004272582957E-3</v>
      </c>
      <c r="AS29" s="13">
        <f t="shared" si="20"/>
        <v>0</v>
      </c>
      <c r="AU29" s="87"/>
      <c r="AV29" s="87"/>
      <c r="AW29" s="22" t="s">
        <v>43</v>
      </c>
      <c r="AX29" s="25" t="s">
        <v>82</v>
      </c>
      <c r="AY29" s="3" t="s">
        <v>91</v>
      </c>
      <c r="AZ29" s="12">
        <v>-0.27185315841175345</v>
      </c>
      <c r="BA29" s="16">
        <v>-0.27185471513518461</v>
      </c>
      <c r="BB29" s="13">
        <f t="shared" si="21"/>
        <v>0</v>
      </c>
      <c r="BC29" s="12">
        <v>-0.23064111132992626</v>
      </c>
      <c r="BD29" s="16">
        <v>-0.23063764240043763</v>
      </c>
      <c r="BE29" s="13">
        <f t="shared" si="22"/>
        <v>0</v>
      </c>
      <c r="BF29" s="12">
        <v>-7.9528311458278954E-3</v>
      </c>
      <c r="BG29" s="16">
        <v>-7.9481009438707693E-3</v>
      </c>
      <c r="BH29" s="13">
        <f t="shared" si="23"/>
        <v>0</v>
      </c>
    </row>
    <row r="30" spans="2:60" x14ac:dyDescent="0.35">
      <c r="B30" s="91"/>
      <c r="C30" s="91"/>
      <c r="D30" t="s">
        <v>44</v>
      </c>
      <c r="F30" s="3" t="s">
        <v>92</v>
      </c>
      <c r="G30" s="12">
        <f>((SUMIFS(SSP1_Baseline!$E:$E,SSP1_Baseline!$C:$C,Results_list!$C$25,SSP1_Baseline!$D:$D,Results_list!$D30,SSP1_Baseline!$B:$B,2040)) - (SUMIFS(SSP1_Baseline!$E:$E,SSP1_Baseline!$C:$C,Results_list!$C$25,SSP1_Baseline!$D:$D,Results_list!$D30,SSP1_Baseline!$B:$B,2025))) / (SUMIFS(SSP1_Baseline!$E:$E,SSP1_Baseline!$C:$C,Results_list!$C$25,SSP1_Baseline!$D:$D,Results_list!$D30,SSP1_Baseline!$B:$B,2025))</f>
        <v>-0.33486601800118737</v>
      </c>
      <c r="H30" s="16">
        <f>((SUMIFS(SSP1_VSI!$F:$F,SSP1_VSI!$C:$C,Results_list!$C$25,SSP1_VSI!$D:$D,Results_list!$D30,SSP1_VSI!$B:$B,2040)) - (SUMIFS(SSP1_VSI!$F:$F,SSP1_VSI!$C:$C,Results_list!$C$25,SSP1_VSI!$D:$D,Results_list!$D30,SSP1_VSI!$B:$B,2025))) / (SUMIFS(SSP1_VSI!$F:$F,SSP1_VSI!$C:$C,Results_list!$C$25,SSP1_VSI!$D:$D,Results_list!$D30,SSP1_VSI!$B:$B,2025))</f>
        <v>-0.33499478203995758</v>
      </c>
      <c r="I30" s="13">
        <f t="shared" si="12"/>
        <v>0</v>
      </c>
      <c r="J30" s="12">
        <f>((SUMIFS(SSP2_Baseline!$E:$E,SSP2_Baseline!$C:$C,Results_list!$C$25,SSP2_Baseline!$D:$D,Results_list!$D30,SSP2_Baseline!$B:$B,2040)) - (SUMIFS(SSP2_Baseline!$E:$E,SSP2_Baseline!$C:$C,Results_list!$C$25,SSP2_Baseline!$D:$D,Results_list!$D30,SSP2_Baseline!$B:$B,2025))) / (SUMIFS(SSP2_Baseline!$E:$E,SSP2_Baseline!$C:$C,Results_list!$C$25,SSP2_Baseline!$D:$D,Results_list!$D30,SSP2_Baseline!$B:$B,2025))</f>
        <v>-0.31165001942974491</v>
      </c>
      <c r="K30" s="16">
        <f>((SUMIFS(SSP2_VSI!$F:$F,SSP2_VSI!$C:$C,Results_list!$C$25,SSP2_VSI!$D:$D,Results_list!$D30,SSP2_VSI!$B:$B,2040)) - (SUMIFS(SSP2_VSI!$F:$F,SSP2_VSI!$C:$C,Results_list!$C$25,SSP2_VSI!$D:$D,Results_list!$D30,SSP2_VSI!$B:$B,2025))) / (SUMIFS(SSP2_VSI!$F:$F,SSP2_VSI!$C:$C,Results_list!$C$25,SSP2_VSI!$D:$D,Results_list!$D30,SSP2_VSI!$B:$B,2025))</f>
        <v>-0.31175942187334188</v>
      </c>
      <c r="L30" s="13">
        <f t="shared" si="13"/>
        <v>0</v>
      </c>
      <c r="M30" s="12">
        <f>((SUMIFS(SSP5_Baseline!$E:$E,SSP5_Baseline!$C:$C,Results_list!$C$25,SSP5_Baseline!$D:$D,Results_list!$D30,SSP5_Baseline!$B:$B,2040)) - (SUMIFS(SSP5_Baseline!$E:$E,SSP5_Baseline!$C:$C,Results_list!$C$25,SSP5_Baseline!$D:$D,Results_list!$D30,SSP5_Baseline!$B:$B,2025))) / (SUMIFS(SSP5_Baseline!$E:$E,SSP5_Baseline!$C:$C,Results_list!$C$25,SSP5_Baseline!$D:$D,Results_list!$D30,SSP5_Baseline!$B:$B,2025))</f>
        <v>-0.16350758391834952</v>
      </c>
      <c r="N30" s="16">
        <f>((SUMIFS(SSP5_VSI!$F:$F,SSP5_VSI!$C:$C,Results_list!$C$25,SSP5_VSI!$D:$D,Results_list!$D30,SSP5_VSI!$B:$B,2040)) - (SUMIFS(SSP5_VSI!$F:$F,SSP5_VSI!$C:$C,Results_list!$C$25,SSP5_VSI!$D:$D,Results_list!$D30,SSP5_VSI!$B:$B,2025))) / (SUMIFS(SSP5_VSI!$F:$F,SSP5_VSI!$C:$C,Results_list!$C$25,SSP5_VSI!$D:$D,Results_list!$D30,SSP5_VSI!$B:$B,2025))</f>
        <v>-0.16360309962581385</v>
      </c>
      <c r="O30" s="13">
        <f t="shared" si="14"/>
        <v>0</v>
      </c>
      <c r="Q30" s="91"/>
      <c r="R30" s="91"/>
      <c r="S30" s="22" t="s">
        <v>44</v>
      </c>
      <c r="U30" s="3" t="s">
        <v>92</v>
      </c>
      <c r="V30" s="12">
        <f>((SUMIFS(SSP1_Baseline!$E:$E,SSP1_Baseline!$C:$C,Results_list!$C$130,SSP1_Baseline!$D:$D,Results_list!$D135,SSP1_Baseline!$B:$B,2040)) - (SUMIFS(SSP1_Baseline!$E:$E,SSP1_Baseline!$C:$C,Results_list!$C$130,SSP1_Baseline!$D:$D,Results_list!$D135,SSP1_Baseline!$B:$B,2025))) / (SUMIFS(SSP1_Baseline!$E:$E,SSP1_Baseline!$C:$C,Results_list!$C$130,SSP1_Baseline!$D:$D,Results_list!$D135,SSP1_Baseline!$B:$B,2025))</f>
        <v>-0.11982817040108909</v>
      </c>
      <c r="W30" s="16">
        <f>((SUMIFS(SSP1_VSI!$F:$F,SSP1_VSI!$C:$C,Results_list!$C$130,SSP1_VSI!$D:$D,Results_list!$D135,SSP1_VSI!$B:$B,2040)) - (SUMIFS(SSP1_VSI!$F:$F,SSP1_VSI!$C:$C,Results_list!$C$130,SSP1_VSI!$D:$D,Results_list!$D135,SSP1_VSI!$B:$B,2025))) / (SUMIFS(SSP1_VSI!$F:$F,SSP1_VSI!$C:$C,Results_list!$C$130,SSP1_VSI!$D:$D,Results_list!$D135,SSP1_VSI!$B:$B,2025))</f>
        <v>-0.15877197159433859</v>
      </c>
      <c r="X30" s="13">
        <f t="shared" si="15"/>
        <v>-3.9E-2</v>
      </c>
      <c r="Y30" s="12">
        <f>((SUMIFS(SSP2_Baseline!$E:$E,SSP2_Baseline!$C:$C,Results_list!$C$130,SSP2_Baseline!$D:$D,Results_list!$D135,SSP2_Baseline!$B:$B,2040)) - (SUMIFS(SSP2_Baseline!$E:$E,SSP2_Baseline!$C:$C,Results_list!$C$130,SSP2_Baseline!$D:$D,Results_list!$D135,SSP2_Baseline!$B:$B,2025))) / (SUMIFS(SSP2_Baseline!$E:$E,SSP2_Baseline!$C:$C,Results_list!$C$130,SSP2_Baseline!$D:$D,Results_list!$D135,SSP2_Baseline!$B:$B,2025))</f>
        <v>-9.0955513749561206E-2</v>
      </c>
      <c r="Z30" s="16">
        <f>((SUMIFS(SSP2_VSI!$F:$F,SSP2_VSI!$C:$C,Results_list!$C$130,SSP2_VSI!$D:$D,Results_list!$D135,SSP2_VSI!$B:$B,2040)) - (SUMIFS(SSP2_VSI!$F:$F,SSP2_VSI!$C:$C,Results_list!$C$130,SSP2_VSI!$D:$D,Results_list!$D135,SSP2_VSI!$B:$B,2025))) / (SUMIFS(SSP2_VSI!$F:$F,SSP2_VSI!$C:$C,Results_list!$C$130,SSP2_VSI!$D:$D,Results_list!$D135,SSP2_VSI!$B:$B,2025))</f>
        <v>-0.1298499429160534</v>
      </c>
      <c r="AA30" s="13">
        <f t="shared" si="16"/>
        <v>-0.04</v>
      </c>
      <c r="AB30" s="12">
        <f>((SUMIFS(SSP5_Baseline!$E:$E,SSP5_Baseline!$C:$C,Results_list!$C$130,SSP5_Baseline!$D:$D,Results_list!$D135,SSP5_Baseline!$B:$B,2040)) - (SUMIFS(SSP5_Baseline!$E:$E,SSP5_Baseline!$C:$C,Results_list!$C$130,SSP5_Baseline!$D:$D,Results_list!$D135,SSP5_Baseline!$B:$B,2025))) / (SUMIFS(SSP5_Baseline!$E:$E,SSP5_Baseline!$C:$C,Results_list!$C$130,SSP5_Baseline!$D:$D,Results_list!$D135,SSP5_Baseline!$B:$B,2025))</f>
        <v>-7.3739554203349836E-3</v>
      </c>
      <c r="AC30" s="16">
        <f>((SUMIFS(SSP5_VSI!$F:$F,SSP5_VSI!$C:$C,Results_list!$C$130,SSP5_VSI!$D:$D,Results_list!$D135,SSP5_VSI!$B:$B,2040)) - (SUMIFS(SSP5_VSI!$F:$F,SSP5_VSI!$C:$C,Results_list!$C$130,SSP5_VSI!$D:$D,Results_list!$D135,SSP5_VSI!$B:$B,2025))) / (SUMIFS(SSP5_VSI!$F:$F,SSP5_VSI!$C:$C,Results_list!$C$130,SSP5_VSI!$D:$D,Results_list!$D135,SSP5_VSI!$B:$B,2025))</f>
        <v>-4.5443652199641506E-2</v>
      </c>
      <c r="AD30" s="13">
        <f t="shared" si="17"/>
        <v>-0.04</v>
      </c>
      <c r="AF30" s="85"/>
      <c r="AG30" s="85"/>
      <c r="AH30" s="22" t="s">
        <v>44</v>
      </c>
      <c r="AI30" s="25" t="s">
        <v>71</v>
      </c>
      <c r="AJ30" s="3" t="s">
        <v>92</v>
      </c>
      <c r="AK30" s="12">
        <v>-0.28704218503528883</v>
      </c>
      <c r="AL30" s="16">
        <v>-0.2870376905794757</v>
      </c>
      <c r="AM30" s="13">
        <f t="shared" si="18"/>
        <v>0</v>
      </c>
      <c r="AN30" s="12">
        <v>-0.26845162620472546</v>
      </c>
      <c r="AO30" s="16">
        <v>-0.26845335353193484</v>
      </c>
      <c r="AP30" s="13">
        <f t="shared" si="19"/>
        <v>0</v>
      </c>
      <c r="AQ30" s="12">
        <v>2.1375368203778042E-2</v>
      </c>
      <c r="AR30" s="16">
        <v>2.1373855296784813E-2</v>
      </c>
      <c r="AS30" s="13">
        <f t="shared" si="20"/>
        <v>0</v>
      </c>
      <c r="AU30" s="87"/>
      <c r="AV30" s="87"/>
      <c r="AW30" s="22" t="s">
        <v>44</v>
      </c>
      <c r="AX30" s="25" t="s">
        <v>82</v>
      </c>
      <c r="AY30" s="3" t="s">
        <v>92</v>
      </c>
      <c r="AZ30" s="12">
        <v>-0.27719876887058248</v>
      </c>
      <c r="BA30" s="16">
        <v>-0.38978739906578613</v>
      </c>
      <c r="BB30" s="13">
        <f t="shared" si="21"/>
        <v>-0.113</v>
      </c>
      <c r="BC30" s="12">
        <v>-0.28337391423754316</v>
      </c>
      <c r="BD30" s="16">
        <v>-0.39918079767583886</v>
      </c>
      <c r="BE30" s="13">
        <f t="shared" si="22"/>
        <v>-0.12</v>
      </c>
      <c r="BF30" s="12">
        <v>1.603233657482862E-2</v>
      </c>
      <c r="BG30" s="16">
        <v>-9.1689609008995643E-2</v>
      </c>
      <c r="BH30" s="13">
        <f t="shared" si="23"/>
        <v>-0.11</v>
      </c>
    </row>
    <row r="31" spans="2:60" x14ac:dyDescent="0.35">
      <c r="B31" s="91"/>
      <c r="C31" s="91"/>
      <c r="D31" t="s">
        <v>45</v>
      </c>
      <c r="F31" s="3" t="s">
        <v>93</v>
      </c>
      <c r="G31" s="12">
        <f>((SUMIFS(SSP1_Baseline!$E:$E,SSP1_Baseline!$C:$C,Results_list!$C$25,SSP1_Baseline!$D:$D,Results_list!$D31,SSP1_Baseline!$B:$B,2040)) - (SUMIFS(SSP1_Baseline!$E:$E,SSP1_Baseline!$C:$C,Results_list!$C$25,SSP1_Baseline!$D:$D,Results_list!$D31,SSP1_Baseline!$B:$B,2025))) / (SUMIFS(SSP1_Baseline!$E:$E,SSP1_Baseline!$C:$C,Results_list!$C$25,SSP1_Baseline!$D:$D,Results_list!$D31,SSP1_Baseline!$B:$B,2025))</f>
        <v>-6.3002352945518938E-2</v>
      </c>
      <c r="H31" s="16">
        <f>((SUMIFS(SSP1_VSI!$F:$F,SSP1_VSI!$C:$C,Results_list!$C$25,SSP1_VSI!$D:$D,Results_list!$D31,SSP1_VSI!$B:$B,2040)) - (SUMIFS(SSP1_VSI!$F:$F,SSP1_VSI!$C:$C,Results_list!$C$25,SSP1_VSI!$D:$D,Results_list!$D31,SSP1_VSI!$B:$B,2025))) / (SUMIFS(SSP1_VSI!$F:$F,SSP1_VSI!$C:$C,Results_list!$C$25,SSP1_VSI!$D:$D,Results_list!$D31,SSP1_VSI!$B:$B,2025))</f>
        <v>-0.22264268959163844</v>
      </c>
      <c r="I31" s="13">
        <f t="shared" si="12"/>
        <v>-0.16</v>
      </c>
      <c r="J31" s="12">
        <f>((SUMIFS(SSP2_Baseline!$E:$E,SSP2_Baseline!$C:$C,Results_list!$C$25,SSP2_Baseline!$D:$D,Results_list!$D31,SSP2_Baseline!$B:$B,2040)) - (SUMIFS(SSP2_Baseline!$E:$E,SSP2_Baseline!$C:$C,Results_list!$C$25,SSP2_Baseline!$D:$D,Results_list!$D31,SSP2_Baseline!$B:$B,2025))) / (SUMIFS(SSP2_Baseline!$E:$E,SSP2_Baseline!$C:$C,Results_list!$C$25,SSP2_Baseline!$D:$D,Results_list!$D31,SSP2_Baseline!$B:$B,2025))</f>
        <v>-5.912956329038236E-2</v>
      </c>
      <c r="K31" s="16">
        <f>((SUMIFS(SSP2_VSI!$F:$F,SSP2_VSI!$C:$C,Results_list!$C$25,SSP2_VSI!$D:$D,Results_list!$D31,SSP2_VSI!$B:$B,2040)) - (SUMIFS(SSP2_VSI!$F:$F,SSP2_VSI!$C:$C,Results_list!$C$25,SSP2_VSI!$D:$D,Results_list!$D31,SSP2_VSI!$B:$B,2025))) / (SUMIFS(SSP2_VSI!$F:$F,SSP2_VSI!$C:$C,Results_list!$C$25,SSP2_VSI!$D:$D,Results_list!$D31,SSP2_VSI!$B:$B,2025))</f>
        <v>-0.21964499036633239</v>
      </c>
      <c r="L31" s="13">
        <f t="shared" si="13"/>
        <v>-0.16</v>
      </c>
      <c r="M31" s="12">
        <f>((SUMIFS(SSP5_Baseline!$E:$E,SSP5_Baseline!$C:$C,Results_list!$C$25,SSP5_Baseline!$D:$D,Results_list!$D31,SSP5_Baseline!$B:$B,2040)) - (SUMIFS(SSP5_Baseline!$E:$E,SSP5_Baseline!$C:$C,Results_list!$C$25,SSP5_Baseline!$D:$D,Results_list!$D31,SSP5_Baseline!$B:$B,2025))) / (SUMIFS(SSP5_Baseline!$E:$E,SSP5_Baseline!$C:$C,Results_list!$C$25,SSP5_Baseline!$D:$D,Results_list!$D31,SSP5_Baseline!$B:$B,2025))</f>
        <v>-5.2778218813926463E-2</v>
      </c>
      <c r="N31" s="16">
        <f>((SUMIFS(SSP5_VSI!$F:$F,SSP5_VSI!$C:$C,Results_list!$C$25,SSP5_VSI!$D:$D,Results_list!$D31,SSP5_VSI!$B:$B,2040)) - (SUMIFS(SSP5_VSI!$F:$F,SSP5_VSI!$C:$C,Results_list!$C$25,SSP5_VSI!$D:$D,Results_list!$D31,SSP5_VSI!$B:$B,2025))) / (SUMIFS(SSP5_VSI!$F:$F,SSP5_VSI!$C:$C,Results_list!$C$25,SSP5_VSI!$D:$D,Results_list!$D31,SSP5_VSI!$B:$B,2025))</f>
        <v>-0.21435442251615081</v>
      </c>
      <c r="O31" s="13">
        <f t="shared" si="14"/>
        <v>-0.16</v>
      </c>
      <c r="Q31" s="91"/>
      <c r="R31" s="91"/>
      <c r="S31" s="22" t="s">
        <v>45</v>
      </c>
      <c r="U31" s="3" t="s">
        <v>93</v>
      </c>
      <c r="V31" s="12">
        <f>((SUMIFS(SSP1_Baseline!$E:$E,SSP1_Baseline!$C:$C,Results_list!$C$130,SSP1_Baseline!$D:$D,Results_list!$D136,SSP1_Baseline!$B:$B,2040)) - (SUMIFS(SSP1_Baseline!$E:$E,SSP1_Baseline!$C:$C,Results_list!$C$130,SSP1_Baseline!$D:$D,Results_list!$D136,SSP1_Baseline!$B:$B,2025))) / (SUMIFS(SSP1_Baseline!$E:$E,SSP1_Baseline!$C:$C,Results_list!$C$130,SSP1_Baseline!$D:$D,Results_list!$D136,SSP1_Baseline!$B:$B,2025))</f>
        <v>-8.9391548167719204E-3</v>
      </c>
      <c r="W31" s="16">
        <f>((SUMIFS(SSP1_VSI!$F:$F,SSP1_VSI!$C:$C,Results_list!$C$130,SSP1_VSI!$D:$D,Results_list!$D136,SSP1_VSI!$B:$B,2040)) - (SUMIFS(SSP1_VSI!$F:$F,SSP1_VSI!$C:$C,Results_list!$C$130,SSP1_VSI!$D:$D,Results_list!$D136,SSP1_VSI!$B:$B,2025))) / (SUMIFS(SSP1_VSI!$F:$F,SSP1_VSI!$C:$C,Results_list!$C$130,SSP1_VSI!$D:$D,Results_list!$D136,SSP1_VSI!$B:$B,2025))</f>
        <v>-0.90639117761858279</v>
      </c>
      <c r="X31" s="13">
        <f t="shared" si="15"/>
        <v>-0.89700000000000002</v>
      </c>
      <c r="Y31" s="12">
        <f>((SUMIFS(SSP2_Baseline!$E:$E,SSP2_Baseline!$C:$C,Results_list!$C$130,SSP2_Baseline!$D:$D,Results_list!$D136,SSP2_Baseline!$B:$B,2040)) - (SUMIFS(SSP2_Baseline!$E:$E,SSP2_Baseline!$C:$C,Results_list!$C$130,SSP2_Baseline!$D:$D,Results_list!$D136,SSP2_Baseline!$B:$B,2025))) / (SUMIFS(SSP2_Baseline!$E:$E,SSP2_Baseline!$C:$C,Results_list!$C$130,SSP2_Baseline!$D:$D,Results_list!$D136,SSP2_Baseline!$B:$B,2025))</f>
        <v>-8.5738345648767277E-3</v>
      </c>
      <c r="Z31" s="16">
        <f>((SUMIFS(SSP2_VSI!$F:$F,SSP2_VSI!$C:$C,Results_list!$C$130,SSP2_VSI!$D:$D,Results_list!$D136,SSP2_VSI!$B:$B,2040)) - (SUMIFS(SSP2_VSI!$F:$F,SSP2_VSI!$C:$C,Results_list!$C$130,SSP2_VSI!$D:$D,Results_list!$D136,SSP2_VSI!$B:$B,2025))) / (SUMIFS(SSP2_VSI!$F:$F,SSP2_VSI!$C:$C,Results_list!$C$130,SSP2_VSI!$D:$D,Results_list!$D136,SSP2_VSI!$B:$B,2025))</f>
        <v>-0.90748697942178591</v>
      </c>
      <c r="AA31" s="13">
        <f t="shared" si="16"/>
        <v>-0.9</v>
      </c>
      <c r="AB31" s="12">
        <f>((SUMIFS(SSP5_Baseline!$E:$E,SSP5_Baseline!$C:$C,Results_list!$C$130,SSP5_Baseline!$D:$D,Results_list!$D136,SSP5_Baseline!$B:$B,2040)) - (SUMIFS(SSP5_Baseline!$E:$E,SSP5_Baseline!$C:$C,Results_list!$C$130,SSP5_Baseline!$D:$D,Results_list!$D136,SSP5_Baseline!$B:$B,2025))) / (SUMIFS(SSP5_Baseline!$E:$E,SSP5_Baseline!$C:$C,Results_list!$C$130,SSP5_Baseline!$D:$D,Results_list!$D136,SSP5_Baseline!$B:$B,2025))</f>
        <v>-7.6689719481084582E-3</v>
      </c>
      <c r="AC31" s="16">
        <f>((SUMIFS(SSP5_VSI!$F:$F,SSP5_VSI!$C:$C,Results_list!$C$130,SSP5_VSI!$D:$D,Results_list!$D136,SSP5_VSI!$B:$B,2040)) - (SUMIFS(SSP5_VSI!$F:$F,SSP5_VSI!$C:$C,Results_list!$C$130,SSP5_VSI!$D:$D,Results_list!$D136,SSP5_VSI!$B:$B,2025))) / (SUMIFS(SSP5_VSI!$F:$F,SSP5_VSI!$C:$C,Results_list!$C$130,SSP5_VSI!$D:$D,Results_list!$D136,SSP5_VSI!$B:$B,2025))</f>
        <v>-0.90668778115981552</v>
      </c>
      <c r="AD31" s="13">
        <f t="shared" si="17"/>
        <v>-0.9</v>
      </c>
      <c r="AF31" s="85"/>
      <c r="AG31" s="85"/>
      <c r="AH31" s="22" t="s">
        <v>45</v>
      </c>
      <c r="AI31" s="25" t="s">
        <v>71</v>
      </c>
      <c r="AJ31" s="3" t="s">
        <v>93</v>
      </c>
      <c r="AK31" s="12">
        <v>-1.3736038924861331E-2</v>
      </c>
      <c r="AL31" s="16">
        <v>-0.90485864022315787</v>
      </c>
      <c r="AM31" s="13">
        <f t="shared" si="18"/>
        <v>-0.89100000000000001</v>
      </c>
      <c r="AN31" s="12">
        <v>-1.3705753913451392E-2</v>
      </c>
      <c r="AO31" s="16">
        <v>-0.90636314380830862</v>
      </c>
      <c r="AP31" s="13">
        <f t="shared" si="19"/>
        <v>-0.89</v>
      </c>
      <c r="AQ31" s="12">
        <v>-1.1539848226462755E-2</v>
      </c>
      <c r="AR31" s="16">
        <v>-0.90508488246701746</v>
      </c>
      <c r="AS31" s="13">
        <f t="shared" si="20"/>
        <v>-0.89</v>
      </c>
      <c r="AU31" s="87"/>
      <c r="AV31" s="87"/>
      <c r="AW31" s="22" t="s">
        <v>45</v>
      </c>
      <c r="AX31" s="25" t="s">
        <v>82</v>
      </c>
      <c r="AY31" s="3" t="s">
        <v>93</v>
      </c>
      <c r="AZ31" s="12">
        <v>-0.42439245232826467</v>
      </c>
      <c r="BA31" s="16">
        <v>-0.42439114830948615</v>
      </c>
      <c r="BB31" s="13">
        <f t="shared" si="21"/>
        <v>0</v>
      </c>
      <c r="BC31" s="12">
        <v>-0.45007739598296242</v>
      </c>
      <c r="BD31" s="16">
        <v>-0.450076186443295</v>
      </c>
      <c r="BE31" s="13">
        <f t="shared" si="22"/>
        <v>0</v>
      </c>
      <c r="BF31" s="12">
        <v>-0.38156512961269529</v>
      </c>
      <c r="BG31" s="16">
        <v>-0.38156258212740296</v>
      </c>
      <c r="BH31" s="13">
        <f t="shared" si="23"/>
        <v>0</v>
      </c>
    </row>
    <row r="32" spans="2:60" x14ac:dyDescent="0.35">
      <c r="B32" s="91"/>
      <c r="C32" s="91"/>
      <c r="D32" t="s">
        <v>46</v>
      </c>
      <c r="F32" s="3" t="s">
        <v>94</v>
      </c>
      <c r="G32" s="12">
        <f>((SUMIFS(SSP1_Baseline!$E:$E,SSP1_Baseline!$C:$C,Results_list!$C$25,SSP1_Baseline!$D:$D,Results_list!$D32,SSP1_Baseline!$B:$B,2040)) - (SUMIFS(SSP1_Baseline!$E:$E,SSP1_Baseline!$C:$C,Results_list!$C$25,SSP1_Baseline!$D:$D,Results_list!$D32,SSP1_Baseline!$B:$B,2025))) / (SUMIFS(SSP1_Baseline!$E:$E,SSP1_Baseline!$C:$C,Results_list!$C$25,SSP1_Baseline!$D:$D,Results_list!$D32,SSP1_Baseline!$B:$B,2025))</f>
        <v>0.95369198093772756</v>
      </c>
      <c r="H32" s="16">
        <f>((SUMIFS(SSP1_VSI!$F:$F,SSP1_VSI!$C:$C,Results_list!$C$25,SSP1_VSI!$D:$D,Results_list!$D32,SSP1_VSI!$B:$B,2040)) - (SUMIFS(SSP1_VSI!$F:$F,SSP1_VSI!$C:$C,Results_list!$C$25,SSP1_VSI!$D:$D,Results_list!$D32,SSP1_VSI!$B:$B,2025))) / (SUMIFS(SSP1_VSI!$F:$F,SSP1_VSI!$C:$C,Results_list!$C$25,SSP1_VSI!$D:$D,Results_list!$D32,SSP1_VSI!$B:$B,2025))</f>
        <v>0.95369771198914099</v>
      </c>
      <c r="I32" s="13">
        <f t="shared" si="12"/>
        <v>0</v>
      </c>
      <c r="J32" s="12">
        <f>((SUMIFS(SSP2_Baseline!$E:$E,SSP2_Baseline!$C:$C,Results_list!$C$25,SSP2_Baseline!$D:$D,Results_list!$D32,SSP2_Baseline!$B:$B,2040)) - (SUMIFS(SSP2_Baseline!$E:$E,SSP2_Baseline!$C:$C,Results_list!$C$25,SSP2_Baseline!$D:$D,Results_list!$D32,SSP2_Baseline!$B:$B,2025))) / (SUMIFS(SSP2_Baseline!$E:$E,SSP2_Baseline!$C:$C,Results_list!$C$25,SSP2_Baseline!$D:$D,Results_list!$D32,SSP2_Baseline!$B:$B,2025))</f>
        <v>1.0588501925074771</v>
      </c>
      <c r="K32" s="16">
        <f>((SUMIFS(SSP2_VSI!$F:$F,SSP2_VSI!$C:$C,Results_list!$C$25,SSP2_VSI!$D:$D,Results_list!$D32,SSP2_VSI!$B:$B,2040)) - (SUMIFS(SSP2_VSI!$F:$F,SSP2_VSI!$C:$C,Results_list!$C$25,SSP2_VSI!$D:$D,Results_list!$D32,SSP2_VSI!$B:$B,2025))) / (SUMIFS(SSP2_VSI!$F:$F,SSP2_VSI!$C:$C,Results_list!$C$25,SSP2_VSI!$D:$D,Results_list!$D32,SSP2_VSI!$B:$B,2025))</f>
        <v>1.0587797373923029</v>
      </c>
      <c r="L32" s="13">
        <f t="shared" si="13"/>
        <v>0</v>
      </c>
      <c r="M32" s="12">
        <f>((SUMIFS(SSP5_Baseline!$E:$E,SSP5_Baseline!$C:$C,Results_list!$C$25,SSP5_Baseline!$D:$D,Results_list!$D32,SSP5_Baseline!$B:$B,2040)) - (SUMIFS(SSP5_Baseline!$E:$E,SSP5_Baseline!$C:$C,Results_list!$C$25,SSP5_Baseline!$D:$D,Results_list!$D32,SSP5_Baseline!$B:$B,2025))) / (SUMIFS(SSP5_Baseline!$E:$E,SSP5_Baseline!$C:$C,Results_list!$C$25,SSP5_Baseline!$D:$D,Results_list!$D32,SSP5_Baseline!$B:$B,2025))</f>
        <v>0.78717593783626194</v>
      </c>
      <c r="N32" s="16">
        <f>((SUMIFS(SSP5_VSI!$F:$F,SSP5_VSI!$C:$C,Results_list!$C$25,SSP5_VSI!$D:$D,Results_list!$D32,SSP5_VSI!$B:$B,2040)) - (SUMIFS(SSP5_VSI!$F:$F,SSP5_VSI!$C:$C,Results_list!$C$25,SSP5_VSI!$D:$D,Results_list!$D32,SSP5_VSI!$B:$B,2025))) / (SUMIFS(SSP5_VSI!$F:$F,SSP5_VSI!$C:$C,Results_list!$C$25,SSP5_VSI!$D:$D,Results_list!$D32,SSP5_VSI!$B:$B,2025))</f>
        <v>0.78718274913265074</v>
      </c>
      <c r="O32" s="13">
        <f t="shared" si="14"/>
        <v>0</v>
      </c>
      <c r="Q32" s="91"/>
      <c r="R32" s="91"/>
      <c r="S32" s="22" t="s">
        <v>46</v>
      </c>
      <c r="U32" s="3" t="s">
        <v>94</v>
      </c>
      <c r="V32" s="12">
        <f>((SUMIFS(SSP1_Baseline!$E:$E,SSP1_Baseline!$C:$C,Results_list!$C$130,SSP1_Baseline!$D:$D,Results_list!$D137,SSP1_Baseline!$B:$B,2040)) - (SUMIFS(SSP1_Baseline!$E:$E,SSP1_Baseline!$C:$C,Results_list!$C$130,SSP1_Baseline!$D:$D,Results_list!$D137,SSP1_Baseline!$B:$B,2025))) / (SUMIFS(SSP1_Baseline!$E:$E,SSP1_Baseline!$C:$C,Results_list!$C$130,SSP1_Baseline!$D:$D,Results_list!$D137,SSP1_Baseline!$B:$B,2025))</f>
        <v>1.536069074342759</v>
      </c>
      <c r="W32" s="16">
        <f>((SUMIFS(SSP1_VSI!$F:$F,SSP1_VSI!$C:$C,Results_list!$C$130,SSP1_VSI!$D:$D,Results_list!$D137,SSP1_VSI!$B:$B,2040)) - (SUMIFS(SSP1_VSI!$F:$F,SSP1_VSI!$C:$C,Results_list!$C$130,SSP1_VSI!$D:$D,Results_list!$D137,SSP1_VSI!$B:$B,2025))) / (SUMIFS(SSP1_VSI!$F:$F,SSP1_VSI!$C:$C,Results_list!$C$130,SSP1_VSI!$D:$D,Results_list!$D137,SSP1_VSI!$B:$B,2025))</f>
        <v>1.5360192733102269</v>
      </c>
      <c r="X32" s="13">
        <f t="shared" si="15"/>
        <v>0</v>
      </c>
      <c r="Y32" s="12">
        <f>((SUMIFS(SSP2_Baseline!$E:$E,SSP2_Baseline!$C:$C,Results_list!$C$130,SSP2_Baseline!$D:$D,Results_list!$D137,SSP2_Baseline!$B:$B,2040)) - (SUMIFS(SSP2_Baseline!$E:$E,SSP2_Baseline!$C:$C,Results_list!$C$130,SSP2_Baseline!$D:$D,Results_list!$D137,SSP2_Baseline!$B:$B,2025))) / (SUMIFS(SSP2_Baseline!$E:$E,SSP2_Baseline!$C:$C,Results_list!$C$130,SSP2_Baseline!$D:$D,Results_list!$D137,SSP2_Baseline!$B:$B,2025))</f>
        <v>2.3594012069588959</v>
      </c>
      <c r="Z32" s="16">
        <f>((SUMIFS(SSP2_VSI!$F:$F,SSP2_VSI!$C:$C,Results_list!$C$130,SSP2_VSI!$D:$D,Results_list!$D137,SSP2_VSI!$B:$B,2040)) - (SUMIFS(SSP2_VSI!$F:$F,SSP2_VSI!$C:$C,Results_list!$C$130,SSP2_VSI!$D:$D,Results_list!$D137,SSP2_VSI!$B:$B,2025))) / (SUMIFS(SSP2_VSI!$F:$F,SSP2_VSI!$C:$C,Results_list!$C$130,SSP2_VSI!$D:$D,Results_list!$D137,SSP2_VSI!$B:$B,2025))</f>
        <v>2.3593175305385539</v>
      </c>
      <c r="AA32" s="13">
        <f t="shared" si="16"/>
        <v>0</v>
      </c>
      <c r="AB32" s="12">
        <f>((SUMIFS(SSP5_Baseline!$E:$E,SSP5_Baseline!$C:$C,Results_list!$C$130,SSP5_Baseline!$D:$D,Results_list!$D137,SSP5_Baseline!$B:$B,2040)) - (SUMIFS(SSP5_Baseline!$E:$E,SSP5_Baseline!$C:$C,Results_list!$C$130,SSP5_Baseline!$D:$D,Results_list!$D137,SSP5_Baseline!$B:$B,2025))) / (SUMIFS(SSP5_Baseline!$E:$E,SSP5_Baseline!$C:$C,Results_list!$C$130,SSP5_Baseline!$D:$D,Results_list!$D137,SSP5_Baseline!$B:$B,2025))</f>
        <v>0.93869987444379266</v>
      </c>
      <c r="AC32" s="16">
        <f>((SUMIFS(SSP5_VSI!$F:$F,SSP5_VSI!$C:$C,Results_list!$C$130,SSP5_VSI!$D:$D,Results_list!$D137,SSP5_VSI!$B:$B,2040)) - (SUMIFS(SSP5_VSI!$F:$F,SSP5_VSI!$C:$C,Results_list!$C$130,SSP5_VSI!$D:$D,Results_list!$D137,SSP5_VSI!$B:$B,2025))) / (SUMIFS(SSP5_VSI!$F:$F,SSP5_VSI!$C:$C,Results_list!$C$130,SSP5_VSI!$D:$D,Results_list!$D137,SSP5_VSI!$B:$B,2025))</f>
        <v>0.93869941767979126</v>
      </c>
      <c r="AD32" s="13">
        <f t="shared" si="17"/>
        <v>0</v>
      </c>
      <c r="AF32" s="85"/>
      <c r="AG32" s="85"/>
      <c r="AH32" s="22" t="s">
        <v>46</v>
      </c>
      <c r="AI32" s="25" t="s">
        <v>71</v>
      </c>
      <c r="AJ32" s="3" t="s">
        <v>94</v>
      </c>
      <c r="AK32" s="12">
        <v>1.6838149698773157</v>
      </c>
      <c r="AL32" s="16">
        <v>1.6837602586377785</v>
      </c>
      <c r="AM32" s="13">
        <f t="shared" si="18"/>
        <v>0</v>
      </c>
      <c r="AN32" s="12">
        <v>2.6232526530525146</v>
      </c>
      <c r="AO32" s="16">
        <v>2.6233272821759446</v>
      </c>
      <c r="AP32" s="13">
        <f t="shared" si="19"/>
        <v>0</v>
      </c>
      <c r="AQ32" s="12">
        <v>1.3246243242320019</v>
      </c>
      <c r="AR32" s="16">
        <v>1.324691096433483</v>
      </c>
      <c r="AS32" s="13">
        <f t="shared" si="20"/>
        <v>0</v>
      </c>
      <c r="AU32" s="87"/>
      <c r="AV32" s="87"/>
      <c r="AW32" s="22" t="s">
        <v>46</v>
      </c>
      <c r="AX32" s="25" t="s">
        <v>82</v>
      </c>
      <c r="AY32" s="3" t="s">
        <v>94</v>
      </c>
      <c r="AZ32" s="12">
        <v>0.35932723314098408</v>
      </c>
      <c r="BA32" s="16">
        <v>0.35932494097967477</v>
      </c>
      <c r="BB32" s="13">
        <f t="shared" si="21"/>
        <v>0</v>
      </c>
      <c r="BC32" s="12">
        <v>1.0520781169545976</v>
      </c>
      <c r="BD32" s="16">
        <v>1.0521083621032739</v>
      </c>
      <c r="BE32" s="13">
        <f t="shared" si="22"/>
        <v>0</v>
      </c>
      <c r="BF32" s="12">
        <v>1.0069272207575808</v>
      </c>
      <c r="BG32" s="16">
        <v>1.0069790682239297</v>
      </c>
      <c r="BH32" s="13">
        <f t="shared" si="23"/>
        <v>0</v>
      </c>
    </row>
    <row r="33" spans="2:60" x14ac:dyDescent="0.35">
      <c r="B33" s="91"/>
      <c r="C33" s="91"/>
      <c r="D33" t="s">
        <v>47</v>
      </c>
      <c r="F33" s="3" t="s">
        <v>95</v>
      </c>
      <c r="G33" s="12">
        <f>((SUMIFS(SSP1_Baseline!$E:$E,SSP1_Baseline!$C:$C,Results_list!$C$25,SSP1_Baseline!$D:$D,Results_list!$D33,SSP1_Baseline!$B:$B,2040)) - (SUMIFS(SSP1_Baseline!$E:$E,SSP1_Baseline!$C:$C,Results_list!$C$25,SSP1_Baseline!$D:$D,Results_list!$D33,SSP1_Baseline!$B:$B,2025))) / (SUMIFS(SSP1_Baseline!$E:$E,SSP1_Baseline!$C:$C,Results_list!$C$25,SSP1_Baseline!$D:$D,Results_list!$D33,SSP1_Baseline!$B:$B,2025))</f>
        <v>-8.4458413175465208E-2</v>
      </c>
      <c r="H33" s="16">
        <f>((SUMIFS(SSP1_VSI!$F:$F,SSP1_VSI!$C:$C,Results_list!$C$25,SSP1_VSI!$D:$D,Results_list!$D33,SSP1_VSI!$B:$B,2040)) - (SUMIFS(SSP1_VSI!$F:$F,SSP1_VSI!$C:$C,Results_list!$C$25,SSP1_VSI!$D:$D,Results_list!$D33,SSP1_VSI!$B:$B,2025))) / (SUMIFS(SSP1_VSI!$F:$F,SSP1_VSI!$C:$C,Results_list!$C$25,SSP1_VSI!$D:$D,Results_list!$D33,SSP1_VSI!$B:$B,2025))</f>
        <v>-8.4454944171819882E-2</v>
      </c>
      <c r="I33" s="13">
        <f t="shared" si="12"/>
        <v>0</v>
      </c>
      <c r="J33" s="12">
        <f>((SUMIFS(SSP2_Baseline!$E:$E,SSP2_Baseline!$C:$C,Results_list!$C$25,SSP2_Baseline!$D:$D,Results_list!$D33,SSP2_Baseline!$B:$B,2040)) - (SUMIFS(SSP2_Baseline!$E:$E,SSP2_Baseline!$C:$C,Results_list!$C$25,SSP2_Baseline!$D:$D,Results_list!$D33,SSP2_Baseline!$B:$B,2025))) / (SUMIFS(SSP2_Baseline!$E:$E,SSP2_Baseline!$C:$C,Results_list!$C$25,SSP2_Baseline!$D:$D,Results_list!$D33,SSP2_Baseline!$B:$B,2025))</f>
        <v>-7.4806430681133504E-2</v>
      </c>
      <c r="K33" s="16">
        <f>((SUMIFS(SSP2_VSI!$F:$F,SSP2_VSI!$C:$C,Results_list!$C$25,SSP2_VSI!$D:$D,Results_list!$D33,SSP2_VSI!$B:$B,2040)) - (SUMIFS(SSP2_VSI!$F:$F,SSP2_VSI!$C:$C,Results_list!$C$25,SSP2_VSI!$D:$D,Results_list!$D33,SSP2_VSI!$B:$B,2025))) / (SUMIFS(SSP2_VSI!$F:$F,SSP2_VSI!$C:$C,Results_list!$C$25,SSP2_VSI!$D:$D,Results_list!$D33,SSP2_VSI!$B:$B,2025))</f>
        <v>-7.4805325686896851E-2</v>
      </c>
      <c r="L33" s="13">
        <f t="shared" si="13"/>
        <v>0</v>
      </c>
      <c r="M33" s="12">
        <f>((SUMIFS(SSP5_Baseline!$E:$E,SSP5_Baseline!$C:$C,Results_list!$C$25,SSP5_Baseline!$D:$D,Results_list!$D33,SSP5_Baseline!$B:$B,2040)) - (SUMIFS(SSP5_Baseline!$E:$E,SSP5_Baseline!$C:$C,Results_list!$C$25,SSP5_Baseline!$D:$D,Results_list!$D33,SSP5_Baseline!$B:$B,2025))) / (SUMIFS(SSP5_Baseline!$E:$E,SSP5_Baseline!$C:$C,Results_list!$C$25,SSP5_Baseline!$D:$D,Results_list!$D33,SSP5_Baseline!$B:$B,2025))</f>
        <v>-6.2778742603698007E-2</v>
      </c>
      <c r="N33" s="16">
        <f>((SUMIFS(SSP5_VSI!$F:$F,SSP5_VSI!$C:$C,Results_list!$C$25,SSP5_VSI!$D:$D,Results_list!$D33,SSP5_VSI!$B:$B,2040)) - (SUMIFS(SSP5_VSI!$F:$F,SSP5_VSI!$C:$C,Results_list!$C$25,SSP5_VSI!$D:$D,Results_list!$D33,SSP5_VSI!$B:$B,2025))) / (SUMIFS(SSP5_VSI!$F:$F,SSP5_VSI!$C:$C,Results_list!$C$25,SSP5_VSI!$D:$D,Results_list!$D33,SSP5_VSI!$B:$B,2025))</f>
        <v>-6.2762100121513717E-2</v>
      </c>
      <c r="O33" s="13">
        <f t="shared" si="14"/>
        <v>0</v>
      </c>
      <c r="Q33" s="91"/>
      <c r="R33" s="91"/>
      <c r="S33" s="22" t="s">
        <v>47</v>
      </c>
      <c r="U33" s="3" t="s">
        <v>95</v>
      </c>
      <c r="V33" s="12">
        <f>((SUMIFS(SSP1_Baseline!$E:$E,SSP1_Baseline!$C:$C,Results_list!$C$130,SSP1_Baseline!$D:$D,Results_list!$D138,SSP1_Baseline!$B:$B,2040)) - (SUMIFS(SSP1_Baseline!$E:$E,SSP1_Baseline!$C:$C,Results_list!$C$130,SSP1_Baseline!$D:$D,Results_list!$D138,SSP1_Baseline!$B:$B,2025))) / (SUMIFS(SSP1_Baseline!$E:$E,SSP1_Baseline!$C:$C,Results_list!$C$130,SSP1_Baseline!$D:$D,Results_list!$D138,SSP1_Baseline!$B:$B,2025))</f>
        <v>-2.8308014111623918E-2</v>
      </c>
      <c r="W33" s="16">
        <f>((SUMIFS(SSP1_VSI!$F:$F,SSP1_VSI!$C:$C,Results_list!$C$130,SSP1_VSI!$D:$D,Results_list!$D138,SSP1_VSI!$B:$B,2040)) - (SUMIFS(SSP1_VSI!$F:$F,SSP1_VSI!$C:$C,Results_list!$C$130,SSP1_VSI!$D:$D,Results_list!$D138,SSP1_VSI!$B:$B,2025))) / (SUMIFS(SSP1_VSI!$F:$F,SSP1_VSI!$C:$C,Results_list!$C$130,SSP1_VSI!$D:$D,Results_list!$D138,SSP1_VSI!$B:$B,2025))</f>
        <v>-2.8289279426388359E-2</v>
      </c>
      <c r="X33" s="13">
        <f t="shared" si="15"/>
        <v>0</v>
      </c>
      <c r="Y33" s="12">
        <f>((SUMIFS(SSP2_Baseline!$E:$E,SSP2_Baseline!$C:$C,Results_list!$C$130,SSP2_Baseline!$D:$D,Results_list!$D138,SSP2_Baseline!$B:$B,2040)) - (SUMIFS(SSP2_Baseline!$E:$E,SSP2_Baseline!$C:$C,Results_list!$C$130,SSP2_Baseline!$D:$D,Results_list!$D138,SSP2_Baseline!$B:$B,2025))) / (SUMIFS(SSP2_Baseline!$E:$E,SSP2_Baseline!$C:$C,Results_list!$C$130,SSP2_Baseline!$D:$D,Results_list!$D138,SSP2_Baseline!$B:$B,2025))</f>
        <v>2.1507786382850575E-2</v>
      </c>
      <c r="Z33" s="16">
        <f>((SUMIFS(SSP2_VSI!$F:$F,SSP2_VSI!$C:$C,Results_list!$C$130,SSP2_VSI!$D:$D,Results_list!$D138,SSP2_VSI!$B:$B,2040)) - (SUMIFS(SSP2_VSI!$F:$F,SSP2_VSI!$C:$C,Results_list!$C$130,SSP2_VSI!$D:$D,Results_list!$D138,SSP2_VSI!$B:$B,2025))) / (SUMIFS(SSP2_VSI!$F:$F,SSP2_VSI!$C:$C,Results_list!$C$130,SSP2_VSI!$D:$D,Results_list!$D138,SSP2_VSI!$B:$B,2025))</f>
        <v>2.1514189932867814E-2</v>
      </c>
      <c r="AA33" s="13">
        <f t="shared" si="16"/>
        <v>0</v>
      </c>
      <c r="AB33" s="12">
        <f>((SUMIFS(SSP5_Baseline!$E:$E,SSP5_Baseline!$C:$C,Results_list!$C$130,SSP5_Baseline!$D:$D,Results_list!$D138,SSP5_Baseline!$B:$B,2040)) - (SUMIFS(SSP5_Baseline!$E:$E,SSP5_Baseline!$C:$C,Results_list!$C$130,SSP5_Baseline!$D:$D,Results_list!$D138,SSP5_Baseline!$B:$B,2025))) / (SUMIFS(SSP5_Baseline!$E:$E,SSP5_Baseline!$C:$C,Results_list!$C$130,SSP5_Baseline!$D:$D,Results_list!$D138,SSP5_Baseline!$B:$B,2025))</f>
        <v>4.8251994260624063E-2</v>
      </c>
      <c r="AC33" s="16">
        <f>((SUMIFS(SSP5_VSI!$F:$F,SSP5_VSI!$C:$C,Results_list!$C$130,SSP5_VSI!$D:$D,Results_list!$D138,SSP5_VSI!$B:$B,2040)) - (SUMIFS(SSP5_VSI!$F:$F,SSP5_VSI!$C:$C,Results_list!$C$130,SSP5_VSI!$D:$D,Results_list!$D138,SSP5_VSI!$B:$B,2025))) / (SUMIFS(SSP5_VSI!$F:$F,SSP5_VSI!$C:$C,Results_list!$C$130,SSP5_VSI!$D:$D,Results_list!$D138,SSP5_VSI!$B:$B,2025))</f>
        <v>4.8353471749519414E-2</v>
      </c>
      <c r="AD33" s="13">
        <f t="shared" si="17"/>
        <v>0</v>
      </c>
      <c r="AF33" s="85"/>
      <c r="AG33" s="85"/>
      <c r="AH33" s="22" t="s">
        <v>47</v>
      </c>
      <c r="AI33" s="25" t="s">
        <v>71</v>
      </c>
      <c r="AJ33" s="3" t="s">
        <v>95</v>
      </c>
      <c r="AK33" s="12">
        <v>-0.34607390644718583</v>
      </c>
      <c r="AL33" s="16">
        <v>-0.34607221322496867</v>
      </c>
      <c r="AM33" s="13">
        <f t="shared" si="18"/>
        <v>0</v>
      </c>
      <c r="AN33" s="12">
        <v>-0.36160850176032616</v>
      </c>
      <c r="AO33" s="16">
        <v>-0.36160759934223663</v>
      </c>
      <c r="AP33" s="13">
        <f t="shared" si="19"/>
        <v>0</v>
      </c>
      <c r="AQ33" s="12">
        <v>0.53976498213283775</v>
      </c>
      <c r="AR33" s="16">
        <v>0.53976528821449166</v>
      </c>
      <c r="AS33" s="13">
        <f t="shared" si="20"/>
        <v>0</v>
      </c>
      <c r="AU33" s="87"/>
      <c r="AV33" s="87"/>
      <c r="AW33" s="22" t="s">
        <v>47</v>
      </c>
      <c r="AX33" s="25" t="s">
        <v>82</v>
      </c>
      <c r="AY33" s="3" t="s">
        <v>95</v>
      </c>
      <c r="AZ33" s="12">
        <v>-0.42341517474341439</v>
      </c>
      <c r="BA33" s="16">
        <v>-0.42341347757405878</v>
      </c>
      <c r="BB33" s="13">
        <f t="shared" si="21"/>
        <v>0</v>
      </c>
      <c r="BC33" s="12">
        <v>-0.50198426595906998</v>
      </c>
      <c r="BD33" s="16">
        <v>-0.50198351778888817</v>
      </c>
      <c r="BE33" s="13">
        <f t="shared" si="22"/>
        <v>0</v>
      </c>
      <c r="BF33" s="12">
        <v>0.77399001236083897</v>
      </c>
      <c r="BG33" s="16">
        <v>0.77399030283727133</v>
      </c>
      <c r="BH33" s="13">
        <f t="shared" si="23"/>
        <v>0</v>
      </c>
    </row>
    <row r="34" spans="2:60" x14ac:dyDescent="0.35">
      <c r="B34" s="91"/>
      <c r="C34" s="91"/>
      <c r="D34" t="s">
        <v>48</v>
      </c>
      <c r="F34" s="3" t="s">
        <v>96</v>
      </c>
      <c r="G34" s="12">
        <f>((SUMIFS(SSP1_Baseline!$E:$E,SSP1_Baseline!$C:$C,Results_list!$C$25,SSP1_Baseline!$D:$D,Results_list!$D34,SSP1_Baseline!$B:$B,2040)) - (SUMIFS(SSP1_Baseline!$E:$E,SSP1_Baseline!$C:$C,Results_list!$C$25,SSP1_Baseline!$D:$D,Results_list!$D34,SSP1_Baseline!$B:$B,2025))) / (SUMIFS(SSP1_Baseline!$E:$E,SSP1_Baseline!$C:$C,Results_list!$C$25,SSP1_Baseline!$D:$D,Results_list!$D34,SSP1_Baseline!$B:$B,2025))</f>
        <v>6.7256080878136458E-4</v>
      </c>
      <c r="H34" s="16">
        <f>((SUMIFS(SSP1_VSI!$F:$F,SSP1_VSI!$C:$C,Results_list!$C$25,SSP1_VSI!$D:$D,Results_list!$D34,SSP1_VSI!$B:$B,2040)) - (SUMIFS(SSP1_VSI!$F:$F,SSP1_VSI!$C:$C,Results_list!$C$25,SSP1_VSI!$D:$D,Results_list!$D34,SSP1_VSI!$B:$B,2025))) / (SUMIFS(SSP1_VSI!$F:$F,SSP1_VSI!$C:$C,Results_list!$C$25,SSP1_VSI!$D:$D,Results_list!$D34,SSP1_VSI!$B:$B,2025))</f>
        <v>6.7260349323779449E-4</v>
      </c>
      <c r="I34" s="13">
        <f t="shared" si="12"/>
        <v>0</v>
      </c>
      <c r="J34" s="12">
        <f>((SUMIFS(SSP2_Baseline!$E:$E,SSP2_Baseline!$C:$C,Results_list!$C$25,SSP2_Baseline!$D:$D,Results_list!$D34,SSP2_Baseline!$B:$B,2040)) - (SUMIFS(SSP2_Baseline!$E:$E,SSP2_Baseline!$C:$C,Results_list!$C$25,SSP2_Baseline!$D:$D,Results_list!$D34,SSP2_Baseline!$B:$B,2025))) / (SUMIFS(SSP2_Baseline!$E:$E,SSP2_Baseline!$C:$C,Results_list!$C$25,SSP2_Baseline!$D:$D,Results_list!$D34,SSP2_Baseline!$B:$B,2025))</f>
        <v>5.9459826086759792E-4</v>
      </c>
      <c r="K34" s="16">
        <f>((SUMIFS(SSP2_VSI!$F:$F,SSP2_VSI!$C:$C,Results_list!$C$25,SSP2_VSI!$D:$D,Results_list!$D34,SSP2_VSI!$B:$B,2040)) - (SUMIFS(SSP2_VSI!$F:$F,SSP2_VSI!$C:$C,Results_list!$C$25,SSP2_VSI!$D:$D,Results_list!$D34,SSP2_VSI!$B:$B,2025))) / (SUMIFS(SSP2_VSI!$F:$F,SSP2_VSI!$C:$C,Results_list!$C$25,SSP2_VSI!$D:$D,Results_list!$D34,SSP2_VSI!$B:$B,2025))</f>
        <v>5.9459904610944527E-4</v>
      </c>
      <c r="L34" s="13">
        <f t="shared" si="13"/>
        <v>0</v>
      </c>
      <c r="M34" s="12">
        <f>((SUMIFS(SSP5_Baseline!$E:$E,SSP5_Baseline!$C:$C,Results_list!$C$25,SSP5_Baseline!$D:$D,Results_list!$D34,SSP5_Baseline!$B:$B,2040)) - (SUMIFS(SSP5_Baseline!$E:$E,SSP5_Baseline!$C:$C,Results_list!$C$25,SSP5_Baseline!$D:$D,Results_list!$D34,SSP5_Baseline!$B:$B,2025))) / (SUMIFS(SSP5_Baseline!$E:$E,SSP5_Baseline!$C:$C,Results_list!$C$25,SSP5_Baseline!$D:$D,Results_list!$D34,SSP5_Baseline!$B:$B,2025))</f>
        <v>1.9840484626480778E-4</v>
      </c>
      <c r="N34" s="16">
        <f>((SUMIFS(SSP5_VSI!$F:$F,SSP5_VSI!$C:$C,Results_list!$C$25,SSP5_VSI!$D:$D,Results_list!$D34,SSP5_VSI!$B:$B,2040)) - (SUMIFS(SSP5_VSI!$F:$F,SSP5_VSI!$C:$C,Results_list!$C$25,SSP5_VSI!$D:$D,Results_list!$D34,SSP5_VSI!$B:$B,2025))) / (SUMIFS(SSP5_VSI!$F:$F,SSP5_VSI!$C:$C,Results_list!$C$25,SSP5_VSI!$D:$D,Results_list!$D34,SSP5_VSI!$B:$B,2025))</f>
        <v>1.9847237082729082E-4</v>
      </c>
      <c r="O34" s="13">
        <f t="shared" si="14"/>
        <v>0</v>
      </c>
      <c r="Q34" s="91"/>
      <c r="R34" s="91"/>
      <c r="S34" s="22" t="s">
        <v>48</v>
      </c>
      <c r="U34" s="3" t="s">
        <v>96</v>
      </c>
      <c r="V34" s="12">
        <f>((SUMIFS(SSP1_Baseline!$E:$E,SSP1_Baseline!$C:$C,Results_list!$C$130,SSP1_Baseline!$D:$D,Results_list!$D139,SSP1_Baseline!$B:$B,2040)) - (SUMIFS(SSP1_Baseline!$E:$E,SSP1_Baseline!$C:$C,Results_list!$C$130,SSP1_Baseline!$D:$D,Results_list!$D139,SSP1_Baseline!$B:$B,2025))) / (SUMIFS(SSP1_Baseline!$E:$E,SSP1_Baseline!$C:$C,Results_list!$C$130,SSP1_Baseline!$D:$D,Results_list!$D139,SSP1_Baseline!$B:$B,2025))</f>
        <v>4.9512707238549825E-4</v>
      </c>
      <c r="W34" s="16">
        <f>((SUMIFS(SSP1_VSI!$F:$F,SSP1_VSI!$C:$C,Results_list!$C$130,SSP1_VSI!$D:$D,Results_list!$D139,SSP1_VSI!$B:$B,2040)) - (SUMIFS(SSP1_VSI!$F:$F,SSP1_VSI!$C:$C,Results_list!$C$130,SSP1_VSI!$D:$D,Results_list!$D139,SSP1_VSI!$B:$B,2025))) / (SUMIFS(SSP1_VSI!$F:$F,SSP1_VSI!$C:$C,Results_list!$C$130,SSP1_VSI!$D:$D,Results_list!$D139,SSP1_VSI!$B:$B,2025))</f>
        <v>4.9520260450238893E-4</v>
      </c>
      <c r="X34" s="13">
        <f t="shared" si="15"/>
        <v>0</v>
      </c>
      <c r="Y34" s="12">
        <f>((SUMIFS(SSP2_Baseline!$E:$E,SSP2_Baseline!$C:$C,Results_list!$C$130,SSP2_Baseline!$D:$D,Results_list!$D139,SSP2_Baseline!$B:$B,2040)) - (SUMIFS(SSP2_Baseline!$E:$E,SSP2_Baseline!$C:$C,Results_list!$C$130,SSP2_Baseline!$D:$D,Results_list!$D139,SSP2_Baseline!$B:$B,2025))) / (SUMIFS(SSP2_Baseline!$E:$E,SSP2_Baseline!$C:$C,Results_list!$C$130,SSP2_Baseline!$D:$D,Results_list!$D139,SSP2_Baseline!$B:$B,2025))</f>
        <v>4.2802739266654759E-4</v>
      </c>
      <c r="Z34" s="16">
        <f>((SUMIFS(SSP2_VSI!$F:$F,SSP2_VSI!$C:$C,Results_list!$C$130,SSP2_VSI!$D:$D,Results_list!$D139,SSP2_VSI!$B:$B,2040)) - (SUMIFS(SSP2_VSI!$F:$F,SSP2_VSI!$C:$C,Results_list!$C$130,SSP2_VSI!$D:$D,Results_list!$D139,SSP2_VSI!$B:$B,2025))) / (SUMIFS(SSP2_VSI!$F:$F,SSP2_VSI!$C:$C,Results_list!$C$130,SSP2_VSI!$D:$D,Results_list!$D139,SSP2_VSI!$B:$B,2025))</f>
        <v>4.2835024497512583E-4</v>
      </c>
      <c r="AA34" s="13">
        <f t="shared" si="16"/>
        <v>0</v>
      </c>
      <c r="AB34" s="12">
        <f>((SUMIFS(SSP5_Baseline!$E:$E,SSP5_Baseline!$C:$C,Results_list!$C$130,SSP5_Baseline!$D:$D,Results_list!$D139,SSP5_Baseline!$B:$B,2040)) - (SUMIFS(SSP5_Baseline!$E:$E,SSP5_Baseline!$C:$C,Results_list!$C$130,SSP5_Baseline!$D:$D,Results_list!$D139,SSP5_Baseline!$B:$B,2025))) / (SUMIFS(SSP5_Baseline!$E:$E,SSP5_Baseline!$C:$C,Results_list!$C$130,SSP5_Baseline!$D:$D,Results_list!$D139,SSP5_Baseline!$B:$B,2025))</f>
        <v>1.9081705737493884E-4</v>
      </c>
      <c r="AC34" s="16">
        <f>((SUMIFS(SSP5_VSI!$F:$F,SSP5_VSI!$C:$C,Results_list!$C$130,SSP5_VSI!$D:$D,Results_list!$D139,SSP5_VSI!$B:$B,2040)) - (SUMIFS(SSP5_VSI!$F:$F,SSP5_VSI!$C:$C,Results_list!$C$130,SSP5_VSI!$D:$D,Results_list!$D139,SSP5_VSI!$B:$B,2025))) / (SUMIFS(SSP5_VSI!$F:$F,SSP5_VSI!$C:$C,Results_list!$C$130,SSP5_VSI!$D:$D,Results_list!$D139,SSP5_VSI!$B:$B,2025))</f>
        <v>1.909803960342538E-4</v>
      </c>
      <c r="AD34" s="13">
        <f t="shared" si="17"/>
        <v>0</v>
      </c>
      <c r="AF34" s="85"/>
      <c r="AG34" s="85"/>
      <c r="AH34" s="22" t="s">
        <v>48</v>
      </c>
      <c r="AI34" s="25" t="s">
        <v>71</v>
      </c>
      <c r="AJ34" s="3" t="s">
        <v>96</v>
      </c>
      <c r="AK34" s="12">
        <v>2.8169822696651321E-2</v>
      </c>
      <c r="AL34" s="16">
        <v>2.8174938255964819E-2</v>
      </c>
      <c r="AM34" s="13">
        <f t="shared" si="18"/>
        <v>0</v>
      </c>
      <c r="AN34" s="12">
        <v>-3.1359532153289555E-3</v>
      </c>
      <c r="AO34" s="16">
        <v>-3.1354846712260622E-3</v>
      </c>
      <c r="AP34" s="13">
        <f t="shared" si="19"/>
        <v>0</v>
      </c>
      <c r="AQ34" s="12">
        <v>-6.3459846933188345E-3</v>
      </c>
      <c r="AR34" s="16">
        <v>-6.3423300269026817E-3</v>
      </c>
      <c r="AS34" s="13">
        <f t="shared" si="20"/>
        <v>0</v>
      </c>
      <c r="AU34" s="87"/>
      <c r="AV34" s="87"/>
      <c r="AW34" s="22" t="s">
        <v>48</v>
      </c>
      <c r="AX34" s="25" t="s">
        <v>82</v>
      </c>
      <c r="AY34" s="3" t="s">
        <v>96</v>
      </c>
      <c r="AZ34" s="12">
        <v>6.4140028245165327E-5</v>
      </c>
      <c r="BA34" s="16">
        <v>6.4145852761986571E-5</v>
      </c>
      <c r="BB34" s="13">
        <f t="shared" si="21"/>
        <v>0</v>
      </c>
      <c r="BC34" s="12">
        <v>5.4152351285068782E-5</v>
      </c>
      <c r="BD34" s="16">
        <v>5.4152826526536218E-5</v>
      </c>
      <c r="BE34" s="13">
        <f t="shared" si="22"/>
        <v>0</v>
      </c>
      <c r="BF34" s="12">
        <v>1.9129758212033295E-5</v>
      </c>
      <c r="BG34" s="16">
        <v>1.9134958737251017E-5</v>
      </c>
      <c r="BH34" s="13">
        <f t="shared" si="23"/>
        <v>0</v>
      </c>
    </row>
    <row r="35" spans="2:60" x14ac:dyDescent="0.35">
      <c r="B35" s="91"/>
      <c r="C35" s="91"/>
      <c r="D35" t="s">
        <v>49</v>
      </c>
      <c r="F35" s="3" t="s">
        <v>97</v>
      </c>
      <c r="G35" s="12">
        <f>((SUMIFS(SSP1_Baseline!$E:$E,SSP1_Baseline!$C:$C,Results_list!$C$25,SSP1_Baseline!$D:$D,Results_list!$D35,SSP1_Baseline!$B:$B,2040)) - (SUMIFS(SSP1_Baseline!$E:$E,SSP1_Baseline!$C:$C,Results_list!$C$25,SSP1_Baseline!$D:$D,Results_list!$D35,SSP1_Baseline!$B:$B,2025))) / (SUMIFS(SSP1_Baseline!$E:$E,SSP1_Baseline!$C:$C,Results_list!$C$25,SSP1_Baseline!$D:$D,Results_list!$D35,SSP1_Baseline!$B:$B,2025))</f>
        <v>-6.706235635617365E-2</v>
      </c>
      <c r="H35" s="16">
        <f>((SUMIFS(SSP1_VSI!$F:$F,SSP1_VSI!$C:$C,Results_list!$C$25,SSP1_VSI!$D:$D,Results_list!$D35,SSP1_VSI!$B:$B,2040)) - (SUMIFS(SSP1_VSI!$F:$F,SSP1_VSI!$C:$C,Results_list!$C$25,SSP1_VSI!$D:$D,Results_list!$D35,SSP1_VSI!$B:$B,2025))) / (SUMIFS(SSP1_VSI!$F:$F,SSP1_VSI!$C:$C,Results_list!$C$25,SSP1_VSI!$D:$D,Results_list!$D35,SSP1_VSI!$B:$B,2025))</f>
        <v>-0.28687089252164411</v>
      </c>
      <c r="I35" s="13">
        <f t="shared" si="12"/>
        <v>-0.22</v>
      </c>
      <c r="J35" s="12">
        <f>((SUMIFS(SSP2_Baseline!$E:$E,SSP2_Baseline!$C:$C,Results_list!$C$25,SSP2_Baseline!$D:$D,Results_list!$D35,SSP2_Baseline!$B:$B,2040)) - (SUMIFS(SSP2_Baseline!$E:$E,SSP2_Baseline!$C:$C,Results_list!$C$25,SSP2_Baseline!$D:$D,Results_list!$D35,SSP2_Baseline!$B:$B,2025))) / (SUMIFS(SSP2_Baseline!$E:$E,SSP2_Baseline!$C:$C,Results_list!$C$25,SSP2_Baseline!$D:$D,Results_list!$D35,SSP2_Baseline!$B:$B,2025))</f>
        <v>-6.2316201189540885E-2</v>
      </c>
      <c r="K35" s="16">
        <f>((SUMIFS(SSP2_VSI!$F:$F,SSP2_VSI!$C:$C,Results_list!$C$25,SSP2_VSI!$D:$D,Results_list!$D35,SSP2_VSI!$B:$B,2040)) - (SUMIFS(SSP2_VSI!$F:$F,SSP2_VSI!$C:$C,Results_list!$C$25,SSP2_VSI!$D:$D,Results_list!$D35,SSP2_VSI!$B:$B,2025))) / (SUMIFS(SSP2_VSI!$F:$F,SSP2_VSI!$C:$C,Results_list!$C$25,SSP2_VSI!$D:$D,Results_list!$D35,SSP2_VSI!$B:$B,2025))</f>
        <v>-0.28343886659855266</v>
      </c>
      <c r="L35" s="13">
        <f t="shared" si="13"/>
        <v>-0.22</v>
      </c>
      <c r="M35" s="12">
        <f>((SUMIFS(SSP5_Baseline!$E:$E,SSP5_Baseline!$C:$C,Results_list!$C$25,SSP5_Baseline!$D:$D,Results_list!$D35,SSP5_Baseline!$B:$B,2040)) - (SUMIFS(SSP5_Baseline!$E:$E,SSP5_Baseline!$C:$C,Results_list!$C$25,SSP5_Baseline!$D:$D,Results_list!$D35,SSP5_Baseline!$B:$B,2025))) / (SUMIFS(SSP5_Baseline!$E:$E,SSP5_Baseline!$C:$C,Results_list!$C$25,SSP5_Baseline!$D:$D,Results_list!$D35,SSP5_Baseline!$B:$B,2025))</f>
        <v>-5.813991024907935E-2</v>
      </c>
      <c r="N35" s="16">
        <f>((SUMIFS(SSP5_VSI!$F:$F,SSP5_VSI!$C:$C,Results_list!$C$25,SSP5_VSI!$D:$D,Results_list!$D35,SSP5_VSI!$B:$B,2040)) - (SUMIFS(SSP5_VSI!$F:$F,SSP5_VSI!$C:$C,Results_list!$C$25,SSP5_VSI!$D:$D,Results_list!$D35,SSP5_VSI!$B:$B,2025))) / (SUMIFS(SSP5_VSI!$F:$F,SSP5_VSI!$C:$C,Results_list!$C$25,SSP5_VSI!$D:$D,Results_list!$D35,SSP5_VSI!$B:$B,2025))</f>
        <v>-0.28098127408401313</v>
      </c>
      <c r="O35" s="13">
        <f t="shared" si="14"/>
        <v>-0.22</v>
      </c>
      <c r="Q35" s="91"/>
      <c r="R35" s="91"/>
      <c r="S35" s="22" t="s">
        <v>49</v>
      </c>
      <c r="U35" s="3" t="s">
        <v>97</v>
      </c>
      <c r="V35" s="12">
        <f>((SUMIFS(SSP1_Baseline!$E:$E,SSP1_Baseline!$C:$C,Results_list!$C$130,SSP1_Baseline!$D:$D,Results_list!$D140,SSP1_Baseline!$B:$B,2040)) - (SUMIFS(SSP1_Baseline!$E:$E,SSP1_Baseline!$C:$C,Results_list!$C$130,SSP1_Baseline!$D:$D,Results_list!$D140,SSP1_Baseline!$B:$B,2025))) / (SUMIFS(SSP1_Baseline!$E:$E,SSP1_Baseline!$C:$C,Results_list!$C$130,SSP1_Baseline!$D:$D,Results_list!$D140,SSP1_Baseline!$B:$B,2025))</f>
        <v>-2.0583599685812877E-3</v>
      </c>
      <c r="W35" s="16">
        <f>((SUMIFS(SSP1_VSI!$F:$F,SSP1_VSI!$C:$C,Results_list!$C$130,SSP1_VSI!$D:$D,Results_list!$D140,SSP1_VSI!$B:$B,2040)) - (SUMIFS(SSP1_VSI!$F:$F,SSP1_VSI!$C:$C,Results_list!$C$130,SSP1_VSI!$D:$D,Results_list!$D140,SSP1_VSI!$B:$B,2025))) / (SUMIFS(SSP1_VSI!$F:$F,SSP1_VSI!$C:$C,Results_list!$C$130,SSP1_VSI!$D:$D,Results_list!$D140,SSP1_VSI!$B:$B,2025))</f>
        <v>-0.93768194571367158</v>
      </c>
      <c r="X35" s="13">
        <f t="shared" si="15"/>
        <v>-0.93600000000000005</v>
      </c>
      <c r="Y35" s="12">
        <f>((SUMIFS(SSP2_Baseline!$E:$E,SSP2_Baseline!$C:$C,Results_list!$C$130,SSP2_Baseline!$D:$D,Results_list!$D140,SSP2_Baseline!$B:$B,2040)) - (SUMIFS(SSP2_Baseline!$E:$E,SSP2_Baseline!$C:$C,Results_list!$C$130,SSP2_Baseline!$D:$D,Results_list!$D140,SSP2_Baseline!$B:$B,2025))) / (SUMIFS(SSP2_Baseline!$E:$E,SSP2_Baseline!$C:$C,Results_list!$C$130,SSP2_Baseline!$D:$D,Results_list!$D140,SSP2_Baseline!$B:$B,2025))</f>
        <v>-1.5022864340956037E-3</v>
      </c>
      <c r="Z35" s="16">
        <f>((SUMIFS(SSP2_VSI!$F:$F,SSP2_VSI!$C:$C,Results_list!$C$130,SSP2_VSI!$D:$D,Results_list!$D140,SSP2_VSI!$B:$B,2040)) - (SUMIFS(SSP2_VSI!$F:$F,SSP2_VSI!$C:$C,Results_list!$C$130,SSP2_VSI!$D:$D,Results_list!$D140,SSP2_VSI!$B:$B,2025))) / (SUMIFS(SSP2_VSI!$F:$F,SSP2_VSI!$C:$C,Results_list!$C$130,SSP2_VSI!$D:$D,Results_list!$D140,SSP2_VSI!$B:$B,2025))</f>
        <v>-0.93779058050740915</v>
      </c>
      <c r="AA35" s="13">
        <f t="shared" si="16"/>
        <v>-0.94</v>
      </c>
      <c r="AB35" s="12">
        <f>((SUMIFS(SSP5_Baseline!$E:$E,SSP5_Baseline!$C:$C,Results_list!$C$130,SSP5_Baseline!$D:$D,Results_list!$D140,SSP5_Baseline!$B:$B,2040)) - (SUMIFS(SSP5_Baseline!$E:$E,SSP5_Baseline!$C:$C,Results_list!$C$130,SSP5_Baseline!$D:$D,Results_list!$D140,SSP5_Baseline!$B:$B,2025))) / (SUMIFS(SSP5_Baseline!$E:$E,SSP5_Baseline!$C:$C,Results_list!$C$130,SSP5_Baseline!$D:$D,Results_list!$D140,SSP5_Baseline!$B:$B,2025))</f>
        <v>-1.2181346203292971E-3</v>
      </c>
      <c r="AC35" s="16">
        <f>((SUMIFS(SSP5_VSI!$F:$F,SSP5_VSI!$C:$C,Results_list!$C$130,SSP5_VSI!$D:$D,Results_list!$D140,SSP5_VSI!$B:$B,2040)) - (SUMIFS(SSP5_VSI!$F:$F,SSP5_VSI!$C:$C,Results_list!$C$130,SSP5_VSI!$D:$D,Results_list!$D140,SSP5_VSI!$B:$B,2025))) / (SUMIFS(SSP5_VSI!$F:$F,SSP5_VSI!$C:$C,Results_list!$C$130,SSP5_VSI!$D:$D,Results_list!$D140,SSP5_VSI!$B:$B,2025))</f>
        <v>-0.93726387664908972</v>
      </c>
      <c r="AD35" s="13">
        <f t="shared" si="17"/>
        <v>-0.94</v>
      </c>
      <c r="AF35" s="85"/>
      <c r="AG35" s="85"/>
      <c r="AH35" s="22" t="s">
        <v>49</v>
      </c>
      <c r="AI35" s="25" t="s">
        <v>71</v>
      </c>
      <c r="AJ35" s="3" t="s">
        <v>97</v>
      </c>
      <c r="AK35" s="12">
        <v>-0.11976471297503961</v>
      </c>
      <c r="AL35" s="16">
        <v>-0.11976527876377056</v>
      </c>
      <c r="AM35" s="13">
        <f t="shared" si="18"/>
        <v>0</v>
      </c>
      <c r="AN35" s="12">
        <v>-0.10845526724973077</v>
      </c>
      <c r="AO35" s="16">
        <v>-0.10845397986199301</v>
      </c>
      <c r="AP35" s="13">
        <f t="shared" si="19"/>
        <v>0</v>
      </c>
      <c r="AQ35" s="12">
        <v>-8.3497076856163699E-2</v>
      </c>
      <c r="AR35" s="16">
        <v>-8.349669930704115E-2</v>
      </c>
      <c r="AS35" s="13">
        <f t="shared" si="20"/>
        <v>0</v>
      </c>
      <c r="AU35" s="87"/>
      <c r="AV35" s="87"/>
      <c r="AW35" s="22" t="s">
        <v>49</v>
      </c>
      <c r="AX35" s="25" t="s">
        <v>82</v>
      </c>
      <c r="AY35" s="3" t="s">
        <v>97</v>
      </c>
      <c r="AZ35" s="12">
        <v>-0.31713453887685072</v>
      </c>
      <c r="BA35" s="16">
        <v>-0.31713475263576996</v>
      </c>
      <c r="BB35" s="13">
        <f t="shared" si="21"/>
        <v>0</v>
      </c>
      <c r="BC35" s="12">
        <v>-0.30541117764109477</v>
      </c>
      <c r="BD35" s="16">
        <v>-0.30540891975975681</v>
      </c>
      <c r="BE35" s="13">
        <f t="shared" si="22"/>
        <v>0</v>
      </c>
      <c r="BF35" s="12">
        <v>-0.20709683048249616</v>
      </c>
      <c r="BG35" s="16">
        <v>-0.20709525044702953</v>
      </c>
      <c r="BH35" s="13">
        <f t="shared" si="23"/>
        <v>0</v>
      </c>
    </row>
    <row r="36" spans="2:60" x14ac:dyDescent="0.35">
      <c r="B36" s="91"/>
      <c r="C36" s="91"/>
      <c r="D36" t="s">
        <v>50</v>
      </c>
      <c r="F36" s="3" t="s">
        <v>98</v>
      </c>
      <c r="G36" s="12">
        <f>((SUMIFS(SSP1_Baseline!$E:$E,SSP1_Baseline!$C:$C,Results_list!$C$25,SSP1_Baseline!$D:$D,Results_list!$D36,SSP1_Baseline!$B:$B,2040)) - (SUMIFS(SSP1_Baseline!$E:$E,SSP1_Baseline!$C:$C,Results_list!$C$25,SSP1_Baseline!$D:$D,Results_list!$D36,SSP1_Baseline!$B:$B,2025))) / (SUMIFS(SSP1_Baseline!$E:$E,SSP1_Baseline!$C:$C,Results_list!$C$25,SSP1_Baseline!$D:$D,Results_list!$D36,SSP1_Baseline!$B:$B,2025))</f>
        <v>-4.3580318462288929E-2</v>
      </c>
      <c r="H36" s="16">
        <f>((SUMIFS(SSP1_VSI!$F:$F,SSP1_VSI!$C:$C,Results_list!$C$25,SSP1_VSI!$D:$D,Results_list!$D36,SSP1_VSI!$B:$B,2040)) - (SUMIFS(SSP1_VSI!$F:$F,SSP1_VSI!$C:$C,Results_list!$C$25,SSP1_VSI!$D:$D,Results_list!$D36,SSP1_VSI!$B:$B,2025))) / (SUMIFS(SSP1_VSI!$F:$F,SSP1_VSI!$C:$C,Results_list!$C$25,SSP1_VSI!$D:$D,Results_list!$D36,SSP1_VSI!$B:$B,2025))</f>
        <v>-4.3581195609398465E-2</v>
      </c>
      <c r="I36" s="13">
        <f t="shared" si="12"/>
        <v>0</v>
      </c>
      <c r="J36" s="12">
        <f>((SUMIFS(SSP2_Baseline!$E:$E,SSP2_Baseline!$C:$C,Results_list!$C$25,SSP2_Baseline!$D:$D,Results_list!$D36,SSP2_Baseline!$B:$B,2040)) - (SUMIFS(SSP2_Baseline!$E:$E,SSP2_Baseline!$C:$C,Results_list!$C$25,SSP2_Baseline!$D:$D,Results_list!$D36,SSP2_Baseline!$B:$B,2025))) / (SUMIFS(SSP2_Baseline!$E:$E,SSP2_Baseline!$C:$C,Results_list!$C$25,SSP2_Baseline!$D:$D,Results_list!$D36,SSP2_Baseline!$B:$B,2025))</f>
        <v>4.1863249934363592E-3</v>
      </c>
      <c r="K36" s="16">
        <f>((SUMIFS(SSP2_VSI!$F:$F,SSP2_VSI!$C:$C,Results_list!$C$25,SSP2_VSI!$D:$D,Results_list!$D36,SSP2_VSI!$B:$B,2040)) - (SUMIFS(SSP2_VSI!$F:$F,SSP2_VSI!$C:$C,Results_list!$C$25,SSP2_VSI!$D:$D,Results_list!$D36,SSP2_VSI!$B:$B,2025))) / (SUMIFS(SSP2_VSI!$F:$F,SSP2_VSI!$C:$C,Results_list!$C$25,SSP2_VSI!$D:$D,Results_list!$D36,SSP2_VSI!$B:$B,2025))</f>
        <v>4.185871460734748E-3</v>
      </c>
      <c r="L36" s="13">
        <f t="shared" si="13"/>
        <v>0</v>
      </c>
      <c r="M36" s="12">
        <f>((SUMIFS(SSP5_Baseline!$E:$E,SSP5_Baseline!$C:$C,Results_list!$C$25,SSP5_Baseline!$D:$D,Results_list!$D36,SSP5_Baseline!$B:$B,2040)) - (SUMIFS(SSP5_Baseline!$E:$E,SSP5_Baseline!$C:$C,Results_list!$C$25,SSP5_Baseline!$D:$D,Results_list!$D36,SSP5_Baseline!$B:$B,2025))) / (SUMIFS(SSP5_Baseline!$E:$E,SSP5_Baseline!$C:$C,Results_list!$C$25,SSP5_Baseline!$D:$D,Results_list!$D36,SSP5_Baseline!$B:$B,2025))</f>
        <v>3.5301876837811545E-2</v>
      </c>
      <c r="N36" s="16">
        <f>((SUMIFS(SSP5_VSI!$F:$F,SSP5_VSI!$C:$C,Results_list!$C$25,SSP5_VSI!$D:$D,Results_list!$D36,SSP5_VSI!$B:$B,2040)) - (SUMIFS(SSP5_VSI!$F:$F,SSP5_VSI!$C:$C,Results_list!$C$25,SSP5_VSI!$D:$D,Results_list!$D36,SSP5_VSI!$B:$B,2025))) / (SUMIFS(SSP5_VSI!$F:$F,SSP5_VSI!$C:$C,Results_list!$C$25,SSP5_VSI!$D:$D,Results_list!$D36,SSP5_VSI!$B:$B,2025))</f>
        <v>3.5303796393149976E-2</v>
      </c>
      <c r="O36" s="13">
        <f t="shared" si="14"/>
        <v>0</v>
      </c>
      <c r="Q36" s="91"/>
      <c r="R36" s="91"/>
      <c r="S36" s="22" t="s">
        <v>50</v>
      </c>
      <c r="U36" s="3" t="s">
        <v>98</v>
      </c>
      <c r="V36" s="12">
        <f>((SUMIFS(SSP1_Baseline!$E:$E,SSP1_Baseline!$C:$C,Results_list!$C$130,SSP1_Baseline!$D:$D,Results_list!$D141,SSP1_Baseline!$B:$B,2040)) - (SUMIFS(SSP1_Baseline!$E:$E,SSP1_Baseline!$C:$C,Results_list!$C$130,SSP1_Baseline!$D:$D,Results_list!$D141,SSP1_Baseline!$B:$B,2025))) / (SUMIFS(SSP1_Baseline!$E:$E,SSP1_Baseline!$C:$C,Results_list!$C$130,SSP1_Baseline!$D:$D,Results_list!$D141,SSP1_Baseline!$B:$B,2025))</f>
        <v>-4.8408631097272545E-2</v>
      </c>
      <c r="W36" s="16">
        <f>((SUMIFS(SSP1_VSI!$F:$F,SSP1_VSI!$C:$C,Results_list!$C$130,SSP1_VSI!$D:$D,Results_list!$D141,SSP1_VSI!$B:$B,2040)) - (SUMIFS(SSP1_VSI!$F:$F,SSP1_VSI!$C:$C,Results_list!$C$130,SSP1_VSI!$D:$D,Results_list!$D141,SSP1_VSI!$B:$B,2025))) / (SUMIFS(SSP1_VSI!$F:$F,SSP1_VSI!$C:$C,Results_list!$C$130,SSP1_VSI!$D:$D,Results_list!$D141,SSP1_VSI!$B:$B,2025))</f>
        <v>-4.8421019604524926E-2</v>
      </c>
      <c r="X36" s="13">
        <f t="shared" si="15"/>
        <v>0</v>
      </c>
      <c r="Y36" s="12">
        <f>((SUMIFS(SSP2_Baseline!$E:$E,SSP2_Baseline!$C:$C,Results_list!$C$130,SSP2_Baseline!$D:$D,Results_list!$D141,SSP2_Baseline!$B:$B,2040)) - (SUMIFS(SSP2_Baseline!$E:$E,SSP2_Baseline!$C:$C,Results_list!$C$130,SSP2_Baseline!$D:$D,Results_list!$D141,SSP2_Baseline!$B:$B,2025))) / (SUMIFS(SSP2_Baseline!$E:$E,SSP2_Baseline!$C:$C,Results_list!$C$130,SSP2_Baseline!$D:$D,Results_list!$D141,SSP2_Baseline!$B:$B,2025))</f>
        <v>1.7965036416041403E-2</v>
      </c>
      <c r="Z36" s="16">
        <f>((SUMIFS(SSP2_VSI!$F:$F,SSP2_VSI!$C:$C,Results_list!$C$130,SSP2_VSI!$D:$D,Results_list!$D141,SSP2_VSI!$B:$B,2040)) - (SUMIFS(SSP2_VSI!$F:$F,SSP2_VSI!$C:$C,Results_list!$C$130,SSP2_VSI!$D:$D,Results_list!$D141,SSP2_VSI!$B:$B,2025))) / (SUMIFS(SSP2_VSI!$F:$F,SSP2_VSI!$C:$C,Results_list!$C$130,SSP2_VSI!$D:$D,Results_list!$D141,SSP2_VSI!$B:$B,2025))</f>
        <v>1.7970143439059783E-2</v>
      </c>
      <c r="AA36" s="13">
        <f t="shared" si="16"/>
        <v>0</v>
      </c>
      <c r="AB36" s="12">
        <f>((SUMIFS(SSP5_Baseline!$E:$E,SSP5_Baseline!$C:$C,Results_list!$C$130,SSP5_Baseline!$D:$D,Results_list!$D141,SSP5_Baseline!$B:$B,2040)) - (SUMIFS(SSP5_Baseline!$E:$E,SSP5_Baseline!$C:$C,Results_list!$C$130,SSP5_Baseline!$D:$D,Results_list!$D141,SSP5_Baseline!$B:$B,2025))) / (SUMIFS(SSP5_Baseline!$E:$E,SSP5_Baseline!$C:$C,Results_list!$C$130,SSP5_Baseline!$D:$D,Results_list!$D141,SSP5_Baseline!$B:$B,2025))</f>
        <v>4.8260296432189938E-2</v>
      </c>
      <c r="AC36" s="16">
        <f>((SUMIFS(SSP5_VSI!$F:$F,SSP5_VSI!$C:$C,Results_list!$C$130,SSP5_VSI!$D:$D,Results_list!$D141,SSP5_VSI!$B:$B,2040)) - (SUMIFS(SSP5_VSI!$F:$F,SSP5_VSI!$C:$C,Results_list!$C$130,SSP5_VSI!$D:$D,Results_list!$D141,SSP5_VSI!$B:$B,2025))) / (SUMIFS(SSP5_VSI!$F:$F,SSP5_VSI!$C:$C,Results_list!$C$130,SSP5_VSI!$D:$D,Results_list!$D141,SSP5_VSI!$B:$B,2025))</f>
        <v>4.8269351566582019E-2</v>
      </c>
      <c r="AD36" s="13">
        <f t="shared" si="17"/>
        <v>0</v>
      </c>
      <c r="AF36" s="85"/>
      <c r="AG36" s="85"/>
      <c r="AH36" s="22" t="s">
        <v>50</v>
      </c>
      <c r="AI36" s="25" t="s">
        <v>71</v>
      </c>
      <c r="AJ36" s="3" t="s">
        <v>98</v>
      </c>
      <c r="AK36" s="12">
        <v>-7.2032682277933344E-2</v>
      </c>
      <c r="AL36" s="16">
        <v>-7.2032379516267078E-2</v>
      </c>
      <c r="AM36" s="13">
        <f t="shared" si="18"/>
        <v>0</v>
      </c>
      <c r="AN36" s="12">
        <v>-3.0235527349809513E-2</v>
      </c>
      <c r="AO36" s="16">
        <v>-3.0235695730082821E-2</v>
      </c>
      <c r="AP36" s="13">
        <f t="shared" si="19"/>
        <v>0</v>
      </c>
      <c r="AQ36" s="12">
        <v>2.0971769935994141E-2</v>
      </c>
      <c r="AR36" s="16">
        <v>2.097480864890296E-2</v>
      </c>
      <c r="AS36" s="13">
        <f t="shared" si="20"/>
        <v>0</v>
      </c>
      <c r="AU36" s="87"/>
      <c r="AV36" s="87"/>
      <c r="AW36" s="22" t="s">
        <v>50</v>
      </c>
      <c r="AX36" s="25" t="s">
        <v>82</v>
      </c>
      <c r="AY36" s="3" t="s">
        <v>98</v>
      </c>
      <c r="AZ36" s="12">
        <v>-0.25206359197062067</v>
      </c>
      <c r="BA36" s="16">
        <v>-0.25206108162194069</v>
      </c>
      <c r="BB36" s="13">
        <f t="shared" si="21"/>
        <v>0</v>
      </c>
      <c r="BC36" s="12">
        <v>-0.10161269097269023</v>
      </c>
      <c r="BD36" s="16">
        <v>-0.10161318045696381</v>
      </c>
      <c r="BE36" s="13">
        <f t="shared" si="22"/>
        <v>0</v>
      </c>
      <c r="BF36" s="12">
        <v>0.14872713812048827</v>
      </c>
      <c r="BG36" s="16">
        <v>0.1487392423874839</v>
      </c>
      <c r="BH36" s="13">
        <f t="shared" si="23"/>
        <v>0</v>
      </c>
    </row>
    <row r="37" spans="2:60" x14ac:dyDescent="0.35">
      <c r="B37" s="91"/>
      <c r="C37" s="91"/>
      <c r="D37" t="s">
        <v>51</v>
      </c>
      <c r="F37" s="3" t="s">
        <v>99</v>
      </c>
      <c r="G37" s="12">
        <f>((SUMIFS(SSP1_Baseline!$E:$E,SSP1_Baseline!$C:$C,Results_list!$C$25,SSP1_Baseline!$D:$D,Results_list!$D37,SSP1_Baseline!$B:$B,2040)) - (SUMIFS(SSP1_Baseline!$E:$E,SSP1_Baseline!$C:$C,Results_list!$C$25,SSP1_Baseline!$D:$D,Results_list!$D37,SSP1_Baseline!$B:$B,2025))) / (SUMIFS(SSP1_Baseline!$E:$E,SSP1_Baseline!$C:$C,Results_list!$C$25,SSP1_Baseline!$D:$D,Results_list!$D37,SSP1_Baseline!$B:$B,2025))</f>
        <v>2.9220503694356234E-2</v>
      </c>
      <c r="H37" s="16">
        <f>((SUMIFS(SSP1_VSI!$F:$F,SSP1_VSI!$C:$C,Results_list!$C$25,SSP1_VSI!$D:$D,Results_list!$D37,SSP1_VSI!$B:$B,2040)) - (SUMIFS(SSP1_VSI!$F:$F,SSP1_VSI!$C:$C,Results_list!$C$25,SSP1_VSI!$D:$D,Results_list!$D37,SSP1_VSI!$B:$B,2025))) / (SUMIFS(SSP1_VSI!$F:$F,SSP1_VSI!$C:$C,Results_list!$C$25,SSP1_VSI!$D:$D,Results_list!$D37,SSP1_VSI!$B:$B,2025))</f>
        <v>2.9218341667715069E-2</v>
      </c>
      <c r="I37" s="13">
        <f t="shared" si="12"/>
        <v>0</v>
      </c>
      <c r="J37" s="12">
        <f>((SUMIFS(SSP2_Baseline!$E:$E,SSP2_Baseline!$C:$C,Results_list!$C$25,SSP2_Baseline!$D:$D,Results_list!$D37,SSP2_Baseline!$B:$B,2040)) - (SUMIFS(SSP2_Baseline!$E:$E,SSP2_Baseline!$C:$C,Results_list!$C$25,SSP2_Baseline!$D:$D,Results_list!$D37,SSP2_Baseline!$B:$B,2025))) / (SUMIFS(SSP2_Baseline!$E:$E,SSP2_Baseline!$C:$C,Results_list!$C$25,SSP2_Baseline!$D:$D,Results_list!$D37,SSP2_Baseline!$B:$B,2025))</f>
        <v>2.5780352961603248E-2</v>
      </c>
      <c r="K37" s="16">
        <f>((SUMIFS(SSP2_VSI!$F:$F,SSP2_VSI!$C:$C,Results_list!$C$25,SSP2_VSI!$D:$D,Results_list!$D37,SSP2_VSI!$B:$B,2040)) - (SUMIFS(SSP2_VSI!$F:$F,SSP2_VSI!$C:$C,Results_list!$C$25,SSP2_VSI!$D:$D,Results_list!$D37,SSP2_VSI!$B:$B,2025))) / (SUMIFS(SSP2_VSI!$F:$F,SSP2_VSI!$C:$C,Results_list!$C$25,SSP2_VSI!$D:$D,Results_list!$D37,SSP2_VSI!$B:$B,2025))</f>
        <v>2.576544957156068E-2</v>
      </c>
      <c r="L37" s="13">
        <f t="shared" si="13"/>
        <v>0</v>
      </c>
      <c r="M37" s="12">
        <f>((SUMIFS(SSP5_Baseline!$E:$E,SSP5_Baseline!$C:$C,Results_list!$C$25,SSP5_Baseline!$D:$D,Results_list!$D37,SSP5_Baseline!$B:$B,2040)) - (SUMIFS(SSP5_Baseline!$E:$E,SSP5_Baseline!$C:$C,Results_list!$C$25,SSP5_Baseline!$D:$D,Results_list!$D37,SSP5_Baseline!$B:$B,2025))) / (SUMIFS(SSP5_Baseline!$E:$E,SSP5_Baseline!$C:$C,Results_list!$C$25,SSP5_Baseline!$D:$D,Results_list!$D37,SSP5_Baseline!$B:$B,2025))</f>
        <v>-2.1822914503460824E-2</v>
      </c>
      <c r="N37" s="16">
        <f>((SUMIFS(SSP5_VSI!$F:$F,SSP5_VSI!$C:$C,Results_list!$C$25,SSP5_VSI!$D:$D,Results_list!$D37,SSP5_VSI!$B:$B,2040)) - (SUMIFS(SSP5_VSI!$F:$F,SSP5_VSI!$C:$C,Results_list!$C$25,SSP5_VSI!$D:$D,Results_list!$D37,SSP5_VSI!$B:$B,2025))) / (SUMIFS(SSP5_VSI!$F:$F,SSP5_VSI!$C:$C,Results_list!$C$25,SSP5_VSI!$D:$D,Results_list!$D37,SSP5_VSI!$B:$B,2025))</f>
        <v>-2.1818166596064573E-2</v>
      </c>
      <c r="O37" s="13">
        <f t="shared" si="14"/>
        <v>0</v>
      </c>
      <c r="Q37" s="91"/>
      <c r="R37" s="91"/>
      <c r="S37" s="22" t="s">
        <v>51</v>
      </c>
      <c r="U37" s="3" t="s">
        <v>99</v>
      </c>
      <c r="V37" s="12">
        <f>((SUMIFS(SSP1_Baseline!$E:$E,SSP1_Baseline!$C:$C,Results_list!$C$130,SSP1_Baseline!$D:$D,Results_list!$D142,SSP1_Baseline!$B:$B,2040)) - (SUMIFS(SSP1_Baseline!$E:$E,SSP1_Baseline!$C:$C,Results_list!$C$130,SSP1_Baseline!$D:$D,Results_list!$D142,SSP1_Baseline!$B:$B,2025))) / (SUMIFS(SSP1_Baseline!$E:$E,SSP1_Baseline!$C:$C,Results_list!$C$130,SSP1_Baseline!$D:$D,Results_list!$D142,SSP1_Baseline!$B:$B,2025))</f>
        <v>6.8635431478974801E-2</v>
      </c>
      <c r="W37" s="16">
        <f>((SUMIFS(SSP1_VSI!$F:$F,SSP1_VSI!$C:$C,Results_list!$C$130,SSP1_VSI!$D:$D,Results_list!$D142,SSP1_VSI!$B:$B,2040)) - (SUMIFS(SSP1_VSI!$F:$F,SSP1_VSI!$C:$C,Results_list!$C$130,SSP1_VSI!$D:$D,Results_list!$D142,SSP1_VSI!$B:$B,2025))) / (SUMIFS(SSP1_VSI!$F:$F,SSP1_VSI!$C:$C,Results_list!$C$130,SSP1_VSI!$D:$D,Results_list!$D142,SSP1_VSI!$B:$B,2025))</f>
        <v>6.8625224803319063E-2</v>
      </c>
      <c r="X37" s="13">
        <f t="shared" si="15"/>
        <v>0</v>
      </c>
      <c r="Y37" s="12">
        <f>((SUMIFS(SSP2_Baseline!$E:$E,SSP2_Baseline!$C:$C,Results_list!$C$130,SSP2_Baseline!$D:$D,Results_list!$D142,SSP2_Baseline!$B:$B,2040)) - (SUMIFS(SSP2_Baseline!$E:$E,SSP2_Baseline!$C:$C,Results_list!$C$130,SSP2_Baseline!$D:$D,Results_list!$D142,SSP2_Baseline!$B:$B,2025))) / (SUMIFS(SSP2_Baseline!$E:$E,SSP2_Baseline!$C:$C,Results_list!$C$130,SSP2_Baseline!$D:$D,Results_list!$D142,SSP2_Baseline!$B:$B,2025))</f>
        <v>7.3147433577181897E-2</v>
      </c>
      <c r="Z37" s="16">
        <f>((SUMIFS(SSP2_VSI!$F:$F,SSP2_VSI!$C:$C,Results_list!$C$130,SSP2_VSI!$D:$D,Results_list!$D142,SSP2_VSI!$B:$B,2040)) - (SUMIFS(SSP2_VSI!$F:$F,SSP2_VSI!$C:$C,Results_list!$C$130,SSP2_VSI!$D:$D,Results_list!$D142,SSP2_VSI!$B:$B,2025))) / (SUMIFS(SSP2_VSI!$F:$F,SSP2_VSI!$C:$C,Results_list!$C$130,SSP2_VSI!$D:$D,Results_list!$D142,SSP2_VSI!$B:$B,2025))</f>
        <v>7.3131247995221083E-2</v>
      </c>
      <c r="AA37" s="13">
        <f t="shared" si="16"/>
        <v>0</v>
      </c>
      <c r="AB37" s="12">
        <f>((SUMIFS(SSP5_Baseline!$E:$E,SSP5_Baseline!$C:$C,Results_list!$C$130,SSP5_Baseline!$D:$D,Results_list!$D142,SSP5_Baseline!$B:$B,2040)) - (SUMIFS(SSP5_Baseline!$E:$E,SSP5_Baseline!$C:$C,Results_list!$C$130,SSP5_Baseline!$D:$D,Results_list!$D142,SSP5_Baseline!$B:$B,2025))) / (SUMIFS(SSP5_Baseline!$E:$E,SSP5_Baseline!$C:$C,Results_list!$C$130,SSP5_Baseline!$D:$D,Results_list!$D142,SSP5_Baseline!$B:$B,2025))</f>
        <v>9.8381972498270357E-3</v>
      </c>
      <c r="AC37" s="16">
        <f>((SUMIFS(SSP5_VSI!$F:$F,SSP5_VSI!$C:$C,Results_list!$C$130,SSP5_VSI!$D:$D,Results_list!$D142,SSP5_VSI!$B:$B,2040)) - (SUMIFS(SSP5_VSI!$F:$F,SSP5_VSI!$C:$C,Results_list!$C$130,SSP5_VSI!$D:$D,Results_list!$D142,SSP5_VSI!$B:$B,2025))) / (SUMIFS(SSP5_VSI!$F:$F,SSP5_VSI!$C:$C,Results_list!$C$130,SSP5_VSI!$D:$D,Results_list!$D142,SSP5_VSI!$B:$B,2025))</f>
        <v>9.8460608279616699E-3</v>
      </c>
      <c r="AD37" s="13">
        <f t="shared" si="17"/>
        <v>0</v>
      </c>
      <c r="AF37" s="85"/>
      <c r="AG37" s="85"/>
      <c r="AH37" s="22" t="s">
        <v>51</v>
      </c>
      <c r="AI37" s="25" t="s">
        <v>71</v>
      </c>
      <c r="AJ37" s="3" t="s">
        <v>99</v>
      </c>
      <c r="AK37" s="12">
        <v>1.1050581331186892E-2</v>
      </c>
      <c r="AL37" s="16">
        <v>1.1050090616525595E-2</v>
      </c>
      <c r="AM37" s="13">
        <f t="shared" si="18"/>
        <v>0</v>
      </c>
      <c r="AN37" s="12">
        <v>1.0384301777574437E-2</v>
      </c>
      <c r="AO37" s="16">
        <v>1.0388113145066992E-2</v>
      </c>
      <c r="AP37" s="13">
        <f t="shared" si="19"/>
        <v>0</v>
      </c>
      <c r="AQ37" s="12">
        <v>-6.876283049095088E-4</v>
      </c>
      <c r="AR37" s="16">
        <v>-6.8868355515038339E-4</v>
      </c>
      <c r="AS37" s="13">
        <f t="shared" si="20"/>
        <v>0</v>
      </c>
      <c r="AU37" s="87"/>
      <c r="AV37" s="87"/>
      <c r="AW37" s="22" t="s">
        <v>51</v>
      </c>
      <c r="AX37" s="25" t="s">
        <v>82</v>
      </c>
      <c r="AY37" s="3" t="s">
        <v>99</v>
      </c>
      <c r="AZ37" s="12">
        <v>8.8494764185605979E-2</v>
      </c>
      <c r="BA37" s="16">
        <v>8.8489410914135189E-2</v>
      </c>
      <c r="BB37" s="13">
        <f t="shared" si="21"/>
        <v>0</v>
      </c>
      <c r="BC37" s="12">
        <v>7.8098704729396659E-2</v>
      </c>
      <c r="BD37" s="16">
        <v>7.8128936377323752E-2</v>
      </c>
      <c r="BE37" s="13">
        <f t="shared" si="22"/>
        <v>0</v>
      </c>
      <c r="BF37" s="12">
        <v>-1.6709735151266326E-2</v>
      </c>
      <c r="BG37" s="16">
        <v>-1.6718300381324786E-2</v>
      </c>
      <c r="BH37" s="13">
        <f t="shared" si="23"/>
        <v>0</v>
      </c>
    </row>
    <row r="38" spans="2:60" x14ac:dyDescent="0.35">
      <c r="B38" s="91"/>
      <c r="C38" s="91"/>
      <c r="D38" t="s">
        <v>52</v>
      </c>
      <c r="F38" s="3" t="s">
        <v>100</v>
      </c>
      <c r="G38" s="12">
        <f>((SUMIFS(SSP1_Baseline!$E:$E,SSP1_Baseline!$C:$C,Results_list!$C$25,SSP1_Baseline!$D:$D,Results_list!$D38,SSP1_Baseline!$B:$B,2040)) - (SUMIFS(SSP1_Baseline!$E:$E,SSP1_Baseline!$C:$C,Results_list!$C$25,SSP1_Baseline!$D:$D,Results_list!$D38,SSP1_Baseline!$B:$B,2025))) / (SUMIFS(SSP1_Baseline!$E:$E,SSP1_Baseline!$C:$C,Results_list!$C$25,SSP1_Baseline!$D:$D,Results_list!$D38,SSP1_Baseline!$B:$B,2025))</f>
        <v>-0.37864131479667079</v>
      </c>
      <c r="H38" s="16">
        <f>((SUMIFS(SSP1_VSI!$F:$F,SSP1_VSI!$C:$C,Results_list!$C$25,SSP1_VSI!$D:$D,Results_list!$D38,SSP1_VSI!$B:$B,2040)) - (SUMIFS(SSP1_VSI!$F:$F,SSP1_VSI!$C:$C,Results_list!$C$25,SSP1_VSI!$D:$D,Results_list!$D38,SSP1_VSI!$B:$B,2025))) / (SUMIFS(SSP1_VSI!$F:$F,SSP1_VSI!$C:$C,Results_list!$C$25,SSP1_VSI!$D:$D,Results_list!$D38,SSP1_VSI!$B:$B,2025))</f>
        <v>-0.37860207867392826</v>
      </c>
      <c r="I38" s="13">
        <f t="shared" si="12"/>
        <v>0</v>
      </c>
      <c r="J38" s="12">
        <f>((SUMIFS(SSP2_Baseline!$E:$E,SSP2_Baseline!$C:$C,Results_list!$C$25,SSP2_Baseline!$D:$D,Results_list!$D38,SSP2_Baseline!$B:$B,2040)) - (SUMIFS(SSP2_Baseline!$E:$E,SSP2_Baseline!$C:$C,Results_list!$C$25,SSP2_Baseline!$D:$D,Results_list!$D38,SSP2_Baseline!$B:$B,2025))) / (SUMIFS(SSP2_Baseline!$E:$E,SSP2_Baseline!$C:$C,Results_list!$C$25,SSP2_Baseline!$D:$D,Results_list!$D38,SSP2_Baseline!$B:$B,2025))</f>
        <v>-0.36479841099997184</v>
      </c>
      <c r="K38" s="16">
        <f>((SUMIFS(SSP2_VSI!$F:$F,SSP2_VSI!$C:$C,Results_list!$C$25,SSP2_VSI!$D:$D,Results_list!$D38,SSP2_VSI!$B:$B,2040)) - (SUMIFS(SSP2_VSI!$F:$F,SSP2_VSI!$C:$C,Results_list!$C$25,SSP2_VSI!$D:$D,Results_list!$D38,SSP2_VSI!$B:$B,2025))) / (SUMIFS(SSP2_VSI!$F:$F,SSP2_VSI!$C:$C,Results_list!$C$25,SSP2_VSI!$D:$D,Results_list!$D38,SSP2_VSI!$B:$B,2025))</f>
        <v>-0.36471912941054668</v>
      </c>
      <c r="L38" s="13">
        <f t="shared" si="13"/>
        <v>0</v>
      </c>
      <c r="M38" s="12">
        <f>((SUMIFS(SSP5_Baseline!$E:$E,SSP5_Baseline!$C:$C,Results_list!$C$25,SSP5_Baseline!$D:$D,Results_list!$D38,SSP5_Baseline!$B:$B,2040)) - (SUMIFS(SSP5_Baseline!$E:$E,SSP5_Baseline!$C:$C,Results_list!$C$25,SSP5_Baseline!$D:$D,Results_list!$D38,SSP5_Baseline!$B:$B,2025))) / (SUMIFS(SSP5_Baseline!$E:$E,SSP5_Baseline!$C:$C,Results_list!$C$25,SSP5_Baseline!$D:$D,Results_list!$D38,SSP5_Baseline!$B:$B,2025))</f>
        <v>-9.2659979837748055E-2</v>
      </c>
      <c r="N38" s="16">
        <f>((SUMIFS(SSP5_VSI!$F:$F,SSP5_VSI!$C:$C,Results_list!$C$25,SSP5_VSI!$D:$D,Results_list!$D38,SSP5_VSI!$B:$B,2040)) - (SUMIFS(SSP5_VSI!$F:$F,SSP5_VSI!$C:$C,Results_list!$C$25,SSP5_VSI!$D:$D,Results_list!$D38,SSP5_VSI!$B:$B,2025))) / (SUMIFS(SSP5_VSI!$F:$F,SSP5_VSI!$C:$C,Results_list!$C$25,SSP5_VSI!$D:$D,Results_list!$D38,SSP5_VSI!$B:$B,2025))</f>
        <v>-9.2577315616835368E-2</v>
      </c>
      <c r="O38" s="13">
        <f t="shared" si="14"/>
        <v>0</v>
      </c>
      <c r="Q38" s="91"/>
      <c r="R38" s="91"/>
      <c r="S38" s="22" t="s">
        <v>52</v>
      </c>
      <c r="U38" s="3" t="s">
        <v>100</v>
      </c>
      <c r="V38" s="12">
        <f>((SUMIFS(SSP1_Baseline!$E:$E,SSP1_Baseline!$C:$C,Results_list!$C$130,SSP1_Baseline!$D:$D,Results_list!$D143,SSP1_Baseline!$B:$B,2040)) - (SUMIFS(SSP1_Baseline!$E:$E,SSP1_Baseline!$C:$C,Results_list!$C$130,SSP1_Baseline!$D:$D,Results_list!$D143,SSP1_Baseline!$B:$B,2025))) / (SUMIFS(SSP1_Baseline!$E:$E,SSP1_Baseline!$C:$C,Results_list!$C$130,SSP1_Baseline!$D:$D,Results_list!$D143,SSP1_Baseline!$B:$B,2025))</f>
        <v>-0.400377198612068</v>
      </c>
      <c r="W38" s="16">
        <f>((SUMIFS(SSP1_VSI!$F:$F,SSP1_VSI!$C:$C,Results_list!$C$130,SSP1_VSI!$D:$D,Results_list!$D143,SSP1_VSI!$B:$B,2040)) - (SUMIFS(SSP1_VSI!$F:$F,SSP1_VSI!$C:$C,Results_list!$C$130,SSP1_VSI!$D:$D,Results_list!$D143,SSP1_VSI!$B:$B,2025))) / (SUMIFS(SSP1_VSI!$F:$F,SSP1_VSI!$C:$C,Results_list!$C$130,SSP1_VSI!$D:$D,Results_list!$D143,SSP1_VSI!$B:$B,2025))</f>
        <v>-0.40029858656548711</v>
      </c>
      <c r="X38" s="13">
        <f t="shared" si="15"/>
        <v>0</v>
      </c>
      <c r="Y38" s="12">
        <f>((SUMIFS(SSP2_Baseline!$E:$E,SSP2_Baseline!$C:$C,Results_list!$C$130,SSP2_Baseline!$D:$D,Results_list!$D143,SSP2_Baseline!$B:$B,2040)) - (SUMIFS(SSP2_Baseline!$E:$E,SSP2_Baseline!$C:$C,Results_list!$C$130,SSP2_Baseline!$D:$D,Results_list!$D143,SSP2_Baseline!$B:$B,2025))) / (SUMIFS(SSP2_Baseline!$E:$E,SSP2_Baseline!$C:$C,Results_list!$C$130,SSP2_Baseline!$D:$D,Results_list!$D143,SSP2_Baseline!$B:$B,2025))</f>
        <v>-0.32447485589638275</v>
      </c>
      <c r="Z38" s="16">
        <f>((SUMIFS(SSP2_VSI!$F:$F,SSP2_VSI!$C:$C,Results_list!$C$130,SSP2_VSI!$D:$D,Results_list!$D143,SSP2_VSI!$B:$B,2040)) - (SUMIFS(SSP2_VSI!$F:$F,SSP2_VSI!$C:$C,Results_list!$C$130,SSP2_VSI!$D:$D,Results_list!$D143,SSP2_VSI!$B:$B,2025))) / (SUMIFS(SSP2_VSI!$F:$F,SSP2_VSI!$C:$C,Results_list!$C$130,SSP2_VSI!$D:$D,Results_list!$D143,SSP2_VSI!$B:$B,2025))</f>
        <v>-0.32427373190231129</v>
      </c>
      <c r="AA38" s="13">
        <f t="shared" si="16"/>
        <v>0</v>
      </c>
      <c r="AB38" s="12">
        <f>((SUMIFS(SSP5_Baseline!$E:$E,SSP5_Baseline!$C:$C,Results_list!$C$130,SSP5_Baseline!$D:$D,Results_list!$D143,SSP5_Baseline!$B:$B,2040)) - (SUMIFS(SSP5_Baseline!$E:$E,SSP5_Baseline!$C:$C,Results_list!$C$130,SSP5_Baseline!$D:$D,Results_list!$D143,SSP5_Baseline!$B:$B,2025))) / (SUMIFS(SSP5_Baseline!$E:$E,SSP5_Baseline!$C:$C,Results_list!$C$130,SSP5_Baseline!$D:$D,Results_list!$D143,SSP5_Baseline!$B:$B,2025))</f>
        <v>-0.38326402412148597</v>
      </c>
      <c r="AC38" s="16">
        <f>((SUMIFS(SSP5_VSI!$F:$F,SSP5_VSI!$C:$C,Results_list!$C$130,SSP5_VSI!$D:$D,Results_list!$D143,SSP5_VSI!$B:$B,2040)) - (SUMIFS(SSP5_VSI!$F:$F,SSP5_VSI!$C:$C,Results_list!$C$130,SSP5_VSI!$D:$D,Results_list!$D143,SSP5_VSI!$B:$B,2025))) / (SUMIFS(SSP5_VSI!$F:$F,SSP5_VSI!$C:$C,Results_list!$C$130,SSP5_VSI!$D:$D,Results_list!$D143,SSP5_VSI!$B:$B,2025))</f>
        <v>-0.38312384659826099</v>
      </c>
      <c r="AD38" s="13">
        <f t="shared" si="17"/>
        <v>0</v>
      </c>
      <c r="AF38" s="85"/>
      <c r="AG38" s="85"/>
      <c r="AH38" s="22" t="s">
        <v>52</v>
      </c>
      <c r="AI38" s="25" t="s">
        <v>71</v>
      </c>
      <c r="AJ38" s="3" t="s">
        <v>100</v>
      </c>
      <c r="AK38" s="12">
        <v>-0.47793762488425662</v>
      </c>
      <c r="AL38" s="16">
        <v>-0.47793609359725575</v>
      </c>
      <c r="AM38" s="13">
        <f t="shared" si="18"/>
        <v>0</v>
      </c>
      <c r="AN38" s="12">
        <v>-0.31748340738067943</v>
      </c>
      <c r="AO38" s="16">
        <v>-0.31748417479447921</v>
      </c>
      <c r="AP38" s="13">
        <f t="shared" si="19"/>
        <v>0</v>
      </c>
      <c r="AQ38" s="12">
        <v>-0.41720453975221</v>
      </c>
      <c r="AR38" s="16">
        <v>-0.41720336198544616</v>
      </c>
      <c r="AS38" s="13">
        <f t="shared" si="20"/>
        <v>0</v>
      </c>
      <c r="AU38" s="87"/>
      <c r="AV38" s="87"/>
      <c r="AW38" s="22" t="s">
        <v>52</v>
      </c>
      <c r="AX38" s="25" t="s">
        <v>82</v>
      </c>
      <c r="AY38" s="3" t="s">
        <v>100</v>
      </c>
      <c r="AZ38" s="12">
        <v>-0.45834641590298864</v>
      </c>
      <c r="BA38" s="16">
        <v>-0.45834473118967861</v>
      </c>
      <c r="BB38" s="13">
        <f t="shared" si="21"/>
        <v>0</v>
      </c>
      <c r="BC38" s="12">
        <v>-0.22298079610260388</v>
      </c>
      <c r="BD38" s="16">
        <v>-0.22298160259834765</v>
      </c>
      <c r="BE38" s="13">
        <f t="shared" si="22"/>
        <v>0</v>
      </c>
      <c r="BF38" s="12">
        <v>-0.39760217376902052</v>
      </c>
      <c r="BG38" s="16">
        <v>-0.39760070179646617</v>
      </c>
      <c r="BH38" s="13">
        <f t="shared" si="23"/>
        <v>0</v>
      </c>
    </row>
    <row r="39" spans="2:60" x14ac:dyDescent="0.35">
      <c r="B39" s="91"/>
      <c r="C39" s="91"/>
      <c r="D39" t="s">
        <v>53</v>
      </c>
      <c r="F39" s="3" t="s">
        <v>101</v>
      </c>
      <c r="G39" s="12">
        <f>((SUMIFS(SSP1_Baseline!$E:$E,SSP1_Baseline!$C:$C,Results_list!$C$25,SSP1_Baseline!$D:$D,Results_list!$D39,SSP1_Baseline!$B:$B,2040)) - (SUMIFS(SSP1_Baseline!$E:$E,SSP1_Baseline!$C:$C,Results_list!$C$25,SSP1_Baseline!$D:$D,Results_list!$D39,SSP1_Baseline!$B:$B,2025))) / (SUMIFS(SSP1_Baseline!$E:$E,SSP1_Baseline!$C:$C,Results_list!$C$25,SSP1_Baseline!$D:$D,Results_list!$D39,SSP1_Baseline!$B:$B,2025))</f>
        <v>-0.26458482063496963</v>
      </c>
      <c r="H39" s="16">
        <f>((SUMIFS(SSP1_VSI!$F:$F,SSP1_VSI!$C:$C,Results_list!$C$25,SSP1_VSI!$D:$D,Results_list!$D39,SSP1_VSI!$B:$B,2040)) - (SUMIFS(SSP1_VSI!$F:$F,SSP1_VSI!$C:$C,Results_list!$C$25,SSP1_VSI!$D:$D,Results_list!$D39,SSP1_VSI!$B:$B,2025))) / (SUMIFS(SSP1_VSI!$F:$F,SSP1_VSI!$C:$C,Results_list!$C$25,SSP1_VSI!$D:$D,Results_list!$D39,SSP1_VSI!$B:$B,2025))</f>
        <v>-0.26460895012797048</v>
      </c>
      <c r="I39" s="13">
        <f t="shared" si="12"/>
        <v>0</v>
      </c>
      <c r="J39" s="12">
        <f>((SUMIFS(SSP2_Baseline!$E:$E,SSP2_Baseline!$C:$C,Results_list!$C$25,SSP2_Baseline!$D:$D,Results_list!$D39,SSP2_Baseline!$B:$B,2040)) - (SUMIFS(SSP2_Baseline!$E:$E,SSP2_Baseline!$C:$C,Results_list!$C$25,SSP2_Baseline!$D:$D,Results_list!$D39,SSP2_Baseline!$B:$B,2025))) / (SUMIFS(SSP2_Baseline!$E:$E,SSP2_Baseline!$C:$C,Results_list!$C$25,SSP2_Baseline!$D:$D,Results_list!$D39,SSP2_Baseline!$B:$B,2025))</f>
        <v>-0.26809668384363794</v>
      </c>
      <c r="K39" s="16">
        <f>((SUMIFS(SSP2_VSI!$F:$F,SSP2_VSI!$C:$C,Results_list!$C$25,SSP2_VSI!$D:$D,Results_list!$D39,SSP2_VSI!$B:$B,2040)) - (SUMIFS(SSP2_VSI!$F:$F,SSP2_VSI!$C:$C,Results_list!$C$25,SSP2_VSI!$D:$D,Results_list!$D39,SSP2_VSI!$B:$B,2025))) / (SUMIFS(SSP2_VSI!$F:$F,SSP2_VSI!$C:$C,Results_list!$C$25,SSP2_VSI!$D:$D,Results_list!$D39,SSP2_VSI!$B:$B,2025))</f>
        <v>-0.26809721915012769</v>
      </c>
      <c r="L39" s="13">
        <f t="shared" si="13"/>
        <v>0</v>
      </c>
      <c r="M39" s="12">
        <f>((SUMIFS(SSP5_Baseline!$E:$E,SSP5_Baseline!$C:$C,Results_list!$C$25,SSP5_Baseline!$D:$D,Results_list!$D39,SSP5_Baseline!$B:$B,2040)) - (SUMIFS(SSP5_Baseline!$E:$E,SSP5_Baseline!$C:$C,Results_list!$C$25,SSP5_Baseline!$D:$D,Results_list!$D39,SSP5_Baseline!$B:$B,2025))) / (SUMIFS(SSP5_Baseline!$E:$E,SSP5_Baseline!$C:$C,Results_list!$C$25,SSP5_Baseline!$D:$D,Results_list!$D39,SSP5_Baseline!$B:$B,2025))</f>
        <v>-3.5362365053495937E-2</v>
      </c>
      <c r="N39" s="16">
        <f>((SUMIFS(SSP5_VSI!$F:$F,SSP5_VSI!$C:$C,Results_list!$C$25,SSP5_VSI!$D:$D,Results_list!$D39,SSP5_VSI!$B:$B,2040)) - (SUMIFS(SSP5_VSI!$F:$F,SSP5_VSI!$C:$C,Results_list!$C$25,SSP5_VSI!$D:$D,Results_list!$D39,SSP5_VSI!$B:$B,2025))) / (SUMIFS(SSP5_VSI!$F:$F,SSP5_VSI!$C:$C,Results_list!$C$25,SSP5_VSI!$D:$D,Results_list!$D39,SSP5_VSI!$B:$B,2025))</f>
        <v>-3.5352168661954203E-2</v>
      </c>
      <c r="O39" s="13">
        <f t="shared" si="14"/>
        <v>0</v>
      </c>
      <c r="Q39" s="91"/>
      <c r="R39" s="91"/>
      <c r="S39" s="22" t="s">
        <v>53</v>
      </c>
      <c r="U39" s="3" t="s">
        <v>101</v>
      </c>
      <c r="V39" s="12">
        <f>((SUMIFS(SSP1_Baseline!$E:$E,SSP1_Baseline!$C:$C,Results_list!$C$130,SSP1_Baseline!$D:$D,Results_list!$D144,SSP1_Baseline!$B:$B,2040)) - (SUMIFS(SSP1_Baseline!$E:$E,SSP1_Baseline!$C:$C,Results_list!$C$130,SSP1_Baseline!$D:$D,Results_list!$D144,SSP1_Baseline!$B:$B,2025))) / (SUMIFS(SSP1_Baseline!$E:$E,SSP1_Baseline!$C:$C,Results_list!$C$130,SSP1_Baseline!$D:$D,Results_list!$D144,SSP1_Baseline!$B:$B,2025))</f>
        <v>-0.14270734741235741</v>
      </c>
      <c r="W39" s="16">
        <f>((SUMIFS(SSP1_VSI!$F:$F,SSP1_VSI!$C:$C,Results_list!$C$130,SSP1_VSI!$D:$D,Results_list!$D144,SSP1_VSI!$B:$B,2040)) - (SUMIFS(SSP1_VSI!$F:$F,SSP1_VSI!$C:$C,Results_list!$C$130,SSP1_VSI!$D:$D,Results_list!$D144,SSP1_VSI!$B:$B,2025))) / (SUMIFS(SSP1_VSI!$F:$F,SSP1_VSI!$C:$C,Results_list!$C$130,SSP1_VSI!$D:$D,Results_list!$D144,SSP1_VSI!$B:$B,2025))</f>
        <v>-0.1428053621050851</v>
      </c>
      <c r="X39" s="13">
        <f t="shared" si="15"/>
        <v>0</v>
      </c>
      <c r="Y39" s="12">
        <f>((SUMIFS(SSP2_Baseline!$E:$E,SSP2_Baseline!$C:$C,Results_list!$C$130,SSP2_Baseline!$D:$D,Results_list!$D144,SSP2_Baseline!$B:$B,2040)) - (SUMIFS(SSP2_Baseline!$E:$E,SSP2_Baseline!$C:$C,Results_list!$C$130,SSP2_Baseline!$D:$D,Results_list!$D144,SSP2_Baseline!$B:$B,2025))) / (SUMIFS(SSP2_Baseline!$E:$E,SSP2_Baseline!$C:$C,Results_list!$C$130,SSP2_Baseline!$D:$D,Results_list!$D144,SSP2_Baseline!$B:$B,2025))</f>
        <v>-0.11293703287987725</v>
      </c>
      <c r="Z39" s="16">
        <f>((SUMIFS(SSP2_VSI!$F:$F,SSP2_VSI!$C:$C,Results_list!$C$130,SSP2_VSI!$D:$D,Results_list!$D144,SSP2_VSI!$B:$B,2040)) - (SUMIFS(SSP2_VSI!$F:$F,SSP2_VSI!$C:$C,Results_list!$C$130,SSP2_VSI!$D:$D,Results_list!$D144,SSP2_VSI!$B:$B,2025))) / (SUMIFS(SSP2_VSI!$F:$F,SSP2_VSI!$C:$C,Results_list!$C$130,SSP2_VSI!$D:$D,Results_list!$D144,SSP2_VSI!$B:$B,2025))</f>
        <v>-0.11290487138401338</v>
      </c>
      <c r="AA39" s="13">
        <f t="shared" si="16"/>
        <v>0</v>
      </c>
      <c r="AB39" s="12">
        <f>((SUMIFS(SSP5_Baseline!$E:$E,SSP5_Baseline!$C:$C,Results_list!$C$130,SSP5_Baseline!$D:$D,Results_list!$D144,SSP5_Baseline!$B:$B,2040)) - (SUMIFS(SSP5_Baseline!$E:$E,SSP5_Baseline!$C:$C,Results_list!$C$130,SSP5_Baseline!$D:$D,Results_list!$D144,SSP5_Baseline!$B:$B,2025))) / (SUMIFS(SSP5_Baseline!$E:$E,SSP5_Baseline!$C:$C,Results_list!$C$130,SSP5_Baseline!$D:$D,Results_list!$D144,SSP5_Baseline!$B:$B,2025))</f>
        <v>4.0110246777034734E-3</v>
      </c>
      <c r="AC39" s="16">
        <f>((SUMIFS(SSP5_VSI!$F:$F,SSP5_VSI!$C:$C,Results_list!$C$130,SSP5_VSI!$D:$D,Results_list!$D144,SSP5_VSI!$B:$B,2040)) - (SUMIFS(SSP5_VSI!$F:$F,SSP5_VSI!$C:$C,Results_list!$C$130,SSP5_VSI!$D:$D,Results_list!$D144,SSP5_VSI!$B:$B,2025))) / (SUMIFS(SSP5_VSI!$F:$F,SSP5_VSI!$C:$C,Results_list!$C$130,SSP5_VSI!$D:$D,Results_list!$D144,SSP5_VSI!$B:$B,2025))</f>
        <v>4.0476202384943719E-3</v>
      </c>
      <c r="AD39" s="13">
        <f t="shared" si="17"/>
        <v>0</v>
      </c>
      <c r="AF39" s="85"/>
      <c r="AG39" s="85"/>
      <c r="AH39" s="22" t="s">
        <v>53</v>
      </c>
      <c r="AI39" s="25" t="s">
        <v>71</v>
      </c>
      <c r="AJ39" s="3" t="s">
        <v>101</v>
      </c>
      <c r="AK39" s="12">
        <v>-0.29346287015880673</v>
      </c>
      <c r="AL39" s="16">
        <v>-0.29346134371122939</v>
      </c>
      <c r="AM39" s="13">
        <f t="shared" si="18"/>
        <v>0</v>
      </c>
      <c r="AN39" s="12">
        <v>-0.2746454151220753</v>
      </c>
      <c r="AO39" s="16">
        <v>-0.27464418423789416</v>
      </c>
      <c r="AP39" s="13">
        <f t="shared" si="19"/>
        <v>0</v>
      </c>
      <c r="AQ39" s="12">
        <v>5.1618664496334107E-2</v>
      </c>
      <c r="AR39" s="16">
        <v>5.1618872267696396E-2</v>
      </c>
      <c r="AS39" s="13">
        <f t="shared" si="20"/>
        <v>0</v>
      </c>
      <c r="AU39" s="87"/>
      <c r="AV39" s="87"/>
      <c r="AW39" s="22" t="s">
        <v>53</v>
      </c>
      <c r="AX39" s="25" t="s">
        <v>82</v>
      </c>
      <c r="AY39" s="3" t="s">
        <v>101</v>
      </c>
      <c r="AZ39" s="12">
        <v>-0.34776647959814144</v>
      </c>
      <c r="BA39" s="16">
        <v>-0.34776488768285846</v>
      </c>
      <c r="BB39" s="13">
        <f t="shared" si="21"/>
        <v>0</v>
      </c>
      <c r="BC39" s="12">
        <v>-0.35579363040907963</v>
      </c>
      <c r="BD39" s="16">
        <v>-0.35579264393858623</v>
      </c>
      <c r="BE39" s="13">
        <f t="shared" si="22"/>
        <v>0</v>
      </c>
      <c r="BF39" s="12">
        <v>4.2048932041041973E-2</v>
      </c>
      <c r="BG39" s="16">
        <v>4.2049619992849681E-2</v>
      </c>
      <c r="BH39" s="13">
        <f t="shared" si="23"/>
        <v>0</v>
      </c>
    </row>
    <row r="40" spans="2:60" x14ac:dyDescent="0.35">
      <c r="B40" s="91"/>
      <c r="C40" s="91"/>
      <c r="D40" t="s">
        <v>54</v>
      </c>
      <c r="F40" s="3" t="s">
        <v>102</v>
      </c>
      <c r="G40" s="12">
        <f>((SUMIFS(SSP1_Baseline!$E:$E,SSP1_Baseline!$C:$C,Results_list!$C$25,SSP1_Baseline!$D:$D,Results_list!$D40,SSP1_Baseline!$B:$B,2040)) - (SUMIFS(SSP1_Baseline!$E:$E,SSP1_Baseline!$C:$C,Results_list!$C$25,SSP1_Baseline!$D:$D,Results_list!$D40,SSP1_Baseline!$B:$B,2025))) / (SUMIFS(SSP1_Baseline!$E:$E,SSP1_Baseline!$C:$C,Results_list!$C$25,SSP1_Baseline!$D:$D,Results_list!$D40,SSP1_Baseline!$B:$B,2025))</f>
        <v>-1.4101546721991879E-3</v>
      </c>
      <c r="H40" s="16">
        <f>((SUMIFS(SSP1_VSI!$F:$F,SSP1_VSI!$C:$C,Results_list!$C$25,SSP1_VSI!$D:$D,Results_list!$D40,SSP1_VSI!$B:$B,2040)) - (SUMIFS(SSP1_VSI!$F:$F,SSP1_VSI!$C:$C,Results_list!$C$25,SSP1_VSI!$D:$D,Results_list!$D40,SSP1_VSI!$B:$B,2025))) / (SUMIFS(SSP1_VSI!$F:$F,SSP1_VSI!$C:$C,Results_list!$C$25,SSP1_VSI!$D:$D,Results_list!$D40,SSP1_VSI!$B:$B,2025))</f>
        <v>-2.1601561261629454E-3</v>
      </c>
      <c r="I40" s="13">
        <f t="shared" si="12"/>
        <v>-1E-3</v>
      </c>
      <c r="J40" s="12">
        <f>((SUMIFS(SSP2_Baseline!$E:$E,SSP2_Baseline!$C:$C,Results_list!$C$25,SSP2_Baseline!$D:$D,Results_list!$D40,SSP2_Baseline!$B:$B,2040)) - (SUMIFS(SSP2_Baseline!$E:$E,SSP2_Baseline!$C:$C,Results_list!$C$25,SSP2_Baseline!$D:$D,Results_list!$D40,SSP2_Baseline!$B:$B,2025))) / (SUMIFS(SSP2_Baseline!$E:$E,SSP2_Baseline!$C:$C,Results_list!$C$25,SSP2_Baseline!$D:$D,Results_list!$D40,SSP2_Baseline!$B:$B,2025))</f>
        <v>-3.3204777919979559E-4</v>
      </c>
      <c r="K40" s="16">
        <f>((SUMIFS(SSP2_VSI!$F:$F,SSP2_VSI!$C:$C,Results_list!$C$25,SSP2_VSI!$D:$D,Results_list!$D40,SSP2_VSI!$B:$B,2040)) - (SUMIFS(SSP2_VSI!$F:$F,SSP2_VSI!$C:$C,Results_list!$C$25,SSP2_VSI!$D:$D,Results_list!$D40,SSP2_VSI!$B:$B,2025))) / (SUMIFS(SSP2_VSI!$F:$F,SSP2_VSI!$C:$C,Results_list!$C$25,SSP2_VSI!$D:$D,Results_list!$D40,SSP2_VSI!$B:$B,2025))</f>
        <v>-1.0823211487769407E-3</v>
      </c>
      <c r="L40" s="13">
        <f t="shared" si="13"/>
        <v>0</v>
      </c>
      <c r="M40" s="12">
        <f>((SUMIFS(SSP5_Baseline!$E:$E,SSP5_Baseline!$C:$C,Results_list!$C$25,SSP5_Baseline!$D:$D,Results_list!$D40,SSP5_Baseline!$B:$B,2040)) - (SUMIFS(SSP5_Baseline!$E:$E,SSP5_Baseline!$C:$C,Results_list!$C$25,SSP5_Baseline!$D:$D,Results_list!$D40,SSP5_Baseline!$B:$B,2025))) / (SUMIFS(SSP5_Baseline!$E:$E,SSP5_Baseline!$C:$C,Results_list!$C$25,SSP5_Baseline!$D:$D,Results_list!$D40,SSP5_Baseline!$B:$B,2025))</f>
        <v>-1.8432367456202123E-3</v>
      </c>
      <c r="N40" s="16">
        <f>((SUMIFS(SSP5_VSI!$F:$F,SSP5_VSI!$C:$C,Results_list!$C$25,SSP5_VSI!$D:$D,Results_list!$D40,SSP5_VSI!$B:$B,2040)) - (SUMIFS(SSP5_VSI!$F:$F,SSP5_VSI!$C:$C,Results_list!$C$25,SSP5_VSI!$D:$D,Results_list!$D40,SSP5_VSI!$B:$B,2025))) / (SUMIFS(SSP5_VSI!$F:$F,SSP5_VSI!$C:$C,Results_list!$C$25,SSP5_VSI!$D:$D,Results_list!$D40,SSP5_VSI!$B:$B,2025))</f>
        <v>-2.5941670017580001E-3</v>
      </c>
      <c r="O40" s="13">
        <f t="shared" si="14"/>
        <v>0</v>
      </c>
      <c r="Q40" s="91"/>
      <c r="R40" s="91"/>
      <c r="S40" s="22" t="s">
        <v>54</v>
      </c>
      <c r="U40" s="3" t="s">
        <v>102</v>
      </c>
      <c r="V40" s="12">
        <f>((SUMIFS(SSP1_Baseline!$E:$E,SSP1_Baseline!$C:$C,Results_list!$C$130,SSP1_Baseline!$D:$D,Results_list!$D145,SSP1_Baseline!$B:$B,2040)) - (SUMIFS(SSP1_Baseline!$E:$E,SSP1_Baseline!$C:$C,Results_list!$C$130,SSP1_Baseline!$D:$D,Results_list!$D145,SSP1_Baseline!$B:$B,2025))) / (SUMIFS(SSP1_Baseline!$E:$E,SSP1_Baseline!$C:$C,Results_list!$C$130,SSP1_Baseline!$D:$D,Results_list!$D145,SSP1_Baseline!$B:$B,2025))</f>
        <v>6.4136248040605926E-4</v>
      </c>
      <c r="W40" s="16">
        <f>((SUMIFS(SSP1_VSI!$F:$F,SSP1_VSI!$C:$C,Results_list!$C$130,SSP1_VSI!$D:$D,Results_list!$D145,SSP1_VSI!$B:$B,2040)) - (SUMIFS(SSP1_VSI!$F:$F,SSP1_VSI!$C:$C,Results_list!$C$130,SSP1_VSI!$D:$D,Results_list!$D145,SSP1_VSI!$B:$B,2025))) / (SUMIFS(SSP1_VSI!$F:$F,SSP1_VSI!$C:$C,Results_list!$C$130,SSP1_VSI!$D:$D,Results_list!$D145,SSP1_VSI!$B:$B,2025))</f>
        <v>6.1478223074938859E-4</v>
      </c>
      <c r="X40" s="13">
        <f t="shared" si="15"/>
        <v>0</v>
      </c>
      <c r="Y40" s="12">
        <f>((SUMIFS(SSP2_Baseline!$E:$E,SSP2_Baseline!$C:$C,Results_list!$C$130,SSP2_Baseline!$D:$D,Results_list!$D145,SSP2_Baseline!$B:$B,2040)) - (SUMIFS(SSP2_Baseline!$E:$E,SSP2_Baseline!$C:$C,Results_list!$C$130,SSP2_Baseline!$D:$D,Results_list!$D145,SSP2_Baseline!$B:$B,2025))) / (SUMIFS(SSP2_Baseline!$E:$E,SSP2_Baseline!$C:$C,Results_list!$C$130,SSP2_Baseline!$D:$D,Results_list!$D145,SSP2_Baseline!$B:$B,2025))</f>
        <v>2.1083268756728136E-3</v>
      </c>
      <c r="Z40" s="16">
        <f>((SUMIFS(SSP2_VSI!$F:$F,SSP2_VSI!$C:$C,Results_list!$C$130,SSP2_VSI!$D:$D,Results_list!$D145,SSP2_VSI!$B:$B,2040)) - (SUMIFS(SSP2_VSI!$F:$F,SSP2_VSI!$C:$C,Results_list!$C$130,SSP2_VSI!$D:$D,Results_list!$D145,SSP2_VSI!$B:$B,2025))) / (SUMIFS(SSP2_VSI!$F:$F,SSP2_VSI!$C:$C,Results_list!$C$130,SSP2_VSI!$D:$D,Results_list!$D145,SSP2_VSI!$B:$B,2025))</f>
        <v>2.0842893249152202E-3</v>
      </c>
      <c r="AA40" s="13">
        <f t="shared" si="16"/>
        <v>0</v>
      </c>
      <c r="AB40" s="12">
        <f>((SUMIFS(SSP5_Baseline!$E:$E,SSP5_Baseline!$C:$C,Results_list!$C$130,SSP5_Baseline!$D:$D,Results_list!$D145,SSP5_Baseline!$B:$B,2040)) - (SUMIFS(SSP5_Baseline!$E:$E,SSP5_Baseline!$C:$C,Results_list!$C$130,SSP5_Baseline!$D:$D,Results_list!$D145,SSP5_Baseline!$B:$B,2025))) / (SUMIFS(SSP5_Baseline!$E:$E,SSP5_Baseline!$C:$C,Results_list!$C$130,SSP5_Baseline!$D:$D,Results_list!$D145,SSP5_Baseline!$B:$B,2025))</f>
        <v>1.9488070315309333E-3</v>
      </c>
      <c r="AC40" s="16">
        <f>((SUMIFS(SSP5_VSI!$F:$F,SSP5_VSI!$C:$C,Results_list!$C$130,SSP5_VSI!$D:$D,Results_list!$D145,SSP5_VSI!$B:$B,2040)) - (SUMIFS(SSP5_VSI!$F:$F,SSP5_VSI!$C:$C,Results_list!$C$130,SSP5_VSI!$D:$D,Results_list!$D145,SSP5_VSI!$B:$B,2025))) / (SUMIFS(SSP5_VSI!$F:$F,SSP5_VSI!$C:$C,Results_list!$C$130,SSP5_VSI!$D:$D,Results_list!$D145,SSP5_VSI!$B:$B,2025))</f>
        <v>1.9241545125233185E-3</v>
      </c>
      <c r="AD40" s="13">
        <f t="shared" si="17"/>
        <v>0</v>
      </c>
      <c r="AF40" s="85"/>
      <c r="AG40" s="85"/>
      <c r="AH40" s="22" t="s">
        <v>54</v>
      </c>
      <c r="AI40" s="25" t="s">
        <v>71</v>
      </c>
      <c r="AJ40" s="3" t="s">
        <v>102</v>
      </c>
      <c r="AK40" s="12">
        <v>-1.420595451704915E-2</v>
      </c>
      <c r="AL40" s="16">
        <v>-1.4199993177586107E-2</v>
      </c>
      <c r="AM40" s="13">
        <f t="shared" si="18"/>
        <v>0</v>
      </c>
      <c r="AN40" s="12">
        <v>-8.1530378426209664E-4</v>
      </c>
      <c r="AO40" s="16">
        <v>-8.1431309958058173E-4</v>
      </c>
      <c r="AP40" s="13">
        <f t="shared" si="19"/>
        <v>0</v>
      </c>
      <c r="AQ40" s="12">
        <v>0.20887818503929914</v>
      </c>
      <c r="AR40" s="16">
        <v>0.20888226197472148</v>
      </c>
      <c r="AS40" s="13">
        <f t="shared" si="20"/>
        <v>0</v>
      </c>
      <c r="AU40" s="87"/>
      <c r="AV40" s="87"/>
      <c r="AW40" s="22" t="s">
        <v>54</v>
      </c>
      <c r="AX40" s="25" t="s">
        <v>82</v>
      </c>
      <c r="AY40" s="3" t="s">
        <v>102</v>
      </c>
      <c r="AZ40" s="12">
        <v>-7.232178543806562E-3</v>
      </c>
      <c r="BA40" s="16">
        <v>-7.2286675872169888E-3</v>
      </c>
      <c r="BB40" s="13">
        <f t="shared" si="21"/>
        <v>0</v>
      </c>
      <c r="BC40" s="12">
        <v>-6.7292917503661547E-3</v>
      </c>
      <c r="BD40" s="16">
        <v>-6.7287297607982171E-3</v>
      </c>
      <c r="BE40" s="13">
        <f t="shared" si="22"/>
        <v>0</v>
      </c>
      <c r="BF40" s="12">
        <v>0.20109286708144916</v>
      </c>
      <c r="BG40" s="16">
        <v>0.2010961271146405</v>
      </c>
      <c r="BH40" s="13">
        <f t="shared" si="23"/>
        <v>0</v>
      </c>
    </row>
    <row r="41" spans="2:60" x14ac:dyDescent="0.35">
      <c r="B41" s="91"/>
      <c r="C41" s="91"/>
      <c r="D41" t="s">
        <v>55</v>
      </c>
      <c r="F41" s="3" t="s">
        <v>103</v>
      </c>
      <c r="G41" s="12">
        <f>((SUMIFS(SSP1_Baseline!$E:$E,SSP1_Baseline!$C:$C,Results_list!$C$25,SSP1_Baseline!$D:$D,Results_list!$D41,SSP1_Baseline!$B:$B,2040)) - (SUMIFS(SSP1_Baseline!$E:$E,SSP1_Baseline!$C:$C,Results_list!$C$25,SSP1_Baseline!$D:$D,Results_list!$D41,SSP1_Baseline!$B:$B,2025))) / (SUMIFS(SSP1_Baseline!$E:$E,SSP1_Baseline!$C:$C,Results_list!$C$25,SSP1_Baseline!$D:$D,Results_list!$D41,SSP1_Baseline!$B:$B,2025))</f>
        <v>-2.0435245714995579E-3</v>
      </c>
      <c r="H41" s="16">
        <f>((SUMIFS(SSP1_VSI!$F:$F,SSP1_VSI!$C:$C,Results_list!$C$25,SSP1_VSI!$D:$D,Results_list!$D41,SSP1_VSI!$B:$B,2040)) - (SUMIFS(SSP1_VSI!$F:$F,SSP1_VSI!$C:$C,Results_list!$C$25,SSP1_VSI!$D:$D,Results_list!$D41,SSP1_VSI!$B:$B,2025))) / (SUMIFS(SSP1_VSI!$F:$F,SSP1_VSI!$C:$C,Results_list!$C$25,SSP1_VSI!$D:$D,Results_list!$D41,SSP1_VSI!$B:$B,2025))</f>
        <v>-2.194214830397469E-3</v>
      </c>
      <c r="I41" s="13">
        <f t="shared" si="12"/>
        <v>0</v>
      </c>
      <c r="J41" s="12">
        <f>((SUMIFS(SSP2_Baseline!$E:$E,SSP2_Baseline!$C:$C,Results_list!$C$25,SSP2_Baseline!$D:$D,Results_list!$D41,SSP2_Baseline!$B:$B,2040)) - (SUMIFS(SSP2_Baseline!$E:$E,SSP2_Baseline!$C:$C,Results_list!$C$25,SSP2_Baseline!$D:$D,Results_list!$D41,SSP2_Baseline!$B:$B,2025))) / (SUMIFS(SSP2_Baseline!$E:$E,SSP2_Baseline!$C:$C,Results_list!$C$25,SSP2_Baseline!$D:$D,Results_list!$D41,SSP2_Baseline!$B:$B,2025))</f>
        <v>-9.4616276228986097E-4</v>
      </c>
      <c r="K41" s="16">
        <f>((SUMIFS(SSP2_VSI!$F:$F,SSP2_VSI!$C:$C,Results_list!$C$25,SSP2_VSI!$D:$D,Results_list!$D41,SSP2_VSI!$B:$B,2040)) - (SUMIFS(SSP2_VSI!$F:$F,SSP2_VSI!$C:$C,Results_list!$C$25,SSP2_VSI!$D:$D,Results_list!$D41,SSP2_VSI!$B:$B,2025))) / (SUMIFS(SSP2_VSI!$F:$F,SSP2_VSI!$C:$C,Results_list!$C$25,SSP2_VSI!$D:$D,Results_list!$D41,SSP2_VSI!$B:$B,2025))</f>
        <v>-1.0969503031310578E-3</v>
      </c>
      <c r="L41" s="13">
        <f t="shared" si="13"/>
        <v>0</v>
      </c>
      <c r="M41" s="12">
        <f>((SUMIFS(SSP5_Baseline!$E:$E,SSP5_Baseline!$C:$C,Results_list!$C$25,SSP5_Baseline!$D:$D,Results_list!$D41,SSP5_Baseline!$B:$B,2040)) - (SUMIFS(SSP5_Baseline!$E:$E,SSP5_Baseline!$C:$C,Results_list!$C$25,SSP5_Baseline!$D:$D,Results_list!$D41,SSP5_Baseline!$B:$B,2025))) / (SUMIFS(SSP5_Baseline!$E:$E,SSP5_Baseline!$C:$C,Results_list!$C$25,SSP5_Baseline!$D:$D,Results_list!$D41,SSP5_Baseline!$B:$B,2025))</f>
        <v>-2.452845811249188E-3</v>
      </c>
      <c r="N41" s="16">
        <f>((SUMIFS(SSP5_VSI!$F:$F,SSP5_VSI!$C:$C,Results_list!$C$25,SSP5_VSI!$D:$D,Results_list!$D41,SSP5_VSI!$B:$B,2040)) - (SUMIFS(SSP5_VSI!$F:$F,SSP5_VSI!$C:$C,Results_list!$C$25,SSP5_VSI!$D:$D,Results_list!$D41,SSP5_VSI!$B:$B,2025))) / (SUMIFS(SSP5_VSI!$F:$F,SSP5_VSI!$C:$C,Results_list!$C$25,SSP5_VSI!$D:$D,Results_list!$D41,SSP5_VSI!$B:$B,2025))</f>
        <v>-2.6032554112653638E-3</v>
      </c>
      <c r="O41" s="13">
        <f t="shared" si="14"/>
        <v>0</v>
      </c>
      <c r="Q41" s="91"/>
      <c r="R41" s="91"/>
      <c r="S41" s="22" t="s">
        <v>55</v>
      </c>
      <c r="U41" s="3" t="s">
        <v>103</v>
      </c>
      <c r="V41" s="12">
        <f>((SUMIFS(SSP1_Baseline!$E:$E,SSP1_Baseline!$C:$C,Results_list!$C$130,SSP1_Baseline!$D:$D,Results_list!$D146,SSP1_Baseline!$B:$B,2040)) - (SUMIFS(SSP1_Baseline!$E:$E,SSP1_Baseline!$C:$C,Results_list!$C$130,SSP1_Baseline!$D:$D,Results_list!$D146,SSP1_Baseline!$B:$B,2025))) / (SUMIFS(SSP1_Baseline!$E:$E,SSP1_Baseline!$C:$C,Results_list!$C$130,SSP1_Baseline!$D:$D,Results_list!$D146,SSP1_Baseline!$B:$B,2025))</f>
        <v>5.5526635863593877E-4</v>
      </c>
      <c r="W41" s="16">
        <f>((SUMIFS(SSP1_VSI!$F:$F,SSP1_VSI!$C:$C,Results_list!$C$130,SSP1_VSI!$D:$D,Results_list!$D146,SSP1_VSI!$B:$B,2040)) - (SUMIFS(SSP1_VSI!$F:$F,SSP1_VSI!$C:$C,Results_list!$C$130,SSP1_VSI!$D:$D,Results_list!$D146,SSP1_VSI!$B:$B,2025))) / (SUMIFS(SSP1_VSI!$F:$F,SSP1_VSI!$C:$C,Results_list!$C$130,SSP1_VSI!$D:$D,Results_list!$D146,SSP1_VSI!$B:$B,2025))</f>
        <v>-2.5816381973073014E-3</v>
      </c>
      <c r="X41" s="13">
        <f t="shared" si="15"/>
        <v>-3.0000000000000001E-3</v>
      </c>
      <c r="Y41" s="12">
        <f>((SUMIFS(SSP2_Baseline!$E:$E,SSP2_Baseline!$C:$C,Results_list!$C$130,SSP2_Baseline!$D:$D,Results_list!$D146,SSP2_Baseline!$B:$B,2040)) - (SUMIFS(SSP2_Baseline!$E:$E,SSP2_Baseline!$C:$C,Results_list!$C$130,SSP2_Baseline!$D:$D,Results_list!$D146,SSP2_Baseline!$B:$B,2025))) / (SUMIFS(SSP2_Baseline!$E:$E,SSP2_Baseline!$C:$C,Results_list!$C$130,SSP2_Baseline!$D:$D,Results_list!$D146,SSP2_Baseline!$B:$B,2025))</f>
        <v>2.0199148744182442E-3</v>
      </c>
      <c r="Z41" s="16">
        <f>((SUMIFS(SSP2_VSI!$F:$F,SSP2_VSI!$C:$C,Results_list!$C$130,SSP2_VSI!$D:$D,Results_list!$D146,SSP2_VSI!$B:$B,2040)) - (SUMIFS(SSP2_VSI!$F:$F,SSP2_VSI!$C:$C,Results_list!$C$130,SSP2_VSI!$D:$D,Results_list!$D146,SSP2_VSI!$B:$B,2025))) / (SUMIFS(SSP2_VSI!$F:$F,SSP2_VSI!$C:$C,Results_list!$C$130,SSP2_VSI!$D:$D,Results_list!$D146,SSP2_VSI!$B:$B,2025))</f>
        <v>-1.1155711751818789E-3</v>
      </c>
      <c r="AA41" s="13">
        <f t="shared" si="16"/>
        <v>0</v>
      </c>
      <c r="AB41" s="12">
        <f>((SUMIFS(SSP5_Baseline!$E:$E,SSP5_Baseline!$C:$C,Results_list!$C$130,SSP5_Baseline!$D:$D,Results_list!$D146,SSP5_Baseline!$B:$B,2040)) - (SUMIFS(SSP5_Baseline!$E:$E,SSP5_Baseline!$C:$C,Results_list!$C$130,SSP5_Baseline!$D:$D,Results_list!$D146,SSP5_Baseline!$B:$B,2025))) / (SUMIFS(SSP5_Baseline!$E:$E,SSP5_Baseline!$C:$C,Results_list!$C$130,SSP5_Baseline!$D:$D,Results_list!$D146,SSP5_Baseline!$B:$B,2025))</f>
        <v>1.7867562916474222E-3</v>
      </c>
      <c r="AC41" s="16">
        <f>((SUMIFS(SSP5_VSI!$F:$F,SSP5_VSI!$C:$C,Results_list!$C$130,SSP5_VSI!$D:$D,Results_list!$D146,SSP5_VSI!$B:$B,2040)) - (SUMIFS(SSP5_VSI!$F:$F,SSP5_VSI!$C:$C,Results_list!$C$130,SSP5_VSI!$D:$D,Results_list!$D146,SSP5_VSI!$B:$B,2025))) / (SUMIFS(SSP5_VSI!$F:$F,SSP5_VSI!$C:$C,Results_list!$C$130,SSP5_VSI!$D:$D,Results_list!$D146,SSP5_VSI!$B:$B,2025))</f>
        <v>-1.3492371228734316E-3</v>
      </c>
      <c r="AD41" s="13">
        <f t="shared" si="17"/>
        <v>0</v>
      </c>
      <c r="AF41" s="85"/>
      <c r="AG41" s="85"/>
      <c r="AH41" s="22" t="s">
        <v>55</v>
      </c>
      <c r="AI41" s="25" t="s">
        <v>71</v>
      </c>
      <c r="AJ41" s="3" t="s">
        <v>103</v>
      </c>
      <c r="AK41" s="12">
        <v>-2.1894636919270325E-2</v>
      </c>
      <c r="AL41" s="16">
        <v>-2.1888518360215166E-2</v>
      </c>
      <c r="AM41" s="13">
        <f t="shared" si="18"/>
        <v>0</v>
      </c>
      <c r="AN41" s="12">
        <v>-1.1068444585356777E-2</v>
      </c>
      <c r="AO41" s="16">
        <v>-1.1064306877678638E-2</v>
      </c>
      <c r="AP41" s="13">
        <f t="shared" si="19"/>
        <v>0</v>
      </c>
      <c r="AQ41" s="12">
        <v>0.20188030734683923</v>
      </c>
      <c r="AR41" s="16">
        <v>0.20188484684725122</v>
      </c>
      <c r="AS41" s="13">
        <f t="shared" si="20"/>
        <v>0</v>
      </c>
      <c r="AU41" s="87"/>
      <c r="AV41" s="87"/>
      <c r="AW41" s="22" t="s">
        <v>55</v>
      </c>
      <c r="AX41" s="25" t="s">
        <v>82</v>
      </c>
      <c r="AY41" s="3" t="s">
        <v>103</v>
      </c>
      <c r="AZ41" s="12">
        <v>-1.4511784510363472E-2</v>
      </c>
      <c r="BA41" s="16">
        <v>-1.4508226315385621E-2</v>
      </c>
      <c r="BB41" s="13">
        <f t="shared" si="21"/>
        <v>0</v>
      </c>
      <c r="BC41" s="12">
        <v>-1.6635578818183755E-2</v>
      </c>
      <c r="BD41" s="16">
        <v>-1.6633233477662906E-2</v>
      </c>
      <c r="BE41" s="13">
        <f t="shared" si="22"/>
        <v>0</v>
      </c>
      <c r="BF41" s="12">
        <v>0.19320979030874696</v>
      </c>
      <c r="BG41" s="16">
        <v>0.19321349823608214</v>
      </c>
      <c r="BH41" s="13">
        <f t="shared" si="23"/>
        <v>0</v>
      </c>
    </row>
    <row r="42" spans="2:60" x14ac:dyDescent="0.35">
      <c r="B42" s="92"/>
      <c r="C42" s="92"/>
      <c r="D42" s="20" t="s">
        <v>56</v>
      </c>
      <c r="F42" s="9" t="s">
        <v>104</v>
      </c>
      <c r="G42" s="14">
        <f>((SUMIFS(SSP1_Baseline!$E:$E,SSP1_Baseline!$C:$C,Results_list!$C$25,SSP1_Baseline!$D:$D,Results_list!$D42,SSP1_Baseline!$B:$B,2040)) - (SUMIFS(SSP1_Baseline!$E:$E,SSP1_Baseline!$C:$C,Results_list!$C$25,SSP1_Baseline!$D:$D,Results_list!$D42,SSP1_Baseline!$B:$B,2025))) / (SUMIFS(SSP1_Baseline!$E:$E,SSP1_Baseline!$C:$C,Results_list!$C$25,SSP1_Baseline!$D:$D,Results_list!$D42,SSP1_Baseline!$B:$B,2025))</f>
        <v>-7.8120541278491606E-2</v>
      </c>
      <c r="H42" s="17">
        <f>((SUMIFS(SSP1_VSI!$F:$F,SSP1_VSI!$C:$C,Results_list!$C$25,SSP1_VSI!$D:$D,Results_list!$D42,SSP1_VSI!$B:$B,2040)) - (SUMIFS(SSP1_VSI!$F:$F,SSP1_VSI!$C:$C,Results_list!$C$25,SSP1_VSI!$D:$D,Results_list!$D42,SSP1_VSI!$B:$B,2025))) / (SUMIFS(SSP1_VSI!$F:$F,SSP1_VSI!$C:$C,Results_list!$C$25,SSP1_VSI!$D:$D,Results_list!$D42,SSP1_VSI!$B:$B,2025))</f>
        <v>-7.8124711853579387E-2</v>
      </c>
      <c r="I42" s="15">
        <f t="shared" si="12"/>
        <v>0</v>
      </c>
      <c r="J42" s="14">
        <f>((SUMIFS(SSP2_Baseline!$E:$E,SSP2_Baseline!$C:$C,Results_list!$C$25,SSP2_Baseline!$D:$D,Results_list!$D42,SSP2_Baseline!$B:$B,2040)) - (SUMIFS(SSP2_Baseline!$E:$E,SSP2_Baseline!$C:$C,Results_list!$C$25,SSP2_Baseline!$D:$D,Results_list!$D42,SSP2_Baseline!$B:$B,2025))) / (SUMIFS(SSP2_Baseline!$E:$E,SSP2_Baseline!$C:$C,Results_list!$C$25,SSP2_Baseline!$D:$D,Results_list!$D42,SSP2_Baseline!$B:$B,2025))</f>
        <v>-0.12716265863581877</v>
      </c>
      <c r="K42" s="17">
        <f>((SUMIFS(SSP2_VSI!$F:$F,SSP2_VSI!$C:$C,Results_list!$C$25,SSP2_VSI!$D:$D,Results_list!$D42,SSP2_VSI!$B:$B,2040)) - (SUMIFS(SSP2_VSI!$F:$F,SSP2_VSI!$C:$C,Results_list!$C$25,SSP2_VSI!$D:$D,Results_list!$D42,SSP2_VSI!$B:$B,2025))) / (SUMIFS(SSP2_VSI!$F:$F,SSP2_VSI!$C:$C,Results_list!$C$25,SSP2_VSI!$D:$D,Results_list!$D42,SSP2_VSI!$B:$B,2025))</f>
        <v>-0.12717554193933267</v>
      </c>
      <c r="L42" s="15">
        <f t="shared" si="13"/>
        <v>0</v>
      </c>
      <c r="M42" s="14">
        <f>((SUMIFS(SSP5_Baseline!$E:$E,SSP5_Baseline!$C:$C,Results_list!$C$25,SSP5_Baseline!$D:$D,Results_list!$D42,SSP5_Baseline!$B:$B,2040)) - (SUMIFS(SSP5_Baseline!$E:$E,SSP5_Baseline!$C:$C,Results_list!$C$25,SSP5_Baseline!$D:$D,Results_list!$D42,SSP5_Baseline!$B:$B,2025))) / (SUMIFS(SSP5_Baseline!$E:$E,SSP5_Baseline!$C:$C,Results_list!$C$25,SSP5_Baseline!$D:$D,Results_list!$D42,SSP5_Baseline!$B:$B,2025))</f>
        <v>0.18231961947685071</v>
      </c>
      <c r="N42" s="17">
        <f>((SUMIFS(SSP5_VSI!$F:$F,SSP5_VSI!$C:$C,Results_list!$C$25,SSP5_VSI!$D:$D,Results_list!$D42,SSP5_VSI!$B:$B,2040)) - (SUMIFS(SSP5_VSI!$F:$F,SSP5_VSI!$C:$C,Results_list!$C$25,SSP5_VSI!$D:$D,Results_list!$D42,SSP5_VSI!$B:$B,2025))) / (SUMIFS(SSP5_VSI!$F:$F,SSP5_VSI!$C:$C,Results_list!$C$25,SSP5_VSI!$D:$D,Results_list!$D42,SSP5_VSI!$B:$B,2025))</f>
        <v>0.18233492668078502</v>
      </c>
      <c r="O42" s="15">
        <f t="shared" si="14"/>
        <v>0</v>
      </c>
      <c r="Q42" s="92"/>
      <c r="R42" s="92"/>
      <c r="S42" s="23" t="s">
        <v>56</v>
      </c>
      <c r="U42" s="9" t="s">
        <v>104</v>
      </c>
      <c r="V42" s="14">
        <f>((SUMIFS(SSP1_Baseline!$E:$E,SSP1_Baseline!$C:$C,Results_list!$C$130,SSP1_Baseline!$D:$D,Results_list!$D147,SSP1_Baseline!$B:$B,2040)) - (SUMIFS(SSP1_Baseline!$E:$E,SSP1_Baseline!$C:$C,Results_list!$C$130,SSP1_Baseline!$D:$D,Results_list!$D147,SSP1_Baseline!$B:$B,2025))) / (SUMIFS(SSP1_Baseline!$E:$E,SSP1_Baseline!$C:$C,Results_list!$C$130,SSP1_Baseline!$D:$D,Results_list!$D147,SSP1_Baseline!$B:$B,2025))</f>
        <v>-0.16538872696401724</v>
      </c>
      <c r="W42" s="17">
        <f>((SUMIFS(SSP1_VSI!$F:$F,SSP1_VSI!$C:$C,Results_list!$C$130,SSP1_VSI!$D:$D,Results_list!$D147,SSP1_VSI!$B:$B,2040)) - (SUMIFS(SSP1_VSI!$F:$F,SSP1_VSI!$C:$C,Results_list!$C$130,SSP1_VSI!$D:$D,Results_list!$D147,SSP1_VSI!$B:$B,2025))) / (SUMIFS(SSP1_VSI!$F:$F,SSP1_VSI!$C:$C,Results_list!$C$130,SSP1_VSI!$D:$D,Results_list!$D147,SSP1_VSI!$B:$B,2025))</f>
        <v>-0.16543962069113596</v>
      </c>
      <c r="X42" s="15">
        <f t="shared" si="15"/>
        <v>0</v>
      </c>
      <c r="Y42" s="14">
        <f>((SUMIFS(SSP2_Baseline!$E:$E,SSP2_Baseline!$C:$C,Results_list!$C$130,SSP2_Baseline!$D:$D,Results_list!$D147,SSP2_Baseline!$B:$B,2040)) - (SUMIFS(SSP2_Baseline!$E:$E,SSP2_Baseline!$C:$C,Results_list!$C$130,SSP2_Baseline!$D:$D,Results_list!$D147,SSP2_Baseline!$B:$B,2025))) / (SUMIFS(SSP2_Baseline!$E:$E,SSP2_Baseline!$C:$C,Results_list!$C$130,SSP2_Baseline!$D:$D,Results_list!$D147,SSP2_Baseline!$B:$B,2025))</f>
        <v>-0.22014162054549766</v>
      </c>
      <c r="Z42" s="17">
        <f>((SUMIFS(SSP2_VSI!$F:$F,SSP2_VSI!$C:$C,Results_list!$C$130,SSP2_VSI!$D:$D,Results_list!$D147,SSP2_VSI!$B:$B,2040)) - (SUMIFS(SSP2_VSI!$F:$F,SSP2_VSI!$C:$C,Results_list!$C$130,SSP2_VSI!$D:$D,Results_list!$D147,SSP2_VSI!$B:$B,2025))) / (SUMIFS(SSP2_VSI!$F:$F,SSP2_VSI!$C:$C,Results_list!$C$130,SSP2_VSI!$D:$D,Results_list!$D147,SSP2_VSI!$B:$B,2025))</f>
        <v>-0.22015429045950838</v>
      </c>
      <c r="AA42" s="15">
        <f t="shared" si="16"/>
        <v>0</v>
      </c>
      <c r="AB42" s="14">
        <f>((SUMIFS(SSP5_Baseline!$E:$E,SSP5_Baseline!$C:$C,Results_list!$C$130,SSP5_Baseline!$D:$D,Results_list!$D147,SSP5_Baseline!$B:$B,2040)) - (SUMIFS(SSP5_Baseline!$E:$E,SSP5_Baseline!$C:$C,Results_list!$C$130,SSP5_Baseline!$D:$D,Results_list!$D147,SSP5_Baseline!$B:$B,2025))) / (SUMIFS(SSP5_Baseline!$E:$E,SSP5_Baseline!$C:$C,Results_list!$C$130,SSP5_Baseline!$D:$D,Results_list!$D147,SSP5_Baseline!$B:$B,2025))</f>
        <v>-3.4177048322427982E-2</v>
      </c>
      <c r="AC42" s="17">
        <f>((SUMIFS(SSP5_VSI!$F:$F,SSP5_VSI!$C:$C,Results_list!$C$130,SSP5_VSI!$D:$D,Results_list!$D147,SSP5_VSI!$B:$B,2040)) - (SUMIFS(SSP5_VSI!$F:$F,SSP5_VSI!$C:$C,Results_list!$C$130,SSP5_VSI!$D:$D,Results_list!$D147,SSP5_VSI!$B:$B,2025))) / (SUMIFS(SSP5_VSI!$F:$F,SSP5_VSI!$C:$C,Results_list!$C$130,SSP5_VSI!$D:$D,Results_list!$D147,SSP5_VSI!$B:$B,2025))</f>
        <v>-3.417352875887069E-2</v>
      </c>
      <c r="AD42" s="15">
        <f t="shared" si="17"/>
        <v>0</v>
      </c>
      <c r="AF42" s="86"/>
      <c r="AG42" s="86"/>
      <c r="AH42" s="23" t="s">
        <v>56</v>
      </c>
      <c r="AI42" s="26" t="s">
        <v>71</v>
      </c>
      <c r="AJ42" s="9" t="s">
        <v>104</v>
      </c>
      <c r="AK42" s="14">
        <v>-0.21890762997031271</v>
      </c>
      <c r="AL42" s="17">
        <v>-0.21890271948354492</v>
      </c>
      <c r="AM42" s="15">
        <f t="shared" si="18"/>
        <v>0</v>
      </c>
      <c r="AN42" s="14">
        <v>-0.25472104868975237</v>
      </c>
      <c r="AO42" s="17">
        <v>-0.25470746787021481</v>
      </c>
      <c r="AP42" s="15">
        <f t="shared" si="19"/>
        <v>0</v>
      </c>
      <c r="AQ42" s="14">
        <v>2.3893332507230768E-2</v>
      </c>
      <c r="AR42" s="17">
        <v>2.3899323870205304E-2</v>
      </c>
      <c r="AS42" s="15">
        <f t="shared" si="20"/>
        <v>0</v>
      </c>
      <c r="AU42" s="88"/>
      <c r="AV42" s="88"/>
      <c r="AW42" s="23" t="s">
        <v>56</v>
      </c>
      <c r="AX42" s="26" t="s">
        <v>82</v>
      </c>
      <c r="AY42" s="9" t="s">
        <v>104</v>
      </c>
      <c r="AZ42" s="14">
        <v>-0.24402366186255861</v>
      </c>
      <c r="BA42" s="17">
        <v>-0.24401861268640576</v>
      </c>
      <c r="BB42" s="15">
        <f t="shared" si="21"/>
        <v>0</v>
      </c>
      <c r="BC42" s="14">
        <v>-0.26069195537834183</v>
      </c>
      <c r="BD42" s="17">
        <v>-0.26067991765266202</v>
      </c>
      <c r="BE42" s="15">
        <f t="shared" si="22"/>
        <v>0</v>
      </c>
      <c r="BF42" s="14">
        <v>-2.8652108122138604E-2</v>
      </c>
      <c r="BG42" s="17">
        <v>-2.8642777348321033E-2</v>
      </c>
      <c r="BH42" s="15">
        <f t="shared" si="23"/>
        <v>0</v>
      </c>
    </row>
    <row r="43" spans="2:60" x14ac:dyDescent="0.35">
      <c r="J43" s="21"/>
      <c r="K43" s="21"/>
    </row>
    <row r="44" spans="2:60" x14ac:dyDescent="0.35">
      <c r="F44" s="2"/>
      <c r="G44" s="78" t="s">
        <v>3</v>
      </c>
      <c r="H44" s="79"/>
      <c r="I44" s="79"/>
      <c r="J44" s="79"/>
      <c r="K44" s="79"/>
      <c r="L44" s="79"/>
      <c r="M44" s="79"/>
      <c r="N44" s="79"/>
      <c r="O44" s="80"/>
      <c r="U44" s="2"/>
      <c r="V44" s="78" t="s">
        <v>3</v>
      </c>
      <c r="W44" s="79"/>
      <c r="X44" s="79"/>
      <c r="Y44" s="79"/>
      <c r="Z44" s="79"/>
      <c r="AA44" s="79"/>
      <c r="AB44" s="79"/>
      <c r="AC44" s="79"/>
      <c r="AD44" s="80"/>
      <c r="AJ44" s="2"/>
      <c r="AK44" s="78" t="s">
        <v>3</v>
      </c>
      <c r="AL44" s="79"/>
      <c r="AM44" s="79"/>
      <c r="AN44" s="79"/>
      <c r="AO44" s="79"/>
      <c r="AP44" s="79"/>
      <c r="AQ44" s="79"/>
      <c r="AR44" s="79"/>
      <c r="AS44" s="80"/>
      <c r="AY44" s="2"/>
      <c r="AZ44" s="78" t="s">
        <v>3</v>
      </c>
      <c r="BA44" s="79"/>
      <c r="BB44" s="79"/>
      <c r="BC44" s="79"/>
      <c r="BD44" s="79"/>
      <c r="BE44" s="79"/>
      <c r="BF44" s="79"/>
      <c r="BG44" s="79"/>
      <c r="BH44" s="80"/>
    </row>
    <row r="45" spans="2:60" ht="43.5" x14ac:dyDescent="0.35">
      <c r="B45" s="8" t="s">
        <v>30</v>
      </c>
      <c r="C45" s="8" t="s">
        <v>30</v>
      </c>
      <c r="D45" s="7" t="s">
        <v>106</v>
      </c>
      <c r="F45" s="7" t="s">
        <v>105</v>
      </c>
      <c r="G45" s="10" t="s">
        <v>0</v>
      </c>
      <c r="H45" s="11" t="s">
        <v>108</v>
      </c>
      <c r="I45" s="18" t="s">
        <v>107</v>
      </c>
      <c r="J45" s="10" t="s">
        <v>1</v>
      </c>
      <c r="K45" s="11" t="s">
        <v>109</v>
      </c>
      <c r="L45" s="18" t="s">
        <v>107</v>
      </c>
      <c r="M45" s="10" t="s">
        <v>2</v>
      </c>
      <c r="N45" s="11" t="s">
        <v>110</v>
      </c>
      <c r="O45" s="18" t="s">
        <v>107</v>
      </c>
      <c r="Q45" s="8" t="s">
        <v>30</v>
      </c>
      <c r="R45" s="8" t="s">
        <v>30</v>
      </c>
      <c r="S45" s="6" t="s">
        <v>106</v>
      </c>
      <c r="U45" s="7" t="s">
        <v>105</v>
      </c>
      <c r="V45" s="10" t="s">
        <v>0</v>
      </c>
      <c r="W45" s="11" t="s">
        <v>108</v>
      </c>
      <c r="X45" s="18" t="s">
        <v>107</v>
      </c>
      <c r="Y45" s="10" t="s">
        <v>1</v>
      </c>
      <c r="Z45" s="11" t="s">
        <v>109</v>
      </c>
      <c r="AA45" s="18" t="s">
        <v>107</v>
      </c>
      <c r="AB45" s="10" t="s">
        <v>2</v>
      </c>
      <c r="AC45" s="11" t="s">
        <v>110</v>
      </c>
      <c r="AD45" s="18" t="s">
        <v>107</v>
      </c>
      <c r="AF45" s="8" t="s">
        <v>30</v>
      </c>
      <c r="AG45" s="8" t="s">
        <v>30</v>
      </c>
      <c r="AH45" s="6" t="s">
        <v>106</v>
      </c>
      <c r="AJ45" s="7" t="s">
        <v>105</v>
      </c>
      <c r="AK45" s="10" t="s">
        <v>0</v>
      </c>
      <c r="AL45" s="11" t="s">
        <v>108</v>
      </c>
      <c r="AM45" s="18" t="s">
        <v>107</v>
      </c>
      <c r="AN45" s="10" t="s">
        <v>1</v>
      </c>
      <c r="AO45" s="11" t="s">
        <v>109</v>
      </c>
      <c r="AP45" s="18" t="s">
        <v>107</v>
      </c>
      <c r="AQ45" s="10" t="s">
        <v>2</v>
      </c>
      <c r="AR45" s="11" t="s">
        <v>110</v>
      </c>
      <c r="AS45" s="18" t="s">
        <v>107</v>
      </c>
      <c r="AU45" s="8" t="s">
        <v>30</v>
      </c>
      <c r="AV45" s="8" t="s">
        <v>30</v>
      </c>
      <c r="AW45" s="6" t="s">
        <v>106</v>
      </c>
      <c r="AX45" s="18"/>
      <c r="AY45" s="7" t="s">
        <v>105</v>
      </c>
      <c r="AZ45" s="10" t="s">
        <v>0</v>
      </c>
      <c r="BA45" s="11" t="s">
        <v>108</v>
      </c>
      <c r="BB45" s="18" t="s">
        <v>107</v>
      </c>
      <c r="BC45" s="10" t="s">
        <v>1</v>
      </c>
      <c r="BD45" s="11" t="s">
        <v>109</v>
      </c>
      <c r="BE45" s="18" t="s">
        <v>107</v>
      </c>
      <c r="BF45" s="10" t="s">
        <v>2</v>
      </c>
      <c r="BG45" s="11" t="s">
        <v>110</v>
      </c>
      <c r="BH45" s="18" t="s">
        <v>107</v>
      </c>
    </row>
    <row r="46" spans="2:60" x14ac:dyDescent="0.35">
      <c r="B46" s="91" t="s">
        <v>130</v>
      </c>
      <c r="C46" s="91" t="s">
        <v>127</v>
      </c>
      <c r="D46" t="s">
        <v>38</v>
      </c>
      <c r="F46" s="3" t="s">
        <v>87</v>
      </c>
      <c r="G46" s="12">
        <f>((SUMIFS(SSP1_Baseline!$E:$E,SSP1_Baseline!$C:$C,Results_list!$C$46,SSP1_Baseline!$D:$D,Results_list!$D46,SSP1_Baseline!$B:$B,2040))
- (SUMIFS(SSP1_Baseline!$E:$E,SSP1_Baseline!$C:$C,Results_list!$C$46,SSP1_Baseline!$D:$D,Results_list!$D46,SSP1_Baseline!$B:$B,2025)))
/ (SUMIFS(SSP1_Baseline!$E:$E,SSP1_Baseline!$C:$C,Results_list!$C$46,SSP1_Baseline!$D:$D,Results_list!$D46,SSP1_Baseline!$B:$B,2025))</f>
        <v>4.7831256200517841E-2</v>
      </c>
      <c r="H46" s="16">
        <f>((SUMIFS(SSP1_VSI!$F:$F,SSP1_VSI!$C:$C,Results_list!$C$46,SSP1_VSI!$D:$D,Results_list!$D46,SSP1_VSI!$B:$B,2040))
- (SUMIFS(SSP1_VSI!$F:$F,SSP1_VSI!$C:$C,Results_list!$C$46,SSP1_VSI!$D:$D,Results_list!$D46,SSP1_VSI!$B:$B,2025)))
/ (SUMIFS(SSP1_VSI!$F:$F,SSP1_VSI!$C:$C,Results_list!$C$46,SSP1_VSI!$D:$D,Results_list!$D46,SSP1_VSI!$B:$B,2025))</f>
        <v>3.5095452048743425E-2</v>
      </c>
      <c r="I46" s="19">
        <f>ROUND(H46-G46,3)</f>
        <v>-1.2999999999999999E-2</v>
      </c>
      <c r="J46" s="12">
        <f>((SUMIFS(SSP2_Baseline!$E:$E,SSP2_Baseline!$C:$C,Results_list!$C$46,SSP2_Baseline!$D:$D,Results_list!$D46,SSP2_Baseline!$B:$B,2040))
- (SUMIFS(SSP2_Baseline!$E:$E,SSP2_Baseline!$C:$C,Results_list!$C$46,SSP2_Baseline!$D:$D,Results_list!$D46,SSP2_Baseline!$B:$B,2025)))
/ (SUMIFS(SSP2_Baseline!$E:$E,SSP2_Baseline!$C:$C,Results_list!$C$46,SSP2_Baseline!$D:$D,Results_list!$D46,SSP2_Baseline!$B:$B,2025))</f>
        <v>1.4536821388214893</v>
      </c>
      <c r="K46" s="16">
        <f>((SUMIFS(SSP2_VSI!$F:$F,SSP2_VSI!$C:$C,Results_list!$C$46,SSP2_VSI!$D:$D,Results_list!$D46,SSP2_VSI!$B:$B,2040))
- (SUMIFS(SSP2_VSI!$F:$F,SSP2_VSI!$C:$C,Results_list!$C$46,SSP2_VSI!$D:$D,Results_list!$D46,SSP2_VSI!$B:$B,2025)))
/ (SUMIFS(SSP2_VSI!$F:$F,SSP2_VSI!$C:$C,Results_list!$C$46,SSP2_VSI!$D:$D,Results_list!$D46,SSP2_VSI!$B:$B,2025))</f>
        <v>1.3939516496007036</v>
      </c>
      <c r="L46" s="19">
        <f>ROUND(K46-J46,2)</f>
        <v>-0.06</v>
      </c>
      <c r="M46" s="12">
        <f>((SUMIFS(SSP5_Baseline!$E:$E,SSP5_Baseline!$C:$C,Results_list!$C$46,SSP5_Baseline!$D:$D,Results_list!$D46,SSP5_Baseline!$B:$B,2040))
- (SUMIFS(SSP5_Baseline!$E:$E,SSP5_Baseline!$C:$C,Results_list!$C$46,SSP5_Baseline!$D:$D,Results_list!$D46,SSP5_Baseline!$B:$B,2025)))
/ (SUMIFS(SSP5_Baseline!$E:$E,SSP5_Baseline!$C:$C,Results_list!$C$46,SSP5_Baseline!$D:$D,Results_list!$D46,SSP5_Baseline!$B:$B,2025))</f>
        <v>3.0493595158195181</v>
      </c>
      <c r="N46" s="16">
        <f>((SUMIFS(SSP5_VSI!$F:$F,SSP5_VSI!$C:$C,Results_list!$C$46,SSP5_VSI!$D:$D,Results_list!$D46,SSP5_VSI!$B:$B,2040))
- (SUMIFS(SSP5_VSI!$F:$F,SSP5_VSI!$C:$C,Results_list!$C$46,SSP5_VSI!$D:$D,Results_list!$D46,SSP5_VSI!$B:$B,2025)))
/ (SUMIFS(SSP5_VSI!$F:$F,SSP5_VSI!$C:$C,Results_list!$C$46,SSP5_VSI!$D:$D,Results_list!$D46,SSP5_VSI!$B:$B,2025))</f>
        <v>2.9701354347349991</v>
      </c>
      <c r="O46" s="19">
        <f>ROUND(N46-M46,2)</f>
        <v>-0.08</v>
      </c>
      <c r="Q46" s="91" t="s">
        <v>117</v>
      </c>
      <c r="R46" s="91" t="s">
        <v>65</v>
      </c>
      <c r="S46" t="s">
        <v>38</v>
      </c>
      <c r="U46" s="3" t="s">
        <v>87</v>
      </c>
      <c r="V46" s="12">
        <f>((SUMIFS(SSP1_Baseline!$E:$E,SSP1_Baseline!$C:$C,Results_list!$C$151,SSP1_Baseline!$D:$D,Results_list!$D151,SSP1_Baseline!$B:$B,2040))
- (SUMIFS(SSP1_Baseline!$E:$E,SSP1_Baseline!$C:$C,Results_list!$C$151,SSP1_Baseline!$D:$D,Results_list!$D151,SSP1_Baseline!$B:$B,2025)))
/ (SUMIFS(SSP1_Baseline!$E:$E,SSP1_Baseline!$C:$C,Results_list!$C$151,SSP1_Baseline!$D:$D,Results_list!$D151,SSP1_Baseline!$B:$B,2025))</f>
        <v>-2.4117525478010195E-2</v>
      </c>
      <c r="W46" s="16">
        <f>((SUMIFS(SSP1_VSI!$F:$F,SSP1_VSI!$C:$C,Results_list!$C$151,SSP1_VSI!$D:$D,Results_list!$D151,SSP1_VSI!$B:$B,2040))
- (SUMIFS(SSP1_VSI!$F:$F,SSP1_VSI!$C:$C,Results_list!$C$151,SSP1_VSI!$D:$D,Results_list!$D151,SSP1_VSI!$B:$B,2025)))
/ (SUMIFS(SSP1_VSI!$F:$F,SSP1_VSI!$C:$C,Results_list!$C$151,SSP1_VSI!$D:$D,Results_list!$D151,SSP1_VSI!$B:$B,2025))</f>
        <v>-3.0268481715841081E-2</v>
      </c>
      <c r="X46" s="19">
        <f>ROUND(W46-V46,3)</f>
        <v>-6.0000000000000001E-3</v>
      </c>
      <c r="Y46" s="12">
        <f>((SUMIFS(SSP2_Baseline!$E:$E,SSP2_Baseline!$C:$C,Results_list!$C$151,SSP2_Baseline!$D:$D,Results_list!$D151,SSP2_Baseline!$B:$B,2040))
- (SUMIFS(SSP2_Baseline!$E:$E,SSP2_Baseline!$C:$C,Results_list!$C$151,SSP2_Baseline!$D:$D,Results_list!$D151,SSP2_Baseline!$B:$B,2025)))
/ (SUMIFS(SSP2_Baseline!$E:$E,SSP2_Baseline!$C:$C,Results_list!$C$151,SSP2_Baseline!$D:$D,Results_list!$D151,SSP2_Baseline!$B:$B,2025))</f>
        <v>7.3634475856926229E-2</v>
      </c>
      <c r="Z46" s="16">
        <f>((SUMIFS(SSP2_VSI!$F:$F,SSP2_VSI!$C:$C,Results_list!$C$151,SSP2_VSI!$D:$D,Results_list!$D151,SSP2_VSI!$B:$B,2040))
- (SUMIFS(SSP2_VSI!$F:$F,SSP2_VSI!$C:$C,Results_list!$C$151,SSP2_VSI!$D:$D,Results_list!$D151,SSP2_VSI!$B:$B,2025)))
/ (SUMIFS(SSP2_VSI!$F:$F,SSP2_VSI!$C:$C,Results_list!$C$151,SSP2_VSI!$D:$D,Results_list!$D151,SSP2_VSI!$B:$B,2025))</f>
        <v>6.6264283727975826E-2</v>
      </c>
      <c r="AA46" s="19">
        <f>ROUND(Z46-Y46,2)</f>
        <v>-0.01</v>
      </c>
      <c r="AB46" s="12">
        <f>((SUMIFS(SSP5_Baseline!$E:$E,SSP5_Baseline!$C:$C,Results_list!$C$151,SSP5_Baseline!$D:$D,Results_list!$D151,SSP5_Baseline!$B:$B,2040))
- (SUMIFS(SSP5_Baseline!$E:$E,SSP5_Baseline!$C:$C,Results_list!$C$151,SSP5_Baseline!$D:$D,Results_list!$D151,SSP5_Baseline!$B:$B,2025)))
/ (SUMIFS(SSP5_Baseline!$E:$E,SSP5_Baseline!$C:$C,Results_list!$C$151,SSP5_Baseline!$D:$D,Results_list!$D151,SSP5_Baseline!$B:$B,2025))</f>
        <v>0.10950624282893597</v>
      </c>
      <c r="AC46" s="16">
        <f>((SUMIFS(SSP5_VSI!$F:$F,SSP5_VSI!$C:$C,Results_list!$C$151,SSP5_VSI!$D:$D,Results_list!$D151,SSP5_VSI!$B:$B,2040))
- (SUMIFS(SSP5_VSI!$F:$F,SSP5_VSI!$C:$C,Results_list!$C$151,SSP5_VSI!$D:$D,Results_list!$D151,SSP5_VSI!$B:$B,2025)))
/ (SUMIFS(SSP5_VSI!$F:$F,SSP5_VSI!$C:$C,Results_list!$C$151,SSP5_VSI!$D:$D,Results_list!$D151,SSP5_VSI!$B:$B,2025))</f>
        <v>0.10207119948011843</v>
      </c>
      <c r="AD46" s="19">
        <f>ROUND(AC46-AB46,2)</f>
        <v>-0.01</v>
      </c>
      <c r="AF46" s="85" t="s">
        <v>120</v>
      </c>
      <c r="AG46" s="85" t="s">
        <v>72</v>
      </c>
      <c r="AH46" t="s">
        <v>38</v>
      </c>
      <c r="AJ46" s="3" t="s">
        <v>87</v>
      </c>
      <c r="AK46" s="12">
        <f>((SUMIFS(SSP1_Baseline!$E:$E,SSP1_Baseline!$C:$C,Results_list!$C$235,SSP1_Baseline!$D:$D,Results_list!$D46,SSP1_Baseline!$B:$B,2040)) - (SUMIFS(SSP1_Baseline!$E:$E,SSP1_Baseline!$C:$C,Results_list!$C$235,SSP1_Baseline!$D:$D,Results_list!$D46,SSP1_Baseline!$B:$B,2025))) / (SUMIFS(SSP1_Baseline!$E:$E,SSP1_Baseline!$C:$C,Results_list!$C$235,SSP1_Baseline!$D:$D,Results_list!$D46,SSP1_Baseline!$B:$B,2025))</f>
        <v>-0.14595017875366659</v>
      </c>
      <c r="AL46" s="16">
        <f>((SUMIFS(SSP1_VSI!$F:$F,SSP1_VSI!$C:$C,Results_list!$C$235,SSP1_VSI!$D:$D,Results_list!$D46,SSP1_VSI!$B:$B,2040)) - (SUMIFS(SSP1_VSI!$F:$F,SSP1_VSI!$C:$C,Results_list!$C$235,SSP1_VSI!$D:$D,Results_list!$D46,SSP1_VSI!$B:$B,2025))) / (SUMIFS(SSP1_VSI!$F:$F,SSP1_VSI!$C:$C,Results_list!$C$235,SSP1_VSI!$D:$D,Results_list!$D46,SSP1_VSI!$B:$B,2025))</f>
        <v>-0.14593163998158717</v>
      </c>
      <c r="AM46" s="19">
        <f>ROUND(AL46-AK46,3)</f>
        <v>0</v>
      </c>
      <c r="AN46" s="12">
        <f>((SUMIFS(SSP2_Baseline!$E:$E,SSP2_Baseline!$C:$C,Results_list!$C$235,SSP2_Baseline!$D:$D,Results_list!$D46,SSP2_Baseline!$B:$B,2040)) - (SUMIFS(SSP2_Baseline!$E:$E,SSP2_Baseline!$C:$C,Results_list!$C$235,SSP2_Baseline!$D:$D,Results_list!$D46,SSP2_Baseline!$B:$B,2025))) / (SUMIFS(SSP2_Baseline!$E:$E,SSP2_Baseline!$C:$C,Results_list!$C$235,SSP2_Baseline!$D:$D,Results_list!$D46,SSP2_Baseline!$B:$B,2025))</f>
        <v>0.4426436097495059</v>
      </c>
      <c r="AO46" s="16">
        <f>((SUMIFS(SSP2_VSI!$F:$F,SSP2_VSI!$C:$C,Results_list!$C$235,SSP2_VSI!$D:$D,Results_list!$D46,SSP2_VSI!$B:$B,2040)) - (SUMIFS(SSP2_VSI!$F:$F,SSP2_VSI!$C:$C,Results_list!$C$235,SSP2_VSI!$D:$D,Results_list!$D46,SSP2_VSI!$B:$B,2025))) / (SUMIFS(SSP2_VSI!$F:$F,SSP2_VSI!$C:$C,Results_list!$C$235,SSP2_VSI!$D:$D,Results_list!$D46,SSP2_VSI!$B:$B,2025))</f>
        <v>0.4425169778824567</v>
      </c>
      <c r="AP46" s="19">
        <f>ROUND(AO46-AN46,2)</f>
        <v>0</v>
      </c>
      <c r="AQ46" s="12">
        <f>((SUMIFS(SSP5_Baseline!$E:$E,SSP5_Baseline!$C:$C,Results_list!$C$235,SSP5_Baseline!$D:$D,Results_list!$D46,SSP5_Baseline!$B:$B,2040)) - (SUMIFS(SSP5_Baseline!$E:$E,SSP5_Baseline!$C:$C,Results_list!$C$235,SSP5_Baseline!$D:$D,Results_list!$D46,SSP5_Baseline!$B:$B,2025))) / (SUMIFS(SSP5_Baseline!$E:$E,SSP5_Baseline!$C:$C,Results_list!$C$235,SSP5_Baseline!$D:$D,Results_list!$D46,SSP5_Baseline!$B:$B,2025))</f>
        <v>0.74569157514978057</v>
      </c>
      <c r="AR46" s="16">
        <f>((SUMIFS(SSP5_VSI!$F:$F,SSP5_VSI!$C:$C,Results_list!$C$235,SSP5_VSI!$D:$D,Results_list!$D46,SSP5_VSI!$B:$B,2040)) - (SUMIFS(SSP5_VSI!$F:$F,SSP5_VSI!$C:$C,Results_list!$C$235,SSP5_VSI!$D:$D,Results_list!$D46,SSP5_VSI!$B:$B,2025))) / (SUMIFS(SSP5_VSI!$F:$F,SSP5_VSI!$C:$C,Results_list!$C$235,SSP5_VSI!$D:$D,Results_list!$D46,SSP5_VSI!$B:$B,2025))</f>
        <v>0.74575437235435316</v>
      </c>
      <c r="AS46" s="19">
        <f>ROUND(AR46-AQ46,2)</f>
        <v>0</v>
      </c>
      <c r="AU46" s="87" t="s">
        <v>133</v>
      </c>
      <c r="AV46" s="87" t="s">
        <v>80</v>
      </c>
      <c r="AW46" s="22" t="s">
        <v>38</v>
      </c>
      <c r="AX46" s="24" t="s">
        <v>81</v>
      </c>
      <c r="AY46" s="3" t="s">
        <v>87</v>
      </c>
      <c r="AZ46" s="12">
        <v>-0.16165010754529283</v>
      </c>
      <c r="BA46" s="16">
        <v>-0.16165058908461308</v>
      </c>
      <c r="BB46" s="19">
        <f>ROUND(BA46-AZ46,3)</f>
        <v>0</v>
      </c>
      <c r="BC46" s="12">
        <v>0.89290119670240475</v>
      </c>
      <c r="BD46" s="16">
        <v>0.89297705661602089</v>
      </c>
      <c r="BE46" s="19">
        <f>ROUND(BD46-BC46,2)</f>
        <v>0</v>
      </c>
      <c r="BF46" s="12">
        <v>1.6515409829239327</v>
      </c>
      <c r="BG46" s="16">
        <v>1.6515499228143695</v>
      </c>
      <c r="BH46" s="19">
        <f>ROUND(BG46-BF46,2)</f>
        <v>0</v>
      </c>
    </row>
    <row r="47" spans="2:60" x14ac:dyDescent="0.35">
      <c r="B47" s="91"/>
      <c r="C47" s="91"/>
      <c r="D47" t="s">
        <v>40</v>
      </c>
      <c r="F47" s="3" t="s">
        <v>88</v>
      </c>
      <c r="G47" s="12">
        <f>((SUMIFS(SSP1_Baseline!$E:$E,SSP1_Baseline!$C:$C,Results_list!$C$46,SSP1_Baseline!$D:$D,Results_list!$D47,SSP1_Baseline!$B:$B,2040)) - (SUMIFS(SSP1_Baseline!$E:$E,SSP1_Baseline!$C:$C,Results_list!$C$46,SSP1_Baseline!$D:$D,Results_list!$D47,SSP1_Baseline!$B:$B,2025))) / (SUMIFS(SSP1_Baseline!$E:$E,SSP1_Baseline!$C:$C,Results_list!$C$46,SSP1_Baseline!$D:$D,Results_list!$D47,SSP1_Baseline!$B:$B,2025))</f>
        <v>-1.1448888686228403E-2</v>
      </c>
      <c r="H47" s="16">
        <f>((SUMIFS(SSP1_VSI!$F:$F,SSP1_VSI!$C:$C,Results_list!$C$46,SSP1_VSI!$D:$D,Results_list!$D47,SSP1_VSI!$B:$B,2040)) - (SUMIFS(SSP1_VSI!$F:$F,SSP1_VSI!$C:$C,Results_list!$C$46,SSP1_VSI!$D:$D,Results_list!$D47,SSP1_VSI!$B:$B,2025))) / (SUMIFS(SSP1_VSI!$F:$F,SSP1_VSI!$C:$C,Results_list!$C$46,SSP1_VSI!$D:$D,Results_list!$D47,SSP1_VSI!$B:$B,2025))</f>
        <v>-1.1449761720511957E-2</v>
      </c>
      <c r="I47" s="13">
        <f t="shared" ref="I47:I63" si="24">ROUND(H47-G47,3)</f>
        <v>0</v>
      </c>
      <c r="J47" s="12">
        <f>((SUMIFS(SSP2_Baseline!$E:$E,SSP2_Baseline!$C:$C,Results_list!$C$46,SSP2_Baseline!$D:$D,Results_list!$D47,SSP2_Baseline!$B:$B,2040)) - (SUMIFS(SSP2_Baseline!$E:$E,SSP2_Baseline!$C:$C,Results_list!$C$46,SSP2_Baseline!$D:$D,Results_list!$D47,SSP2_Baseline!$B:$B,2025))) / (SUMIFS(SSP2_Baseline!$E:$E,SSP2_Baseline!$C:$C,Results_list!$C$46,SSP2_Baseline!$D:$D,Results_list!$D47,SSP2_Baseline!$B:$B,2025))</f>
        <v>-1.6680124019805107E-2</v>
      </c>
      <c r="K47" s="16">
        <f>((SUMIFS(SSP2_VSI!$F:$F,SSP2_VSI!$C:$C,Results_list!$C$46,SSP2_VSI!$D:$D,Results_list!$D47,SSP2_VSI!$B:$B,2040)) - (SUMIFS(SSP2_VSI!$F:$F,SSP2_VSI!$C:$C,Results_list!$C$46,SSP2_VSI!$D:$D,Results_list!$D47,SSP2_VSI!$B:$B,2025))) / (SUMIFS(SSP2_VSI!$F:$F,SSP2_VSI!$C:$C,Results_list!$C$46,SSP2_VSI!$D:$D,Results_list!$D47,SSP2_VSI!$B:$B,2025))</f>
        <v>-1.6681868599138117E-2</v>
      </c>
      <c r="L47" s="13">
        <f t="shared" ref="L47:L63" si="25">ROUND(K47-J47,2)</f>
        <v>0</v>
      </c>
      <c r="M47" s="12">
        <f>((SUMIFS(SSP5_Baseline!$E:$E,SSP5_Baseline!$C:$C,Results_list!$C$46,SSP5_Baseline!$D:$D,Results_list!$D47,SSP5_Baseline!$B:$B,2040)) - (SUMIFS(SSP5_Baseline!$E:$E,SSP5_Baseline!$C:$C,Results_list!$C$46,SSP5_Baseline!$D:$D,Results_list!$D47,SSP5_Baseline!$B:$B,2025))) / (SUMIFS(SSP5_Baseline!$E:$E,SSP5_Baseline!$C:$C,Results_list!$C$46,SSP5_Baseline!$D:$D,Results_list!$D47,SSP5_Baseline!$B:$B,2025))</f>
        <v>3.7059679740511414E-2</v>
      </c>
      <c r="N47" s="16">
        <f>((SUMIFS(SSP5_VSI!$F:$F,SSP5_VSI!$C:$C,Results_list!$C$46,SSP5_VSI!$D:$D,Results_list!$D47,SSP5_VSI!$B:$B,2040)) - (SUMIFS(SSP5_VSI!$F:$F,SSP5_VSI!$C:$C,Results_list!$C$46,SSP5_VSI!$D:$D,Results_list!$D47,SSP5_VSI!$B:$B,2025))) / (SUMIFS(SSP5_VSI!$F:$F,SSP5_VSI!$C:$C,Results_list!$C$46,SSP5_VSI!$D:$D,Results_list!$D47,SSP5_VSI!$B:$B,2025))</f>
        <v>3.7057326107465302E-2</v>
      </c>
      <c r="O47" s="13">
        <f t="shared" ref="O47:O63" si="26">ROUND(N47-M47,2)</f>
        <v>0</v>
      </c>
      <c r="Q47" s="91"/>
      <c r="R47" s="91"/>
      <c r="S47" t="s">
        <v>40</v>
      </c>
      <c r="U47" s="3" t="s">
        <v>88</v>
      </c>
      <c r="V47" s="12">
        <f>((SUMIFS(SSP1_Baseline!$E:$E,SSP1_Baseline!$C:$C,Results_list!$C$151,SSP1_Baseline!$D:$D,Results_list!$D152,SSP1_Baseline!$B:$B,2040)) - (SUMIFS(SSP1_Baseline!$E:$E,SSP1_Baseline!$C:$C,Results_list!$C$151,SSP1_Baseline!$D:$D,Results_list!$D152,SSP1_Baseline!$B:$B,2025))) / (SUMIFS(SSP1_Baseline!$E:$E,SSP1_Baseline!$C:$C,Results_list!$C$151,SSP1_Baseline!$D:$D,Results_list!$D152,SSP1_Baseline!$B:$B,2025))</f>
        <v>-3.3833372607660846E-2</v>
      </c>
      <c r="W47" s="16">
        <f>((SUMIFS(SSP1_VSI!$F:$F,SSP1_VSI!$C:$C,Results_list!$C$151,SSP1_VSI!$D:$D,Results_list!$D152,SSP1_VSI!$B:$B,2040)) - (SUMIFS(SSP1_VSI!$F:$F,SSP1_VSI!$C:$C,Results_list!$C$151,SSP1_VSI!$D:$D,Results_list!$D152,SSP1_VSI!$B:$B,2025))) / (SUMIFS(SSP1_VSI!$F:$F,SSP1_VSI!$C:$C,Results_list!$C$151,SSP1_VSI!$D:$D,Results_list!$D152,SSP1_VSI!$B:$B,2025))</f>
        <v>-3.3837084323939143E-2</v>
      </c>
      <c r="X47" s="13">
        <f t="shared" ref="X47:X63" si="27">ROUND(W47-V47,3)</f>
        <v>0</v>
      </c>
      <c r="Y47" s="12">
        <f>((SUMIFS(SSP2_Baseline!$E:$E,SSP2_Baseline!$C:$C,Results_list!$C$151,SSP2_Baseline!$D:$D,Results_list!$D152,SSP2_Baseline!$B:$B,2040)) - (SUMIFS(SSP2_Baseline!$E:$E,SSP2_Baseline!$C:$C,Results_list!$C$151,SSP2_Baseline!$D:$D,Results_list!$D152,SSP2_Baseline!$B:$B,2025))) / (SUMIFS(SSP2_Baseline!$E:$E,SSP2_Baseline!$C:$C,Results_list!$C$151,SSP2_Baseline!$D:$D,Results_list!$D152,SSP2_Baseline!$B:$B,2025))</f>
        <v>-3.668308007207878E-2</v>
      </c>
      <c r="Z47" s="16">
        <f>((SUMIFS(SSP2_VSI!$F:$F,SSP2_VSI!$C:$C,Results_list!$C$151,SSP2_VSI!$D:$D,Results_list!$D152,SSP2_VSI!$B:$B,2040)) - (SUMIFS(SSP2_VSI!$F:$F,SSP2_VSI!$C:$C,Results_list!$C$151,SSP2_VSI!$D:$D,Results_list!$D152,SSP2_VSI!$B:$B,2025))) / (SUMIFS(SSP2_VSI!$F:$F,SSP2_VSI!$C:$C,Results_list!$C$151,SSP2_VSI!$D:$D,Results_list!$D152,SSP2_VSI!$B:$B,2025))</f>
        <v>-3.6691889987989182E-2</v>
      </c>
      <c r="AA47" s="13">
        <f t="shared" ref="AA47:AA63" si="28">ROUND(Z47-Y47,2)</f>
        <v>0</v>
      </c>
      <c r="AB47" s="12">
        <f>((SUMIFS(SSP5_Baseline!$E:$E,SSP5_Baseline!$C:$C,Results_list!$C$151,SSP5_Baseline!$D:$D,Results_list!$D152,SSP5_Baseline!$B:$B,2040)) - (SUMIFS(SSP5_Baseline!$E:$E,SSP5_Baseline!$C:$C,Results_list!$C$151,SSP5_Baseline!$D:$D,Results_list!$D152,SSP5_Baseline!$B:$B,2025))) / (SUMIFS(SSP5_Baseline!$E:$E,SSP5_Baseline!$C:$C,Results_list!$C$151,SSP5_Baseline!$D:$D,Results_list!$D152,SSP5_Baseline!$B:$B,2025))</f>
        <v>-2.3644706154830608E-2</v>
      </c>
      <c r="AC47" s="16">
        <f>((SUMIFS(SSP5_VSI!$F:$F,SSP5_VSI!$C:$C,Results_list!$C$151,SSP5_VSI!$D:$D,Results_list!$D152,SSP5_VSI!$B:$B,2040)) - (SUMIFS(SSP5_VSI!$F:$F,SSP5_VSI!$C:$C,Results_list!$C$151,SSP5_VSI!$D:$D,Results_list!$D152,SSP5_VSI!$B:$B,2025))) / (SUMIFS(SSP5_VSI!$F:$F,SSP5_VSI!$C:$C,Results_list!$C$151,SSP5_VSI!$D:$D,Results_list!$D152,SSP5_VSI!$B:$B,2025))</f>
        <v>-2.3663315136722731E-2</v>
      </c>
      <c r="AD47" s="13">
        <f t="shared" ref="AD47:AD63" si="29">ROUND(AC47-AB47,2)</f>
        <v>0</v>
      </c>
      <c r="AF47" s="85"/>
      <c r="AG47" s="85"/>
      <c r="AH47" t="s">
        <v>40</v>
      </c>
      <c r="AJ47" s="3" t="s">
        <v>88</v>
      </c>
      <c r="AK47" s="12">
        <f>((SUMIFS(SSP1_Baseline!$E:$E,SSP1_Baseline!$C:$C,Results_list!$C$235,SSP1_Baseline!$D:$D,Results_list!$D47,SSP1_Baseline!$B:$B,2040)) - (SUMIFS(SSP1_Baseline!$E:$E,SSP1_Baseline!$C:$C,Results_list!$C$235,SSP1_Baseline!$D:$D,Results_list!$D47,SSP1_Baseline!$B:$B,2025))) / (SUMIFS(SSP1_Baseline!$E:$E,SSP1_Baseline!$C:$C,Results_list!$C$235,SSP1_Baseline!$D:$D,Results_list!$D47,SSP1_Baseline!$B:$B,2025))</f>
        <v>-0.13999768451226521</v>
      </c>
      <c r="AL47" s="16">
        <f>((SUMIFS(SSP1_VSI!$F:$F,SSP1_VSI!$C:$C,Results_list!$C$235,SSP1_VSI!$D:$D,Results_list!$D47,SSP1_VSI!$B:$B,2040)) - (SUMIFS(SSP1_VSI!$F:$F,SSP1_VSI!$C:$C,Results_list!$C$235,SSP1_VSI!$D:$D,Results_list!$D47,SSP1_VSI!$B:$B,2025))) / (SUMIFS(SSP1_VSI!$F:$F,SSP1_VSI!$C:$C,Results_list!$C$235,SSP1_VSI!$D:$D,Results_list!$D47,SSP1_VSI!$B:$B,2025))</f>
        <v>-0.13999817524395572</v>
      </c>
      <c r="AM47" s="13">
        <f t="shared" ref="AM47:AM63" si="30">ROUND(AL47-AK47,3)</f>
        <v>0</v>
      </c>
      <c r="AN47" s="12">
        <f>((SUMIFS(SSP2_Baseline!$E:$E,SSP2_Baseline!$C:$C,Results_list!$C$235,SSP2_Baseline!$D:$D,Results_list!$D47,SSP2_Baseline!$B:$B,2040)) - (SUMIFS(SSP2_Baseline!$E:$E,SSP2_Baseline!$C:$C,Results_list!$C$235,SSP2_Baseline!$D:$D,Results_list!$D47,SSP2_Baseline!$B:$B,2025))) / (SUMIFS(SSP2_Baseline!$E:$E,SSP2_Baseline!$C:$C,Results_list!$C$235,SSP2_Baseline!$D:$D,Results_list!$D47,SSP2_Baseline!$B:$B,2025))</f>
        <v>-0.1482988586857395</v>
      </c>
      <c r="AO47" s="16">
        <f>((SUMIFS(SSP2_VSI!$F:$F,SSP2_VSI!$C:$C,Results_list!$C$235,SSP2_VSI!$D:$D,Results_list!$D47,SSP2_VSI!$B:$B,2040)) - (SUMIFS(SSP2_VSI!$F:$F,SSP2_VSI!$C:$C,Results_list!$C$235,SSP2_VSI!$D:$D,Results_list!$D47,SSP2_VSI!$B:$B,2025))) / (SUMIFS(SSP2_VSI!$F:$F,SSP2_VSI!$C:$C,Results_list!$C$235,SSP2_VSI!$D:$D,Results_list!$D47,SSP2_VSI!$B:$B,2025))</f>
        <v>-0.14831871218100734</v>
      </c>
      <c r="AP47" s="13">
        <f t="shared" ref="AP47:AP63" si="31">ROUND(AO47-AN47,2)</f>
        <v>0</v>
      </c>
      <c r="AQ47" s="12">
        <f>((SUMIFS(SSP5_Baseline!$E:$E,SSP5_Baseline!$C:$C,Results_list!$C$235,SSP5_Baseline!$D:$D,Results_list!$D47,SSP5_Baseline!$B:$B,2040)) - (SUMIFS(SSP5_Baseline!$E:$E,SSP5_Baseline!$C:$C,Results_list!$C$235,SSP5_Baseline!$D:$D,Results_list!$D47,SSP5_Baseline!$B:$B,2025))) / (SUMIFS(SSP5_Baseline!$E:$E,SSP5_Baseline!$C:$C,Results_list!$C$235,SSP5_Baseline!$D:$D,Results_list!$D47,SSP5_Baseline!$B:$B,2025))</f>
        <v>-5.7264061841255223E-2</v>
      </c>
      <c r="AR47" s="16">
        <f>((SUMIFS(SSP5_VSI!$F:$F,SSP5_VSI!$C:$C,Results_list!$C$235,SSP5_VSI!$D:$D,Results_list!$D47,SSP5_VSI!$B:$B,2040)) - (SUMIFS(SSP5_VSI!$F:$F,SSP5_VSI!$C:$C,Results_list!$C$235,SSP5_VSI!$D:$D,Results_list!$D47,SSP5_VSI!$B:$B,2025))) / (SUMIFS(SSP5_VSI!$F:$F,SSP5_VSI!$C:$C,Results_list!$C$235,SSP5_VSI!$D:$D,Results_list!$D47,SSP5_VSI!$B:$B,2025))</f>
        <v>-5.7322511542688914E-2</v>
      </c>
      <c r="AS47" s="13">
        <f t="shared" ref="AS47:AS63" si="32">ROUND(AR47-AQ47,2)</f>
        <v>0</v>
      </c>
      <c r="AU47" s="87"/>
      <c r="AV47" s="87"/>
      <c r="AW47" s="22" t="s">
        <v>40</v>
      </c>
      <c r="AX47" s="24" t="s">
        <v>81</v>
      </c>
      <c r="AY47" s="3" t="s">
        <v>88</v>
      </c>
      <c r="AZ47" s="12">
        <v>-0.18033811667193181</v>
      </c>
      <c r="BA47" s="16">
        <v>-0.18033585389020648</v>
      </c>
      <c r="BB47" s="13">
        <f t="shared" ref="BB47:BB63" si="33">ROUND(BA47-AZ47,3)</f>
        <v>0</v>
      </c>
      <c r="BC47" s="12">
        <v>-0.18355229963658801</v>
      </c>
      <c r="BD47" s="16">
        <v>-0.18356328025225932</v>
      </c>
      <c r="BE47" s="13">
        <f t="shared" ref="BE47:BE63" si="34">ROUND(BD47-BC47,2)</f>
        <v>0</v>
      </c>
      <c r="BF47" s="12">
        <v>0.1244714929310102</v>
      </c>
      <c r="BG47" s="16">
        <v>0.12447360861329498</v>
      </c>
      <c r="BH47" s="13">
        <f t="shared" ref="BH47:BH63" si="35">ROUND(BG47-BF47,2)</f>
        <v>0</v>
      </c>
    </row>
    <row r="48" spans="2:60" x14ac:dyDescent="0.35">
      <c r="B48" s="91"/>
      <c r="C48" s="91"/>
      <c r="D48" t="s">
        <v>41</v>
      </c>
      <c r="F48" s="3" t="s">
        <v>89</v>
      </c>
      <c r="G48" s="12">
        <f>((SUMIFS(SSP1_Baseline!$E:$E,SSP1_Baseline!$C:$C,Results_list!$C$46,SSP1_Baseline!$D:$D,Results_list!$D48,SSP1_Baseline!$B:$B,2040)) - (SUMIFS(SSP1_Baseline!$E:$E,SSP1_Baseline!$C:$C,Results_list!$C$46,SSP1_Baseline!$D:$D,Results_list!$D48,SSP1_Baseline!$B:$B,2025))) / (SUMIFS(SSP1_Baseline!$E:$E,SSP1_Baseline!$C:$C,Results_list!$C$46,SSP1_Baseline!$D:$D,Results_list!$D48,SSP1_Baseline!$B:$B,2025))</f>
        <v>-4.2629724037313986E-2</v>
      </c>
      <c r="H48" s="16">
        <f>((SUMIFS(SSP1_VSI!$F:$F,SSP1_VSI!$C:$C,Results_list!$C$46,SSP1_VSI!$D:$D,Results_list!$D48,SSP1_VSI!$B:$B,2040)) - (SUMIFS(SSP1_VSI!$F:$F,SSP1_VSI!$C:$C,Results_list!$C$46,SSP1_VSI!$D:$D,Results_list!$D48,SSP1_VSI!$B:$B,2025))) / (SUMIFS(SSP1_VSI!$F:$F,SSP1_VSI!$C:$C,Results_list!$C$46,SSP1_VSI!$D:$D,Results_list!$D48,SSP1_VSI!$B:$B,2025))</f>
        <v>-6.0891047320643807E-2</v>
      </c>
      <c r="I48" s="13">
        <f t="shared" si="24"/>
        <v>-1.7999999999999999E-2</v>
      </c>
      <c r="J48" s="12">
        <f>((SUMIFS(SSP2_Baseline!$E:$E,SSP2_Baseline!$C:$C,Results_list!$C$46,SSP2_Baseline!$D:$D,Results_list!$D48,SSP2_Baseline!$B:$B,2040)) - (SUMIFS(SSP2_Baseline!$E:$E,SSP2_Baseline!$C:$C,Results_list!$C$46,SSP2_Baseline!$D:$D,Results_list!$D48,SSP2_Baseline!$B:$B,2025))) / (SUMIFS(SSP2_Baseline!$E:$E,SSP2_Baseline!$C:$C,Results_list!$C$46,SSP2_Baseline!$D:$D,Results_list!$D48,SSP2_Baseline!$B:$B,2025))</f>
        <v>-4.119863226883972E-2</v>
      </c>
      <c r="K48" s="16">
        <f>((SUMIFS(SSP2_VSI!$F:$F,SSP2_VSI!$C:$C,Results_list!$C$46,SSP2_VSI!$D:$D,Results_list!$D48,SSP2_VSI!$B:$B,2040)) - (SUMIFS(SSP2_VSI!$F:$F,SSP2_VSI!$C:$C,Results_list!$C$46,SSP2_VSI!$D:$D,Results_list!$D48,SSP2_VSI!$B:$B,2025))) / (SUMIFS(SSP2_VSI!$F:$F,SSP2_VSI!$C:$C,Results_list!$C$46,SSP2_VSI!$D:$D,Results_list!$D48,SSP2_VSI!$B:$B,2025))</f>
        <v>-5.9505511557761175E-2</v>
      </c>
      <c r="L48" s="13">
        <f t="shared" si="25"/>
        <v>-0.02</v>
      </c>
      <c r="M48" s="12">
        <f>((SUMIFS(SSP5_Baseline!$E:$E,SSP5_Baseline!$C:$C,Results_list!$C$46,SSP5_Baseline!$D:$D,Results_list!$D48,SSP5_Baseline!$B:$B,2040)) - (SUMIFS(SSP5_Baseline!$E:$E,SSP5_Baseline!$C:$C,Results_list!$C$46,SSP5_Baseline!$D:$D,Results_list!$D48,SSP5_Baseline!$B:$B,2025))) / (SUMIFS(SSP5_Baseline!$E:$E,SSP5_Baseline!$C:$C,Results_list!$C$46,SSP5_Baseline!$D:$D,Results_list!$D48,SSP5_Baseline!$B:$B,2025))</f>
        <v>-2.4408411834072483E-2</v>
      </c>
      <c r="N48" s="16">
        <f>((SUMIFS(SSP5_VSI!$F:$F,SSP5_VSI!$C:$C,Results_list!$C$46,SSP5_VSI!$D:$D,Results_list!$D48,SSP5_VSI!$B:$B,2040)) - (SUMIFS(SSP5_VSI!$F:$F,SSP5_VSI!$C:$C,Results_list!$C$46,SSP5_VSI!$D:$D,Results_list!$D48,SSP5_VSI!$B:$B,2025))) / (SUMIFS(SSP5_VSI!$F:$F,SSP5_VSI!$C:$C,Results_list!$C$46,SSP5_VSI!$D:$D,Results_list!$D48,SSP5_VSI!$B:$B,2025))</f>
        <v>-4.2647099563525928E-2</v>
      </c>
      <c r="O48" s="13">
        <f t="shared" si="26"/>
        <v>-0.02</v>
      </c>
      <c r="Q48" s="91"/>
      <c r="R48" s="91"/>
      <c r="S48" t="s">
        <v>41</v>
      </c>
      <c r="U48" s="3" t="s">
        <v>89</v>
      </c>
      <c r="V48" s="12">
        <f>((SUMIFS(SSP1_Baseline!$E:$E,SSP1_Baseline!$C:$C,Results_list!$C$151,SSP1_Baseline!$D:$D,Results_list!$D153,SSP1_Baseline!$B:$B,2040)) - (SUMIFS(SSP1_Baseline!$E:$E,SSP1_Baseline!$C:$C,Results_list!$C$151,SSP1_Baseline!$D:$D,Results_list!$D153,SSP1_Baseline!$B:$B,2025))) / (SUMIFS(SSP1_Baseline!$E:$E,SSP1_Baseline!$C:$C,Results_list!$C$151,SSP1_Baseline!$D:$D,Results_list!$D153,SSP1_Baseline!$B:$B,2025))</f>
        <v>-7.5031317976352215E-3</v>
      </c>
      <c r="W48" s="16">
        <f>((SUMIFS(SSP1_VSI!$F:$F,SSP1_VSI!$C:$C,Results_list!$C$151,SSP1_VSI!$D:$D,Results_list!$D153,SSP1_VSI!$B:$B,2040)) - (SUMIFS(SSP1_VSI!$F:$F,SSP1_VSI!$C:$C,Results_list!$C$151,SSP1_VSI!$D:$D,Results_list!$D153,SSP1_VSI!$B:$B,2025))) / (SUMIFS(SSP1_VSI!$F:$F,SSP1_VSI!$C:$C,Results_list!$C$151,SSP1_VSI!$D:$D,Results_list!$D153,SSP1_VSI!$B:$B,2025))</f>
        <v>-0.44702639309807951</v>
      </c>
      <c r="X48" s="13">
        <f t="shared" si="27"/>
        <v>-0.44</v>
      </c>
      <c r="Y48" s="12">
        <f>((SUMIFS(SSP2_Baseline!$E:$E,SSP2_Baseline!$C:$C,Results_list!$C$151,SSP2_Baseline!$D:$D,Results_list!$D153,SSP2_Baseline!$B:$B,2040)) - (SUMIFS(SSP2_Baseline!$E:$E,SSP2_Baseline!$C:$C,Results_list!$C$151,SSP2_Baseline!$D:$D,Results_list!$D153,SSP2_Baseline!$B:$B,2025))) / (SUMIFS(SSP2_Baseline!$E:$E,SSP2_Baseline!$C:$C,Results_list!$C$151,SSP2_Baseline!$D:$D,Results_list!$D153,SSP2_Baseline!$B:$B,2025))</f>
        <v>-6.0406738576797873E-3</v>
      </c>
      <c r="Z48" s="16">
        <f>((SUMIFS(SSP2_VSI!$F:$F,SSP2_VSI!$C:$C,Results_list!$C$151,SSP2_VSI!$D:$D,Results_list!$D153,SSP2_VSI!$B:$B,2040)) - (SUMIFS(SSP2_VSI!$F:$F,SSP2_VSI!$C:$C,Results_list!$C$151,SSP2_VSI!$D:$D,Results_list!$D153,SSP2_VSI!$B:$B,2025))) / (SUMIFS(SSP2_VSI!$F:$F,SSP2_VSI!$C:$C,Results_list!$C$151,SSP2_VSI!$D:$D,Results_list!$D153,SSP2_VSI!$B:$B,2025))</f>
        <v>-0.44623412941637369</v>
      </c>
      <c r="AA48" s="13">
        <f t="shared" si="28"/>
        <v>-0.44</v>
      </c>
      <c r="AB48" s="12">
        <f>((SUMIFS(SSP5_Baseline!$E:$E,SSP5_Baseline!$C:$C,Results_list!$C$151,SSP5_Baseline!$D:$D,Results_list!$D153,SSP5_Baseline!$B:$B,2040)) - (SUMIFS(SSP5_Baseline!$E:$E,SSP5_Baseline!$C:$C,Results_list!$C$151,SSP5_Baseline!$D:$D,Results_list!$D153,SSP5_Baseline!$B:$B,2025))) / (SUMIFS(SSP5_Baseline!$E:$E,SSP5_Baseline!$C:$C,Results_list!$C$151,SSP5_Baseline!$D:$D,Results_list!$D153,SSP5_Baseline!$B:$B,2025))</f>
        <v>-4.2805239119990549E-3</v>
      </c>
      <c r="AC48" s="16">
        <f>((SUMIFS(SSP5_VSI!$F:$F,SSP5_VSI!$C:$C,Results_list!$C$151,SSP5_VSI!$D:$D,Results_list!$D153,SSP5_VSI!$B:$B,2040)) - (SUMIFS(SSP5_VSI!$F:$F,SSP5_VSI!$C:$C,Results_list!$C$151,SSP5_VSI!$D:$D,Results_list!$D153,SSP5_VSI!$B:$B,2025))) / (SUMIFS(SSP5_VSI!$F:$F,SSP5_VSI!$C:$C,Results_list!$C$151,SSP5_VSI!$D:$D,Results_list!$D153,SSP5_VSI!$B:$B,2025))</f>
        <v>-0.44438438932201418</v>
      </c>
      <c r="AD48" s="13">
        <f t="shared" si="29"/>
        <v>-0.44</v>
      </c>
      <c r="AF48" s="85"/>
      <c r="AG48" s="85"/>
      <c r="AH48" t="s">
        <v>41</v>
      </c>
      <c r="AJ48" s="3" t="s">
        <v>89</v>
      </c>
      <c r="AK48" s="12">
        <f>((SUMIFS(SSP1_Baseline!$E:$E,SSP1_Baseline!$C:$C,Results_list!$C$235,SSP1_Baseline!$D:$D,Results_list!$D48,SSP1_Baseline!$B:$B,2040)) - (SUMIFS(SSP1_Baseline!$E:$E,SSP1_Baseline!$C:$C,Results_list!$C$235,SSP1_Baseline!$D:$D,Results_list!$D48,SSP1_Baseline!$B:$B,2025))) / (SUMIFS(SSP1_Baseline!$E:$E,SSP1_Baseline!$C:$C,Results_list!$C$235,SSP1_Baseline!$D:$D,Results_list!$D48,SSP1_Baseline!$B:$B,2025))</f>
        <v>-8.0217135888419527E-2</v>
      </c>
      <c r="AL48" s="16">
        <f>((SUMIFS(SSP1_VSI!$F:$F,SSP1_VSI!$C:$C,Results_list!$C$235,SSP1_VSI!$D:$D,Results_list!$D48,SSP1_VSI!$B:$B,2040)) - (SUMIFS(SSP1_VSI!$F:$F,SSP1_VSI!$C:$C,Results_list!$C$235,SSP1_VSI!$D:$D,Results_list!$D48,SSP1_VSI!$B:$B,2025))) / (SUMIFS(SSP1_VSI!$F:$F,SSP1_VSI!$C:$C,Results_list!$C$235,SSP1_VSI!$D:$D,Results_list!$D48,SSP1_VSI!$B:$B,2025))</f>
        <v>-0.11415868704137587</v>
      </c>
      <c r="AM48" s="13">
        <f t="shared" si="30"/>
        <v>-3.4000000000000002E-2</v>
      </c>
      <c r="AN48" s="12">
        <f>((SUMIFS(SSP2_Baseline!$E:$E,SSP2_Baseline!$C:$C,Results_list!$C$235,SSP2_Baseline!$D:$D,Results_list!$D48,SSP2_Baseline!$B:$B,2040)) - (SUMIFS(SSP2_Baseline!$E:$E,SSP2_Baseline!$C:$C,Results_list!$C$235,SSP2_Baseline!$D:$D,Results_list!$D48,SSP2_Baseline!$B:$B,2025))) / (SUMIFS(SSP2_Baseline!$E:$E,SSP2_Baseline!$C:$C,Results_list!$C$235,SSP2_Baseline!$D:$D,Results_list!$D48,SSP2_Baseline!$B:$B,2025))</f>
        <v>-7.90239618037058E-2</v>
      </c>
      <c r="AO48" s="16">
        <f>((SUMIFS(SSP2_VSI!$F:$F,SSP2_VSI!$C:$C,Results_list!$C$235,SSP2_VSI!$D:$D,Results_list!$D48,SSP2_VSI!$B:$B,2040)) - (SUMIFS(SSP2_VSI!$F:$F,SSP2_VSI!$C:$C,Results_list!$C$235,SSP2_VSI!$D:$D,Results_list!$D48,SSP2_VSI!$B:$B,2025))) / (SUMIFS(SSP2_VSI!$F:$F,SSP2_VSI!$C:$C,Results_list!$C$235,SSP2_VSI!$D:$D,Results_list!$D48,SSP2_VSI!$B:$B,2025))</f>
        <v>-0.11326113041358274</v>
      </c>
      <c r="AP48" s="13">
        <f t="shared" si="31"/>
        <v>-0.03</v>
      </c>
      <c r="AQ48" s="12">
        <f>((SUMIFS(SSP5_Baseline!$E:$E,SSP5_Baseline!$C:$C,Results_list!$C$235,SSP5_Baseline!$D:$D,Results_list!$D48,SSP5_Baseline!$B:$B,2040)) - (SUMIFS(SSP5_Baseline!$E:$E,SSP5_Baseline!$C:$C,Results_list!$C$235,SSP5_Baseline!$D:$D,Results_list!$D48,SSP5_Baseline!$B:$B,2025))) / (SUMIFS(SSP5_Baseline!$E:$E,SSP5_Baseline!$C:$C,Results_list!$C$235,SSP5_Baseline!$D:$D,Results_list!$D48,SSP5_Baseline!$B:$B,2025))</f>
        <v>-4.624476717326758E-2</v>
      </c>
      <c r="AR48" s="16">
        <f>((SUMIFS(SSP5_VSI!$F:$F,SSP5_VSI!$C:$C,Results_list!$C$235,SSP5_VSI!$D:$D,Results_list!$D48,SSP5_VSI!$B:$B,2040)) - (SUMIFS(SSP5_VSI!$F:$F,SSP5_VSI!$C:$C,Results_list!$C$235,SSP5_VSI!$D:$D,Results_list!$D48,SSP5_VSI!$B:$B,2025))) / (SUMIFS(SSP5_VSI!$F:$F,SSP5_VSI!$C:$C,Results_list!$C$235,SSP5_VSI!$D:$D,Results_list!$D48,SSP5_VSI!$B:$B,2025))</f>
        <v>-8.0271883975720187E-2</v>
      </c>
      <c r="AS48" s="13">
        <f t="shared" si="32"/>
        <v>-0.03</v>
      </c>
      <c r="AU48" s="87"/>
      <c r="AV48" s="87"/>
      <c r="AW48" s="22" t="s">
        <v>41</v>
      </c>
      <c r="AX48" s="24" t="s">
        <v>81</v>
      </c>
      <c r="AY48" s="3" t="s">
        <v>89</v>
      </c>
      <c r="AZ48" s="12">
        <v>-0.24443349037017495</v>
      </c>
      <c r="BA48" s="16">
        <v>-0.24443581323169872</v>
      </c>
      <c r="BB48" s="13">
        <f t="shared" si="33"/>
        <v>0</v>
      </c>
      <c r="BC48" s="12">
        <v>-0.24905141569507236</v>
      </c>
      <c r="BD48" s="16">
        <v>-0.24904864661152118</v>
      </c>
      <c r="BE48" s="13">
        <f t="shared" si="34"/>
        <v>0</v>
      </c>
      <c r="BF48" s="12">
        <v>-3.5389988368293386E-2</v>
      </c>
      <c r="BG48" s="16">
        <v>-3.5389690995302502E-2</v>
      </c>
      <c r="BH48" s="13">
        <f t="shared" si="35"/>
        <v>0</v>
      </c>
    </row>
    <row r="49" spans="2:60" x14ac:dyDescent="0.35">
      <c r="B49" s="91"/>
      <c r="C49" s="91"/>
      <c r="D49" t="s">
        <v>42</v>
      </c>
      <c r="F49" s="3" t="s">
        <v>90</v>
      </c>
      <c r="G49" s="12">
        <f>((SUMIFS(SSP1_Baseline!$E:$E,SSP1_Baseline!$C:$C,Results_list!$C$46,SSP1_Baseline!$D:$D,Results_list!$D49,SSP1_Baseline!$B:$B,2040)) - (SUMIFS(SSP1_Baseline!$E:$E,SSP1_Baseline!$C:$C,Results_list!$C$46,SSP1_Baseline!$D:$D,Results_list!$D49,SSP1_Baseline!$B:$B,2025))) / (SUMIFS(SSP1_Baseline!$E:$E,SSP1_Baseline!$C:$C,Results_list!$C$46,SSP1_Baseline!$D:$D,Results_list!$D49,SSP1_Baseline!$B:$B,2025))</f>
        <v>-2.2507562393078353E-2</v>
      </c>
      <c r="H49" s="16">
        <f>((SUMIFS(SSP1_VSI!$F:$F,SSP1_VSI!$C:$C,Results_list!$C$46,SSP1_VSI!$D:$D,Results_list!$D49,SSP1_VSI!$B:$B,2040)) - (SUMIFS(SSP1_VSI!$F:$F,SSP1_VSI!$C:$C,Results_list!$C$46,SSP1_VSI!$D:$D,Results_list!$D49,SSP1_VSI!$B:$B,2025))) / (SUMIFS(SSP1_VSI!$F:$F,SSP1_VSI!$C:$C,Results_list!$C$46,SSP1_VSI!$D:$D,Results_list!$D49,SSP1_VSI!$B:$B,2025))</f>
        <v>-2.3491370965878493E-2</v>
      </c>
      <c r="I49" s="13">
        <f t="shared" si="24"/>
        <v>-1E-3</v>
      </c>
      <c r="J49" s="12">
        <f>((SUMIFS(SSP2_Baseline!$E:$E,SSP2_Baseline!$C:$C,Results_list!$C$46,SSP2_Baseline!$D:$D,Results_list!$D49,SSP2_Baseline!$B:$B,2040)) - (SUMIFS(SSP2_Baseline!$E:$E,SSP2_Baseline!$C:$C,Results_list!$C$46,SSP2_Baseline!$D:$D,Results_list!$D49,SSP2_Baseline!$B:$B,2025))) / (SUMIFS(SSP2_Baseline!$E:$E,SSP2_Baseline!$C:$C,Results_list!$C$46,SSP2_Baseline!$D:$D,Results_list!$D49,SSP2_Baseline!$B:$B,2025))</f>
        <v>-1.678755075735194E-2</v>
      </c>
      <c r="K49" s="16">
        <f>((SUMIFS(SSP2_VSI!$F:$F,SSP2_VSI!$C:$C,Results_list!$C$46,SSP2_VSI!$D:$D,Results_list!$D49,SSP2_VSI!$B:$B,2040)) - (SUMIFS(SSP2_VSI!$F:$F,SSP2_VSI!$C:$C,Results_list!$C$46,SSP2_VSI!$D:$D,Results_list!$D49,SSP2_VSI!$B:$B,2025))) / (SUMIFS(SSP2_VSI!$F:$F,SSP2_VSI!$C:$C,Results_list!$C$46,SSP2_VSI!$D:$D,Results_list!$D49,SSP2_VSI!$B:$B,2025))</f>
        <v>-1.7773700656123097E-2</v>
      </c>
      <c r="L49" s="13">
        <f t="shared" si="25"/>
        <v>0</v>
      </c>
      <c r="M49" s="12">
        <f>((SUMIFS(SSP5_Baseline!$E:$E,SSP5_Baseline!$C:$C,Results_list!$C$46,SSP5_Baseline!$D:$D,Results_list!$D49,SSP5_Baseline!$B:$B,2040)) - (SUMIFS(SSP5_Baseline!$E:$E,SSP5_Baseline!$C:$C,Results_list!$C$46,SSP5_Baseline!$D:$D,Results_list!$D49,SSP5_Baseline!$B:$B,2025))) / (SUMIFS(SSP5_Baseline!$E:$E,SSP5_Baseline!$C:$C,Results_list!$C$46,SSP5_Baseline!$D:$D,Results_list!$D49,SSP5_Baseline!$B:$B,2025))</f>
        <v>-1.717688848792942E-2</v>
      </c>
      <c r="N49" s="16">
        <f>((SUMIFS(SSP5_VSI!$F:$F,SSP5_VSI!$C:$C,Results_list!$C$46,SSP5_VSI!$D:$D,Results_list!$D49,SSP5_VSI!$B:$B,2040)) - (SUMIFS(SSP5_VSI!$F:$F,SSP5_VSI!$C:$C,Results_list!$C$46,SSP5_VSI!$D:$D,Results_list!$D49,SSP5_VSI!$B:$B,2025))) / (SUMIFS(SSP5_VSI!$F:$F,SSP5_VSI!$C:$C,Results_list!$C$46,SSP5_VSI!$D:$D,Results_list!$D49,SSP5_VSI!$B:$B,2025))</f>
        <v>-1.8164615174277487E-2</v>
      </c>
      <c r="O49" s="13">
        <f t="shared" si="26"/>
        <v>0</v>
      </c>
      <c r="Q49" s="91"/>
      <c r="R49" s="91"/>
      <c r="S49" t="s">
        <v>42</v>
      </c>
      <c r="U49" s="3" t="s">
        <v>90</v>
      </c>
      <c r="V49" s="12">
        <f>((SUMIFS(SSP1_Baseline!$E:$E,SSP1_Baseline!$C:$C,Results_list!$C$151,SSP1_Baseline!$D:$D,Results_list!$D154,SSP1_Baseline!$B:$B,2040)) - (SUMIFS(SSP1_Baseline!$E:$E,SSP1_Baseline!$C:$C,Results_list!$C$151,SSP1_Baseline!$D:$D,Results_list!$D154,SSP1_Baseline!$B:$B,2025))) / (SUMIFS(SSP1_Baseline!$E:$E,SSP1_Baseline!$C:$C,Results_list!$C$151,SSP1_Baseline!$D:$D,Results_list!$D154,SSP1_Baseline!$B:$B,2025))</f>
        <v>-4.0082817555418919E-3</v>
      </c>
      <c r="W49" s="16">
        <f>((SUMIFS(SSP1_VSI!$F:$F,SSP1_VSI!$C:$C,Results_list!$C$151,SSP1_VSI!$D:$D,Results_list!$D154,SSP1_VSI!$B:$B,2040)) - (SUMIFS(SSP1_VSI!$F:$F,SSP1_VSI!$C:$C,Results_list!$C$151,SSP1_VSI!$D:$D,Results_list!$D154,SSP1_VSI!$B:$B,2025))) / (SUMIFS(SSP1_VSI!$F:$F,SSP1_VSI!$C:$C,Results_list!$C$151,SSP1_VSI!$D:$D,Results_list!$D154,SSP1_VSI!$B:$B,2025))</f>
        <v>-2.0879538749756409E-2</v>
      </c>
      <c r="X49" s="13">
        <f t="shared" si="27"/>
        <v>-1.7000000000000001E-2</v>
      </c>
      <c r="Y49" s="12">
        <f>((SUMIFS(SSP2_Baseline!$E:$E,SSP2_Baseline!$C:$C,Results_list!$C$151,SSP2_Baseline!$D:$D,Results_list!$D154,SSP2_Baseline!$B:$B,2040)) - (SUMIFS(SSP2_Baseline!$E:$E,SSP2_Baseline!$C:$C,Results_list!$C$151,SSP2_Baseline!$D:$D,Results_list!$D154,SSP2_Baseline!$B:$B,2025))) / (SUMIFS(SSP2_Baseline!$E:$E,SSP2_Baseline!$C:$C,Results_list!$C$151,SSP2_Baseline!$D:$D,Results_list!$D154,SSP2_Baseline!$B:$B,2025))</f>
        <v>-9.883053753676819E-4</v>
      </c>
      <c r="Z49" s="16">
        <f>((SUMIFS(SSP2_VSI!$F:$F,SSP2_VSI!$C:$C,Results_list!$C$151,SSP2_VSI!$D:$D,Results_list!$D154,SSP2_VSI!$B:$B,2040)) - (SUMIFS(SSP2_VSI!$F:$F,SSP2_VSI!$C:$C,Results_list!$C$151,SSP2_VSI!$D:$D,Results_list!$D154,SSP2_VSI!$B:$B,2025))) / (SUMIFS(SSP2_VSI!$F:$F,SSP2_VSI!$C:$C,Results_list!$C$151,SSP2_VSI!$D:$D,Results_list!$D154,SSP2_VSI!$B:$B,2025))</f>
        <v>-1.7892844358433246E-2</v>
      </c>
      <c r="AA49" s="13">
        <f t="shared" si="28"/>
        <v>-0.02</v>
      </c>
      <c r="AB49" s="12">
        <f>((SUMIFS(SSP5_Baseline!$E:$E,SSP5_Baseline!$C:$C,Results_list!$C$151,SSP5_Baseline!$D:$D,Results_list!$D154,SSP5_Baseline!$B:$B,2040)) - (SUMIFS(SSP5_Baseline!$E:$E,SSP5_Baseline!$C:$C,Results_list!$C$151,SSP5_Baseline!$D:$D,Results_list!$D154,SSP5_Baseline!$B:$B,2025))) / (SUMIFS(SSP5_Baseline!$E:$E,SSP5_Baseline!$C:$C,Results_list!$C$151,SSP5_Baseline!$D:$D,Results_list!$D154,SSP5_Baseline!$B:$B,2025))</f>
        <v>6.3629101054866214E-3</v>
      </c>
      <c r="AC49" s="16">
        <f>((SUMIFS(SSP5_VSI!$F:$F,SSP5_VSI!$C:$C,Results_list!$C$151,SSP5_VSI!$D:$D,Results_list!$D154,SSP5_VSI!$B:$B,2040)) - (SUMIFS(SSP5_VSI!$F:$F,SSP5_VSI!$C:$C,Results_list!$C$151,SSP5_VSI!$D:$D,Results_list!$D154,SSP5_VSI!$B:$B,2025))) / (SUMIFS(SSP5_VSI!$F:$F,SSP5_VSI!$C:$C,Results_list!$C$151,SSP5_VSI!$D:$D,Results_list!$D154,SSP5_VSI!$B:$B,2025))</f>
        <v>-1.0497248614119537E-2</v>
      </c>
      <c r="AD49" s="13">
        <f t="shared" si="29"/>
        <v>-0.02</v>
      </c>
      <c r="AF49" s="85"/>
      <c r="AG49" s="85"/>
      <c r="AH49" t="s">
        <v>42</v>
      </c>
      <c r="AJ49" s="3" t="s">
        <v>90</v>
      </c>
      <c r="AK49" s="12">
        <f>((SUMIFS(SSP1_Baseline!$E:$E,SSP1_Baseline!$C:$C,Results_list!$C$235,SSP1_Baseline!$D:$D,Results_list!$D49,SSP1_Baseline!$B:$B,2040)) - (SUMIFS(SSP1_Baseline!$E:$E,SSP1_Baseline!$C:$C,Results_list!$C$235,SSP1_Baseline!$D:$D,Results_list!$D49,SSP1_Baseline!$B:$B,2025))) / (SUMIFS(SSP1_Baseline!$E:$E,SSP1_Baseline!$C:$C,Results_list!$C$235,SSP1_Baseline!$D:$D,Results_list!$D49,SSP1_Baseline!$B:$B,2025))</f>
        <v>-5.8462686784336103E-2</v>
      </c>
      <c r="AL49" s="16">
        <f>((SUMIFS(SSP1_VSI!$F:$F,SSP1_VSI!$C:$C,Results_list!$C$235,SSP1_VSI!$D:$D,Results_list!$D49,SSP1_VSI!$B:$B,2040)) - (SUMIFS(SSP1_VSI!$F:$F,SSP1_VSI!$C:$C,Results_list!$C$235,SSP1_VSI!$D:$D,Results_list!$D49,SSP1_VSI!$B:$B,2025))) / (SUMIFS(SSP1_VSI!$F:$F,SSP1_VSI!$C:$C,Results_list!$C$235,SSP1_VSI!$D:$D,Results_list!$D49,SSP1_VSI!$B:$B,2025))</f>
        <v>-5.8457019343881554E-2</v>
      </c>
      <c r="AM49" s="13">
        <f t="shared" si="30"/>
        <v>0</v>
      </c>
      <c r="AN49" s="12">
        <f>((SUMIFS(SSP2_Baseline!$E:$E,SSP2_Baseline!$C:$C,Results_list!$C$235,SSP2_Baseline!$D:$D,Results_list!$D49,SSP2_Baseline!$B:$B,2040)) - (SUMIFS(SSP2_Baseline!$E:$E,SSP2_Baseline!$C:$C,Results_list!$C$235,SSP2_Baseline!$D:$D,Results_list!$D49,SSP2_Baseline!$B:$B,2025))) / (SUMIFS(SSP2_Baseline!$E:$E,SSP2_Baseline!$C:$C,Results_list!$C$235,SSP2_Baseline!$D:$D,Results_list!$D49,SSP2_Baseline!$B:$B,2025))</f>
        <v>-6.3308497286280421E-2</v>
      </c>
      <c r="AO49" s="16">
        <f>((SUMIFS(SSP2_VSI!$F:$F,SSP2_VSI!$C:$C,Results_list!$C$235,SSP2_VSI!$D:$D,Results_list!$D49,SSP2_VSI!$B:$B,2040)) - (SUMIFS(SSP2_VSI!$F:$F,SSP2_VSI!$C:$C,Results_list!$C$235,SSP2_VSI!$D:$D,Results_list!$D49,SSP2_VSI!$B:$B,2025))) / (SUMIFS(SSP2_VSI!$F:$F,SSP2_VSI!$C:$C,Results_list!$C$235,SSP2_VSI!$D:$D,Results_list!$D49,SSP2_VSI!$B:$B,2025))</f>
        <v>-6.3317563316282313E-2</v>
      </c>
      <c r="AP49" s="13">
        <f t="shared" si="31"/>
        <v>0</v>
      </c>
      <c r="AQ49" s="12">
        <f>((SUMIFS(SSP5_Baseline!$E:$E,SSP5_Baseline!$C:$C,Results_list!$C$235,SSP5_Baseline!$D:$D,Results_list!$D49,SSP5_Baseline!$B:$B,2040)) - (SUMIFS(SSP5_Baseline!$E:$E,SSP5_Baseline!$C:$C,Results_list!$C$235,SSP5_Baseline!$D:$D,Results_list!$D49,SSP5_Baseline!$B:$B,2025))) / (SUMIFS(SSP5_Baseline!$E:$E,SSP5_Baseline!$C:$C,Results_list!$C$235,SSP5_Baseline!$D:$D,Results_list!$D49,SSP5_Baseline!$B:$B,2025))</f>
        <v>0.22883249956220836</v>
      </c>
      <c r="AR49" s="16">
        <f>((SUMIFS(SSP5_VSI!$F:$F,SSP5_VSI!$C:$C,Results_list!$C$235,SSP5_VSI!$D:$D,Results_list!$D49,SSP5_VSI!$B:$B,2040)) - (SUMIFS(SSP5_VSI!$F:$F,SSP5_VSI!$C:$C,Results_list!$C$235,SSP5_VSI!$D:$D,Results_list!$D49,SSP5_VSI!$B:$B,2025))) / (SUMIFS(SSP5_VSI!$F:$F,SSP5_VSI!$C:$C,Results_list!$C$235,SSP5_VSI!$D:$D,Results_list!$D49,SSP5_VSI!$B:$B,2025))</f>
        <v>0.22888738548202273</v>
      </c>
      <c r="AS49" s="13">
        <f t="shared" si="32"/>
        <v>0</v>
      </c>
      <c r="AU49" s="87"/>
      <c r="AV49" s="87"/>
      <c r="AW49" s="22" t="s">
        <v>42</v>
      </c>
      <c r="AX49" s="24" t="s">
        <v>81</v>
      </c>
      <c r="AY49" s="3" t="s">
        <v>90</v>
      </c>
      <c r="AZ49" s="12">
        <v>-0.29604628145573419</v>
      </c>
      <c r="BA49" s="16">
        <v>-0.29604227168563813</v>
      </c>
      <c r="BB49" s="13">
        <f t="shared" si="33"/>
        <v>0</v>
      </c>
      <c r="BC49" s="12">
        <v>-0.31872261563816645</v>
      </c>
      <c r="BD49" s="16">
        <v>-0.31871732724271773</v>
      </c>
      <c r="BE49" s="13">
        <f t="shared" si="34"/>
        <v>0</v>
      </c>
      <c r="BF49" s="12">
        <v>-0.22046911941527025</v>
      </c>
      <c r="BG49" s="16">
        <v>-0.22046760002924931</v>
      </c>
      <c r="BH49" s="13">
        <f t="shared" si="35"/>
        <v>0</v>
      </c>
    </row>
    <row r="50" spans="2:60" x14ac:dyDescent="0.35">
      <c r="B50" s="91"/>
      <c r="C50" s="91"/>
      <c r="D50" t="s">
        <v>43</v>
      </c>
      <c r="F50" s="3" t="s">
        <v>91</v>
      </c>
      <c r="G50" s="12">
        <f>((SUMIFS(SSP1_Baseline!$E:$E,SSP1_Baseline!$C:$C,Results_list!$C$46,SSP1_Baseline!$D:$D,Results_list!$D50,SSP1_Baseline!$B:$B,2040)) - (SUMIFS(SSP1_Baseline!$E:$E,SSP1_Baseline!$C:$C,Results_list!$C$46,SSP1_Baseline!$D:$D,Results_list!$D50,SSP1_Baseline!$B:$B,2025))) / (SUMIFS(SSP1_Baseline!$E:$E,SSP1_Baseline!$C:$C,Results_list!$C$46,SSP1_Baseline!$D:$D,Results_list!$D50,SSP1_Baseline!$B:$B,2025))</f>
        <v>-5.0047150457608339E-2</v>
      </c>
      <c r="H50" s="16">
        <f>((SUMIFS(SSP1_VSI!$F:$F,SSP1_VSI!$C:$C,Results_list!$C$46,SSP1_VSI!$D:$D,Results_list!$D50,SSP1_VSI!$B:$B,2040)) - (SUMIFS(SSP1_VSI!$F:$F,SSP1_VSI!$C:$C,Results_list!$C$46,SSP1_VSI!$D:$D,Results_list!$D50,SSP1_VSI!$B:$B,2025))) / (SUMIFS(SSP1_VSI!$F:$F,SSP1_VSI!$C:$C,Results_list!$C$46,SSP1_VSI!$D:$D,Results_list!$D50,SSP1_VSI!$B:$B,2025))</f>
        <v>-5.0055051993884624E-2</v>
      </c>
      <c r="I50" s="13">
        <f t="shared" si="24"/>
        <v>0</v>
      </c>
      <c r="J50" s="12">
        <f>((SUMIFS(SSP2_Baseline!$E:$E,SSP2_Baseline!$C:$C,Results_list!$C$46,SSP2_Baseline!$D:$D,Results_list!$D50,SSP2_Baseline!$B:$B,2040)) - (SUMIFS(SSP2_Baseline!$E:$E,SSP2_Baseline!$C:$C,Results_list!$C$46,SSP2_Baseline!$D:$D,Results_list!$D50,SSP2_Baseline!$B:$B,2025))) / (SUMIFS(SSP2_Baseline!$E:$E,SSP2_Baseline!$C:$C,Results_list!$C$46,SSP2_Baseline!$D:$D,Results_list!$D50,SSP2_Baseline!$B:$B,2025))</f>
        <v>-3.5784967325140062E-2</v>
      </c>
      <c r="K50" s="16">
        <f>((SUMIFS(SSP2_VSI!$F:$F,SSP2_VSI!$C:$C,Results_list!$C$46,SSP2_VSI!$D:$D,Results_list!$D50,SSP2_VSI!$B:$B,2040)) - (SUMIFS(SSP2_VSI!$F:$F,SSP2_VSI!$C:$C,Results_list!$C$46,SSP2_VSI!$D:$D,Results_list!$D50,SSP2_VSI!$B:$B,2025))) / (SUMIFS(SSP2_VSI!$F:$F,SSP2_VSI!$C:$C,Results_list!$C$46,SSP2_VSI!$D:$D,Results_list!$D50,SSP2_VSI!$B:$B,2025))</f>
        <v>-3.5790465406778722E-2</v>
      </c>
      <c r="L50" s="13">
        <f t="shared" si="25"/>
        <v>0</v>
      </c>
      <c r="M50" s="12">
        <f>((SUMIFS(SSP5_Baseline!$E:$E,SSP5_Baseline!$C:$C,Results_list!$C$46,SSP5_Baseline!$D:$D,Results_list!$D50,SSP5_Baseline!$B:$B,2040)) - (SUMIFS(SSP5_Baseline!$E:$E,SSP5_Baseline!$C:$C,Results_list!$C$46,SSP5_Baseline!$D:$D,Results_list!$D50,SSP5_Baseline!$B:$B,2025))) / (SUMIFS(SSP5_Baseline!$E:$E,SSP5_Baseline!$C:$C,Results_list!$C$46,SSP5_Baseline!$D:$D,Results_list!$D50,SSP5_Baseline!$B:$B,2025))</f>
        <v>-2.7710650542987891E-2</v>
      </c>
      <c r="N50" s="16">
        <f>((SUMIFS(SSP5_VSI!$F:$F,SSP5_VSI!$C:$C,Results_list!$C$46,SSP5_VSI!$D:$D,Results_list!$D50,SSP5_VSI!$B:$B,2040)) - (SUMIFS(SSP5_VSI!$F:$F,SSP5_VSI!$C:$C,Results_list!$C$46,SSP5_VSI!$D:$D,Results_list!$D50,SSP5_VSI!$B:$B,2025))) / (SUMIFS(SSP5_VSI!$F:$F,SSP5_VSI!$C:$C,Results_list!$C$46,SSP5_VSI!$D:$D,Results_list!$D50,SSP5_VSI!$B:$B,2025))</f>
        <v>-2.7717428472764625E-2</v>
      </c>
      <c r="O50" s="13">
        <f t="shared" si="26"/>
        <v>0</v>
      </c>
      <c r="Q50" s="91"/>
      <c r="R50" s="91"/>
      <c r="S50" t="s">
        <v>43</v>
      </c>
      <c r="U50" s="3" t="s">
        <v>91</v>
      </c>
      <c r="V50" s="12">
        <f>((SUMIFS(SSP1_Baseline!$E:$E,SSP1_Baseline!$C:$C,Results_list!$C$151,SSP1_Baseline!$D:$D,Results_list!$D155,SSP1_Baseline!$B:$B,2040)) - (SUMIFS(SSP1_Baseline!$E:$E,SSP1_Baseline!$C:$C,Results_list!$C$151,SSP1_Baseline!$D:$D,Results_list!$D155,SSP1_Baseline!$B:$B,2025))) / (SUMIFS(SSP1_Baseline!$E:$E,SSP1_Baseline!$C:$C,Results_list!$C$151,SSP1_Baseline!$D:$D,Results_list!$D155,SSP1_Baseline!$B:$B,2025))</f>
        <v>-1.4076227680998801E-2</v>
      </c>
      <c r="W50" s="16">
        <f>((SUMIFS(SSP1_VSI!$F:$F,SSP1_VSI!$C:$C,Results_list!$C$151,SSP1_VSI!$D:$D,Results_list!$D155,SSP1_VSI!$B:$B,2040)) - (SUMIFS(SSP1_VSI!$F:$F,SSP1_VSI!$C:$C,Results_list!$C$151,SSP1_VSI!$D:$D,Results_list!$D155,SSP1_VSI!$B:$B,2025))) / (SUMIFS(SSP1_VSI!$F:$F,SSP1_VSI!$C:$C,Results_list!$C$151,SSP1_VSI!$D:$D,Results_list!$D155,SSP1_VSI!$B:$B,2025))</f>
        <v>-0.43435231274485381</v>
      </c>
      <c r="X50" s="13">
        <f t="shared" si="27"/>
        <v>-0.42</v>
      </c>
      <c r="Y50" s="12">
        <f>((SUMIFS(SSP2_Baseline!$E:$E,SSP2_Baseline!$C:$C,Results_list!$C$151,SSP2_Baseline!$D:$D,Results_list!$D155,SSP2_Baseline!$B:$B,2040)) - (SUMIFS(SSP2_Baseline!$E:$E,SSP2_Baseline!$C:$C,Results_list!$C$151,SSP2_Baseline!$D:$D,Results_list!$D155,SSP2_Baseline!$B:$B,2025))) / (SUMIFS(SSP2_Baseline!$E:$E,SSP2_Baseline!$C:$C,Results_list!$C$151,SSP2_Baseline!$D:$D,Results_list!$D155,SSP2_Baseline!$B:$B,2025))</f>
        <v>1.0773397520492488E-2</v>
      </c>
      <c r="Z50" s="16">
        <f>((SUMIFS(SSP2_VSI!$F:$F,SSP2_VSI!$C:$C,Results_list!$C$151,SSP2_VSI!$D:$D,Results_list!$D155,SSP2_VSI!$B:$B,2040)) - (SUMIFS(SSP2_VSI!$F:$F,SSP2_VSI!$C:$C,Results_list!$C$151,SSP2_VSI!$D:$D,Results_list!$D155,SSP2_VSI!$B:$B,2025))) / (SUMIFS(SSP2_VSI!$F:$F,SSP2_VSI!$C:$C,Results_list!$C$151,SSP2_VSI!$D:$D,Results_list!$D155,SSP2_VSI!$B:$B,2025))</f>
        <v>-0.42781388358449673</v>
      </c>
      <c r="AA50" s="13">
        <f t="shared" si="28"/>
        <v>-0.44</v>
      </c>
      <c r="AB50" s="12">
        <f>((SUMIFS(SSP5_Baseline!$E:$E,SSP5_Baseline!$C:$C,Results_list!$C$151,SSP5_Baseline!$D:$D,Results_list!$D155,SSP5_Baseline!$B:$B,2040)) - (SUMIFS(SSP5_Baseline!$E:$E,SSP5_Baseline!$C:$C,Results_list!$C$151,SSP5_Baseline!$D:$D,Results_list!$D155,SSP5_Baseline!$B:$B,2025))) / (SUMIFS(SSP5_Baseline!$E:$E,SSP5_Baseline!$C:$C,Results_list!$C$151,SSP5_Baseline!$D:$D,Results_list!$D155,SSP5_Baseline!$B:$B,2025))</f>
        <v>2.0796274555421379E-2</v>
      </c>
      <c r="AC50" s="16">
        <f>((SUMIFS(SSP5_VSI!$F:$F,SSP5_VSI!$C:$C,Results_list!$C$151,SSP5_VSI!$D:$D,Results_list!$D155,SSP5_VSI!$B:$B,2040)) - (SUMIFS(SSP5_VSI!$F:$F,SSP5_VSI!$C:$C,Results_list!$C$151,SSP5_VSI!$D:$D,Results_list!$D155,SSP5_VSI!$B:$B,2025))) / (SUMIFS(SSP5_VSI!$F:$F,SSP5_VSI!$C:$C,Results_list!$C$151,SSP5_VSI!$D:$D,Results_list!$D155,SSP5_VSI!$B:$B,2025))</f>
        <v>-0.41865710937730249</v>
      </c>
      <c r="AD50" s="13">
        <f t="shared" si="29"/>
        <v>-0.44</v>
      </c>
      <c r="AF50" s="85"/>
      <c r="AG50" s="85"/>
      <c r="AH50" t="s">
        <v>43</v>
      </c>
      <c r="AJ50" s="3" t="s">
        <v>91</v>
      </c>
      <c r="AK50" s="12">
        <f>((SUMIFS(SSP1_Baseline!$E:$E,SSP1_Baseline!$C:$C,Results_list!$C$235,SSP1_Baseline!$D:$D,Results_list!$D50,SSP1_Baseline!$B:$B,2040)) - (SUMIFS(SSP1_Baseline!$E:$E,SSP1_Baseline!$C:$C,Results_list!$C$235,SSP1_Baseline!$D:$D,Results_list!$D50,SSP1_Baseline!$B:$B,2025))) / (SUMIFS(SSP1_Baseline!$E:$E,SSP1_Baseline!$C:$C,Results_list!$C$235,SSP1_Baseline!$D:$D,Results_list!$D50,SSP1_Baseline!$B:$B,2025))</f>
        <v>-2.9707033644515764E-2</v>
      </c>
      <c r="AL50" s="16">
        <f>((SUMIFS(SSP1_VSI!$F:$F,SSP1_VSI!$C:$C,Results_list!$C$235,SSP1_VSI!$D:$D,Results_list!$D50,SSP1_VSI!$B:$B,2040)) - (SUMIFS(SSP1_VSI!$F:$F,SSP1_VSI!$C:$C,Results_list!$C$235,SSP1_VSI!$D:$D,Results_list!$D50,SSP1_VSI!$B:$B,2025))) / (SUMIFS(SSP1_VSI!$F:$F,SSP1_VSI!$C:$C,Results_list!$C$235,SSP1_VSI!$D:$D,Results_list!$D50,SSP1_VSI!$B:$B,2025))</f>
        <v>-0.68187756421360179</v>
      </c>
      <c r="AM50" s="13">
        <f t="shared" si="30"/>
        <v>-0.65200000000000002</v>
      </c>
      <c r="AN50" s="12">
        <f>((SUMIFS(SSP2_Baseline!$E:$E,SSP2_Baseline!$C:$C,Results_list!$C$235,SSP2_Baseline!$D:$D,Results_list!$D50,SSP2_Baseline!$B:$B,2040)) - (SUMIFS(SSP2_Baseline!$E:$E,SSP2_Baseline!$C:$C,Results_list!$C$235,SSP2_Baseline!$D:$D,Results_list!$D50,SSP2_Baseline!$B:$B,2025))) / (SUMIFS(SSP2_Baseline!$E:$E,SSP2_Baseline!$C:$C,Results_list!$C$235,SSP2_Baseline!$D:$D,Results_list!$D50,SSP2_Baseline!$B:$B,2025))</f>
        <v>-1.8476173348115757E-2</v>
      </c>
      <c r="AO50" s="16">
        <f>((SUMIFS(SSP2_VSI!$F:$F,SSP2_VSI!$C:$C,Results_list!$C$235,SSP2_VSI!$D:$D,Results_list!$D50,SSP2_VSI!$B:$B,2040)) - (SUMIFS(SSP2_VSI!$F:$F,SSP2_VSI!$C:$C,Results_list!$C$235,SSP2_VSI!$D:$D,Results_list!$D50,SSP2_VSI!$B:$B,2025))) / (SUMIFS(SSP2_VSI!$F:$F,SSP2_VSI!$C:$C,Results_list!$C$235,SSP2_VSI!$D:$D,Results_list!$D50,SSP2_VSI!$B:$B,2025))</f>
        <v>-0.68483933586442336</v>
      </c>
      <c r="AP50" s="13">
        <f t="shared" si="31"/>
        <v>-0.67</v>
      </c>
      <c r="AQ50" s="12">
        <f>((SUMIFS(SSP5_Baseline!$E:$E,SSP5_Baseline!$C:$C,Results_list!$C$235,SSP5_Baseline!$D:$D,Results_list!$D50,SSP5_Baseline!$B:$B,2040)) - (SUMIFS(SSP5_Baseline!$E:$E,SSP5_Baseline!$C:$C,Results_list!$C$235,SSP5_Baseline!$D:$D,Results_list!$D50,SSP5_Baseline!$B:$B,2025))) / (SUMIFS(SSP5_Baseline!$E:$E,SSP5_Baseline!$C:$C,Results_list!$C$235,SSP5_Baseline!$D:$D,Results_list!$D50,SSP5_Baseline!$B:$B,2025))</f>
        <v>6.4094017240081185E-3</v>
      </c>
      <c r="AR50" s="16">
        <f>((SUMIFS(SSP5_VSI!$F:$F,SSP5_VSI!$C:$C,Results_list!$C$235,SSP5_VSI!$D:$D,Results_list!$D50,SSP5_VSI!$B:$B,2040)) - (SUMIFS(SSP5_VSI!$F:$F,SSP5_VSI!$C:$C,Results_list!$C$235,SSP5_VSI!$D:$D,Results_list!$D50,SSP5_VSI!$B:$B,2025))) / (SUMIFS(SSP5_VSI!$F:$F,SSP5_VSI!$C:$C,Results_list!$C$235,SSP5_VSI!$D:$D,Results_list!$D50,SSP5_VSI!$B:$B,2025))</f>
        <v>-0.65760598093801548</v>
      </c>
      <c r="AS50" s="13">
        <f t="shared" si="32"/>
        <v>-0.66</v>
      </c>
      <c r="AU50" s="87"/>
      <c r="AV50" s="87"/>
      <c r="AW50" s="22" t="s">
        <v>43</v>
      </c>
      <c r="AX50" s="24" t="s">
        <v>81</v>
      </c>
      <c r="AY50" s="3" t="s">
        <v>91</v>
      </c>
      <c r="AZ50" s="12">
        <v>-0.26016030724921868</v>
      </c>
      <c r="BA50" s="16">
        <v>-0.26016268905433398</v>
      </c>
      <c r="BB50" s="13">
        <f t="shared" si="33"/>
        <v>0</v>
      </c>
      <c r="BC50" s="12">
        <v>-0.21418708021288727</v>
      </c>
      <c r="BD50" s="16">
        <v>-0.21418285689980404</v>
      </c>
      <c r="BE50" s="13">
        <f t="shared" si="34"/>
        <v>0</v>
      </c>
      <c r="BF50" s="12">
        <v>-8.9967605244001991E-2</v>
      </c>
      <c r="BG50" s="16">
        <v>-8.9965179906766293E-2</v>
      </c>
      <c r="BH50" s="13">
        <f t="shared" si="35"/>
        <v>0</v>
      </c>
    </row>
    <row r="51" spans="2:60" x14ac:dyDescent="0.35">
      <c r="B51" s="91"/>
      <c r="C51" s="91"/>
      <c r="D51" t="s">
        <v>44</v>
      </c>
      <c r="F51" s="3" t="s">
        <v>92</v>
      </c>
      <c r="G51" s="12">
        <f>((SUMIFS(SSP1_Baseline!$E:$E,SSP1_Baseline!$C:$C,Results_list!$C$46,SSP1_Baseline!$D:$D,Results_list!$D51,SSP1_Baseline!$B:$B,2040)) - (SUMIFS(SSP1_Baseline!$E:$E,SSP1_Baseline!$C:$C,Results_list!$C$46,SSP1_Baseline!$D:$D,Results_list!$D51,SSP1_Baseline!$B:$B,2025))) / (SUMIFS(SSP1_Baseline!$E:$E,SSP1_Baseline!$C:$C,Results_list!$C$46,SSP1_Baseline!$D:$D,Results_list!$D51,SSP1_Baseline!$B:$B,2025))</f>
        <v>-0.36538683322896209</v>
      </c>
      <c r="H51" s="16">
        <f>((SUMIFS(SSP1_VSI!$F:$F,SSP1_VSI!$C:$C,Results_list!$C$46,SSP1_VSI!$D:$D,Results_list!$D51,SSP1_VSI!$B:$B,2040)) - (SUMIFS(SSP1_VSI!$F:$F,SSP1_VSI!$C:$C,Results_list!$C$46,SSP1_VSI!$D:$D,Results_list!$D51,SSP1_VSI!$B:$B,2025))) / (SUMIFS(SSP1_VSI!$F:$F,SSP1_VSI!$C:$C,Results_list!$C$46,SSP1_VSI!$D:$D,Results_list!$D51,SSP1_VSI!$B:$B,2025))</f>
        <v>-0.3654792035567011</v>
      </c>
      <c r="I51" s="13">
        <f t="shared" si="24"/>
        <v>0</v>
      </c>
      <c r="J51" s="12">
        <f>((SUMIFS(SSP2_Baseline!$E:$E,SSP2_Baseline!$C:$C,Results_list!$C$46,SSP2_Baseline!$D:$D,Results_list!$D51,SSP2_Baseline!$B:$B,2040)) - (SUMIFS(SSP2_Baseline!$E:$E,SSP2_Baseline!$C:$C,Results_list!$C$46,SSP2_Baseline!$D:$D,Results_list!$D51,SSP2_Baseline!$B:$B,2025))) / (SUMIFS(SSP2_Baseline!$E:$E,SSP2_Baseline!$C:$C,Results_list!$C$46,SSP2_Baseline!$D:$D,Results_list!$D51,SSP2_Baseline!$B:$B,2025))</f>
        <v>-0.29784344309975985</v>
      </c>
      <c r="K51" s="16">
        <f>((SUMIFS(SSP2_VSI!$F:$F,SSP2_VSI!$C:$C,Results_list!$C$46,SSP2_VSI!$D:$D,Results_list!$D51,SSP2_VSI!$B:$B,2040)) - (SUMIFS(SSP2_VSI!$F:$F,SSP2_VSI!$C:$C,Results_list!$C$46,SSP2_VSI!$D:$D,Results_list!$D51,SSP2_VSI!$B:$B,2025))) / (SUMIFS(SSP2_VSI!$F:$F,SSP2_VSI!$C:$C,Results_list!$C$46,SSP2_VSI!$D:$D,Results_list!$D51,SSP2_VSI!$B:$B,2025))</f>
        <v>-0.29791494929500162</v>
      </c>
      <c r="L51" s="13">
        <f t="shared" si="25"/>
        <v>0</v>
      </c>
      <c r="M51" s="12">
        <f>((SUMIFS(SSP5_Baseline!$E:$E,SSP5_Baseline!$C:$C,Results_list!$C$46,SSP5_Baseline!$D:$D,Results_list!$D51,SSP5_Baseline!$B:$B,2040)) - (SUMIFS(SSP5_Baseline!$E:$E,SSP5_Baseline!$C:$C,Results_list!$C$46,SSP5_Baseline!$D:$D,Results_list!$D51,SSP5_Baseline!$B:$B,2025))) / (SUMIFS(SSP5_Baseline!$E:$E,SSP5_Baseline!$C:$C,Results_list!$C$46,SSP5_Baseline!$D:$D,Results_list!$D51,SSP5_Baseline!$B:$B,2025))</f>
        <v>-0.16736228489989718</v>
      </c>
      <c r="N51" s="16">
        <f>((SUMIFS(SSP5_VSI!$F:$F,SSP5_VSI!$C:$C,Results_list!$C$46,SSP5_VSI!$D:$D,Results_list!$D51,SSP5_VSI!$B:$B,2040)) - (SUMIFS(SSP5_VSI!$F:$F,SSP5_VSI!$C:$C,Results_list!$C$46,SSP5_VSI!$D:$D,Results_list!$D51,SSP5_VSI!$B:$B,2025))) / (SUMIFS(SSP5_VSI!$F:$F,SSP5_VSI!$C:$C,Results_list!$C$46,SSP5_VSI!$D:$D,Results_list!$D51,SSP5_VSI!$B:$B,2025))</f>
        <v>-0.1674208073790755</v>
      </c>
      <c r="O51" s="13">
        <f t="shared" si="26"/>
        <v>0</v>
      </c>
      <c r="Q51" s="91"/>
      <c r="R51" s="91"/>
      <c r="S51" t="s">
        <v>44</v>
      </c>
      <c r="U51" s="3" t="s">
        <v>92</v>
      </c>
      <c r="V51" s="12">
        <f>((SUMIFS(SSP1_Baseline!$E:$E,SSP1_Baseline!$C:$C,Results_list!$C$151,SSP1_Baseline!$D:$D,Results_list!$D156,SSP1_Baseline!$B:$B,2040)) - (SUMIFS(SSP1_Baseline!$E:$E,SSP1_Baseline!$C:$C,Results_list!$C$151,SSP1_Baseline!$D:$D,Results_list!$D156,SSP1_Baseline!$B:$B,2025))) / (SUMIFS(SSP1_Baseline!$E:$E,SSP1_Baseline!$C:$C,Results_list!$C$151,SSP1_Baseline!$D:$D,Results_list!$D156,SSP1_Baseline!$B:$B,2025))</f>
        <v>-2.4760071818799856E-2</v>
      </c>
      <c r="W51" s="16">
        <f>((SUMIFS(SSP1_VSI!$F:$F,SSP1_VSI!$C:$C,Results_list!$C$151,SSP1_VSI!$D:$D,Results_list!$D156,SSP1_VSI!$B:$B,2040)) - (SUMIFS(SSP1_VSI!$F:$F,SSP1_VSI!$C:$C,Results_list!$C$151,SSP1_VSI!$D:$D,Results_list!$D156,SSP1_VSI!$B:$B,2025))) / (SUMIFS(SSP1_VSI!$F:$F,SSP1_VSI!$C:$C,Results_list!$C$151,SSP1_VSI!$D:$D,Results_list!$D156,SSP1_VSI!$B:$B,2025))</f>
        <v>-0.2627982153250818</v>
      </c>
      <c r="X51" s="13">
        <f t="shared" si="27"/>
        <v>-0.23799999999999999</v>
      </c>
      <c r="Y51" s="12">
        <f>((SUMIFS(SSP2_Baseline!$E:$E,SSP2_Baseline!$C:$C,Results_list!$C$151,SSP2_Baseline!$D:$D,Results_list!$D156,SSP2_Baseline!$B:$B,2040)) - (SUMIFS(SSP2_Baseline!$E:$E,SSP2_Baseline!$C:$C,Results_list!$C$151,SSP2_Baseline!$D:$D,Results_list!$D156,SSP2_Baseline!$B:$B,2025))) / (SUMIFS(SSP2_Baseline!$E:$E,SSP2_Baseline!$C:$C,Results_list!$C$151,SSP2_Baseline!$D:$D,Results_list!$D156,SSP2_Baseline!$B:$B,2025))</f>
        <v>-1.6711535173790173E-2</v>
      </c>
      <c r="Z51" s="16">
        <f>((SUMIFS(SSP2_VSI!$F:$F,SSP2_VSI!$C:$C,Results_list!$C$151,SSP2_VSI!$D:$D,Results_list!$D156,SSP2_VSI!$B:$B,2040)) - (SUMIFS(SSP2_VSI!$F:$F,SSP2_VSI!$C:$C,Results_list!$C$151,SSP2_VSI!$D:$D,Results_list!$D156,SSP2_VSI!$B:$B,2025))) / (SUMIFS(SSP2_VSI!$F:$F,SSP2_VSI!$C:$C,Results_list!$C$151,SSP2_VSI!$D:$D,Results_list!$D156,SSP2_VSI!$B:$B,2025))</f>
        <v>-0.25447434454687407</v>
      </c>
      <c r="AA51" s="13">
        <f t="shared" si="28"/>
        <v>-0.24</v>
      </c>
      <c r="AB51" s="12">
        <f>((SUMIFS(SSP5_Baseline!$E:$E,SSP5_Baseline!$C:$C,Results_list!$C$151,SSP5_Baseline!$D:$D,Results_list!$D156,SSP5_Baseline!$B:$B,2040)) - (SUMIFS(SSP5_Baseline!$E:$E,SSP5_Baseline!$C:$C,Results_list!$C$151,SSP5_Baseline!$D:$D,Results_list!$D156,SSP5_Baseline!$B:$B,2025))) / (SUMIFS(SSP5_Baseline!$E:$E,SSP5_Baseline!$C:$C,Results_list!$C$151,SSP5_Baseline!$D:$D,Results_list!$D156,SSP5_Baseline!$B:$B,2025))</f>
        <v>-5.4548344515732991E-3</v>
      </c>
      <c r="AC51" s="16">
        <f>((SUMIFS(SSP5_VSI!$F:$F,SSP5_VSI!$C:$C,Results_list!$C$151,SSP5_VSI!$D:$D,Results_list!$D156,SSP5_VSI!$B:$B,2040)) - (SUMIFS(SSP5_VSI!$F:$F,SSP5_VSI!$C:$C,Results_list!$C$151,SSP5_VSI!$D:$D,Results_list!$D156,SSP5_VSI!$B:$B,2025))) / (SUMIFS(SSP5_VSI!$F:$F,SSP5_VSI!$C:$C,Results_list!$C$151,SSP5_VSI!$D:$D,Results_list!$D156,SSP5_VSI!$B:$B,2025))</f>
        <v>-0.24252375938482271</v>
      </c>
      <c r="AD51" s="13">
        <f t="shared" si="29"/>
        <v>-0.24</v>
      </c>
      <c r="AF51" s="85"/>
      <c r="AG51" s="85"/>
      <c r="AH51" t="s">
        <v>44</v>
      </c>
      <c r="AJ51" s="3" t="s">
        <v>92</v>
      </c>
      <c r="AK51" s="12">
        <f>((SUMIFS(SSP1_Baseline!$E:$E,SSP1_Baseline!$C:$C,Results_list!$C$235,SSP1_Baseline!$D:$D,Results_list!$D51,SSP1_Baseline!$B:$B,2040)) - (SUMIFS(SSP1_Baseline!$E:$E,SSP1_Baseline!$C:$C,Results_list!$C$235,SSP1_Baseline!$D:$D,Results_list!$D51,SSP1_Baseline!$B:$B,2025))) / (SUMIFS(SSP1_Baseline!$E:$E,SSP1_Baseline!$C:$C,Results_list!$C$235,SSP1_Baseline!$D:$D,Results_list!$D51,SSP1_Baseline!$B:$B,2025))</f>
        <v>-0.19078745466163918</v>
      </c>
      <c r="AL51" s="16">
        <f>((SUMIFS(SSP1_VSI!$F:$F,SSP1_VSI!$C:$C,Results_list!$C$235,SSP1_VSI!$D:$D,Results_list!$D51,SSP1_VSI!$B:$B,2040)) - (SUMIFS(SSP1_VSI!$F:$F,SSP1_VSI!$C:$C,Results_list!$C$235,SSP1_VSI!$D:$D,Results_list!$D51,SSP1_VSI!$B:$B,2025))) / (SUMIFS(SSP1_VSI!$F:$F,SSP1_VSI!$C:$C,Results_list!$C$235,SSP1_VSI!$D:$D,Results_list!$D51,SSP1_VSI!$B:$B,2025))</f>
        <v>-0.19082902573017058</v>
      </c>
      <c r="AM51" s="13">
        <f t="shared" si="30"/>
        <v>0</v>
      </c>
      <c r="AN51" s="12">
        <f>((SUMIFS(SSP2_Baseline!$E:$E,SSP2_Baseline!$C:$C,Results_list!$C$235,SSP2_Baseline!$D:$D,Results_list!$D51,SSP2_Baseline!$B:$B,2040)) - (SUMIFS(SSP2_Baseline!$E:$E,SSP2_Baseline!$C:$C,Results_list!$C$235,SSP2_Baseline!$D:$D,Results_list!$D51,SSP2_Baseline!$B:$B,2025))) / (SUMIFS(SSP2_Baseline!$E:$E,SSP2_Baseline!$C:$C,Results_list!$C$235,SSP2_Baseline!$D:$D,Results_list!$D51,SSP2_Baseline!$B:$B,2025))</f>
        <v>-0.19556372616300335</v>
      </c>
      <c r="AO51" s="16">
        <f>((SUMIFS(SSP2_VSI!$F:$F,SSP2_VSI!$C:$C,Results_list!$C$235,SSP2_VSI!$D:$D,Results_list!$D51,SSP2_VSI!$B:$B,2040)) - (SUMIFS(SSP2_VSI!$F:$F,SSP2_VSI!$C:$C,Results_list!$C$235,SSP2_VSI!$D:$D,Results_list!$D51,SSP2_VSI!$B:$B,2025))) / (SUMIFS(SSP2_VSI!$F:$F,SSP2_VSI!$C:$C,Results_list!$C$235,SSP2_VSI!$D:$D,Results_list!$D51,SSP2_VSI!$B:$B,2025))</f>
        <v>-0.19556119060725938</v>
      </c>
      <c r="AP51" s="13">
        <f t="shared" si="31"/>
        <v>0</v>
      </c>
      <c r="AQ51" s="12">
        <f>((SUMIFS(SSP5_Baseline!$E:$E,SSP5_Baseline!$C:$C,Results_list!$C$235,SSP5_Baseline!$D:$D,Results_list!$D51,SSP5_Baseline!$B:$B,2040)) - (SUMIFS(SSP5_Baseline!$E:$E,SSP5_Baseline!$C:$C,Results_list!$C$235,SSP5_Baseline!$D:$D,Results_list!$D51,SSP5_Baseline!$B:$B,2025))) / (SUMIFS(SSP5_Baseline!$E:$E,SSP5_Baseline!$C:$C,Results_list!$C$235,SSP5_Baseline!$D:$D,Results_list!$D51,SSP5_Baseline!$B:$B,2025))</f>
        <v>3.115874150081531E-2</v>
      </c>
      <c r="AR51" s="16">
        <f>((SUMIFS(SSP5_VSI!$F:$F,SSP5_VSI!$C:$C,Results_list!$C$235,SSP5_VSI!$D:$D,Results_list!$D51,SSP5_VSI!$B:$B,2040)) - (SUMIFS(SSP5_VSI!$F:$F,SSP5_VSI!$C:$C,Results_list!$C$235,SSP5_VSI!$D:$D,Results_list!$D51,SSP5_VSI!$B:$B,2025))) / (SUMIFS(SSP5_VSI!$F:$F,SSP5_VSI!$C:$C,Results_list!$C$235,SSP5_VSI!$D:$D,Results_list!$D51,SSP5_VSI!$B:$B,2025))</f>
        <v>3.1180335441949564E-2</v>
      </c>
      <c r="AS51" s="13">
        <f t="shared" si="32"/>
        <v>0</v>
      </c>
      <c r="AU51" s="87"/>
      <c r="AV51" s="87"/>
      <c r="AW51" s="22" t="s">
        <v>44</v>
      </c>
      <c r="AX51" s="24" t="s">
        <v>81</v>
      </c>
      <c r="AY51" s="3" t="s">
        <v>92</v>
      </c>
      <c r="AZ51" s="12">
        <v>-0.24071884874859059</v>
      </c>
      <c r="BA51" s="16">
        <v>-0.39006097676177365</v>
      </c>
      <c r="BB51" s="13">
        <f t="shared" si="33"/>
        <v>-0.14899999999999999</v>
      </c>
      <c r="BC51" s="12">
        <v>-0.23857376517528356</v>
      </c>
      <c r="BD51" s="16">
        <v>-0.38523322406932997</v>
      </c>
      <c r="BE51" s="13">
        <f t="shared" si="34"/>
        <v>-0.15</v>
      </c>
      <c r="BF51" s="12">
        <v>3.9243919493467005E-2</v>
      </c>
      <c r="BG51" s="16">
        <v>-9.8365473113037616E-2</v>
      </c>
      <c r="BH51" s="13">
        <f t="shared" si="35"/>
        <v>-0.14000000000000001</v>
      </c>
    </row>
    <row r="52" spans="2:60" x14ac:dyDescent="0.35">
      <c r="B52" s="91"/>
      <c r="C52" s="91"/>
      <c r="D52" t="s">
        <v>45</v>
      </c>
      <c r="F52" s="3" t="s">
        <v>93</v>
      </c>
      <c r="G52" s="12">
        <f>((SUMIFS(SSP1_Baseline!$E:$E,SSP1_Baseline!$C:$C,Results_list!$C$46,SSP1_Baseline!$D:$D,Results_list!$D52,SSP1_Baseline!$B:$B,2040)) - (SUMIFS(SSP1_Baseline!$E:$E,SSP1_Baseline!$C:$C,Results_list!$C$46,SSP1_Baseline!$D:$D,Results_list!$D52,SSP1_Baseline!$B:$B,2025))) / (SUMIFS(SSP1_Baseline!$E:$E,SSP1_Baseline!$C:$C,Results_list!$C$46,SSP1_Baseline!$D:$D,Results_list!$D52,SSP1_Baseline!$B:$B,2025))</f>
        <v>-0.1032669992642269</v>
      </c>
      <c r="H52" s="16">
        <f>((SUMIFS(SSP1_VSI!$F:$F,SSP1_VSI!$C:$C,Results_list!$C$46,SSP1_VSI!$D:$D,Results_list!$D52,SSP1_VSI!$B:$B,2040)) - (SUMIFS(SSP1_VSI!$F:$F,SSP1_VSI!$C:$C,Results_list!$C$46,SSP1_VSI!$D:$D,Results_list!$D52,SSP1_VSI!$B:$B,2025))) / (SUMIFS(SSP1_VSI!$F:$F,SSP1_VSI!$C:$C,Results_list!$C$46,SSP1_VSI!$D:$D,Results_list!$D52,SSP1_VSI!$B:$B,2025))</f>
        <v>-0.24708367254102592</v>
      </c>
      <c r="I52" s="13">
        <f t="shared" si="24"/>
        <v>-0.14399999999999999</v>
      </c>
      <c r="J52" s="12">
        <f>((SUMIFS(SSP2_Baseline!$E:$E,SSP2_Baseline!$C:$C,Results_list!$C$46,SSP2_Baseline!$D:$D,Results_list!$D52,SSP2_Baseline!$B:$B,2040)) - (SUMIFS(SSP2_Baseline!$E:$E,SSP2_Baseline!$C:$C,Results_list!$C$46,SSP2_Baseline!$D:$D,Results_list!$D52,SSP2_Baseline!$B:$B,2025))) / (SUMIFS(SSP2_Baseline!$E:$E,SSP2_Baseline!$C:$C,Results_list!$C$46,SSP2_Baseline!$D:$D,Results_list!$D52,SSP2_Baseline!$B:$B,2025))</f>
        <v>-9.4424317242416664E-2</v>
      </c>
      <c r="K52" s="16">
        <f>((SUMIFS(SSP2_VSI!$F:$F,SSP2_VSI!$C:$C,Results_list!$C$46,SSP2_VSI!$D:$D,Results_list!$D52,SSP2_VSI!$B:$B,2040)) - (SUMIFS(SSP2_VSI!$F:$F,SSP2_VSI!$C:$C,Results_list!$C$46,SSP2_VSI!$D:$D,Results_list!$D52,SSP2_VSI!$B:$B,2025))) / (SUMIFS(SSP2_VSI!$F:$F,SSP2_VSI!$C:$C,Results_list!$C$46,SSP2_VSI!$D:$D,Results_list!$D52,SSP2_VSI!$B:$B,2025))</f>
        <v>-0.23963353478173</v>
      </c>
      <c r="L52" s="13">
        <f t="shared" si="25"/>
        <v>-0.15</v>
      </c>
      <c r="M52" s="12">
        <f>((SUMIFS(SSP5_Baseline!$E:$E,SSP5_Baseline!$C:$C,Results_list!$C$46,SSP5_Baseline!$D:$D,Results_list!$D52,SSP5_Baseline!$B:$B,2040)) - (SUMIFS(SSP5_Baseline!$E:$E,SSP5_Baseline!$C:$C,Results_list!$C$46,SSP5_Baseline!$D:$D,Results_list!$D52,SSP5_Baseline!$B:$B,2025))) / (SUMIFS(SSP5_Baseline!$E:$E,SSP5_Baseline!$C:$C,Results_list!$C$46,SSP5_Baseline!$D:$D,Results_list!$D52,SSP5_Baseline!$B:$B,2025))</f>
        <v>-8.6516623471213722E-2</v>
      </c>
      <c r="N52" s="16">
        <f>((SUMIFS(SSP5_VSI!$F:$F,SSP5_VSI!$C:$C,Results_list!$C$46,SSP5_VSI!$D:$D,Results_list!$D52,SSP5_VSI!$B:$B,2040)) - (SUMIFS(SSP5_VSI!$F:$F,SSP5_VSI!$C:$C,Results_list!$C$46,SSP5_VSI!$D:$D,Results_list!$D52,SSP5_VSI!$B:$B,2025))) / (SUMIFS(SSP5_VSI!$F:$F,SSP5_VSI!$C:$C,Results_list!$C$46,SSP5_VSI!$D:$D,Results_list!$D52,SSP5_VSI!$B:$B,2025))</f>
        <v>-0.23349541374208796</v>
      </c>
      <c r="O52" s="13">
        <f t="shared" si="26"/>
        <v>-0.15</v>
      </c>
      <c r="Q52" s="91"/>
      <c r="R52" s="91"/>
      <c r="S52" t="s">
        <v>45</v>
      </c>
      <c r="U52" s="3" t="s">
        <v>93</v>
      </c>
      <c r="V52" s="12">
        <f>((SUMIFS(SSP1_Baseline!$E:$E,SSP1_Baseline!$C:$C,Results_list!$C$151,SSP1_Baseline!$D:$D,Results_list!$D157,SSP1_Baseline!$B:$B,2040)) - (SUMIFS(SSP1_Baseline!$E:$E,SSP1_Baseline!$C:$C,Results_list!$C$151,SSP1_Baseline!$D:$D,Results_list!$D157,SSP1_Baseline!$B:$B,2025))) / (SUMIFS(SSP1_Baseline!$E:$E,SSP1_Baseline!$C:$C,Results_list!$C$151,SSP1_Baseline!$D:$D,Results_list!$D157,SSP1_Baseline!$B:$B,2025))</f>
        <v>-3.7590875957735984E-2</v>
      </c>
      <c r="W52" s="16">
        <f>((SUMIFS(SSP1_VSI!$F:$F,SSP1_VSI!$C:$C,Results_list!$C$151,SSP1_VSI!$D:$D,Results_list!$D157,SSP1_VSI!$B:$B,2040)) - (SUMIFS(SSP1_VSI!$F:$F,SSP1_VSI!$C:$C,Results_list!$C$151,SSP1_VSI!$D:$D,Results_list!$D157,SSP1_VSI!$B:$B,2025))) / (SUMIFS(SSP1_VSI!$F:$F,SSP1_VSI!$C:$C,Results_list!$C$151,SSP1_VSI!$D:$D,Results_list!$D157,SSP1_VSI!$B:$B,2025))</f>
        <v>-0.48570748237807426</v>
      </c>
      <c r="X52" s="13">
        <f t="shared" si="27"/>
        <v>-0.44800000000000001</v>
      </c>
      <c r="Y52" s="12">
        <f>((SUMIFS(SSP2_Baseline!$E:$E,SSP2_Baseline!$C:$C,Results_list!$C$151,SSP2_Baseline!$D:$D,Results_list!$D157,SSP2_Baseline!$B:$B,2040)) - (SUMIFS(SSP2_Baseline!$E:$E,SSP2_Baseline!$C:$C,Results_list!$C$151,SSP2_Baseline!$D:$D,Results_list!$D157,SSP2_Baseline!$B:$B,2025))) / (SUMIFS(SSP2_Baseline!$E:$E,SSP2_Baseline!$C:$C,Results_list!$C$151,SSP2_Baseline!$D:$D,Results_list!$D157,SSP2_Baseline!$B:$B,2025))</f>
        <v>-3.2941579968920012E-2</v>
      </c>
      <c r="Z52" s="16">
        <f>((SUMIFS(SSP2_VSI!$F:$F,SSP2_VSI!$C:$C,Results_list!$C$151,SSP2_VSI!$D:$D,Results_list!$D157,SSP2_VSI!$B:$B,2040)) - (SUMIFS(SSP2_VSI!$F:$F,SSP2_VSI!$C:$C,Results_list!$C$151,SSP2_VSI!$D:$D,Results_list!$D157,SSP2_VSI!$B:$B,2025))) / (SUMIFS(SSP2_VSI!$F:$F,SSP2_VSI!$C:$C,Results_list!$C$151,SSP2_VSI!$D:$D,Results_list!$D157,SSP2_VSI!$B:$B,2025))</f>
        <v>-0.48441560015902446</v>
      </c>
      <c r="AA52" s="13">
        <f t="shared" si="28"/>
        <v>-0.45</v>
      </c>
      <c r="AB52" s="12">
        <f>((SUMIFS(SSP5_Baseline!$E:$E,SSP5_Baseline!$C:$C,Results_list!$C$151,SSP5_Baseline!$D:$D,Results_list!$D157,SSP5_Baseline!$B:$B,2040)) - (SUMIFS(SSP5_Baseline!$E:$E,SSP5_Baseline!$C:$C,Results_list!$C$151,SSP5_Baseline!$D:$D,Results_list!$D157,SSP5_Baseline!$B:$B,2025))) / (SUMIFS(SSP5_Baseline!$E:$E,SSP5_Baseline!$C:$C,Results_list!$C$151,SSP5_Baseline!$D:$D,Results_list!$D157,SSP5_Baseline!$B:$B,2025))</f>
        <v>-3.0742387269323497E-2</v>
      </c>
      <c r="AC52" s="16">
        <f>((SUMIFS(SSP5_VSI!$F:$F,SSP5_VSI!$C:$C,Results_list!$C$151,SSP5_VSI!$D:$D,Results_list!$D157,SSP5_VSI!$B:$B,2040)) - (SUMIFS(SSP5_VSI!$F:$F,SSP5_VSI!$C:$C,Results_list!$C$151,SSP5_VSI!$D:$D,Results_list!$D157,SSP5_VSI!$B:$B,2025))) / (SUMIFS(SSP5_VSI!$F:$F,SSP5_VSI!$C:$C,Results_list!$C$151,SSP5_VSI!$D:$D,Results_list!$D157,SSP5_VSI!$B:$B,2025))</f>
        <v>-0.48277886895413058</v>
      </c>
      <c r="AD52" s="13">
        <f t="shared" si="29"/>
        <v>-0.45</v>
      </c>
      <c r="AF52" s="85"/>
      <c r="AG52" s="85"/>
      <c r="AH52" t="s">
        <v>45</v>
      </c>
      <c r="AJ52" s="3" t="s">
        <v>93</v>
      </c>
      <c r="AK52" s="12">
        <f>((SUMIFS(SSP1_Baseline!$E:$E,SSP1_Baseline!$C:$C,Results_list!$C$235,SSP1_Baseline!$D:$D,Results_list!$D52,SSP1_Baseline!$B:$B,2040)) - (SUMIFS(SSP1_Baseline!$E:$E,SSP1_Baseline!$C:$C,Results_list!$C$235,SSP1_Baseline!$D:$D,Results_list!$D52,SSP1_Baseline!$B:$B,2025))) / (SUMIFS(SSP1_Baseline!$E:$E,SSP1_Baseline!$C:$C,Results_list!$C$235,SSP1_Baseline!$D:$D,Results_list!$D52,SSP1_Baseline!$B:$B,2025))</f>
        <v>-8.618828813516391E-2</v>
      </c>
      <c r="AL52" s="16">
        <f>((SUMIFS(SSP1_VSI!$F:$F,SSP1_VSI!$C:$C,Results_list!$C$235,SSP1_VSI!$D:$D,Results_list!$D52,SSP1_VSI!$B:$B,2040)) - (SUMIFS(SSP1_VSI!$F:$F,SSP1_VSI!$C:$C,Results_list!$C$235,SSP1_VSI!$D:$D,Results_list!$D52,SSP1_VSI!$B:$B,2025))) / (SUMIFS(SSP1_VSI!$F:$F,SSP1_VSI!$C:$C,Results_list!$C$235,SSP1_VSI!$D:$D,Results_list!$D52,SSP1_VSI!$B:$B,2025))</f>
        <v>-0.4409096082915166</v>
      </c>
      <c r="AM52" s="13">
        <f t="shared" si="30"/>
        <v>-0.35499999999999998</v>
      </c>
      <c r="AN52" s="12">
        <f>((SUMIFS(SSP2_Baseline!$E:$E,SSP2_Baseline!$C:$C,Results_list!$C$235,SSP2_Baseline!$D:$D,Results_list!$D52,SSP2_Baseline!$B:$B,2040)) - (SUMIFS(SSP2_Baseline!$E:$E,SSP2_Baseline!$C:$C,Results_list!$C$235,SSP2_Baseline!$D:$D,Results_list!$D52,SSP2_Baseline!$B:$B,2025))) / (SUMIFS(SSP2_Baseline!$E:$E,SSP2_Baseline!$C:$C,Results_list!$C$235,SSP2_Baseline!$D:$D,Results_list!$D52,SSP2_Baseline!$B:$B,2025))</f>
        <v>-8.5243302161789478E-2</v>
      </c>
      <c r="AO52" s="16">
        <f>((SUMIFS(SSP2_VSI!$F:$F,SSP2_VSI!$C:$C,Results_list!$C$235,SSP2_VSI!$D:$D,Results_list!$D52,SSP2_VSI!$B:$B,2040)) - (SUMIFS(SSP2_VSI!$F:$F,SSP2_VSI!$C:$C,Results_list!$C$235,SSP2_VSI!$D:$D,Results_list!$D52,SSP2_VSI!$B:$B,2025))) / (SUMIFS(SSP2_VSI!$F:$F,SSP2_VSI!$C:$C,Results_list!$C$235,SSP2_VSI!$D:$D,Results_list!$D52,SSP2_VSI!$B:$B,2025))</f>
        <v>-0.44458177709624985</v>
      </c>
      <c r="AP52" s="13">
        <f t="shared" si="31"/>
        <v>-0.36</v>
      </c>
      <c r="AQ52" s="12">
        <f>((SUMIFS(SSP5_Baseline!$E:$E,SSP5_Baseline!$C:$C,Results_list!$C$235,SSP5_Baseline!$D:$D,Results_list!$D52,SSP5_Baseline!$B:$B,2040)) - (SUMIFS(SSP5_Baseline!$E:$E,SSP5_Baseline!$C:$C,Results_list!$C$235,SSP5_Baseline!$D:$D,Results_list!$D52,SSP5_Baseline!$B:$B,2025))) / (SUMIFS(SSP5_Baseline!$E:$E,SSP5_Baseline!$C:$C,Results_list!$C$235,SSP5_Baseline!$D:$D,Results_list!$D52,SSP5_Baseline!$B:$B,2025))</f>
        <v>-7.077100445628319E-2</v>
      </c>
      <c r="AR52" s="16">
        <f>((SUMIFS(SSP5_VSI!$F:$F,SSP5_VSI!$C:$C,Results_list!$C$235,SSP5_VSI!$D:$D,Results_list!$D52,SSP5_VSI!$B:$B,2040)) - (SUMIFS(SSP5_VSI!$F:$F,SSP5_VSI!$C:$C,Results_list!$C$235,SSP5_VSI!$D:$D,Results_list!$D52,SSP5_VSI!$B:$B,2025))) / (SUMIFS(SSP5_VSI!$F:$F,SSP5_VSI!$C:$C,Results_list!$C$235,SSP5_VSI!$D:$D,Results_list!$D52,SSP5_VSI!$B:$B,2025))</f>
        <v>-0.43065905923799103</v>
      </c>
      <c r="AS52" s="13">
        <f t="shared" si="32"/>
        <v>-0.36</v>
      </c>
      <c r="AU52" s="87"/>
      <c r="AV52" s="87"/>
      <c r="AW52" s="22" t="s">
        <v>45</v>
      </c>
      <c r="AX52" s="24" t="s">
        <v>81</v>
      </c>
      <c r="AY52" s="3" t="s">
        <v>93</v>
      </c>
      <c r="AZ52" s="12">
        <v>-0.2554161333773603</v>
      </c>
      <c r="BA52" s="16">
        <v>-0.25541503191014903</v>
      </c>
      <c r="BB52" s="13">
        <f t="shared" si="33"/>
        <v>0</v>
      </c>
      <c r="BC52" s="12">
        <v>-0.26736466962355271</v>
      </c>
      <c r="BD52" s="16">
        <v>-0.26736159120469832</v>
      </c>
      <c r="BE52" s="13">
        <f t="shared" si="34"/>
        <v>0</v>
      </c>
      <c r="BF52" s="12">
        <v>-0.22266427454078852</v>
      </c>
      <c r="BG52" s="16">
        <v>-0.22266340607807333</v>
      </c>
      <c r="BH52" s="13">
        <f t="shared" si="35"/>
        <v>0</v>
      </c>
    </row>
    <row r="53" spans="2:60" x14ac:dyDescent="0.35">
      <c r="B53" s="91"/>
      <c r="C53" s="91"/>
      <c r="D53" t="s">
        <v>46</v>
      </c>
      <c r="F53" s="3" t="s">
        <v>94</v>
      </c>
      <c r="G53" s="12">
        <f>((SUMIFS(SSP1_Baseline!$E:$E,SSP1_Baseline!$C:$C,Results_list!$C$46,SSP1_Baseline!$D:$D,Results_list!$D53,SSP1_Baseline!$B:$B,2040)) - (SUMIFS(SSP1_Baseline!$E:$E,SSP1_Baseline!$C:$C,Results_list!$C$46,SSP1_Baseline!$D:$D,Results_list!$D53,SSP1_Baseline!$B:$B,2025))) / (SUMIFS(SSP1_Baseline!$E:$E,SSP1_Baseline!$C:$C,Results_list!$C$46,SSP1_Baseline!$D:$D,Results_list!$D53,SSP1_Baseline!$B:$B,2025))</f>
        <v>1.8801549156990669</v>
      </c>
      <c r="H53" s="16">
        <f>((SUMIFS(SSP1_VSI!$F:$F,SSP1_VSI!$C:$C,Results_list!$C$46,SSP1_VSI!$D:$D,Results_list!$D53,SSP1_VSI!$B:$B,2040)) - (SUMIFS(SSP1_VSI!$F:$F,SSP1_VSI!$C:$C,Results_list!$C$46,SSP1_VSI!$D:$D,Results_list!$D53,SSP1_VSI!$B:$B,2025))) / (SUMIFS(SSP1_VSI!$F:$F,SSP1_VSI!$C:$C,Results_list!$C$46,SSP1_VSI!$D:$D,Results_list!$D53,SSP1_VSI!$B:$B,2025))</f>
        <v>1.880156323884101</v>
      </c>
      <c r="I53" s="13">
        <f t="shared" si="24"/>
        <v>0</v>
      </c>
      <c r="J53" s="12">
        <f>((SUMIFS(SSP2_Baseline!$E:$E,SSP2_Baseline!$C:$C,Results_list!$C$46,SSP2_Baseline!$D:$D,Results_list!$D53,SSP2_Baseline!$B:$B,2040)) - (SUMIFS(SSP2_Baseline!$E:$E,SSP2_Baseline!$C:$C,Results_list!$C$46,SSP2_Baseline!$D:$D,Results_list!$D53,SSP2_Baseline!$B:$B,2025))) / (SUMIFS(SSP2_Baseline!$E:$E,SSP2_Baseline!$C:$C,Results_list!$C$46,SSP2_Baseline!$D:$D,Results_list!$D53,SSP2_Baseline!$B:$B,2025))</f>
        <v>2.8776110890684077</v>
      </c>
      <c r="K53" s="16">
        <f>((SUMIFS(SSP2_VSI!$F:$F,SSP2_VSI!$C:$C,Results_list!$C$46,SSP2_VSI!$D:$D,Results_list!$D53,SSP2_VSI!$B:$B,2040)) - (SUMIFS(SSP2_VSI!$F:$F,SSP2_VSI!$C:$C,Results_list!$C$46,SSP2_VSI!$D:$D,Results_list!$D53,SSP2_VSI!$B:$B,2025))) / (SUMIFS(SSP2_VSI!$F:$F,SSP2_VSI!$C:$C,Results_list!$C$46,SSP2_VSI!$D:$D,Results_list!$D53,SSP2_VSI!$B:$B,2025))</f>
        <v>2.877502475692463</v>
      </c>
      <c r="L53" s="13">
        <f t="shared" si="25"/>
        <v>0</v>
      </c>
      <c r="M53" s="12">
        <f>((SUMIFS(SSP5_Baseline!$E:$E,SSP5_Baseline!$C:$C,Results_list!$C$46,SSP5_Baseline!$D:$D,Results_list!$D53,SSP5_Baseline!$B:$B,2040)) - (SUMIFS(SSP5_Baseline!$E:$E,SSP5_Baseline!$C:$C,Results_list!$C$46,SSP5_Baseline!$D:$D,Results_list!$D53,SSP5_Baseline!$B:$B,2025))) / (SUMIFS(SSP5_Baseline!$E:$E,SSP5_Baseline!$C:$C,Results_list!$C$46,SSP5_Baseline!$D:$D,Results_list!$D53,SSP5_Baseline!$B:$B,2025))</f>
        <v>2.2025185116617783</v>
      </c>
      <c r="N53" s="16">
        <f>((SUMIFS(SSP5_VSI!$F:$F,SSP5_VSI!$C:$C,Results_list!$C$46,SSP5_VSI!$D:$D,Results_list!$D53,SSP5_VSI!$B:$B,2040)) - (SUMIFS(SSP5_VSI!$F:$F,SSP5_VSI!$C:$C,Results_list!$C$46,SSP5_VSI!$D:$D,Results_list!$D53,SSP5_VSI!$B:$B,2025))) / (SUMIFS(SSP5_VSI!$F:$F,SSP5_VSI!$C:$C,Results_list!$C$46,SSP5_VSI!$D:$D,Results_list!$D53,SSP5_VSI!$B:$B,2025))</f>
        <v>2.2024949046982494</v>
      </c>
      <c r="O53" s="13">
        <f t="shared" si="26"/>
        <v>0</v>
      </c>
      <c r="Q53" s="91"/>
      <c r="R53" s="91"/>
      <c r="S53" t="s">
        <v>46</v>
      </c>
      <c r="U53" s="3" t="s">
        <v>94</v>
      </c>
      <c r="V53" s="12">
        <f>((SUMIFS(SSP1_Baseline!$E:$E,SSP1_Baseline!$C:$C,Results_list!$C$151,SSP1_Baseline!$D:$D,Results_list!$D158,SSP1_Baseline!$B:$B,2040)) - (SUMIFS(SSP1_Baseline!$E:$E,SSP1_Baseline!$C:$C,Results_list!$C$151,SSP1_Baseline!$D:$D,Results_list!$D158,SSP1_Baseline!$B:$B,2025))) / (SUMIFS(SSP1_Baseline!$E:$E,SSP1_Baseline!$C:$C,Results_list!$C$151,SSP1_Baseline!$D:$D,Results_list!$D158,SSP1_Baseline!$B:$B,2025))</f>
        <v>0.48536778325484536</v>
      </c>
      <c r="W53" s="16">
        <f>((SUMIFS(SSP1_VSI!$F:$F,SSP1_VSI!$C:$C,Results_list!$C$151,SSP1_VSI!$D:$D,Results_list!$D158,SSP1_VSI!$B:$B,2040)) - (SUMIFS(SSP1_VSI!$F:$F,SSP1_VSI!$C:$C,Results_list!$C$151,SSP1_VSI!$D:$D,Results_list!$D158,SSP1_VSI!$B:$B,2025))) / (SUMIFS(SSP1_VSI!$F:$F,SSP1_VSI!$C:$C,Results_list!$C$151,SSP1_VSI!$D:$D,Results_list!$D158,SSP1_VSI!$B:$B,2025))</f>
        <v>0.48538490391771472</v>
      </c>
      <c r="X53" s="13">
        <f t="shared" si="27"/>
        <v>0</v>
      </c>
      <c r="Y53" s="12">
        <f>((SUMIFS(SSP2_Baseline!$E:$E,SSP2_Baseline!$C:$C,Results_list!$C$151,SSP2_Baseline!$D:$D,Results_list!$D158,SSP2_Baseline!$B:$B,2040)) - (SUMIFS(SSP2_Baseline!$E:$E,SSP2_Baseline!$C:$C,Results_list!$C$151,SSP2_Baseline!$D:$D,Results_list!$D158,SSP2_Baseline!$B:$B,2025))) / (SUMIFS(SSP2_Baseline!$E:$E,SSP2_Baseline!$C:$C,Results_list!$C$151,SSP2_Baseline!$D:$D,Results_list!$D158,SSP2_Baseline!$B:$B,2025))</f>
        <v>1.0819458357092164</v>
      </c>
      <c r="Z53" s="16">
        <f>((SUMIFS(SSP2_VSI!$F:$F,SSP2_VSI!$C:$C,Results_list!$C$151,SSP2_VSI!$D:$D,Results_list!$D158,SSP2_VSI!$B:$B,2040)) - (SUMIFS(SSP2_VSI!$F:$F,SSP2_VSI!$C:$C,Results_list!$C$151,SSP2_VSI!$D:$D,Results_list!$D158,SSP2_VSI!$B:$B,2025))) / (SUMIFS(SSP2_VSI!$F:$F,SSP2_VSI!$C:$C,Results_list!$C$151,SSP2_VSI!$D:$D,Results_list!$D158,SSP2_VSI!$B:$B,2025))</f>
        <v>1.0818256479654256</v>
      </c>
      <c r="AA53" s="13">
        <f t="shared" si="28"/>
        <v>0</v>
      </c>
      <c r="AB53" s="12">
        <f>((SUMIFS(SSP5_Baseline!$E:$E,SSP5_Baseline!$C:$C,Results_list!$C$151,SSP5_Baseline!$D:$D,Results_list!$D158,SSP5_Baseline!$B:$B,2040)) - (SUMIFS(SSP5_Baseline!$E:$E,SSP5_Baseline!$C:$C,Results_list!$C$151,SSP5_Baseline!$D:$D,Results_list!$D158,SSP5_Baseline!$B:$B,2025))) / (SUMIFS(SSP5_Baseline!$E:$E,SSP5_Baseline!$C:$C,Results_list!$C$151,SSP5_Baseline!$D:$D,Results_list!$D158,SSP5_Baseline!$B:$B,2025))</f>
        <v>1.0486988662893415</v>
      </c>
      <c r="AC53" s="16">
        <f>((SUMIFS(SSP5_VSI!$F:$F,SSP5_VSI!$C:$C,Results_list!$C$151,SSP5_VSI!$D:$D,Results_list!$D158,SSP5_VSI!$B:$B,2040)) - (SUMIFS(SSP5_VSI!$F:$F,SSP5_VSI!$C:$C,Results_list!$C$151,SSP5_VSI!$D:$D,Results_list!$D158,SSP5_VSI!$B:$B,2025))) / (SUMIFS(SSP5_VSI!$F:$F,SSP5_VSI!$C:$C,Results_list!$C$151,SSP5_VSI!$D:$D,Results_list!$D158,SSP5_VSI!$B:$B,2025))</f>
        <v>1.0487089286638174</v>
      </c>
      <c r="AD53" s="13">
        <f t="shared" si="29"/>
        <v>0</v>
      </c>
      <c r="AF53" s="85"/>
      <c r="AG53" s="85"/>
      <c r="AH53" t="s">
        <v>46</v>
      </c>
      <c r="AJ53" s="3" t="s">
        <v>94</v>
      </c>
      <c r="AK53" s="12">
        <f>((SUMIFS(SSP1_Baseline!$E:$E,SSP1_Baseline!$C:$C,Results_list!$C$235,SSP1_Baseline!$D:$D,Results_list!$D53,SSP1_Baseline!$B:$B,2040)) - (SUMIFS(SSP1_Baseline!$E:$E,SSP1_Baseline!$C:$C,Results_list!$C$235,SSP1_Baseline!$D:$D,Results_list!$D53,SSP1_Baseline!$B:$B,2025))) / (SUMIFS(SSP1_Baseline!$E:$E,SSP1_Baseline!$C:$C,Results_list!$C$235,SSP1_Baseline!$D:$D,Results_list!$D53,SSP1_Baseline!$B:$B,2025))</f>
        <v>0.30536578419629662</v>
      </c>
      <c r="AL53" s="16">
        <f>((SUMIFS(SSP1_VSI!$F:$F,SSP1_VSI!$C:$C,Results_list!$C$235,SSP1_VSI!$D:$D,Results_list!$D53,SSP1_VSI!$B:$B,2040)) - (SUMIFS(SSP1_VSI!$F:$F,SSP1_VSI!$C:$C,Results_list!$C$235,SSP1_VSI!$D:$D,Results_list!$D53,SSP1_VSI!$B:$B,2025))) / (SUMIFS(SSP1_VSI!$F:$F,SSP1_VSI!$C:$C,Results_list!$C$235,SSP1_VSI!$D:$D,Results_list!$D53,SSP1_VSI!$B:$B,2025))</f>
        <v>0.30537868495151527</v>
      </c>
      <c r="AM53" s="13">
        <f t="shared" si="30"/>
        <v>0</v>
      </c>
      <c r="AN53" s="12">
        <f>((SUMIFS(SSP2_Baseline!$E:$E,SSP2_Baseline!$C:$C,Results_list!$C$235,SSP2_Baseline!$D:$D,Results_list!$D53,SSP2_Baseline!$B:$B,2040)) - (SUMIFS(SSP2_Baseline!$E:$E,SSP2_Baseline!$C:$C,Results_list!$C$235,SSP2_Baseline!$D:$D,Results_list!$D53,SSP2_Baseline!$B:$B,2025))) / (SUMIFS(SSP2_Baseline!$E:$E,SSP2_Baseline!$C:$C,Results_list!$C$235,SSP2_Baseline!$D:$D,Results_list!$D53,SSP2_Baseline!$B:$B,2025))</f>
        <v>0.69897479808887752</v>
      </c>
      <c r="AO53" s="16">
        <f>((SUMIFS(SSP2_VSI!$F:$F,SSP2_VSI!$C:$C,Results_list!$C$235,SSP2_VSI!$D:$D,Results_list!$D53,SSP2_VSI!$B:$B,2040)) - (SUMIFS(SSP2_VSI!$F:$F,SSP2_VSI!$C:$C,Results_list!$C$235,SSP2_VSI!$D:$D,Results_list!$D53,SSP2_VSI!$B:$B,2025))) / (SUMIFS(SSP2_VSI!$F:$F,SSP2_VSI!$C:$C,Results_list!$C$235,SSP2_VSI!$D:$D,Results_list!$D53,SSP2_VSI!$B:$B,2025))</f>
        <v>0.6988732865902717</v>
      </c>
      <c r="AP53" s="13">
        <f t="shared" si="31"/>
        <v>0</v>
      </c>
      <c r="AQ53" s="12">
        <f>((SUMIFS(SSP5_Baseline!$E:$E,SSP5_Baseline!$C:$C,Results_list!$C$235,SSP5_Baseline!$D:$D,Results_list!$D53,SSP5_Baseline!$B:$B,2040)) - (SUMIFS(SSP5_Baseline!$E:$E,SSP5_Baseline!$C:$C,Results_list!$C$235,SSP5_Baseline!$D:$D,Results_list!$D53,SSP5_Baseline!$B:$B,2025))) / (SUMIFS(SSP5_Baseline!$E:$E,SSP5_Baseline!$C:$C,Results_list!$C$235,SSP5_Baseline!$D:$D,Results_list!$D53,SSP5_Baseline!$B:$B,2025))</f>
        <v>0.62637526970262314</v>
      </c>
      <c r="AR53" s="16">
        <f>((SUMIFS(SSP5_VSI!$F:$F,SSP5_VSI!$C:$C,Results_list!$C$235,SSP5_VSI!$D:$D,Results_list!$D53,SSP5_VSI!$B:$B,2040)) - (SUMIFS(SSP5_VSI!$F:$F,SSP5_VSI!$C:$C,Results_list!$C$235,SSP5_VSI!$D:$D,Results_list!$D53,SSP5_VSI!$B:$B,2025))) / (SUMIFS(SSP5_VSI!$F:$F,SSP5_VSI!$C:$C,Results_list!$C$235,SSP5_VSI!$D:$D,Results_list!$D53,SSP5_VSI!$B:$B,2025))</f>
        <v>0.62640143379818092</v>
      </c>
      <c r="AS53" s="13">
        <f t="shared" si="32"/>
        <v>0</v>
      </c>
      <c r="AU53" s="87"/>
      <c r="AV53" s="87"/>
      <c r="AW53" s="22" t="s">
        <v>46</v>
      </c>
      <c r="AX53" s="24" t="s">
        <v>81</v>
      </c>
      <c r="AY53" s="3" t="s">
        <v>94</v>
      </c>
      <c r="AZ53" s="12">
        <v>0.47963143503832539</v>
      </c>
      <c r="BA53" s="16">
        <v>0.47962218814776614</v>
      </c>
      <c r="BB53" s="13">
        <f t="shared" si="33"/>
        <v>0</v>
      </c>
      <c r="BC53" s="12">
        <v>2.0538050775241845</v>
      </c>
      <c r="BD53" s="16">
        <v>2.0538654887304588</v>
      </c>
      <c r="BE53" s="13">
        <f t="shared" si="34"/>
        <v>0</v>
      </c>
      <c r="BF53" s="12">
        <v>1.6364533849489831</v>
      </c>
      <c r="BG53" s="16">
        <v>1.636485164971579</v>
      </c>
      <c r="BH53" s="13">
        <f t="shared" si="35"/>
        <v>0</v>
      </c>
    </row>
    <row r="54" spans="2:60" x14ac:dyDescent="0.35">
      <c r="B54" s="91"/>
      <c r="C54" s="91"/>
      <c r="D54" t="s">
        <v>47</v>
      </c>
      <c r="F54" s="3" t="s">
        <v>95</v>
      </c>
      <c r="G54" s="12">
        <f>((SUMIFS(SSP1_Baseline!$E:$E,SSP1_Baseline!$C:$C,Results_list!$C$46,SSP1_Baseline!$D:$D,Results_list!$D54,SSP1_Baseline!$B:$B,2040)) - (SUMIFS(SSP1_Baseline!$E:$E,SSP1_Baseline!$C:$C,Results_list!$C$46,SSP1_Baseline!$D:$D,Results_list!$D54,SSP1_Baseline!$B:$B,2025))) / (SUMIFS(SSP1_Baseline!$E:$E,SSP1_Baseline!$C:$C,Results_list!$C$46,SSP1_Baseline!$D:$D,Results_list!$D54,SSP1_Baseline!$B:$B,2025))</f>
        <v>-0.12090512426287532</v>
      </c>
      <c r="H54" s="16">
        <f>((SUMIFS(SSP1_VSI!$F:$F,SSP1_VSI!$C:$C,Results_list!$C$46,SSP1_VSI!$D:$D,Results_list!$D54,SSP1_VSI!$B:$B,2040)) - (SUMIFS(SSP1_VSI!$F:$F,SSP1_VSI!$C:$C,Results_list!$C$46,SSP1_VSI!$D:$D,Results_list!$D54,SSP1_VSI!$B:$B,2025))) / (SUMIFS(SSP1_VSI!$F:$F,SSP1_VSI!$C:$C,Results_list!$C$46,SSP1_VSI!$D:$D,Results_list!$D54,SSP1_VSI!$B:$B,2025))</f>
        <v>-0.12090012795375547</v>
      </c>
      <c r="I54" s="13">
        <f t="shared" si="24"/>
        <v>0</v>
      </c>
      <c r="J54" s="12">
        <f>((SUMIFS(SSP2_Baseline!$E:$E,SSP2_Baseline!$C:$C,Results_list!$C$46,SSP2_Baseline!$D:$D,Results_list!$D54,SSP2_Baseline!$B:$B,2040)) - (SUMIFS(SSP2_Baseline!$E:$E,SSP2_Baseline!$C:$C,Results_list!$C$46,SSP2_Baseline!$D:$D,Results_list!$D54,SSP2_Baseline!$B:$B,2025))) / (SUMIFS(SSP2_Baseline!$E:$E,SSP2_Baseline!$C:$C,Results_list!$C$46,SSP2_Baseline!$D:$D,Results_list!$D54,SSP2_Baseline!$B:$B,2025))</f>
        <v>-8.9910857133077254E-2</v>
      </c>
      <c r="K54" s="16">
        <f>((SUMIFS(SSP2_VSI!$F:$F,SSP2_VSI!$C:$C,Results_list!$C$46,SSP2_VSI!$D:$D,Results_list!$D54,SSP2_VSI!$B:$B,2040)) - (SUMIFS(SSP2_VSI!$F:$F,SSP2_VSI!$C:$C,Results_list!$C$46,SSP2_VSI!$D:$D,Results_list!$D54,SSP2_VSI!$B:$B,2025))) / (SUMIFS(SSP2_VSI!$F:$F,SSP2_VSI!$C:$C,Results_list!$C$46,SSP2_VSI!$D:$D,Results_list!$D54,SSP2_VSI!$B:$B,2025))</f>
        <v>-8.9909315008890017E-2</v>
      </c>
      <c r="L54" s="13">
        <f t="shared" si="25"/>
        <v>0</v>
      </c>
      <c r="M54" s="12">
        <f>((SUMIFS(SSP5_Baseline!$E:$E,SSP5_Baseline!$C:$C,Results_list!$C$46,SSP5_Baseline!$D:$D,Results_list!$D54,SSP5_Baseline!$B:$B,2040)) - (SUMIFS(SSP5_Baseline!$E:$E,SSP5_Baseline!$C:$C,Results_list!$C$46,SSP5_Baseline!$D:$D,Results_list!$D54,SSP5_Baseline!$B:$B,2025))) / (SUMIFS(SSP5_Baseline!$E:$E,SSP5_Baseline!$C:$C,Results_list!$C$46,SSP5_Baseline!$D:$D,Results_list!$D54,SSP5_Baseline!$B:$B,2025))</f>
        <v>-8.8874185733907513E-2</v>
      </c>
      <c r="N54" s="16">
        <f>((SUMIFS(SSP5_VSI!$F:$F,SSP5_VSI!$C:$C,Results_list!$C$46,SSP5_VSI!$D:$D,Results_list!$D54,SSP5_VSI!$B:$B,2040)) - (SUMIFS(SSP5_VSI!$F:$F,SSP5_VSI!$C:$C,Results_list!$C$46,SSP5_VSI!$D:$D,Results_list!$D54,SSP5_VSI!$B:$B,2025))) / (SUMIFS(SSP5_VSI!$F:$F,SSP5_VSI!$C:$C,Results_list!$C$46,SSP5_VSI!$D:$D,Results_list!$D54,SSP5_VSI!$B:$B,2025))</f>
        <v>-8.8849474901590231E-2</v>
      </c>
      <c r="O54" s="13">
        <f t="shared" si="26"/>
        <v>0</v>
      </c>
      <c r="Q54" s="91"/>
      <c r="R54" s="91"/>
      <c r="S54" t="s">
        <v>47</v>
      </c>
      <c r="U54" s="3" t="s">
        <v>95</v>
      </c>
      <c r="V54" s="12">
        <f>((SUMIFS(SSP1_Baseline!$E:$E,SSP1_Baseline!$C:$C,Results_list!$C$151,SSP1_Baseline!$D:$D,Results_list!$D159,SSP1_Baseline!$B:$B,2040)) - (SUMIFS(SSP1_Baseline!$E:$E,SSP1_Baseline!$C:$C,Results_list!$C$151,SSP1_Baseline!$D:$D,Results_list!$D159,SSP1_Baseline!$B:$B,2025))) / (SUMIFS(SSP1_Baseline!$E:$E,SSP1_Baseline!$C:$C,Results_list!$C$151,SSP1_Baseline!$D:$D,Results_list!$D159,SSP1_Baseline!$B:$B,2025))</f>
        <v>-3.9075528945815945E-3</v>
      </c>
      <c r="W54" s="16">
        <f>((SUMIFS(SSP1_VSI!$F:$F,SSP1_VSI!$C:$C,Results_list!$C$151,SSP1_VSI!$D:$D,Results_list!$D159,SSP1_VSI!$B:$B,2040)) - (SUMIFS(SSP1_VSI!$F:$F,SSP1_VSI!$C:$C,Results_list!$C$151,SSP1_VSI!$D:$D,Results_list!$D159,SSP1_VSI!$B:$B,2025))) / (SUMIFS(SSP1_VSI!$F:$F,SSP1_VSI!$C:$C,Results_list!$C$151,SSP1_VSI!$D:$D,Results_list!$D159,SSP1_VSI!$B:$B,2025))</f>
        <v>-3.8995916044577499E-3</v>
      </c>
      <c r="X54" s="13">
        <f t="shared" si="27"/>
        <v>0</v>
      </c>
      <c r="Y54" s="12">
        <f>((SUMIFS(SSP2_Baseline!$E:$E,SSP2_Baseline!$C:$C,Results_list!$C$151,SSP2_Baseline!$D:$D,Results_list!$D159,SSP2_Baseline!$B:$B,2040)) - (SUMIFS(SSP2_Baseline!$E:$E,SSP2_Baseline!$C:$C,Results_list!$C$151,SSP2_Baseline!$D:$D,Results_list!$D159,SSP2_Baseline!$B:$B,2025))) / (SUMIFS(SSP2_Baseline!$E:$E,SSP2_Baseline!$C:$C,Results_list!$C$151,SSP2_Baseline!$D:$D,Results_list!$D159,SSP2_Baseline!$B:$B,2025))</f>
        <v>1.0788614553919774E-3</v>
      </c>
      <c r="Z54" s="16">
        <f>((SUMIFS(SSP2_VSI!$F:$F,SSP2_VSI!$C:$C,Results_list!$C$151,SSP2_VSI!$D:$D,Results_list!$D159,SSP2_VSI!$B:$B,2040)) - (SUMIFS(SSP2_VSI!$F:$F,SSP2_VSI!$C:$C,Results_list!$C$151,SSP2_VSI!$D:$D,Results_list!$D159,SSP2_VSI!$B:$B,2025))) / (SUMIFS(SSP2_VSI!$F:$F,SSP2_VSI!$C:$C,Results_list!$C$151,SSP2_VSI!$D:$D,Results_list!$D159,SSP2_VSI!$B:$B,2025))</f>
        <v>1.080522331680836E-3</v>
      </c>
      <c r="AA54" s="13">
        <f t="shared" si="28"/>
        <v>0</v>
      </c>
      <c r="AB54" s="12">
        <f>((SUMIFS(SSP5_Baseline!$E:$E,SSP5_Baseline!$C:$C,Results_list!$C$151,SSP5_Baseline!$D:$D,Results_list!$D159,SSP5_Baseline!$B:$B,2040)) - (SUMIFS(SSP5_Baseline!$E:$E,SSP5_Baseline!$C:$C,Results_list!$C$151,SSP5_Baseline!$D:$D,Results_list!$D159,SSP5_Baseline!$B:$B,2025))) / (SUMIFS(SSP5_Baseline!$E:$E,SSP5_Baseline!$C:$C,Results_list!$C$151,SSP5_Baseline!$D:$D,Results_list!$D159,SSP5_Baseline!$B:$B,2025))</f>
        <v>2.0321154885512581E-2</v>
      </c>
      <c r="AC54" s="16">
        <f>((SUMIFS(SSP5_VSI!$F:$F,SSP5_VSI!$C:$C,Results_list!$C$151,SSP5_VSI!$D:$D,Results_list!$D159,SSP5_VSI!$B:$B,2040)) - (SUMIFS(SSP5_VSI!$F:$F,SSP5_VSI!$C:$C,Results_list!$C$151,SSP5_VSI!$D:$D,Results_list!$D159,SSP5_VSI!$B:$B,2025))) / (SUMIFS(SSP5_VSI!$F:$F,SSP5_VSI!$C:$C,Results_list!$C$151,SSP5_VSI!$D:$D,Results_list!$D159,SSP5_VSI!$B:$B,2025))</f>
        <v>2.0362333891365672E-2</v>
      </c>
      <c r="AD54" s="13">
        <f t="shared" si="29"/>
        <v>0</v>
      </c>
      <c r="AF54" s="85"/>
      <c r="AG54" s="85"/>
      <c r="AH54" t="s">
        <v>47</v>
      </c>
      <c r="AJ54" s="3" t="s">
        <v>95</v>
      </c>
      <c r="AK54" s="12">
        <f>((SUMIFS(SSP1_Baseline!$E:$E,SSP1_Baseline!$C:$C,Results_list!$C$235,SSP1_Baseline!$D:$D,Results_list!$D54,SSP1_Baseline!$B:$B,2040)) - (SUMIFS(SSP1_Baseline!$E:$E,SSP1_Baseline!$C:$C,Results_list!$C$235,SSP1_Baseline!$D:$D,Results_list!$D54,SSP1_Baseline!$B:$B,2025))) / (SUMIFS(SSP1_Baseline!$E:$E,SSP1_Baseline!$C:$C,Results_list!$C$235,SSP1_Baseline!$D:$D,Results_list!$D54,SSP1_Baseline!$B:$B,2025))</f>
        <v>-7.3036150547530307E-2</v>
      </c>
      <c r="AL54" s="16">
        <f>((SUMIFS(SSP1_VSI!$F:$F,SSP1_VSI!$C:$C,Results_list!$C$235,SSP1_VSI!$D:$D,Results_list!$D54,SSP1_VSI!$B:$B,2040)) - (SUMIFS(SSP1_VSI!$F:$F,SSP1_VSI!$C:$C,Results_list!$C$235,SSP1_VSI!$D:$D,Results_list!$D54,SSP1_VSI!$B:$B,2025))) / (SUMIFS(SSP1_VSI!$F:$F,SSP1_VSI!$C:$C,Results_list!$C$235,SSP1_VSI!$D:$D,Results_list!$D54,SSP1_VSI!$B:$B,2025))</f>
        <v>-0.56316884320931915</v>
      </c>
      <c r="AM54" s="13">
        <f t="shared" si="30"/>
        <v>-0.49</v>
      </c>
      <c r="AN54" s="12">
        <f>((SUMIFS(SSP2_Baseline!$E:$E,SSP2_Baseline!$C:$C,Results_list!$C$235,SSP2_Baseline!$D:$D,Results_list!$D54,SSP2_Baseline!$B:$B,2040)) - (SUMIFS(SSP2_Baseline!$E:$E,SSP2_Baseline!$C:$C,Results_list!$C$235,SSP2_Baseline!$D:$D,Results_list!$D54,SSP2_Baseline!$B:$B,2025))) / (SUMIFS(SSP2_Baseline!$E:$E,SSP2_Baseline!$C:$C,Results_list!$C$235,SSP2_Baseline!$D:$D,Results_list!$D54,SSP2_Baseline!$B:$B,2025))</f>
        <v>-8.5421188219476821E-2</v>
      </c>
      <c r="AO54" s="16">
        <f>((SUMIFS(SSP2_VSI!$F:$F,SSP2_VSI!$C:$C,Results_list!$C$235,SSP2_VSI!$D:$D,Results_list!$D54,SSP2_VSI!$B:$B,2040)) - (SUMIFS(SSP2_VSI!$F:$F,SSP2_VSI!$C:$C,Results_list!$C$235,SSP2_VSI!$D:$D,Results_list!$D54,SSP2_VSI!$B:$B,2025))) / (SUMIFS(SSP2_VSI!$F:$F,SSP2_VSI!$C:$C,Results_list!$C$235,SSP2_VSI!$D:$D,Results_list!$D54,SSP2_VSI!$B:$B,2025))</f>
        <v>-0.58197457384613704</v>
      </c>
      <c r="AP54" s="13">
        <f t="shared" si="31"/>
        <v>-0.5</v>
      </c>
      <c r="AQ54" s="12">
        <f>((SUMIFS(SSP5_Baseline!$E:$E,SSP5_Baseline!$C:$C,Results_list!$C$235,SSP5_Baseline!$D:$D,Results_list!$D54,SSP5_Baseline!$B:$B,2040)) - (SUMIFS(SSP5_Baseline!$E:$E,SSP5_Baseline!$C:$C,Results_list!$C$235,SSP5_Baseline!$D:$D,Results_list!$D54,SSP5_Baseline!$B:$B,2025))) / (SUMIFS(SSP5_Baseline!$E:$E,SSP5_Baseline!$C:$C,Results_list!$C$235,SSP5_Baseline!$D:$D,Results_list!$D54,SSP5_Baseline!$B:$B,2025))</f>
        <v>0.40732390591188633</v>
      </c>
      <c r="AR54" s="16">
        <f>((SUMIFS(SSP5_VSI!$F:$F,SSP5_VSI!$C:$C,Results_list!$C$235,SSP5_VSI!$D:$D,Results_list!$D54,SSP5_VSI!$B:$B,2040)) - (SUMIFS(SSP5_VSI!$F:$F,SSP5_VSI!$C:$C,Results_list!$C$235,SSP5_VSI!$D:$D,Results_list!$D54,SSP5_VSI!$B:$B,2025))) / (SUMIFS(SSP5_VSI!$F:$F,SSP5_VSI!$C:$C,Results_list!$C$235,SSP5_VSI!$D:$D,Results_list!$D54,SSP5_VSI!$B:$B,2025))</f>
        <v>-3.3310677526412015E-2</v>
      </c>
      <c r="AS54" s="13">
        <f t="shared" si="32"/>
        <v>-0.44</v>
      </c>
      <c r="AU54" s="87"/>
      <c r="AV54" s="87"/>
      <c r="AW54" s="22" t="s">
        <v>47</v>
      </c>
      <c r="AX54" s="24" t="s">
        <v>81</v>
      </c>
      <c r="AY54" s="3" t="s">
        <v>95</v>
      </c>
      <c r="AZ54" s="12">
        <v>-0.4896134686658587</v>
      </c>
      <c r="BA54" s="16">
        <v>-0.48961162109421802</v>
      </c>
      <c r="BB54" s="13">
        <f t="shared" si="33"/>
        <v>0</v>
      </c>
      <c r="BC54" s="12">
        <v>-0.51537326217802115</v>
      </c>
      <c r="BD54" s="16">
        <v>-0.51537250168436022</v>
      </c>
      <c r="BE54" s="13">
        <f t="shared" si="34"/>
        <v>0</v>
      </c>
      <c r="BF54" s="12">
        <v>-0.31579135220125837</v>
      </c>
      <c r="BG54" s="16">
        <v>-0.31579069919727698</v>
      </c>
      <c r="BH54" s="13">
        <f t="shared" si="35"/>
        <v>0</v>
      </c>
    </row>
    <row r="55" spans="2:60" x14ac:dyDescent="0.35">
      <c r="B55" s="91"/>
      <c r="C55" s="91"/>
      <c r="D55" t="s">
        <v>48</v>
      </c>
      <c r="F55" s="3" t="s">
        <v>96</v>
      </c>
      <c r="G55" s="12">
        <f>((SUMIFS(SSP1_Baseline!$E:$E,SSP1_Baseline!$C:$C,Results_list!$C$46,SSP1_Baseline!$D:$D,Results_list!$D55,SSP1_Baseline!$B:$B,2040)) - (SUMIFS(SSP1_Baseline!$E:$E,SSP1_Baseline!$C:$C,Results_list!$C$46,SSP1_Baseline!$D:$D,Results_list!$D55,SSP1_Baseline!$B:$B,2025))) / (SUMIFS(SSP1_Baseline!$E:$E,SSP1_Baseline!$C:$C,Results_list!$C$46,SSP1_Baseline!$D:$D,Results_list!$D55,SSP1_Baseline!$B:$B,2025))</f>
        <v>1.5318023859304541E-3</v>
      </c>
      <c r="H55" s="16">
        <f>((SUMIFS(SSP1_VSI!$F:$F,SSP1_VSI!$C:$C,Results_list!$C$46,SSP1_VSI!$D:$D,Results_list!$D55,SSP1_VSI!$B:$B,2040)) - (SUMIFS(SSP1_VSI!$F:$F,SSP1_VSI!$C:$C,Results_list!$C$46,SSP1_VSI!$D:$D,Results_list!$D55,SSP1_VSI!$B:$B,2025))) / (SUMIFS(SSP1_VSI!$F:$F,SSP1_VSI!$C:$C,Results_list!$C$46,SSP1_VSI!$D:$D,Results_list!$D55,SSP1_VSI!$B:$B,2025))</f>
        <v>1.5318704308958622E-3</v>
      </c>
      <c r="I55" s="13">
        <f t="shared" si="24"/>
        <v>0</v>
      </c>
      <c r="J55" s="12">
        <f>((SUMIFS(SSP2_Baseline!$E:$E,SSP2_Baseline!$C:$C,Results_list!$C$46,SSP2_Baseline!$D:$D,Results_list!$D55,SSP2_Baseline!$B:$B,2040)) - (SUMIFS(SSP2_Baseline!$E:$E,SSP2_Baseline!$C:$C,Results_list!$C$46,SSP2_Baseline!$D:$D,Results_list!$D55,SSP2_Baseline!$B:$B,2025))) / (SUMIFS(SSP2_Baseline!$E:$E,SSP2_Baseline!$C:$C,Results_list!$C$46,SSP2_Baseline!$D:$D,Results_list!$D55,SSP2_Baseline!$B:$B,2025))</f>
        <v>1.6347356411564741E-3</v>
      </c>
      <c r="K55" s="16">
        <f>((SUMIFS(SSP2_VSI!$F:$F,SSP2_VSI!$C:$C,Results_list!$C$46,SSP2_VSI!$D:$D,Results_list!$D55,SSP2_VSI!$B:$B,2040)) - (SUMIFS(SSP2_VSI!$F:$F,SSP2_VSI!$C:$C,Results_list!$C$46,SSP2_VSI!$D:$D,Results_list!$D55,SSP2_VSI!$B:$B,2025))) / (SUMIFS(SSP2_VSI!$F:$F,SSP2_VSI!$C:$C,Results_list!$C$46,SSP2_VSI!$D:$D,Results_list!$D55,SSP2_VSI!$B:$B,2025))</f>
        <v>1.634738363610171E-3</v>
      </c>
      <c r="L55" s="13">
        <f t="shared" si="25"/>
        <v>0</v>
      </c>
      <c r="M55" s="12">
        <f>((SUMIFS(SSP5_Baseline!$E:$E,SSP5_Baseline!$C:$C,Results_list!$C$46,SSP5_Baseline!$D:$D,Results_list!$D55,SSP5_Baseline!$B:$B,2040)) - (SUMIFS(SSP5_Baseline!$E:$E,SSP5_Baseline!$C:$C,Results_list!$C$46,SSP5_Baseline!$D:$D,Results_list!$D55,SSP5_Baseline!$B:$B,2025))) / (SUMIFS(SSP5_Baseline!$E:$E,SSP5_Baseline!$C:$C,Results_list!$C$46,SSP5_Baseline!$D:$D,Results_list!$D55,SSP5_Baseline!$B:$B,2025))</f>
        <v>5.8832499460364021E-4</v>
      </c>
      <c r="N55" s="16">
        <f>((SUMIFS(SSP5_VSI!$F:$F,SSP5_VSI!$C:$C,Results_list!$C$46,SSP5_VSI!$D:$D,Results_list!$D55,SSP5_VSI!$B:$B,2040)) - (SUMIFS(SSP5_VSI!$F:$F,SSP5_VSI!$C:$C,Results_list!$C$46,SSP5_VSI!$D:$D,Results_list!$D55,SSP5_VSI!$B:$B,2025))) / (SUMIFS(SSP5_VSI!$F:$F,SSP5_VSI!$C:$C,Results_list!$C$46,SSP5_VSI!$D:$D,Results_list!$D55,SSP5_VSI!$B:$B,2025))</f>
        <v>5.8843242243837178E-4</v>
      </c>
      <c r="O55" s="13">
        <f t="shared" si="26"/>
        <v>0</v>
      </c>
      <c r="Q55" s="91"/>
      <c r="R55" s="91"/>
      <c r="S55" t="s">
        <v>48</v>
      </c>
      <c r="U55" s="3" t="s">
        <v>96</v>
      </c>
      <c r="V55" s="12">
        <f>((SUMIFS(SSP1_Baseline!$E:$E,SSP1_Baseline!$C:$C,Results_list!$C$151,SSP1_Baseline!$D:$D,Results_list!$D160,SSP1_Baseline!$B:$B,2040)) - (SUMIFS(SSP1_Baseline!$E:$E,SSP1_Baseline!$C:$C,Results_list!$C$151,SSP1_Baseline!$D:$D,Results_list!$D160,SSP1_Baseline!$B:$B,2025))) / (SUMIFS(SSP1_Baseline!$E:$E,SSP1_Baseline!$C:$C,Results_list!$C$151,SSP1_Baseline!$D:$D,Results_list!$D160,SSP1_Baseline!$B:$B,2025))</f>
        <v>-8.1823351016027061E-4</v>
      </c>
      <c r="W55" s="16">
        <f>((SUMIFS(SSP1_VSI!$F:$F,SSP1_VSI!$C:$C,Results_list!$C$151,SSP1_VSI!$D:$D,Results_list!$D160,SSP1_VSI!$B:$B,2040)) - (SUMIFS(SSP1_VSI!$F:$F,SSP1_VSI!$C:$C,Results_list!$C$151,SSP1_VSI!$D:$D,Results_list!$D160,SSP1_VSI!$B:$B,2025))) / (SUMIFS(SSP1_VSI!$F:$F,SSP1_VSI!$C:$C,Results_list!$C$151,SSP1_VSI!$D:$D,Results_list!$D160,SSP1_VSI!$B:$B,2025))</f>
        <v>-8.1763159369306864E-4</v>
      </c>
      <c r="X55" s="13">
        <f t="shared" si="27"/>
        <v>0</v>
      </c>
      <c r="Y55" s="12">
        <f>((SUMIFS(SSP2_Baseline!$E:$E,SSP2_Baseline!$C:$C,Results_list!$C$151,SSP2_Baseline!$D:$D,Results_list!$D160,SSP2_Baseline!$B:$B,2040)) - (SUMIFS(SSP2_Baseline!$E:$E,SSP2_Baseline!$C:$C,Results_list!$C$151,SSP2_Baseline!$D:$D,Results_list!$D160,SSP2_Baseline!$B:$B,2025))) / (SUMIFS(SSP2_Baseline!$E:$E,SSP2_Baseline!$C:$C,Results_list!$C$151,SSP2_Baseline!$D:$D,Results_list!$D160,SSP2_Baseline!$B:$B,2025))</f>
        <v>-9.4883178192099813E-4</v>
      </c>
      <c r="Z55" s="16">
        <f>((SUMIFS(SSP2_VSI!$F:$F,SSP2_VSI!$C:$C,Results_list!$C$151,SSP2_VSI!$D:$D,Results_list!$D160,SSP2_VSI!$B:$B,2040)) - (SUMIFS(SSP2_VSI!$F:$F,SSP2_VSI!$C:$C,Results_list!$C$151,SSP2_VSI!$D:$D,Results_list!$D160,SSP2_VSI!$B:$B,2025))) / (SUMIFS(SSP2_VSI!$F:$F,SSP2_VSI!$C:$C,Results_list!$C$151,SSP2_VSI!$D:$D,Results_list!$D160,SSP2_VSI!$B:$B,2025))</f>
        <v>-9.490628219396166E-4</v>
      </c>
      <c r="AA55" s="13">
        <f t="shared" si="28"/>
        <v>0</v>
      </c>
      <c r="AB55" s="12">
        <f>((SUMIFS(SSP5_Baseline!$E:$E,SSP5_Baseline!$C:$C,Results_list!$C$151,SSP5_Baseline!$D:$D,Results_list!$D160,SSP5_Baseline!$B:$B,2040)) - (SUMIFS(SSP5_Baseline!$E:$E,SSP5_Baseline!$C:$C,Results_list!$C$151,SSP5_Baseline!$D:$D,Results_list!$D160,SSP5_Baseline!$B:$B,2025))) / (SUMIFS(SSP5_Baseline!$E:$E,SSP5_Baseline!$C:$C,Results_list!$C$151,SSP5_Baseline!$D:$D,Results_list!$D160,SSP5_Baseline!$B:$B,2025))</f>
        <v>-4.5357398059346724E-4</v>
      </c>
      <c r="AC55" s="16">
        <f>((SUMIFS(SSP5_VSI!$F:$F,SSP5_VSI!$C:$C,Results_list!$C$151,SSP5_VSI!$D:$D,Results_list!$D160,SSP5_VSI!$B:$B,2040)) - (SUMIFS(SSP5_VSI!$F:$F,SSP5_VSI!$C:$C,Results_list!$C$151,SSP5_VSI!$D:$D,Results_list!$D160,SSP5_VSI!$B:$B,2025))) / (SUMIFS(SSP5_VSI!$F:$F,SSP5_VSI!$C:$C,Results_list!$C$151,SSP5_VSI!$D:$D,Results_list!$D160,SSP5_VSI!$B:$B,2025))</f>
        <v>-4.526131837207825E-4</v>
      </c>
      <c r="AD55" s="13">
        <f t="shared" si="29"/>
        <v>0</v>
      </c>
      <c r="AF55" s="85"/>
      <c r="AG55" s="85"/>
      <c r="AH55" t="s">
        <v>48</v>
      </c>
      <c r="AJ55" s="3" t="s">
        <v>96</v>
      </c>
      <c r="AK55" s="12">
        <f>((SUMIFS(SSP1_Baseline!$E:$E,SSP1_Baseline!$C:$C,Results_list!$C$235,SSP1_Baseline!$D:$D,Results_list!$D55,SSP1_Baseline!$B:$B,2040)) - (SUMIFS(SSP1_Baseline!$E:$E,SSP1_Baseline!$C:$C,Results_list!$C$235,SSP1_Baseline!$D:$D,Results_list!$D55,SSP1_Baseline!$B:$B,2025))) / (SUMIFS(SSP1_Baseline!$E:$E,SSP1_Baseline!$C:$C,Results_list!$C$235,SSP1_Baseline!$D:$D,Results_list!$D55,SSP1_Baseline!$B:$B,2025))</f>
        <v>1.169961225581208E-2</v>
      </c>
      <c r="AL55" s="16">
        <f>((SUMIFS(SSP1_VSI!$F:$F,SSP1_VSI!$C:$C,Results_list!$C$235,SSP1_VSI!$D:$D,Results_list!$D55,SSP1_VSI!$B:$B,2040)) - (SUMIFS(SSP1_VSI!$F:$F,SSP1_VSI!$C:$C,Results_list!$C$235,SSP1_VSI!$D:$D,Results_list!$D55,SSP1_VSI!$B:$B,2025))) / (SUMIFS(SSP1_VSI!$F:$F,SSP1_VSI!$C:$C,Results_list!$C$235,SSP1_VSI!$D:$D,Results_list!$D55,SSP1_VSI!$B:$B,2025))</f>
        <v>1.17018772717948E-2</v>
      </c>
      <c r="AM55" s="13">
        <f t="shared" si="30"/>
        <v>0</v>
      </c>
      <c r="AN55" s="12">
        <f>((SUMIFS(SSP2_Baseline!$E:$E,SSP2_Baseline!$C:$C,Results_list!$C$235,SSP2_Baseline!$D:$D,Results_list!$D55,SSP2_Baseline!$B:$B,2040)) - (SUMIFS(SSP2_Baseline!$E:$E,SSP2_Baseline!$C:$C,Results_list!$C$235,SSP2_Baseline!$D:$D,Results_list!$D55,SSP2_Baseline!$B:$B,2025))) / (SUMIFS(SSP2_Baseline!$E:$E,SSP2_Baseline!$C:$C,Results_list!$C$235,SSP2_Baseline!$D:$D,Results_list!$D55,SSP2_Baseline!$B:$B,2025))</f>
        <v>7.6765090917028465E-3</v>
      </c>
      <c r="AO55" s="16">
        <f>((SUMIFS(SSP2_VSI!$F:$F,SSP2_VSI!$C:$C,Results_list!$C$235,SSP2_VSI!$D:$D,Results_list!$D55,SSP2_VSI!$B:$B,2040)) - (SUMIFS(SSP2_VSI!$F:$F,SSP2_VSI!$C:$C,Results_list!$C$235,SSP2_VSI!$D:$D,Results_list!$D55,SSP2_VSI!$B:$B,2025))) / (SUMIFS(SSP2_VSI!$F:$F,SSP2_VSI!$C:$C,Results_list!$C$235,SSP2_VSI!$D:$D,Results_list!$D55,SSP2_VSI!$B:$B,2025))</f>
        <v>7.6769251807292356E-3</v>
      </c>
      <c r="AP55" s="13">
        <f t="shared" si="31"/>
        <v>0</v>
      </c>
      <c r="AQ55" s="12">
        <f>((SUMIFS(SSP5_Baseline!$E:$E,SSP5_Baseline!$C:$C,Results_list!$C$235,SSP5_Baseline!$D:$D,Results_list!$D55,SSP5_Baseline!$B:$B,2040)) - (SUMIFS(SSP5_Baseline!$E:$E,SSP5_Baseline!$C:$C,Results_list!$C$235,SSP5_Baseline!$D:$D,Results_list!$D55,SSP5_Baseline!$B:$B,2025))) / (SUMIFS(SSP5_Baseline!$E:$E,SSP5_Baseline!$C:$C,Results_list!$C$235,SSP5_Baseline!$D:$D,Results_list!$D55,SSP5_Baseline!$B:$B,2025))</f>
        <v>3.5128609206068208E-3</v>
      </c>
      <c r="AR55" s="16">
        <f>((SUMIFS(SSP5_VSI!$F:$F,SSP5_VSI!$C:$C,Results_list!$C$235,SSP5_VSI!$D:$D,Results_list!$D55,SSP5_VSI!$B:$B,2040)) - (SUMIFS(SSP5_VSI!$F:$F,SSP5_VSI!$C:$C,Results_list!$C$235,SSP5_VSI!$D:$D,Results_list!$D55,SSP5_VSI!$B:$B,2025))) / (SUMIFS(SSP5_VSI!$F:$F,SSP5_VSI!$C:$C,Results_list!$C$235,SSP5_VSI!$D:$D,Results_list!$D55,SSP5_VSI!$B:$B,2025))</f>
        <v>3.5174154840583753E-3</v>
      </c>
      <c r="AS55" s="13">
        <f t="shared" si="32"/>
        <v>0</v>
      </c>
      <c r="AU55" s="87"/>
      <c r="AV55" s="87"/>
      <c r="AW55" s="22" t="s">
        <v>48</v>
      </c>
      <c r="AX55" s="24" t="s">
        <v>81</v>
      </c>
      <c r="AY55" s="3" t="s">
        <v>96</v>
      </c>
      <c r="AZ55" s="12">
        <v>5.5050332377128482E-5</v>
      </c>
      <c r="BA55" s="16">
        <v>5.5055828744934569E-5</v>
      </c>
      <c r="BB55" s="13">
        <f t="shared" si="33"/>
        <v>0</v>
      </c>
      <c r="BC55" s="12">
        <v>4.3724360592263402E-5</v>
      </c>
      <c r="BD55" s="16">
        <v>4.3724867968396053E-5</v>
      </c>
      <c r="BE55" s="13">
        <f t="shared" si="34"/>
        <v>0</v>
      </c>
      <c r="BF55" s="12">
        <v>4.8571019058177602E-5</v>
      </c>
      <c r="BG55" s="16">
        <v>4.8572510222573374E-5</v>
      </c>
      <c r="BH55" s="13">
        <f t="shared" si="35"/>
        <v>0</v>
      </c>
    </row>
    <row r="56" spans="2:60" x14ac:dyDescent="0.35">
      <c r="B56" s="91"/>
      <c r="C56" s="91"/>
      <c r="D56" t="s">
        <v>49</v>
      </c>
      <c r="F56" s="3" t="s">
        <v>97</v>
      </c>
      <c r="G56" s="12">
        <f>((SUMIFS(SSP1_Baseline!$E:$E,SSP1_Baseline!$C:$C,Results_list!$C$46,SSP1_Baseline!$D:$D,Results_list!$D56,SSP1_Baseline!$B:$B,2040)) - (SUMIFS(SSP1_Baseline!$E:$E,SSP1_Baseline!$C:$C,Results_list!$C$46,SSP1_Baseline!$D:$D,Results_list!$D56,SSP1_Baseline!$B:$B,2025))) / (SUMIFS(SSP1_Baseline!$E:$E,SSP1_Baseline!$C:$C,Results_list!$C$46,SSP1_Baseline!$D:$D,Results_list!$D56,SSP1_Baseline!$B:$B,2025))</f>
        <v>-0.10963070235078164</v>
      </c>
      <c r="H56" s="16">
        <f>((SUMIFS(SSP1_VSI!$F:$F,SSP1_VSI!$C:$C,Results_list!$C$46,SSP1_VSI!$D:$D,Results_list!$D56,SSP1_VSI!$B:$B,2040)) - (SUMIFS(SSP1_VSI!$F:$F,SSP1_VSI!$C:$C,Results_list!$C$46,SSP1_VSI!$D:$D,Results_list!$D56,SSP1_VSI!$B:$B,2025))) / (SUMIFS(SSP1_VSI!$F:$F,SSP1_VSI!$C:$C,Results_list!$C$46,SSP1_VSI!$D:$D,Results_list!$D56,SSP1_VSI!$B:$B,2025))</f>
        <v>-0.31029896645010974</v>
      </c>
      <c r="I56" s="13">
        <f t="shared" si="24"/>
        <v>-0.20100000000000001</v>
      </c>
      <c r="J56" s="12">
        <f>((SUMIFS(SSP2_Baseline!$E:$E,SSP2_Baseline!$C:$C,Results_list!$C$46,SSP2_Baseline!$D:$D,Results_list!$D56,SSP2_Baseline!$B:$B,2040)) - (SUMIFS(SSP2_Baseline!$E:$E,SSP2_Baseline!$C:$C,Results_list!$C$46,SSP2_Baseline!$D:$D,Results_list!$D56,SSP2_Baseline!$B:$B,2025))) / (SUMIFS(SSP2_Baseline!$E:$E,SSP2_Baseline!$C:$C,Results_list!$C$46,SSP2_Baseline!$D:$D,Results_list!$D56,SSP2_Baseline!$B:$B,2025))</f>
        <v>-9.9154099632106016E-2</v>
      </c>
      <c r="K56" s="16">
        <f>((SUMIFS(SSP2_VSI!$F:$F,SSP2_VSI!$C:$C,Results_list!$C$46,SSP2_VSI!$D:$D,Results_list!$D56,SSP2_VSI!$B:$B,2040)) - (SUMIFS(SSP2_VSI!$F:$F,SSP2_VSI!$C:$C,Results_list!$C$46,SSP2_VSI!$D:$D,Results_list!$D56,SSP2_VSI!$B:$B,2025))) / (SUMIFS(SSP2_VSI!$F:$F,SSP2_VSI!$C:$C,Results_list!$C$46,SSP2_VSI!$D:$D,Results_list!$D56,SSP2_VSI!$B:$B,2025))</f>
        <v>-0.30205455130864228</v>
      </c>
      <c r="L56" s="13">
        <f t="shared" si="25"/>
        <v>-0.2</v>
      </c>
      <c r="M56" s="12">
        <f>((SUMIFS(SSP5_Baseline!$E:$E,SSP5_Baseline!$C:$C,Results_list!$C$46,SSP5_Baseline!$D:$D,Results_list!$D56,SSP5_Baseline!$B:$B,2040)) - (SUMIFS(SSP5_Baseline!$E:$E,SSP5_Baseline!$C:$C,Results_list!$C$46,SSP5_Baseline!$D:$D,Results_list!$D56,SSP5_Baseline!$B:$B,2025))) / (SUMIFS(SSP5_Baseline!$E:$E,SSP5_Baseline!$C:$C,Results_list!$C$46,SSP5_Baseline!$D:$D,Results_list!$D56,SSP5_Baseline!$B:$B,2025))</f>
        <v>-9.4630781741059974E-2</v>
      </c>
      <c r="N56" s="16">
        <f>((SUMIFS(SSP5_VSI!$F:$F,SSP5_VSI!$C:$C,Results_list!$C$46,SSP5_VSI!$D:$D,Results_list!$D56,SSP5_VSI!$B:$B,2040)) - (SUMIFS(SSP5_VSI!$F:$F,SSP5_VSI!$C:$C,Results_list!$C$46,SSP5_VSI!$D:$D,Results_list!$D56,SSP5_VSI!$B:$B,2025))) / (SUMIFS(SSP5_VSI!$F:$F,SSP5_VSI!$C:$C,Results_list!$C$46,SSP5_VSI!$D:$D,Results_list!$D56,SSP5_VSI!$B:$B,2025))</f>
        <v>-0.3003296066361093</v>
      </c>
      <c r="O56" s="13">
        <f t="shared" si="26"/>
        <v>-0.21</v>
      </c>
      <c r="Q56" s="91"/>
      <c r="R56" s="91"/>
      <c r="S56" t="s">
        <v>49</v>
      </c>
      <c r="U56" s="3" t="s">
        <v>97</v>
      </c>
      <c r="V56" s="12">
        <f>((SUMIFS(SSP1_Baseline!$E:$E,SSP1_Baseline!$C:$C,Results_list!$C$151,SSP1_Baseline!$D:$D,Results_list!$D161,SSP1_Baseline!$B:$B,2040)) - (SUMIFS(SSP1_Baseline!$E:$E,SSP1_Baseline!$C:$C,Results_list!$C$151,SSP1_Baseline!$D:$D,Results_list!$D161,SSP1_Baseline!$B:$B,2025))) / (SUMIFS(SSP1_Baseline!$E:$E,SSP1_Baseline!$C:$C,Results_list!$C$151,SSP1_Baseline!$D:$D,Results_list!$D161,SSP1_Baseline!$B:$B,2025))</f>
        <v>-1.363554635718328E-2</v>
      </c>
      <c r="W56" s="16">
        <f>((SUMIFS(SSP1_VSI!$F:$F,SSP1_VSI!$C:$C,Results_list!$C$151,SSP1_VSI!$D:$D,Results_list!$D161,SSP1_VSI!$B:$B,2040)) - (SUMIFS(SSP1_VSI!$F:$F,SSP1_VSI!$C:$C,Results_list!$C$151,SSP1_VSI!$D:$D,Results_list!$D161,SSP1_VSI!$B:$B,2025))) / (SUMIFS(SSP1_VSI!$F:$F,SSP1_VSI!$C:$C,Results_list!$C$151,SSP1_VSI!$D:$D,Results_list!$D161,SSP1_VSI!$B:$B,2025))</f>
        <v>-0.5152841723791558</v>
      </c>
      <c r="X56" s="13">
        <f t="shared" si="27"/>
        <v>-0.502</v>
      </c>
      <c r="Y56" s="12">
        <f>((SUMIFS(SSP2_Baseline!$E:$E,SSP2_Baseline!$C:$C,Results_list!$C$151,SSP2_Baseline!$D:$D,Results_list!$D161,SSP2_Baseline!$B:$B,2040)) - (SUMIFS(SSP2_Baseline!$E:$E,SSP2_Baseline!$C:$C,Results_list!$C$151,SSP2_Baseline!$D:$D,Results_list!$D161,SSP2_Baseline!$B:$B,2025))) / (SUMIFS(SSP2_Baseline!$E:$E,SSP2_Baseline!$C:$C,Results_list!$C$151,SSP2_Baseline!$D:$D,Results_list!$D161,SSP2_Baseline!$B:$B,2025))</f>
        <v>-3.6015377104757509E-3</v>
      </c>
      <c r="Z56" s="16">
        <f>((SUMIFS(SSP2_VSI!$F:$F,SSP2_VSI!$C:$C,Results_list!$C$151,SSP2_VSI!$D:$D,Results_list!$D161,SSP2_VSI!$B:$B,2040)) - (SUMIFS(SSP2_VSI!$F:$F,SSP2_VSI!$C:$C,Results_list!$C$151,SSP2_VSI!$D:$D,Results_list!$D161,SSP2_VSI!$B:$B,2025))) / (SUMIFS(SSP2_VSI!$F:$F,SSP2_VSI!$C:$C,Results_list!$C$151,SSP2_VSI!$D:$D,Results_list!$D161,SSP2_VSI!$B:$B,2025))</f>
        <v>-0.51203694564185975</v>
      </c>
      <c r="AA56" s="13">
        <f t="shared" si="28"/>
        <v>-0.51</v>
      </c>
      <c r="AB56" s="12">
        <f>((SUMIFS(SSP5_Baseline!$E:$E,SSP5_Baseline!$C:$C,Results_list!$C$151,SSP5_Baseline!$D:$D,Results_list!$D161,SSP5_Baseline!$B:$B,2040)) - (SUMIFS(SSP5_Baseline!$E:$E,SSP5_Baseline!$C:$C,Results_list!$C$151,SSP5_Baseline!$D:$D,Results_list!$D161,SSP5_Baseline!$B:$B,2025))) / (SUMIFS(SSP5_Baseline!$E:$E,SSP5_Baseline!$C:$C,Results_list!$C$151,SSP5_Baseline!$D:$D,Results_list!$D161,SSP5_Baseline!$B:$B,2025))</f>
        <v>-9.3363778660912351E-4</v>
      </c>
      <c r="AC56" s="16">
        <f>((SUMIFS(SSP5_VSI!$F:$F,SSP5_VSI!$C:$C,Results_list!$C$151,SSP5_VSI!$D:$D,Results_list!$D161,SSP5_VSI!$B:$B,2040)) - (SUMIFS(SSP5_VSI!$F:$F,SSP5_VSI!$C:$C,Results_list!$C$151,SSP5_VSI!$D:$D,Results_list!$D161,SSP5_VSI!$B:$B,2025))) / (SUMIFS(SSP5_VSI!$F:$F,SSP5_VSI!$C:$C,Results_list!$C$151,SSP5_VSI!$D:$D,Results_list!$D161,SSP5_VSI!$B:$B,2025))</f>
        <v>-0.50972079852905416</v>
      </c>
      <c r="AD56" s="13">
        <f t="shared" si="29"/>
        <v>-0.51</v>
      </c>
      <c r="AF56" s="85"/>
      <c r="AG56" s="85"/>
      <c r="AH56" t="s">
        <v>49</v>
      </c>
      <c r="AJ56" s="3" t="s">
        <v>97</v>
      </c>
      <c r="AK56" s="12">
        <f>((SUMIFS(SSP1_Baseline!$E:$E,SSP1_Baseline!$C:$C,Results_list!$C$235,SSP1_Baseline!$D:$D,Results_list!$D56,SSP1_Baseline!$B:$B,2040)) - (SUMIFS(SSP1_Baseline!$E:$E,SSP1_Baseline!$C:$C,Results_list!$C$235,SSP1_Baseline!$D:$D,Results_list!$D56,SSP1_Baseline!$B:$B,2025))) / (SUMIFS(SSP1_Baseline!$E:$E,SSP1_Baseline!$C:$C,Results_list!$C$235,SSP1_Baseline!$D:$D,Results_list!$D56,SSP1_Baseline!$B:$B,2025))</f>
        <v>-6.6768656921389585E-2</v>
      </c>
      <c r="AL56" s="16">
        <f>((SUMIFS(SSP1_VSI!$F:$F,SSP1_VSI!$C:$C,Results_list!$C$235,SSP1_VSI!$D:$D,Results_list!$D56,SSP1_VSI!$B:$B,2040)) - (SUMIFS(SSP1_VSI!$F:$F,SSP1_VSI!$C:$C,Results_list!$C$235,SSP1_VSI!$D:$D,Results_list!$D56,SSP1_VSI!$B:$B,2025))) / (SUMIFS(SSP1_VSI!$F:$F,SSP1_VSI!$C:$C,Results_list!$C$235,SSP1_VSI!$D:$D,Results_list!$D56,SSP1_VSI!$B:$B,2025))</f>
        <v>-7.9440448543478648E-2</v>
      </c>
      <c r="AM56" s="13">
        <f t="shared" si="30"/>
        <v>-1.2999999999999999E-2</v>
      </c>
      <c r="AN56" s="12">
        <f>((SUMIFS(SSP2_Baseline!$E:$E,SSP2_Baseline!$C:$C,Results_list!$C$235,SSP2_Baseline!$D:$D,Results_list!$D56,SSP2_Baseline!$B:$B,2040)) - (SUMIFS(SSP2_Baseline!$E:$E,SSP2_Baseline!$C:$C,Results_list!$C$235,SSP2_Baseline!$D:$D,Results_list!$D56,SSP2_Baseline!$B:$B,2025))) / (SUMIFS(SSP2_Baseline!$E:$E,SSP2_Baseline!$C:$C,Results_list!$C$235,SSP2_Baseline!$D:$D,Results_list!$D56,SSP2_Baseline!$B:$B,2025))</f>
        <v>-5.889214274775563E-2</v>
      </c>
      <c r="AO56" s="16">
        <f>((SUMIFS(SSP2_VSI!$F:$F,SSP2_VSI!$C:$C,Results_list!$C$235,SSP2_VSI!$D:$D,Results_list!$D56,SSP2_VSI!$B:$B,2040)) - (SUMIFS(SSP2_VSI!$F:$F,SSP2_VSI!$C:$C,Results_list!$C$235,SSP2_VSI!$D:$D,Results_list!$D56,SSP2_VSI!$B:$B,2025))) / (SUMIFS(SSP2_VSI!$F:$F,SSP2_VSI!$C:$C,Results_list!$C$235,SSP2_VSI!$D:$D,Results_list!$D56,SSP2_VSI!$B:$B,2025))</f>
        <v>-7.1777650828488276E-2</v>
      </c>
      <c r="AP56" s="13">
        <f t="shared" si="31"/>
        <v>-0.01</v>
      </c>
      <c r="AQ56" s="12">
        <f>((SUMIFS(SSP5_Baseline!$E:$E,SSP5_Baseline!$C:$C,Results_list!$C$235,SSP5_Baseline!$D:$D,Results_list!$D56,SSP5_Baseline!$B:$B,2040)) - (SUMIFS(SSP5_Baseline!$E:$E,SSP5_Baseline!$C:$C,Results_list!$C$235,SSP5_Baseline!$D:$D,Results_list!$D56,SSP5_Baseline!$B:$B,2025))) / (SUMIFS(SSP5_Baseline!$E:$E,SSP5_Baseline!$C:$C,Results_list!$C$235,SSP5_Baseline!$D:$D,Results_list!$D56,SSP5_Baseline!$B:$B,2025))</f>
        <v>-3.7372397022944662E-2</v>
      </c>
      <c r="AR56" s="16">
        <f>((SUMIFS(SSP5_VSI!$F:$F,SSP5_VSI!$C:$C,Results_list!$C$235,SSP5_VSI!$D:$D,Results_list!$D56,SSP5_VSI!$B:$B,2040)) - (SUMIFS(SSP5_VSI!$F:$F,SSP5_VSI!$C:$C,Results_list!$C$235,SSP5_VSI!$D:$D,Results_list!$D56,SSP5_VSI!$B:$B,2025))) / (SUMIFS(SSP5_VSI!$F:$F,SSP5_VSI!$C:$C,Results_list!$C$235,SSP5_VSI!$D:$D,Results_list!$D56,SSP5_VSI!$B:$B,2025))</f>
        <v>-5.0222915061037335E-2</v>
      </c>
      <c r="AS56" s="13">
        <f t="shared" si="32"/>
        <v>-0.01</v>
      </c>
      <c r="AU56" s="87"/>
      <c r="AV56" s="87"/>
      <c r="AW56" s="22" t="s">
        <v>49</v>
      </c>
      <c r="AX56" s="24" t="s">
        <v>81</v>
      </c>
      <c r="AY56" s="3" t="s">
        <v>97</v>
      </c>
      <c r="AZ56" s="12">
        <v>-0.28987125413493786</v>
      </c>
      <c r="BA56" s="16">
        <v>-0.28987206180427971</v>
      </c>
      <c r="BB56" s="13">
        <f t="shared" si="33"/>
        <v>0</v>
      </c>
      <c r="BC56" s="12">
        <v>-0.29320674723041412</v>
      </c>
      <c r="BD56" s="16">
        <v>-0.29320389635951405</v>
      </c>
      <c r="BE56" s="13">
        <f t="shared" si="34"/>
        <v>0</v>
      </c>
      <c r="BF56" s="12">
        <v>-0.24766584356319002</v>
      </c>
      <c r="BG56" s="16">
        <v>-0.24766556457054961</v>
      </c>
      <c r="BH56" s="13">
        <f t="shared" si="35"/>
        <v>0</v>
      </c>
    </row>
    <row r="57" spans="2:60" x14ac:dyDescent="0.35">
      <c r="B57" s="91"/>
      <c r="C57" s="91"/>
      <c r="D57" t="s">
        <v>50</v>
      </c>
      <c r="F57" s="3" t="s">
        <v>98</v>
      </c>
      <c r="G57" s="12">
        <f>((SUMIFS(SSP1_Baseline!$E:$E,SSP1_Baseline!$C:$C,Results_list!$C$46,SSP1_Baseline!$D:$D,Results_list!$D57,SSP1_Baseline!$B:$B,2040)) - (SUMIFS(SSP1_Baseline!$E:$E,SSP1_Baseline!$C:$C,Results_list!$C$46,SSP1_Baseline!$D:$D,Results_list!$D57,SSP1_Baseline!$B:$B,2025))) / (SUMIFS(SSP1_Baseline!$E:$E,SSP1_Baseline!$C:$C,Results_list!$C$46,SSP1_Baseline!$D:$D,Results_list!$D57,SSP1_Baseline!$B:$B,2025))</f>
        <v>-5.6535347677027267E-2</v>
      </c>
      <c r="H57" s="16">
        <f>((SUMIFS(SSP1_VSI!$F:$F,SSP1_VSI!$C:$C,Results_list!$C$46,SSP1_VSI!$D:$D,Results_list!$D57,SSP1_VSI!$B:$B,2040)) - (SUMIFS(SSP1_VSI!$F:$F,SSP1_VSI!$C:$C,Results_list!$C$46,SSP1_VSI!$D:$D,Results_list!$D57,SSP1_VSI!$B:$B,2025))) / (SUMIFS(SSP1_VSI!$F:$F,SSP1_VSI!$C:$C,Results_list!$C$46,SSP1_VSI!$D:$D,Results_list!$D57,SSP1_VSI!$B:$B,2025))</f>
        <v>-5.6536365945338035E-2</v>
      </c>
      <c r="I57" s="13">
        <f t="shared" si="24"/>
        <v>0</v>
      </c>
      <c r="J57" s="12">
        <f>((SUMIFS(SSP2_Baseline!$E:$E,SSP2_Baseline!$C:$C,Results_list!$C$46,SSP2_Baseline!$D:$D,Results_list!$D57,SSP2_Baseline!$B:$B,2040)) - (SUMIFS(SSP2_Baseline!$E:$E,SSP2_Baseline!$C:$C,Results_list!$C$46,SSP2_Baseline!$D:$D,Results_list!$D57,SSP2_Baseline!$B:$B,2025))) / (SUMIFS(SSP2_Baseline!$E:$E,SSP2_Baseline!$C:$C,Results_list!$C$46,SSP2_Baseline!$D:$D,Results_list!$D57,SSP2_Baseline!$B:$B,2025))</f>
        <v>3.3819056234190709E-2</v>
      </c>
      <c r="K57" s="16">
        <f>((SUMIFS(SSP2_VSI!$F:$F,SSP2_VSI!$C:$C,Results_list!$C$46,SSP2_VSI!$D:$D,Results_list!$D57,SSP2_VSI!$B:$B,2040)) - (SUMIFS(SSP2_VSI!$F:$F,SSP2_VSI!$C:$C,Results_list!$C$46,SSP2_VSI!$D:$D,Results_list!$D57,SSP2_VSI!$B:$B,2025))) / (SUMIFS(SSP2_VSI!$F:$F,SSP2_VSI!$C:$C,Results_list!$C$46,SSP2_VSI!$D:$D,Results_list!$D57,SSP2_VSI!$B:$B,2025))</f>
        <v>3.381862378034569E-2</v>
      </c>
      <c r="L57" s="13">
        <f t="shared" si="25"/>
        <v>0</v>
      </c>
      <c r="M57" s="12">
        <f>((SUMIFS(SSP5_Baseline!$E:$E,SSP5_Baseline!$C:$C,Results_list!$C$46,SSP5_Baseline!$D:$D,Results_list!$D57,SSP5_Baseline!$B:$B,2040)) - (SUMIFS(SSP5_Baseline!$E:$E,SSP5_Baseline!$C:$C,Results_list!$C$46,SSP5_Baseline!$D:$D,Results_list!$D57,SSP5_Baseline!$B:$B,2025))) / (SUMIFS(SSP5_Baseline!$E:$E,SSP5_Baseline!$C:$C,Results_list!$C$46,SSP5_Baseline!$D:$D,Results_list!$D57,SSP5_Baseline!$B:$B,2025))</f>
        <v>7.0530736823061865E-2</v>
      </c>
      <c r="N57" s="16">
        <f>((SUMIFS(SSP5_VSI!$F:$F,SSP5_VSI!$C:$C,Results_list!$C$46,SSP5_VSI!$D:$D,Results_list!$D57,SSP5_VSI!$B:$B,2040)) - (SUMIFS(SSP5_VSI!$F:$F,SSP5_VSI!$C:$C,Results_list!$C$46,SSP5_VSI!$D:$D,Results_list!$D57,SSP5_VSI!$B:$B,2025))) / (SUMIFS(SSP5_VSI!$F:$F,SSP5_VSI!$C:$C,Results_list!$C$46,SSP5_VSI!$D:$D,Results_list!$D57,SSP5_VSI!$B:$B,2025))</f>
        <v>7.0532752336250865E-2</v>
      </c>
      <c r="O57" s="13">
        <f t="shared" si="26"/>
        <v>0</v>
      </c>
      <c r="Q57" s="91"/>
      <c r="R57" s="91"/>
      <c r="S57" t="s">
        <v>50</v>
      </c>
      <c r="U57" s="3" t="s">
        <v>98</v>
      </c>
      <c r="V57" s="12">
        <f>((SUMIFS(SSP1_Baseline!$E:$E,SSP1_Baseline!$C:$C,Results_list!$C$151,SSP1_Baseline!$D:$D,Results_list!$D162,SSP1_Baseline!$B:$B,2040)) - (SUMIFS(SSP1_Baseline!$E:$E,SSP1_Baseline!$C:$C,Results_list!$C$151,SSP1_Baseline!$D:$D,Results_list!$D162,SSP1_Baseline!$B:$B,2025))) / (SUMIFS(SSP1_Baseline!$E:$E,SSP1_Baseline!$C:$C,Results_list!$C$151,SSP1_Baseline!$D:$D,Results_list!$D162,SSP1_Baseline!$B:$B,2025))</f>
        <v>-7.7046563485249922E-2</v>
      </c>
      <c r="W57" s="16">
        <f>((SUMIFS(SSP1_VSI!$F:$F,SSP1_VSI!$C:$C,Results_list!$C$151,SSP1_VSI!$D:$D,Results_list!$D162,SSP1_VSI!$B:$B,2040)) - (SUMIFS(SSP1_VSI!$F:$F,SSP1_VSI!$C:$C,Results_list!$C$151,SSP1_VSI!$D:$D,Results_list!$D162,SSP1_VSI!$B:$B,2025))) / (SUMIFS(SSP1_VSI!$F:$F,SSP1_VSI!$C:$C,Results_list!$C$151,SSP1_VSI!$D:$D,Results_list!$D162,SSP1_VSI!$B:$B,2025))</f>
        <v>-7.7047840571968715E-2</v>
      </c>
      <c r="X57" s="13">
        <f t="shared" si="27"/>
        <v>0</v>
      </c>
      <c r="Y57" s="12">
        <f>((SUMIFS(SSP2_Baseline!$E:$E,SSP2_Baseline!$C:$C,Results_list!$C$151,SSP2_Baseline!$D:$D,Results_list!$D162,SSP2_Baseline!$B:$B,2040)) - (SUMIFS(SSP2_Baseline!$E:$E,SSP2_Baseline!$C:$C,Results_list!$C$151,SSP2_Baseline!$D:$D,Results_list!$D162,SSP2_Baseline!$B:$B,2025))) / (SUMIFS(SSP2_Baseline!$E:$E,SSP2_Baseline!$C:$C,Results_list!$C$151,SSP2_Baseline!$D:$D,Results_list!$D162,SSP2_Baseline!$B:$B,2025))</f>
        <v>0.33318964933088224</v>
      </c>
      <c r="Z57" s="16">
        <f>((SUMIFS(SSP2_VSI!$F:$F,SSP2_VSI!$C:$C,Results_list!$C$151,SSP2_VSI!$D:$D,Results_list!$D162,SSP2_VSI!$B:$B,2040)) - (SUMIFS(SSP2_VSI!$F:$F,SSP2_VSI!$C:$C,Results_list!$C$151,SSP2_VSI!$D:$D,Results_list!$D162,SSP2_VSI!$B:$B,2025))) / (SUMIFS(SSP2_VSI!$F:$F,SSP2_VSI!$C:$C,Results_list!$C$151,SSP2_VSI!$D:$D,Results_list!$D162,SSP2_VSI!$B:$B,2025))</f>
        <v>0.33318579456078434</v>
      </c>
      <c r="AA57" s="13">
        <f t="shared" si="28"/>
        <v>0</v>
      </c>
      <c r="AB57" s="12">
        <f>((SUMIFS(SSP5_Baseline!$E:$E,SSP5_Baseline!$C:$C,Results_list!$C$151,SSP5_Baseline!$D:$D,Results_list!$D162,SSP5_Baseline!$B:$B,2040)) - (SUMIFS(SSP5_Baseline!$E:$E,SSP5_Baseline!$C:$C,Results_list!$C$151,SSP5_Baseline!$D:$D,Results_list!$D162,SSP5_Baseline!$B:$B,2025))) / (SUMIFS(SSP5_Baseline!$E:$E,SSP5_Baseline!$C:$C,Results_list!$C$151,SSP5_Baseline!$D:$D,Results_list!$D162,SSP5_Baseline!$B:$B,2025))</f>
        <v>0.5167109763056098</v>
      </c>
      <c r="AC57" s="16">
        <f>((SUMIFS(SSP5_VSI!$F:$F,SSP5_VSI!$C:$C,Results_list!$C$151,SSP5_VSI!$D:$D,Results_list!$D162,SSP5_VSI!$B:$B,2040)) - (SUMIFS(SSP5_VSI!$F:$F,SSP5_VSI!$C:$C,Results_list!$C$151,SSP5_VSI!$D:$D,Results_list!$D162,SSP5_VSI!$B:$B,2025))) / (SUMIFS(SSP5_VSI!$F:$F,SSP5_VSI!$C:$C,Results_list!$C$151,SSP5_VSI!$D:$D,Results_list!$D162,SSP5_VSI!$B:$B,2025))</f>
        <v>0.51672723045198676</v>
      </c>
      <c r="AD57" s="13">
        <f t="shared" si="29"/>
        <v>0</v>
      </c>
      <c r="AF57" s="85"/>
      <c r="AG57" s="85"/>
      <c r="AH57" t="s">
        <v>50</v>
      </c>
      <c r="AJ57" s="3" t="s">
        <v>98</v>
      </c>
      <c r="AK57" s="12">
        <f>((SUMIFS(SSP1_Baseline!$E:$E,SSP1_Baseline!$C:$C,Results_list!$C$235,SSP1_Baseline!$D:$D,Results_list!$D57,SSP1_Baseline!$B:$B,2040)) - (SUMIFS(SSP1_Baseline!$E:$E,SSP1_Baseline!$C:$C,Results_list!$C$235,SSP1_Baseline!$D:$D,Results_list!$D57,SSP1_Baseline!$B:$B,2025))) / (SUMIFS(SSP1_Baseline!$E:$E,SSP1_Baseline!$C:$C,Results_list!$C$235,SSP1_Baseline!$D:$D,Results_list!$D57,SSP1_Baseline!$B:$B,2025))</f>
        <v>-5.7698722093169931E-2</v>
      </c>
      <c r="AL57" s="16">
        <f>((SUMIFS(SSP1_VSI!$F:$F,SSP1_VSI!$C:$C,Results_list!$C$235,SSP1_VSI!$D:$D,Results_list!$D57,SSP1_VSI!$B:$B,2040)) - (SUMIFS(SSP1_VSI!$F:$F,SSP1_VSI!$C:$C,Results_list!$C$235,SSP1_VSI!$D:$D,Results_list!$D57,SSP1_VSI!$B:$B,2025))) / (SUMIFS(SSP1_VSI!$F:$F,SSP1_VSI!$C:$C,Results_list!$C$235,SSP1_VSI!$D:$D,Results_list!$D57,SSP1_VSI!$B:$B,2025))</f>
        <v>-5.7700510784850945E-2</v>
      </c>
      <c r="AM57" s="13">
        <f t="shared" si="30"/>
        <v>0</v>
      </c>
      <c r="AN57" s="12">
        <f>((SUMIFS(SSP2_Baseline!$E:$E,SSP2_Baseline!$C:$C,Results_list!$C$235,SSP2_Baseline!$D:$D,Results_list!$D57,SSP2_Baseline!$B:$B,2040)) - (SUMIFS(SSP2_Baseline!$E:$E,SSP2_Baseline!$C:$C,Results_list!$C$235,SSP2_Baseline!$D:$D,Results_list!$D57,SSP2_Baseline!$B:$B,2025))) / (SUMIFS(SSP2_Baseline!$E:$E,SSP2_Baseline!$C:$C,Results_list!$C$235,SSP2_Baseline!$D:$D,Results_list!$D57,SSP2_Baseline!$B:$B,2025))</f>
        <v>-5.3187696781343717E-3</v>
      </c>
      <c r="AO57" s="16">
        <f>((SUMIFS(SSP2_VSI!$F:$F,SSP2_VSI!$C:$C,Results_list!$C$235,SSP2_VSI!$D:$D,Results_list!$D57,SSP2_VSI!$B:$B,2040)) - (SUMIFS(SSP2_VSI!$F:$F,SSP2_VSI!$C:$C,Results_list!$C$235,SSP2_VSI!$D:$D,Results_list!$D57,SSP2_VSI!$B:$B,2025))) / (SUMIFS(SSP2_VSI!$F:$F,SSP2_VSI!$C:$C,Results_list!$C$235,SSP2_VSI!$D:$D,Results_list!$D57,SSP2_VSI!$B:$B,2025))</f>
        <v>-5.3195768424405135E-3</v>
      </c>
      <c r="AP57" s="13">
        <f t="shared" si="31"/>
        <v>0</v>
      </c>
      <c r="AQ57" s="12">
        <f>((SUMIFS(SSP5_Baseline!$E:$E,SSP5_Baseline!$C:$C,Results_list!$C$235,SSP5_Baseline!$D:$D,Results_list!$D57,SSP5_Baseline!$B:$B,2040)) - (SUMIFS(SSP5_Baseline!$E:$E,SSP5_Baseline!$C:$C,Results_list!$C$235,SSP5_Baseline!$D:$D,Results_list!$D57,SSP5_Baseline!$B:$B,2025))) / (SUMIFS(SSP5_Baseline!$E:$E,SSP5_Baseline!$C:$C,Results_list!$C$235,SSP5_Baseline!$D:$D,Results_list!$D57,SSP5_Baseline!$B:$B,2025))</f>
        <v>4.1627386220386989E-2</v>
      </c>
      <c r="AR57" s="16">
        <f>((SUMIFS(SSP5_VSI!$F:$F,SSP5_VSI!$C:$C,Results_list!$C$235,SSP5_VSI!$D:$D,Results_list!$D57,SSP5_VSI!$B:$B,2040)) - (SUMIFS(SSP5_VSI!$F:$F,SSP5_VSI!$C:$C,Results_list!$C$235,SSP5_VSI!$D:$D,Results_list!$D57,SSP5_VSI!$B:$B,2025))) / (SUMIFS(SSP5_VSI!$F:$F,SSP5_VSI!$C:$C,Results_list!$C$235,SSP5_VSI!$D:$D,Results_list!$D57,SSP5_VSI!$B:$B,2025))</f>
        <v>4.1632665564197188E-2</v>
      </c>
      <c r="AS57" s="13">
        <f t="shared" si="32"/>
        <v>0</v>
      </c>
      <c r="AU57" s="87"/>
      <c r="AV57" s="87"/>
      <c r="AW57" s="22" t="s">
        <v>50</v>
      </c>
      <c r="AX57" s="24" t="s">
        <v>81</v>
      </c>
      <c r="AY57" s="3" t="s">
        <v>98</v>
      </c>
      <c r="AZ57" s="12">
        <v>-0.27751448515584376</v>
      </c>
      <c r="BA57" s="16">
        <v>-0.27751234327400354</v>
      </c>
      <c r="BB57" s="13">
        <f t="shared" si="33"/>
        <v>0</v>
      </c>
      <c r="BC57" s="12">
        <v>-0.13434038166522935</v>
      </c>
      <c r="BD57" s="16">
        <v>-0.13434094430164756</v>
      </c>
      <c r="BE57" s="13">
        <f t="shared" si="34"/>
        <v>0</v>
      </c>
      <c r="BF57" s="12">
        <v>0.11212343015681242</v>
      </c>
      <c r="BG57" s="16">
        <v>0.11212979486644858</v>
      </c>
      <c r="BH57" s="13">
        <f t="shared" si="35"/>
        <v>0</v>
      </c>
    </row>
    <row r="58" spans="2:60" x14ac:dyDescent="0.35">
      <c r="B58" s="91"/>
      <c r="C58" s="91"/>
      <c r="D58" t="s">
        <v>51</v>
      </c>
      <c r="F58" s="3" t="s">
        <v>99</v>
      </c>
      <c r="G58" s="12">
        <f>((SUMIFS(SSP1_Baseline!$E:$E,SSP1_Baseline!$C:$C,Results_list!$C$46,SSP1_Baseline!$D:$D,Results_list!$D58,SSP1_Baseline!$B:$B,2040)) - (SUMIFS(SSP1_Baseline!$E:$E,SSP1_Baseline!$C:$C,Results_list!$C$46,SSP1_Baseline!$D:$D,Results_list!$D58,SSP1_Baseline!$B:$B,2025))) / (SUMIFS(SSP1_Baseline!$E:$E,SSP1_Baseline!$C:$C,Results_list!$C$46,SSP1_Baseline!$D:$D,Results_list!$D58,SSP1_Baseline!$B:$B,2025))</f>
        <v>6.4163182911326611E-2</v>
      </c>
      <c r="H58" s="16">
        <f>((SUMIFS(SSP1_VSI!$F:$F,SSP1_VSI!$C:$C,Results_list!$C$46,SSP1_VSI!$D:$D,Results_list!$D58,SSP1_VSI!$B:$B,2040)) - (SUMIFS(SSP1_VSI!$F:$F,SSP1_VSI!$C:$C,Results_list!$C$46,SSP1_VSI!$D:$D,Results_list!$D58,SSP1_VSI!$B:$B,2025))) / (SUMIFS(SSP1_VSI!$F:$F,SSP1_VSI!$C:$C,Results_list!$C$46,SSP1_VSI!$D:$D,Results_list!$D58,SSP1_VSI!$B:$B,2025))</f>
        <v>6.4159835991015407E-2</v>
      </c>
      <c r="I58" s="13">
        <f t="shared" si="24"/>
        <v>0</v>
      </c>
      <c r="J58" s="12">
        <f>((SUMIFS(SSP2_Baseline!$E:$E,SSP2_Baseline!$C:$C,Results_list!$C$46,SSP2_Baseline!$D:$D,Results_list!$D58,SSP2_Baseline!$B:$B,2040)) - (SUMIFS(SSP2_Baseline!$E:$E,SSP2_Baseline!$C:$C,Results_list!$C$46,SSP2_Baseline!$D:$D,Results_list!$D58,SSP2_Baseline!$B:$B,2025))) / (SUMIFS(SSP2_Baseline!$E:$E,SSP2_Baseline!$C:$C,Results_list!$C$46,SSP2_Baseline!$D:$D,Results_list!$D58,SSP2_Baseline!$B:$B,2025))</f>
        <v>6.535725822813121E-2</v>
      </c>
      <c r="K58" s="16">
        <f>((SUMIFS(SSP2_VSI!$F:$F,SSP2_VSI!$C:$C,Results_list!$C$46,SSP2_VSI!$D:$D,Results_list!$D58,SSP2_VSI!$B:$B,2040)) - (SUMIFS(SSP2_VSI!$F:$F,SSP2_VSI!$C:$C,Results_list!$C$46,SSP2_VSI!$D:$D,Results_list!$D58,SSP2_VSI!$B:$B,2025))) / (SUMIFS(SSP2_VSI!$F:$F,SSP2_VSI!$C:$C,Results_list!$C$46,SSP2_VSI!$D:$D,Results_list!$D58,SSP2_VSI!$B:$B,2025))</f>
        <v>6.5335283140865175E-2</v>
      </c>
      <c r="L58" s="13">
        <f t="shared" si="25"/>
        <v>0</v>
      </c>
      <c r="M58" s="12">
        <f>((SUMIFS(SSP5_Baseline!$E:$E,SSP5_Baseline!$C:$C,Results_list!$C$46,SSP5_Baseline!$D:$D,Results_list!$D58,SSP5_Baseline!$B:$B,2040)) - (SUMIFS(SSP5_Baseline!$E:$E,SSP5_Baseline!$C:$C,Results_list!$C$46,SSP5_Baseline!$D:$D,Results_list!$D58,SSP5_Baseline!$B:$B,2025))) / (SUMIFS(SSP5_Baseline!$E:$E,SSP5_Baseline!$C:$C,Results_list!$C$46,SSP5_Baseline!$D:$D,Results_list!$D58,SSP5_Baseline!$B:$B,2025))</f>
        <v>-2.8643849093364603E-2</v>
      </c>
      <c r="N58" s="16">
        <f>((SUMIFS(SSP5_VSI!$F:$F,SSP5_VSI!$C:$C,Results_list!$C$46,SSP5_VSI!$D:$D,Results_list!$D58,SSP5_VSI!$B:$B,2040)) - (SUMIFS(SSP5_VSI!$F:$F,SSP5_VSI!$C:$C,Results_list!$C$46,SSP5_VSI!$D:$D,Results_list!$D58,SSP5_VSI!$B:$B,2025))) / (SUMIFS(SSP5_VSI!$F:$F,SSP5_VSI!$C:$C,Results_list!$C$46,SSP5_VSI!$D:$D,Results_list!$D58,SSP5_VSI!$B:$B,2025))</f>
        <v>-2.8636924720155787E-2</v>
      </c>
      <c r="O58" s="13">
        <f t="shared" si="26"/>
        <v>0</v>
      </c>
      <c r="Q58" s="91"/>
      <c r="R58" s="91"/>
      <c r="S58" t="s">
        <v>51</v>
      </c>
      <c r="U58" s="3" t="s">
        <v>99</v>
      </c>
      <c r="V58" s="12">
        <f>((SUMIFS(SSP1_Baseline!$E:$E,SSP1_Baseline!$C:$C,Results_list!$C$151,SSP1_Baseline!$D:$D,Results_list!$D163,SSP1_Baseline!$B:$B,2040)) - (SUMIFS(SSP1_Baseline!$E:$E,SSP1_Baseline!$C:$C,Results_list!$C$151,SSP1_Baseline!$D:$D,Results_list!$D163,SSP1_Baseline!$B:$B,2025))) / (SUMIFS(SSP1_Baseline!$E:$E,SSP1_Baseline!$C:$C,Results_list!$C$151,SSP1_Baseline!$D:$D,Results_list!$D163,SSP1_Baseline!$B:$B,2025))</f>
        <v>9.8704874080630641E-4</v>
      </c>
      <c r="W58" s="16">
        <f>((SUMIFS(SSP1_VSI!$F:$F,SSP1_VSI!$C:$C,Results_list!$C$151,SSP1_VSI!$D:$D,Results_list!$D163,SSP1_VSI!$B:$B,2040)) - (SUMIFS(SSP1_VSI!$F:$F,SSP1_VSI!$C:$C,Results_list!$C$151,SSP1_VSI!$D:$D,Results_list!$D163,SSP1_VSI!$B:$B,2025))) / (SUMIFS(SSP1_VSI!$F:$F,SSP1_VSI!$C:$C,Results_list!$C$151,SSP1_VSI!$D:$D,Results_list!$D163,SSP1_VSI!$B:$B,2025))</f>
        <v>9.8350251844153431E-4</v>
      </c>
      <c r="X58" s="13">
        <f t="shared" si="27"/>
        <v>0</v>
      </c>
      <c r="Y58" s="12">
        <f>((SUMIFS(SSP2_Baseline!$E:$E,SSP2_Baseline!$C:$C,Results_list!$C$151,SSP2_Baseline!$D:$D,Results_list!$D163,SSP2_Baseline!$B:$B,2040)) - (SUMIFS(SSP2_Baseline!$E:$E,SSP2_Baseline!$C:$C,Results_list!$C$151,SSP2_Baseline!$D:$D,Results_list!$D163,SSP2_Baseline!$B:$B,2025))) / (SUMIFS(SSP2_Baseline!$E:$E,SSP2_Baseline!$C:$C,Results_list!$C$151,SSP2_Baseline!$D:$D,Results_list!$D163,SSP2_Baseline!$B:$B,2025))</f>
        <v>4.3959630494294667E-3</v>
      </c>
      <c r="Z58" s="16">
        <f>((SUMIFS(SSP2_VSI!$F:$F,SSP2_VSI!$C:$C,Results_list!$C$151,SSP2_VSI!$D:$D,Results_list!$D163,SSP2_VSI!$B:$B,2040)) - (SUMIFS(SSP2_VSI!$F:$F,SSP2_VSI!$C:$C,Results_list!$C$151,SSP2_VSI!$D:$D,Results_list!$D163,SSP2_VSI!$B:$B,2025))) / (SUMIFS(SSP2_VSI!$F:$F,SSP2_VSI!$C:$C,Results_list!$C$151,SSP2_VSI!$D:$D,Results_list!$D163,SSP2_VSI!$B:$B,2025))</f>
        <v>4.3521285653914006E-3</v>
      </c>
      <c r="AA58" s="13">
        <f t="shared" si="28"/>
        <v>0</v>
      </c>
      <c r="AB58" s="12">
        <f>((SUMIFS(SSP5_Baseline!$E:$E,SSP5_Baseline!$C:$C,Results_list!$C$151,SSP5_Baseline!$D:$D,Results_list!$D163,SSP5_Baseline!$B:$B,2040)) - (SUMIFS(SSP5_Baseline!$E:$E,SSP5_Baseline!$C:$C,Results_list!$C$151,SSP5_Baseline!$D:$D,Results_list!$D163,SSP5_Baseline!$B:$B,2025))) / (SUMIFS(SSP5_Baseline!$E:$E,SSP5_Baseline!$C:$C,Results_list!$C$151,SSP5_Baseline!$D:$D,Results_list!$D163,SSP5_Baseline!$B:$B,2025))</f>
        <v>-4.3757435105389458E-3</v>
      </c>
      <c r="AC58" s="16">
        <f>((SUMIFS(SSP5_VSI!$F:$F,SSP5_VSI!$C:$C,Results_list!$C$151,SSP5_VSI!$D:$D,Results_list!$D163,SSP5_VSI!$B:$B,2040)) - (SUMIFS(SSP5_VSI!$F:$F,SSP5_VSI!$C:$C,Results_list!$C$151,SSP5_VSI!$D:$D,Results_list!$D163,SSP5_VSI!$B:$B,2025))) / (SUMIFS(SSP5_VSI!$F:$F,SSP5_VSI!$C:$C,Results_list!$C$151,SSP5_VSI!$D:$D,Results_list!$D163,SSP5_VSI!$B:$B,2025))</f>
        <v>-4.3602262791357467E-3</v>
      </c>
      <c r="AD58" s="13">
        <f t="shared" si="29"/>
        <v>0</v>
      </c>
      <c r="AF58" s="85"/>
      <c r="AG58" s="85"/>
      <c r="AH58" t="s">
        <v>51</v>
      </c>
      <c r="AJ58" s="3" t="s">
        <v>99</v>
      </c>
      <c r="AK58" s="12">
        <f>((SUMIFS(SSP1_Baseline!$E:$E,SSP1_Baseline!$C:$C,Results_list!$C$235,SSP1_Baseline!$D:$D,Results_list!$D58,SSP1_Baseline!$B:$B,2040)) - (SUMIFS(SSP1_Baseline!$E:$E,SSP1_Baseline!$C:$C,Results_list!$C$235,SSP1_Baseline!$D:$D,Results_list!$D58,SSP1_Baseline!$B:$B,2025))) / (SUMIFS(SSP1_Baseline!$E:$E,SSP1_Baseline!$C:$C,Results_list!$C$235,SSP1_Baseline!$D:$D,Results_list!$D58,SSP1_Baseline!$B:$B,2025))</f>
        <v>5.7404595379461527E-2</v>
      </c>
      <c r="AL58" s="16">
        <f>((SUMIFS(SSP1_VSI!$F:$F,SSP1_VSI!$C:$C,Results_list!$C$235,SSP1_VSI!$D:$D,Results_list!$D58,SSP1_VSI!$B:$B,2040)) - (SUMIFS(SSP1_VSI!$F:$F,SSP1_VSI!$C:$C,Results_list!$C$235,SSP1_VSI!$D:$D,Results_list!$D58,SSP1_VSI!$B:$B,2025))) / (SUMIFS(SSP1_VSI!$F:$F,SSP1_VSI!$C:$C,Results_list!$C$235,SSP1_VSI!$D:$D,Results_list!$D58,SSP1_VSI!$B:$B,2025))</f>
        <v>5.7395064495870451E-2</v>
      </c>
      <c r="AM58" s="13">
        <f t="shared" si="30"/>
        <v>0</v>
      </c>
      <c r="AN58" s="12">
        <f>((SUMIFS(SSP2_Baseline!$E:$E,SSP2_Baseline!$C:$C,Results_list!$C$235,SSP2_Baseline!$D:$D,Results_list!$D58,SSP2_Baseline!$B:$B,2040)) - (SUMIFS(SSP2_Baseline!$E:$E,SSP2_Baseline!$C:$C,Results_list!$C$235,SSP2_Baseline!$D:$D,Results_list!$D58,SSP2_Baseline!$B:$B,2025))) / (SUMIFS(SSP2_Baseline!$E:$E,SSP2_Baseline!$C:$C,Results_list!$C$235,SSP2_Baseline!$D:$D,Results_list!$D58,SSP2_Baseline!$B:$B,2025))</f>
        <v>5.1072354245055449E-2</v>
      </c>
      <c r="AO58" s="16">
        <f>((SUMIFS(SSP2_VSI!$F:$F,SSP2_VSI!$C:$C,Results_list!$C$235,SSP2_VSI!$D:$D,Results_list!$D58,SSP2_VSI!$B:$B,2040)) - (SUMIFS(SSP2_VSI!$F:$F,SSP2_VSI!$C:$C,Results_list!$C$235,SSP2_VSI!$D:$D,Results_list!$D58,SSP2_VSI!$B:$B,2025))) / (SUMIFS(SSP2_VSI!$F:$F,SSP2_VSI!$C:$C,Results_list!$C$235,SSP2_VSI!$D:$D,Results_list!$D58,SSP2_VSI!$B:$B,2025))</f>
        <v>5.1002426907591103E-2</v>
      </c>
      <c r="AP58" s="13">
        <f t="shared" si="31"/>
        <v>0</v>
      </c>
      <c r="AQ58" s="12">
        <f>((SUMIFS(SSP5_Baseline!$E:$E,SSP5_Baseline!$C:$C,Results_list!$C$235,SSP5_Baseline!$D:$D,Results_list!$D58,SSP5_Baseline!$B:$B,2040)) - (SUMIFS(SSP5_Baseline!$E:$E,SSP5_Baseline!$C:$C,Results_list!$C$235,SSP5_Baseline!$D:$D,Results_list!$D58,SSP5_Baseline!$B:$B,2025))) / (SUMIFS(SSP5_Baseline!$E:$E,SSP5_Baseline!$C:$C,Results_list!$C$235,SSP5_Baseline!$D:$D,Results_list!$D58,SSP5_Baseline!$B:$B,2025))</f>
        <v>-1.5652287249435088E-2</v>
      </c>
      <c r="AR58" s="16">
        <f>((SUMIFS(SSP5_VSI!$F:$F,SSP5_VSI!$C:$C,Results_list!$C$235,SSP5_VSI!$D:$D,Results_list!$D58,SSP5_VSI!$B:$B,2040)) - (SUMIFS(SSP5_VSI!$F:$F,SSP5_VSI!$C:$C,Results_list!$C$235,SSP5_VSI!$D:$D,Results_list!$D58,SSP5_VSI!$B:$B,2025))) / (SUMIFS(SSP5_VSI!$F:$F,SSP5_VSI!$C:$C,Results_list!$C$235,SSP5_VSI!$D:$D,Results_list!$D58,SSP5_VSI!$B:$B,2025))</f>
        <v>-1.5620777079585259E-2</v>
      </c>
      <c r="AS58" s="13">
        <f t="shared" si="32"/>
        <v>0</v>
      </c>
      <c r="AU58" s="87"/>
      <c r="AV58" s="87"/>
      <c r="AW58" s="22" t="s">
        <v>51</v>
      </c>
      <c r="AX58" s="24" t="s">
        <v>81</v>
      </c>
      <c r="AY58" s="3" t="s">
        <v>99</v>
      </c>
      <c r="AZ58" s="12">
        <v>7.543606852235854E-2</v>
      </c>
      <c r="BA58" s="16">
        <v>7.5428139358642482E-2</v>
      </c>
      <c r="BB58" s="13">
        <f t="shared" si="33"/>
        <v>0</v>
      </c>
      <c r="BC58" s="12">
        <v>6.6995712224008477E-2</v>
      </c>
      <c r="BD58" s="16">
        <v>6.7032381008034686E-2</v>
      </c>
      <c r="BE58" s="13">
        <f t="shared" si="34"/>
        <v>0</v>
      </c>
      <c r="BF58" s="12">
        <v>-4.2385688087029586E-3</v>
      </c>
      <c r="BG58" s="16">
        <v>-4.2476709925235662E-3</v>
      </c>
      <c r="BH58" s="13">
        <f t="shared" si="35"/>
        <v>0</v>
      </c>
    </row>
    <row r="59" spans="2:60" x14ac:dyDescent="0.35">
      <c r="B59" s="91"/>
      <c r="C59" s="91"/>
      <c r="D59" t="s">
        <v>52</v>
      </c>
      <c r="F59" s="3" t="s">
        <v>100</v>
      </c>
      <c r="G59" s="12">
        <f>((SUMIFS(SSP1_Baseline!$E:$E,SSP1_Baseline!$C:$C,Results_list!$C$46,SSP1_Baseline!$D:$D,Results_list!$D59,SSP1_Baseline!$B:$B,2040)) - (SUMIFS(SSP1_Baseline!$E:$E,SSP1_Baseline!$C:$C,Results_list!$C$46,SSP1_Baseline!$D:$D,Results_list!$D59,SSP1_Baseline!$B:$B,2025))) / (SUMIFS(SSP1_Baseline!$E:$E,SSP1_Baseline!$C:$C,Results_list!$C$46,SSP1_Baseline!$D:$D,Results_list!$D59,SSP1_Baseline!$B:$B,2025))</f>
        <v>-0.34908989812141283</v>
      </c>
      <c r="H59" s="16">
        <f>((SUMIFS(SSP1_VSI!$F:$F,SSP1_VSI!$C:$C,Results_list!$C$46,SSP1_VSI!$D:$D,Results_list!$D59,SSP1_VSI!$B:$B,2040)) - (SUMIFS(SSP1_VSI!$F:$F,SSP1_VSI!$C:$C,Results_list!$C$46,SSP1_VSI!$D:$D,Results_list!$D59,SSP1_VSI!$B:$B,2025))) / (SUMIFS(SSP1_VSI!$F:$F,SSP1_VSI!$C:$C,Results_list!$C$46,SSP1_VSI!$D:$D,Results_list!$D59,SSP1_VSI!$B:$B,2025))</f>
        <v>-0.34905551808490876</v>
      </c>
      <c r="I59" s="13">
        <f t="shared" si="24"/>
        <v>0</v>
      </c>
      <c r="J59" s="12">
        <f>((SUMIFS(SSP2_Baseline!$E:$E,SSP2_Baseline!$C:$C,Results_list!$C$46,SSP2_Baseline!$D:$D,Results_list!$D59,SSP2_Baseline!$B:$B,2040)) - (SUMIFS(SSP2_Baseline!$E:$E,SSP2_Baseline!$C:$C,Results_list!$C$46,SSP2_Baseline!$D:$D,Results_list!$D59,SSP2_Baseline!$B:$B,2025))) / (SUMIFS(SSP2_Baseline!$E:$E,SSP2_Baseline!$C:$C,Results_list!$C$46,SSP2_Baseline!$D:$D,Results_list!$D59,SSP2_Baseline!$B:$B,2025))</f>
        <v>-0.32318318854517775</v>
      </c>
      <c r="K59" s="16">
        <f>((SUMIFS(SSP2_VSI!$F:$F,SSP2_VSI!$C:$C,Results_list!$C$46,SSP2_VSI!$D:$D,Results_list!$D59,SSP2_VSI!$B:$B,2040)) - (SUMIFS(SSP2_VSI!$F:$F,SSP2_VSI!$C:$C,Results_list!$C$46,SSP2_VSI!$D:$D,Results_list!$D59,SSP2_VSI!$B:$B,2025))) / (SUMIFS(SSP2_VSI!$F:$F,SSP2_VSI!$C:$C,Results_list!$C$46,SSP2_VSI!$D:$D,Results_list!$D59,SSP2_VSI!$B:$B,2025))</f>
        <v>-0.32311549674008472</v>
      </c>
      <c r="L59" s="13">
        <f t="shared" si="25"/>
        <v>0</v>
      </c>
      <c r="M59" s="12">
        <f>((SUMIFS(SSP5_Baseline!$E:$E,SSP5_Baseline!$C:$C,Results_list!$C$46,SSP5_Baseline!$D:$D,Results_list!$D59,SSP5_Baseline!$B:$B,2040)) - (SUMIFS(SSP5_Baseline!$E:$E,SSP5_Baseline!$C:$C,Results_list!$C$46,SSP5_Baseline!$D:$D,Results_list!$D59,SSP5_Baseline!$B:$B,2025))) / (SUMIFS(SSP5_Baseline!$E:$E,SSP5_Baseline!$C:$C,Results_list!$C$46,SSP5_Baseline!$D:$D,Results_list!$D59,SSP5_Baseline!$B:$B,2025))</f>
        <v>-8.5757202948525332E-2</v>
      </c>
      <c r="N59" s="16">
        <f>((SUMIFS(SSP5_VSI!$F:$F,SSP5_VSI!$C:$C,Results_list!$C$46,SSP5_VSI!$D:$D,Results_list!$D59,SSP5_VSI!$B:$B,2040)) - (SUMIFS(SSP5_VSI!$F:$F,SSP5_VSI!$C:$C,Results_list!$C$46,SSP5_VSI!$D:$D,Results_list!$D59,SSP5_VSI!$B:$B,2025))) / (SUMIFS(SSP5_VSI!$F:$F,SSP5_VSI!$C:$C,Results_list!$C$46,SSP5_VSI!$D:$D,Results_list!$D59,SSP5_VSI!$B:$B,2025))</f>
        <v>-8.5691691937015355E-2</v>
      </c>
      <c r="O59" s="13">
        <f t="shared" si="26"/>
        <v>0</v>
      </c>
      <c r="Q59" s="91"/>
      <c r="R59" s="91"/>
      <c r="S59" t="s">
        <v>52</v>
      </c>
      <c r="U59" s="3" t="s">
        <v>100</v>
      </c>
      <c r="V59" s="12">
        <f>((SUMIFS(SSP1_Baseline!$E:$E,SSP1_Baseline!$C:$C,Results_list!$C$151,SSP1_Baseline!$D:$D,Results_list!$D164,SSP1_Baseline!$B:$B,2040)) - (SUMIFS(SSP1_Baseline!$E:$E,SSP1_Baseline!$C:$C,Results_list!$C$151,SSP1_Baseline!$D:$D,Results_list!$D164,SSP1_Baseline!$B:$B,2025))) / (SUMIFS(SSP1_Baseline!$E:$E,SSP1_Baseline!$C:$C,Results_list!$C$151,SSP1_Baseline!$D:$D,Results_list!$D164,SSP1_Baseline!$B:$B,2025))</f>
        <v>-0.20629906013926108</v>
      </c>
      <c r="W59" s="16">
        <f>((SUMIFS(SSP1_VSI!$F:$F,SSP1_VSI!$C:$C,Results_list!$C$151,SSP1_VSI!$D:$D,Results_list!$D164,SSP1_VSI!$B:$B,2040)) - (SUMIFS(SSP1_VSI!$F:$F,SSP1_VSI!$C:$C,Results_list!$C$151,SSP1_VSI!$D:$D,Results_list!$D164,SSP1_VSI!$B:$B,2025))) / (SUMIFS(SSP1_VSI!$F:$F,SSP1_VSI!$C:$C,Results_list!$C$151,SSP1_VSI!$D:$D,Results_list!$D164,SSP1_VSI!$B:$B,2025))</f>
        <v>-0.20612809914185495</v>
      </c>
      <c r="X59" s="13">
        <f t="shared" si="27"/>
        <v>0</v>
      </c>
      <c r="Y59" s="12">
        <f>((SUMIFS(SSP2_Baseline!$E:$E,SSP2_Baseline!$C:$C,Results_list!$C$151,SSP2_Baseline!$D:$D,Results_list!$D164,SSP2_Baseline!$B:$B,2040)) - (SUMIFS(SSP2_Baseline!$E:$E,SSP2_Baseline!$C:$C,Results_list!$C$151,SSP2_Baseline!$D:$D,Results_list!$D164,SSP2_Baseline!$B:$B,2025))) / (SUMIFS(SSP2_Baseline!$E:$E,SSP2_Baseline!$C:$C,Results_list!$C$151,SSP2_Baseline!$D:$D,Results_list!$D164,SSP2_Baseline!$B:$B,2025))</f>
        <v>-0.14772476474322421</v>
      </c>
      <c r="Z59" s="16">
        <f>((SUMIFS(SSP2_VSI!$F:$F,SSP2_VSI!$C:$C,Results_list!$C$151,SSP2_VSI!$D:$D,Results_list!$D164,SSP2_VSI!$B:$B,2040)) - (SUMIFS(SSP2_VSI!$F:$F,SSP2_VSI!$C:$C,Results_list!$C$151,SSP2_VSI!$D:$D,Results_list!$D164,SSP2_VSI!$B:$B,2025))) / (SUMIFS(SSP2_VSI!$F:$F,SSP2_VSI!$C:$C,Results_list!$C$151,SSP2_VSI!$D:$D,Results_list!$D164,SSP2_VSI!$B:$B,2025))</f>
        <v>-0.14744918836268159</v>
      </c>
      <c r="AA59" s="13">
        <f t="shared" si="28"/>
        <v>0</v>
      </c>
      <c r="AB59" s="12">
        <f>((SUMIFS(SSP5_Baseline!$E:$E,SSP5_Baseline!$C:$C,Results_list!$C$151,SSP5_Baseline!$D:$D,Results_list!$D164,SSP5_Baseline!$B:$B,2040)) - (SUMIFS(SSP5_Baseline!$E:$E,SSP5_Baseline!$C:$C,Results_list!$C$151,SSP5_Baseline!$D:$D,Results_list!$D164,SSP5_Baseline!$B:$B,2025))) / (SUMIFS(SSP5_Baseline!$E:$E,SSP5_Baseline!$C:$C,Results_list!$C$151,SSP5_Baseline!$D:$D,Results_list!$D164,SSP5_Baseline!$B:$B,2025))</f>
        <v>-0.18686595152043717</v>
      </c>
      <c r="AC59" s="16">
        <f>((SUMIFS(SSP5_VSI!$F:$F,SSP5_VSI!$C:$C,Results_list!$C$151,SSP5_VSI!$D:$D,Results_list!$D164,SSP5_VSI!$B:$B,2040)) - (SUMIFS(SSP5_VSI!$F:$F,SSP5_VSI!$C:$C,Results_list!$C$151,SSP5_VSI!$D:$D,Results_list!$D164,SSP5_VSI!$B:$B,2025))) / (SUMIFS(SSP5_VSI!$F:$F,SSP5_VSI!$C:$C,Results_list!$C$151,SSP5_VSI!$D:$D,Results_list!$D164,SSP5_VSI!$B:$B,2025))</f>
        <v>-0.18666727844981226</v>
      </c>
      <c r="AD59" s="13">
        <f t="shared" si="29"/>
        <v>0</v>
      </c>
      <c r="AF59" s="85"/>
      <c r="AG59" s="85"/>
      <c r="AH59" t="s">
        <v>52</v>
      </c>
      <c r="AJ59" s="3" t="s">
        <v>100</v>
      </c>
      <c r="AK59" s="12">
        <f>((SUMIFS(SSP1_Baseline!$E:$E,SSP1_Baseline!$C:$C,Results_list!$C$235,SSP1_Baseline!$D:$D,Results_list!$D59,SSP1_Baseline!$B:$B,2040)) - (SUMIFS(SSP1_Baseline!$E:$E,SSP1_Baseline!$C:$C,Results_list!$C$235,SSP1_Baseline!$D:$D,Results_list!$D59,SSP1_Baseline!$B:$B,2025))) / (SUMIFS(SSP1_Baseline!$E:$E,SSP1_Baseline!$C:$C,Results_list!$C$235,SSP1_Baseline!$D:$D,Results_list!$D59,SSP1_Baseline!$B:$B,2025))</f>
        <v>-0.32076134823878538</v>
      </c>
      <c r="AL59" s="16">
        <f>((SUMIFS(SSP1_VSI!$F:$F,SSP1_VSI!$C:$C,Results_list!$C$235,SSP1_VSI!$D:$D,Results_list!$D59,SSP1_VSI!$B:$B,2040)) - (SUMIFS(SSP1_VSI!$F:$F,SSP1_VSI!$C:$C,Results_list!$C$235,SSP1_VSI!$D:$D,Results_list!$D59,SSP1_VSI!$B:$B,2025))) / (SUMIFS(SSP1_VSI!$F:$F,SSP1_VSI!$C:$C,Results_list!$C$235,SSP1_VSI!$D:$D,Results_list!$D59,SSP1_VSI!$B:$B,2025))</f>
        <v>-0.32069575592109251</v>
      </c>
      <c r="AM59" s="13">
        <f t="shared" si="30"/>
        <v>0</v>
      </c>
      <c r="AN59" s="12">
        <f>((SUMIFS(SSP2_Baseline!$E:$E,SSP2_Baseline!$C:$C,Results_list!$C$235,SSP2_Baseline!$D:$D,Results_list!$D59,SSP2_Baseline!$B:$B,2040)) - (SUMIFS(SSP2_Baseline!$E:$E,SSP2_Baseline!$C:$C,Results_list!$C$235,SSP2_Baseline!$D:$D,Results_list!$D59,SSP2_Baseline!$B:$B,2025))) / (SUMIFS(SSP2_Baseline!$E:$E,SSP2_Baseline!$C:$C,Results_list!$C$235,SSP2_Baseline!$D:$D,Results_list!$D59,SSP2_Baseline!$B:$B,2025))</f>
        <v>-9.3444767798907855E-2</v>
      </c>
      <c r="AO59" s="16">
        <f>((SUMIFS(SSP2_VSI!$F:$F,SSP2_VSI!$C:$C,Results_list!$C$235,SSP2_VSI!$D:$D,Results_list!$D59,SSP2_VSI!$B:$B,2040)) - (SUMIFS(SSP2_VSI!$F:$F,SSP2_VSI!$C:$C,Results_list!$C$235,SSP2_VSI!$D:$D,Results_list!$D59,SSP2_VSI!$B:$B,2025))) / (SUMIFS(SSP2_VSI!$F:$F,SSP2_VSI!$C:$C,Results_list!$C$235,SSP2_VSI!$D:$D,Results_list!$D59,SSP2_VSI!$B:$B,2025))</f>
        <v>-9.3322621945446133E-2</v>
      </c>
      <c r="AP59" s="13">
        <f t="shared" si="31"/>
        <v>0</v>
      </c>
      <c r="AQ59" s="12">
        <f>((SUMIFS(SSP5_Baseline!$E:$E,SSP5_Baseline!$C:$C,Results_list!$C$235,SSP5_Baseline!$D:$D,Results_list!$D59,SSP5_Baseline!$B:$B,2040)) - (SUMIFS(SSP5_Baseline!$E:$E,SSP5_Baseline!$C:$C,Results_list!$C$235,SSP5_Baseline!$D:$D,Results_list!$D59,SSP5_Baseline!$B:$B,2025))) / (SUMIFS(SSP5_Baseline!$E:$E,SSP5_Baseline!$C:$C,Results_list!$C$235,SSP5_Baseline!$D:$D,Results_list!$D59,SSP5_Baseline!$B:$B,2025))</f>
        <v>-0.2983894140622706</v>
      </c>
      <c r="AR59" s="16">
        <f>((SUMIFS(SSP5_VSI!$F:$F,SSP5_VSI!$C:$C,Results_list!$C$235,SSP5_VSI!$D:$D,Results_list!$D59,SSP5_VSI!$B:$B,2040)) - (SUMIFS(SSP5_VSI!$F:$F,SSP5_VSI!$C:$C,Results_list!$C$235,SSP5_VSI!$D:$D,Results_list!$D59,SSP5_VSI!$B:$B,2025))) / (SUMIFS(SSP5_VSI!$F:$F,SSP5_VSI!$C:$C,Results_list!$C$235,SSP5_VSI!$D:$D,Results_list!$D59,SSP5_VSI!$B:$B,2025))</f>
        <v>-0.29831279684001288</v>
      </c>
      <c r="AS59" s="13">
        <f t="shared" si="32"/>
        <v>0</v>
      </c>
      <c r="AU59" s="87"/>
      <c r="AV59" s="87"/>
      <c r="AW59" s="22" t="s">
        <v>52</v>
      </c>
      <c r="AX59" s="24" t="s">
        <v>81</v>
      </c>
      <c r="AY59" s="3" t="s">
        <v>100</v>
      </c>
      <c r="AZ59" s="12">
        <v>-0.55082358495886674</v>
      </c>
      <c r="BA59" s="16">
        <v>-0.55082303837086655</v>
      </c>
      <c r="BB59" s="13">
        <f t="shared" si="33"/>
        <v>0</v>
      </c>
      <c r="BC59" s="12">
        <v>-0.58058444949330135</v>
      </c>
      <c r="BD59" s="16">
        <v>-0.58058472362530555</v>
      </c>
      <c r="BE59" s="13">
        <f t="shared" si="34"/>
        <v>0</v>
      </c>
      <c r="BF59" s="12">
        <v>-0.52903301366546451</v>
      </c>
      <c r="BG59" s="16">
        <v>-0.52903271635068938</v>
      </c>
      <c r="BH59" s="13">
        <f t="shared" si="35"/>
        <v>0</v>
      </c>
    </row>
    <row r="60" spans="2:60" x14ac:dyDescent="0.35">
      <c r="B60" s="91"/>
      <c r="C60" s="91"/>
      <c r="D60" t="s">
        <v>53</v>
      </c>
      <c r="F60" s="3" t="s">
        <v>101</v>
      </c>
      <c r="G60" s="12">
        <f>((SUMIFS(SSP1_Baseline!$E:$E,SSP1_Baseline!$C:$C,Results_list!$C$46,SSP1_Baseline!$D:$D,Results_list!$D60,SSP1_Baseline!$B:$B,2040)) - (SUMIFS(SSP1_Baseline!$E:$E,SSP1_Baseline!$C:$C,Results_list!$C$46,SSP1_Baseline!$D:$D,Results_list!$D60,SSP1_Baseline!$B:$B,2025))) / (SUMIFS(SSP1_Baseline!$E:$E,SSP1_Baseline!$C:$C,Results_list!$C$46,SSP1_Baseline!$D:$D,Results_list!$D60,SSP1_Baseline!$B:$B,2025))</f>
        <v>-0.23027558484715516</v>
      </c>
      <c r="H60" s="16">
        <f>((SUMIFS(SSP1_VSI!$F:$F,SSP1_VSI!$C:$C,Results_list!$C$46,SSP1_VSI!$D:$D,Results_list!$D60,SSP1_VSI!$B:$B,2040)) - (SUMIFS(SSP1_VSI!$F:$F,SSP1_VSI!$C:$C,Results_list!$C$46,SSP1_VSI!$D:$D,Results_list!$D60,SSP1_VSI!$B:$B,2025))) / (SUMIFS(SSP1_VSI!$F:$F,SSP1_VSI!$C:$C,Results_list!$C$46,SSP1_VSI!$D:$D,Results_list!$D60,SSP1_VSI!$B:$B,2025))</f>
        <v>-0.23029445359462011</v>
      </c>
      <c r="I60" s="13">
        <f t="shared" si="24"/>
        <v>0</v>
      </c>
      <c r="J60" s="12">
        <f>((SUMIFS(SSP2_Baseline!$E:$E,SSP2_Baseline!$C:$C,Results_list!$C$46,SSP2_Baseline!$D:$D,Results_list!$D60,SSP2_Baseline!$B:$B,2040)) - (SUMIFS(SSP2_Baseline!$E:$E,SSP2_Baseline!$C:$C,Results_list!$C$46,SSP2_Baseline!$D:$D,Results_list!$D60,SSP2_Baseline!$B:$B,2025))) / (SUMIFS(SSP2_Baseline!$E:$E,SSP2_Baseline!$C:$C,Results_list!$C$46,SSP2_Baseline!$D:$D,Results_list!$D60,SSP2_Baseline!$B:$B,2025))</f>
        <v>-0.20402972812714523</v>
      </c>
      <c r="K60" s="16">
        <f>((SUMIFS(SSP2_VSI!$F:$F,SSP2_VSI!$C:$C,Results_list!$C$46,SSP2_VSI!$D:$D,Results_list!$D60,SSP2_VSI!$B:$B,2040)) - (SUMIFS(SSP2_VSI!$F:$F,SSP2_VSI!$C:$C,Results_list!$C$46,SSP2_VSI!$D:$D,Results_list!$D60,SSP2_VSI!$B:$B,2025))) / (SUMIFS(SSP2_VSI!$F:$F,SSP2_VSI!$C:$C,Results_list!$C$46,SSP2_VSI!$D:$D,Results_list!$D60,SSP2_VSI!$B:$B,2025))</f>
        <v>-0.20402853870237964</v>
      </c>
      <c r="L60" s="13">
        <f t="shared" si="25"/>
        <v>0</v>
      </c>
      <c r="M60" s="12">
        <f>((SUMIFS(SSP5_Baseline!$E:$E,SSP5_Baseline!$C:$C,Results_list!$C$46,SSP5_Baseline!$D:$D,Results_list!$D60,SSP5_Baseline!$B:$B,2040)) - (SUMIFS(SSP5_Baseline!$E:$E,SSP5_Baseline!$C:$C,Results_list!$C$46,SSP5_Baseline!$D:$D,Results_list!$D60,SSP5_Baseline!$B:$B,2025))) / (SUMIFS(SSP5_Baseline!$E:$E,SSP5_Baseline!$C:$C,Results_list!$C$46,SSP5_Baseline!$D:$D,Results_list!$D60,SSP5_Baseline!$B:$B,2025))</f>
        <v>-2.4470398397672958E-2</v>
      </c>
      <c r="N60" s="16">
        <f>((SUMIFS(SSP5_VSI!$F:$F,SSP5_VSI!$C:$C,Results_list!$C$46,SSP5_VSI!$D:$D,Results_list!$D60,SSP5_VSI!$B:$B,2040)) - (SUMIFS(SSP5_VSI!$F:$F,SSP5_VSI!$C:$C,Results_list!$C$46,SSP5_VSI!$D:$D,Results_list!$D60,SSP5_VSI!$B:$B,2025))) / (SUMIFS(SSP5_VSI!$F:$F,SSP5_VSI!$C:$C,Results_list!$C$46,SSP5_VSI!$D:$D,Results_list!$D60,SSP5_VSI!$B:$B,2025))</f>
        <v>-2.4462266059661956E-2</v>
      </c>
      <c r="O60" s="13">
        <f t="shared" si="26"/>
        <v>0</v>
      </c>
      <c r="Q60" s="91"/>
      <c r="R60" s="91"/>
      <c r="S60" t="s">
        <v>53</v>
      </c>
      <c r="U60" s="3" t="s">
        <v>101</v>
      </c>
      <c r="V60" s="12">
        <f>((SUMIFS(SSP1_Baseline!$E:$E,SSP1_Baseline!$C:$C,Results_list!$C$151,SSP1_Baseline!$D:$D,Results_list!$D165,SSP1_Baseline!$B:$B,2040)) - (SUMIFS(SSP1_Baseline!$E:$E,SSP1_Baseline!$C:$C,Results_list!$C$151,SSP1_Baseline!$D:$D,Results_list!$D165,SSP1_Baseline!$B:$B,2025))) / (SUMIFS(SSP1_Baseline!$E:$E,SSP1_Baseline!$C:$C,Results_list!$C$151,SSP1_Baseline!$D:$D,Results_list!$D165,SSP1_Baseline!$B:$B,2025))</f>
        <v>-4.0689028752644824E-2</v>
      </c>
      <c r="W60" s="16">
        <f>((SUMIFS(SSP1_VSI!$F:$F,SSP1_VSI!$C:$C,Results_list!$C$151,SSP1_VSI!$D:$D,Results_list!$D165,SSP1_VSI!$B:$B,2040)) - (SUMIFS(SSP1_VSI!$F:$F,SSP1_VSI!$C:$C,Results_list!$C$151,SSP1_VSI!$D:$D,Results_list!$D165,SSP1_VSI!$B:$B,2025))) / (SUMIFS(SSP1_VSI!$F:$F,SSP1_VSI!$C:$C,Results_list!$C$151,SSP1_VSI!$D:$D,Results_list!$D165,SSP1_VSI!$B:$B,2025))</f>
        <v>-4.0712614712473387E-2</v>
      </c>
      <c r="X60" s="13">
        <f t="shared" si="27"/>
        <v>0</v>
      </c>
      <c r="Y60" s="12">
        <f>((SUMIFS(SSP2_Baseline!$E:$E,SSP2_Baseline!$C:$C,Results_list!$C$151,SSP2_Baseline!$D:$D,Results_list!$D165,SSP2_Baseline!$B:$B,2040)) - (SUMIFS(SSP2_Baseline!$E:$E,SSP2_Baseline!$C:$C,Results_list!$C$151,SSP2_Baseline!$D:$D,Results_list!$D165,SSP2_Baseline!$B:$B,2025))) / (SUMIFS(SSP2_Baseline!$E:$E,SSP2_Baseline!$C:$C,Results_list!$C$151,SSP2_Baseline!$D:$D,Results_list!$D165,SSP2_Baseline!$B:$B,2025))</f>
        <v>-3.179523720607276E-2</v>
      </c>
      <c r="Z60" s="16">
        <f>((SUMIFS(SSP2_VSI!$F:$F,SSP2_VSI!$C:$C,Results_list!$C$151,SSP2_VSI!$D:$D,Results_list!$D165,SSP2_VSI!$B:$B,2040)) - (SUMIFS(SSP2_VSI!$F:$F,SSP2_VSI!$C:$C,Results_list!$C$151,SSP2_VSI!$D:$D,Results_list!$D165,SSP2_VSI!$B:$B,2025))) / (SUMIFS(SSP2_VSI!$F:$F,SSP2_VSI!$C:$C,Results_list!$C$151,SSP2_VSI!$D:$D,Results_list!$D165,SSP2_VSI!$B:$B,2025))</f>
        <v>-3.1781952284600463E-2</v>
      </c>
      <c r="AA60" s="13">
        <f t="shared" si="28"/>
        <v>0</v>
      </c>
      <c r="AB60" s="12">
        <f>((SUMIFS(SSP5_Baseline!$E:$E,SSP5_Baseline!$C:$C,Results_list!$C$151,SSP5_Baseline!$D:$D,Results_list!$D165,SSP5_Baseline!$B:$B,2040)) - (SUMIFS(SSP5_Baseline!$E:$E,SSP5_Baseline!$C:$C,Results_list!$C$151,SSP5_Baseline!$D:$D,Results_list!$D165,SSP5_Baseline!$B:$B,2025))) / (SUMIFS(SSP5_Baseline!$E:$E,SSP5_Baseline!$C:$C,Results_list!$C$151,SSP5_Baseline!$D:$D,Results_list!$D165,SSP5_Baseline!$B:$B,2025))</f>
        <v>-1.2707416662019739E-2</v>
      </c>
      <c r="AC60" s="16">
        <f>((SUMIFS(SSP5_VSI!$F:$F,SSP5_VSI!$C:$C,Results_list!$C$151,SSP5_VSI!$D:$D,Results_list!$D165,SSP5_VSI!$B:$B,2040)) - (SUMIFS(SSP5_VSI!$F:$F,SSP5_VSI!$C:$C,Results_list!$C$151,SSP5_VSI!$D:$D,Results_list!$D165,SSP5_VSI!$B:$B,2025))) / (SUMIFS(SSP5_VSI!$F:$F,SSP5_VSI!$C:$C,Results_list!$C$151,SSP5_VSI!$D:$D,Results_list!$D165,SSP5_VSI!$B:$B,2025))</f>
        <v>-1.2691050864607744E-2</v>
      </c>
      <c r="AD60" s="13">
        <f t="shared" si="29"/>
        <v>0</v>
      </c>
      <c r="AF60" s="85"/>
      <c r="AG60" s="85"/>
      <c r="AH60" t="s">
        <v>53</v>
      </c>
      <c r="AJ60" s="3" t="s">
        <v>101</v>
      </c>
      <c r="AK60" s="12">
        <f>((SUMIFS(SSP1_Baseline!$E:$E,SSP1_Baseline!$C:$C,Results_list!$C$235,SSP1_Baseline!$D:$D,Results_list!$D60,SSP1_Baseline!$B:$B,2040)) - (SUMIFS(SSP1_Baseline!$E:$E,SSP1_Baseline!$C:$C,Results_list!$C$235,SSP1_Baseline!$D:$D,Results_list!$D60,SSP1_Baseline!$B:$B,2025))) / (SUMIFS(SSP1_Baseline!$E:$E,SSP1_Baseline!$C:$C,Results_list!$C$235,SSP1_Baseline!$D:$D,Results_list!$D60,SSP1_Baseline!$B:$B,2025))</f>
        <v>-0.13818624958378314</v>
      </c>
      <c r="AL60" s="16">
        <f>((SUMIFS(SSP1_VSI!$F:$F,SSP1_VSI!$C:$C,Results_list!$C$235,SSP1_VSI!$D:$D,Results_list!$D60,SSP1_VSI!$B:$B,2040)) - (SUMIFS(SSP1_VSI!$F:$F,SSP1_VSI!$C:$C,Results_list!$C$235,SSP1_VSI!$D:$D,Results_list!$D60,SSP1_VSI!$B:$B,2025))) / (SUMIFS(SSP1_VSI!$F:$F,SSP1_VSI!$C:$C,Results_list!$C$235,SSP1_VSI!$D:$D,Results_list!$D60,SSP1_VSI!$B:$B,2025))</f>
        <v>-0.13822348676642732</v>
      </c>
      <c r="AM60" s="13">
        <f t="shared" si="30"/>
        <v>0</v>
      </c>
      <c r="AN60" s="12">
        <f>((SUMIFS(SSP2_Baseline!$E:$E,SSP2_Baseline!$C:$C,Results_list!$C$235,SSP2_Baseline!$D:$D,Results_list!$D60,SSP2_Baseline!$B:$B,2040)) - (SUMIFS(SSP2_Baseline!$E:$E,SSP2_Baseline!$C:$C,Results_list!$C$235,SSP2_Baseline!$D:$D,Results_list!$D60,SSP2_Baseline!$B:$B,2025))) / (SUMIFS(SSP2_Baseline!$E:$E,SSP2_Baseline!$C:$C,Results_list!$C$235,SSP2_Baseline!$D:$D,Results_list!$D60,SSP2_Baseline!$B:$B,2025))</f>
        <v>-0.14257858194263187</v>
      </c>
      <c r="AO60" s="16">
        <f>((SUMIFS(SSP2_VSI!$F:$F,SSP2_VSI!$C:$C,Results_list!$C$235,SSP2_VSI!$D:$D,Results_list!$D60,SSP2_VSI!$B:$B,2040)) - (SUMIFS(SSP2_VSI!$F:$F,SSP2_VSI!$C:$C,Results_list!$C$235,SSP2_VSI!$D:$D,Results_list!$D60,SSP2_VSI!$B:$B,2025))) / (SUMIFS(SSP2_VSI!$F:$F,SSP2_VSI!$C:$C,Results_list!$C$235,SSP2_VSI!$D:$D,Results_list!$D60,SSP2_VSI!$B:$B,2025))</f>
        <v>-0.1425686812125716</v>
      </c>
      <c r="AP60" s="13">
        <f t="shared" si="31"/>
        <v>0</v>
      </c>
      <c r="AQ60" s="12">
        <f>((SUMIFS(SSP5_Baseline!$E:$E,SSP5_Baseline!$C:$C,Results_list!$C$235,SSP5_Baseline!$D:$D,Results_list!$D60,SSP5_Baseline!$B:$B,2040)) - (SUMIFS(SSP5_Baseline!$E:$E,SSP5_Baseline!$C:$C,Results_list!$C$235,SSP5_Baseline!$D:$D,Results_list!$D60,SSP5_Baseline!$B:$B,2025))) / (SUMIFS(SSP5_Baseline!$E:$E,SSP5_Baseline!$C:$C,Results_list!$C$235,SSP5_Baseline!$D:$D,Results_list!$D60,SSP5_Baseline!$B:$B,2025))</f>
        <v>3.7465584413000907E-2</v>
      </c>
      <c r="AR60" s="16">
        <f>((SUMIFS(SSP5_VSI!$F:$F,SSP5_VSI!$C:$C,Results_list!$C$235,SSP5_VSI!$D:$D,Results_list!$D60,SSP5_VSI!$B:$B,2040)) - (SUMIFS(SSP5_VSI!$F:$F,SSP5_VSI!$C:$C,Results_list!$C$235,SSP5_VSI!$D:$D,Results_list!$D60,SSP5_VSI!$B:$B,2025))) / (SUMIFS(SSP5_VSI!$F:$F,SSP5_VSI!$C:$C,Results_list!$C$235,SSP5_VSI!$D:$D,Results_list!$D60,SSP5_VSI!$B:$B,2025))</f>
        <v>3.7486471115699332E-2</v>
      </c>
      <c r="AS60" s="13">
        <f t="shared" si="32"/>
        <v>0</v>
      </c>
      <c r="AU60" s="87"/>
      <c r="AV60" s="87"/>
      <c r="AW60" s="22" t="s">
        <v>53</v>
      </c>
      <c r="AX60" s="24" t="s">
        <v>81</v>
      </c>
      <c r="AY60" s="3" t="s">
        <v>101</v>
      </c>
      <c r="AZ60" s="12">
        <v>-0.33446312158745889</v>
      </c>
      <c r="BA60" s="16">
        <v>-0.33446169804221382</v>
      </c>
      <c r="BB60" s="13">
        <f t="shared" si="33"/>
        <v>0</v>
      </c>
      <c r="BC60" s="12">
        <v>-0.33068169493833161</v>
      </c>
      <c r="BD60" s="16">
        <v>-0.33068051001287296</v>
      </c>
      <c r="BE60" s="13">
        <f t="shared" si="34"/>
        <v>0</v>
      </c>
      <c r="BF60" s="12">
        <v>0.13504342892147655</v>
      </c>
      <c r="BG60" s="16">
        <v>0.13504243477106195</v>
      </c>
      <c r="BH60" s="13">
        <f t="shared" si="35"/>
        <v>0</v>
      </c>
    </row>
    <row r="61" spans="2:60" x14ac:dyDescent="0.35">
      <c r="B61" s="91"/>
      <c r="C61" s="91"/>
      <c r="D61" t="s">
        <v>54</v>
      </c>
      <c r="F61" s="3" t="s">
        <v>102</v>
      </c>
      <c r="G61" s="12">
        <f>((SUMIFS(SSP1_Baseline!$E:$E,SSP1_Baseline!$C:$C,Results_list!$C$46,SSP1_Baseline!$D:$D,Results_list!$D61,SSP1_Baseline!$B:$B,2040)) - (SUMIFS(SSP1_Baseline!$E:$E,SSP1_Baseline!$C:$C,Results_list!$C$46,SSP1_Baseline!$D:$D,Results_list!$D61,SSP1_Baseline!$B:$B,2025))) / (SUMIFS(SSP1_Baseline!$E:$E,SSP1_Baseline!$C:$C,Results_list!$C$46,SSP1_Baseline!$D:$D,Results_list!$D61,SSP1_Baseline!$B:$B,2025))</f>
        <v>-1.1500330964504307E-3</v>
      </c>
      <c r="H61" s="16">
        <f>((SUMIFS(SSP1_VSI!$F:$F,SSP1_VSI!$C:$C,Results_list!$C$46,SSP1_VSI!$D:$D,Results_list!$D61,SSP1_VSI!$B:$B,2040)) - (SUMIFS(SSP1_VSI!$F:$F,SSP1_VSI!$C:$C,Results_list!$C$46,SSP1_VSI!$D:$D,Results_list!$D61,SSP1_VSI!$B:$B,2025))) / (SUMIFS(SSP1_VSI!$F:$F,SSP1_VSI!$C:$C,Results_list!$C$46,SSP1_VSI!$D:$D,Results_list!$D61,SSP1_VSI!$B:$B,2025))</f>
        <v>-2.2963858751504241E-3</v>
      </c>
      <c r="I61" s="13">
        <f t="shared" si="24"/>
        <v>-1E-3</v>
      </c>
      <c r="J61" s="12">
        <f>((SUMIFS(SSP2_Baseline!$E:$E,SSP2_Baseline!$C:$C,Results_list!$C$46,SSP2_Baseline!$D:$D,Results_list!$D61,SSP2_Baseline!$B:$B,2040)) - (SUMIFS(SSP2_Baseline!$E:$E,SSP2_Baseline!$C:$C,Results_list!$C$46,SSP2_Baseline!$D:$D,Results_list!$D61,SSP2_Baseline!$B:$B,2025))) / (SUMIFS(SSP2_Baseline!$E:$E,SSP2_Baseline!$C:$C,Results_list!$C$46,SSP2_Baseline!$D:$D,Results_list!$D61,SSP2_Baseline!$B:$B,2025))</f>
        <v>2.1172817258700277E-3</v>
      </c>
      <c r="K61" s="16">
        <f>((SUMIFS(SSP2_VSI!$F:$F,SSP2_VSI!$C:$C,Results_list!$C$46,SSP2_VSI!$D:$D,Results_list!$D61,SSP2_VSI!$B:$B,2040)) - (SUMIFS(SSP2_VSI!$F:$F,SSP2_VSI!$C:$C,Results_list!$C$46,SSP2_VSI!$D:$D,Results_list!$D61,SSP2_VSI!$B:$B,2025))) / (SUMIFS(SSP2_VSI!$F:$F,SSP2_VSI!$C:$C,Results_list!$C$46,SSP2_VSI!$D:$D,Results_list!$D61,SSP2_VSI!$B:$B,2025))</f>
        <v>9.6996359506687675E-4</v>
      </c>
      <c r="L61" s="13">
        <f t="shared" si="25"/>
        <v>0</v>
      </c>
      <c r="M61" s="12">
        <f>((SUMIFS(SSP5_Baseline!$E:$E,SSP5_Baseline!$C:$C,Results_list!$C$46,SSP5_Baseline!$D:$D,Results_list!$D61,SSP5_Baseline!$B:$B,2040)) - (SUMIFS(SSP5_Baseline!$E:$E,SSP5_Baseline!$C:$C,Results_list!$C$46,SSP5_Baseline!$D:$D,Results_list!$D61,SSP5_Baseline!$B:$B,2025))) / (SUMIFS(SSP5_Baseline!$E:$E,SSP5_Baseline!$C:$C,Results_list!$C$46,SSP5_Baseline!$D:$D,Results_list!$D61,SSP5_Baseline!$B:$B,2025))</f>
        <v>-2.1690724955278806E-3</v>
      </c>
      <c r="N61" s="16">
        <f>((SUMIFS(SSP5_VSI!$F:$F,SSP5_VSI!$C:$C,Results_list!$C$46,SSP5_VSI!$D:$D,Results_list!$D61,SSP5_VSI!$B:$B,2040)) - (SUMIFS(SSP5_VSI!$F:$F,SSP5_VSI!$C:$C,Results_list!$C$46,SSP5_VSI!$D:$D,Results_list!$D61,SSP5_VSI!$B:$B,2025))) / (SUMIFS(SSP5_VSI!$F:$F,SSP5_VSI!$C:$C,Results_list!$C$46,SSP5_VSI!$D:$D,Results_list!$D61,SSP5_VSI!$B:$B,2025))</f>
        <v>-3.3192008259817912E-3</v>
      </c>
      <c r="O61" s="13">
        <f t="shared" si="26"/>
        <v>0</v>
      </c>
      <c r="Q61" s="91"/>
      <c r="R61" s="91"/>
      <c r="S61" t="s">
        <v>54</v>
      </c>
      <c r="U61" s="3" t="s">
        <v>102</v>
      </c>
      <c r="V61" s="12">
        <f>((SUMIFS(SSP1_Baseline!$E:$E,SSP1_Baseline!$C:$C,Results_list!$C$151,SSP1_Baseline!$D:$D,Results_list!$D166,SSP1_Baseline!$B:$B,2040)) - (SUMIFS(SSP1_Baseline!$E:$E,SSP1_Baseline!$C:$C,Results_list!$C$151,SSP1_Baseline!$D:$D,Results_list!$D166,SSP1_Baseline!$B:$B,2025))) / (SUMIFS(SSP1_Baseline!$E:$E,SSP1_Baseline!$C:$C,Results_list!$C$151,SSP1_Baseline!$D:$D,Results_list!$D166,SSP1_Baseline!$B:$B,2025))</f>
        <v>5.1829416749454718E-4</v>
      </c>
      <c r="W61" s="16">
        <f>((SUMIFS(SSP1_VSI!$F:$F,SSP1_VSI!$C:$C,Results_list!$C$151,SSP1_VSI!$D:$D,Results_list!$D166,SSP1_VSI!$B:$B,2040)) - (SUMIFS(SSP1_VSI!$F:$F,SSP1_VSI!$C:$C,Results_list!$C$151,SSP1_VSI!$D:$D,Results_list!$D166,SSP1_VSI!$B:$B,2025))) / (SUMIFS(SSP1_VSI!$F:$F,SSP1_VSI!$C:$C,Results_list!$C$151,SSP1_VSI!$D:$D,Results_list!$D166,SSP1_VSI!$B:$B,2025))</f>
        <v>5.1031206429343317E-4</v>
      </c>
      <c r="X61" s="13">
        <f t="shared" si="27"/>
        <v>0</v>
      </c>
      <c r="Y61" s="12">
        <f>((SUMIFS(SSP2_Baseline!$E:$E,SSP2_Baseline!$C:$C,Results_list!$C$151,SSP2_Baseline!$D:$D,Results_list!$D166,SSP2_Baseline!$B:$B,2040)) - (SUMIFS(SSP2_Baseline!$E:$E,SSP2_Baseline!$C:$C,Results_list!$C$151,SSP2_Baseline!$D:$D,Results_list!$D166,SSP2_Baseline!$B:$B,2025))) / (SUMIFS(SSP2_Baseline!$E:$E,SSP2_Baseline!$C:$C,Results_list!$C$151,SSP2_Baseline!$D:$D,Results_list!$D166,SSP2_Baseline!$B:$B,2025))</f>
        <v>8.7881833595597231E-4</v>
      </c>
      <c r="Z61" s="16">
        <f>((SUMIFS(SSP2_VSI!$F:$F,SSP2_VSI!$C:$C,Results_list!$C$151,SSP2_VSI!$D:$D,Results_list!$D166,SSP2_VSI!$B:$B,2040)) - (SUMIFS(SSP2_VSI!$F:$F,SSP2_VSI!$C:$C,Results_list!$C$151,SSP2_VSI!$D:$D,Results_list!$D166,SSP2_VSI!$B:$B,2025))) / (SUMIFS(SSP2_VSI!$F:$F,SSP2_VSI!$C:$C,Results_list!$C$151,SSP2_VSI!$D:$D,Results_list!$D166,SSP2_VSI!$B:$B,2025))</f>
        <v>8.7074239870069169E-4</v>
      </c>
      <c r="AA61" s="13">
        <f t="shared" si="28"/>
        <v>0</v>
      </c>
      <c r="AB61" s="12">
        <f>((SUMIFS(SSP5_Baseline!$E:$E,SSP5_Baseline!$C:$C,Results_list!$C$151,SSP5_Baseline!$D:$D,Results_list!$D166,SSP5_Baseline!$B:$B,2040)) - (SUMIFS(SSP5_Baseline!$E:$E,SSP5_Baseline!$C:$C,Results_list!$C$151,SSP5_Baseline!$D:$D,Results_list!$D166,SSP5_Baseline!$B:$B,2025))) / (SUMIFS(SSP5_Baseline!$E:$E,SSP5_Baseline!$C:$C,Results_list!$C$151,SSP5_Baseline!$D:$D,Results_list!$D166,SSP5_Baseline!$B:$B,2025))</f>
        <v>1.1842178578238235E-3</v>
      </c>
      <c r="AC61" s="16">
        <f>((SUMIFS(SSP5_VSI!$F:$F,SSP5_VSI!$C:$C,Results_list!$C$151,SSP5_VSI!$D:$D,Results_list!$D166,SSP5_VSI!$B:$B,2040)) - (SUMIFS(SSP5_VSI!$F:$F,SSP5_VSI!$C:$C,Results_list!$C$151,SSP5_VSI!$D:$D,Results_list!$D166,SSP5_VSI!$B:$B,2025))) / (SUMIFS(SSP5_VSI!$F:$F,SSP5_VSI!$C:$C,Results_list!$C$151,SSP5_VSI!$D:$D,Results_list!$D166,SSP5_VSI!$B:$B,2025))</f>
        <v>1.1769556513403457E-3</v>
      </c>
      <c r="AD61" s="13">
        <f t="shared" si="29"/>
        <v>0</v>
      </c>
      <c r="AF61" s="85"/>
      <c r="AG61" s="85"/>
      <c r="AH61" t="s">
        <v>54</v>
      </c>
      <c r="AJ61" s="3" t="s">
        <v>102</v>
      </c>
      <c r="AK61" s="12">
        <f>((SUMIFS(SSP1_Baseline!$E:$E,SSP1_Baseline!$C:$C,Results_list!$C$235,SSP1_Baseline!$D:$D,Results_list!$D61,SSP1_Baseline!$B:$B,2040)) - (SUMIFS(SSP1_Baseline!$E:$E,SSP1_Baseline!$C:$C,Results_list!$C$235,SSP1_Baseline!$D:$D,Results_list!$D61,SSP1_Baseline!$B:$B,2025))) / (SUMIFS(SSP1_Baseline!$E:$E,SSP1_Baseline!$C:$C,Results_list!$C$235,SSP1_Baseline!$D:$D,Results_list!$D61,SSP1_Baseline!$B:$B,2025))</f>
        <v>5.7695069491553704E-3</v>
      </c>
      <c r="AL61" s="16">
        <f>((SUMIFS(SSP1_VSI!$F:$F,SSP1_VSI!$C:$C,Results_list!$C$235,SSP1_VSI!$D:$D,Results_list!$D61,SSP1_VSI!$B:$B,2040)) - (SUMIFS(SSP1_VSI!$F:$F,SSP1_VSI!$C:$C,Results_list!$C$235,SSP1_VSI!$D:$D,Results_list!$D61,SSP1_VSI!$B:$B,2025))) / (SUMIFS(SSP1_VSI!$F:$F,SSP1_VSI!$C:$C,Results_list!$C$235,SSP1_VSI!$D:$D,Results_list!$D61,SSP1_VSI!$B:$B,2025))</f>
        <v>-0.32668752142672397</v>
      </c>
      <c r="AM61" s="13">
        <f t="shared" si="30"/>
        <v>-0.33200000000000002</v>
      </c>
      <c r="AN61" s="12">
        <f>((SUMIFS(SSP2_Baseline!$E:$E,SSP2_Baseline!$C:$C,Results_list!$C$235,SSP2_Baseline!$D:$D,Results_list!$D61,SSP2_Baseline!$B:$B,2040)) - (SUMIFS(SSP2_Baseline!$E:$E,SSP2_Baseline!$C:$C,Results_list!$C$235,SSP2_Baseline!$D:$D,Results_list!$D61,SSP2_Baseline!$B:$B,2025))) / (SUMIFS(SSP2_Baseline!$E:$E,SSP2_Baseline!$C:$C,Results_list!$C$235,SSP2_Baseline!$D:$D,Results_list!$D61,SSP2_Baseline!$B:$B,2025))</f>
        <v>6.5864544749981583E-3</v>
      </c>
      <c r="AO61" s="16">
        <f>((SUMIFS(SSP2_VSI!$F:$F,SSP2_VSI!$C:$C,Results_list!$C$235,SSP2_VSI!$D:$D,Results_list!$D61,SSP2_VSI!$B:$B,2040)) - (SUMIFS(SSP2_VSI!$F:$F,SSP2_VSI!$C:$C,Results_list!$C$235,SSP2_VSI!$D:$D,Results_list!$D61,SSP2_VSI!$B:$B,2025))) / (SUMIFS(SSP2_VSI!$F:$F,SSP2_VSI!$C:$C,Results_list!$C$235,SSP2_VSI!$D:$D,Results_list!$D61,SSP2_VSI!$B:$B,2025))</f>
        <v>-0.32718666889296821</v>
      </c>
      <c r="AP61" s="13">
        <f t="shared" si="31"/>
        <v>-0.33</v>
      </c>
      <c r="AQ61" s="12">
        <f>((SUMIFS(SSP5_Baseline!$E:$E,SSP5_Baseline!$C:$C,Results_list!$C$235,SSP5_Baseline!$D:$D,Results_list!$D61,SSP5_Baseline!$B:$B,2040)) - (SUMIFS(SSP5_Baseline!$E:$E,SSP5_Baseline!$C:$C,Results_list!$C$235,SSP5_Baseline!$D:$D,Results_list!$D61,SSP5_Baseline!$B:$B,2025))) / (SUMIFS(SSP5_Baseline!$E:$E,SSP5_Baseline!$C:$C,Results_list!$C$235,SSP5_Baseline!$D:$D,Results_list!$D61,SSP5_Baseline!$B:$B,2025))</f>
        <v>4.7548165755908978E-2</v>
      </c>
      <c r="AR61" s="16">
        <f>((SUMIFS(SSP5_VSI!$F:$F,SSP5_VSI!$C:$C,Results_list!$C$235,SSP5_VSI!$D:$D,Results_list!$D61,SSP5_VSI!$B:$B,2040)) - (SUMIFS(SSP5_VSI!$F:$F,SSP5_VSI!$C:$C,Results_list!$C$235,SSP5_VSI!$D:$D,Results_list!$D61,SSP5_VSI!$B:$B,2025))) / (SUMIFS(SSP5_VSI!$F:$F,SSP5_VSI!$C:$C,Results_list!$C$235,SSP5_VSI!$D:$D,Results_list!$D61,SSP5_VSI!$B:$B,2025))</f>
        <v>-0.28393633792848011</v>
      </c>
      <c r="AS61" s="13">
        <f t="shared" si="32"/>
        <v>-0.33</v>
      </c>
      <c r="AU61" s="87"/>
      <c r="AV61" s="87"/>
      <c r="AW61" s="22" t="s">
        <v>54</v>
      </c>
      <c r="AX61" s="24" t="s">
        <v>81</v>
      </c>
      <c r="AY61" s="3" t="s">
        <v>102</v>
      </c>
      <c r="AZ61" s="12">
        <v>-4.9875169445021362E-3</v>
      </c>
      <c r="BA61" s="16">
        <v>-4.9840386021262105E-3</v>
      </c>
      <c r="BB61" s="13">
        <f t="shared" si="33"/>
        <v>0</v>
      </c>
      <c r="BC61" s="12">
        <v>-1.9919569033759904E-3</v>
      </c>
      <c r="BD61" s="16">
        <v>-1.9913318057552367E-3</v>
      </c>
      <c r="BE61" s="13">
        <f t="shared" si="34"/>
        <v>0</v>
      </c>
      <c r="BF61" s="12">
        <v>-2.0984747104601631E-2</v>
      </c>
      <c r="BG61" s="16">
        <v>-2.0983482189467967E-2</v>
      </c>
      <c r="BH61" s="13">
        <f t="shared" si="35"/>
        <v>0</v>
      </c>
    </row>
    <row r="62" spans="2:60" x14ac:dyDescent="0.35">
      <c r="B62" s="91"/>
      <c r="C62" s="91"/>
      <c r="D62" t="s">
        <v>55</v>
      </c>
      <c r="F62" s="3" t="s">
        <v>103</v>
      </c>
      <c r="G62" s="12">
        <f>((SUMIFS(SSP1_Baseline!$E:$E,SSP1_Baseline!$C:$C,Results_list!$C$46,SSP1_Baseline!$D:$D,Results_list!$D62,SSP1_Baseline!$B:$B,2040)) - (SUMIFS(SSP1_Baseline!$E:$E,SSP1_Baseline!$C:$C,Results_list!$C$46,SSP1_Baseline!$D:$D,Results_list!$D62,SSP1_Baseline!$B:$B,2025))) / (SUMIFS(SSP1_Baseline!$E:$E,SSP1_Baseline!$C:$C,Results_list!$C$46,SSP1_Baseline!$D:$D,Results_list!$D62,SSP1_Baseline!$B:$B,2025))</f>
        <v>-2.1629991222159757E-3</v>
      </c>
      <c r="H62" s="16">
        <f>((SUMIFS(SSP1_VSI!$F:$F,SSP1_VSI!$C:$C,Results_list!$C$46,SSP1_VSI!$D:$D,Results_list!$D62,SSP1_VSI!$B:$B,2040)) - (SUMIFS(SSP1_VSI!$F:$F,SSP1_VSI!$C:$C,Results_list!$C$46,SSP1_VSI!$D:$D,Results_list!$D62,SSP1_VSI!$B:$B,2025))) / (SUMIFS(SSP1_VSI!$F:$F,SSP1_VSI!$C:$C,Results_list!$C$46,SSP1_VSI!$D:$D,Results_list!$D62,SSP1_VSI!$B:$B,2025))</f>
        <v>-2.3901742447785214E-3</v>
      </c>
      <c r="I62" s="13">
        <f t="shared" si="24"/>
        <v>0</v>
      </c>
      <c r="J62" s="12">
        <f>((SUMIFS(SSP2_Baseline!$E:$E,SSP2_Baseline!$C:$C,Results_list!$C$46,SSP2_Baseline!$D:$D,Results_list!$D62,SSP2_Baseline!$B:$B,2040)) - (SUMIFS(SSP2_Baseline!$E:$E,SSP2_Baseline!$C:$C,Results_list!$C$46,SSP2_Baseline!$D:$D,Results_list!$D62,SSP2_Baseline!$B:$B,2025))) / (SUMIFS(SSP2_Baseline!$E:$E,SSP2_Baseline!$C:$C,Results_list!$C$46,SSP2_Baseline!$D:$D,Results_list!$D62,SSP2_Baseline!$B:$B,2025))</f>
        <v>1.1881969595806206E-3</v>
      </c>
      <c r="K62" s="16">
        <f>((SUMIFS(SSP2_VSI!$F:$F,SSP2_VSI!$C:$C,Results_list!$C$46,SSP2_VSI!$D:$D,Results_list!$D62,SSP2_VSI!$B:$B,2040)) - (SUMIFS(SSP2_VSI!$F:$F,SSP2_VSI!$C:$C,Results_list!$C$46,SSP2_VSI!$D:$D,Results_list!$D62,SSP2_VSI!$B:$B,2025))) / (SUMIFS(SSP2_VSI!$F:$F,SSP2_VSI!$C:$C,Results_list!$C$46,SSP2_VSI!$D:$D,Results_list!$D62,SSP2_VSI!$B:$B,2025))</f>
        <v>9.6082561173520243E-4</v>
      </c>
      <c r="L62" s="13">
        <f t="shared" si="25"/>
        <v>0</v>
      </c>
      <c r="M62" s="12">
        <f>((SUMIFS(SSP5_Baseline!$E:$E,SSP5_Baseline!$C:$C,Results_list!$C$46,SSP5_Baseline!$D:$D,Results_list!$D62,SSP5_Baseline!$B:$B,2040)) - (SUMIFS(SSP5_Baseline!$E:$E,SSP5_Baseline!$C:$C,Results_list!$C$46,SSP5_Baseline!$D:$D,Results_list!$D62,SSP5_Baseline!$B:$B,2025))) / (SUMIFS(SSP5_Baseline!$E:$E,SSP5_Baseline!$C:$C,Results_list!$C$46,SSP5_Baseline!$D:$D,Results_list!$D62,SSP5_Baseline!$B:$B,2025))</f>
        <v>-3.2490843006394913E-3</v>
      </c>
      <c r="N62" s="16">
        <f>((SUMIFS(SSP5_VSI!$F:$F,SSP5_VSI!$C:$C,Results_list!$C$46,SSP5_VSI!$D:$D,Results_list!$D62,SSP5_VSI!$B:$B,2040)) - (SUMIFS(SSP5_VSI!$F:$F,SSP5_VSI!$C:$C,Results_list!$C$46,SSP5_VSI!$D:$D,Results_list!$D62,SSP5_VSI!$B:$B,2025))) / (SUMIFS(SSP5_VSI!$F:$F,SSP5_VSI!$C:$C,Results_list!$C$46,SSP5_VSI!$D:$D,Results_list!$D62,SSP5_VSI!$B:$B,2025))</f>
        <v>-3.4762350313211204E-3</v>
      </c>
      <c r="O62" s="13">
        <f t="shared" si="26"/>
        <v>0</v>
      </c>
      <c r="Q62" s="91"/>
      <c r="R62" s="91"/>
      <c r="S62" t="s">
        <v>55</v>
      </c>
      <c r="U62" s="3" t="s">
        <v>103</v>
      </c>
      <c r="V62" s="12">
        <f>((SUMIFS(SSP1_Baseline!$E:$E,SSP1_Baseline!$C:$C,Results_list!$C$151,SSP1_Baseline!$D:$D,Results_list!$D167,SSP1_Baseline!$B:$B,2040)) - (SUMIFS(SSP1_Baseline!$E:$E,SSP1_Baseline!$C:$C,Results_list!$C$151,SSP1_Baseline!$D:$D,Results_list!$D167,SSP1_Baseline!$B:$B,2025))) / (SUMIFS(SSP1_Baseline!$E:$E,SSP1_Baseline!$C:$C,Results_list!$C$151,SSP1_Baseline!$D:$D,Results_list!$D167,SSP1_Baseline!$B:$B,2025))</f>
        <v>3.8250576858492248E-4</v>
      </c>
      <c r="W62" s="16">
        <f>((SUMIFS(SSP1_VSI!$F:$F,SSP1_VSI!$C:$C,Results_list!$C$151,SSP1_VSI!$D:$D,Results_list!$D167,SSP1_VSI!$B:$B,2040)) - (SUMIFS(SSP1_VSI!$F:$F,SSP1_VSI!$C:$C,Results_list!$C$151,SSP1_VSI!$D:$D,Results_list!$D167,SSP1_VSI!$B:$B,2025))) / (SUMIFS(SSP1_VSI!$F:$F,SSP1_VSI!$C:$C,Results_list!$C$151,SSP1_VSI!$D:$D,Results_list!$D167,SSP1_VSI!$B:$B,2025))</f>
        <v>-3.9008146631841636E-4</v>
      </c>
      <c r="X62" s="13">
        <f t="shared" si="27"/>
        <v>-1E-3</v>
      </c>
      <c r="Y62" s="12">
        <f>((SUMIFS(SSP2_Baseline!$E:$E,SSP2_Baseline!$C:$C,Results_list!$C$151,SSP2_Baseline!$D:$D,Results_list!$D167,SSP2_Baseline!$B:$B,2040)) - (SUMIFS(SSP2_Baseline!$E:$E,SSP2_Baseline!$C:$C,Results_list!$C$151,SSP2_Baseline!$D:$D,Results_list!$D167,SSP2_Baseline!$B:$B,2025))) / (SUMIFS(SSP2_Baseline!$E:$E,SSP2_Baseline!$C:$C,Results_list!$C$151,SSP2_Baseline!$D:$D,Results_list!$D167,SSP2_Baseline!$B:$B,2025))</f>
        <v>6.3705776424625874E-4</v>
      </c>
      <c r="Z62" s="16">
        <f>((SUMIFS(SSP2_VSI!$F:$F,SSP2_VSI!$C:$C,Results_list!$C$151,SSP2_VSI!$D:$D,Results_list!$D167,SSP2_VSI!$B:$B,2040)) - (SUMIFS(SSP2_VSI!$F:$F,SSP2_VSI!$C:$C,Results_list!$C$151,SSP2_VSI!$D:$D,Results_list!$D167,SSP2_VSI!$B:$B,2025))) / (SUMIFS(SSP2_VSI!$F:$F,SSP2_VSI!$C:$C,Results_list!$C$151,SSP2_VSI!$D:$D,Results_list!$D167,SSP2_VSI!$B:$B,2025))</f>
        <v>-1.359828899868111E-4</v>
      </c>
      <c r="AA62" s="13">
        <f t="shared" si="28"/>
        <v>0</v>
      </c>
      <c r="AB62" s="12">
        <f>((SUMIFS(SSP5_Baseline!$E:$E,SSP5_Baseline!$C:$C,Results_list!$C$151,SSP5_Baseline!$D:$D,Results_list!$D167,SSP5_Baseline!$B:$B,2040)) - (SUMIFS(SSP5_Baseline!$E:$E,SSP5_Baseline!$C:$C,Results_list!$C$151,SSP5_Baseline!$D:$D,Results_list!$D167,SSP5_Baseline!$B:$B,2025))) / (SUMIFS(SSP5_Baseline!$E:$E,SSP5_Baseline!$C:$C,Results_list!$C$151,SSP5_Baseline!$D:$D,Results_list!$D167,SSP5_Baseline!$B:$B,2025))</f>
        <v>8.8888661165258869E-4</v>
      </c>
      <c r="AC62" s="16">
        <f>((SUMIFS(SSP5_VSI!$F:$F,SSP5_VSI!$C:$C,Results_list!$C$151,SSP5_VSI!$D:$D,Results_list!$D167,SSP5_VSI!$B:$B,2040)) - (SUMIFS(SSP5_VSI!$F:$F,SSP5_VSI!$C:$C,Results_list!$C$151,SSP5_VSI!$D:$D,Results_list!$D167,SSP5_VSI!$B:$B,2025))) / (SUMIFS(SSP5_VSI!$F:$F,SSP5_VSI!$C:$C,Results_list!$C$151,SSP5_VSI!$D:$D,Results_list!$D167,SSP5_VSI!$B:$B,2025))</f>
        <v>1.168388440630714E-4</v>
      </c>
      <c r="AD62" s="13">
        <f t="shared" si="29"/>
        <v>0</v>
      </c>
      <c r="AF62" s="85"/>
      <c r="AG62" s="85"/>
      <c r="AH62" t="s">
        <v>55</v>
      </c>
      <c r="AJ62" s="3" t="s">
        <v>103</v>
      </c>
      <c r="AK62" s="12">
        <f>((SUMIFS(SSP1_Baseline!$E:$E,SSP1_Baseline!$C:$C,Results_list!$C$235,SSP1_Baseline!$D:$D,Results_list!$D62,SSP1_Baseline!$B:$B,2040)) - (SUMIFS(SSP1_Baseline!$E:$E,SSP1_Baseline!$C:$C,Results_list!$C$235,SSP1_Baseline!$D:$D,Results_list!$D62,SSP1_Baseline!$B:$B,2025))) / (SUMIFS(SSP1_Baseline!$E:$E,SSP1_Baseline!$C:$C,Results_list!$C$235,SSP1_Baseline!$D:$D,Results_list!$D62,SSP1_Baseline!$B:$B,2025))</f>
        <v>6.5752598239681688E-3</v>
      </c>
      <c r="AL62" s="16">
        <f>((SUMIFS(SSP1_VSI!$F:$F,SSP1_VSI!$C:$C,Results_list!$C$235,SSP1_VSI!$D:$D,Results_list!$D62,SSP1_VSI!$B:$B,2040)) - (SUMIFS(SSP1_VSI!$F:$F,SSP1_VSI!$C:$C,Results_list!$C$235,SSP1_VSI!$D:$D,Results_list!$D62,SSP1_VSI!$B:$B,2025))) / (SUMIFS(SSP1_VSI!$F:$F,SSP1_VSI!$C:$C,Results_list!$C$235,SSP1_VSI!$D:$D,Results_list!$D62,SSP1_VSI!$B:$B,2025))</f>
        <v>-2.7164775305531425E-2</v>
      </c>
      <c r="AM62" s="13">
        <f t="shared" si="30"/>
        <v>-3.4000000000000002E-2</v>
      </c>
      <c r="AN62" s="12">
        <f>((SUMIFS(SSP2_Baseline!$E:$E,SSP2_Baseline!$C:$C,Results_list!$C$235,SSP2_Baseline!$D:$D,Results_list!$D62,SSP2_Baseline!$B:$B,2040)) - (SUMIFS(SSP2_Baseline!$E:$E,SSP2_Baseline!$C:$C,Results_list!$C$235,SSP2_Baseline!$D:$D,Results_list!$D62,SSP2_Baseline!$B:$B,2025))) / (SUMIFS(SSP2_Baseline!$E:$E,SSP2_Baseline!$C:$C,Results_list!$C$235,SSP2_Baseline!$D:$D,Results_list!$D62,SSP2_Baseline!$B:$B,2025))</f>
        <v>7.1363155122067673E-3</v>
      </c>
      <c r="AO62" s="16">
        <f>((SUMIFS(SSP2_VSI!$F:$F,SSP2_VSI!$C:$C,Results_list!$C$235,SSP2_VSI!$D:$D,Results_list!$D62,SSP2_VSI!$B:$B,2040)) - (SUMIFS(SSP2_VSI!$F:$F,SSP2_VSI!$C:$C,Results_list!$C$235,SSP2_VSI!$D:$D,Results_list!$D62,SSP2_VSI!$B:$B,2025))) / (SUMIFS(SSP2_VSI!$F:$F,SSP2_VSI!$C:$C,Results_list!$C$235,SSP2_VSI!$D:$D,Results_list!$D62,SSP2_VSI!$B:$B,2025))</f>
        <v>-2.6776862944199967E-2</v>
      </c>
      <c r="AP62" s="13">
        <f t="shared" si="31"/>
        <v>-0.03</v>
      </c>
      <c r="AQ62" s="12">
        <f>((SUMIFS(SSP5_Baseline!$E:$E,SSP5_Baseline!$C:$C,Results_list!$C$235,SSP5_Baseline!$D:$D,Results_list!$D62,SSP5_Baseline!$B:$B,2040)) - (SUMIFS(SSP5_Baseline!$E:$E,SSP5_Baseline!$C:$C,Results_list!$C$235,SSP5_Baseline!$D:$D,Results_list!$D62,SSP5_Baseline!$B:$B,2025))) / (SUMIFS(SSP5_Baseline!$E:$E,SSP5_Baseline!$C:$C,Results_list!$C$235,SSP5_Baseline!$D:$D,Results_list!$D62,SSP5_Baseline!$B:$B,2025))</f>
        <v>7.127888165811927E-2</v>
      </c>
      <c r="AR62" s="16">
        <f>((SUMIFS(SSP5_VSI!$F:$F,SSP5_VSI!$C:$C,Results_list!$C$235,SSP5_VSI!$D:$D,Results_list!$D62,SSP5_VSI!$B:$B,2040)) - (SUMIFS(SSP5_VSI!$F:$F,SSP5_VSI!$C:$C,Results_list!$C$235,SSP5_VSI!$D:$D,Results_list!$D62,SSP5_VSI!$B:$B,2025))) / (SUMIFS(SSP5_VSI!$F:$F,SSP5_VSI!$C:$C,Results_list!$C$235,SSP5_VSI!$D:$D,Results_list!$D62,SSP5_VSI!$B:$B,2025))</f>
        <v>3.7749518618692787E-2</v>
      </c>
      <c r="AS62" s="13">
        <f t="shared" si="32"/>
        <v>-0.03</v>
      </c>
      <c r="AU62" s="87"/>
      <c r="AV62" s="87"/>
      <c r="AW62" s="22" t="s">
        <v>55</v>
      </c>
      <c r="AX62" s="24" t="s">
        <v>81</v>
      </c>
      <c r="AY62" s="3" t="s">
        <v>103</v>
      </c>
      <c r="AZ62" s="12">
        <v>-1.2523320849357349E-2</v>
      </c>
      <c r="BA62" s="16">
        <v>-1.2519943496731932E-2</v>
      </c>
      <c r="BB62" s="13">
        <f t="shared" si="33"/>
        <v>0</v>
      </c>
      <c r="BC62" s="12">
        <v>-1.3164993823766003E-2</v>
      </c>
      <c r="BD62" s="16">
        <v>-1.3162387355516296E-2</v>
      </c>
      <c r="BE62" s="13">
        <f t="shared" si="34"/>
        <v>0</v>
      </c>
      <c r="BF62" s="12">
        <v>-3.3868870568491374E-2</v>
      </c>
      <c r="BG62" s="16">
        <v>-3.3867558129277178E-2</v>
      </c>
      <c r="BH62" s="13">
        <f t="shared" si="35"/>
        <v>0</v>
      </c>
    </row>
    <row r="63" spans="2:60" x14ac:dyDescent="0.35">
      <c r="B63" s="92"/>
      <c r="C63" s="92"/>
      <c r="D63" s="20" t="s">
        <v>56</v>
      </c>
      <c r="F63" s="9" t="s">
        <v>104</v>
      </c>
      <c r="G63" s="14">
        <f>((SUMIFS(SSP1_Baseline!$E:$E,SSP1_Baseline!$C:$C,Results_list!$C$46,SSP1_Baseline!$D:$D,Results_list!$D63,SSP1_Baseline!$B:$B,2040)) - (SUMIFS(SSP1_Baseline!$E:$E,SSP1_Baseline!$C:$C,Results_list!$C$46,SSP1_Baseline!$D:$D,Results_list!$D63,SSP1_Baseline!$B:$B,2025))) / (SUMIFS(SSP1_Baseline!$E:$E,SSP1_Baseline!$C:$C,Results_list!$C$46,SSP1_Baseline!$D:$D,Results_list!$D63,SSP1_Baseline!$B:$B,2025))</f>
        <v>-0.10713520873711969</v>
      </c>
      <c r="H63" s="17">
        <f>((SUMIFS(SSP1_VSI!$F:$F,SSP1_VSI!$C:$C,Results_list!$C$46,SSP1_VSI!$D:$D,Results_list!$D63,SSP1_VSI!$B:$B,2040)) - (SUMIFS(SSP1_VSI!$F:$F,SSP1_VSI!$C:$C,Results_list!$C$46,SSP1_VSI!$D:$D,Results_list!$D63,SSP1_VSI!$B:$B,2025))) / (SUMIFS(SSP1_VSI!$F:$F,SSP1_VSI!$C:$C,Results_list!$C$46,SSP1_VSI!$D:$D,Results_list!$D63,SSP1_VSI!$B:$B,2025))</f>
        <v>-0.10713940521846323</v>
      </c>
      <c r="I63" s="15">
        <f t="shared" si="24"/>
        <v>0</v>
      </c>
      <c r="J63" s="14">
        <f>((SUMIFS(SSP2_Baseline!$E:$E,SSP2_Baseline!$C:$C,Results_list!$C$46,SSP2_Baseline!$D:$D,Results_list!$D63,SSP2_Baseline!$B:$B,2040)) - (SUMIFS(SSP2_Baseline!$E:$E,SSP2_Baseline!$C:$C,Results_list!$C$46,SSP2_Baseline!$D:$D,Results_list!$D63,SSP2_Baseline!$B:$B,2025))) / (SUMIFS(SSP2_Baseline!$E:$E,SSP2_Baseline!$C:$C,Results_list!$C$46,SSP2_Baseline!$D:$D,Results_list!$D63,SSP2_Baseline!$B:$B,2025))</f>
        <v>-0.15776567003142955</v>
      </c>
      <c r="K63" s="17">
        <f>((SUMIFS(SSP2_VSI!$F:$F,SSP2_VSI!$C:$C,Results_list!$C$46,SSP2_VSI!$D:$D,Results_list!$D63,SSP2_VSI!$B:$B,2040)) - (SUMIFS(SSP2_VSI!$F:$F,SSP2_VSI!$C:$C,Results_list!$C$46,SSP2_VSI!$D:$D,Results_list!$D63,SSP2_VSI!$B:$B,2025))) / (SUMIFS(SSP2_VSI!$F:$F,SSP2_VSI!$C:$C,Results_list!$C$46,SSP2_VSI!$D:$D,Results_list!$D63,SSP2_VSI!$B:$B,2025))</f>
        <v>-0.15777595031893343</v>
      </c>
      <c r="L63" s="15">
        <f t="shared" si="25"/>
        <v>0</v>
      </c>
      <c r="M63" s="14">
        <f>((SUMIFS(SSP5_Baseline!$E:$E,SSP5_Baseline!$C:$C,Results_list!$C$46,SSP5_Baseline!$D:$D,Results_list!$D63,SSP5_Baseline!$B:$B,2040)) - (SUMIFS(SSP5_Baseline!$E:$E,SSP5_Baseline!$C:$C,Results_list!$C$46,SSP5_Baseline!$D:$D,Results_list!$D63,SSP5_Baseline!$B:$B,2025))) / (SUMIFS(SSP5_Baseline!$E:$E,SSP5_Baseline!$C:$C,Results_list!$C$46,SSP5_Baseline!$D:$D,Results_list!$D63,SSP5_Baseline!$B:$B,2025))</f>
        <v>0.12591395780450146</v>
      </c>
      <c r="N63" s="17">
        <f>((SUMIFS(SSP5_VSI!$F:$F,SSP5_VSI!$C:$C,Results_list!$C$46,SSP5_VSI!$D:$D,Results_list!$D63,SSP5_VSI!$B:$B,2040)) - (SUMIFS(SSP5_VSI!$F:$F,SSP5_VSI!$C:$C,Results_list!$C$46,SSP5_VSI!$D:$D,Results_list!$D63,SSP5_VSI!$B:$B,2025))) / (SUMIFS(SSP5_VSI!$F:$F,SSP5_VSI!$C:$C,Results_list!$C$46,SSP5_VSI!$D:$D,Results_list!$D63,SSP5_VSI!$B:$B,2025))</f>
        <v>0.12592341955748199</v>
      </c>
      <c r="O63" s="15">
        <f t="shared" si="26"/>
        <v>0</v>
      </c>
      <c r="Q63" s="92"/>
      <c r="R63" s="92"/>
      <c r="S63" t="s">
        <v>56</v>
      </c>
      <c r="U63" s="9" t="s">
        <v>104</v>
      </c>
      <c r="V63" s="14">
        <f>((SUMIFS(SSP1_Baseline!$E:$E,SSP1_Baseline!$C:$C,Results_list!$C$151,SSP1_Baseline!$D:$D,Results_list!$D168,SSP1_Baseline!$B:$B,2040)) - (SUMIFS(SSP1_Baseline!$E:$E,SSP1_Baseline!$C:$C,Results_list!$C$151,SSP1_Baseline!$D:$D,Results_list!$D168,SSP1_Baseline!$B:$B,2025))) / (SUMIFS(SSP1_Baseline!$E:$E,SSP1_Baseline!$C:$C,Results_list!$C$151,SSP1_Baseline!$D:$D,Results_list!$D168,SSP1_Baseline!$B:$B,2025))</f>
        <v>-0.14606688008691288</v>
      </c>
      <c r="W63" s="17">
        <f>((SUMIFS(SSP1_VSI!$F:$F,SSP1_VSI!$C:$C,Results_list!$C$151,SSP1_VSI!$D:$D,Results_list!$D168,SSP1_VSI!$B:$B,2040)) - (SUMIFS(SSP1_VSI!$F:$F,SSP1_VSI!$C:$C,Results_list!$C$151,SSP1_VSI!$D:$D,Results_list!$D168,SSP1_VSI!$B:$B,2025))) / (SUMIFS(SSP1_VSI!$F:$F,SSP1_VSI!$C:$C,Results_list!$C$151,SSP1_VSI!$D:$D,Results_list!$D168,SSP1_VSI!$B:$B,2025))</f>
        <v>-0.14607208424990148</v>
      </c>
      <c r="X63" s="15">
        <f t="shared" si="27"/>
        <v>0</v>
      </c>
      <c r="Y63" s="14">
        <f>((SUMIFS(SSP2_Baseline!$E:$E,SSP2_Baseline!$C:$C,Results_list!$C$151,SSP2_Baseline!$D:$D,Results_list!$D168,SSP2_Baseline!$B:$B,2040)) - (SUMIFS(SSP2_Baseline!$E:$E,SSP2_Baseline!$C:$C,Results_list!$C$151,SSP2_Baseline!$D:$D,Results_list!$D168,SSP2_Baseline!$B:$B,2025))) / (SUMIFS(SSP2_Baseline!$E:$E,SSP2_Baseline!$C:$C,Results_list!$C$151,SSP2_Baseline!$D:$D,Results_list!$D168,SSP2_Baseline!$B:$B,2025))</f>
        <v>-0.1548211993282442</v>
      </c>
      <c r="Z63" s="17">
        <f>((SUMIFS(SSP2_VSI!$F:$F,SSP2_VSI!$C:$C,Results_list!$C$151,SSP2_VSI!$D:$D,Results_list!$D168,SSP2_VSI!$B:$B,2040)) - (SUMIFS(SSP2_VSI!$F:$F,SSP2_VSI!$C:$C,Results_list!$C$151,SSP2_VSI!$D:$D,Results_list!$D168,SSP2_VSI!$B:$B,2025))) / (SUMIFS(SSP2_VSI!$F:$F,SSP2_VSI!$C:$C,Results_list!$C$151,SSP2_VSI!$D:$D,Results_list!$D168,SSP2_VSI!$B:$B,2025))</f>
        <v>-0.15484157920456229</v>
      </c>
      <c r="AA63" s="15">
        <f t="shared" si="28"/>
        <v>0</v>
      </c>
      <c r="AB63" s="14">
        <f>((SUMIFS(SSP5_Baseline!$E:$E,SSP5_Baseline!$C:$C,Results_list!$C$151,SSP5_Baseline!$D:$D,Results_list!$D168,SSP5_Baseline!$B:$B,2040)) - (SUMIFS(SSP5_Baseline!$E:$E,SSP5_Baseline!$C:$C,Results_list!$C$151,SSP5_Baseline!$D:$D,Results_list!$D168,SSP5_Baseline!$B:$B,2025))) / (SUMIFS(SSP5_Baseline!$E:$E,SSP5_Baseline!$C:$C,Results_list!$C$151,SSP5_Baseline!$D:$D,Results_list!$D168,SSP5_Baseline!$B:$B,2025))</f>
        <v>-0.13140317033180526</v>
      </c>
      <c r="AC63" s="17">
        <f>((SUMIFS(SSP5_VSI!$F:$F,SSP5_VSI!$C:$C,Results_list!$C$151,SSP5_VSI!$D:$D,Results_list!$D168,SSP5_VSI!$B:$B,2040)) - (SUMIFS(SSP5_VSI!$F:$F,SSP5_VSI!$C:$C,Results_list!$C$151,SSP5_VSI!$D:$D,Results_list!$D168,SSP5_VSI!$B:$B,2025))) / (SUMIFS(SSP5_VSI!$F:$F,SSP5_VSI!$C:$C,Results_list!$C$151,SSP5_VSI!$D:$D,Results_list!$D168,SSP5_VSI!$B:$B,2025))</f>
        <v>-0.1313897446458519</v>
      </c>
      <c r="AD63" s="15">
        <f t="shared" si="29"/>
        <v>0</v>
      </c>
      <c r="AF63" s="86"/>
      <c r="AG63" s="86"/>
      <c r="AH63" t="s">
        <v>56</v>
      </c>
      <c r="AJ63" s="9" t="s">
        <v>104</v>
      </c>
      <c r="AK63" s="14">
        <f>((SUMIFS(SSP1_Baseline!$E:$E,SSP1_Baseline!$C:$C,Results_list!$C$235,SSP1_Baseline!$D:$D,Results_list!$D63,SSP1_Baseline!$B:$B,2040)) - (SUMIFS(SSP1_Baseline!$E:$E,SSP1_Baseline!$C:$C,Results_list!$C$235,SSP1_Baseline!$D:$D,Results_list!$D63,SSP1_Baseline!$B:$B,2025))) / (SUMIFS(SSP1_Baseline!$E:$E,SSP1_Baseline!$C:$C,Results_list!$C$235,SSP1_Baseline!$D:$D,Results_list!$D63,SSP1_Baseline!$B:$B,2025))</f>
        <v>-5.1931012090685312E-2</v>
      </c>
      <c r="AL63" s="17">
        <f>((SUMIFS(SSP1_VSI!$F:$F,SSP1_VSI!$C:$C,Results_list!$C$235,SSP1_VSI!$D:$D,Results_list!$D63,SSP1_VSI!$B:$B,2040)) - (SUMIFS(SSP1_VSI!$F:$F,SSP1_VSI!$C:$C,Results_list!$C$235,SSP1_VSI!$D:$D,Results_list!$D63,SSP1_VSI!$B:$B,2025))) / (SUMIFS(SSP1_VSI!$F:$F,SSP1_VSI!$C:$C,Results_list!$C$235,SSP1_VSI!$D:$D,Results_list!$D63,SSP1_VSI!$B:$B,2025))</f>
        <v>-5.1934620387174231E-2</v>
      </c>
      <c r="AM63" s="15">
        <f t="shared" si="30"/>
        <v>0</v>
      </c>
      <c r="AN63" s="14">
        <f>((SUMIFS(SSP2_Baseline!$E:$E,SSP2_Baseline!$C:$C,Results_list!$C$235,SSP2_Baseline!$D:$D,Results_list!$D63,SSP2_Baseline!$B:$B,2040)) - (SUMIFS(SSP2_Baseline!$E:$E,SSP2_Baseline!$C:$C,Results_list!$C$235,SSP2_Baseline!$D:$D,Results_list!$D63,SSP2_Baseline!$B:$B,2025))) / (SUMIFS(SSP2_Baseline!$E:$E,SSP2_Baseline!$C:$C,Results_list!$C$235,SSP2_Baseline!$D:$D,Results_list!$D63,SSP2_Baseline!$B:$B,2025))</f>
        <v>-5.847346727847047E-2</v>
      </c>
      <c r="AO63" s="17">
        <f>((SUMIFS(SSP2_VSI!$F:$F,SSP2_VSI!$C:$C,Results_list!$C$235,SSP2_VSI!$D:$D,Results_list!$D63,SSP2_VSI!$B:$B,2040)) - (SUMIFS(SSP2_VSI!$F:$F,SSP2_VSI!$C:$C,Results_list!$C$235,SSP2_VSI!$D:$D,Results_list!$D63,SSP2_VSI!$B:$B,2025))) / (SUMIFS(SSP2_VSI!$F:$F,SSP2_VSI!$C:$C,Results_list!$C$235,SSP2_VSI!$D:$D,Results_list!$D63,SSP2_VSI!$B:$B,2025))</f>
        <v>-5.8482965533282354E-2</v>
      </c>
      <c r="AP63" s="15">
        <f t="shared" si="31"/>
        <v>0</v>
      </c>
      <c r="AQ63" s="14">
        <f>((SUMIFS(SSP5_Baseline!$E:$E,SSP5_Baseline!$C:$C,Results_list!$C$235,SSP5_Baseline!$D:$D,Results_list!$D63,SSP5_Baseline!$B:$B,2040)) - (SUMIFS(SSP5_Baseline!$E:$E,SSP5_Baseline!$C:$C,Results_list!$C$235,SSP5_Baseline!$D:$D,Results_list!$D63,SSP5_Baseline!$B:$B,2025))) / (SUMIFS(SSP5_Baseline!$E:$E,SSP5_Baseline!$C:$C,Results_list!$C$235,SSP5_Baseline!$D:$D,Results_list!$D63,SSP5_Baseline!$B:$B,2025))</f>
        <v>-2.3479818295777981E-2</v>
      </c>
      <c r="AR63" s="17">
        <f>((SUMIFS(SSP5_VSI!$F:$F,SSP5_VSI!$C:$C,Results_list!$C$235,SSP5_VSI!$D:$D,Results_list!$D63,SSP5_VSI!$B:$B,2040)) - (SUMIFS(SSP5_VSI!$F:$F,SSP5_VSI!$C:$C,Results_list!$C$235,SSP5_VSI!$D:$D,Results_list!$D63,SSP5_VSI!$B:$B,2025))) / (SUMIFS(SSP5_VSI!$F:$F,SSP5_VSI!$C:$C,Results_list!$C$235,SSP5_VSI!$D:$D,Results_list!$D63,SSP5_VSI!$B:$B,2025))</f>
        <v>-2.3467439151045953E-2</v>
      </c>
      <c r="AS63" s="15">
        <f t="shared" si="32"/>
        <v>0</v>
      </c>
      <c r="AU63" s="88"/>
      <c r="AV63" s="88"/>
      <c r="AW63" s="23" t="s">
        <v>56</v>
      </c>
      <c r="AX63" s="28" t="s">
        <v>81</v>
      </c>
      <c r="AY63" s="9" t="s">
        <v>104</v>
      </c>
      <c r="AZ63" s="14">
        <v>-0.24741138135198518</v>
      </c>
      <c r="BA63" s="17">
        <v>-0.24740891712105509</v>
      </c>
      <c r="BB63" s="15">
        <f t="shared" si="33"/>
        <v>0</v>
      </c>
      <c r="BC63" s="14">
        <v>-0.25702020231050188</v>
      </c>
      <c r="BD63" s="17">
        <v>-0.25701051118803697</v>
      </c>
      <c r="BE63" s="15">
        <f t="shared" si="34"/>
        <v>0</v>
      </c>
      <c r="BF63" s="14">
        <v>8.1391895201877576E-2</v>
      </c>
      <c r="BG63" s="17">
        <v>8.1390934851384419E-2</v>
      </c>
      <c r="BH63" s="15">
        <f t="shared" si="35"/>
        <v>0</v>
      </c>
    </row>
    <row r="64" spans="2:60" x14ac:dyDescent="0.35">
      <c r="J64" s="21"/>
      <c r="K64" s="21"/>
    </row>
    <row r="65" spans="2:60" x14ac:dyDescent="0.35">
      <c r="F65" s="2"/>
      <c r="G65" s="78" t="s">
        <v>3</v>
      </c>
      <c r="H65" s="79"/>
      <c r="I65" s="79"/>
      <c r="J65" s="79"/>
      <c r="K65" s="79"/>
      <c r="L65" s="79"/>
      <c r="M65" s="79"/>
      <c r="N65" s="79"/>
      <c r="O65" s="80"/>
      <c r="U65" s="2"/>
      <c r="V65" s="78" t="s">
        <v>3</v>
      </c>
      <c r="W65" s="79"/>
      <c r="X65" s="79"/>
      <c r="Y65" s="79"/>
      <c r="Z65" s="79"/>
      <c r="AA65" s="79"/>
      <c r="AB65" s="79"/>
      <c r="AC65" s="79"/>
      <c r="AD65" s="80"/>
      <c r="AJ65" s="2"/>
      <c r="AK65" s="78" t="s">
        <v>3</v>
      </c>
      <c r="AL65" s="79"/>
      <c r="AM65" s="79"/>
      <c r="AN65" s="79"/>
      <c r="AO65" s="79"/>
      <c r="AP65" s="79"/>
      <c r="AQ65" s="79"/>
      <c r="AR65" s="79"/>
      <c r="AS65" s="80"/>
      <c r="AY65" s="2"/>
      <c r="AZ65" s="93" t="s">
        <v>3</v>
      </c>
      <c r="BA65" s="94"/>
      <c r="BB65" s="94"/>
      <c r="BC65" s="94"/>
      <c r="BD65" s="94"/>
      <c r="BE65" s="94"/>
      <c r="BF65" s="94"/>
      <c r="BG65" s="94"/>
      <c r="BH65" s="95"/>
    </row>
    <row r="66" spans="2:60" ht="43.5" x14ac:dyDescent="0.35">
      <c r="B66" s="8" t="s">
        <v>30</v>
      </c>
      <c r="C66" s="8" t="s">
        <v>30</v>
      </c>
      <c r="D66" s="7" t="s">
        <v>106</v>
      </c>
      <c r="F66" s="7" t="s">
        <v>105</v>
      </c>
      <c r="G66" s="10" t="s">
        <v>0</v>
      </c>
      <c r="H66" s="11" t="s">
        <v>108</v>
      </c>
      <c r="I66" s="18" t="s">
        <v>107</v>
      </c>
      <c r="J66" s="10" t="s">
        <v>1</v>
      </c>
      <c r="K66" s="11" t="s">
        <v>109</v>
      </c>
      <c r="L66" s="18" t="s">
        <v>107</v>
      </c>
      <c r="M66" s="10" t="s">
        <v>2</v>
      </c>
      <c r="N66" s="11" t="s">
        <v>110</v>
      </c>
      <c r="O66" s="18" t="s">
        <v>107</v>
      </c>
      <c r="Q66" s="8" t="s">
        <v>30</v>
      </c>
      <c r="R66" s="8" t="s">
        <v>30</v>
      </c>
      <c r="S66" s="6" t="s">
        <v>106</v>
      </c>
      <c r="U66" s="7" t="s">
        <v>105</v>
      </c>
      <c r="V66" s="10" t="s">
        <v>0</v>
      </c>
      <c r="W66" s="11" t="s">
        <v>108</v>
      </c>
      <c r="X66" s="18" t="s">
        <v>107</v>
      </c>
      <c r="Y66" s="10" t="s">
        <v>1</v>
      </c>
      <c r="Z66" s="11" t="s">
        <v>109</v>
      </c>
      <c r="AA66" s="18" t="s">
        <v>107</v>
      </c>
      <c r="AB66" s="10" t="s">
        <v>2</v>
      </c>
      <c r="AC66" s="11" t="s">
        <v>110</v>
      </c>
      <c r="AD66" s="18" t="s">
        <v>107</v>
      </c>
      <c r="AF66" s="8" t="s">
        <v>30</v>
      </c>
      <c r="AG66" s="8" t="s">
        <v>30</v>
      </c>
      <c r="AH66" s="6" t="s">
        <v>106</v>
      </c>
      <c r="AJ66" s="7" t="s">
        <v>105</v>
      </c>
      <c r="AK66" s="10" t="s">
        <v>0</v>
      </c>
      <c r="AL66" s="11" t="s">
        <v>108</v>
      </c>
      <c r="AM66" s="18" t="s">
        <v>107</v>
      </c>
      <c r="AN66" s="10" t="s">
        <v>1</v>
      </c>
      <c r="AO66" s="11" t="s">
        <v>109</v>
      </c>
      <c r="AP66" s="18" t="s">
        <v>107</v>
      </c>
      <c r="AQ66" s="10" t="s">
        <v>2</v>
      </c>
      <c r="AR66" s="11" t="s">
        <v>110</v>
      </c>
      <c r="AS66" s="18" t="s">
        <v>107</v>
      </c>
      <c r="AU66" s="8" t="s">
        <v>30</v>
      </c>
      <c r="AV66" s="8" t="s">
        <v>30</v>
      </c>
      <c r="AW66" s="6" t="s">
        <v>106</v>
      </c>
      <c r="AX66" s="27"/>
      <c r="AY66" s="7" t="s">
        <v>105</v>
      </c>
      <c r="AZ66" s="10" t="s">
        <v>0</v>
      </c>
      <c r="BA66" s="11" t="s">
        <v>108</v>
      </c>
      <c r="BB66" s="18" t="s">
        <v>107</v>
      </c>
      <c r="BC66" s="10" t="s">
        <v>1</v>
      </c>
      <c r="BD66" s="11" t="s">
        <v>109</v>
      </c>
      <c r="BE66" s="18" t="s">
        <v>107</v>
      </c>
      <c r="BF66" s="10" t="s">
        <v>2</v>
      </c>
      <c r="BG66" s="11" t="s">
        <v>110</v>
      </c>
      <c r="BH66" s="18" t="s">
        <v>107</v>
      </c>
    </row>
    <row r="67" spans="2:60" x14ac:dyDescent="0.35">
      <c r="B67" s="91" t="s">
        <v>113</v>
      </c>
      <c r="C67" s="91" t="s">
        <v>57</v>
      </c>
      <c r="D67" t="s">
        <v>38</v>
      </c>
      <c r="F67" s="3" t="s">
        <v>87</v>
      </c>
      <c r="G67" s="12">
        <f>((SUMIFS(SSP1_Baseline!$E:$E,SSP1_Baseline!$C:$C,Results_list!$C$67,SSP1_Baseline!$D:$D,Results_list!$D67,SSP1_Baseline!$B:$B,2040))
- (SUMIFS(SSP1_Baseline!$E:$E,SSP1_Baseline!$C:$C,Results_list!$C$67,SSP1_Baseline!$D:$D,Results_list!$D67,SSP1_Baseline!$B:$B,2025)))
/ (SUMIFS(SSP1_Baseline!$E:$E,SSP1_Baseline!$C:$C,Results_list!$C$67,SSP1_Baseline!$D:$D,Results_list!$D67,SSP1_Baseline!$B:$B,2025))</f>
        <v>-4.3390810121047146E-2</v>
      </c>
      <c r="H67" s="16">
        <f>((SUMIFS(SSP1_VSI!$F:$F,SSP1_VSI!$C:$C,Results_list!$C$67,SSP1_VSI!$D:$D,Results_list!$D67,SSP1_VSI!$B:$B,2040))
- (SUMIFS(SSP1_VSI!$F:$F,SSP1_VSI!$C:$C,Results_list!$C$67,SSP1_VSI!$D:$D,Results_list!$D67,SSP1_VSI!$B:$B,2025)))
/ (SUMIFS(SSP1_VSI!$F:$F,SSP1_VSI!$C:$C,Results_list!$C$67,SSP1_VSI!$D:$D,Results_list!$D67,SSP1_VSI!$B:$B,2025))</f>
        <v>-4.341130554630096E-2</v>
      </c>
      <c r="I67" s="19">
        <f>ROUND(H67-G67,3)</f>
        <v>0</v>
      </c>
      <c r="J67" s="12">
        <f>((SUMIFS(SSP2_Baseline!$E:$E,SSP2_Baseline!$C:$C,Results_list!$C$67,SSP2_Baseline!$D:$D,Results_list!$D67,SSP2_Baseline!$B:$B,2040))
- (SUMIFS(SSP2_Baseline!$E:$E,SSP2_Baseline!$C:$C,Results_list!$C$67,SSP2_Baseline!$D:$D,Results_list!$D67,SSP2_Baseline!$B:$B,2025)))
/ (SUMIFS(SSP2_Baseline!$E:$E,SSP2_Baseline!$C:$C,Results_list!$C$67,SSP2_Baseline!$D:$D,Results_list!$D67,SSP2_Baseline!$B:$B,2025))</f>
        <v>0.30535932982939701</v>
      </c>
      <c r="K67" s="16">
        <f>((SUMIFS(SSP2_VSI!$F:$F,SSP2_VSI!$C:$C,Results_list!$C$67,SSP2_VSI!$D:$D,Results_list!$D67,SSP2_VSI!$B:$B,2040))
- (SUMIFS(SSP2_VSI!$F:$F,SSP2_VSI!$C:$C,Results_list!$C$67,SSP2_VSI!$D:$D,Results_list!$D67,SSP2_VSI!$B:$B,2025)))
/ (SUMIFS(SSP2_VSI!$F:$F,SSP2_VSI!$C:$C,Results_list!$C$67,SSP2_VSI!$D:$D,Results_list!$D67,SSP2_VSI!$B:$B,2025))</f>
        <v>0.30526019646642349</v>
      </c>
      <c r="L67" s="19">
        <f>ROUND(K67-J67,2)</f>
        <v>0</v>
      </c>
      <c r="M67" s="12">
        <f>((SUMIFS(SSP5_Baseline!$E:$E,SSP5_Baseline!$C:$C,Results_list!$C$67,SSP5_Baseline!$D:$D,Results_list!$D67,SSP5_Baseline!$B:$B,2040))
- (SUMIFS(SSP5_Baseline!$E:$E,SSP5_Baseline!$C:$C,Results_list!$C$67,SSP5_Baseline!$D:$D,Results_list!$D67,SSP5_Baseline!$B:$B,2025)))
/ (SUMIFS(SSP5_Baseline!$E:$E,SSP5_Baseline!$C:$C,Results_list!$C$67,SSP5_Baseline!$D:$D,Results_list!$D67,SSP5_Baseline!$B:$B,2025))</f>
        <v>0.48293546210475097</v>
      </c>
      <c r="N67" s="16">
        <f>((SUMIFS(SSP5_VSI!$F:$F,SSP5_VSI!$C:$C,Results_list!$C$67,SSP5_VSI!$D:$D,Results_list!$D67,SSP5_VSI!$B:$B,2040))
- (SUMIFS(SSP5_VSI!$F:$F,SSP5_VSI!$C:$C,Results_list!$C$67,SSP5_VSI!$D:$D,Results_list!$D67,SSP5_VSI!$B:$B,2025)))
/ (SUMIFS(SSP5_VSI!$F:$F,SSP5_VSI!$C:$C,Results_list!$C$67,SSP5_VSI!$D:$D,Results_list!$D67,SSP5_VSI!$B:$B,2025))</f>
        <v>0.48288986322341537</v>
      </c>
      <c r="O67" s="19">
        <f>ROUND(N67-M67,2)</f>
        <v>0</v>
      </c>
      <c r="Q67" s="91" t="s">
        <v>111</v>
      </c>
      <c r="R67" s="91" t="s">
        <v>67</v>
      </c>
      <c r="S67" t="s">
        <v>38</v>
      </c>
      <c r="U67" s="3" t="s">
        <v>87</v>
      </c>
      <c r="V67" s="12">
        <f>((SUMIFS(SSP1_Baseline!$E:$E,SSP1_Baseline!$C:$C,Results_list!$C$172,SSP1_Baseline!$D:$D,Results_list!$D172,SSP1_Baseline!$B:$B,2040))
- (SUMIFS(SSP1_Baseline!$E:$E,SSP1_Baseline!$C:$C,Results_list!$C$172,SSP1_Baseline!$D:$D,Results_list!$D172,SSP1_Baseline!$B:$B,2025)))
/ (SUMIFS(SSP1_Baseline!$E:$E,SSP1_Baseline!$C:$C,Results_list!$C$172,SSP1_Baseline!$D:$D,Results_list!$D172,SSP1_Baseline!$B:$B,2025))</f>
        <v>-2.9815760675074715E-2</v>
      </c>
      <c r="W67" s="16">
        <f>((SUMIFS(SSP1_VSI!$F:$F,SSP1_VSI!$C:$C,Results_list!$C$172,SSP1_VSI!$D:$D,Results_list!$D172,SSP1_VSI!$B:$B,2040))
- (SUMIFS(SSP1_VSI!$F:$F,SSP1_VSI!$C:$C,Results_list!$C$172,SSP1_VSI!$D:$D,Results_list!$D172,SSP1_VSI!$B:$B,2025)))
/ (SUMIFS(SSP1_VSI!$F:$F,SSP1_VSI!$C:$C,Results_list!$C$172,SSP1_VSI!$D:$D,Results_list!$D172,SSP1_VSI!$B:$B,2025))</f>
        <v>-0.4525173576271968</v>
      </c>
      <c r="X67" s="19">
        <f>ROUND(W67-V67,3)</f>
        <v>-0.42299999999999999</v>
      </c>
      <c r="Y67" s="12">
        <f>((SUMIFS(SSP2_Baseline!$E:$E,SSP2_Baseline!$C:$C,Results_list!$C$172,SSP2_Baseline!$D:$D,Results_list!$D172,SSP2_Baseline!$B:$B,2040))
- (SUMIFS(SSP2_Baseline!$E:$E,SSP2_Baseline!$C:$C,Results_list!$C$172,SSP2_Baseline!$D:$D,Results_list!$D172,SSP2_Baseline!$B:$B,2025)))
/ (SUMIFS(SSP2_Baseline!$E:$E,SSP2_Baseline!$C:$C,Results_list!$C$172,SSP2_Baseline!$D:$D,Results_list!$D172,SSP2_Baseline!$B:$B,2025))</f>
        <v>0.21024329970996894</v>
      </c>
      <c r="Z67" s="16">
        <f>((SUMIFS(SSP2_VSI!$F:$F,SSP2_VSI!$C:$C,Results_list!$C$172,SSP2_VSI!$D:$D,Results_list!$D172,SSP2_VSI!$B:$B,2040))
- (SUMIFS(SSP2_VSI!$F:$F,SSP2_VSI!$C:$C,Results_list!$C$172,SSP2_VSI!$D:$D,Results_list!$D172,SSP2_VSI!$B:$B,2025)))
/ (SUMIFS(SSP2_VSI!$F:$F,SSP2_VSI!$C:$C,Results_list!$C$172,SSP2_VSI!$D:$D,Results_list!$D172,SSP2_VSI!$B:$B,2025))</f>
        <v>-0.44407422433544147</v>
      </c>
      <c r="AA67" s="19">
        <f>ROUND(Z67-Y67,2)</f>
        <v>-0.65</v>
      </c>
      <c r="AB67" s="12">
        <f>((SUMIFS(SSP5_Baseline!$E:$E,SSP5_Baseline!$C:$C,Results_list!$C$172,SSP5_Baseline!$D:$D,Results_list!$D172,SSP5_Baseline!$B:$B,2040))
- (SUMIFS(SSP5_Baseline!$E:$E,SSP5_Baseline!$C:$C,Results_list!$C$172,SSP5_Baseline!$D:$D,Results_list!$D172,SSP5_Baseline!$B:$B,2025)))
/ (SUMIFS(SSP5_Baseline!$E:$E,SSP5_Baseline!$C:$C,Results_list!$C$172,SSP5_Baseline!$D:$D,Results_list!$D172,SSP5_Baseline!$B:$B,2025))</f>
        <v>0.32932003188652886</v>
      </c>
      <c r="AC67" s="16">
        <f>((SUMIFS(SSP5_VSI!$F:$F,SSP5_VSI!$C:$C,Results_list!$C$172,SSP5_VSI!$D:$D,Results_list!$D172,SSP5_VSI!$B:$B,2040))
- (SUMIFS(SSP5_VSI!$F:$F,SSP5_VSI!$C:$C,Results_list!$C$172,SSP5_VSI!$D:$D,Results_list!$D172,SSP5_VSI!$B:$B,2025)))
/ (SUMIFS(SSP5_VSI!$F:$F,SSP5_VSI!$C:$C,Results_list!$C$172,SSP5_VSI!$D:$D,Results_list!$D172,SSP5_VSI!$B:$B,2025))</f>
        <v>-0.34664111165029798</v>
      </c>
      <c r="AD67" s="19">
        <f>ROUND(AC67-AB67,2)</f>
        <v>-0.68</v>
      </c>
      <c r="AF67" s="85" t="s">
        <v>121</v>
      </c>
      <c r="AG67" s="85" t="s">
        <v>74</v>
      </c>
      <c r="AH67" t="s">
        <v>38</v>
      </c>
      <c r="AJ67" s="3" t="s">
        <v>87</v>
      </c>
      <c r="AK67" s="12">
        <f>((SUMIFS(SSP1_Baseline!$E:$E,SSP1_Baseline!$C:$C,Results_list!$C$256,SSP1_Baseline!$D:$D,Results_list!$D67,SSP1_Baseline!$B:$B,2040)) - (SUMIFS(SSP1_Baseline!$E:$E,SSP1_Baseline!$C:$C,Results_list!$C$256,SSP1_Baseline!$D:$D,Results_list!$D67,SSP1_Baseline!$B:$B,2025))) / (SUMIFS(SSP1_Baseline!$E:$E,SSP1_Baseline!$C:$C,Results_list!$C$256,SSP1_Baseline!$D:$D,Results_list!$D67,SSP1_Baseline!$B:$B,2025))</f>
        <v>0.33519652528070376</v>
      </c>
      <c r="AL67" s="16">
        <f>((SUMIFS(SSP1_VSI!$F:$F,SSP1_VSI!$C:$C,Results_list!$C$256,SSP1_VSI!$D:$D,Results_list!$D67,SSP1_VSI!$B:$B,2040)) - (SUMIFS(SSP1_VSI!$F:$F,SSP1_VSI!$C:$C,Results_list!$C$256,SSP1_VSI!$D:$D,Results_list!$D67,SSP1_VSI!$B:$B,2025))) / (SUMIFS(SSP1_VSI!$F:$F,SSP1_VSI!$C:$C,Results_list!$C$256,SSP1_VSI!$D:$D,Results_list!$D67,SSP1_VSI!$B:$B,2025))</f>
        <v>0.33520576237267347</v>
      </c>
      <c r="AM67" s="19">
        <f>ROUND(AL67-AK67,3)</f>
        <v>0</v>
      </c>
      <c r="AN67" s="12">
        <f>((SUMIFS(SSP2_Baseline!$E:$E,SSP2_Baseline!$C:$C,Results_list!$C$256,SSP2_Baseline!$D:$D,Results_list!$D67,SSP2_Baseline!$B:$B,2040)) - (SUMIFS(SSP2_Baseline!$E:$E,SSP2_Baseline!$C:$C,Results_list!$C$256,SSP2_Baseline!$D:$D,Results_list!$D67,SSP2_Baseline!$B:$B,2025))) / (SUMIFS(SSP2_Baseline!$E:$E,SSP2_Baseline!$C:$C,Results_list!$C$256,SSP2_Baseline!$D:$D,Results_list!$D67,SSP2_Baseline!$B:$B,2025))</f>
        <v>4.1158840665326677</v>
      </c>
      <c r="AO67" s="16">
        <f>((SUMIFS(SSP2_VSI!$F:$F,SSP2_VSI!$C:$C,Results_list!$C$256,SSP2_VSI!$D:$D,Results_list!$D67,SSP2_VSI!$B:$B,2040)) - (SUMIFS(SSP2_VSI!$F:$F,SSP2_VSI!$C:$C,Results_list!$C$256,SSP2_VSI!$D:$D,Results_list!$D67,SSP2_VSI!$B:$B,2025))) / (SUMIFS(SSP2_VSI!$F:$F,SSP2_VSI!$C:$C,Results_list!$C$256,SSP2_VSI!$D:$D,Results_list!$D67,SSP2_VSI!$B:$B,2025))</f>
        <v>4.1157014471219808</v>
      </c>
      <c r="AP67" s="19">
        <f>ROUND(AO67-AN67,2)</f>
        <v>0</v>
      </c>
      <c r="AQ67" s="12">
        <f>((SUMIFS(SSP5_Baseline!$E:$E,SSP5_Baseline!$C:$C,Results_list!$C$256,SSP5_Baseline!$D:$D,Results_list!$D67,SSP5_Baseline!$B:$B,2040)) - (SUMIFS(SSP5_Baseline!$E:$E,SSP5_Baseline!$C:$C,Results_list!$C$256,SSP5_Baseline!$D:$D,Results_list!$D67,SSP5_Baseline!$B:$B,2025))) / (SUMIFS(SSP5_Baseline!$E:$E,SSP5_Baseline!$C:$C,Results_list!$C$256,SSP5_Baseline!$D:$D,Results_list!$D67,SSP5_Baseline!$B:$B,2025))</f>
        <v>12.506544748124977</v>
      </c>
      <c r="AR67" s="16">
        <f>((SUMIFS(SSP5_VSI!$F:$F,SSP5_VSI!$C:$C,Results_list!$C$256,SSP5_VSI!$D:$D,Results_list!$D67,SSP5_VSI!$B:$B,2040)) - (SUMIFS(SSP5_VSI!$F:$F,SSP5_VSI!$C:$C,Results_list!$C$256,SSP5_VSI!$D:$D,Results_list!$D67,SSP5_VSI!$B:$B,2025))) / (SUMIFS(SSP5_VSI!$F:$F,SSP5_VSI!$C:$C,Results_list!$C$256,SSP5_VSI!$D:$D,Results_list!$D67,SSP5_VSI!$B:$B,2025))</f>
        <v>12.507212810314559</v>
      </c>
      <c r="AS67" s="19">
        <f>ROUND(AR67-AQ67,2)</f>
        <v>0</v>
      </c>
      <c r="AU67" s="87" t="s">
        <v>124</v>
      </c>
      <c r="AV67" s="87" t="s">
        <v>83</v>
      </c>
      <c r="AW67" t="s">
        <v>38</v>
      </c>
      <c r="AY67" s="3" t="s">
        <v>87</v>
      </c>
      <c r="AZ67" s="12">
        <f>((SUMIFS(SSP1_Baseline!$E:$E,SSP1_Baseline!$C:$C,Results_list!$C$361,SSP1_Baseline!$D:$D,Results_list!$D67,SSP1_Baseline!$B:$B,2040)) - (SUMIFS(SSP1_Baseline!$E:$E,SSP1_Baseline!$C:$C,Results_list!$C$361,SSP1_Baseline!$D:$D,Results_list!$D67,SSP1_Baseline!$B:$B,2025))) / (SUMIFS(SSP1_Baseline!$E:$E,SSP1_Baseline!$C:$C,Results_list!$C$361,SSP1_Baseline!$D:$D,Results_list!$D67,SSP1_Baseline!$B:$B,2025))</f>
        <v>-0.16992571195962511</v>
      </c>
      <c r="BA67" s="16">
        <f>((SUMIFS(SSP1_VSI!$F:$F,SSP1_VSI!$C:$C,Results_list!$C$361,SSP1_VSI!$D:$D,Results_list!$D67,SSP1_VSI!$B:$B,2040)) - (SUMIFS(SSP1_VSI!$F:$F,SSP1_VSI!$C:$C,Results_list!$C$361,SSP1_VSI!$D:$D,Results_list!$D67,SSP1_VSI!$B:$B,2025))) / (SUMIFS(SSP1_VSI!$F:$F,SSP1_VSI!$C:$C,Results_list!$C$361,SSP1_VSI!$D:$D,Results_list!$D67,SSP1_VSI!$B:$B,2025))</f>
        <v>-0.16992469891612599</v>
      </c>
      <c r="BB67" s="19">
        <f>ROUND(BA67-AZ67,3)</f>
        <v>0</v>
      </c>
      <c r="BC67" s="12">
        <f>((SUMIFS(SSP2_Baseline!$E:$E,SSP2_Baseline!$C:$C,Results_list!$C$361,SSP2_Baseline!$D:$D,Results_list!$D67,SSP2_Baseline!$B:$B,2040)) - (SUMIFS(SSP2_Baseline!$E:$E,SSP2_Baseline!$C:$C,Results_list!$C$361,SSP2_Baseline!$D:$D,Results_list!$D67,SSP2_Baseline!$B:$B,2025))) / (SUMIFS(SSP2_Baseline!$E:$E,SSP2_Baseline!$C:$C,Results_list!$C$361,SSP2_Baseline!$D:$D,Results_list!$D67,SSP2_Baseline!$B:$B,2025))</f>
        <v>0.72349672818391653</v>
      </c>
      <c r="BD67" s="16">
        <f>((SUMIFS(SSP2_VSI!$F:$F,SSP2_VSI!$C:$C,Results_list!$C$361,SSP2_VSI!$D:$D,Results_list!$D67,SSP2_VSI!$B:$B,2040)) - (SUMIFS(SSP2_VSI!$F:$F,SSP2_VSI!$C:$C,Results_list!$C$361,SSP2_VSI!$D:$D,Results_list!$D67,SSP2_VSI!$B:$B,2025))) / (SUMIFS(SSP2_VSI!$F:$F,SSP2_VSI!$C:$C,Results_list!$C$361,SSP2_VSI!$D:$D,Results_list!$D67,SSP2_VSI!$B:$B,2025))</f>
        <v>0.72337616312750808</v>
      </c>
      <c r="BE67" s="19">
        <f>ROUND(BD67-BC67,2)</f>
        <v>0</v>
      </c>
      <c r="BF67" s="12">
        <f>((SUMIFS(SSP5_Baseline!$E:$E,SSP5_Baseline!$C:$C,Results_list!$C$361,SSP5_Baseline!$D:$D,Results_list!$D67,SSP5_Baseline!$B:$B,2040)) - (SUMIFS(SSP5_Baseline!$E:$E,SSP5_Baseline!$C:$C,Results_list!$C$361,SSP5_Baseline!$D:$D,Results_list!$D67,SSP5_Baseline!$B:$B,2025))) / (SUMIFS(SSP5_Baseline!$E:$E,SSP5_Baseline!$C:$C,Results_list!$C$361,SSP5_Baseline!$D:$D,Results_list!$D67,SSP5_Baseline!$B:$B,2025))</f>
        <v>1.2870743126930753</v>
      </c>
      <c r="BG67" s="16">
        <f>((SUMIFS(SSP5_VSI!$F:$F,SSP5_VSI!$C:$C,Results_list!$C$361,SSP5_VSI!$D:$D,Results_list!$D67,SSP5_VSI!$B:$B,2040)) - (SUMIFS(SSP5_VSI!$F:$F,SSP5_VSI!$C:$C,Results_list!$C$361,SSP5_VSI!$D:$D,Results_list!$D67,SSP5_VSI!$B:$B,2025))) / (SUMIFS(SSP5_VSI!$F:$F,SSP5_VSI!$C:$C,Results_list!$C$361,SSP5_VSI!$D:$D,Results_list!$D67,SSP5_VSI!$B:$B,2025))</f>
        <v>1.2870933222601533</v>
      </c>
      <c r="BH67" s="19">
        <f>ROUND(BG67-BF67,2)</f>
        <v>0</v>
      </c>
    </row>
    <row r="68" spans="2:60" x14ac:dyDescent="0.35">
      <c r="B68" s="91"/>
      <c r="C68" s="91"/>
      <c r="D68" t="s">
        <v>40</v>
      </c>
      <c r="F68" s="3" t="s">
        <v>88</v>
      </c>
      <c r="G68" s="12">
        <f>((SUMIFS(SSP1_Baseline!$E:$E,SSP1_Baseline!$C:$C,Results_list!$C$67,SSP1_Baseline!$D:$D,Results_list!$D68,SSP1_Baseline!$B:$B,2040)) - (SUMIFS(SSP1_Baseline!$E:$E,SSP1_Baseline!$C:$C,Results_list!$C$67,SSP1_Baseline!$D:$D,Results_list!$D68,SSP1_Baseline!$B:$B,2025))) / (SUMIFS(SSP1_Baseline!$E:$E,SSP1_Baseline!$C:$C,Results_list!$C$67,SSP1_Baseline!$D:$D,Results_list!$D68,SSP1_Baseline!$B:$B,2025))</f>
        <v>7.904267592849254E-2</v>
      </c>
      <c r="H68" s="16">
        <f>((SUMIFS(SSP1_VSI!$F:$F,SSP1_VSI!$C:$C,Results_list!$C$67,SSP1_VSI!$D:$D,Results_list!$D68,SSP1_VSI!$B:$B,2040)) - (SUMIFS(SSP1_VSI!$F:$F,SSP1_VSI!$C:$C,Results_list!$C$67,SSP1_VSI!$D:$D,Results_list!$D68,SSP1_VSI!$B:$B,2025))) / (SUMIFS(SSP1_VSI!$F:$F,SSP1_VSI!$C:$C,Results_list!$C$67,SSP1_VSI!$D:$D,Results_list!$D68,SSP1_VSI!$B:$B,2025))</f>
        <v>7.904021260748828E-2</v>
      </c>
      <c r="I68" s="13">
        <f t="shared" ref="I68:I84" si="36">ROUND(H68-G68,3)</f>
        <v>0</v>
      </c>
      <c r="J68" s="12">
        <f>((SUMIFS(SSP2_Baseline!$E:$E,SSP2_Baseline!$C:$C,Results_list!$C$67,SSP2_Baseline!$D:$D,Results_list!$D68,SSP2_Baseline!$B:$B,2040)) - (SUMIFS(SSP2_Baseline!$E:$E,SSP2_Baseline!$C:$C,Results_list!$C$67,SSP2_Baseline!$D:$D,Results_list!$D68,SSP2_Baseline!$B:$B,2025))) / (SUMIFS(SSP2_Baseline!$E:$E,SSP2_Baseline!$C:$C,Results_list!$C$67,SSP2_Baseline!$D:$D,Results_list!$D68,SSP2_Baseline!$B:$B,2025))</f>
        <v>7.1354427028686024E-2</v>
      </c>
      <c r="K68" s="16">
        <f>((SUMIFS(SSP2_VSI!$F:$F,SSP2_VSI!$C:$C,Results_list!$C$67,SSP2_VSI!$D:$D,Results_list!$D68,SSP2_VSI!$B:$B,2040)) - (SUMIFS(SSP2_VSI!$F:$F,SSP2_VSI!$C:$C,Results_list!$C$67,SSP2_VSI!$D:$D,Results_list!$D68,SSP2_VSI!$B:$B,2025))) / (SUMIFS(SSP2_VSI!$F:$F,SSP2_VSI!$C:$C,Results_list!$C$67,SSP2_VSI!$D:$D,Results_list!$D68,SSP2_VSI!$B:$B,2025))</f>
        <v>7.1350067988670218E-2</v>
      </c>
      <c r="L68" s="13">
        <f t="shared" ref="L68:L84" si="37">ROUND(K68-J68,2)</f>
        <v>0</v>
      </c>
      <c r="M68" s="12">
        <f>((SUMIFS(SSP5_Baseline!$E:$E,SSP5_Baseline!$C:$C,Results_list!$C$67,SSP5_Baseline!$D:$D,Results_list!$D68,SSP5_Baseline!$B:$B,2040)) - (SUMIFS(SSP5_Baseline!$E:$E,SSP5_Baseline!$C:$C,Results_list!$C$67,SSP5_Baseline!$D:$D,Results_list!$D68,SSP5_Baseline!$B:$B,2025))) / (SUMIFS(SSP5_Baseline!$E:$E,SSP5_Baseline!$C:$C,Results_list!$C$67,SSP5_Baseline!$D:$D,Results_list!$D68,SSP5_Baseline!$B:$B,2025))</f>
        <v>4.2952096401989966E-3</v>
      </c>
      <c r="N68" s="16">
        <f>((SUMIFS(SSP5_VSI!$F:$F,SSP5_VSI!$C:$C,Results_list!$C$67,SSP5_VSI!$D:$D,Results_list!$D68,SSP5_VSI!$B:$B,2040)) - (SUMIFS(SSP5_VSI!$F:$F,SSP5_VSI!$C:$C,Results_list!$C$67,SSP5_VSI!$D:$D,Results_list!$D68,SSP5_VSI!$B:$B,2025))) / (SUMIFS(SSP5_VSI!$F:$F,SSP5_VSI!$C:$C,Results_list!$C$67,SSP5_VSI!$D:$D,Results_list!$D68,SSP5_VSI!$B:$B,2025))</f>
        <v>4.2898263925245502E-3</v>
      </c>
      <c r="O68" s="13">
        <f t="shared" ref="O68:O84" si="38">ROUND(N68-M68,2)</f>
        <v>0</v>
      </c>
      <c r="Q68" s="91"/>
      <c r="R68" s="91"/>
      <c r="S68" t="s">
        <v>40</v>
      </c>
      <c r="U68" s="3" t="s">
        <v>88</v>
      </c>
      <c r="V68" s="12">
        <f>((SUMIFS(SSP1_Baseline!$E:$E,SSP1_Baseline!$C:$C,Results_list!$C$172,SSP1_Baseline!$D:$D,Results_list!$D173,SSP1_Baseline!$B:$B,2040)) - (SUMIFS(SSP1_Baseline!$E:$E,SSP1_Baseline!$C:$C,Results_list!$C$172,SSP1_Baseline!$D:$D,Results_list!$D173,SSP1_Baseline!$B:$B,2025))) / (SUMIFS(SSP1_Baseline!$E:$E,SSP1_Baseline!$C:$C,Results_list!$C$172,SSP1_Baseline!$D:$D,Results_list!$D173,SSP1_Baseline!$B:$B,2025))</f>
        <v>-9.6336160342578164E-2</v>
      </c>
      <c r="W68" s="16">
        <f>((SUMIFS(SSP1_VSI!$F:$F,SSP1_VSI!$C:$C,Results_list!$C$172,SSP1_VSI!$D:$D,Results_list!$D173,SSP1_VSI!$B:$B,2040)) - (SUMIFS(SSP1_VSI!$F:$F,SSP1_VSI!$C:$C,Results_list!$C$172,SSP1_VSI!$D:$D,Results_list!$D173,SSP1_VSI!$B:$B,2025))) / (SUMIFS(SSP1_VSI!$F:$F,SSP1_VSI!$C:$C,Results_list!$C$172,SSP1_VSI!$D:$D,Results_list!$D173,SSP1_VSI!$B:$B,2025))</f>
        <v>-9.6350106620325685E-2</v>
      </c>
      <c r="X68" s="13">
        <f t="shared" ref="X68:X84" si="39">ROUND(W68-V68,3)</f>
        <v>0</v>
      </c>
      <c r="Y68" s="12">
        <f>((SUMIFS(SSP2_Baseline!$E:$E,SSP2_Baseline!$C:$C,Results_list!$C$172,SSP2_Baseline!$D:$D,Results_list!$D173,SSP2_Baseline!$B:$B,2040)) - (SUMIFS(SSP2_Baseline!$E:$E,SSP2_Baseline!$C:$C,Results_list!$C$172,SSP2_Baseline!$D:$D,Results_list!$D173,SSP2_Baseline!$B:$B,2025))) / (SUMIFS(SSP2_Baseline!$E:$E,SSP2_Baseline!$C:$C,Results_list!$C$172,SSP2_Baseline!$D:$D,Results_list!$D173,SSP2_Baseline!$B:$B,2025))</f>
        <v>-0.10670232891461931</v>
      </c>
      <c r="Z68" s="16">
        <f>((SUMIFS(SSP2_VSI!$F:$F,SSP2_VSI!$C:$C,Results_list!$C$172,SSP2_VSI!$D:$D,Results_list!$D173,SSP2_VSI!$B:$B,2040)) - (SUMIFS(SSP2_VSI!$F:$F,SSP2_VSI!$C:$C,Results_list!$C$172,SSP2_VSI!$D:$D,Results_list!$D173,SSP2_VSI!$B:$B,2025))) / (SUMIFS(SSP2_VSI!$F:$F,SSP2_VSI!$C:$C,Results_list!$C$172,SSP2_VSI!$D:$D,Results_list!$D173,SSP2_VSI!$B:$B,2025))</f>
        <v>-0.10678150883846443</v>
      </c>
      <c r="AA68" s="13">
        <f t="shared" ref="AA68:AA84" si="40">ROUND(Z68-Y68,2)</f>
        <v>0</v>
      </c>
      <c r="AB68" s="12">
        <f>((SUMIFS(SSP5_Baseline!$E:$E,SSP5_Baseline!$C:$C,Results_list!$C$172,SSP5_Baseline!$D:$D,Results_list!$D173,SSP5_Baseline!$B:$B,2040)) - (SUMIFS(SSP5_Baseline!$E:$E,SSP5_Baseline!$C:$C,Results_list!$C$172,SSP5_Baseline!$D:$D,Results_list!$D173,SSP5_Baseline!$B:$B,2025))) / (SUMIFS(SSP5_Baseline!$E:$E,SSP5_Baseline!$C:$C,Results_list!$C$172,SSP5_Baseline!$D:$D,Results_list!$D173,SSP5_Baseline!$B:$B,2025))</f>
        <v>-6.438938606392583E-2</v>
      </c>
      <c r="AC68" s="16">
        <f>((SUMIFS(SSP5_VSI!$F:$F,SSP5_VSI!$C:$C,Results_list!$C$172,SSP5_VSI!$D:$D,Results_list!$D173,SSP5_VSI!$B:$B,2040)) - (SUMIFS(SSP5_VSI!$F:$F,SSP5_VSI!$C:$C,Results_list!$C$172,SSP5_VSI!$D:$D,Results_list!$D173,SSP5_VSI!$B:$B,2025))) / (SUMIFS(SSP5_VSI!$F:$F,SSP5_VSI!$C:$C,Results_list!$C$172,SSP5_VSI!$D:$D,Results_list!$D173,SSP5_VSI!$B:$B,2025))</f>
        <v>-6.4498618136919358E-2</v>
      </c>
      <c r="AD68" s="13">
        <f t="shared" ref="AD68:AD84" si="41">ROUND(AC68-AB68,2)</f>
        <v>0</v>
      </c>
      <c r="AF68" s="85"/>
      <c r="AG68" s="85"/>
      <c r="AH68" t="s">
        <v>40</v>
      </c>
      <c r="AJ68" s="3" t="s">
        <v>88</v>
      </c>
      <c r="AK68" s="12">
        <f>((SUMIFS(SSP1_Baseline!$E:$E,SSP1_Baseline!$C:$C,Results_list!$C$256,SSP1_Baseline!$D:$D,Results_list!$D68,SSP1_Baseline!$B:$B,2040)) - (SUMIFS(SSP1_Baseline!$E:$E,SSP1_Baseline!$C:$C,Results_list!$C$256,SSP1_Baseline!$D:$D,Results_list!$D68,SSP1_Baseline!$B:$B,2025))) / (SUMIFS(SSP1_Baseline!$E:$E,SSP1_Baseline!$C:$C,Results_list!$C$256,SSP1_Baseline!$D:$D,Results_list!$D68,SSP1_Baseline!$B:$B,2025))</f>
        <v>-5.2024074644133906E-3</v>
      </c>
      <c r="AL68" s="16">
        <f>((SUMIFS(SSP1_VSI!$F:$F,SSP1_VSI!$C:$C,Results_list!$C$256,SSP1_VSI!$D:$D,Results_list!$D68,SSP1_VSI!$B:$B,2040)) - (SUMIFS(SSP1_VSI!$F:$F,SSP1_VSI!$C:$C,Results_list!$C$256,SSP1_VSI!$D:$D,Results_list!$D68,SSP1_VSI!$B:$B,2025))) / (SUMIFS(SSP1_VSI!$F:$F,SSP1_VSI!$C:$C,Results_list!$C$256,SSP1_VSI!$D:$D,Results_list!$D68,SSP1_VSI!$B:$B,2025))</f>
        <v>-5.2024191162441166E-3</v>
      </c>
      <c r="AM68" s="13">
        <f t="shared" ref="AM68:AM84" si="42">ROUND(AL68-AK68,3)</f>
        <v>0</v>
      </c>
      <c r="AN68" s="12">
        <f>((SUMIFS(SSP2_Baseline!$E:$E,SSP2_Baseline!$C:$C,Results_list!$C$256,SSP2_Baseline!$D:$D,Results_list!$D68,SSP2_Baseline!$B:$B,2040)) - (SUMIFS(SSP2_Baseline!$E:$E,SSP2_Baseline!$C:$C,Results_list!$C$256,SSP2_Baseline!$D:$D,Results_list!$D68,SSP2_Baseline!$B:$B,2025))) / (SUMIFS(SSP2_Baseline!$E:$E,SSP2_Baseline!$C:$C,Results_list!$C$256,SSP2_Baseline!$D:$D,Results_list!$D68,SSP2_Baseline!$B:$B,2025))</f>
        <v>-5.6013156578929033E-3</v>
      </c>
      <c r="AO68" s="16">
        <f>((SUMIFS(SSP2_VSI!$F:$F,SSP2_VSI!$C:$C,Results_list!$C$256,SSP2_VSI!$D:$D,Results_list!$D68,SSP2_VSI!$B:$B,2040)) - (SUMIFS(SSP2_VSI!$F:$F,SSP2_VSI!$C:$C,Results_list!$C$256,SSP2_VSI!$D:$D,Results_list!$D68,SSP2_VSI!$B:$B,2025))) / (SUMIFS(SSP2_VSI!$F:$F,SSP2_VSI!$C:$C,Results_list!$C$256,SSP2_VSI!$D:$D,Results_list!$D68,SSP2_VSI!$B:$B,2025))</f>
        <v>-5.6011923315785186E-3</v>
      </c>
      <c r="AP68" s="13">
        <f t="shared" ref="AP68:AP84" si="43">ROUND(AO68-AN68,2)</f>
        <v>0</v>
      </c>
      <c r="AQ68" s="12">
        <f>((SUMIFS(SSP5_Baseline!$E:$E,SSP5_Baseline!$C:$C,Results_list!$C$256,SSP5_Baseline!$D:$D,Results_list!$D68,SSP5_Baseline!$B:$B,2040)) - (SUMIFS(SSP5_Baseline!$E:$E,SSP5_Baseline!$C:$C,Results_list!$C$256,SSP5_Baseline!$D:$D,Results_list!$D68,SSP5_Baseline!$B:$B,2025))) / (SUMIFS(SSP5_Baseline!$E:$E,SSP5_Baseline!$C:$C,Results_list!$C$256,SSP5_Baseline!$D:$D,Results_list!$D68,SSP5_Baseline!$B:$B,2025))</f>
        <v>-1.4604720910862585E-3</v>
      </c>
      <c r="AR68" s="16">
        <f>((SUMIFS(SSP5_VSI!$F:$F,SSP5_VSI!$C:$C,Results_list!$C$256,SSP5_VSI!$D:$D,Results_list!$D68,SSP5_VSI!$B:$B,2040)) - (SUMIFS(SSP5_VSI!$F:$F,SSP5_VSI!$C:$C,Results_list!$C$256,SSP5_VSI!$D:$D,Results_list!$D68,SSP5_VSI!$B:$B,2025))) / (SUMIFS(SSP5_VSI!$F:$F,SSP5_VSI!$C:$C,Results_list!$C$256,SSP5_VSI!$D:$D,Results_list!$D68,SSP5_VSI!$B:$B,2025))</f>
        <v>-1.460766776514815E-3</v>
      </c>
      <c r="AS68" s="13">
        <f t="shared" ref="AS68:AS84" si="44">ROUND(AR68-AQ68,2)</f>
        <v>0</v>
      </c>
      <c r="AU68" s="87"/>
      <c r="AV68" s="87"/>
      <c r="AW68" t="s">
        <v>40</v>
      </c>
      <c r="AY68" s="3" t="s">
        <v>88</v>
      </c>
      <c r="AZ68" s="12">
        <f>((SUMIFS(SSP1_Baseline!$E:$E,SSP1_Baseline!$C:$C,Results_list!$C$361,SSP1_Baseline!$D:$D,Results_list!$D68,SSP1_Baseline!$B:$B,2040)) - (SUMIFS(SSP1_Baseline!$E:$E,SSP1_Baseline!$C:$C,Results_list!$C$361,SSP1_Baseline!$D:$D,Results_list!$D68,SSP1_Baseline!$B:$B,2025))) / (SUMIFS(SSP1_Baseline!$E:$E,SSP1_Baseline!$C:$C,Results_list!$C$361,SSP1_Baseline!$D:$D,Results_list!$D68,SSP1_Baseline!$B:$B,2025))</f>
        <v>-0.18154729052542162</v>
      </c>
      <c r="BA68" s="16">
        <f>((SUMIFS(SSP1_VSI!$F:$F,SSP1_VSI!$C:$C,Results_list!$C$361,SSP1_VSI!$D:$D,Results_list!$D68,SSP1_VSI!$B:$B,2040)) - (SUMIFS(SSP1_VSI!$F:$F,SSP1_VSI!$C:$C,Results_list!$C$361,SSP1_VSI!$D:$D,Results_list!$D68,SSP1_VSI!$B:$B,2025))) / (SUMIFS(SSP1_VSI!$F:$F,SSP1_VSI!$C:$C,Results_list!$C$361,SSP1_VSI!$D:$D,Results_list!$D68,SSP1_VSI!$B:$B,2025))</f>
        <v>-0.18154531598872142</v>
      </c>
      <c r="BB68" s="13">
        <f t="shared" ref="BB68:BB84" si="45">ROUND(BA68-AZ68,3)</f>
        <v>0</v>
      </c>
      <c r="BC68" s="12">
        <f>((SUMIFS(SSP2_Baseline!$E:$E,SSP2_Baseline!$C:$C,Results_list!$C$361,SSP2_Baseline!$D:$D,Results_list!$D68,SSP2_Baseline!$B:$B,2040)) - (SUMIFS(SSP2_Baseline!$E:$E,SSP2_Baseline!$C:$C,Results_list!$C$361,SSP2_Baseline!$D:$D,Results_list!$D68,SSP2_Baseline!$B:$B,2025))) / (SUMIFS(SSP2_Baseline!$E:$E,SSP2_Baseline!$C:$C,Results_list!$C$361,SSP2_Baseline!$D:$D,Results_list!$D68,SSP2_Baseline!$B:$B,2025))</f>
        <v>-0.18442878452759182</v>
      </c>
      <c r="BD68" s="16">
        <f>((SUMIFS(SSP2_VSI!$F:$F,SSP2_VSI!$C:$C,Results_list!$C$361,SSP2_VSI!$D:$D,Results_list!$D68,SSP2_VSI!$B:$B,2040)) - (SUMIFS(SSP2_VSI!$F:$F,SSP2_VSI!$C:$C,Results_list!$C$361,SSP2_VSI!$D:$D,Results_list!$D68,SSP2_VSI!$B:$B,2025))) / (SUMIFS(SSP2_VSI!$F:$F,SSP2_VSI!$C:$C,Results_list!$C$361,SSP2_VSI!$D:$D,Results_list!$D68,SSP2_VSI!$B:$B,2025))</f>
        <v>-0.18443940068321957</v>
      </c>
      <c r="BE68" s="13">
        <f t="shared" ref="BE68:BE84" si="46">ROUND(BD68-BC68,2)</f>
        <v>0</v>
      </c>
      <c r="BF68" s="12">
        <f>((SUMIFS(SSP5_Baseline!$E:$E,SSP5_Baseline!$C:$C,Results_list!$C$361,SSP5_Baseline!$D:$D,Results_list!$D68,SSP5_Baseline!$B:$B,2040)) - (SUMIFS(SSP5_Baseline!$E:$E,SSP5_Baseline!$C:$C,Results_list!$C$361,SSP5_Baseline!$D:$D,Results_list!$D68,SSP5_Baseline!$B:$B,2025))) / (SUMIFS(SSP5_Baseline!$E:$E,SSP5_Baseline!$C:$C,Results_list!$C$361,SSP5_Baseline!$D:$D,Results_list!$D68,SSP5_Baseline!$B:$B,2025))</f>
        <v>7.1155075987632779E-2</v>
      </c>
      <c r="BG68" s="16">
        <f>((SUMIFS(SSP5_VSI!$F:$F,SSP5_VSI!$C:$C,Results_list!$C$361,SSP5_VSI!$D:$D,Results_list!$D68,SSP5_VSI!$B:$B,2040)) - (SUMIFS(SSP5_VSI!$F:$F,SSP5_VSI!$C:$C,Results_list!$C$361,SSP5_VSI!$D:$D,Results_list!$D68,SSP5_VSI!$B:$B,2025))) / (SUMIFS(SSP5_VSI!$F:$F,SSP5_VSI!$C:$C,Results_list!$C$361,SSP5_VSI!$D:$D,Results_list!$D68,SSP5_VSI!$B:$B,2025))</f>
        <v>7.1123403553118456E-2</v>
      </c>
      <c r="BH68" s="13">
        <f t="shared" ref="BH68:BH84" si="47">ROUND(BG68-BF68,2)</f>
        <v>0</v>
      </c>
    </row>
    <row r="69" spans="2:60" x14ac:dyDescent="0.35">
      <c r="B69" s="91"/>
      <c r="C69" s="91"/>
      <c r="D69" t="s">
        <v>41</v>
      </c>
      <c r="F69" s="3" t="s">
        <v>89</v>
      </c>
      <c r="G69" s="12">
        <f>((SUMIFS(SSP1_Baseline!$E:$E,SSP1_Baseline!$C:$C,Results_list!$C$67,SSP1_Baseline!$D:$D,Results_list!$D69,SSP1_Baseline!$B:$B,2040)) - (SUMIFS(SSP1_Baseline!$E:$E,SSP1_Baseline!$C:$C,Results_list!$C$67,SSP1_Baseline!$D:$D,Results_list!$D69,SSP1_Baseline!$B:$B,2025))) / (SUMIFS(SSP1_Baseline!$E:$E,SSP1_Baseline!$C:$C,Results_list!$C$67,SSP1_Baseline!$D:$D,Results_list!$D69,SSP1_Baseline!$B:$B,2025))</f>
        <v>8.1759646197622174E-2</v>
      </c>
      <c r="H69" s="16">
        <f>((SUMIFS(SSP1_VSI!$F:$F,SSP1_VSI!$C:$C,Results_list!$C$67,SSP1_VSI!$D:$D,Results_list!$D69,SSP1_VSI!$B:$B,2040)) - (SUMIFS(SSP1_VSI!$F:$F,SSP1_VSI!$C:$C,Results_list!$C$67,SSP1_VSI!$D:$D,Results_list!$D69,SSP1_VSI!$B:$B,2025))) / (SUMIFS(SSP1_VSI!$F:$F,SSP1_VSI!$C:$C,Results_list!$C$67,SSP1_VSI!$D:$D,Results_list!$D69,SSP1_VSI!$B:$B,2025))</f>
        <v>8.1569336013587845E-2</v>
      </c>
      <c r="I69" s="13">
        <f t="shared" si="36"/>
        <v>0</v>
      </c>
      <c r="J69" s="12">
        <f>((SUMIFS(SSP2_Baseline!$E:$E,SSP2_Baseline!$C:$C,Results_list!$C$67,SSP2_Baseline!$D:$D,Results_list!$D69,SSP2_Baseline!$B:$B,2040)) - (SUMIFS(SSP2_Baseline!$E:$E,SSP2_Baseline!$C:$C,Results_list!$C$67,SSP2_Baseline!$D:$D,Results_list!$D69,SSP2_Baseline!$B:$B,2025))) / (SUMIFS(SSP2_Baseline!$E:$E,SSP2_Baseline!$C:$C,Results_list!$C$67,SSP2_Baseline!$D:$D,Results_list!$D69,SSP2_Baseline!$B:$B,2025))</f>
        <v>8.9476020157265385E-2</v>
      </c>
      <c r="K69" s="16">
        <f>((SUMIFS(SSP2_VSI!$F:$F,SSP2_VSI!$C:$C,Results_list!$C$67,SSP2_VSI!$D:$D,Results_list!$D69,SSP2_VSI!$B:$B,2040)) - (SUMIFS(SSP2_VSI!$F:$F,SSP2_VSI!$C:$C,Results_list!$C$67,SSP2_VSI!$D:$D,Results_list!$D69,SSP2_VSI!$B:$B,2025))) / (SUMIFS(SSP2_VSI!$F:$F,SSP2_VSI!$C:$C,Results_list!$C$67,SSP2_VSI!$D:$D,Results_list!$D69,SSP2_VSI!$B:$B,2025))</f>
        <v>8.9296352414840185E-2</v>
      </c>
      <c r="L69" s="13">
        <f t="shared" si="37"/>
        <v>0</v>
      </c>
      <c r="M69" s="12">
        <f>((SUMIFS(SSP5_Baseline!$E:$E,SSP5_Baseline!$C:$C,Results_list!$C$67,SSP5_Baseline!$D:$D,Results_list!$D69,SSP5_Baseline!$B:$B,2040)) - (SUMIFS(SSP5_Baseline!$E:$E,SSP5_Baseline!$C:$C,Results_list!$C$67,SSP5_Baseline!$D:$D,Results_list!$D69,SSP5_Baseline!$B:$B,2025))) / (SUMIFS(SSP5_Baseline!$E:$E,SSP5_Baseline!$C:$C,Results_list!$C$67,SSP5_Baseline!$D:$D,Results_list!$D69,SSP5_Baseline!$B:$B,2025))</f>
        <v>9.1863206232434561E-2</v>
      </c>
      <c r="N69" s="16">
        <f>((SUMIFS(SSP5_VSI!$F:$F,SSP5_VSI!$C:$C,Results_list!$C$67,SSP5_VSI!$D:$D,Results_list!$D69,SSP5_VSI!$B:$B,2040)) - (SUMIFS(SSP5_VSI!$F:$F,SSP5_VSI!$C:$C,Results_list!$C$67,SSP5_VSI!$D:$D,Results_list!$D69,SSP5_VSI!$B:$B,2025))) / (SUMIFS(SSP5_VSI!$F:$F,SSP5_VSI!$C:$C,Results_list!$C$67,SSP5_VSI!$D:$D,Results_list!$D69,SSP5_VSI!$B:$B,2025))</f>
        <v>9.1676634257588471E-2</v>
      </c>
      <c r="O69" s="13">
        <f t="shared" si="38"/>
        <v>0</v>
      </c>
      <c r="Q69" s="91"/>
      <c r="R69" s="91"/>
      <c r="S69" t="s">
        <v>41</v>
      </c>
      <c r="U69" s="3" t="s">
        <v>89</v>
      </c>
      <c r="V69" s="12">
        <f>((SUMIFS(SSP1_Baseline!$E:$E,SSP1_Baseline!$C:$C,Results_list!$C$172,SSP1_Baseline!$D:$D,Results_list!$D174,SSP1_Baseline!$B:$B,2040)) - (SUMIFS(SSP1_Baseline!$E:$E,SSP1_Baseline!$C:$C,Results_list!$C$172,SSP1_Baseline!$D:$D,Results_list!$D174,SSP1_Baseline!$B:$B,2025))) / (SUMIFS(SSP1_Baseline!$E:$E,SSP1_Baseline!$C:$C,Results_list!$C$172,SSP1_Baseline!$D:$D,Results_list!$D174,SSP1_Baseline!$B:$B,2025))</f>
        <v>-6.144733126899353E-2</v>
      </c>
      <c r="W69" s="16">
        <f>((SUMIFS(SSP1_VSI!$F:$F,SSP1_VSI!$C:$C,Results_list!$C$172,SSP1_VSI!$D:$D,Results_list!$D174,SSP1_VSI!$B:$B,2040)) - (SUMIFS(SSP1_VSI!$F:$F,SSP1_VSI!$C:$C,Results_list!$C$172,SSP1_VSI!$D:$D,Results_list!$D174,SSP1_VSI!$B:$B,2025))) / (SUMIFS(SSP1_VSI!$F:$F,SSP1_VSI!$C:$C,Results_list!$C$172,SSP1_VSI!$D:$D,Results_list!$D174,SSP1_VSI!$B:$B,2025))</f>
        <v>-0.17150136700261673</v>
      </c>
      <c r="X69" s="13">
        <f t="shared" si="39"/>
        <v>-0.11</v>
      </c>
      <c r="Y69" s="12">
        <f>((SUMIFS(SSP2_Baseline!$E:$E,SSP2_Baseline!$C:$C,Results_list!$C$172,SSP2_Baseline!$D:$D,Results_list!$D174,SSP2_Baseline!$B:$B,2040)) - (SUMIFS(SSP2_Baseline!$E:$E,SSP2_Baseline!$C:$C,Results_list!$C$172,SSP2_Baseline!$D:$D,Results_list!$D174,SSP2_Baseline!$B:$B,2025))) / (SUMIFS(SSP2_Baseline!$E:$E,SSP2_Baseline!$C:$C,Results_list!$C$172,SSP2_Baseline!$D:$D,Results_list!$D174,SSP2_Baseline!$B:$B,2025))</f>
        <v>-5.7366747504736471E-2</v>
      </c>
      <c r="Z69" s="16">
        <f>((SUMIFS(SSP2_VSI!$F:$F,SSP2_VSI!$C:$C,Results_list!$C$172,SSP2_VSI!$D:$D,Results_list!$D174,SSP2_VSI!$B:$B,2040)) - (SUMIFS(SSP2_VSI!$F:$F,SSP2_VSI!$C:$C,Results_list!$C$172,SSP2_VSI!$D:$D,Results_list!$D174,SSP2_VSI!$B:$B,2025))) / (SUMIFS(SSP2_VSI!$F:$F,SSP2_VSI!$C:$C,Results_list!$C$172,SSP2_VSI!$D:$D,Results_list!$D174,SSP2_VSI!$B:$B,2025))</f>
        <v>-0.16819810083773332</v>
      </c>
      <c r="AA69" s="13">
        <f t="shared" si="40"/>
        <v>-0.11</v>
      </c>
      <c r="AB69" s="12">
        <f>((SUMIFS(SSP5_Baseline!$E:$E,SSP5_Baseline!$C:$C,Results_list!$C$172,SSP5_Baseline!$D:$D,Results_list!$D174,SSP5_Baseline!$B:$B,2040)) - (SUMIFS(SSP5_Baseline!$E:$E,SSP5_Baseline!$C:$C,Results_list!$C$172,SSP5_Baseline!$D:$D,Results_list!$D174,SSP5_Baseline!$B:$B,2025))) / (SUMIFS(SSP5_Baseline!$E:$E,SSP5_Baseline!$C:$C,Results_list!$C$172,SSP5_Baseline!$D:$D,Results_list!$D174,SSP5_Baseline!$B:$B,2025))</f>
        <v>-3.8784823882947808E-2</v>
      </c>
      <c r="AC69" s="16">
        <f>((SUMIFS(SSP5_VSI!$F:$F,SSP5_VSI!$C:$C,Results_list!$C$172,SSP5_VSI!$D:$D,Results_list!$D174,SSP5_VSI!$B:$B,2040)) - (SUMIFS(SSP5_VSI!$F:$F,SSP5_VSI!$C:$C,Results_list!$C$172,SSP5_VSI!$D:$D,Results_list!$D174,SSP5_VSI!$B:$B,2025))) / (SUMIFS(SSP5_VSI!$F:$F,SSP5_VSI!$C:$C,Results_list!$C$172,SSP5_VSI!$D:$D,Results_list!$D174,SSP5_VSI!$B:$B,2025))</f>
        <v>-0.14941585004329597</v>
      </c>
      <c r="AD69" s="13">
        <f t="shared" si="41"/>
        <v>-0.11</v>
      </c>
      <c r="AF69" s="85"/>
      <c r="AG69" s="85"/>
      <c r="AH69" t="s">
        <v>41</v>
      </c>
      <c r="AJ69" s="3" t="s">
        <v>89</v>
      </c>
      <c r="AK69" s="12">
        <f>((SUMIFS(SSP1_Baseline!$E:$E,SSP1_Baseline!$C:$C,Results_list!$C$256,SSP1_Baseline!$D:$D,Results_list!$D69,SSP1_Baseline!$B:$B,2040)) - (SUMIFS(SSP1_Baseline!$E:$E,SSP1_Baseline!$C:$C,Results_list!$C$256,SSP1_Baseline!$D:$D,Results_list!$D69,SSP1_Baseline!$B:$B,2025))) / (SUMIFS(SSP1_Baseline!$E:$E,SSP1_Baseline!$C:$C,Results_list!$C$256,SSP1_Baseline!$D:$D,Results_list!$D69,SSP1_Baseline!$B:$B,2025))</f>
        <v>-2.3713154555770943E-2</v>
      </c>
      <c r="AL69" s="16">
        <f>((SUMIFS(SSP1_VSI!$F:$F,SSP1_VSI!$C:$C,Results_list!$C$256,SSP1_VSI!$D:$D,Results_list!$D69,SSP1_VSI!$B:$B,2040)) - (SUMIFS(SSP1_VSI!$F:$F,SSP1_VSI!$C:$C,Results_list!$C$256,SSP1_VSI!$D:$D,Results_list!$D69,SSP1_VSI!$B:$B,2025))) / (SUMIFS(SSP1_VSI!$F:$F,SSP1_VSI!$C:$C,Results_list!$C$256,SSP1_VSI!$D:$D,Results_list!$D69,SSP1_VSI!$B:$B,2025))</f>
        <v>-2.3742926188680003E-2</v>
      </c>
      <c r="AM69" s="13">
        <f t="shared" si="42"/>
        <v>0</v>
      </c>
      <c r="AN69" s="12">
        <f>((SUMIFS(SSP2_Baseline!$E:$E,SSP2_Baseline!$C:$C,Results_list!$C$256,SSP2_Baseline!$D:$D,Results_list!$D69,SSP2_Baseline!$B:$B,2040)) - (SUMIFS(SSP2_Baseline!$E:$E,SSP2_Baseline!$C:$C,Results_list!$C$256,SSP2_Baseline!$D:$D,Results_list!$D69,SSP2_Baseline!$B:$B,2025))) / (SUMIFS(SSP2_Baseline!$E:$E,SSP2_Baseline!$C:$C,Results_list!$C$256,SSP2_Baseline!$D:$D,Results_list!$D69,SSP2_Baseline!$B:$B,2025))</f>
        <v>-1.1554027509204564E-2</v>
      </c>
      <c r="AO69" s="16">
        <f>((SUMIFS(SSP2_VSI!$F:$F,SSP2_VSI!$C:$C,Results_list!$C$256,SSP2_VSI!$D:$D,Results_list!$D69,SSP2_VSI!$B:$B,2040)) - (SUMIFS(SSP2_VSI!$F:$F,SSP2_VSI!$C:$C,Results_list!$C$256,SSP2_VSI!$D:$D,Results_list!$D69,SSP2_VSI!$B:$B,2025))) / (SUMIFS(SSP2_VSI!$F:$F,SSP2_VSI!$C:$C,Results_list!$C$256,SSP2_VSI!$D:$D,Results_list!$D69,SSP2_VSI!$B:$B,2025))</f>
        <v>-1.1584743578348737E-2</v>
      </c>
      <c r="AP69" s="13">
        <f t="shared" si="43"/>
        <v>0</v>
      </c>
      <c r="AQ69" s="12">
        <f>((SUMIFS(SSP5_Baseline!$E:$E,SSP5_Baseline!$C:$C,Results_list!$C$256,SSP5_Baseline!$D:$D,Results_list!$D69,SSP5_Baseline!$B:$B,2040)) - (SUMIFS(SSP5_Baseline!$E:$E,SSP5_Baseline!$C:$C,Results_list!$C$256,SSP5_Baseline!$D:$D,Results_list!$D69,SSP5_Baseline!$B:$B,2025))) / (SUMIFS(SSP5_Baseline!$E:$E,SSP5_Baseline!$C:$C,Results_list!$C$256,SSP5_Baseline!$D:$D,Results_list!$D69,SSP5_Baseline!$B:$B,2025))</f>
        <v>-6.7776736778782038E-3</v>
      </c>
      <c r="AR69" s="16">
        <f>((SUMIFS(SSP5_VSI!$F:$F,SSP5_VSI!$C:$C,Results_list!$C$256,SSP5_VSI!$D:$D,Results_list!$D69,SSP5_VSI!$B:$B,2040)) - (SUMIFS(SSP5_VSI!$F:$F,SSP5_VSI!$C:$C,Results_list!$C$256,SSP5_VSI!$D:$D,Results_list!$D69,SSP5_VSI!$B:$B,2025))) / (SUMIFS(SSP5_VSI!$F:$F,SSP5_VSI!$C:$C,Results_list!$C$256,SSP5_VSI!$D:$D,Results_list!$D69,SSP5_VSI!$B:$B,2025))</f>
        <v>-6.8051781287919826E-3</v>
      </c>
      <c r="AS69" s="13">
        <f t="shared" si="44"/>
        <v>0</v>
      </c>
      <c r="AU69" s="87"/>
      <c r="AV69" s="87"/>
      <c r="AW69" t="s">
        <v>41</v>
      </c>
      <c r="AY69" s="3" t="s">
        <v>89</v>
      </c>
      <c r="AZ69" s="12">
        <f>((SUMIFS(SSP1_Baseline!$E:$E,SSP1_Baseline!$C:$C,Results_list!$C$361,SSP1_Baseline!$D:$D,Results_list!$D69,SSP1_Baseline!$B:$B,2040)) - (SUMIFS(SSP1_Baseline!$E:$E,SSP1_Baseline!$C:$C,Results_list!$C$361,SSP1_Baseline!$D:$D,Results_list!$D69,SSP1_Baseline!$B:$B,2025))) / (SUMIFS(SSP1_Baseline!$E:$E,SSP1_Baseline!$C:$C,Results_list!$C$361,SSP1_Baseline!$D:$D,Results_list!$D69,SSP1_Baseline!$B:$B,2025))</f>
        <v>-0.20608654813844882</v>
      </c>
      <c r="BA69" s="16">
        <f>((SUMIFS(SSP1_VSI!$F:$F,SSP1_VSI!$C:$C,Results_list!$C$361,SSP1_VSI!$D:$D,Results_list!$D69,SSP1_VSI!$B:$B,2040)) - (SUMIFS(SSP1_VSI!$F:$F,SSP1_VSI!$C:$C,Results_list!$C$361,SSP1_VSI!$D:$D,Results_list!$D69,SSP1_VSI!$B:$B,2025))) / (SUMIFS(SSP1_VSI!$F:$F,SSP1_VSI!$C:$C,Results_list!$C$361,SSP1_VSI!$D:$D,Results_list!$D69,SSP1_VSI!$B:$B,2025))</f>
        <v>-0.20614398237951462</v>
      </c>
      <c r="BB69" s="13">
        <f t="shared" si="45"/>
        <v>0</v>
      </c>
      <c r="BC69" s="12">
        <f>((SUMIFS(SSP2_Baseline!$E:$E,SSP2_Baseline!$C:$C,Results_list!$C$361,SSP2_Baseline!$D:$D,Results_list!$D69,SSP2_Baseline!$B:$B,2040)) - (SUMIFS(SSP2_Baseline!$E:$E,SSP2_Baseline!$C:$C,Results_list!$C$361,SSP2_Baseline!$D:$D,Results_list!$D69,SSP2_Baseline!$B:$B,2025))) / (SUMIFS(SSP2_Baseline!$E:$E,SSP2_Baseline!$C:$C,Results_list!$C$361,SSP2_Baseline!$D:$D,Results_list!$D69,SSP2_Baseline!$B:$B,2025))</f>
        <v>-0.20729409684139169</v>
      </c>
      <c r="BD69" s="16">
        <f>((SUMIFS(SSP2_VSI!$F:$F,SSP2_VSI!$C:$C,Results_list!$C$361,SSP2_VSI!$D:$D,Results_list!$D69,SSP2_VSI!$B:$B,2040)) - (SUMIFS(SSP2_VSI!$F:$F,SSP2_VSI!$C:$C,Results_list!$C$361,SSP2_VSI!$D:$D,Results_list!$D69,SSP2_VSI!$B:$B,2025))) / (SUMIFS(SSP2_VSI!$F:$F,SSP2_VSI!$C:$C,Results_list!$C$361,SSP2_VSI!$D:$D,Results_list!$D69,SSP2_VSI!$B:$B,2025))</f>
        <v>-0.20730077180574522</v>
      </c>
      <c r="BE69" s="13">
        <f t="shared" si="46"/>
        <v>0</v>
      </c>
      <c r="BF69" s="12">
        <f>((SUMIFS(SSP5_Baseline!$E:$E,SSP5_Baseline!$C:$C,Results_list!$C$361,SSP5_Baseline!$D:$D,Results_list!$D69,SSP5_Baseline!$B:$B,2040)) - (SUMIFS(SSP5_Baseline!$E:$E,SSP5_Baseline!$C:$C,Results_list!$C$361,SSP5_Baseline!$D:$D,Results_list!$D69,SSP5_Baseline!$B:$B,2025))) / (SUMIFS(SSP5_Baseline!$E:$E,SSP5_Baseline!$C:$C,Results_list!$C$361,SSP5_Baseline!$D:$D,Results_list!$D69,SSP5_Baseline!$B:$B,2025))</f>
        <v>-5.1871109038497398E-2</v>
      </c>
      <c r="BG69" s="16">
        <f>((SUMIFS(SSP5_VSI!$F:$F,SSP5_VSI!$C:$C,Results_list!$C$361,SSP5_VSI!$D:$D,Results_list!$D69,SSP5_VSI!$B:$B,2040)) - (SUMIFS(SSP5_VSI!$F:$F,SSP5_VSI!$C:$C,Results_list!$C$361,SSP5_VSI!$D:$D,Results_list!$D69,SSP5_VSI!$B:$B,2025))) / (SUMIFS(SSP5_VSI!$F:$F,SSP5_VSI!$C:$C,Results_list!$C$361,SSP5_VSI!$D:$D,Results_list!$D69,SSP5_VSI!$B:$B,2025))</f>
        <v>-5.190607764226534E-2</v>
      </c>
      <c r="BH69" s="13">
        <f t="shared" si="47"/>
        <v>0</v>
      </c>
    </row>
    <row r="70" spans="2:60" x14ac:dyDescent="0.35">
      <c r="B70" s="91"/>
      <c r="C70" s="91"/>
      <c r="D70" t="s">
        <v>42</v>
      </c>
      <c r="F70" s="3" t="s">
        <v>90</v>
      </c>
      <c r="G70" s="12">
        <f>((SUMIFS(SSP1_Baseline!$E:$E,SSP1_Baseline!$C:$C,Results_list!$C$67,SSP1_Baseline!$D:$D,Results_list!$D70,SSP1_Baseline!$B:$B,2040)) - (SUMIFS(SSP1_Baseline!$E:$E,SSP1_Baseline!$C:$C,Results_list!$C$67,SSP1_Baseline!$D:$D,Results_list!$D70,SSP1_Baseline!$B:$B,2025))) / (SUMIFS(SSP1_Baseline!$E:$E,SSP1_Baseline!$C:$C,Results_list!$C$67,SSP1_Baseline!$D:$D,Results_list!$D70,SSP1_Baseline!$B:$B,2025))</f>
        <v>9.008058868571537E-3</v>
      </c>
      <c r="H70" s="16">
        <f>((SUMIFS(SSP1_VSI!$F:$F,SSP1_VSI!$C:$C,Results_list!$C$67,SSP1_VSI!$D:$D,Results_list!$D70,SSP1_VSI!$B:$B,2040)) - (SUMIFS(SSP1_VSI!$F:$F,SSP1_VSI!$C:$C,Results_list!$C$67,SSP1_VSI!$D:$D,Results_list!$D70,SSP1_VSI!$B:$B,2025))) / (SUMIFS(SSP1_VSI!$F:$F,SSP1_VSI!$C:$C,Results_list!$C$67,SSP1_VSI!$D:$D,Results_list!$D70,SSP1_VSI!$B:$B,2025))</f>
        <v>9.0048623193681749E-3</v>
      </c>
      <c r="I70" s="13">
        <f t="shared" si="36"/>
        <v>0</v>
      </c>
      <c r="J70" s="12">
        <f>((SUMIFS(SSP2_Baseline!$E:$E,SSP2_Baseline!$C:$C,Results_list!$C$67,SSP2_Baseline!$D:$D,Results_list!$D70,SSP2_Baseline!$B:$B,2040)) - (SUMIFS(SSP2_Baseline!$E:$E,SSP2_Baseline!$C:$C,Results_list!$C$67,SSP2_Baseline!$D:$D,Results_list!$D70,SSP2_Baseline!$B:$B,2025))) / (SUMIFS(SSP2_Baseline!$E:$E,SSP2_Baseline!$C:$C,Results_list!$C$67,SSP2_Baseline!$D:$D,Results_list!$D70,SSP2_Baseline!$B:$B,2025))</f>
        <v>3.5293515325240471E-2</v>
      </c>
      <c r="K70" s="16">
        <f>((SUMIFS(SSP2_VSI!$F:$F,SSP2_VSI!$C:$C,Results_list!$C$67,SSP2_VSI!$D:$D,Results_list!$D70,SSP2_VSI!$B:$B,2040)) - (SUMIFS(SSP2_VSI!$F:$F,SSP2_VSI!$C:$C,Results_list!$C$67,SSP2_VSI!$D:$D,Results_list!$D70,SSP2_VSI!$B:$B,2025))) / (SUMIFS(SSP2_VSI!$F:$F,SSP2_VSI!$C:$C,Results_list!$C$67,SSP2_VSI!$D:$D,Results_list!$D70,SSP2_VSI!$B:$B,2025))</f>
        <v>3.5288326682325351E-2</v>
      </c>
      <c r="L70" s="13">
        <f t="shared" si="37"/>
        <v>0</v>
      </c>
      <c r="M70" s="12">
        <f>((SUMIFS(SSP5_Baseline!$E:$E,SSP5_Baseline!$C:$C,Results_list!$C$67,SSP5_Baseline!$D:$D,Results_list!$D70,SSP5_Baseline!$B:$B,2040)) - (SUMIFS(SSP5_Baseline!$E:$E,SSP5_Baseline!$C:$C,Results_list!$C$67,SSP5_Baseline!$D:$D,Results_list!$D70,SSP5_Baseline!$B:$B,2025))) / (SUMIFS(SSP5_Baseline!$E:$E,SSP5_Baseline!$C:$C,Results_list!$C$67,SSP5_Baseline!$D:$D,Results_list!$D70,SSP5_Baseline!$B:$B,2025))</f>
        <v>3.3264693110936016E-4</v>
      </c>
      <c r="N70" s="16">
        <f>((SUMIFS(SSP5_VSI!$F:$F,SSP5_VSI!$C:$C,Results_list!$C$67,SSP5_VSI!$D:$D,Results_list!$D70,SSP5_VSI!$B:$B,2040)) - (SUMIFS(SSP5_VSI!$F:$F,SSP5_VSI!$C:$C,Results_list!$C$67,SSP5_VSI!$D:$D,Results_list!$D70,SSP5_VSI!$B:$B,2025))) / (SUMIFS(SSP5_VSI!$F:$F,SSP5_VSI!$C:$C,Results_list!$C$67,SSP5_VSI!$D:$D,Results_list!$D70,SSP5_VSI!$B:$B,2025))</f>
        <v>3.3458292073477465E-4</v>
      </c>
      <c r="O70" s="13">
        <f t="shared" si="38"/>
        <v>0</v>
      </c>
      <c r="Q70" s="91"/>
      <c r="R70" s="91"/>
      <c r="S70" t="s">
        <v>42</v>
      </c>
      <c r="U70" s="3" t="s">
        <v>90</v>
      </c>
      <c r="V70" s="12">
        <f>((SUMIFS(SSP1_Baseline!$E:$E,SSP1_Baseline!$C:$C,Results_list!$C$172,SSP1_Baseline!$D:$D,Results_list!$D175,SSP1_Baseline!$B:$B,2040)) - (SUMIFS(SSP1_Baseline!$E:$E,SSP1_Baseline!$C:$C,Results_list!$C$172,SSP1_Baseline!$D:$D,Results_list!$D175,SSP1_Baseline!$B:$B,2025))) / (SUMIFS(SSP1_Baseline!$E:$E,SSP1_Baseline!$C:$C,Results_list!$C$172,SSP1_Baseline!$D:$D,Results_list!$D175,SSP1_Baseline!$B:$B,2025))</f>
        <v>-7.6204879288303681E-3</v>
      </c>
      <c r="W70" s="16">
        <f>((SUMIFS(SSP1_VSI!$F:$F,SSP1_VSI!$C:$C,Results_list!$C$172,SSP1_VSI!$D:$D,Results_list!$D175,SSP1_VSI!$B:$B,2040)) - (SUMIFS(SSP1_VSI!$F:$F,SSP1_VSI!$C:$C,Results_list!$C$172,SSP1_VSI!$D:$D,Results_list!$D175,SSP1_VSI!$B:$B,2025))) / (SUMIFS(SSP1_VSI!$F:$F,SSP1_VSI!$C:$C,Results_list!$C$172,SSP1_VSI!$D:$D,Results_list!$D175,SSP1_VSI!$B:$B,2025))</f>
        <v>-0.19500893734608241</v>
      </c>
      <c r="X70" s="13">
        <f t="shared" si="39"/>
        <v>-0.187</v>
      </c>
      <c r="Y70" s="12">
        <f>((SUMIFS(SSP2_Baseline!$E:$E,SSP2_Baseline!$C:$C,Results_list!$C$172,SSP2_Baseline!$D:$D,Results_list!$D175,SSP2_Baseline!$B:$B,2040)) - (SUMIFS(SSP2_Baseline!$E:$E,SSP2_Baseline!$C:$C,Results_list!$C$172,SSP2_Baseline!$D:$D,Results_list!$D175,SSP2_Baseline!$B:$B,2025))) / (SUMIFS(SSP2_Baseline!$E:$E,SSP2_Baseline!$C:$C,Results_list!$C$172,SSP2_Baseline!$D:$D,Results_list!$D175,SSP2_Baseline!$B:$B,2025))</f>
        <v>6.3941726864954129E-4</v>
      </c>
      <c r="Z70" s="16">
        <f>((SUMIFS(SSP2_VSI!$F:$F,SSP2_VSI!$C:$C,Results_list!$C$172,SSP2_VSI!$D:$D,Results_list!$D175,SSP2_VSI!$B:$B,2040)) - (SUMIFS(SSP2_VSI!$F:$F,SSP2_VSI!$C:$C,Results_list!$C$172,SSP2_VSI!$D:$D,Results_list!$D175,SSP2_VSI!$B:$B,2025))) / (SUMIFS(SSP2_VSI!$F:$F,SSP2_VSI!$C:$C,Results_list!$C$172,SSP2_VSI!$D:$D,Results_list!$D175,SSP2_VSI!$B:$B,2025))</f>
        <v>-0.18739845468444274</v>
      </c>
      <c r="AA70" s="13">
        <f t="shared" si="40"/>
        <v>-0.19</v>
      </c>
      <c r="AB70" s="12">
        <f>((SUMIFS(SSP5_Baseline!$E:$E,SSP5_Baseline!$C:$C,Results_list!$C$172,SSP5_Baseline!$D:$D,Results_list!$D175,SSP5_Baseline!$B:$B,2040)) - (SUMIFS(SSP5_Baseline!$E:$E,SSP5_Baseline!$C:$C,Results_list!$C$172,SSP5_Baseline!$D:$D,Results_list!$D175,SSP5_Baseline!$B:$B,2025))) / (SUMIFS(SSP5_Baseline!$E:$E,SSP5_Baseline!$C:$C,Results_list!$C$172,SSP5_Baseline!$D:$D,Results_list!$D175,SSP5_Baseline!$B:$B,2025))</f>
        <v>9.194927848234084E-3</v>
      </c>
      <c r="AC70" s="16">
        <f>((SUMIFS(SSP5_VSI!$F:$F,SSP5_VSI!$C:$C,Results_list!$C$172,SSP5_VSI!$D:$D,Results_list!$D175,SSP5_VSI!$B:$B,2040)) - (SUMIFS(SSP5_VSI!$F:$F,SSP5_VSI!$C:$C,Results_list!$C$172,SSP5_VSI!$D:$D,Results_list!$D175,SSP5_VSI!$B:$B,2025))) / (SUMIFS(SSP5_VSI!$F:$F,SSP5_VSI!$C:$C,Results_list!$C$172,SSP5_VSI!$D:$D,Results_list!$D175,SSP5_VSI!$B:$B,2025))</f>
        <v>-0.17855671039545323</v>
      </c>
      <c r="AD70" s="13">
        <f t="shared" si="41"/>
        <v>-0.19</v>
      </c>
      <c r="AF70" s="85"/>
      <c r="AG70" s="85"/>
      <c r="AH70" t="s">
        <v>42</v>
      </c>
      <c r="AJ70" s="3" t="s">
        <v>90</v>
      </c>
      <c r="AK70" s="12">
        <f>((SUMIFS(SSP1_Baseline!$E:$E,SSP1_Baseline!$C:$C,Results_list!$C$256,SSP1_Baseline!$D:$D,Results_list!$D70,SSP1_Baseline!$B:$B,2040)) - (SUMIFS(SSP1_Baseline!$E:$E,SSP1_Baseline!$C:$C,Results_list!$C$256,SSP1_Baseline!$D:$D,Results_list!$D70,SSP1_Baseline!$B:$B,2025))) / (SUMIFS(SSP1_Baseline!$E:$E,SSP1_Baseline!$C:$C,Results_list!$C$256,SSP1_Baseline!$D:$D,Results_list!$D70,SSP1_Baseline!$B:$B,2025))</f>
        <v>1.9238013787000626E-2</v>
      </c>
      <c r="AL70" s="16">
        <f>((SUMIFS(SSP1_VSI!$F:$F,SSP1_VSI!$C:$C,Results_list!$C$256,SSP1_VSI!$D:$D,Results_list!$D70,SSP1_VSI!$B:$B,2040)) - (SUMIFS(SSP1_VSI!$F:$F,SSP1_VSI!$C:$C,Results_list!$C$256,SSP1_VSI!$D:$D,Results_list!$D70,SSP1_VSI!$B:$B,2025))) / (SUMIFS(SSP1_VSI!$F:$F,SSP1_VSI!$C:$C,Results_list!$C$256,SSP1_VSI!$D:$D,Results_list!$D70,SSP1_VSI!$B:$B,2025))</f>
        <v>1.9244688068896617E-2</v>
      </c>
      <c r="AM70" s="13">
        <f t="shared" si="42"/>
        <v>0</v>
      </c>
      <c r="AN70" s="12">
        <f>((SUMIFS(SSP2_Baseline!$E:$E,SSP2_Baseline!$C:$C,Results_list!$C$256,SSP2_Baseline!$D:$D,Results_list!$D70,SSP2_Baseline!$B:$B,2040)) - (SUMIFS(SSP2_Baseline!$E:$E,SSP2_Baseline!$C:$C,Results_list!$C$256,SSP2_Baseline!$D:$D,Results_list!$D70,SSP2_Baseline!$B:$B,2025))) / (SUMIFS(SSP2_Baseline!$E:$E,SSP2_Baseline!$C:$C,Results_list!$C$256,SSP2_Baseline!$D:$D,Results_list!$D70,SSP2_Baseline!$B:$B,2025))</f>
        <v>0.49334346131773554</v>
      </c>
      <c r="AO70" s="16">
        <f>((SUMIFS(SSP2_VSI!$F:$F,SSP2_VSI!$C:$C,Results_list!$C$256,SSP2_VSI!$D:$D,Results_list!$D70,SSP2_VSI!$B:$B,2040)) - (SUMIFS(SSP2_VSI!$F:$F,SSP2_VSI!$C:$C,Results_list!$C$256,SSP2_VSI!$D:$D,Results_list!$D70,SSP2_VSI!$B:$B,2025))) / (SUMIFS(SSP2_VSI!$F:$F,SSP2_VSI!$C:$C,Results_list!$C$256,SSP2_VSI!$D:$D,Results_list!$D70,SSP2_VSI!$B:$B,2025))</f>
        <v>0.49330814965761821</v>
      </c>
      <c r="AP70" s="13">
        <f t="shared" si="43"/>
        <v>0</v>
      </c>
      <c r="AQ70" s="12">
        <f>((SUMIFS(SSP5_Baseline!$E:$E,SSP5_Baseline!$C:$C,Results_list!$C$256,SSP5_Baseline!$D:$D,Results_list!$D70,SSP5_Baseline!$B:$B,2040)) - (SUMIFS(SSP5_Baseline!$E:$E,SSP5_Baseline!$C:$C,Results_list!$C$256,SSP5_Baseline!$D:$D,Results_list!$D70,SSP5_Baseline!$B:$B,2025))) / (SUMIFS(SSP5_Baseline!$E:$E,SSP5_Baseline!$C:$C,Results_list!$C$256,SSP5_Baseline!$D:$D,Results_list!$D70,SSP5_Baseline!$B:$B,2025))</f>
        <v>0.42331176957040106</v>
      </c>
      <c r="AR70" s="16">
        <f>((SUMIFS(SSP5_VSI!$F:$F,SSP5_VSI!$C:$C,Results_list!$C$256,SSP5_VSI!$D:$D,Results_list!$D70,SSP5_VSI!$B:$B,2040)) - (SUMIFS(SSP5_VSI!$F:$F,SSP5_VSI!$C:$C,Results_list!$C$256,SSP5_VSI!$D:$D,Results_list!$D70,SSP5_VSI!$B:$B,2025))) / (SUMIFS(SSP5_VSI!$F:$F,SSP5_VSI!$C:$C,Results_list!$C$256,SSP5_VSI!$D:$D,Results_list!$D70,SSP5_VSI!$B:$B,2025))</f>
        <v>0.42339339989544922</v>
      </c>
      <c r="AS70" s="13">
        <f t="shared" si="44"/>
        <v>0</v>
      </c>
      <c r="AU70" s="87"/>
      <c r="AV70" s="87"/>
      <c r="AW70" t="s">
        <v>42</v>
      </c>
      <c r="AY70" s="3" t="s">
        <v>90</v>
      </c>
      <c r="AZ70" s="12">
        <f>((SUMIFS(SSP1_Baseline!$E:$E,SSP1_Baseline!$C:$C,Results_list!$C$361,SSP1_Baseline!$D:$D,Results_list!$D70,SSP1_Baseline!$B:$B,2040)) - (SUMIFS(SSP1_Baseline!$E:$E,SSP1_Baseline!$C:$C,Results_list!$C$361,SSP1_Baseline!$D:$D,Results_list!$D70,SSP1_Baseline!$B:$B,2025))) / (SUMIFS(SSP1_Baseline!$E:$E,SSP1_Baseline!$C:$C,Results_list!$C$361,SSP1_Baseline!$D:$D,Results_list!$D70,SSP1_Baseline!$B:$B,2025))</f>
        <v>-4.4899061304737399E-2</v>
      </c>
      <c r="BA70" s="16">
        <f>((SUMIFS(SSP1_VSI!$F:$F,SSP1_VSI!$C:$C,Results_list!$C$361,SSP1_VSI!$D:$D,Results_list!$D70,SSP1_VSI!$B:$B,2040)) - (SUMIFS(SSP1_VSI!$F:$F,SSP1_VSI!$C:$C,Results_list!$C$361,SSP1_VSI!$D:$D,Results_list!$D70,SSP1_VSI!$B:$B,2025))) / (SUMIFS(SSP1_VSI!$F:$F,SSP1_VSI!$C:$C,Results_list!$C$361,SSP1_VSI!$D:$D,Results_list!$D70,SSP1_VSI!$B:$B,2025))</f>
        <v>-0.72100377034395069</v>
      </c>
      <c r="BB70" s="13">
        <f t="shared" si="45"/>
        <v>-0.67600000000000005</v>
      </c>
      <c r="BC70" s="12">
        <f>((SUMIFS(SSP2_Baseline!$E:$E,SSP2_Baseline!$C:$C,Results_list!$C$361,SSP2_Baseline!$D:$D,Results_list!$D70,SSP2_Baseline!$B:$B,2040)) - (SUMIFS(SSP2_Baseline!$E:$E,SSP2_Baseline!$C:$C,Results_list!$C$361,SSP2_Baseline!$D:$D,Results_list!$D70,SSP2_Baseline!$B:$B,2025))) / (SUMIFS(SSP2_Baseline!$E:$E,SSP2_Baseline!$C:$C,Results_list!$C$361,SSP2_Baseline!$D:$D,Results_list!$D70,SSP2_Baseline!$B:$B,2025))</f>
        <v>-4.8307071932440132E-2</v>
      </c>
      <c r="BD70" s="16">
        <f>((SUMIFS(SSP2_VSI!$F:$F,SSP2_VSI!$C:$C,Results_list!$C$361,SSP2_VSI!$D:$D,Results_list!$D70,SSP2_VSI!$B:$B,2040)) - (SUMIFS(SSP2_VSI!$F:$F,SSP2_VSI!$C:$C,Results_list!$C$361,SSP2_VSI!$D:$D,Results_list!$D70,SSP2_VSI!$B:$B,2025))) / (SUMIFS(SSP2_VSI!$F:$F,SSP2_VSI!$C:$C,Results_list!$C$361,SSP2_VSI!$D:$D,Results_list!$D70,SSP2_VSI!$B:$B,2025))</f>
        <v>-0.72293751637591663</v>
      </c>
      <c r="BE70" s="13">
        <f t="shared" si="46"/>
        <v>-0.67</v>
      </c>
      <c r="BF70" s="12">
        <f>((SUMIFS(SSP5_Baseline!$E:$E,SSP5_Baseline!$C:$C,Results_list!$C$361,SSP5_Baseline!$D:$D,Results_list!$D70,SSP5_Baseline!$B:$B,2040)) - (SUMIFS(SSP5_Baseline!$E:$E,SSP5_Baseline!$C:$C,Results_list!$C$361,SSP5_Baseline!$D:$D,Results_list!$D70,SSP5_Baseline!$B:$B,2025))) / (SUMIFS(SSP5_Baseline!$E:$E,SSP5_Baseline!$C:$C,Results_list!$C$361,SSP5_Baseline!$D:$D,Results_list!$D70,SSP5_Baseline!$B:$B,2025))</f>
        <v>-2.1489115167716379E-2</v>
      </c>
      <c r="BG70" s="16">
        <f>((SUMIFS(SSP5_VSI!$F:$F,SSP5_VSI!$C:$C,Results_list!$C$361,SSP5_VSI!$D:$D,Results_list!$D70,SSP5_VSI!$B:$B,2040)) - (SUMIFS(SSP5_VSI!$F:$F,SSP5_VSI!$C:$C,Results_list!$C$361,SSP5_VSI!$D:$D,Results_list!$D70,SSP5_VSI!$B:$B,2025))) / (SUMIFS(SSP5_VSI!$F:$F,SSP5_VSI!$C:$C,Results_list!$C$361,SSP5_VSI!$D:$D,Results_list!$D70,SSP5_VSI!$B:$B,2025))</f>
        <v>-0.69264142250924299</v>
      </c>
      <c r="BH70" s="13">
        <f t="shared" si="47"/>
        <v>-0.67</v>
      </c>
    </row>
    <row r="71" spans="2:60" x14ac:dyDescent="0.35">
      <c r="B71" s="91"/>
      <c r="C71" s="91"/>
      <c r="D71" t="s">
        <v>43</v>
      </c>
      <c r="F71" s="3" t="s">
        <v>91</v>
      </c>
      <c r="G71" s="12">
        <f>((SUMIFS(SSP1_Baseline!$E:$E,SSP1_Baseline!$C:$C,Results_list!$C$67,SSP1_Baseline!$D:$D,Results_list!$D71,SSP1_Baseline!$B:$B,2040)) - (SUMIFS(SSP1_Baseline!$E:$E,SSP1_Baseline!$C:$C,Results_list!$C$67,SSP1_Baseline!$D:$D,Results_list!$D71,SSP1_Baseline!$B:$B,2025))) / (SUMIFS(SSP1_Baseline!$E:$E,SSP1_Baseline!$C:$C,Results_list!$C$67,SSP1_Baseline!$D:$D,Results_list!$D71,SSP1_Baseline!$B:$B,2025))</f>
        <v>8.4034890973284482E-2</v>
      </c>
      <c r="H71" s="16">
        <f>((SUMIFS(SSP1_VSI!$F:$F,SSP1_VSI!$C:$C,Results_list!$C$67,SSP1_VSI!$D:$D,Results_list!$D71,SSP1_VSI!$B:$B,2040)) - (SUMIFS(SSP1_VSI!$F:$F,SSP1_VSI!$C:$C,Results_list!$C$67,SSP1_VSI!$D:$D,Results_list!$D71,SSP1_VSI!$B:$B,2025))) / (SUMIFS(SSP1_VSI!$F:$F,SSP1_VSI!$C:$C,Results_list!$C$67,SSP1_VSI!$D:$D,Results_list!$D71,SSP1_VSI!$B:$B,2025))</f>
        <v>8.4008444497930101E-2</v>
      </c>
      <c r="I71" s="13">
        <f t="shared" si="36"/>
        <v>0</v>
      </c>
      <c r="J71" s="12">
        <f>((SUMIFS(SSP2_Baseline!$E:$E,SSP2_Baseline!$C:$C,Results_list!$C$67,SSP2_Baseline!$D:$D,Results_list!$D71,SSP2_Baseline!$B:$B,2040)) - (SUMIFS(SSP2_Baseline!$E:$E,SSP2_Baseline!$C:$C,Results_list!$C$67,SSP2_Baseline!$D:$D,Results_list!$D71,SSP2_Baseline!$B:$B,2025))) / (SUMIFS(SSP2_Baseline!$E:$E,SSP2_Baseline!$C:$C,Results_list!$C$67,SSP2_Baseline!$D:$D,Results_list!$D71,SSP2_Baseline!$B:$B,2025))</f>
        <v>0.14817304279506352</v>
      </c>
      <c r="K71" s="16">
        <f>((SUMIFS(SSP2_VSI!$F:$F,SSP2_VSI!$C:$C,Results_list!$C$67,SSP2_VSI!$D:$D,Results_list!$D71,SSP2_VSI!$B:$B,2040)) - (SUMIFS(SSP2_VSI!$F:$F,SSP2_VSI!$C:$C,Results_list!$C$67,SSP2_VSI!$D:$D,Results_list!$D71,SSP2_VSI!$B:$B,2025))) / (SUMIFS(SSP2_VSI!$F:$F,SSP2_VSI!$C:$C,Results_list!$C$67,SSP2_VSI!$D:$D,Results_list!$D71,SSP2_VSI!$B:$B,2025))</f>
        <v>0.14815625885415282</v>
      </c>
      <c r="L71" s="13">
        <f t="shared" si="37"/>
        <v>0</v>
      </c>
      <c r="M71" s="12">
        <f>((SUMIFS(SSP5_Baseline!$E:$E,SSP5_Baseline!$C:$C,Results_list!$C$67,SSP5_Baseline!$D:$D,Results_list!$D71,SSP5_Baseline!$B:$B,2040)) - (SUMIFS(SSP5_Baseline!$E:$E,SSP5_Baseline!$C:$C,Results_list!$C$67,SSP5_Baseline!$D:$D,Results_list!$D71,SSP5_Baseline!$B:$B,2025))) / (SUMIFS(SSP5_Baseline!$E:$E,SSP5_Baseline!$C:$C,Results_list!$C$67,SSP5_Baseline!$D:$D,Results_list!$D71,SSP5_Baseline!$B:$B,2025))</f>
        <v>0.12431669754924742</v>
      </c>
      <c r="N71" s="16">
        <f>((SUMIFS(SSP5_VSI!$F:$F,SSP5_VSI!$C:$C,Results_list!$C$67,SSP5_VSI!$D:$D,Results_list!$D71,SSP5_VSI!$B:$B,2040)) - (SUMIFS(SSP5_VSI!$F:$F,SSP5_VSI!$C:$C,Results_list!$C$67,SSP5_VSI!$D:$D,Results_list!$D71,SSP5_VSI!$B:$B,2025))) / (SUMIFS(SSP5_VSI!$F:$F,SSP5_VSI!$C:$C,Results_list!$C$67,SSP5_VSI!$D:$D,Results_list!$D71,SSP5_VSI!$B:$B,2025))</f>
        <v>0.12429323259898506</v>
      </c>
      <c r="O71" s="13">
        <f t="shared" si="38"/>
        <v>0</v>
      </c>
      <c r="Q71" s="91"/>
      <c r="R71" s="91"/>
      <c r="S71" t="s">
        <v>43</v>
      </c>
      <c r="U71" s="3" t="s">
        <v>91</v>
      </c>
      <c r="V71" s="12">
        <f>((SUMIFS(SSP1_Baseline!$E:$E,SSP1_Baseline!$C:$C,Results_list!$C$172,SSP1_Baseline!$D:$D,Results_list!$D176,SSP1_Baseline!$B:$B,2040)) - (SUMIFS(SSP1_Baseline!$E:$E,SSP1_Baseline!$C:$C,Results_list!$C$172,SSP1_Baseline!$D:$D,Results_list!$D176,SSP1_Baseline!$B:$B,2025))) / (SUMIFS(SSP1_Baseline!$E:$E,SSP1_Baseline!$C:$C,Results_list!$C$172,SSP1_Baseline!$D:$D,Results_list!$D176,SSP1_Baseline!$B:$B,2025))</f>
        <v>-5.5168274330635883E-2</v>
      </c>
      <c r="W71" s="16">
        <f>((SUMIFS(SSP1_VSI!$F:$F,SSP1_VSI!$C:$C,Results_list!$C$172,SSP1_VSI!$D:$D,Results_list!$D176,SSP1_VSI!$B:$B,2040)) - (SUMIFS(SSP1_VSI!$F:$F,SSP1_VSI!$C:$C,Results_list!$C$172,SSP1_VSI!$D:$D,Results_list!$D176,SSP1_VSI!$B:$B,2025))) / (SUMIFS(SSP1_VSI!$F:$F,SSP1_VSI!$C:$C,Results_list!$C$172,SSP1_VSI!$D:$D,Results_list!$D176,SSP1_VSI!$B:$B,2025))</f>
        <v>-0.12465136523574492</v>
      </c>
      <c r="X71" s="13">
        <f t="shared" si="39"/>
        <v>-6.9000000000000006E-2</v>
      </c>
      <c r="Y71" s="12">
        <f>((SUMIFS(SSP2_Baseline!$E:$E,SSP2_Baseline!$C:$C,Results_list!$C$172,SSP2_Baseline!$D:$D,Results_list!$D176,SSP2_Baseline!$B:$B,2040)) - (SUMIFS(SSP2_Baseline!$E:$E,SSP2_Baseline!$C:$C,Results_list!$C$172,SSP2_Baseline!$D:$D,Results_list!$D176,SSP2_Baseline!$B:$B,2025))) / (SUMIFS(SSP2_Baseline!$E:$E,SSP2_Baseline!$C:$C,Results_list!$C$172,SSP2_Baseline!$D:$D,Results_list!$D176,SSP2_Baseline!$B:$B,2025))</f>
        <v>9.1156131480888761E-3</v>
      </c>
      <c r="Z71" s="16">
        <f>((SUMIFS(SSP2_VSI!$F:$F,SSP2_VSI!$C:$C,Results_list!$C$172,SSP2_VSI!$D:$D,Results_list!$D176,SSP2_VSI!$B:$B,2040)) - (SUMIFS(SSP2_VSI!$F:$F,SSP2_VSI!$C:$C,Results_list!$C$172,SSP2_VSI!$D:$D,Results_list!$D176,SSP2_VSI!$B:$B,2025))) / (SUMIFS(SSP2_VSI!$F:$F,SSP2_VSI!$C:$C,Results_list!$C$172,SSP2_VSI!$D:$D,Results_list!$D176,SSP2_VSI!$B:$B,2025))</f>
        <v>-6.8195764006980353E-2</v>
      </c>
      <c r="AA71" s="13">
        <f t="shared" si="40"/>
        <v>-0.08</v>
      </c>
      <c r="AB71" s="12">
        <f>((SUMIFS(SSP5_Baseline!$E:$E,SSP5_Baseline!$C:$C,Results_list!$C$172,SSP5_Baseline!$D:$D,Results_list!$D176,SSP5_Baseline!$B:$B,2040)) - (SUMIFS(SSP5_Baseline!$E:$E,SSP5_Baseline!$C:$C,Results_list!$C$172,SSP5_Baseline!$D:$D,Results_list!$D176,SSP5_Baseline!$B:$B,2025))) / (SUMIFS(SSP5_Baseline!$E:$E,SSP5_Baseline!$C:$C,Results_list!$C$172,SSP5_Baseline!$D:$D,Results_list!$D176,SSP5_Baseline!$B:$B,2025))</f>
        <v>3.2415181074940853E-2</v>
      </c>
      <c r="AC71" s="16">
        <f>((SUMIFS(SSP5_VSI!$F:$F,SSP5_VSI!$C:$C,Results_list!$C$172,SSP5_VSI!$D:$D,Results_list!$D176,SSP5_VSI!$B:$B,2040)) - (SUMIFS(SSP5_VSI!$F:$F,SSP5_VSI!$C:$C,Results_list!$C$172,SSP5_VSI!$D:$D,Results_list!$D176,SSP5_VSI!$B:$B,2025))) / (SUMIFS(SSP5_VSI!$F:$F,SSP5_VSI!$C:$C,Results_list!$C$172,SSP5_VSI!$D:$D,Results_list!$D176,SSP5_VSI!$B:$B,2025))</f>
        <v>-4.5452141211525764E-2</v>
      </c>
      <c r="AD71" s="13">
        <f t="shared" si="41"/>
        <v>-0.08</v>
      </c>
      <c r="AF71" s="85"/>
      <c r="AG71" s="85"/>
      <c r="AH71" t="s">
        <v>43</v>
      </c>
      <c r="AJ71" s="3" t="s">
        <v>91</v>
      </c>
      <c r="AK71" s="12">
        <f>((SUMIFS(SSP1_Baseline!$E:$E,SSP1_Baseline!$C:$C,Results_list!$C$256,SSP1_Baseline!$D:$D,Results_list!$D71,SSP1_Baseline!$B:$B,2040)) - (SUMIFS(SSP1_Baseline!$E:$E,SSP1_Baseline!$C:$C,Results_list!$C$256,SSP1_Baseline!$D:$D,Results_list!$D71,SSP1_Baseline!$B:$B,2025))) / (SUMIFS(SSP1_Baseline!$E:$E,SSP1_Baseline!$C:$C,Results_list!$C$256,SSP1_Baseline!$D:$D,Results_list!$D71,SSP1_Baseline!$B:$B,2025))</f>
        <v>-2.6849477983056584E-2</v>
      </c>
      <c r="AL71" s="16">
        <f>((SUMIFS(SSP1_VSI!$F:$F,SSP1_VSI!$C:$C,Results_list!$C$256,SSP1_VSI!$D:$D,Results_list!$D71,SSP1_VSI!$B:$B,2040)) - (SUMIFS(SSP1_VSI!$F:$F,SSP1_VSI!$C:$C,Results_list!$C$256,SSP1_VSI!$D:$D,Results_list!$D71,SSP1_VSI!$B:$B,2025))) / (SUMIFS(SSP1_VSI!$F:$F,SSP1_VSI!$C:$C,Results_list!$C$256,SSP1_VSI!$D:$D,Results_list!$D71,SSP1_VSI!$B:$B,2025))</f>
        <v>-2.6852945104129118E-2</v>
      </c>
      <c r="AM71" s="13">
        <f t="shared" si="42"/>
        <v>0</v>
      </c>
      <c r="AN71" s="12">
        <f>((SUMIFS(SSP2_Baseline!$E:$E,SSP2_Baseline!$C:$C,Results_list!$C$256,SSP2_Baseline!$D:$D,Results_list!$D71,SSP2_Baseline!$B:$B,2040)) - (SUMIFS(SSP2_Baseline!$E:$E,SSP2_Baseline!$C:$C,Results_list!$C$256,SSP2_Baseline!$D:$D,Results_list!$D71,SSP2_Baseline!$B:$B,2025))) / (SUMIFS(SSP2_Baseline!$E:$E,SSP2_Baseline!$C:$C,Results_list!$C$256,SSP2_Baseline!$D:$D,Results_list!$D71,SSP2_Baseline!$B:$B,2025))</f>
        <v>3.6817427185561906E-2</v>
      </c>
      <c r="AO71" s="16">
        <f>((SUMIFS(SSP2_VSI!$F:$F,SSP2_VSI!$C:$C,Results_list!$C$256,SSP2_VSI!$D:$D,Results_list!$D71,SSP2_VSI!$B:$B,2040)) - (SUMIFS(SSP2_VSI!$F:$F,SSP2_VSI!$C:$C,Results_list!$C$256,SSP2_VSI!$D:$D,Results_list!$D71,SSP2_VSI!$B:$B,2025))) / (SUMIFS(SSP2_VSI!$F:$F,SSP2_VSI!$C:$C,Results_list!$C$256,SSP2_VSI!$D:$D,Results_list!$D71,SSP2_VSI!$B:$B,2025))</f>
        <v>3.6814816281661972E-2</v>
      </c>
      <c r="AP71" s="13">
        <f t="shared" si="43"/>
        <v>0</v>
      </c>
      <c r="AQ71" s="12">
        <f>((SUMIFS(SSP5_Baseline!$E:$E,SSP5_Baseline!$C:$C,Results_list!$C$256,SSP5_Baseline!$D:$D,Results_list!$D71,SSP5_Baseline!$B:$B,2040)) - (SUMIFS(SSP5_Baseline!$E:$E,SSP5_Baseline!$C:$C,Results_list!$C$256,SSP5_Baseline!$D:$D,Results_list!$D71,SSP5_Baseline!$B:$B,2025))) / (SUMIFS(SSP5_Baseline!$E:$E,SSP5_Baseline!$C:$C,Results_list!$C$256,SSP5_Baseline!$D:$D,Results_list!$D71,SSP5_Baseline!$B:$B,2025))</f>
        <v>4.1946633254607145E-2</v>
      </c>
      <c r="AR71" s="16">
        <f>((SUMIFS(SSP5_VSI!$F:$F,SSP5_VSI!$C:$C,Results_list!$C$256,SSP5_VSI!$D:$D,Results_list!$D71,SSP5_VSI!$B:$B,2040)) - (SUMIFS(SSP5_VSI!$F:$F,SSP5_VSI!$C:$C,Results_list!$C$256,SSP5_VSI!$D:$D,Results_list!$D71,SSP5_VSI!$B:$B,2025))) / (SUMIFS(SSP5_VSI!$F:$F,SSP5_VSI!$C:$C,Results_list!$C$256,SSP5_VSI!$D:$D,Results_list!$D71,SSP5_VSI!$B:$B,2025))</f>
        <v>4.1944911601174265E-2</v>
      </c>
      <c r="AS71" s="13">
        <f t="shared" si="44"/>
        <v>0</v>
      </c>
      <c r="AU71" s="87"/>
      <c r="AV71" s="87"/>
      <c r="AW71" t="s">
        <v>43</v>
      </c>
      <c r="AY71" s="3" t="s">
        <v>91</v>
      </c>
      <c r="AZ71" s="12">
        <f>((SUMIFS(SSP1_Baseline!$E:$E,SSP1_Baseline!$C:$C,Results_list!$C$361,SSP1_Baseline!$D:$D,Results_list!$D71,SSP1_Baseline!$B:$B,2040)) - (SUMIFS(SSP1_Baseline!$E:$E,SSP1_Baseline!$C:$C,Results_list!$C$361,SSP1_Baseline!$D:$D,Results_list!$D71,SSP1_Baseline!$B:$B,2025))) / (SUMIFS(SSP1_Baseline!$E:$E,SSP1_Baseline!$C:$C,Results_list!$C$361,SSP1_Baseline!$D:$D,Results_list!$D71,SSP1_Baseline!$B:$B,2025))</f>
        <v>-0.23864951148287619</v>
      </c>
      <c r="BA71" s="16">
        <f>((SUMIFS(SSP1_VSI!$F:$F,SSP1_VSI!$C:$C,Results_list!$C$361,SSP1_VSI!$D:$D,Results_list!$D71,SSP1_VSI!$B:$B,2040)) - (SUMIFS(SSP1_VSI!$F:$F,SSP1_VSI!$C:$C,Results_list!$C$361,SSP1_VSI!$D:$D,Results_list!$D71,SSP1_VSI!$B:$B,2025))) / (SUMIFS(SSP1_VSI!$F:$F,SSP1_VSI!$C:$C,Results_list!$C$361,SSP1_VSI!$D:$D,Results_list!$D71,SSP1_VSI!$B:$B,2025))</f>
        <v>-0.23867225524211319</v>
      </c>
      <c r="BB71" s="13">
        <f t="shared" si="45"/>
        <v>0</v>
      </c>
      <c r="BC71" s="12">
        <f>((SUMIFS(SSP2_Baseline!$E:$E,SSP2_Baseline!$C:$C,Results_list!$C$361,SSP2_Baseline!$D:$D,Results_list!$D71,SSP2_Baseline!$B:$B,2040)) - (SUMIFS(SSP2_Baseline!$E:$E,SSP2_Baseline!$C:$C,Results_list!$C$361,SSP2_Baseline!$D:$D,Results_list!$D71,SSP2_Baseline!$B:$B,2025))) / (SUMIFS(SSP2_Baseline!$E:$E,SSP2_Baseline!$C:$C,Results_list!$C$361,SSP2_Baseline!$D:$D,Results_list!$D71,SSP2_Baseline!$B:$B,2025))</f>
        <v>-0.17067084416223446</v>
      </c>
      <c r="BD71" s="16">
        <f>((SUMIFS(SSP2_VSI!$F:$F,SSP2_VSI!$C:$C,Results_list!$C$361,SSP2_VSI!$D:$D,Results_list!$D71,SSP2_VSI!$B:$B,2040)) - (SUMIFS(SSP2_VSI!$F:$F,SSP2_VSI!$C:$C,Results_list!$C$361,SSP2_VSI!$D:$D,Results_list!$D71,SSP2_VSI!$B:$B,2025))) / (SUMIFS(SSP2_VSI!$F:$F,SSP2_VSI!$C:$C,Results_list!$C$361,SSP2_VSI!$D:$D,Results_list!$D71,SSP2_VSI!$B:$B,2025))</f>
        <v>-0.17066248252430133</v>
      </c>
      <c r="BE71" s="13">
        <f t="shared" si="46"/>
        <v>0</v>
      </c>
      <c r="BF71" s="12">
        <f>((SUMIFS(SSP5_Baseline!$E:$E,SSP5_Baseline!$C:$C,Results_list!$C$361,SSP5_Baseline!$D:$D,Results_list!$D71,SSP5_Baseline!$B:$B,2040)) - (SUMIFS(SSP5_Baseline!$E:$E,SSP5_Baseline!$C:$C,Results_list!$C$361,SSP5_Baseline!$D:$D,Results_list!$D71,SSP5_Baseline!$B:$B,2025))) / (SUMIFS(SSP5_Baseline!$E:$E,SSP5_Baseline!$C:$C,Results_list!$C$361,SSP5_Baseline!$D:$D,Results_list!$D71,SSP5_Baseline!$B:$B,2025))</f>
        <v>-4.7543430367219405E-2</v>
      </c>
      <c r="BG71" s="16">
        <f>((SUMIFS(SSP5_VSI!$F:$F,SSP5_VSI!$C:$C,Results_list!$C$361,SSP5_VSI!$D:$D,Results_list!$D71,SSP5_VSI!$B:$B,2040)) - (SUMIFS(SSP5_VSI!$F:$F,SSP5_VSI!$C:$C,Results_list!$C$361,SSP5_VSI!$D:$D,Results_list!$D71,SSP5_VSI!$B:$B,2025))) / (SUMIFS(SSP5_VSI!$F:$F,SSP5_VSI!$C:$C,Results_list!$C$361,SSP5_VSI!$D:$D,Results_list!$D71,SSP5_VSI!$B:$B,2025))</f>
        <v>-4.7554171062339452E-2</v>
      </c>
      <c r="BH71" s="13">
        <f t="shared" si="47"/>
        <v>0</v>
      </c>
    </row>
    <row r="72" spans="2:60" x14ac:dyDescent="0.35">
      <c r="B72" s="91"/>
      <c r="C72" s="91"/>
      <c r="D72" t="s">
        <v>44</v>
      </c>
      <c r="F72" s="3" t="s">
        <v>92</v>
      </c>
      <c r="G72" s="12">
        <f>((SUMIFS(SSP1_Baseline!$E:$E,SSP1_Baseline!$C:$C,Results_list!$C$67,SSP1_Baseline!$D:$D,Results_list!$D72,SSP1_Baseline!$B:$B,2040)) - (SUMIFS(SSP1_Baseline!$E:$E,SSP1_Baseline!$C:$C,Results_list!$C$67,SSP1_Baseline!$D:$D,Results_list!$D72,SSP1_Baseline!$B:$B,2025))) / (SUMIFS(SSP1_Baseline!$E:$E,SSP1_Baseline!$C:$C,Results_list!$C$67,SSP1_Baseline!$D:$D,Results_list!$D72,SSP1_Baseline!$B:$B,2025))</f>
        <v>-7.3665841120041972E-2</v>
      </c>
      <c r="H72" s="16">
        <f>((SUMIFS(SSP1_VSI!$F:$F,SSP1_VSI!$C:$C,Results_list!$C$67,SSP1_VSI!$D:$D,Results_list!$D72,SSP1_VSI!$B:$B,2040)) - (SUMIFS(SSP1_VSI!$F:$F,SSP1_VSI!$C:$C,Results_list!$C$67,SSP1_VSI!$D:$D,Results_list!$D72,SSP1_VSI!$B:$B,2025))) / (SUMIFS(SSP1_VSI!$F:$F,SSP1_VSI!$C:$C,Results_list!$C$67,SSP1_VSI!$D:$D,Results_list!$D72,SSP1_VSI!$B:$B,2025))</f>
        <v>-7.3710685933741429E-2</v>
      </c>
      <c r="I72" s="13">
        <f t="shared" si="36"/>
        <v>0</v>
      </c>
      <c r="J72" s="12">
        <f>((SUMIFS(SSP2_Baseline!$E:$E,SSP2_Baseline!$C:$C,Results_list!$C$67,SSP2_Baseline!$D:$D,Results_list!$D72,SSP2_Baseline!$B:$B,2040)) - (SUMIFS(SSP2_Baseline!$E:$E,SSP2_Baseline!$C:$C,Results_list!$C$67,SSP2_Baseline!$D:$D,Results_list!$D72,SSP2_Baseline!$B:$B,2025))) / (SUMIFS(SSP2_Baseline!$E:$E,SSP2_Baseline!$C:$C,Results_list!$C$67,SSP2_Baseline!$D:$D,Results_list!$D72,SSP2_Baseline!$B:$B,2025))</f>
        <v>2.4176184133285688E-2</v>
      </c>
      <c r="K72" s="16">
        <f>((SUMIFS(SSP2_VSI!$F:$F,SSP2_VSI!$C:$C,Results_list!$C$67,SSP2_VSI!$D:$D,Results_list!$D72,SSP2_VSI!$B:$B,2040)) - (SUMIFS(SSP2_VSI!$F:$F,SSP2_VSI!$C:$C,Results_list!$C$67,SSP2_VSI!$D:$D,Results_list!$D72,SSP2_VSI!$B:$B,2025))) / (SUMIFS(SSP2_VSI!$F:$F,SSP2_VSI!$C:$C,Results_list!$C$67,SSP2_VSI!$D:$D,Results_list!$D72,SSP2_VSI!$B:$B,2025))</f>
        <v>2.4171657607549597E-2</v>
      </c>
      <c r="L72" s="13">
        <f t="shared" si="37"/>
        <v>0</v>
      </c>
      <c r="M72" s="12">
        <f>((SUMIFS(SSP5_Baseline!$E:$E,SSP5_Baseline!$C:$C,Results_list!$C$67,SSP5_Baseline!$D:$D,Results_list!$D72,SSP5_Baseline!$B:$B,2040)) - (SUMIFS(SSP5_Baseline!$E:$E,SSP5_Baseline!$C:$C,Results_list!$C$67,SSP5_Baseline!$D:$D,Results_list!$D72,SSP5_Baseline!$B:$B,2025))) / (SUMIFS(SSP5_Baseline!$E:$E,SSP5_Baseline!$C:$C,Results_list!$C$67,SSP5_Baseline!$D:$D,Results_list!$D72,SSP5_Baseline!$B:$B,2025))</f>
        <v>-2.9877887131033894E-2</v>
      </c>
      <c r="N72" s="16">
        <f>((SUMIFS(SSP5_VSI!$F:$F,SSP5_VSI!$C:$C,Results_list!$C$67,SSP5_VSI!$D:$D,Results_list!$D72,SSP5_VSI!$B:$B,2040)) - (SUMIFS(SSP5_VSI!$F:$F,SSP5_VSI!$C:$C,Results_list!$C$67,SSP5_VSI!$D:$D,Results_list!$D72,SSP5_VSI!$B:$B,2025))) / (SUMIFS(SSP5_VSI!$F:$F,SSP5_VSI!$C:$C,Results_list!$C$67,SSP5_VSI!$D:$D,Results_list!$D72,SSP5_VSI!$B:$B,2025))</f>
        <v>-2.9874202759971557E-2</v>
      </c>
      <c r="O72" s="13">
        <f t="shared" si="38"/>
        <v>0</v>
      </c>
      <c r="Q72" s="91"/>
      <c r="R72" s="91"/>
      <c r="S72" t="s">
        <v>44</v>
      </c>
      <c r="U72" s="3" t="s">
        <v>92</v>
      </c>
      <c r="V72" s="12">
        <f>((SUMIFS(SSP1_Baseline!$E:$E,SSP1_Baseline!$C:$C,Results_list!$C$172,SSP1_Baseline!$D:$D,Results_list!$D177,SSP1_Baseline!$B:$B,2040)) - (SUMIFS(SSP1_Baseline!$E:$E,SSP1_Baseline!$C:$C,Results_list!$C$172,SSP1_Baseline!$D:$D,Results_list!$D177,SSP1_Baseline!$B:$B,2025))) / (SUMIFS(SSP1_Baseline!$E:$E,SSP1_Baseline!$C:$C,Results_list!$C$172,SSP1_Baseline!$D:$D,Results_list!$D177,SSP1_Baseline!$B:$B,2025))</f>
        <v>-6.638824105949398E-2</v>
      </c>
      <c r="W72" s="16">
        <f>((SUMIFS(SSP1_VSI!$F:$F,SSP1_VSI!$C:$C,Results_list!$C$172,SSP1_VSI!$D:$D,Results_list!$D177,SSP1_VSI!$B:$B,2040)) - (SUMIFS(SSP1_VSI!$F:$F,SSP1_VSI!$C:$C,Results_list!$C$172,SSP1_VSI!$D:$D,Results_list!$D177,SSP1_VSI!$B:$B,2025))) / (SUMIFS(SSP1_VSI!$F:$F,SSP1_VSI!$C:$C,Results_list!$C$172,SSP1_VSI!$D:$D,Results_list!$D177,SSP1_VSI!$B:$B,2025))</f>
        <v>-9.2776614502722954E-2</v>
      </c>
      <c r="X72" s="13">
        <f t="shared" si="39"/>
        <v>-2.5999999999999999E-2</v>
      </c>
      <c r="Y72" s="12">
        <f>((SUMIFS(SSP2_Baseline!$E:$E,SSP2_Baseline!$C:$C,Results_list!$C$172,SSP2_Baseline!$D:$D,Results_list!$D177,SSP2_Baseline!$B:$B,2040)) - (SUMIFS(SSP2_Baseline!$E:$E,SSP2_Baseline!$C:$C,Results_list!$C$172,SSP2_Baseline!$D:$D,Results_list!$D177,SSP2_Baseline!$B:$B,2025))) / (SUMIFS(SSP2_Baseline!$E:$E,SSP2_Baseline!$C:$C,Results_list!$C$172,SSP2_Baseline!$D:$D,Results_list!$D177,SSP2_Baseline!$B:$B,2025))</f>
        <v>-4.507845917382397E-2</v>
      </c>
      <c r="Z72" s="16">
        <f>((SUMIFS(SSP2_VSI!$F:$F,SSP2_VSI!$C:$C,Results_list!$C$172,SSP2_VSI!$D:$D,Results_list!$D177,SSP2_VSI!$B:$B,2040)) - (SUMIFS(SSP2_VSI!$F:$F,SSP2_VSI!$C:$C,Results_list!$C$172,SSP2_VSI!$D:$D,Results_list!$D177,SSP2_VSI!$B:$B,2025))) / (SUMIFS(SSP2_VSI!$F:$F,SSP2_VSI!$C:$C,Results_list!$C$172,SSP2_VSI!$D:$D,Results_list!$D177,SSP2_VSI!$B:$B,2025))</f>
        <v>-7.2585412689497503E-2</v>
      </c>
      <c r="AA72" s="13">
        <f t="shared" si="40"/>
        <v>-0.03</v>
      </c>
      <c r="AB72" s="12">
        <f>((SUMIFS(SSP5_Baseline!$E:$E,SSP5_Baseline!$C:$C,Results_list!$C$172,SSP5_Baseline!$D:$D,Results_list!$D177,SSP5_Baseline!$B:$B,2040)) - (SUMIFS(SSP5_Baseline!$E:$E,SSP5_Baseline!$C:$C,Results_list!$C$172,SSP5_Baseline!$D:$D,Results_list!$D177,SSP5_Baseline!$B:$B,2025))) / (SUMIFS(SSP5_Baseline!$E:$E,SSP5_Baseline!$C:$C,Results_list!$C$172,SSP5_Baseline!$D:$D,Results_list!$D177,SSP5_Baseline!$B:$B,2025))</f>
        <v>-1.3749476524180199E-2</v>
      </c>
      <c r="AC72" s="16">
        <f>((SUMIFS(SSP5_VSI!$F:$F,SSP5_VSI!$C:$C,Results_list!$C$172,SSP5_VSI!$D:$D,Results_list!$D177,SSP5_VSI!$B:$B,2040)) - (SUMIFS(SSP5_VSI!$F:$F,SSP5_VSI!$C:$C,Results_list!$C$172,SSP5_VSI!$D:$D,Results_list!$D177,SSP5_VSI!$B:$B,2025))) / (SUMIFS(SSP5_VSI!$F:$F,SSP5_VSI!$C:$C,Results_list!$C$172,SSP5_VSI!$D:$D,Results_list!$D177,SSP5_VSI!$B:$B,2025))</f>
        <v>-4.1406904696464256E-2</v>
      </c>
      <c r="AD72" s="13">
        <f t="shared" si="41"/>
        <v>-0.03</v>
      </c>
      <c r="AF72" s="85"/>
      <c r="AG72" s="85"/>
      <c r="AH72" t="s">
        <v>44</v>
      </c>
      <c r="AJ72" s="3" t="s">
        <v>92</v>
      </c>
      <c r="AK72" s="12">
        <f>((SUMIFS(SSP1_Baseline!$E:$E,SSP1_Baseline!$C:$C,Results_list!$C$256,SSP1_Baseline!$D:$D,Results_list!$D72,SSP1_Baseline!$B:$B,2040)) - (SUMIFS(SSP1_Baseline!$E:$E,SSP1_Baseline!$C:$C,Results_list!$C$256,SSP1_Baseline!$D:$D,Results_list!$D72,SSP1_Baseline!$B:$B,2025))) / (SUMIFS(SSP1_Baseline!$E:$E,SSP1_Baseline!$C:$C,Results_list!$C$256,SSP1_Baseline!$D:$D,Results_list!$D72,SSP1_Baseline!$B:$B,2025))</f>
        <v>-0.12541348799605176</v>
      </c>
      <c r="AL72" s="16">
        <f>((SUMIFS(SSP1_VSI!$F:$F,SSP1_VSI!$C:$C,Results_list!$C$256,SSP1_VSI!$D:$D,Results_list!$D72,SSP1_VSI!$B:$B,2040)) - (SUMIFS(SSP1_VSI!$F:$F,SSP1_VSI!$C:$C,Results_list!$C$256,SSP1_VSI!$D:$D,Results_list!$D72,SSP1_VSI!$B:$B,2025))) / (SUMIFS(SSP1_VSI!$F:$F,SSP1_VSI!$C:$C,Results_list!$C$256,SSP1_VSI!$D:$D,Results_list!$D72,SSP1_VSI!$B:$B,2025))</f>
        <v>-0.12542767580518299</v>
      </c>
      <c r="AM72" s="13">
        <f t="shared" si="42"/>
        <v>0</v>
      </c>
      <c r="AN72" s="12">
        <f>((SUMIFS(SSP2_Baseline!$E:$E,SSP2_Baseline!$C:$C,Results_list!$C$256,SSP2_Baseline!$D:$D,Results_list!$D72,SSP2_Baseline!$B:$B,2040)) - (SUMIFS(SSP2_Baseline!$E:$E,SSP2_Baseline!$C:$C,Results_list!$C$256,SSP2_Baseline!$D:$D,Results_list!$D72,SSP2_Baseline!$B:$B,2025))) / (SUMIFS(SSP2_Baseline!$E:$E,SSP2_Baseline!$C:$C,Results_list!$C$256,SSP2_Baseline!$D:$D,Results_list!$D72,SSP2_Baseline!$B:$B,2025))</f>
        <v>7.3357384313701104E-2</v>
      </c>
      <c r="AO72" s="16">
        <f>((SUMIFS(SSP2_VSI!$F:$F,SSP2_VSI!$C:$C,Results_list!$C$256,SSP2_VSI!$D:$D,Results_list!$D72,SSP2_VSI!$B:$B,2040)) - (SUMIFS(SSP2_VSI!$F:$F,SSP2_VSI!$C:$C,Results_list!$C$256,SSP2_VSI!$D:$D,Results_list!$D72,SSP2_VSI!$B:$B,2025))) / (SUMIFS(SSP2_VSI!$F:$F,SSP2_VSI!$C:$C,Results_list!$C$256,SSP2_VSI!$D:$D,Results_list!$D72,SSP2_VSI!$B:$B,2025))</f>
        <v>7.3356100048105513E-2</v>
      </c>
      <c r="AP72" s="13">
        <f t="shared" si="43"/>
        <v>0</v>
      </c>
      <c r="AQ72" s="12">
        <f>((SUMIFS(SSP5_Baseline!$E:$E,SSP5_Baseline!$C:$C,Results_list!$C$256,SSP5_Baseline!$D:$D,Results_list!$D72,SSP5_Baseline!$B:$B,2040)) - (SUMIFS(SSP5_Baseline!$E:$E,SSP5_Baseline!$C:$C,Results_list!$C$256,SSP5_Baseline!$D:$D,Results_list!$D72,SSP5_Baseline!$B:$B,2025))) / (SUMIFS(SSP5_Baseline!$E:$E,SSP5_Baseline!$C:$C,Results_list!$C$256,SSP5_Baseline!$D:$D,Results_list!$D72,SSP5_Baseline!$B:$B,2025))</f>
        <v>4.9591713807294109E-2</v>
      </c>
      <c r="AR72" s="16">
        <f>((SUMIFS(SSP5_VSI!$F:$F,SSP5_VSI!$C:$C,Results_list!$C$256,SSP5_VSI!$D:$D,Results_list!$D72,SSP5_VSI!$B:$B,2040)) - (SUMIFS(SSP5_VSI!$F:$F,SSP5_VSI!$C:$C,Results_list!$C$256,SSP5_VSI!$D:$D,Results_list!$D72,SSP5_VSI!$B:$B,2025))) / (SUMIFS(SSP5_VSI!$F:$F,SSP5_VSI!$C:$C,Results_list!$C$256,SSP5_VSI!$D:$D,Results_list!$D72,SSP5_VSI!$B:$B,2025))</f>
        <v>4.9601386512431359E-2</v>
      </c>
      <c r="AS72" s="13">
        <f t="shared" si="44"/>
        <v>0</v>
      </c>
      <c r="AU72" s="87"/>
      <c r="AV72" s="87"/>
      <c r="AW72" t="s">
        <v>44</v>
      </c>
      <c r="AY72" s="3" t="s">
        <v>92</v>
      </c>
      <c r="AZ72" s="12">
        <f>((SUMIFS(SSP1_Baseline!$E:$E,SSP1_Baseline!$C:$C,Results_list!$C$361,SSP1_Baseline!$D:$D,Results_list!$D72,SSP1_Baseline!$B:$B,2040)) - (SUMIFS(SSP1_Baseline!$E:$E,SSP1_Baseline!$C:$C,Results_list!$C$361,SSP1_Baseline!$D:$D,Results_list!$D72,SSP1_Baseline!$B:$B,2025))) / (SUMIFS(SSP1_Baseline!$E:$E,SSP1_Baseline!$C:$C,Results_list!$C$361,SSP1_Baseline!$D:$D,Results_list!$D72,SSP1_Baseline!$B:$B,2025))</f>
        <v>-0.24825084893022539</v>
      </c>
      <c r="BA72" s="16">
        <f>((SUMIFS(SSP1_VSI!$F:$F,SSP1_VSI!$C:$C,Results_list!$C$361,SSP1_VSI!$D:$D,Results_list!$D72,SSP1_VSI!$B:$B,2040)) - (SUMIFS(SSP1_VSI!$F:$F,SSP1_VSI!$C:$C,Results_list!$C$361,SSP1_VSI!$D:$D,Results_list!$D72,SSP1_VSI!$B:$B,2025))) / (SUMIFS(SSP1_VSI!$F:$F,SSP1_VSI!$C:$C,Results_list!$C$361,SSP1_VSI!$D:$D,Results_list!$D72,SSP1_VSI!$B:$B,2025))</f>
        <v>-0.25425595066056139</v>
      </c>
      <c r="BB72" s="13">
        <f t="shared" si="45"/>
        <v>-6.0000000000000001E-3</v>
      </c>
      <c r="BC72" s="12">
        <f>((SUMIFS(SSP2_Baseline!$E:$E,SSP2_Baseline!$C:$C,Results_list!$C$361,SSP2_Baseline!$D:$D,Results_list!$D72,SSP2_Baseline!$B:$B,2040)) - (SUMIFS(SSP2_Baseline!$E:$E,SSP2_Baseline!$C:$C,Results_list!$C$361,SSP2_Baseline!$D:$D,Results_list!$D72,SSP2_Baseline!$B:$B,2025))) / (SUMIFS(SSP2_Baseline!$E:$E,SSP2_Baseline!$C:$C,Results_list!$C$361,SSP2_Baseline!$D:$D,Results_list!$D72,SSP2_Baseline!$B:$B,2025))</f>
        <v>-0.24521094337295121</v>
      </c>
      <c r="BD72" s="16">
        <f>((SUMIFS(SSP2_VSI!$F:$F,SSP2_VSI!$C:$C,Results_list!$C$361,SSP2_VSI!$D:$D,Results_list!$D72,SSP2_VSI!$B:$B,2040)) - (SUMIFS(SSP2_VSI!$F:$F,SSP2_VSI!$C:$C,Results_list!$C$361,SSP2_VSI!$D:$D,Results_list!$D72,SSP2_VSI!$B:$B,2025))) / (SUMIFS(SSP2_VSI!$F:$F,SSP2_VSI!$C:$C,Results_list!$C$361,SSP2_VSI!$D:$D,Results_list!$D72,SSP2_VSI!$B:$B,2025))</f>
        <v>-0.25105761106007024</v>
      </c>
      <c r="BE72" s="13">
        <f t="shared" si="46"/>
        <v>-0.01</v>
      </c>
      <c r="BF72" s="12">
        <f>((SUMIFS(SSP5_Baseline!$E:$E,SSP5_Baseline!$C:$C,Results_list!$C$361,SSP5_Baseline!$D:$D,Results_list!$D72,SSP5_Baseline!$B:$B,2040)) - (SUMIFS(SSP5_Baseline!$E:$E,SSP5_Baseline!$C:$C,Results_list!$C$361,SSP5_Baseline!$D:$D,Results_list!$D72,SSP5_Baseline!$B:$B,2025))) / (SUMIFS(SSP5_Baseline!$E:$E,SSP5_Baseline!$C:$C,Results_list!$C$361,SSP5_Baseline!$D:$D,Results_list!$D72,SSP5_Baseline!$B:$B,2025))</f>
        <v>2.5926787767482924E-2</v>
      </c>
      <c r="BG72" s="16">
        <f>((SUMIFS(SSP5_VSI!$F:$F,SSP5_VSI!$C:$C,Results_list!$C$361,SSP5_VSI!$D:$D,Results_list!$D72,SSP5_VSI!$B:$B,2040)) - (SUMIFS(SSP5_VSI!$F:$F,SSP5_VSI!$C:$C,Results_list!$C$361,SSP5_VSI!$D:$D,Results_list!$D72,SSP5_VSI!$B:$B,2025))) / (SUMIFS(SSP5_VSI!$F:$F,SSP5_VSI!$C:$C,Results_list!$C$361,SSP5_VSI!$D:$D,Results_list!$D72,SSP5_VSI!$B:$B,2025))</f>
        <v>2.0454479375394005E-2</v>
      </c>
      <c r="BH72" s="13">
        <f t="shared" si="47"/>
        <v>-0.01</v>
      </c>
    </row>
    <row r="73" spans="2:60" x14ac:dyDescent="0.35">
      <c r="B73" s="91"/>
      <c r="C73" s="91"/>
      <c r="D73" t="s">
        <v>45</v>
      </c>
      <c r="F73" s="3" t="s">
        <v>93</v>
      </c>
      <c r="G73" s="12">
        <f>((SUMIFS(SSP1_Baseline!$E:$E,SSP1_Baseline!$C:$C,Results_list!$C$67,SSP1_Baseline!$D:$D,Results_list!$D73,SSP1_Baseline!$B:$B,2040)) - (SUMIFS(SSP1_Baseline!$E:$E,SSP1_Baseline!$C:$C,Results_list!$C$67,SSP1_Baseline!$D:$D,Results_list!$D73,SSP1_Baseline!$B:$B,2025))) / (SUMIFS(SSP1_Baseline!$E:$E,SSP1_Baseline!$C:$C,Results_list!$C$67,SSP1_Baseline!$D:$D,Results_list!$D73,SSP1_Baseline!$B:$B,2025))</f>
        <v>3.5605940347505603E-2</v>
      </c>
      <c r="H73" s="16">
        <f>((SUMIFS(SSP1_VSI!$F:$F,SSP1_VSI!$C:$C,Results_list!$C$67,SSP1_VSI!$D:$D,Results_list!$D73,SSP1_VSI!$B:$B,2040)) - (SUMIFS(SSP1_VSI!$F:$F,SSP1_VSI!$C:$C,Results_list!$C$67,SSP1_VSI!$D:$D,Results_list!$D73,SSP1_VSI!$B:$B,2025))) / (SUMIFS(SSP1_VSI!$F:$F,SSP1_VSI!$C:$C,Results_list!$C$67,SSP1_VSI!$D:$D,Results_list!$D73,SSP1_VSI!$B:$B,2025))</f>
        <v>3.458559168066544E-2</v>
      </c>
      <c r="I73" s="13">
        <f t="shared" si="36"/>
        <v>-1E-3</v>
      </c>
      <c r="J73" s="12">
        <f>((SUMIFS(SSP2_Baseline!$E:$E,SSP2_Baseline!$C:$C,Results_list!$C$67,SSP2_Baseline!$D:$D,Results_list!$D73,SSP2_Baseline!$B:$B,2040)) - (SUMIFS(SSP2_Baseline!$E:$E,SSP2_Baseline!$C:$C,Results_list!$C$67,SSP2_Baseline!$D:$D,Results_list!$D73,SSP2_Baseline!$B:$B,2025))) / (SUMIFS(SSP2_Baseline!$E:$E,SSP2_Baseline!$C:$C,Results_list!$C$67,SSP2_Baseline!$D:$D,Results_list!$D73,SSP2_Baseline!$B:$B,2025))</f>
        <v>5.1127093782798859E-2</v>
      </c>
      <c r="K73" s="16">
        <f>((SUMIFS(SSP2_VSI!$F:$F,SSP2_VSI!$C:$C,Results_list!$C$67,SSP2_VSI!$D:$D,Results_list!$D73,SSP2_VSI!$B:$B,2040)) - (SUMIFS(SSP2_VSI!$F:$F,SSP2_VSI!$C:$C,Results_list!$C$67,SSP2_VSI!$D:$D,Results_list!$D73,SSP2_VSI!$B:$B,2025))) / (SUMIFS(SSP2_VSI!$F:$F,SSP2_VSI!$C:$C,Results_list!$C$67,SSP2_VSI!$D:$D,Results_list!$D73,SSP2_VSI!$B:$B,2025))</f>
        <v>5.0097408734335366E-2</v>
      </c>
      <c r="L73" s="13">
        <f t="shared" si="37"/>
        <v>0</v>
      </c>
      <c r="M73" s="12">
        <f>((SUMIFS(SSP5_Baseline!$E:$E,SSP5_Baseline!$C:$C,Results_list!$C$67,SSP5_Baseline!$D:$D,Results_list!$D73,SSP5_Baseline!$B:$B,2040)) - (SUMIFS(SSP5_Baseline!$E:$E,SSP5_Baseline!$C:$C,Results_list!$C$67,SSP5_Baseline!$D:$D,Results_list!$D73,SSP5_Baseline!$B:$B,2025))) / (SUMIFS(SSP5_Baseline!$E:$E,SSP5_Baseline!$C:$C,Results_list!$C$67,SSP5_Baseline!$D:$D,Results_list!$D73,SSP5_Baseline!$B:$B,2025))</f>
        <v>4.5864556517262338E-2</v>
      </c>
      <c r="N73" s="16">
        <f>((SUMIFS(SSP5_VSI!$F:$F,SSP5_VSI!$C:$C,Results_list!$C$67,SSP5_VSI!$D:$D,Results_list!$D73,SSP5_VSI!$B:$B,2040)) - (SUMIFS(SSP5_VSI!$F:$F,SSP5_VSI!$C:$C,Results_list!$C$67,SSP5_VSI!$D:$D,Results_list!$D73,SSP5_VSI!$B:$B,2025))) / (SUMIFS(SSP5_VSI!$F:$F,SSP5_VSI!$C:$C,Results_list!$C$67,SSP5_VSI!$D:$D,Results_list!$D73,SSP5_VSI!$B:$B,2025))</f>
        <v>4.4801401469028557E-2</v>
      </c>
      <c r="O73" s="13">
        <f t="shared" si="38"/>
        <v>0</v>
      </c>
      <c r="Q73" s="91"/>
      <c r="R73" s="91"/>
      <c r="S73" t="s">
        <v>45</v>
      </c>
      <c r="U73" s="3" t="s">
        <v>93</v>
      </c>
      <c r="V73" s="12">
        <f>((SUMIFS(SSP1_Baseline!$E:$E,SSP1_Baseline!$C:$C,Results_list!$C$172,SSP1_Baseline!$D:$D,Results_list!$D178,SSP1_Baseline!$B:$B,2040)) - (SUMIFS(SSP1_Baseline!$E:$E,SSP1_Baseline!$C:$C,Results_list!$C$172,SSP1_Baseline!$D:$D,Results_list!$D178,SSP1_Baseline!$B:$B,2025))) / (SUMIFS(SSP1_Baseline!$E:$E,SSP1_Baseline!$C:$C,Results_list!$C$172,SSP1_Baseline!$D:$D,Results_list!$D178,SSP1_Baseline!$B:$B,2025))</f>
        <v>-5.7606986861813148E-2</v>
      </c>
      <c r="W73" s="16">
        <f>((SUMIFS(SSP1_VSI!$F:$F,SSP1_VSI!$C:$C,Results_list!$C$172,SSP1_VSI!$D:$D,Results_list!$D178,SSP1_VSI!$B:$B,2040)) - (SUMIFS(SSP1_VSI!$F:$F,SSP1_VSI!$C:$C,Results_list!$C$172,SSP1_VSI!$D:$D,Results_list!$D178,SSP1_VSI!$B:$B,2025))) / (SUMIFS(SSP1_VSI!$F:$F,SSP1_VSI!$C:$C,Results_list!$C$172,SSP1_VSI!$D:$D,Results_list!$D178,SSP1_VSI!$B:$B,2025))</f>
        <v>-0.45089685120395839</v>
      </c>
      <c r="X73" s="13">
        <f t="shared" si="39"/>
        <v>-0.39300000000000002</v>
      </c>
      <c r="Y73" s="12">
        <f>((SUMIFS(SSP2_Baseline!$E:$E,SSP2_Baseline!$C:$C,Results_list!$C$172,SSP2_Baseline!$D:$D,Results_list!$D178,SSP2_Baseline!$B:$B,2040)) - (SUMIFS(SSP2_Baseline!$E:$E,SSP2_Baseline!$C:$C,Results_list!$C$172,SSP2_Baseline!$D:$D,Results_list!$D178,SSP2_Baseline!$B:$B,2025))) / (SUMIFS(SSP2_Baseline!$E:$E,SSP2_Baseline!$C:$C,Results_list!$C$172,SSP2_Baseline!$D:$D,Results_list!$D178,SSP2_Baseline!$B:$B,2025))</f>
        <v>-5.1482598058036073E-2</v>
      </c>
      <c r="Z73" s="16">
        <f>((SUMIFS(SSP2_VSI!$F:$F,SSP2_VSI!$C:$C,Results_list!$C$172,SSP2_VSI!$D:$D,Results_list!$D178,SSP2_VSI!$B:$B,2040)) - (SUMIFS(SSP2_VSI!$F:$F,SSP2_VSI!$C:$C,Results_list!$C$172,SSP2_VSI!$D:$D,Results_list!$D178,SSP2_VSI!$B:$B,2025))) / (SUMIFS(SSP2_VSI!$F:$F,SSP2_VSI!$C:$C,Results_list!$C$172,SSP2_VSI!$D:$D,Results_list!$D178,SSP2_VSI!$B:$B,2025))</f>
        <v>-0.45047974573683808</v>
      </c>
      <c r="AA73" s="13">
        <f t="shared" si="40"/>
        <v>-0.4</v>
      </c>
      <c r="AB73" s="12">
        <f>((SUMIFS(SSP5_Baseline!$E:$E,SSP5_Baseline!$C:$C,Results_list!$C$172,SSP5_Baseline!$D:$D,Results_list!$D178,SSP5_Baseline!$B:$B,2040)) - (SUMIFS(SSP5_Baseline!$E:$E,SSP5_Baseline!$C:$C,Results_list!$C$172,SSP5_Baseline!$D:$D,Results_list!$D178,SSP5_Baseline!$B:$B,2025))) / (SUMIFS(SSP5_Baseline!$E:$E,SSP5_Baseline!$C:$C,Results_list!$C$172,SSP5_Baseline!$D:$D,Results_list!$D178,SSP5_Baseline!$B:$B,2025))</f>
        <v>-4.7496337754158076E-2</v>
      </c>
      <c r="AC73" s="16">
        <f>((SUMIFS(SSP5_VSI!$F:$F,SSP5_VSI!$C:$C,Results_list!$C$172,SSP5_VSI!$D:$D,Results_list!$D178,SSP5_VSI!$B:$B,2040)) - (SUMIFS(SSP5_VSI!$F:$F,SSP5_VSI!$C:$C,Results_list!$C$172,SSP5_VSI!$D:$D,Results_list!$D178,SSP5_VSI!$B:$B,2025))) / (SUMIFS(SSP5_VSI!$F:$F,SSP5_VSI!$C:$C,Results_list!$C$172,SSP5_VSI!$D:$D,Results_list!$D178,SSP5_VSI!$B:$B,2025))</f>
        <v>-0.44806225337001016</v>
      </c>
      <c r="AD73" s="13">
        <f t="shared" si="41"/>
        <v>-0.4</v>
      </c>
      <c r="AF73" s="85"/>
      <c r="AG73" s="85"/>
      <c r="AH73" t="s">
        <v>45</v>
      </c>
      <c r="AJ73" s="3" t="s">
        <v>93</v>
      </c>
      <c r="AK73" s="12">
        <f>((SUMIFS(SSP1_Baseline!$E:$E,SSP1_Baseline!$C:$C,Results_list!$C$256,SSP1_Baseline!$D:$D,Results_list!$D73,SSP1_Baseline!$B:$B,2040)) - (SUMIFS(SSP1_Baseline!$E:$E,SSP1_Baseline!$C:$C,Results_list!$C$256,SSP1_Baseline!$D:$D,Results_list!$D73,SSP1_Baseline!$B:$B,2025))) / (SUMIFS(SSP1_Baseline!$E:$E,SSP1_Baseline!$C:$C,Results_list!$C$256,SSP1_Baseline!$D:$D,Results_list!$D73,SSP1_Baseline!$B:$B,2025))</f>
        <v>-9.8859139846937283E-2</v>
      </c>
      <c r="AL73" s="16">
        <f>((SUMIFS(SSP1_VSI!$F:$F,SSP1_VSI!$C:$C,Results_list!$C$256,SSP1_VSI!$D:$D,Results_list!$D73,SSP1_VSI!$B:$B,2040)) - (SUMIFS(SSP1_VSI!$F:$F,SSP1_VSI!$C:$C,Results_list!$C$256,SSP1_VSI!$D:$D,Results_list!$D73,SSP1_VSI!$B:$B,2025))) / (SUMIFS(SSP1_VSI!$F:$F,SSP1_VSI!$C:$C,Results_list!$C$256,SSP1_VSI!$D:$D,Results_list!$D73,SSP1_VSI!$B:$B,2025))</f>
        <v>-9.9023025988663971E-2</v>
      </c>
      <c r="AM73" s="13">
        <f t="shared" si="42"/>
        <v>0</v>
      </c>
      <c r="AN73" s="12">
        <f>((SUMIFS(SSP2_Baseline!$E:$E,SSP2_Baseline!$C:$C,Results_list!$C$256,SSP2_Baseline!$D:$D,Results_list!$D73,SSP2_Baseline!$B:$B,2040)) - (SUMIFS(SSP2_Baseline!$E:$E,SSP2_Baseline!$C:$C,Results_list!$C$256,SSP2_Baseline!$D:$D,Results_list!$D73,SSP2_Baseline!$B:$B,2025))) / (SUMIFS(SSP2_Baseline!$E:$E,SSP2_Baseline!$C:$C,Results_list!$C$256,SSP2_Baseline!$D:$D,Results_list!$D73,SSP2_Baseline!$B:$B,2025))</f>
        <v>-6.8105841771928147E-2</v>
      </c>
      <c r="AO73" s="16">
        <f>((SUMIFS(SSP2_VSI!$F:$F,SSP2_VSI!$C:$C,Results_list!$C$256,SSP2_VSI!$D:$D,Results_list!$D73,SSP2_VSI!$B:$B,2040)) - (SUMIFS(SSP2_VSI!$F:$F,SSP2_VSI!$C:$C,Results_list!$C$256,SSP2_VSI!$D:$D,Results_list!$D73,SSP2_VSI!$B:$B,2025))) / (SUMIFS(SSP2_VSI!$F:$F,SSP2_VSI!$C:$C,Results_list!$C$256,SSP2_VSI!$D:$D,Results_list!$D73,SSP2_VSI!$B:$B,2025))</f>
        <v>-6.8290842606992946E-2</v>
      </c>
      <c r="AP73" s="13">
        <f t="shared" si="43"/>
        <v>0</v>
      </c>
      <c r="AQ73" s="12">
        <f>((SUMIFS(SSP5_Baseline!$E:$E,SSP5_Baseline!$C:$C,Results_list!$C$256,SSP5_Baseline!$D:$D,Results_list!$D73,SSP5_Baseline!$B:$B,2040)) - (SUMIFS(SSP5_Baseline!$E:$E,SSP5_Baseline!$C:$C,Results_list!$C$256,SSP5_Baseline!$D:$D,Results_list!$D73,SSP5_Baseline!$B:$B,2025))) / (SUMIFS(SSP5_Baseline!$E:$E,SSP5_Baseline!$C:$C,Results_list!$C$256,SSP5_Baseline!$D:$D,Results_list!$D73,SSP5_Baseline!$B:$B,2025))</f>
        <v>-7.9812694726256725E-2</v>
      </c>
      <c r="AR73" s="16">
        <f>((SUMIFS(SSP5_VSI!$F:$F,SSP5_VSI!$C:$C,Results_list!$C$256,SSP5_VSI!$D:$D,Results_list!$D73,SSP5_VSI!$B:$B,2040)) - (SUMIFS(SSP5_VSI!$F:$F,SSP5_VSI!$C:$C,Results_list!$C$256,SSP5_VSI!$D:$D,Results_list!$D73,SSP5_VSI!$B:$B,2025))) / (SUMIFS(SSP5_VSI!$F:$F,SSP5_VSI!$C:$C,Results_list!$C$256,SSP5_VSI!$D:$D,Results_list!$D73,SSP5_VSI!$B:$B,2025))</f>
        <v>-7.9983339125225358E-2</v>
      </c>
      <c r="AS73" s="13">
        <f t="shared" si="44"/>
        <v>0</v>
      </c>
      <c r="AU73" s="87"/>
      <c r="AV73" s="87"/>
      <c r="AW73" t="s">
        <v>45</v>
      </c>
      <c r="AY73" s="3" t="s">
        <v>93</v>
      </c>
      <c r="AZ73" s="12">
        <f>((SUMIFS(SSP1_Baseline!$E:$E,SSP1_Baseline!$C:$C,Results_list!$C$361,SSP1_Baseline!$D:$D,Results_list!$D73,SSP1_Baseline!$B:$B,2040)) - (SUMIFS(SSP1_Baseline!$E:$E,SSP1_Baseline!$C:$C,Results_list!$C$361,SSP1_Baseline!$D:$D,Results_list!$D73,SSP1_Baseline!$B:$B,2025))) / (SUMIFS(SSP1_Baseline!$E:$E,SSP1_Baseline!$C:$C,Results_list!$C$361,SSP1_Baseline!$D:$D,Results_list!$D73,SSP1_Baseline!$B:$B,2025))</f>
        <v>-0.19904272294879613</v>
      </c>
      <c r="BA73" s="16">
        <f>((SUMIFS(SSP1_VSI!$F:$F,SSP1_VSI!$C:$C,Results_list!$C$361,SSP1_VSI!$D:$D,Results_list!$D73,SSP1_VSI!$B:$B,2040)) - (SUMIFS(SSP1_VSI!$F:$F,SSP1_VSI!$C:$C,Results_list!$C$361,SSP1_VSI!$D:$D,Results_list!$D73,SSP1_VSI!$B:$B,2025))) / (SUMIFS(SSP1_VSI!$F:$F,SSP1_VSI!$C:$C,Results_list!$C$361,SSP1_VSI!$D:$D,Results_list!$D73,SSP1_VSI!$B:$B,2025))</f>
        <v>-0.1990330154819597</v>
      </c>
      <c r="BB73" s="13">
        <f t="shared" si="45"/>
        <v>0</v>
      </c>
      <c r="BC73" s="12">
        <f>((SUMIFS(SSP2_Baseline!$E:$E,SSP2_Baseline!$C:$C,Results_list!$C$361,SSP2_Baseline!$D:$D,Results_list!$D73,SSP2_Baseline!$B:$B,2040)) - (SUMIFS(SSP2_Baseline!$E:$E,SSP2_Baseline!$C:$C,Results_list!$C$361,SSP2_Baseline!$D:$D,Results_list!$D73,SSP2_Baseline!$B:$B,2025))) / (SUMIFS(SSP2_Baseline!$E:$E,SSP2_Baseline!$C:$C,Results_list!$C$361,SSP2_Baseline!$D:$D,Results_list!$D73,SSP2_Baseline!$B:$B,2025))</f>
        <v>-0.20387825174717067</v>
      </c>
      <c r="BD73" s="16">
        <f>((SUMIFS(SSP2_VSI!$F:$F,SSP2_VSI!$C:$C,Results_list!$C$361,SSP2_VSI!$D:$D,Results_list!$D73,SSP2_VSI!$B:$B,2040)) - (SUMIFS(SSP2_VSI!$F:$F,SSP2_VSI!$C:$C,Results_list!$C$361,SSP2_VSI!$D:$D,Results_list!$D73,SSP2_VSI!$B:$B,2025))) / (SUMIFS(SSP2_VSI!$F:$F,SSP2_VSI!$C:$C,Results_list!$C$361,SSP2_VSI!$D:$D,Results_list!$D73,SSP2_VSI!$B:$B,2025))</f>
        <v>-0.2037819764323249</v>
      </c>
      <c r="BE73" s="13">
        <f t="shared" si="46"/>
        <v>0</v>
      </c>
      <c r="BF73" s="12">
        <f>((SUMIFS(SSP5_Baseline!$E:$E,SSP5_Baseline!$C:$C,Results_list!$C$361,SSP5_Baseline!$D:$D,Results_list!$D73,SSP5_Baseline!$B:$B,2040)) - (SUMIFS(SSP5_Baseline!$E:$E,SSP5_Baseline!$C:$C,Results_list!$C$361,SSP5_Baseline!$D:$D,Results_list!$D73,SSP5_Baseline!$B:$B,2025))) / (SUMIFS(SSP5_Baseline!$E:$E,SSP5_Baseline!$C:$C,Results_list!$C$361,SSP5_Baseline!$D:$D,Results_list!$D73,SSP5_Baseline!$B:$B,2025))</f>
        <v>-0.17295975010242368</v>
      </c>
      <c r="BG73" s="16">
        <f>((SUMIFS(SSP5_VSI!$F:$F,SSP5_VSI!$C:$C,Results_list!$C$361,SSP5_VSI!$D:$D,Results_list!$D73,SSP5_VSI!$B:$B,2040)) - (SUMIFS(SSP5_VSI!$F:$F,SSP5_VSI!$C:$C,Results_list!$C$361,SSP5_VSI!$D:$D,Results_list!$D73,SSP5_VSI!$B:$B,2025))) / (SUMIFS(SSP5_VSI!$F:$F,SSP5_VSI!$C:$C,Results_list!$C$361,SSP5_VSI!$D:$D,Results_list!$D73,SSP5_VSI!$B:$B,2025))</f>
        <v>-0.17296060862979992</v>
      </c>
      <c r="BH73" s="13">
        <f t="shared" si="47"/>
        <v>0</v>
      </c>
    </row>
    <row r="74" spans="2:60" x14ac:dyDescent="0.35">
      <c r="B74" s="91"/>
      <c r="C74" s="91"/>
      <c r="D74" t="s">
        <v>46</v>
      </c>
      <c r="F74" s="3" t="s">
        <v>94</v>
      </c>
      <c r="G74" s="12">
        <f>((SUMIFS(SSP1_Baseline!$E:$E,SSP1_Baseline!$C:$C,Results_list!$C$67,SSP1_Baseline!$D:$D,Results_list!$D74,SSP1_Baseline!$B:$B,2040)) - (SUMIFS(SSP1_Baseline!$E:$E,SSP1_Baseline!$C:$C,Results_list!$C$67,SSP1_Baseline!$D:$D,Results_list!$D74,SSP1_Baseline!$B:$B,2025))) / (SUMIFS(SSP1_Baseline!$E:$E,SSP1_Baseline!$C:$C,Results_list!$C$67,SSP1_Baseline!$D:$D,Results_list!$D74,SSP1_Baseline!$B:$B,2025))</f>
        <v>2.9350708027468477</v>
      </c>
      <c r="H74" s="16">
        <f>((SUMIFS(SSP1_VSI!$F:$F,SSP1_VSI!$C:$C,Results_list!$C$67,SSP1_VSI!$D:$D,Results_list!$D74,SSP1_VSI!$B:$B,2040)) - (SUMIFS(SSP1_VSI!$F:$F,SSP1_VSI!$C:$C,Results_list!$C$67,SSP1_VSI!$D:$D,Results_list!$D74,SSP1_VSI!$B:$B,2025))) / (SUMIFS(SSP1_VSI!$F:$F,SSP1_VSI!$C:$C,Results_list!$C$67,SSP1_VSI!$D:$D,Results_list!$D74,SSP1_VSI!$B:$B,2025))</f>
        <v>2.9350782584624451</v>
      </c>
      <c r="I74" s="13">
        <f t="shared" si="36"/>
        <v>0</v>
      </c>
      <c r="J74" s="12">
        <f>((SUMIFS(SSP2_Baseline!$E:$E,SSP2_Baseline!$C:$C,Results_list!$C$67,SSP2_Baseline!$D:$D,Results_list!$D74,SSP2_Baseline!$B:$B,2040)) - (SUMIFS(SSP2_Baseline!$E:$E,SSP2_Baseline!$C:$C,Results_list!$C$67,SSP2_Baseline!$D:$D,Results_list!$D74,SSP2_Baseline!$B:$B,2025))) / (SUMIFS(SSP2_Baseline!$E:$E,SSP2_Baseline!$C:$C,Results_list!$C$67,SSP2_Baseline!$D:$D,Results_list!$D74,SSP2_Baseline!$B:$B,2025))</f>
        <v>4.9708660777015625</v>
      </c>
      <c r="K74" s="16">
        <f>((SUMIFS(SSP2_VSI!$F:$F,SSP2_VSI!$C:$C,Results_list!$C$67,SSP2_VSI!$D:$D,Results_list!$D74,SSP2_VSI!$B:$B,2040)) - (SUMIFS(SSP2_VSI!$F:$F,SSP2_VSI!$C:$C,Results_list!$C$67,SSP2_VSI!$D:$D,Results_list!$D74,SSP2_VSI!$B:$B,2025))) / (SUMIFS(SSP2_VSI!$F:$F,SSP2_VSI!$C:$C,Results_list!$C$67,SSP2_VSI!$D:$D,Results_list!$D74,SSP2_VSI!$B:$B,2025))</f>
        <v>4.9707794075004124</v>
      </c>
      <c r="L74" s="13">
        <f t="shared" si="37"/>
        <v>0</v>
      </c>
      <c r="M74" s="12">
        <f>((SUMIFS(SSP5_Baseline!$E:$E,SSP5_Baseline!$C:$C,Results_list!$C$67,SSP5_Baseline!$D:$D,Results_list!$D74,SSP5_Baseline!$B:$B,2040)) - (SUMIFS(SSP5_Baseline!$E:$E,SSP5_Baseline!$C:$C,Results_list!$C$67,SSP5_Baseline!$D:$D,Results_list!$D74,SSP5_Baseline!$B:$B,2025))) / (SUMIFS(SSP5_Baseline!$E:$E,SSP5_Baseline!$C:$C,Results_list!$C$67,SSP5_Baseline!$D:$D,Results_list!$D74,SSP5_Baseline!$B:$B,2025))</f>
        <v>2.0856655481251787</v>
      </c>
      <c r="N74" s="16">
        <f>((SUMIFS(SSP5_VSI!$F:$F,SSP5_VSI!$C:$C,Results_list!$C$67,SSP5_VSI!$D:$D,Results_list!$D74,SSP5_VSI!$B:$B,2040)) - (SUMIFS(SSP5_VSI!$F:$F,SSP5_VSI!$C:$C,Results_list!$C$67,SSP5_VSI!$D:$D,Results_list!$D74,SSP5_VSI!$B:$B,2025))) / (SUMIFS(SSP5_VSI!$F:$F,SSP5_VSI!$C:$C,Results_list!$C$67,SSP5_VSI!$D:$D,Results_list!$D74,SSP5_VSI!$B:$B,2025))</f>
        <v>2.0856527934405356</v>
      </c>
      <c r="O74" s="13">
        <f t="shared" si="38"/>
        <v>0</v>
      </c>
      <c r="Q74" s="91"/>
      <c r="R74" s="91"/>
      <c r="S74" t="s">
        <v>46</v>
      </c>
      <c r="U74" s="3" t="s">
        <v>94</v>
      </c>
      <c r="V74" s="12">
        <f>((SUMIFS(SSP1_Baseline!$E:$E,SSP1_Baseline!$C:$C,Results_list!$C$172,SSP1_Baseline!$D:$D,Results_list!$D179,SSP1_Baseline!$B:$B,2040)) - (SUMIFS(SSP1_Baseline!$E:$E,SSP1_Baseline!$C:$C,Results_list!$C$172,SSP1_Baseline!$D:$D,Results_list!$D179,SSP1_Baseline!$B:$B,2025))) / (SUMIFS(SSP1_Baseline!$E:$E,SSP1_Baseline!$C:$C,Results_list!$C$172,SSP1_Baseline!$D:$D,Results_list!$D179,SSP1_Baseline!$B:$B,2025))</f>
        <v>0.95850305199430796</v>
      </c>
      <c r="W74" s="16">
        <f>((SUMIFS(SSP1_VSI!$F:$F,SSP1_VSI!$C:$C,Results_list!$C$172,SSP1_VSI!$D:$D,Results_list!$D179,SSP1_VSI!$B:$B,2040)) - (SUMIFS(SSP1_VSI!$F:$F,SSP1_VSI!$C:$C,Results_list!$C$172,SSP1_VSI!$D:$D,Results_list!$D179,SSP1_VSI!$B:$B,2025))) / (SUMIFS(SSP1_VSI!$F:$F,SSP1_VSI!$C:$C,Results_list!$C$172,SSP1_VSI!$D:$D,Results_list!$D179,SSP1_VSI!$B:$B,2025))</f>
        <v>0.95846016113658483</v>
      </c>
      <c r="X74" s="13">
        <f t="shared" si="39"/>
        <v>0</v>
      </c>
      <c r="Y74" s="12">
        <f>((SUMIFS(SSP2_Baseline!$E:$E,SSP2_Baseline!$C:$C,Results_list!$C$172,SSP2_Baseline!$D:$D,Results_list!$D179,SSP2_Baseline!$B:$B,2040)) - (SUMIFS(SSP2_Baseline!$E:$E,SSP2_Baseline!$C:$C,Results_list!$C$172,SSP2_Baseline!$D:$D,Results_list!$D179,SSP2_Baseline!$B:$B,2025))) / (SUMIFS(SSP2_Baseline!$E:$E,SSP2_Baseline!$C:$C,Results_list!$C$172,SSP2_Baseline!$D:$D,Results_list!$D179,SSP2_Baseline!$B:$B,2025))</f>
        <v>2.9843560695753721</v>
      </c>
      <c r="Z74" s="16">
        <f>((SUMIFS(SSP2_VSI!$F:$F,SSP2_VSI!$C:$C,Results_list!$C$172,SSP2_VSI!$D:$D,Results_list!$D179,SSP2_VSI!$B:$B,2040)) - (SUMIFS(SSP2_VSI!$F:$F,SSP2_VSI!$C:$C,Results_list!$C$172,SSP2_VSI!$D:$D,Results_list!$D179,SSP2_VSI!$B:$B,2025))) / (SUMIFS(SSP2_VSI!$F:$F,SSP2_VSI!$C:$C,Results_list!$C$172,SSP2_VSI!$D:$D,Results_list!$D179,SSP2_VSI!$B:$B,2025))</f>
        <v>2.9835997689963185</v>
      </c>
      <c r="AA74" s="13">
        <f t="shared" si="40"/>
        <v>0</v>
      </c>
      <c r="AB74" s="12">
        <f>((SUMIFS(SSP5_Baseline!$E:$E,SSP5_Baseline!$C:$C,Results_list!$C$172,SSP5_Baseline!$D:$D,Results_list!$D179,SSP5_Baseline!$B:$B,2040)) - (SUMIFS(SSP5_Baseline!$E:$E,SSP5_Baseline!$C:$C,Results_list!$C$172,SSP5_Baseline!$D:$D,Results_list!$D179,SSP5_Baseline!$B:$B,2025))) / (SUMIFS(SSP5_Baseline!$E:$E,SSP5_Baseline!$C:$C,Results_list!$C$172,SSP5_Baseline!$D:$D,Results_list!$D179,SSP5_Baseline!$B:$B,2025))</f>
        <v>2.9222859875020615</v>
      </c>
      <c r="AC74" s="16">
        <f>((SUMIFS(SSP5_VSI!$F:$F,SSP5_VSI!$C:$C,Results_list!$C$172,SSP5_VSI!$D:$D,Results_list!$D179,SSP5_VSI!$B:$B,2040)) - (SUMIFS(SSP5_VSI!$F:$F,SSP5_VSI!$C:$C,Results_list!$C$172,SSP5_VSI!$D:$D,Results_list!$D179,SSP5_VSI!$B:$B,2025))) / (SUMIFS(SSP5_VSI!$F:$F,SSP5_VSI!$C:$C,Results_list!$C$172,SSP5_VSI!$D:$D,Results_list!$D179,SSP5_VSI!$B:$B,2025))</f>
        <v>2.921698524353705</v>
      </c>
      <c r="AD74" s="13">
        <f t="shared" si="41"/>
        <v>0</v>
      </c>
      <c r="AF74" s="85"/>
      <c r="AG74" s="85"/>
      <c r="AH74" t="s">
        <v>46</v>
      </c>
      <c r="AJ74" s="3" t="s">
        <v>94</v>
      </c>
      <c r="AK74" s="12">
        <f>((SUMIFS(SSP1_Baseline!$E:$E,SSP1_Baseline!$C:$C,Results_list!$C$256,SSP1_Baseline!$D:$D,Results_list!$D74,SSP1_Baseline!$B:$B,2040)) - (SUMIFS(SSP1_Baseline!$E:$E,SSP1_Baseline!$C:$C,Results_list!$C$256,SSP1_Baseline!$D:$D,Results_list!$D74,SSP1_Baseline!$B:$B,2025))) / (SUMIFS(SSP1_Baseline!$E:$E,SSP1_Baseline!$C:$C,Results_list!$C$256,SSP1_Baseline!$D:$D,Results_list!$D74,SSP1_Baseline!$B:$B,2025))</f>
        <v>3.2424602535007718</v>
      </c>
      <c r="AL74" s="16">
        <f>((SUMIFS(SSP1_VSI!$F:$F,SSP1_VSI!$C:$C,Results_list!$C$256,SSP1_VSI!$D:$D,Results_list!$D74,SSP1_VSI!$B:$B,2040)) - (SUMIFS(SSP1_VSI!$F:$F,SSP1_VSI!$C:$C,Results_list!$C$256,SSP1_VSI!$D:$D,Results_list!$D74,SSP1_VSI!$B:$B,2025))) / (SUMIFS(SSP1_VSI!$F:$F,SSP1_VSI!$C:$C,Results_list!$C$256,SSP1_VSI!$D:$D,Results_list!$D74,SSP1_VSI!$B:$B,2025))</f>
        <v>3.2424758558874345</v>
      </c>
      <c r="AM74" s="13">
        <f t="shared" si="42"/>
        <v>0</v>
      </c>
      <c r="AN74" s="12">
        <f>((SUMIFS(SSP2_Baseline!$E:$E,SSP2_Baseline!$C:$C,Results_list!$C$256,SSP2_Baseline!$D:$D,Results_list!$D74,SSP2_Baseline!$B:$B,2040)) - (SUMIFS(SSP2_Baseline!$E:$E,SSP2_Baseline!$C:$C,Results_list!$C$256,SSP2_Baseline!$D:$D,Results_list!$D74,SSP2_Baseline!$B:$B,2025))) / (SUMIFS(SSP2_Baseline!$E:$E,SSP2_Baseline!$C:$C,Results_list!$C$256,SSP2_Baseline!$D:$D,Results_list!$D74,SSP2_Baseline!$B:$B,2025))</f>
        <v>11.146562338037272</v>
      </c>
      <c r="AO74" s="16">
        <f>((SUMIFS(SSP2_VSI!$F:$F,SSP2_VSI!$C:$C,Results_list!$C$256,SSP2_VSI!$D:$D,Results_list!$D74,SSP2_VSI!$B:$B,2040)) - (SUMIFS(SSP2_VSI!$F:$F,SSP2_VSI!$C:$C,Results_list!$C$256,SSP2_VSI!$D:$D,Results_list!$D74,SSP2_VSI!$B:$B,2025))) / (SUMIFS(SSP2_VSI!$F:$F,SSP2_VSI!$C:$C,Results_list!$C$256,SSP2_VSI!$D:$D,Results_list!$D74,SSP2_VSI!$B:$B,2025))</f>
        <v>11.146250408431078</v>
      </c>
      <c r="AP74" s="13">
        <f t="shared" si="43"/>
        <v>0</v>
      </c>
      <c r="AQ74" s="12">
        <f>((SUMIFS(SSP5_Baseline!$E:$E,SSP5_Baseline!$C:$C,Results_list!$C$256,SSP5_Baseline!$D:$D,Results_list!$D74,SSP5_Baseline!$B:$B,2040)) - (SUMIFS(SSP5_Baseline!$E:$E,SSP5_Baseline!$C:$C,Results_list!$C$256,SSP5_Baseline!$D:$D,Results_list!$D74,SSP5_Baseline!$B:$B,2025))) / (SUMIFS(SSP5_Baseline!$E:$E,SSP5_Baseline!$C:$C,Results_list!$C$256,SSP5_Baseline!$D:$D,Results_list!$D74,SSP5_Baseline!$B:$B,2025))</f>
        <v>16.852534214446308</v>
      </c>
      <c r="AR74" s="16">
        <f>((SUMIFS(SSP5_VSI!$F:$F,SSP5_VSI!$C:$C,Results_list!$C$256,SSP5_VSI!$D:$D,Results_list!$D74,SSP5_VSI!$B:$B,2040)) - (SUMIFS(SSP5_VSI!$F:$F,SSP5_VSI!$C:$C,Results_list!$C$256,SSP5_VSI!$D:$D,Results_list!$D74,SSP5_VSI!$B:$B,2025))) / (SUMIFS(SSP5_VSI!$F:$F,SSP5_VSI!$C:$C,Results_list!$C$256,SSP5_VSI!$D:$D,Results_list!$D74,SSP5_VSI!$B:$B,2025))</f>
        <v>16.852149408465447</v>
      </c>
      <c r="AS74" s="13">
        <f t="shared" si="44"/>
        <v>0</v>
      </c>
      <c r="AU74" s="87"/>
      <c r="AV74" s="87"/>
      <c r="AW74" t="s">
        <v>46</v>
      </c>
      <c r="AY74" s="3" t="s">
        <v>94</v>
      </c>
      <c r="AZ74" s="12">
        <f>((SUMIFS(SSP1_Baseline!$E:$E,SSP1_Baseline!$C:$C,Results_list!$C$361,SSP1_Baseline!$D:$D,Results_list!$D74,SSP1_Baseline!$B:$B,2040)) - (SUMIFS(SSP1_Baseline!$E:$E,SSP1_Baseline!$C:$C,Results_list!$C$361,SSP1_Baseline!$D:$D,Results_list!$D74,SSP1_Baseline!$B:$B,2025))) / (SUMIFS(SSP1_Baseline!$E:$E,SSP1_Baseline!$C:$C,Results_list!$C$361,SSP1_Baseline!$D:$D,Results_list!$D74,SSP1_Baseline!$B:$B,2025))</f>
        <v>0.39452183436003613</v>
      </c>
      <c r="BA74" s="16">
        <f>((SUMIFS(SSP1_VSI!$F:$F,SSP1_VSI!$C:$C,Results_list!$C$361,SSP1_VSI!$D:$D,Results_list!$D74,SSP1_VSI!$B:$B,2040)) - (SUMIFS(SSP1_VSI!$F:$F,SSP1_VSI!$C:$C,Results_list!$C$361,SSP1_VSI!$D:$D,Results_list!$D74,SSP1_VSI!$B:$B,2025))) / (SUMIFS(SSP1_VSI!$F:$F,SSP1_VSI!$C:$C,Results_list!$C$361,SSP1_VSI!$D:$D,Results_list!$D74,SSP1_VSI!$B:$B,2025))</f>
        <v>0.39452868800508878</v>
      </c>
      <c r="BB74" s="13">
        <f t="shared" si="45"/>
        <v>0</v>
      </c>
      <c r="BC74" s="12">
        <f>((SUMIFS(SSP2_Baseline!$E:$E,SSP2_Baseline!$C:$C,Results_list!$C$361,SSP2_Baseline!$D:$D,Results_list!$D74,SSP2_Baseline!$B:$B,2040)) - (SUMIFS(SSP2_Baseline!$E:$E,SSP2_Baseline!$C:$C,Results_list!$C$361,SSP2_Baseline!$D:$D,Results_list!$D74,SSP2_Baseline!$B:$B,2025))) / (SUMIFS(SSP2_Baseline!$E:$E,SSP2_Baseline!$C:$C,Results_list!$C$361,SSP2_Baseline!$D:$D,Results_list!$D74,SSP2_Baseline!$B:$B,2025))</f>
        <v>1.7917799865565396</v>
      </c>
      <c r="BD74" s="16">
        <f>((SUMIFS(SSP2_VSI!$F:$F,SSP2_VSI!$C:$C,Results_list!$C$361,SSP2_VSI!$D:$D,Results_list!$D74,SSP2_VSI!$B:$B,2040)) - (SUMIFS(SSP2_VSI!$F:$F,SSP2_VSI!$C:$C,Results_list!$C$361,SSP2_VSI!$D:$D,Results_list!$D74,SSP2_VSI!$B:$B,2025))) / (SUMIFS(SSP2_VSI!$F:$F,SSP2_VSI!$C:$C,Results_list!$C$361,SSP2_VSI!$D:$D,Results_list!$D74,SSP2_VSI!$B:$B,2025))</f>
        <v>1.7916344799590447</v>
      </c>
      <c r="BE74" s="13">
        <f t="shared" si="46"/>
        <v>0</v>
      </c>
      <c r="BF74" s="12">
        <f>((SUMIFS(SSP5_Baseline!$E:$E,SSP5_Baseline!$C:$C,Results_list!$C$361,SSP5_Baseline!$D:$D,Results_list!$D74,SSP5_Baseline!$B:$B,2040)) - (SUMIFS(SSP5_Baseline!$E:$E,SSP5_Baseline!$C:$C,Results_list!$C$361,SSP5_Baseline!$D:$D,Results_list!$D74,SSP5_Baseline!$B:$B,2025))) / (SUMIFS(SSP5_Baseline!$E:$E,SSP5_Baseline!$C:$C,Results_list!$C$361,SSP5_Baseline!$D:$D,Results_list!$D74,SSP5_Baseline!$B:$B,2025))</f>
        <v>1.5889778157983008</v>
      </c>
      <c r="BG74" s="16">
        <f>((SUMIFS(SSP5_VSI!$F:$F,SSP5_VSI!$C:$C,Results_list!$C$361,SSP5_VSI!$D:$D,Results_list!$D74,SSP5_VSI!$B:$B,2040)) - (SUMIFS(SSP5_VSI!$F:$F,SSP5_VSI!$C:$C,Results_list!$C$361,SSP5_VSI!$D:$D,Results_list!$D74,SSP5_VSI!$B:$B,2025))) / (SUMIFS(SSP5_VSI!$F:$F,SSP5_VSI!$C:$C,Results_list!$C$361,SSP5_VSI!$D:$D,Results_list!$D74,SSP5_VSI!$B:$B,2025))</f>
        <v>1.5889653633700946</v>
      </c>
      <c r="BH74" s="13">
        <f t="shared" si="47"/>
        <v>0</v>
      </c>
    </row>
    <row r="75" spans="2:60" x14ac:dyDescent="0.35">
      <c r="B75" s="91"/>
      <c r="C75" s="91"/>
      <c r="D75" t="s">
        <v>47</v>
      </c>
      <c r="F75" s="3" t="s">
        <v>95</v>
      </c>
      <c r="G75" s="12">
        <f>((SUMIFS(SSP1_Baseline!$E:$E,SSP1_Baseline!$C:$C,Results_list!$C$67,SSP1_Baseline!$D:$D,Results_list!$D75,SSP1_Baseline!$B:$B,2040)) - (SUMIFS(SSP1_Baseline!$E:$E,SSP1_Baseline!$C:$C,Results_list!$C$67,SSP1_Baseline!$D:$D,Results_list!$D75,SSP1_Baseline!$B:$B,2025))) / (SUMIFS(SSP1_Baseline!$E:$E,SSP1_Baseline!$C:$C,Results_list!$C$67,SSP1_Baseline!$D:$D,Results_list!$D75,SSP1_Baseline!$B:$B,2025))</f>
        <v>2.2160432421688511E-2</v>
      </c>
      <c r="H75" s="16">
        <f>((SUMIFS(SSP1_VSI!$F:$F,SSP1_VSI!$C:$C,Results_list!$C$67,SSP1_VSI!$D:$D,Results_list!$D75,SSP1_VSI!$B:$B,2040)) - (SUMIFS(SSP1_VSI!$F:$F,SSP1_VSI!$C:$C,Results_list!$C$67,SSP1_VSI!$D:$D,Results_list!$D75,SSP1_VSI!$B:$B,2025))) / (SUMIFS(SSP1_VSI!$F:$F,SSP1_VSI!$C:$C,Results_list!$C$67,SSP1_VSI!$D:$D,Results_list!$D75,SSP1_VSI!$B:$B,2025))</f>
        <v>2.2163174800191275E-2</v>
      </c>
      <c r="I75" s="13">
        <f t="shared" si="36"/>
        <v>0</v>
      </c>
      <c r="J75" s="12">
        <f>((SUMIFS(SSP2_Baseline!$E:$E,SSP2_Baseline!$C:$C,Results_list!$C$67,SSP2_Baseline!$D:$D,Results_list!$D75,SSP2_Baseline!$B:$B,2040)) - (SUMIFS(SSP2_Baseline!$E:$E,SSP2_Baseline!$C:$C,Results_list!$C$67,SSP2_Baseline!$D:$D,Results_list!$D75,SSP2_Baseline!$B:$B,2025))) / (SUMIFS(SSP2_Baseline!$E:$E,SSP2_Baseline!$C:$C,Results_list!$C$67,SSP2_Baseline!$D:$D,Results_list!$D75,SSP2_Baseline!$B:$B,2025))</f>
        <v>8.5125813874408165E-2</v>
      </c>
      <c r="K75" s="16">
        <f>((SUMIFS(SSP2_VSI!$F:$F,SSP2_VSI!$C:$C,Results_list!$C$67,SSP2_VSI!$D:$D,Results_list!$D75,SSP2_VSI!$B:$B,2040)) - (SUMIFS(SSP2_VSI!$F:$F,SSP2_VSI!$C:$C,Results_list!$C$67,SSP2_VSI!$D:$D,Results_list!$D75,SSP2_VSI!$B:$B,2025))) / (SUMIFS(SSP2_VSI!$F:$F,SSP2_VSI!$C:$C,Results_list!$C$67,SSP2_VSI!$D:$D,Results_list!$D75,SSP2_VSI!$B:$B,2025))</f>
        <v>8.5126077659915964E-2</v>
      </c>
      <c r="L75" s="13">
        <f t="shared" si="37"/>
        <v>0</v>
      </c>
      <c r="M75" s="12">
        <f>((SUMIFS(SSP5_Baseline!$E:$E,SSP5_Baseline!$C:$C,Results_list!$C$67,SSP5_Baseline!$D:$D,Results_list!$D75,SSP5_Baseline!$B:$B,2040)) - (SUMIFS(SSP5_Baseline!$E:$E,SSP5_Baseline!$C:$C,Results_list!$C$67,SSP5_Baseline!$D:$D,Results_list!$D75,SSP5_Baseline!$B:$B,2025))) / (SUMIFS(SSP5_Baseline!$E:$E,SSP5_Baseline!$C:$C,Results_list!$C$67,SSP5_Baseline!$D:$D,Results_list!$D75,SSP5_Baseline!$B:$B,2025))</f>
        <v>1.9138166113117977E-3</v>
      </c>
      <c r="N75" s="16">
        <f>((SUMIFS(SSP5_VSI!$F:$F,SSP5_VSI!$C:$C,Results_list!$C$67,SSP5_VSI!$D:$D,Results_list!$D75,SSP5_VSI!$B:$B,2040)) - (SUMIFS(SSP5_VSI!$F:$F,SSP5_VSI!$C:$C,Results_list!$C$67,SSP5_VSI!$D:$D,Results_list!$D75,SSP5_VSI!$B:$B,2025))) / (SUMIFS(SSP5_VSI!$F:$F,SSP5_VSI!$C:$C,Results_list!$C$67,SSP5_VSI!$D:$D,Results_list!$D75,SSP5_VSI!$B:$B,2025))</f>
        <v>1.9298231970001263E-3</v>
      </c>
      <c r="O75" s="13">
        <f t="shared" si="38"/>
        <v>0</v>
      </c>
      <c r="Q75" s="91"/>
      <c r="R75" s="91"/>
      <c r="S75" t="s">
        <v>47</v>
      </c>
      <c r="U75" s="3" t="s">
        <v>95</v>
      </c>
      <c r="V75" s="12">
        <f>((SUMIFS(SSP1_Baseline!$E:$E,SSP1_Baseline!$C:$C,Results_list!$C$172,SSP1_Baseline!$D:$D,Results_list!$D180,SSP1_Baseline!$B:$B,2040)) - (SUMIFS(SSP1_Baseline!$E:$E,SSP1_Baseline!$C:$C,Results_list!$C$172,SSP1_Baseline!$D:$D,Results_list!$D180,SSP1_Baseline!$B:$B,2025))) / (SUMIFS(SSP1_Baseline!$E:$E,SSP1_Baseline!$C:$C,Results_list!$C$172,SSP1_Baseline!$D:$D,Results_list!$D180,SSP1_Baseline!$B:$B,2025))</f>
        <v>-4.5145642683800585E-2</v>
      </c>
      <c r="W75" s="16">
        <f>((SUMIFS(SSP1_VSI!$F:$F,SSP1_VSI!$C:$C,Results_list!$C$172,SSP1_VSI!$D:$D,Results_list!$D180,SSP1_VSI!$B:$B,2040)) - (SUMIFS(SSP1_VSI!$F:$F,SSP1_VSI!$C:$C,Results_list!$C$172,SSP1_VSI!$D:$D,Results_list!$D180,SSP1_VSI!$B:$B,2025))) / (SUMIFS(SSP1_VSI!$F:$F,SSP1_VSI!$C:$C,Results_list!$C$172,SSP1_VSI!$D:$D,Results_list!$D180,SSP1_VSI!$B:$B,2025))</f>
        <v>-4.4968652030637893E-2</v>
      </c>
      <c r="X75" s="13">
        <f t="shared" si="39"/>
        <v>0</v>
      </c>
      <c r="Y75" s="12">
        <f>((SUMIFS(SSP2_Baseline!$E:$E,SSP2_Baseline!$C:$C,Results_list!$C$172,SSP2_Baseline!$D:$D,Results_list!$D180,SSP2_Baseline!$B:$B,2040)) - (SUMIFS(SSP2_Baseline!$E:$E,SSP2_Baseline!$C:$C,Results_list!$C$172,SSP2_Baseline!$D:$D,Results_list!$D180,SSP2_Baseline!$B:$B,2025))) / (SUMIFS(SSP2_Baseline!$E:$E,SSP2_Baseline!$C:$C,Results_list!$C$172,SSP2_Baseline!$D:$D,Results_list!$D180,SSP2_Baseline!$B:$B,2025))</f>
        <v>3.5216483275399436E-3</v>
      </c>
      <c r="Z75" s="16">
        <f>((SUMIFS(SSP2_VSI!$F:$F,SSP2_VSI!$C:$C,Results_list!$C$172,SSP2_VSI!$D:$D,Results_list!$D180,SSP2_VSI!$B:$B,2040)) - (SUMIFS(SSP2_VSI!$F:$F,SSP2_VSI!$C:$C,Results_list!$C$172,SSP2_VSI!$D:$D,Results_list!$D180,SSP2_VSI!$B:$B,2025))) / (SUMIFS(SSP2_VSI!$F:$F,SSP2_VSI!$C:$C,Results_list!$C$172,SSP2_VSI!$D:$D,Results_list!$D180,SSP2_VSI!$B:$B,2025))</f>
        <v>3.573768775252513E-3</v>
      </c>
      <c r="AA75" s="13">
        <f t="shared" si="40"/>
        <v>0</v>
      </c>
      <c r="AB75" s="12">
        <f>((SUMIFS(SSP5_Baseline!$E:$E,SSP5_Baseline!$C:$C,Results_list!$C$172,SSP5_Baseline!$D:$D,Results_list!$D180,SSP5_Baseline!$B:$B,2040)) - (SUMIFS(SSP5_Baseline!$E:$E,SSP5_Baseline!$C:$C,Results_list!$C$172,SSP5_Baseline!$D:$D,Results_list!$D180,SSP5_Baseline!$B:$B,2025))) / (SUMIFS(SSP5_Baseline!$E:$E,SSP5_Baseline!$C:$C,Results_list!$C$172,SSP5_Baseline!$D:$D,Results_list!$D180,SSP5_Baseline!$B:$B,2025))</f>
        <v>7.5419184167166392E-2</v>
      </c>
      <c r="AC75" s="16">
        <f>((SUMIFS(SSP5_VSI!$F:$F,SSP5_VSI!$C:$C,Results_list!$C$172,SSP5_VSI!$D:$D,Results_list!$D180,SSP5_VSI!$B:$B,2040)) - (SUMIFS(SSP5_VSI!$F:$F,SSP5_VSI!$C:$C,Results_list!$C$172,SSP5_VSI!$D:$D,Results_list!$D180,SSP5_VSI!$B:$B,2025))) / (SUMIFS(SSP5_VSI!$F:$F,SSP5_VSI!$C:$C,Results_list!$C$172,SSP5_VSI!$D:$D,Results_list!$D180,SSP5_VSI!$B:$B,2025))</f>
        <v>7.6261162618247044E-2</v>
      </c>
      <c r="AD75" s="13">
        <f t="shared" si="41"/>
        <v>0</v>
      </c>
      <c r="AF75" s="85"/>
      <c r="AG75" s="85"/>
      <c r="AH75" t="s">
        <v>47</v>
      </c>
      <c r="AJ75" s="3" t="s">
        <v>95</v>
      </c>
      <c r="AK75" s="12">
        <f>((SUMIFS(SSP1_Baseline!$E:$E,SSP1_Baseline!$C:$C,Results_list!$C$256,SSP1_Baseline!$D:$D,Results_list!$D75,SSP1_Baseline!$B:$B,2040)) - (SUMIFS(SSP1_Baseline!$E:$E,SSP1_Baseline!$C:$C,Results_list!$C$256,SSP1_Baseline!$D:$D,Results_list!$D75,SSP1_Baseline!$B:$B,2025))) / (SUMIFS(SSP1_Baseline!$E:$E,SSP1_Baseline!$C:$C,Results_list!$C$256,SSP1_Baseline!$D:$D,Results_list!$D75,SSP1_Baseline!$B:$B,2025))</f>
        <v>1.3676170239864905E-2</v>
      </c>
      <c r="AL75" s="16">
        <f>((SUMIFS(SSP1_VSI!$F:$F,SSP1_VSI!$C:$C,Results_list!$C$256,SSP1_VSI!$D:$D,Results_list!$D75,SSP1_VSI!$B:$B,2040)) - (SUMIFS(SSP1_VSI!$F:$F,SSP1_VSI!$C:$C,Results_list!$C$256,SSP1_VSI!$D:$D,Results_list!$D75,SSP1_VSI!$B:$B,2025))) / (SUMIFS(SSP1_VSI!$F:$F,SSP1_VSI!$C:$C,Results_list!$C$256,SSP1_VSI!$D:$D,Results_list!$D75,SSP1_VSI!$B:$B,2025))</f>
        <v>1.3696866878033787E-2</v>
      </c>
      <c r="AM75" s="13">
        <f t="shared" si="42"/>
        <v>0</v>
      </c>
      <c r="AN75" s="12">
        <f>((SUMIFS(SSP2_Baseline!$E:$E,SSP2_Baseline!$C:$C,Results_list!$C$256,SSP2_Baseline!$D:$D,Results_list!$D75,SSP2_Baseline!$B:$B,2040)) - (SUMIFS(SSP2_Baseline!$E:$E,SSP2_Baseline!$C:$C,Results_list!$C$256,SSP2_Baseline!$D:$D,Results_list!$D75,SSP2_Baseline!$B:$B,2025))) / (SUMIFS(SSP2_Baseline!$E:$E,SSP2_Baseline!$C:$C,Results_list!$C$256,SSP2_Baseline!$D:$D,Results_list!$D75,SSP2_Baseline!$B:$B,2025))</f>
        <v>0.60850757832279068</v>
      </c>
      <c r="AO75" s="16">
        <f>((SUMIFS(SSP2_VSI!$F:$F,SSP2_VSI!$C:$C,Results_list!$C$256,SSP2_VSI!$D:$D,Results_list!$D75,SSP2_VSI!$B:$B,2040)) - (SUMIFS(SSP2_VSI!$F:$F,SSP2_VSI!$C:$C,Results_list!$C$256,SSP2_VSI!$D:$D,Results_list!$D75,SSP2_VSI!$B:$B,2025))) / (SUMIFS(SSP2_VSI!$F:$F,SSP2_VSI!$C:$C,Results_list!$C$256,SSP2_VSI!$D:$D,Results_list!$D75,SSP2_VSI!$B:$B,2025))</f>
        <v>0.60850481393204991</v>
      </c>
      <c r="AP75" s="13">
        <f t="shared" si="43"/>
        <v>0</v>
      </c>
      <c r="AQ75" s="12">
        <f>((SUMIFS(SSP5_Baseline!$E:$E,SSP5_Baseline!$C:$C,Results_list!$C$256,SSP5_Baseline!$D:$D,Results_list!$D75,SSP5_Baseline!$B:$B,2040)) - (SUMIFS(SSP5_Baseline!$E:$E,SSP5_Baseline!$C:$C,Results_list!$C$256,SSP5_Baseline!$D:$D,Results_list!$D75,SSP5_Baseline!$B:$B,2025))) / (SUMIFS(SSP5_Baseline!$E:$E,SSP5_Baseline!$C:$C,Results_list!$C$256,SSP5_Baseline!$D:$D,Results_list!$D75,SSP5_Baseline!$B:$B,2025))</f>
        <v>0.64106837309924769</v>
      </c>
      <c r="AR75" s="16">
        <f>((SUMIFS(SSP5_VSI!$F:$F,SSP5_VSI!$C:$C,Results_list!$C$256,SSP5_VSI!$D:$D,Results_list!$D75,SSP5_VSI!$B:$B,2040)) - (SUMIFS(SSP5_VSI!$F:$F,SSP5_VSI!$C:$C,Results_list!$C$256,SSP5_VSI!$D:$D,Results_list!$D75,SSP5_VSI!$B:$B,2025))) / (SUMIFS(SSP5_VSI!$F:$F,SSP5_VSI!$C:$C,Results_list!$C$256,SSP5_VSI!$D:$D,Results_list!$D75,SSP5_VSI!$B:$B,2025))</f>
        <v>0.64117798040821594</v>
      </c>
      <c r="AS75" s="13">
        <f t="shared" si="44"/>
        <v>0</v>
      </c>
      <c r="AU75" s="87"/>
      <c r="AV75" s="87"/>
      <c r="AW75" t="s">
        <v>47</v>
      </c>
      <c r="AY75" s="3" t="s">
        <v>95</v>
      </c>
      <c r="AZ75" s="12">
        <f>((SUMIFS(SSP1_Baseline!$E:$E,SSP1_Baseline!$C:$C,Results_list!$C$361,SSP1_Baseline!$D:$D,Results_list!$D75,SSP1_Baseline!$B:$B,2040)) - (SUMIFS(SSP1_Baseline!$E:$E,SSP1_Baseline!$C:$C,Results_list!$C$361,SSP1_Baseline!$D:$D,Results_list!$D75,SSP1_Baseline!$B:$B,2025))) / (SUMIFS(SSP1_Baseline!$E:$E,SSP1_Baseline!$C:$C,Results_list!$C$361,SSP1_Baseline!$D:$D,Results_list!$D75,SSP1_Baseline!$B:$B,2025))</f>
        <v>-0.37688726438458059</v>
      </c>
      <c r="BA75" s="16">
        <f>((SUMIFS(SSP1_VSI!$F:$F,SSP1_VSI!$C:$C,Results_list!$C$361,SSP1_VSI!$D:$D,Results_list!$D75,SSP1_VSI!$B:$B,2040)) - (SUMIFS(SSP1_VSI!$F:$F,SSP1_VSI!$C:$C,Results_list!$C$361,SSP1_VSI!$D:$D,Results_list!$D75,SSP1_VSI!$B:$B,2025))) / (SUMIFS(SSP1_VSI!$F:$F,SSP1_VSI!$C:$C,Results_list!$C$361,SSP1_VSI!$D:$D,Results_list!$D75,SSP1_VSI!$B:$B,2025))</f>
        <v>-0.37683970117559557</v>
      </c>
      <c r="BB75" s="13">
        <f t="shared" si="45"/>
        <v>0</v>
      </c>
      <c r="BC75" s="12">
        <f>((SUMIFS(SSP2_Baseline!$E:$E,SSP2_Baseline!$C:$C,Results_list!$C$361,SSP2_Baseline!$D:$D,Results_list!$D75,SSP2_Baseline!$B:$B,2040)) - (SUMIFS(SSP2_Baseline!$E:$E,SSP2_Baseline!$C:$C,Results_list!$C$361,SSP2_Baseline!$D:$D,Results_list!$D75,SSP2_Baseline!$B:$B,2025))) / (SUMIFS(SSP2_Baseline!$E:$E,SSP2_Baseline!$C:$C,Results_list!$C$361,SSP2_Baseline!$D:$D,Results_list!$D75,SSP2_Baseline!$B:$B,2025))</f>
        <v>-0.40183208700762751</v>
      </c>
      <c r="BD75" s="16">
        <f>((SUMIFS(SSP2_VSI!$F:$F,SSP2_VSI!$C:$C,Results_list!$C$361,SSP2_VSI!$D:$D,Results_list!$D75,SSP2_VSI!$B:$B,2040)) - (SUMIFS(SSP2_VSI!$F:$F,SSP2_VSI!$C:$C,Results_list!$C$361,SSP2_VSI!$D:$D,Results_list!$D75,SSP2_VSI!$B:$B,2025))) / (SUMIFS(SSP2_VSI!$F:$F,SSP2_VSI!$C:$C,Results_list!$C$361,SSP2_VSI!$D:$D,Results_list!$D75,SSP2_VSI!$B:$B,2025))</f>
        <v>-0.40181188478023161</v>
      </c>
      <c r="BE75" s="13">
        <f t="shared" si="46"/>
        <v>0</v>
      </c>
      <c r="BF75" s="12">
        <f>((SUMIFS(SSP5_Baseline!$E:$E,SSP5_Baseline!$C:$C,Results_list!$C$361,SSP5_Baseline!$D:$D,Results_list!$D75,SSP5_Baseline!$B:$B,2040)) - (SUMIFS(SSP5_Baseline!$E:$E,SSP5_Baseline!$C:$C,Results_list!$C$361,SSP5_Baseline!$D:$D,Results_list!$D75,SSP5_Baseline!$B:$B,2025))) / (SUMIFS(SSP5_Baseline!$E:$E,SSP5_Baseline!$C:$C,Results_list!$C$361,SSP5_Baseline!$D:$D,Results_list!$D75,SSP5_Baseline!$B:$B,2025))</f>
        <v>-0.12561442418890997</v>
      </c>
      <c r="BG75" s="16">
        <f>((SUMIFS(SSP5_VSI!$F:$F,SSP5_VSI!$C:$C,Results_list!$C$361,SSP5_VSI!$D:$D,Results_list!$D75,SSP5_VSI!$B:$B,2040)) - (SUMIFS(SSP5_VSI!$F:$F,SSP5_VSI!$C:$C,Results_list!$C$361,SSP5_VSI!$D:$D,Results_list!$D75,SSP5_VSI!$B:$B,2025))) / (SUMIFS(SSP5_VSI!$F:$F,SSP5_VSI!$C:$C,Results_list!$C$361,SSP5_VSI!$D:$D,Results_list!$D75,SSP5_VSI!$B:$B,2025))</f>
        <v>-0.12543457361173371</v>
      </c>
      <c r="BH75" s="13">
        <f t="shared" si="47"/>
        <v>0</v>
      </c>
    </row>
    <row r="76" spans="2:60" x14ac:dyDescent="0.35">
      <c r="B76" s="91"/>
      <c r="C76" s="91"/>
      <c r="D76" t="s">
        <v>48</v>
      </c>
      <c r="F76" s="3" t="s">
        <v>96</v>
      </c>
      <c r="G76" s="12">
        <f>((SUMIFS(SSP1_Baseline!$E:$E,SSP1_Baseline!$C:$C,Results_list!$C$67,SSP1_Baseline!$D:$D,Results_list!$D76,SSP1_Baseline!$B:$B,2040)) - (SUMIFS(SSP1_Baseline!$E:$E,SSP1_Baseline!$C:$C,Results_list!$C$67,SSP1_Baseline!$D:$D,Results_list!$D76,SSP1_Baseline!$B:$B,2025))) / (SUMIFS(SSP1_Baseline!$E:$E,SSP1_Baseline!$C:$C,Results_list!$C$67,SSP1_Baseline!$D:$D,Results_list!$D76,SSP1_Baseline!$B:$B,2025))</f>
        <v>2.494730077053754E-4</v>
      </c>
      <c r="H76" s="16">
        <f>((SUMIFS(SSP1_VSI!$F:$F,SSP1_VSI!$C:$C,Results_list!$C$67,SSP1_VSI!$D:$D,Results_list!$D76,SSP1_VSI!$B:$B,2040)) - (SUMIFS(SSP1_VSI!$F:$F,SSP1_VSI!$C:$C,Results_list!$C$67,SSP1_VSI!$D:$D,Results_list!$D76,SSP1_VSI!$B:$B,2025))) / (SUMIFS(SSP1_VSI!$F:$F,SSP1_VSI!$C:$C,Results_list!$C$67,SSP1_VSI!$D:$D,Results_list!$D76,SSP1_VSI!$B:$B,2025))</f>
        <v>2.4950158630397548E-4</v>
      </c>
      <c r="I76" s="13">
        <f t="shared" si="36"/>
        <v>0</v>
      </c>
      <c r="J76" s="12">
        <f>((SUMIFS(SSP2_Baseline!$E:$E,SSP2_Baseline!$C:$C,Results_list!$C$67,SSP2_Baseline!$D:$D,Results_list!$D76,SSP2_Baseline!$B:$B,2040)) - (SUMIFS(SSP2_Baseline!$E:$E,SSP2_Baseline!$C:$C,Results_list!$C$67,SSP2_Baseline!$D:$D,Results_list!$D76,SSP2_Baseline!$B:$B,2025))) / (SUMIFS(SSP2_Baseline!$E:$E,SSP2_Baseline!$C:$C,Results_list!$C$67,SSP2_Baseline!$D:$D,Results_list!$D76,SSP2_Baseline!$B:$B,2025))</f>
        <v>3.119860119139311E-4</v>
      </c>
      <c r="K76" s="16">
        <f>((SUMIFS(SSP2_VSI!$F:$F,SSP2_VSI!$C:$C,Results_list!$C$67,SSP2_VSI!$D:$D,Results_list!$D76,SSP2_VSI!$B:$B,2040)) - (SUMIFS(SSP2_VSI!$F:$F,SSP2_VSI!$C:$C,Results_list!$C$67,SSP2_VSI!$D:$D,Results_list!$D76,SSP2_VSI!$B:$B,2025))) / (SUMIFS(SSP2_VSI!$F:$F,SSP2_VSI!$C:$C,Results_list!$C$67,SSP2_VSI!$D:$D,Results_list!$D76,SSP2_VSI!$B:$B,2025))</f>
        <v>3.1198064544317298E-4</v>
      </c>
      <c r="L76" s="13">
        <f t="shared" si="37"/>
        <v>0</v>
      </c>
      <c r="M76" s="12">
        <f>((SUMIFS(SSP5_Baseline!$E:$E,SSP5_Baseline!$C:$C,Results_list!$C$67,SSP5_Baseline!$D:$D,Results_list!$D76,SSP5_Baseline!$B:$B,2040)) - (SUMIFS(SSP5_Baseline!$E:$E,SSP5_Baseline!$C:$C,Results_list!$C$67,SSP5_Baseline!$D:$D,Results_list!$D76,SSP5_Baseline!$B:$B,2025))) / (SUMIFS(SSP5_Baseline!$E:$E,SSP5_Baseline!$C:$C,Results_list!$C$67,SSP5_Baseline!$D:$D,Results_list!$D76,SSP5_Baseline!$B:$B,2025))</f>
        <v>1.2347978398916646E-4</v>
      </c>
      <c r="N76" s="16">
        <f>((SUMIFS(SSP5_VSI!$F:$F,SSP5_VSI!$C:$C,Results_list!$C$67,SSP5_VSI!$D:$D,Results_list!$D76,SSP5_VSI!$B:$B,2040)) - (SUMIFS(SSP5_VSI!$F:$F,SSP5_VSI!$C:$C,Results_list!$C$67,SSP5_VSI!$D:$D,Results_list!$D76,SSP5_VSI!$B:$B,2025))) / (SUMIFS(SSP5_VSI!$F:$F,SSP5_VSI!$C:$C,Results_list!$C$67,SSP5_VSI!$D:$D,Results_list!$D76,SSP5_VSI!$B:$B,2025))</f>
        <v>1.2352576888450872E-4</v>
      </c>
      <c r="O76" s="13">
        <f t="shared" si="38"/>
        <v>0</v>
      </c>
      <c r="Q76" s="91"/>
      <c r="R76" s="91"/>
      <c r="S76" t="s">
        <v>48</v>
      </c>
      <c r="U76" s="3" t="s">
        <v>96</v>
      </c>
      <c r="V76" s="12">
        <f>((SUMIFS(SSP1_Baseline!$E:$E,SSP1_Baseline!$C:$C,Results_list!$C$172,SSP1_Baseline!$D:$D,Results_list!$D181,SSP1_Baseline!$B:$B,2040)) - (SUMIFS(SSP1_Baseline!$E:$E,SSP1_Baseline!$C:$C,Results_list!$C$172,SSP1_Baseline!$D:$D,Results_list!$D181,SSP1_Baseline!$B:$B,2025))) / (SUMIFS(SSP1_Baseline!$E:$E,SSP1_Baseline!$C:$C,Results_list!$C$172,SSP1_Baseline!$D:$D,Results_list!$D181,SSP1_Baseline!$B:$B,2025))</f>
        <v>1.2947058784967266E-5</v>
      </c>
      <c r="W76" s="16">
        <f>((SUMIFS(SSP1_VSI!$F:$F,SSP1_VSI!$C:$C,Results_list!$C$172,SSP1_VSI!$D:$D,Results_list!$D181,SSP1_VSI!$B:$B,2040)) - (SUMIFS(SSP1_VSI!$F:$F,SSP1_VSI!$C:$C,Results_list!$C$172,SSP1_VSI!$D:$D,Results_list!$D181,SSP1_VSI!$B:$B,2025))) / (SUMIFS(SSP1_VSI!$F:$F,SSP1_VSI!$C:$C,Results_list!$C$172,SSP1_VSI!$D:$D,Results_list!$D181,SSP1_VSI!$B:$B,2025))</f>
        <v>1.3132578607183546E-5</v>
      </c>
      <c r="X76" s="13">
        <f t="shared" si="39"/>
        <v>0</v>
      </c>
      <c r="Y76" s="12">
        <f>((SUMIFS(SSP2_Baseline!$E:$E,SSP2_Baseline!$C:$C,Results_list!$C$172,SSP2_Baseline!$D:$D,Results_list!$D181,SSP2_Baseline!$B:$B,2040)) - (SUMIFS(SSP2_Baseline!$E:$E,SSP2_Baseline!$C:$C,Results_list!$C$172,SSP2_Baseline!$D:$D,Results_list!$D181,SSP2_Baseline!$B:$B,2025))) / (SUMIFS(SSP2_Baseline!$E:$E,SSP2_Baseline!$C:$C,Results_list!$C$172,SSP2_Baseline!$D:$D,Results_list!$D181,SSP2_Baseline!$B:$B,2025))</f>
        <v>-2.6929412615464803E-4</v>
      </c>
      <c r="Z76" s="16">
        <f>((SUMIFS(SSP2_VSI!$F:$F,SSP2_VSI!$C:$C,Results_list!$C$172,SSP2_VSI!$D:$D,Results_list!$D181,SSP2_VSI!$B:$B,2040)) - (SUMIFS(SSP2_VSI!$F:$F,SSP2_VSI!$C:$C,Results_list!$C$172,SSP2_VSI!$D:$D,Results_list!$D181,SSP2_VSI!$B:$B,2025))) / (SUMIFS(SSP2_VSI!$F:$F,SSP2_VSI!$C:$C,Results_list!$C$172,SSP2_VSI!$D:$D,Results_list!$D181,SSP2_VSI!$B:$B,2025))</f>
        <v>-2.6901060613996019E-4</v>
      </c>
      <c r="AA76" s="13">
        <f t="shared" si="40"/>
        <v>0</v>
      </c>
      <c r="AB76" s="12">
        <f>((SUMIFS(SSP5_Baseline!$E:$E,SSP5_Baseline!$C:$C,Results_list!$C$172,SSP5_Baseline!$D:$D,Results_list!$D181,SSP5_Baseline!$B:$B,2040)) - (SUMIFS(SSP5_Baseline!$E:$E,SSP5_Baseline!$C:$C,Results_list!$C$172,SSP5_Baseline!$D:$D,Results_list!$D181,SSP5_Baseline!$B:$B,2025))) / (SUMIFS(SSP5_Baseline!$E:$E,SSP5_Baseline!$C:$C,Results_list!$C$172,SSP5_Baseline!$D:$D,Results_list!$D181,SSP5_Baseline!$B:$B,2025))</f>
        <v>-4.1486148848421157E-6</v>
      </c>
      <c r="AC76" s="16">
        <f>((SUMIFS(SSP5_VSI!$F:$F,SSP5_VSI!$C:$C,Results_list!$C$172,SSP5_VSI!$D:$D,Results_list!$D181,SSP5_VSI!$B:$B,2040)) - (SUMIFS(SSP5_VSI!$F:$F,SSP5_VSI!$C:$C,Results_list!$C$172,SSP5_VSI!$D:$D,Results_list!$D181,SSP5_VSI!$B:$B,2025))) / (SUMIFS(SSP5_VSI!$F:$F,SSP5_VSI!$C:$C,Results_list!$C$172,SSP5_VSI!$D:$D,Results_list!$D181,SSP5_VSI!$B:$B,2025))</f>
        <v>-3.8624118597618735E-6</v>
      </c>
      <c r="AD76" s="13">
        <f t="shared" si="41"/>
        <v>0</v>
      </c>
      <c r="AF76" s="85"/>
      <c r="AG76" s="85"/>
      <c r="AH76" t="s">
        <v>48</v>
      </c>
      <c r="AJ76" s="3" t="s">
        <v>96</v>
      </c>
      <c r="AK76" s="12">
        <f>((SUMIFS(SSP1_Baseline!$E:$E,SSP1_Baseline!$C:$C,Results_list!$C$256,SSP1_Baseline!$D:$D,Results_list!$D76,SSP1_Baseline!$B:$B,2040)) - (SUMIFS(SSP1_Baseline!$E:$E,SSP1_Baseline!$C:$C,Results_list!$C$256,SSP1_Baseline!$D:$D,Results_list!$D76,SSP1_Baseline!$B:$B,2025))) / (SUMIFS(SSP1_Baseline!$E:$E,SSP1_Baseline!$C:$C,Results_list!$C$256,SSP1_Baseline!$D:$D,Results_list!$D76,SSP1_Baseline!$B:$B,2025))</f>
        <v>9.3285231298443308E-2</v>
      </c>
      <c r="AL76" s="16">
        <f>((SUMIFS(SSP1_VSI!$F:$F,SSP1_VSI!$C:$C,Results_list!$C$256,SSP1_VSI!$D:$D,Results_list!$D76,SSP1_VSI!$B:$B,2040)) - (SUMIFS(SSP1_VSI!$F:$F,SSP1_VSI!$C:$C,Results_list!$C$256,SSP1_VSI!$D:$D,Results_list!$D76,SSP1_VSI!$B:$B,2025))) / (SUMIFS(SSP1_VSI!$F:$F,SSP1_VSI!$C:$C,Results_list!$C$256,SSP1_VSI!$D:$D,Results_list!$D76,SSP1_VSI!$B:$B,2025))</f>
        <v>9.3290463393823159E-2</v>
      </c>
      <c r="AM76" s="13">
        <f t="shared" si="42"/>
        <v>0</v>
      </c>
      <c r="AN76" s="12">
        <f>((SUMIFS(SSP2_Baseline!$E:$E,SSP2_Baseline!$C:$C,Results_list!$C$256,SSP2_Baseline!$D:$D,Results_list!$D76,SSP2_Baseline!$B:$B,2040)) - (SUMIFS(SSP2_Baseline!$E:$E,SSP2_Baseline!$C:$C,Results_list!$C$256,SSP2_Baseline!$D:$D,Results_list!$D76,SSP2_Baseline!$B:$B,2025))) / (SUMIFS(SSP2_Baseline!$E:$E,SSP2_Baseline!$C:$C,Results_list!$C$256,SSP2_Baseline!$D:$D,Results_list!$D76,SSP2_Baseline!$B:$B,2025))</f>
        <v>0.14079694999033174</v>
      </c>
      <c r="AO76" s="16">
        <f>((SUMIFS(SSP2_VSI!$F:$F,SSP2_VSI!$C:$C,Results_list!$C$256,SSP2_VSI!$D:$D,Results_list!$D76,SSP2_VSI!$B:$B,2040)) - (SUMIFS(SSP2_VSI!$F:$F,SSP2_VSI!$C:$C,Results_list!$C$256,SSP2_VSI!$D:$D,Results_list!$D76,SSP2_VSI!$B:$B,2025))) / (SUMIFS(SSP2_VSI!$F:$F,SSP2_VSI!$C:$C,Results_list!$C$256,SSP2_VSI!$D:$D,Results_list!$D76,SSP2_VSI!$B:$B,2025))</f>
        <v>0.14079087196480244</v>
      </c>
      <c r="AP76" s="13">
        <f t="shared" si="43"/>
        <v>0</v>
      </c>
      <c r="AQ76" s="12">
        <f>((SUMIFS(SSP5_Baseline!$E:$E,SSP5_Baseline!$C:$C,Results_list!$C$256,SSP5_Baseline!$D:$D,Results_list!$D76,SSP5_Baseline!$B:$B,2040)) - (SUMIFS(SSP5_Baseline!$E:$E,SSP5_Baseline!$C:$C,Results_list!$C$256,SSP5_Baseline!$D:$D,Results_list!$D76,SSP5_Baseline!$B:$B,2025))) / (SUMIFS(SSP5_Baseline!$E:$E,SSP5_Baseline!$C:$C,Results_list!$C$256,SSP5_Baseline!$D:$D,Results_list!$D76,SSP5_Baseline!$B:$B,2025))</f>
        <v>3.9675055064037984E-2</v>
      </c>
      <c r="AR76" s="16">
        <f>((SUMIFS(SSP5_VSI!$F:$F,SSP5_VSI!$C:$C,Results_list!$C$256,SSP5_VSI!$D:$D,Results_list!$D76,SSP5_VSI!$B:$B,2040)) - (SUMIFS(SSP5_VSI!$F:$F,SSP5_VSI!$C:$C,Results_list!$C$256,SSP5_VSI!$D:$D,Results_list!$D76,SSP5_VSI!$B:$B,2025))) / (SUMIFS(SSP5_VSI!$F:$F,SSP5_VSI!$C:$C,Results_list!$C$256,SSP5_VSI!$D:$D,Results_list!$D76,SSP5_VSI!$B:$B,2025))</f>
        <v>3.9685034400329104E-2</v>
      </c>
      <c r="AS76" s="13">
        <f t="shared" si="44"/>
        <v>0</v>
      </c>
      <c r="AU76" s="87"/>
      <c r="AV76" s="87"/>
      <c r="AW76" t="s">
        <v>48</v>
      </c>
      <c r="AY76" s="3" t="s">
        <v>96</v>
      </c>
      <c r="AZ76" s="12">
        <f>((SUMIFS(SSP1_Baseline!$E:$E,SSP1_Baseline!$C:$C,Results_list!$C$361,SSP1_Baseline!$D:$D,Results_list!$D76,SSP1_Baseline!$B:$B,2040)) - (SUMIFS(SSP1_Baseline!$E:$E,SSP1_Baseline!$C:$C,Results_list!$C$361,SSP1_Baseline!$D:$D,Results_list!$D76,SSP1_Baseline!$B:$B,2025))) / (SUMIFS(SSP1_Baseline!$E:$E,SSP1_Baseline!$C:$C,Results_list!$C$361,SSP1_Baseline!$D:$D,Results_list!$D76,SSP1_Baseline!$B:$B,2025))</f>
        <v>7.7864734876496988E-5</v>
      </c>
      <c r="BA76" s="16">
        <f>((SUMIFS(SSP1_VSI!$F:$F,SSP1_VSI!$C:$C,Results_list!$C$361,SSP1_VSI!$D:$D,Results_list!$D76,SSP1_VSI!$B:$B,2040)) - (SUMIFS(SSP1_VSI!$F:$F,SSP1_VSI!$C:$C,Results_list!$C$361,SSP1_VSI!$D:$D,Results_list!$D76,SSP1_VSI!$B:$B,2025))) / (SUMIFS(SSP1_VSI!$F:$F,SSP1_VSI!$C:$C,Results_list!$C$361,SSP1_VSI!$D:$D,Results_list!$D76,SSP1_VSI!$B:$B,2025))</f>
        <v>7.7873417388016203E-5</v>
      </c>
      <c r="BB76" s="13">
        <f t="shared" si="45"/>
        <v>0</v>
      </c>
      <c r="BC76" s="12">
        <f>((SUMIFS(SSP2_Baseline!$E:$E,SSP2_Baseline!$C:$C,Results_list!$C$361,SSP2_Baseline!$D:$D,Results_list!$D76,SSP2_Baseline!$B:$B,2040)) - (SUMIFS(SSP2_Baseline!$E:$E,SSP2_Baseline!$C:$C,Results_list!$C$361,SSP2_Baseline!$D:$D,Results_list!$D76,SSP2_Baseline!$B:$B,2025))) / (SUMIFS(SSP2_Baseline!$E:$E,SSP2_Baseline!$C:$C,Results_list!$C$361,SSP2_Baseline!$D:$D,Results_list!$D76,SSP2_Baseline!$B:$B,2025))</f>
        <v>6.2349827321167678E-5</v>
      </c>
      <c r="BD76" s="16">
        <f>((SUMIFS(SSP2_VSI!$F:$F,SSP2_VSI!$C:$C,Results_list!$C$361,SSP2_VSI!$D:$D,Results_list!$D76,SSP2_VSI!$B:$B,2040)) - (SUMIFS(SSP2_VSI!$F:$F,SSP2_VSI!$C:$C,Results_list!$C$361,SSP2_VSI!$D:$D,Results_list!$D76,SSP2_VSI!$B:$B,2025))) / (SUMIFS(SSP2_VSI!$F:$F,SSP2_VSI!$C:$C,Results_list!$C$361,SSP2_VSI!$D:$D,Results_list!$D76,SSP2_VSI!$B:$B,2025))</f>
        <v>6.2352353914006E-5</v>
      </c>
      <c r="BE76" s="13">
        <f t="shared" si="46"/>
        <v>0</v>
      </c>
      <c r="BF76" s="12">
        <f>((SUMIFS(SSP5_Baseline!$E:$E,SSP5_Baseline!$C:$C,Results_list!$C$361,SSP5_Baseline!$D:$D,Results_list!$D76,SSP5_Baseline!$B:$B,2040)) - (SUMIFS(SSP5_Baseline!$E:$E,SSP5_Baseline!$C:$C,Results_list!$C$361,SSP5_Baseline!$D:$D,Results_list!$D76,SSP5_Baseline!$B:$B,2025))) / (SUMIFS(SSP5_Baseline!$E:$E,SSP5_Baseline!$C:$C,Results_list!$C$361,SSP5_Baseline!$D:$D,Results_list!$D76,SSP5_Baseline!$B:$B,2025))</f>
        <v>6.8474267668428121E-5</v>
      </c>
      <c r="BG76" s="16">
        <f>((SUMIFS(SSP5_VSI!$F:$F,SSP5_VSI!$C:$C,Results_list!$C$361,SSP5_VSI!$D:$D,Results_list!$D76,SSP5_VSI!$B:$B,2040)) - (SUMIFS(SSP5_VSI!$F:$F,SSP5_VSI!$C:$C,Results_list!$C$361,SSP5_VSI!$D:$D,Results_list!$D76,SSP5_VSI!$B:$B,2025))) / (SUMIFS(SSP5_VSI!$F:$F,SSP5_VSI!$C:$C,Results_list!$C$361,SSP5_VSI!$D:$D,Results_list!$D76,SSP5_VSI!$B:$B,2025))</f>
        <v>6.84886451784547E-5</v>
      </c>
      <c r="BH76" s="13">
        <f t="shared" si="47"/>
        <v>0</v>
      </c>
    </row>
    <row r="77" spans="2:60" x14ac:dyDescent="0.35">
      <c r="B77" s="91"/>
      <c r="C77" s="91"/>
      <c r="D77" t="s">
        <v>49</v>
      </c>
      <c r="F77" s="3" t="s">
        <v>97</v>
      </c>
      <c r="G77" s="12">
        <f>((SUMIFS(SSP1_Baseline!$E:$E,SSP1_Baseline!$C:$C,Results_list!$C$67,SSP1_Baseline!$D:$D,Results_list!$D77,SSP1_Baseline!$B:$B,2040)) - (SUMIFS(SSP1_Baseline!$E:$E,SSP1_Baseline!$C:$C,Results_list!$C$67,SSP1_Baseline!$D:$D,Results_list!$D77,SSP1_Baseline!$B:$B,2025))) / (SUMIFS(SSP1_Baseline!$E:$E,SSP1_Baseline!$C:$C,Results_list!$C$67,SSP1_Baseline!$D:$D,Results_list!$D77,SSP1_Baseline!$B:$B,2025))</f>
        <v>4.5667495876583038E-2</v>
      </c>
      <c r="H77" s="16">
        <f>((SUMIFS(SSP1_VSI!$F:$F,SSP1_VSI!$C:$C,Results_list!$C$67,SSP1_VSI!$D:$D,Results_list!$D77,SSP1_VSI!$B:$B,2040)) - (SUMIFS(SSP1_VSI!$F:$F,SSP1_VSI!$C:$C,Results_list!$C$67,SSP1_VSI!$D:$D,Results_list!$D77,SSP1_VSI!$B:$B,2025))) / (SUMIFS(SSP1_VSI!$F:$F,SSP1_VSI!$C:$C,Results_list!$C$67,SSP1_VSI!$D:$D,Results_list!$D77,SSP1_VSI!$B:$B,2025))</f>
        <v>4.3365236422735889E-2</v>
      </c>
      <c r="I77" s="13">
        <f t="shared" si="36"/>
        <v>-2E-3</v>
      </c>
      <c r="J77" s="12">
        <f>((SUMIFS(SSP2_Baseline!$E:$E,SSP2_Baseline!$C:$C,Results_list!$C$67,SSP2_Baseline!$D:$D,Results_list!$D77,SSP2_Baseline!$B:$B,2040)) - (SUMIFS(SSP2_Baseline!$E:$E,SSP2_Baseline!$C:$C,Results_list!$C$67,SSP2_Baseline!$D:$D,Results_list!$D77,SSP2_Baseline!$B:$B,2025))) / (SUMIFS(SSP2_Baseline!$E:$E,SSP2_Baseline!$C:$C,Results_list!$C$67,SSP2_Baseline!$D:$D,Results_list!$D77,SSP2_Baseline!$B:$B,2025))</f>
        <v>8.470333858216883E-2</v>
      </c>
      <c r="K77" s="16">
        <f>((SUMIFS(SSP2_VSI!$F:$F,SSP2_VSI!$C:$C,Results_list!$C$67,SSP2_VSI!$D:$D,Results_list!$D77,SSP2_VSI!$B:$B,2040)) - (SUMIFS(SSP2_VSI!$F:$F,SSP2_VSI!$C:$C,Results_list!$C$67,SSP2_VSI!$D:$D,Results_list!$D77,SSP2_VSI!$B:$B,2025))) / (SUMIFS(SSP2_VSI!$F:$F,SSP2_VSI!$C:$C,Results_list!$C$67,SSP2_VSI!$D:$D,Results_list!$D77,SSP2_VSI!$B:$B,2025))</f>
        <v>8.2300393245228975E-2</v>
      </c>
      <c r="L77" s="13">
        <f t="shared" si="37"/>
        <v>0</v>
      </c>
      <c r="M77" s="12">
        <f>((SUMIFS(SSP5_Baseline!$E:$E,SSP5_Baseline!$C:$C,Results_list!$C$67,SSP5_Baseline!$D:$D,Results_list!$D77,SSP5_Baseline!$B:$B,2040)) - (SUMIFS(SSP5_Baseline!$E:$E,SSP5_Baseline!$C:$C,Results_list!$C$67,SSP5_Baseline!$D:$D,Results_list!$D77,SSP5_Baseline!$B:$B,2025))) / (SUMIFS(SSP5_Baseline!$E:$E,SSP5_Baseline!$C:$C,Results_list!$C$67,SSP5_Baseline!$D:$D,Results_list!$D77,SSP5_Baseline!$B:$B,2025))</f>
        <v>6.6312036134070634E-2</v>
      </c>
      <c r="N77" s="16">
        <f>((SUMIFS(SSP5_VSI!$F:$F,SSP5_VSI!$C:$C,Results_list!$C$67,SSP5_VSI!$D:$D,Results_list!$D77,SSP5_VSI!$B:$B,2040)) - (SUMIFS(SSP5_VSI!$F:$F,SSP5_VSI!$C:$C,Results_list!$C$67,SSP5_VSI!$D:$D,Results_list!$D77,SSP5_VSI!$B:$B,2025))) / (SUMIFS(SSP5_VSI!$F:$F,SSP5_VSI!$C:$C,Results_list!$C$67,SSP5_VSI!$D:$D,Results_list!$D77,SSP5_VSI!$B:$B,2025))</f>
        <v>6.3917308137373771E-2</v>
      </c>
      <c r="O77" s="13">
        <f t="shared" si="38"/>
        <v>0</v>
      </c>
      <c r="Q77" s="91"/>
      <c r="R77" s="91"/>
      <c r="S77" t="s">
        <v>49</v>
      </c>
      <c r="U77" s="3" t="s">
        <v>97</v>
      </c>
      <c r="V77" s="12">
        <f>((SUMIFS(SSP1_Baseline!$E:$E,SSP1_Baseline!$C:$C,Results_list!$C$172,SSP1_Baseline!$D:$D,Results_list!$D182,SSP1_Baseline!$B:$B,2040)) - (SUMIFS(SSP1_Baseline!$E:$E,SSP1_Baseline!$C:$C,Results_list!$C$172,SSP1_Baseline!$D:$D,Results_list!$D182,SSP1_Baseline!$B:$B,2025))) / (SUMIFS(SSP1_Baseline!$E:$E,SSP1_Baseline!$C:$C,Results_list!$C$172,SSP1_Baseline!$D:$D,Results_list!$D182,SSP1_Baseline!$B:$B,2025))</f>
        <v>-3.1397744619394631E-2</v>
      </c>
      <c r="W77" s="16">
        <f>((SUMIFS(SSP1_VSI!$F:$F,SSP1_VSI!$C:$C,Results_list!$C$172,SSP1_VSI!$D:$D,Results_list!$D182,SSP1_VSI!$B:$B,2040)) - (SUMIFS(SSP1_VSI!$F:$F,SSP1_VSI!$C:$C,Results_list!$C$172,SSP1_VSI!$D:$D,Results_list!$D182,SSP1_VSI!$B:$B,2025))) / (SUMIFS(SSP1_VSI!$F:$F,SSP1_VSI!$C:$C,Results_list!$C$172,SSP1_VSI!$D:$D,Results_list!$D182,SSP1_VSI!$B:$B,2025))</f>
        <v>-0.48047229701415534</v>
      </c>
      <c r="X77" s="13">
        <f t="shared" si="39"/>
        <v>-0.44900000000000001</v>
      </c>
      <c r="Y77" s="12">
        <f>((SUMIFS(SSP2_Baseline!$E:$E,SSP2_Baseline!$C:$C,Results_list!$C$172,SSP2_Baseline!$D:$D,Results_list!$D182,SSP2_Baseline!$B:$B,2040)) - (SUMIFS(SSP2_Baseline!$E:$E,SSP2_Baseline!$C:$C,Results_list!$C$172,SSP2_Baseline!$D:$D,Results_list!$D182,SSP2_Baseline!$B:$B,2025))) / (SUMIFS(SSP2_Baseline!$E:$E,SSP2_Baseline!$C:$C,Results_list!$C$172,SSP2_Baseline!$D:$D,Results_list!$D182,SSP2_Baseline!$B:$B,2025))</f>
        <v>-1.6683638835694646E-2</v>
      </c>
      <c r="Z77" s="16">
        <f>((SUMIFS(SSP2_VSI!$F:$F,SSP2_VSI!$C:$C,Results_list!$C$172,SSP2_VSI!$D:$D,Results_list!$D182,SSP2_VSI!$B:$B,2040)) - (SUMIFS(SSP2_VSI!$F:$F,SSP2_VSI!$C:$C,Results_list!$C$172,SSP2_VSI!$D:$D,Results_list!$D182,SSP2_VSI!$B:$B,2025))) / (SUMIFS(SSP2_VSI!$F:$F,SSP2_VSI!$C:$C,Results_list!$C$172,SSP2_VSI!$D:$D,Results_list!$D182,SSP2_VSI!$B:$B,2025))</f>
        <v>-0.47451647870417313</v>
      </c>
      <c r="AA77" s="13">
        <f t="shared" si="40"/>
        <v>-0.46</v>
      </c>
      <c r="AB77" s="12">
        <f>((SUMIFS(SSP5_Baseline!$E:$E,SSP5_Baseline!$C:$C,Results_list!$C$172,SSP5_Baseline!$D:$D,Results_list!$D182,SSP5_Baseline!$B:$B,2040)) - (SUMIFS(SSP5_Baseline!$E:$E,SSP5_Baseline!$C:$C,Results_list!$C$172,SSP5_Baseline!$D:$D,Results_list!$D182,SSP5_Baseline!$B:$B,2025))) / (SUMIFS(SSP5_Baseline!$E:$E,SSP5_Baseline!$C:$C,Results_list!$C$172,SSP5_Baseline!$D:$D,Results_list!$D182,SSP5_Baseline!$B:$B,2025))</f>
        <v>-1.4674948786830096E-2</v>
      </c>
      <c r="AC77" s="16">
        <f>((SUMIFS(SSP5_VSI!$F:$F,SSP5_VSI!$C:$C,Results_list!$C$172,SSP5_VSI!$D:$D,Results_list!$D182,SSP5_VSI!$B:$B,2040)) - (SUMIFS(SSP5_VSI!$F:$F,SSP5_VSI!$C:$C,Results_list!$C$172,SSP5_VSI!$D:$D,Results_list!$D182,SSP5_VSI!$B:$B,2025))) / (SUMIFS(SSP5_VSI!$F:$F,SSP5_VSI!$C:$C,Results_list!$C$172,SSP5_VSI!$D:$D,Results_list!$D182,SSP5_VSI!$B:$B,2025))</f>
        <v>-0.47287088510552694</v>
      </c>
      <c r="AD77" s="13">
        <f t="shared" si="41"/>
        <v>-0.46</v>
      </c>
      <c r="AF77" s="85"/>
      <c r="AG77" s="85"/>
      <c r="AH77" t="s">
        <v>49</v>
      </c>
      <c r="AJ77" s="3" t="s">
        <v>97</v>
      </c>
      <c r="AK77" s="12">
        <f>((SUMIFS(SSP1_Baseline!$E:$E,SSP1_Baseline!$C:$C,Results_list!$C$256,SSP1_Baseline!$D:$D,Results_list!$D77,SSP1_Baseline!$B:$B,2040)) - (SUMIFS(SSP1_Baseline!$E:$E,SSP1_Baseline!$C:$C,Results_list!$C$256,SSP1_Baseline!$D:$D,Results_list!$D77,SSP1_Baseline!$B:$B,2025))) / (SUMIFS(SSP1_Baseline!$E:$E,SSP1_Baseline!$C:$C,Results_list!$C$256,SSP1_Baseline!$D:$D,Results_list!$D77,SSP1_Baseline!$B:$B,2025))</f>
        <v>-6.9221874086884363E-2</v>
      </c>
      <c r="AL77" s="16">
        <f>((SUMIFS(SSP1_VSI!$F:$F,SSP1_VSI!$C:$C,Results_list!$C$256,SSP1_VSI!$D:$D,Results_list!$D77,SSP1_VSI!$B:$B,2040)) - (SUMIFS(SSP1_VSI!$F:$F,SSP1_VSI!$C:$C,Results_list!$C$256,SSP1_VSI!$D:$D,Results_list!$D77,SSP1_VSI!$B:$B,2025))) / (SUMIFS(SSP1_VSI!$F:$F,SSP1_VSI!$C:$C,Results_list!$C$256,SSP1_VSI!$D:$D,Results_list!$D77,SSP1_VSI!$B:$B,2025))</f>
        <v>-6.9676230501883374E-2</v>
      </c>
      <c r="AM77" s="13">
        <f t="shared" si="42"/>
        <v>0</v>
      </c>
      <c r="AN77" s="12">
        <f>((SUMIFS(SSP2_Baseline!$E:$E,SSP2_Baseline!$C:$C,Results_list!$C$256,SSP2_Baseline!$D:$D,Results_list!$D77,SSP2_Baseline!$B:$B,2040)) - (SUMIFS(SSP2_Baseline!$E:$E,SSP2_Baseline!$C:$C,Results_list!$C$256,SSP2_Baseline!$D:$D,Results_list!$D77,SSP2_Baseline!$B:$B,2025))) / (SUMIFS(SSP2_Baseline!$E:$E,SSP2_Baseline!$C:$C,Results_list!$C$256,SSP2_Baseline!$D:$D,Results_list!$D77,SSP2_Baseline!$B:$B,2025))</f>
        <v>-3.6086190744893449E-4</v>
      </c>
      <c r="AO77" s="16">
        <f>((SUMIFS(SSP2_VSI!$F:$F,SSP2_VSI!$C:$C,Results_list!$C$256,SSP2_VSI!$D:$D,Results_list!$D77,SSP2_VSI!$B:$B,2040)) - (SUMIFS(SSP2_VSI!$F:$F,SSP2_VSI!$C:$C,Results_list!$C$256,SSP2_VSI!$D:$D,Results_list!$D77,SSP2_VSI!$B:$B,2025))) / (SUMIFS(SSP2_VSI!$F:$F,SSP2_VSI!$C:$C,Results_list!$C$256,SSP2_VSI!$D:$D,Results_list!$D77,SSP2_VSI!$B:$B,2025))</f>
        <v>-8.921189585539605E-4</v>
      </c>
      <c r="AP77" s="13">
        <f t="shared" si="43"/>
        <v>0</v>
      </c>
      <c r="AQ77" s="12">
        <f>((SUMIFS(SSP5_Baseline!$E:$E,SSP5_Baseline!$C:$C,Results_list!$C$256,SSP5_Baseline!$D:$D,Results_list!$D77,SSP5_Baseline!$B:$B,2040)) - (SUMIFS(SSP5_Baseline!$E:$E,SSP5_Baseline!$C:$C,Results_list!$C$256,SSP5_Baseline!$D:$D,Results_list!$D77,SSP5_Baseline!$B:$B,2025))) / (SUMIFS(SSP5_Baseline!$E:$E,SSP5_Baseline!$C:$C,Results_list!$C$256,SSP5_Baseline!$D:$D,Results_list!$D77,SSP5_Baseline!$B:$B,2025))</f>
        <v>-2.7295113767207724E-2</v>
      </c>
      <c r="AR77" s="16">
        <f>((SUMIFS(SSP5_VSI!$F:$F,SSP5_VSI!$C:$C,Results_list!$C$256,SSP5_VSI!$D:$D,Results_list!$D77,SSP5_VSI!$B:$B,2040)) - (SUMIFS(SSP5_VSI!$F:$F,SSP5_VSI!$C:$C,Results_list!$C$256,SSP5_VSI!$D:$D,Results_list!$D77,SSP5_VSI!$B:$B,2025))) / (SUMIFS(SSP5_VSI!$F:$F,SSP5_VSI!$C:$C,Results_list!$C$256,SSP5_VSI!$D:$D,Results_list!$D77,SSP5_VSI!$B:$B,2025))</f>
        <v>-2.7762482132750572E-2</v>
      </c>
      <c r="AS77" s="13">
        <f t="shared" si="44"/>
        <v>0</v>
      </c>
      <c r="AU77" s="87"/>
      <c r="AV77" s="87"/>
      <c r="AW77" t="s">
        <v>49</v>
      </c>
      <c r="AY77" s="3" t="s">
        <v>97</v>
      </c>
      <c r="AZ77" s="12">
        <f>((SUMIFS(SSP1_Baseline!$E:$E,SSP1_Baseline!$C:$C,Results_list!$C$361,SSP1_Baseline!$D:$D,Results_list!$D77,SSP1_Baseline!$B:$B,2040)) - (SUMIFS(SSP1_Baseline!$E:$E,SSP1_Baseline!$C:$C,Results_list!$C$361,SSP1_Baseline!$D:$D,Results_list!$D77,SSP1_Baseline!$B:$B,2025))) / (SUMIFS(SSP1_Baseline!$E:$E,SSP1_Baseline!$C:$C,Results_list!$C$361,SSP1_Baseline!$D:$D,Results_list!$D77,SSP1_Baseline!$B:$B,2025))</f>
        <v>-0.15951500946134409</v>
      </c>
      <c r="BA77" s="16">
        <f>((SUMIFS(SSP1_VSI!$F:$F,SSP1_VSI!$C:$C,Results_list!$C$361,SSP1_VSI!$D:$D,Results_list!$D77,SSP1_VSI!$B:$B,2040)) - (SUMIFS(SSP1_VSI!$F:$F,SSP1_VSI!$C:$C,Results_list!$C$361,SSP1_VSI!$D:$D,Results_list!$D77,SSP1_VSI!$B:$B,2025))) / (SUMIFS(SSP1_VSI!$F:$F,SSP1_VSI!$C:$C,Results_list!$C$361,SSP1_VSI!$D:$D,Results_list!$D77,SSP1_VSI!$B:$B,2025))</f>
        <v>-0.15959139435556571</v>
      </c>
      <c r="BB77" s="13">
        <f t="shared" si="45"/>
        <v>0</v>
      </c>
      <c r="BC77" s="12">
        <f>((SUMIFS(SSP2_Baseline!$E:$E,SSP2_Baseline!$C:$C,Results_list!$C$361,SSP2_Baseline!$D:$D,Results_list!$D77,SSP2_Baseline!$B:$B,2040)) - (SUMIFS(SSP2_Baseline!$E:$E,SSP2_Baseline!$C:$C,Results_list!$C$361,SSP2_Baseline!$D:$D,Results_list!$D77,SSP2_Baseline!$B:$B,2025))) / (SUMIFS(SSP2_Baseline!$E:$E,SSP2_Baseline!$C:$C,Results_list!$C$361,SSP2_Baseline!$D:$D,Results_list!$D77,SSP2_Baseline!$B:$B,2025))</f>
        <v>-0.15281339229522206</v>
      </c>
      <c r="BD77" s="16">
        <f>((SUMIFS(SSP2_VSI!$F:$F,SSP2_VSI!$C:$C,Results_list!$C$361,SSP2_VSI!$D:$D,Results_list!$D77,SSP2_VSI!$B:$B,2040)) - (SUMIFS(SSP2_VSI!$F:$F,SSP2_VSI!$C:$C,Results_list!$C$361,SSP2_VSI!$D:$D,Results_list!$D77,SSP2_VSI!$B:$B,2025))) / (SUMIFS(SSP2_VSI!$F:$F,SSP2_VSI!$C:$C,Results_list!$C$361,SSP2_VSI!$D:$D,Results_list!$D77,SSP2_VSI!$B:$B,2025))</f>
        <v>-0.15280876321382883</v>
      </c>
      <c r="BE77" s="13">
        <f t="shared" si="46"/>
        <v>0</v>
      </c>
      <c r="BF77" s="12">
        <f>((SUMIFS(SSP5_Baseline!$E:$E,SSP5_Baseline!$C:$C,Results_list!$C$361,SSP5_Baseline!$D:$D,Results_list!$D77,SSP5_Baseline!$B:$B,2040)) - (SUMIFS(SSP5_Baseline!$E:$E,SSP5_Baseline!$C:$C,Results_list!$C$361,SSP5_Baseline!$D:$D,Results_list!$D77,SSP5_Baseline!$B:$B,2025))) / (SUMIFS(SSP5_Baseline!$E:$E,SSP5_Baseline!$C:$C,Results_list!$C$361,SSP5_Baseline!$D:$D,Results_list!$D77,SSP5_Baseline!$B:$B,2025))</f>
        <v>-0.12526968698576069</v>
      </c>
      <c r="BG77" s="16">
        <f>((SUMIFS(SSP5_VSI!$F:$F,SSP5_VSI!$C:$C,Results_list!$C$361,SSP5_VSI!$D:$D,Results_list!$D77,SSP5_VSI!$B:$B,2040)) - (SUMIFS(SSP5_VSI!$F:$F,SSP5_VSI!$C:$C,Results_list!$C$361,SSP5_VSI!$D:$D,Results_list!$D77,SSP5_VSI!$B:$B,2025))) / (SUMIFS(SSP5_VSI!$F:$F,SSP5_VSI!$C:$C,Results_list!$C$361,SSP5_VSI!$D:$D,Results_list!$D77,SSP5_VSI!$B:$B,2025))</f>
        <v>-0.12532749215155611</v>
      </c>
      <c r="BH77" s="13">
        <f t="shared" si="47"/>
        <v>0</v>
      </c>
    </row>
    <row r="78" spans="2:60" x14ac:dyDescent="0.35">
      <c r="B78" s="91"/>
      <c r="C78" s="91"/>
      <c r="D78" t="s">
        <v>50</v>
      </c>
      <c r="F78" s="3" t="s">
        <v>98</v>
      </c>
      <c r="G78" s="12">
        <f>((SUMIFS(SSP1_Baseline!$E:$E,SSP1_Baseline!$C:$C,Results_list!$C$67,SSP1_Baseline!$D:$D,Results_list!$D78,SSP1_Baseline!$B:$B,2040)) - (SUMIFS(SSP1_Baseline!$E:$E,SSP1_Baseline!$C:$C,Results_list!$C$67,SSP1_Baseline!$D:$D,Results_list!$D78,SSP1_Baseline!$B:$B,2025))) / (SUMIFS(SSP1_Baseline!$E:$E,SSP1_Baseline!$C:$C,Results_list!$C$67,SSP1_Baseline!$D:$D,Results_list!$D78,SSP1_Baseline!$B:$B,2025))</f>
        <v>-8.6025280022356959E-3</v>
      </c>
      <c r="H78" s="16">
        <f>((SUMIFS(SSP1_VSI!$F:$F,SSP1_VSI!$C:$C,Results_list!$C$67,SSP1_VSI!$D:$D,Results_list!$D78,SSP1_VSI!$B:$B,2040)) - (SUMIFS(SSP1_VSI!$F:$F,SSP1_VSI!$C:$C,Results_list!$C$67,SSP1_VSI!$D:$D,Results_list!$D78,SSP1_VSI!$B:$B,2025))) / (SUMIFS(SSP1_VSI!$F:$F,SSP1_VSI!$C:$C,Results_list!$C$67,SSP1_VSI!$D:$D,Results_list!$D78,SSP1_VSI!$B:$B,2025))</f>
        <v>-8.6029967475006689E-3</v>
      </c>
      <c r="I78" s="13">
        <f t="shared" si="36"/>
        <v>0</v>
      </c>
      <c r="J78" s="12">
        <f>((SUMIFS(SSP2_Baseline!$E:$E,SSP2_Baseline!$C:$C,Results_list!$C$67,SSP2_Baseline!$D:$D,Results_list!$D78,SSP2_Baseline!$B:$B,2040)) - (SUMIFS(SSP2_Baseline!$E:$E,SSP2_Baseline!$C:$C,Results_list!$C$67,SSP2_Baseline!$D:$D,Results_list!$D78,SSP2_Baseline!$B:$B,2025))) / (SUMIFS(SSP2_Baseline!$E:$E,SSP2_Baseline!$C:$C,Results_list!$C$67,SSP2_Baseline!$D:$D,Results_list!$D78,SSP2_Baseline!$B:$B,2025))</f>
        <v>4.1182773517575134E-2</v>
      </c>
      <c r="K78" s="16">
        <f>((SUMIFS(SSP2_VSI!$F:$F,SSP2_VSI!$C:$C,Results_list!$C$67,SSP2_VSI!$D:$D,Results_list!$D78,SSP2_VSI!$B:$B,2040)) - (SUMIFS(SSP2_VSI!$F:$F,SSP2_VSI!$C:$C,Results_list!$C$67,SSP2_VSI!$D:$D,Results_list!$D78,SSP2_VSI!$B:$B,2025))) / (SUMIFS(SSP2_VSI!$F:$F,SSP2_VSI!$C:$C,Results_list!$C$67,SSP2_VSI!$D:$D,Results_list!$D78,SSP2_VSI!$B:$B,2025))</f>
        <v>4.1182255814963438E-2</v>
      </c>
      <c r="L78" s="13">
        <f t="shared" si="37"/>
        <v>0</v>
      </c>
      <c r="M78" s="12">
        <f>((SUMIFS(SSP5_Baseline!$E:$E,SSP5_Baseline!$C:$C,Results_list!$C$67,SSP5_Baseline!$D:$D,Results_list!$D78,SSP5_Baseline!$B:$B,2040)) - (SUMIFS(SSP5_Baseline!$E:$E,SSP5_Baseline!$C:$C,Results_list!$C$67,SSP5_Baseline!$D:$D,Results_list!$D78,SSP5_Baseline!$B:$B,2025))) / (SUMIFS(SSP5_Baseline!$E:$E,SSP5_Baseline!$C:$C,Results_list!$C$67,SSP5_Baseline!$D:$D,Results_list!$D78,SSP5_Baseline!$B:$B,2025))</f>
        <v>4.2539256798624803E-2</v>
      </c>
      <c r="N78" s="16">
        <f>((SUMIFS(SSP5_VSI!$F:$F,SSP5_VSI!$C:$C,Results_list!$C$67,SSP5_VSI!$D:$D,Results_list!$D78,SSP5_VSI!$B:$B,2040)) - (SUMIFS(SSP5_VSI!$F:$F,SSP5_VSI!$C:$C,Results_list!$C$67,SSP5_VSI!$D:$D,Results_list!$D78,SSP5_VSI!$B:$B,2025))) / (SUMIFS(SSP5_VSI!$F:$F,SSP5_VSI!$C:$C,Results_list!$C$67,SSP5_VSI!$D:$D,Results_list!$D78,SSP5_VSI!$B:$B,2025))</f>
        <v>4.2541145449322103E-2</v>
      </c>
      <c r="O78" s="13">
        <f t="shared" si="38"/>
        <v>0</v>
      </c>
      <c r="Q78" s="91"/>
      <c r="R78" s="91"/>
      <c r="S78" t="s">
        <v>50</v>
      </c>
      <c r="U78" s="3" t="s">
        <v>98</v>
      </c>
      <c r="V78" s="12">
        <f>((SUMIFS(SSP1_Baseline!$E:$E,SSP1_Baseline!$C:$C,Results_list!$C$172,SSP1_Baseline!$D:$D,Results_list!$D183,SSP1_Baseline!$B:$B,2040)) - (SUMIFS(SSP1_Baseline!$E:$E,SSP1_Baseline!$C:$C,Results_list!$C$172,SSP1_Baseline!$D:$D,Results_list!$D183,SSP1_Baseline!$B:$B,2025))) / (SUMIFS(SSP1_Baseline!$E:$E,SSP1_Baseline!$C:$C,Results_list!$C$172,SSP1_Baseline!$D:$D,Results_list!$D183,SSP1_Baseline!$B:$B,2025))</f>
        <v>-3.2687592755484593E-2</v>
      </c>
      <c r="W78" s="16">
        <f>((SUMIFS(SSP1_VSI!$F:$F,SSP1_VSI!$C:$C,Results_list!$C$172,SSP1_VSI!$D:$D,Results_list!$D183,SSP1_VSI!$B:$B,2040)) - (SUMIFS(SSP1_VSI!$F:$F,SSP1_VSI!$C:$C,Results_list!$C$172,SSP1_VSI!$D:$D,Results_list!$D183,SSP1_VSI!$B:$B,2025))) / (SUMIFS(SSP1_VSI!$F:$F,SSP1_VSI!$C:$C,Results_list!$C$172,SSP1_VSI!$D:$D,Results_list!$D183,SSP1_VSI!$B:$B,2025))</f>
        <v>-3.270139334931918E-2</v>
      </c>
      <c r="X78" s="13">
        <f t="shared" si="39"/>
        <v>0</v>
      </c>
      <c r="Y78" s="12">
        <f>((SUMIFS(SSP2_Baseline!$E:$E,SSP2_Baseline!$C:$C,Results_list!$C$172,SSP2_Baseline!$D:$D,Results_list!$D183,SSP2_Baseline!$B:$B,2040)) - (SUMIFS(SSP2_Baseline!$E:$E,SSP2_Baseline!$C:$C,Results_list!$C$172,SSP2_Baseline!$D:$D,Results_list!$D183,SSP2_Baseline!$B:$B,2025))) / (SUMIFS(SSP2_Baseline!$E:$E,SSP2_Baseline!$C:$C,Results_list!$C$172,SSP2_Baseline!$D:$D,Results_list!$D183,SSP2_Baseline!$B:$B,2025))</f>
        <v>4.1162228414321919E-2</v>
      </c>
      <c r="Z78" s="16">
        <f>((SUMIFS(SSP2_VSI!$F:$F,SSP2_VSI!$C:$C,Results_list!$C$172,SSP2_VSI!$D:$D,Results_list!$D183,SSP2_VSI!$B:$B,2040)) - (SUMIFS(SSP2_VSI!$F:$F,SSP2_VSI!$C:$C,Results_list!$C$172,SSP2_VSI!$D:$D,Results_list!$D183,SSP2_VSI!$B:$B,2025))) / (SUMIFS(SSP2_VSI!$F:$F,SSP2_VSI!$C:$C,Results_list!$C$172,SSP2_VSI!$D:$D,Results_list!$D183,SSP2_VSI!$B:$B,2025))</f>
        <v>4.1167355799086536E-2</v>
      </c>
      <c r="AA78" s="13">
        <f t="shared" si="40"/>
        <v>0</v>
      </c>
      <c r="AB78" s="12">
        <f>((SUMIFS(SSP5_Baseline!$E:$E,SSP5_Baseline!$C:$C,Results_list!$C$172,SSP5_Baseline!$D:$D,Results_list!$D183,SSP5_Baseline!$B:$B,2040)) - (SUMIFS(SSP5_Baseline!$E:$E,SSP5_Baseline!$C:$C,Results_list!$C$172,SSP5_Baseline!$D:$D,Results_list!$D183,SSP5_Baseline!$B:$B,2025))) / (SUMIFS(SSP5_Baseline!$E:$E,SSP5_Baseline!$C:$C,Results_list!$C$172,SSP5_Baseline!$D:$D,Results_list!$D183,SSP5_Baseline!$B:$B,2025))</f>
        <v>6.3962571452112177E-2</v>
      </c>
      <c r="AC78" s="16">
        <f>((SUMIFS(SSP5_VSI!$F:$F,SSP5_VSI!$C:$C,Results_list!$C$172,SSP5_VSI!$D:$D,Results_list!$D183,SSP5_VSI!$B:$B,2040)) - (SUMIFS(SSP5_VSI!$F:$F,SSP5_VSI!$C:$C,Results_list!$C$172,SSP5_VSI!$D:$D,Results_list!$D183,SSP5_VSI!$B:$B,2025))) / (SUMIFS(SSP5_VSI!$F:$F,SSP5_VSI!$C:$C,Results_list!$C$172,SSP5_VSI!$D:$D,Results_list!$D183,SSP5_VSI!$B:$B,2025))</f>
        <v>6.3976532620449986E-2</v>
      </c>
      <c r="AD78" s="13">
        <f t="shared" si="41"/>
        <v>0</v>
      </c>
      <c r="AF78" s="85"/>
      <c r="AG78" s="85"/>
      <c r="AH78" t="s">
        <v>50</v>
      </c>
      <c r="AJ78" s="3" t="s">
        <v>98</v>
      </c>
      <c r="AK78" s="12">
        <f>((SUMIFS(SSP1_Baseline!$E:$E,SSP1_Baseline!$C:$C,Results_list!$C$256,SSP1_Baseline!$D:$D,Results_list!$D78,SSP1_Baseline!$B:$B,2040)) - (SUMIFS(SSP1_Baseline!$E:$E,SSP1_Baseline!$C:$C,Results_list!$C$256,SSP1_Baseline!$D:$D,Results_list!$D78,SSP1_Baseline!$B:$B,2025))) / (SUMIFS(SSP1_Baseline!$E:$E,SSP1_Baseline!$C:$C,Results_list!$C$256,SSP1_Baseline!$D:$D,Results_list!$D78,SSP1_Baseline!$B:$B,2025))</f>
        <v>-0.19073007312514029</v>
      </c>
      <c r="AL78" s="16">
        <f>((SUMIFS(SSP1_VSI!$F:$F,SSP1_VSI!$C:$C,Results_list!$C$256,SSP1_VSI!$D:$D,Results_list!$D78,SSP1_VSI!$B:$B,2040)) - (SUMIFS(SSP1_VSI!$F:$F,SSP1_VSI!$C:$C,Results_list!$C$256,SSP1_VSI!$D:$D,Results_list!$D78,SSP1_VSI!$B:$B,2025))) / (SUMIFS(SSP1_VSI!$F:$F,SSP1_VSI!$C:$C,Results_list!$C$256,SSP1_VSI!$D:$D,Results_list!$D78,SSP1_VSI!$B:$B,2025))</f>
        <v>-0.19072903502348673</v>
      </c>
      <c r="AM78" s="13">
        <f t="shared" si="42"/>
        <v>0</v>
      </c>
      <c r="AN78" s="12">
        <f>((SUMIFS(SSP2_Baseline!$E:$E,SSP2_Baseline!$C:$C,Results_list!$C$256,SSP2_Baseline!$D:$D,Results_list!$D78,SSP2_Baseline!$B:$B,2040)) - (SUMIFS(SSP2_Baseline!$E:$E,SSP2_Baseline!$C:$C,Results_list!$C$256,SSP2_Baseline!$D:$D,Results_list!$D78,SSP2_Baseline!$B:$B,2025))) / (SUMIFS(SSP2_Baseline!$E:$E,SSP2_Baseline!$C:$C,Results_list!$C$256,SSP2_Baseline!$D:$D,Results_list!$D78,SSP2_Baseline!$B:$B,2025))</f>
        <v>1.0551911809050023</v>
      </c>
      <c r="AO78" s="16">
        <f>((SUMIFS(SSP2_VSI!$F:$F,SSP2_VSI!$C:$C,Results_list!$C$256,SSP2_VSI!$D:$D,Results_list!$D78,SSP2_VSI!$B:$B,2040)) - (SUMIFS(SSP2_VSI!$F:$F,SSP2_VSI!$C:$C,Results_list!$C$256,SSP2_VSI!$D:$D,Results_list!$D78,SSP2_VSI!$B:$B,2025))) / (SUMIFS(SSP2_VSI!$F:$F,SSP2_VSI!$C:$C,Results_list!$C$256,SSP2_VSI!$D:$D,Results_list!$D78,SSP2_VSI!$B:$B,2025))</f>
        <v>1.0551855531646086</v>
      </c>
      <c r="AP78" s="13">
        <f t="shared" si="43"/>
        <v>0</v>
      </c>
      <c r="AQ78" s="12">
        <f>((SUMIFS(SSP5_Baseline!$E:$E,SSP5_Baseline!$C:$C,Results_list!$C$256,SSP5_Baseline!$D:$D,Results_list!$D78,SSP5_Baseline!$B:$B,2040)) - (SUMIFS(SSP5_Baseline!$E:$E,SSP5_Baseline!$C:$C,Results_list!$C$256,SSP5_Baseline!$D:$D,Results_list!$D78,SSP5_Baseline!$B:$B,2025))) / (SUMIFS(SSP5_Baseline!$E:$E,SSP5_Baseline!$C:$C,Results_list!$C$256,SSP5_Baseline!$D:$D,Results_list!$D78,SSP5_Baseline!$B:$B,2025))</f>
        <v>1.5874501557640419</v>
      </c>
      <c r="AR78" s="16">
        <f>((SUMIFS(SSP5_VSI!$F:$F,SSP5_VSI!$C:$C,Results_list!$C$256,SSP5_VSI!$D:$D,Results_list!$D78,SSP5_VSI!$B:$B,2040)) - (SUMIFS(SSP5_VSI!$F:$F,SSP5_VSI!$C:$C,Results_list!$C$256,SSP5_VSI!$D:$D,Results_list!$D78,SSP5_VSI!$B:$B,2025))) / (SUMIFS(SSP5_VSI!$F:$F,SSP5_VSI!$C:$C,Results_list!$C$256,SSP5_VSI!$D:$D,Results_list!$D78,SSP5_VSI!$B:$B,2025))</f>
        <v>1.587457167558469</v>
      </c>
      <c r="AS78" s="13">
        <f t="shared" si="44"/>
        <v>0</v>
      </c>
      <c r="AU78" s="87"/>
      <c r="AV78" s="87"/>
      <c r="AW78" t="s">
        <v>50</v>
      </c>
      <c r="AY78" s="3" t="s">
        <v>98</v>
      </c>
      <c r="AZ78" s="12">
        <f>((SUMIFS(SSP1_Baseline!$E:$E,SSP1_Baseline!$C:$C,Results_list!$C$361,SSP1_Baseline!$D:$D,Results_list!$D78,SSP1_Baseline!$B:$B,2040)) - (SUMIFS(SSP1_Baseline!$E:$E,SSP1_Baseline!$C:$C,Results_list!$C$361,SSP1_Baseline!$D:$D,Results_list!$D78,SSP1_Baseline!$B:$B,2025))) / (SUMIFS(SSP1_Baseline!$E:$E,SSP1_Baseline!$C:$C,Results_list!$C$361,SSP1_Baseline!$D:$D,Results_list!$D78,SSP1_Baseline!$B:$B,2025))</f>
        <v>-0.24114437111394704</v>
      </c>
      <c r="BA78" s="16">
        <f>((SUMIFS(SSP1_VSI!$F:$F,SSP1_VSI!$C:$C,Results_list!$C$361,SSP1_VSI!$D:$D,Results_list!$D78,SSP1_VSI!$B:$B,2040)) - (SUMIFS(SSP1_VSI!$F:$F,SSP1_VSI!$C:$C,Results_list!$C$361,SSP1_VSI!$D:$D,Results_list!$D78,SSP1_VSI!$B:$B,2025))) / (SUMIFS(SSP1_VSI!$F:$F,SSP1_VSI!$C:$C,Results_list!$C$361,SSP1_VSI!$D:$D,Results_list!$D78,SSP1_VSI!$B:$B,2025))</f>
        <v>-0.24115007095993754</v>
      </c>
      <c r="BB78" s="13">
        <f t="shared" si="45"/>
        <v>0</v>
      </c>
      <c r="BC78" s="12">
        <f>((SUMIFS(SSP2_Baseline!$E:$E,SSP2_Baseline!$C:$C,Results_list!$C$361,SSP2_Baseline!$D:$D,Results_list!$D78,SSP2_Baseline!$B:$B,2040)) - (SUMIFS(SSP2_Baseline!$E:$E,SSP2_Baseline!$C:$C,Results_list!$C$361,SSP2_Baseline!$D:$D,Results_list!$D78,SSP2_Baseline!$B:$B,2025))) / (SUMIFS(SSP2_Baseline!$E:$E,SSP2_Baseline!$C:$C,Results_list!$C$361,SSP2_Baseline!$D:$D,Results_list!$D78,SSP2_Baseline!$B:$B,2025))</f>
        <v>-3.9514505792817067E-2</v>
      </c>
      <c r="BD78" s="16">
        <f>((SUMIFS(SSP2_VSI!$F:$F,SSP2_VSI!$C:$C,Results_list!$C$361,SSP2_VSI!$D:$D,Results_list!$D78,SSP2_VSI!$B:$B,2040)) - (SUMIFS(SSP2_VSI!$F:$F,SSP2_VSI!$C:$C,Results_list!$C$361,SSP2_VSI!$D:$D,Results_list!$D78,SSP2_VSI!$B:$B,2025))) / (SUMIFS(SSP2_VSI!$F:$F,SSP2_VSI!$C:$C,Results_list!$C$361,SSP2_VSI!$D:$D,Results_list!$D78,SSP2_VSI!$B:$B,2025))</f>
        <v>-3.9515902171545103E-2</v>
      </c>
      <c r="BE78" s="13">
        <f t="shared" si="46"/>
        <v>0</v>
      </c>
      <c r="BF78" s="12">
        <f>((SUMIFS(SSP5_Baseline!$E:$E,SSP5_Baseline!$C:$C,Results_list!$C$361,SSP5_Baseline!$D:$D,Results_list!$D78,SSP5_Baseline!$B:$B,2040)) - (SUMIFS(SSP5_Baseline!$E:$E,SSP5_Baseline!$C:$C,Results_list!$C$361,SSP5_Baseline!$D:$D,Results_list!$D78,SSP5_Baseline!$B:$B,2025))) / (SUMIFS(SSP5_Baseline!$E:$E,SSP5_Baseline!$C:$C,Results_list!$C$361,SSP5_Baseline!$D:$D,Results_list!$D78,SSP5_Baseline!$B:$B,2025))</f>
        <v>0.19076333583258789</v>
      </c>
      <c r="BG78" s="16">
        <f>((SUMIFS(SSP5_VSI!$F:$F,SSP5_VSI!$C:$C,Results_list!$C$361,SSP5_VSI!$D:$D,Results_list!$D78,SSP5_VSI!$B:$B,2040)) - (SUMIFS(SSP5_VSI!$F:$F,SSP5_VSI!$C:$C,Results_list!$C$361,SSP5_VSI!$D:$D,Results_list!$D78,SSP5_VSI!$B:$B,2025))) / (SUMIFS(SSP5_VSI!$F:$F,SSP5_VSI!$C:$C,Results_list!$C$361,SSP5_VSI!$D:$D,Results_list!$D78,SSP5_VSI!$B:$B,2025))</f>
        <v>0.19077580806031932</v>
      </c>
      <c r="BH78" s="13">
        <f t="shared" si="47"/>
        <v>0</v>
      </c>
    </row>
    <row r="79" spans="2:60" x14ac:dyDescent="0.35">
      <c r="B79" s="91"/>
      <c r="C79" s="91"/>
      <c r="D79" t="s">
        <v>51</v>
      </c>
      <c r="F79" s="3" t="s">
        <v>99</v>
      </c>
      <c r="G79" s="12">
        <f>((SUMIFS(SSP1_Baseline!$E:$E,SSP1_Baseline!$C:$C,Results_list!$C$67,SSP1_Baseline!$D:$D,Results_list!$D79,SSP1_Baseline!$B:$B,2040)) - (SUMIFS(SSP1_Baseline!$E:$E,SSP1_Baseline!$C:$C,Results_list!$C$67,SSP1_Baseline!$D:$D,Results_list!$D79,SSP1_Baseline!$B:$B,2025))) / (SUMIFS(SSP1_Baseline!$E:$E,SSP1_Baseline!$C:$C,Results_list!$C$67,SSP1_Baseline!$D:$D,Results_list!$D79,SSP1_Baseline!$B:$B,2025))</f>
        <v>8.298836789519104E-2</v>
      </c>
      <c r="H79" s="16">
        <f>((SUMIFS(SSP1_VSI!$F:$F,SSP1_VSI!$C:$C,Results_list!$C$67,SSP1_VSI!$D:$D,Results_list!$D79,SSP1_VSI!$B:$B,2040)) - (SUMIFS(SSP1_VSI!$F:$F,SSP1_VSI!$C:$C,Results_list!$C$67,SSP1_VSI!$D:$D,Results_list!$D79,SSP1_VSI!$B:$B,2025))) / (SUMIFS(SSP1_VSI!$F:$F,SSP1_VSI!$C:$C,Results_list!$C$67,SSP1_VSI!$D:$D,Results_list!$D79,SSP1_VSI!$B:$B,2025))</f>
        <v>8.2987086254257519E-2</v>
      </c>
      <c r="I79" s="13">
        <f t="shared" si="36"/>
        <v>0</v>
      </c>
      <c r="J79" s="12">
        <f>((SUMIFS(SSP2_Baseline!$E:$E,SSP2_Baseline!$C:$C,Results_list!$C$67,SSP2_Baseline!$D:$D,Results_list!$D79,SSP2_Baseline!$B:$B,2040)) - (SUMIFS(SSP2_Baseline!$E:$E,SSP2_Baseline!$C:$C,Results_list!$C$67,SSP2_Baseline!$D:$D,Results_list!$D79,SSP2_Baseline!$B:$B,2025))) / (SUMIFS(SSP2_Baseline!$E:$E,SSP2_Baseline!$C:$C,Results_list!$C$67,SSP2_Baseline!$D:$D,Results_list!$D79,SSP2_Baseline!$B:$B,2025))</f>
        <v>9.4115504914199496E-2</v>
      </c>
      <c r="K79" s="16">
        <f>((SUMIFS(SSP2_VSI!$F:$F,SSP2_VSI!$C:$C,Results_list!$C$67,SSP2_VSI!$D:$D,Results_list!$D79,SSP2_VSI!$B:$B,2040)) - (SUMIFS(SSP2_VSI!$F:$F,SSP2_VSI!$C:$C,Results_list!$C$67,SSP2_VSI!$D:$D,Results_list!$D79,SSP2_VSI!$B:$B,2025))) / (SUMIFS(SSP2_VSI!$F:$F,SSP2_VSI!$C:$C,Results_list!$C$67,SSP2_VSI!$D:$D,Results_list!$D79,SSP2_VSI!$B:$B,2025))</f>
        <v>9.410209235289399E-2</v>
      </c>
      <c r="L79" s="13">
        <f t="shared" si="37"/>
        <v>0</v>
      </c>
      <c r="M79" s="12">
        <f>((SUMIFS(SSP5_Baseline!$E:$E,SSP5_Baseline!$C:$C,Results_list!$C$67,SSP5_Baseline!$D:$D,Results_list!$D79,SSP5_Baseline!$B:$B,2040)) - (SUMIFS(SSP5_Baseline!$E:$E,SSP5_Baseline!$C:$C,Results_list!$C$67,SSP5_Baseline!$D:$D,Results_list!$D79,SSP5_Baseline!$B:$B,2025))) / (SUMIFS(SSP5_Baseline!$E:$E,SSP5_Baseline!$C:$C,Results_list!$C$67,SSP5_Baseline!$D:$D,Results_list!$D79,SSP5_Baseline!$B:$B,2025))</f>
        <v>1.0938142039260957E-2</v>
      </c>
      <c r="N79" s="16">
        <f>((SUMIFS(SSP5_VSI!$F:$F,SSP5_VSI!$C:$C,Results_list!$C$67,SSP5_VSI!$D:$D,Results_list!$D79,SSP5_VSI!$B:$B,2040)) - (SUMIFS(SSP5_VSI!$F:$F,SSP5_VSI!$C:$C,Results_list!$C$67,SSP5_VSI!$D:$D,Results_list!$D79,SSP5_VSI!$B:$B,2025))) / (SUMIFS(SSP5_VSI!$F:$F,SSP5_VSI!$C:$C,Results_list!$C$67,SSP5_VSI!$D:$D,Results_list!$D79,SSP5_VSI!$B:$B,2025))</f>
        <v>1.094269249250017E-2</v>
      </c>
      <c r="O79" s="13">
        <f t="shared" si="38"/>
        <v>0</v>
      </c>
      <c r="Q79" s="91"/>
      <c r="R79" s="91"/>
      <c r="S79" t="s">
        <v>51</v>
      </c>
      <c r="U79" s="3" t="s">
        <v>99</v>
      </c>
      <c r="V79" s="12">
        <f>((SUMIFS(SSP1_Baseline!$E:$E,SSP1_Baseline!$C:$C,Results_list!$C$172,SSP1_Baseline!$D:$D,Results_list!$D184,SSP1_Baseline!$B:$B,2040)) - (SUMIFS(SSP1_Baseline!$E:$E,SSP1_Baseline!$C:$C,Results_list!$C$172,SSP1_Baseline!$D:$D,Results_list!$D184,SSP1_Baseline!$B:$B,2025))) / (SUMIFS(SSP1_Baseline!$E:$E,SSP1_Baseline!$C:$C,Results_list!$C$172,SSP1_Baseline!$D:$D,Results_list!$D184,SSP1_Baseline!$B:$B,2025))</f>
        <v>2.630024004132489E-2</v>
      </c>
      <c r="W79" s="16">
        <f>((SUMIFS(SSP1_VSI!$F:$F,SSP1_VSI!$C:$C,Results_list!$C$172,SSP1_VSI!$D:$D,Results_list!$D184,SSP1_VSI!$B:$B,2040)) - (SUMIFS(SSP1_VSI!$F:$F,SSP1_VSI!$C:$C,Results_list!$C$172,SSP1_VSI!$D:$D,Results_list!$D184,SSP1_VSI!$B:$B,2025))) / (SUMIFS(SSP1_VSI!$F:$F,SSP1_VSI!$C:$C,Results_list!$C$172,SSP1_VSI!$D:$D,Results_list!$D184,SSP1_VSI!$B:$B,2025))</f>
        <v>2.6261337790366636E-2</v>
      </c>
      <c r="X79" s="13">
        <f t="shared" si="39"/>
        <v>0</v>
      </c>
      <c r="Y79" s="12">
        <f>((SUMIFS(SSP2_Baseline!$E:$E,SSP2_Baseline!$C:$C,Results_list!$C$172,SSP2_Baseline!$D:$D,Results_list!$D184,SSP2_Baseline!$B:$B,2040)) - (SUMIFS(SSP2_Baseline!$E:$E,SSP2_Baseline!$C:$C,Results_list!$C$172,SSP2_Baseline!$D:$D,Results_list!$D184,SSP2_Baseline!$B:$B,2025))) / (SUMIFS(SSP2_Baseline!$E:$E,SSP2_Baseline!$C:$C,Results_list!$C$172,SSP2_Baseline!$D:$D,Results_list!$D184,SSP2_Baseline!$B:$B,2025))</f>
        <v>3.3083819821434879E-2</v>
      </c>
      <c r="Z79" s="16">
        <f>((SUMIFS(SSP2_VSI!$F:$F,SSP2_VSI!$C:$C,Results_list!$C$172,SSP2_VSI!$D:$D,Results_list!$D184,SSP2_VSI!$B:$B,2040)) - (SUMIFS(SSP2_VSI!$F:$F,SSP2_VSI!$C:$C,Results_list!$C$172,SSP2_VSI!$D:$D,Results_list!$D184,SSP2_VSI!$B:$B,2025))) / (SUMIFS(SSP2_VSI!$F:$F,SSP2_VSI!$C:$C,Results_list!$C$172,SSP2_VSI!$D:$D,Results_list!$D184,SSP2_VSI!$B:$B,2025))</f>
        <v>3.2958893373805163E-2</v>
      </c>
      <c r="AA79" s="13">
        <f t="shared" si="40"/>
        <v>0</v>
      </c>
      <c r="AB79" s="12">
        <f>((SUMIFS(SSP5_Baseline!$E:$E,SSP5_Baseline!$C:$C,Results_list!$C$172,SSP5_Baseline!$D:$D,Results_list!$D184,SSP5_Baseline!$B:$B,2040)) - (SUMIFS(SSP5_Baseline!$E:$E,SSP5_Baseline!$C:$C,Results_list!$C$172,SSP5_Baseline!$D:$D,Results_list!$D184,SSP5_Baseline!$B:$B,2025))) / (SUMIFS(SSP5_Baseline!$E:$E,SSP5_Baseline!$C:$C,Results_list!$C$172,SSP5_Baseline!$D:$D,Results_list!$D184,SSP5_Baseline!$B:$B,2025))</f>
        <v>-1.664888317315914E-3</v>
      </c>
      <c r="AC79" s="16">
        <f>((SUMIFS(SSP5_VSI!$F:$F,SSP5_VSI!$C:$C,Results_list!$C$172,SSP5_VSI!$D:$D,Results_list!$D184,SSP5_VSI!$B:$B,2040)) - (SUMIFS(SSP5_VSI!$F:$F,SSP5_VSI!$C:$C,Results_list!$C$172,SSP5_VSI!$D:$D,Results_list!$D184,SSP5_VSI!$B:$B,2025))) / (SUMIFS(SSP5_VSI!$F:$F,SSP5_VSI!$C:$C,Results_list!$C$172,SSP5_VSI!$D:$D,Results_list!$D184,SSP5_VSI!$B:$B,2025))</f>
        <v>-1.6152325012559778E-3</v>
      </c>
      <c r="AD79" s="13">
        <f t="shared" si="41"/>
        <v>0</v>
      </c>
      <c r="AF79" s="85"/>
      <c r="AG79" s="85"/>
      <c r="AH79" t="s">
        <v>51</v>
      </c>
      <c r="AJ79" s="3" t="s">
        <v>99</v>
      </c>
      <c r="AK79" s="12">
        <f>((SUMIFS(SSP1_Baseline!$E:$E,SSP1_Baseline!$C:$C,Results_list!$C$256,SSP1_Baseline!$D:$D,Results_list!$D79,SSP1_Baseline!$B:$B,2040)) - (SUMIFS(SSP1_Baseline!$E:$E,SSP1_Baseline!$C:$C,Results_list!$C$256,SSP1_Baseline!$D:$D,Results_list!$D79,SSP1_Baseline!$B:$B,2025))) / (SUMIFS(SSP1_Baseline!$E:$E,SSP1_Baseline!$C:$C,Results_list!$C$256,SSP1_Baseline!$D:$D,Results_list!$D79,SSP1_Baseline!$B:$B,2025))</f>
        <v>4.5428191406342699E-3</v>
      </c>
      <c r="AL79" s="16">
        <f>((SUMIFS(SSP1_VSI!$F:$F,SSP1_VSI!$C:$C,Results_list!$C$256,SSP1_VSI!$D:$D,Results_list!$D79,SSP1_VSI!$B:$B,2040)) - (SUMIFS(SSP1_VSI!$F:$F,SSP1_VSI!$C:$C,Results_list!$C$256,SSP1_VSI!$D:$D,Results_list!$D79,SSP1_VSI!$B:$B,2025))) / (SUMIFS(SSP1_VSI!$F:$F,SSP1_VSI!$C:$C,Results_list!$C$256,SSP1_VSI!$D:$D,Results_list!$D79,SSP1_VSI!$B:$B,2025))</f>
        <v>4.5427360585391591E-3</v>
      </c>
      <c r="AM79" s="13">
        <f t="shared" si="42"/>
        <v>0</v>
      </c>
      <c r="AN79" s="12">
        <f>((SUMIFS(SSP2_Baseline!$E:$E,SSP2_Baseline!$C:$C,Results_list!$C$256,SSP2_Baseline!$D:$D,Results_list!$D79,SSP2_Baseline!$B:$B,2040)) - (SUMIFS(SSP2_Baseline!$E:$E,SSP2_Baseline!$C:$C,Results_list!$C$256,SSP2_Baseline!$D:$D,Results_list!$D79,SSP2_Baseline!$B:$B,2025))) / (SUMIFS(SSP2_Baseline!$E:$E,SSP2_Baseline!$C:$C,Results_list!$C$256,SSP2_Baseline!$D:$D,Results_list!$D79,SSP2_Baseline!$B:$B,2025))</f>
        <v>5.8399338646977668E-3</v>
      </c>
      <c r="AO79" s="16">
        <f>((SUMIFS(SSP2_VSI!$F:$F,SSP2_VSI!$C:$C,Results_list!$C$256,SSP2_VSI!$D:$D,Results_list!$D79,SSP2_VSI!$B:$B,2040)) - (SUMIFS(SSP2_VSI!$F:$F,SSP2_VSI!$C:$C,Results_list!$C$256,SSP2_VSI!$D:$D,Results_list!$D79,SSP2_VSI!$B:$B,2025))) / (SUMIFS(SSP2_VSI!$F:$F,SSP2_VSI!$C:$C,Results_list!$C$256,SSP2_VSI!$D:$D,Results_list!$D79,SSP2_VSI!$B:$B,2025))</f>
        <v>5.8387744659449117E-3</v>
      </c>
      <c r="AP79" s="13">
        <f t="shared" si="43"/>
        <v>0</v>
      </c>
      <c r="AQ79" s="12">
        <f>((SUMIFS(SSP5_Baseline!$E:$E,SSP5_Baseline!$C:$C,Results_list!$C$256,SSP5_Baseline!$D:$D,Results_list!$D79,SSP5_Baseline!$B:$B,2040)) - (SUMIFS(SSP5_Baseline!$E:$E,SSP5_Baseline!$C:$C,Results_list!$C$256,SSP5_Baseline!$D:$D,Results_list!$D79,SSP5_Baseline!$B:$B,2025))) / (SUMIFS(SSP5_Baseline!$E:$E,SSP5_Baseline!$C:$C,Results_list!$C$256,SSP5_Baseline!$D:$D,Results_list!$D79,SSP5_Baseline!$B:$B,2025))</f>
        <v>1.4649454089013213E-3</v>
      </c>
      <c r="AR79" s="16">
        <f>((SUMIFS(SSP5_VSI!$F:$F,SSP5_VSI!$C:$C,Results_list!$C$256,SSP5_VSI!$D:$D,Results_list!$D79,SSP5_VSI!$B:$B,2040)) - (SUMIFS(SSP5_VSI!$F:$F,SSP5_VSI!$C:$C,Results_list!$C$256,SSP5_VSI!$D:$D,Results_list!$D79,SSP5_VSI!$B:$B,2025))) / (SUMIFS(SSP5_VSI!$F:$F,SSP5_VSI!$C:$C,Results_list!$C$256,SSP5_VSI!$D:$D,Results_list!$D79,SSP5_VSI!$B:$B,2025))</f>
        <v>1.465377716846312E-3</v>
      </c>
      <c r="AS79" s="13">
        <f t="shared" si="44"/>
        <v>0</v>
      </c>
      <c r="AU79" s="87"/>
      <c r="AV79" s="87"/>
      <c r="AW79" t="s">
        <v>51</v>
      </c>
      <c r="AY79" s="3" t="s">
        <v>99</v>
      </c>
      <c r="AZ79" s="12">
        <f>((SUMIFS(SSP1_Baseline!$E:$E,SSP1_Baseline!$C:$C,Results_list!$C$361,SSP1_Baseline!$D:$D,Results_list!$D79,SSP1_Baseline!$B:$B,2040)) - (SUMIFS(SSP1_Baseline!$E:$E,SSP1_Baseline!$C:$C,Results_list!$C$361,SSP1_Baseline!$D:$D,Results_list!$D79,SSP1_Baseline!$B:$B,2025))) / (SUMIFS(SSP1_Baseline!$E:$E,SSP1_Baseline!$C:$C,Results_list!$C$361,SSP1_Baseline!$D:$D,Results_list!$D79,SSP1_Baseline!$B:$B,2025))</f>
        <v>6.8320870605760531E-2</v>
      </c>
      <c r="BA79" s="16">
        <f>((SUMIFS(SSP1_VSI!$F:$F,SSP1_VSI!$C:$C,Results_list!$C$361,SSP1_VSI!$D:$D,Results_list!$D79,SSP1_VSI!$B:$B,2040)) - (SUMIFS(SSP1_VSI!$F:$F,SSP1_VSI!$C:$C,Results_list!$C$361,SSP1_VSI!$D:$D,Results_list!$D79,SSP1_VSI!$B:$B,2025))) / (SUMIFS(SSP1_VSI!$F:$F,SSP1_VSI!$C:$C,Results_list!$C$361,SSP1_VSI!$D:$D,Results_list!$D79,SSP1_VSI!$B:$B,2025))</f>
        <v>6.8313562057748065E-2</v>
      </c>
      <c r="BB79" s="13">
        <f t="shared" si="45"/>
        <v>0</v>
      </c>
      <c r="BC79" s="12">
        <f>((SUMIFS(SSP2_Baseline!$E:$E,SSP2_Baseline!$C:$C,Results_list!$C$361,SSP2_Baseline!$D:$D,Results_list!$D79,SSP2_Baseline!$B:$B,2040)) - (SUMIFS(SSP2_Baseline!$E:$E,SSP2_Baseline!$C:$C,Results_list!$C$361,SSP2_Baseline!$D:$D,Results_list!$D79,SSP2_Baseline!$B:$B,2025))) / (SUMIFS(SSP2_Baseline!$E:$E,SSP2_Baseline!$C:$C,Results_list!$C$361,SSP2_Baseline!$D:$D,Results_list!$D79,SSP2_Baseline!$B:$B,2025))</f>
        <v>6.1923345332926705E-2</v>
      </c>
      <c r="BD79" s="16">
        <f>((SUMIFS(SSP2_VSI!$F:$F,SSP2_VSI!$C:$C,Results_list!$C$361,SSP2_VSI!$D:$D,Results_list!$D79,SSP2_VSI!$B:$B,2040)) - (SUMIFS(SSP2_VSI!$F:$F,SSP2_VSI!$C:$C,Results_list!$C$361,SSP2_VSI!$D:$D,Results_list!$D79,SSP2_VSI!$B:$B,2025))) / (SUMIFS(SSP2_VSI!$F:$F,SSP2_VSI!$C:$C,Results_list!$C$361,SSP2_VSI!$D:$D,Results_list!$D79,SSP2_VSI!$B:$B,2025))</f>
        <v>6.1873632234036982E-2</v>
      </c>
      <c r="BE79" s="13">
        <f t="shared" si="46"/>
        <v>0</v>
      </c>
      <c r="BF79" s="12">
        <f>((SUMIFS(SSP5_Baseline!$E:$E,SSP5_Baseline!$C:$C,Results_list!$C$361,SSP5_Baseline!$D:$D,Results_list!$D79,SSP5_Baseline!$B:$B,2040)) - (SUMIFS(SSP5_Baseline!$E:$E,SSP5_Baseline!$C:$C,Results_list!$C$361,SSP5_Baseline!$D:$D,Results_list!$D79,SSP5_Baseline!$B:$B,2025))) / (SUMIFS(SSP5_Baseline!$E:$E,SSP5_Baseline!$C:$C,Results_list!$C$361,SSP5_Baseline!$D:$D,Results_list!$D79,SSP5_Baseline!$B:$B,2025))</f>
        <v>-4.7575382924413137E-3</v>
      </c>
      <c r="BG79" s="16">
        <f>((SUMIFS(SSP5_VSI!$F:$F,SSP5_VSI!$C:$C,Results_list!$C$361,SSP5_VSI!$D:$D,Results_list!$D79,SSP5_VSI!$B:$B,2040)) - (SUMIFS(SSP5_VSI!$F:$F,SSP5_VSI!$C:$C,Results_list!$C$361,SSP5_VSI!$D:$D,Results_list!$D79,SSP5_VSI!$B:$B,2025))) / (SUMIFS(SSP5_VSI!$F:$F,SSP5_VSI!$C:$C,Results_list!$C$361,SSP5_VSI!$D:$D,Results_list!$D79,SSP5_VSI!$B:$B,2025))</f>
        <v>-4.7384765864737196E-3</v>
      </c>
      <c r="BH79" s="13">
        <f t="shared" si="47"/>
        <v>0</v>
      </c>
    </row>
    <row r="80" spans="2:60" x14ac:dyDescent="0.35">
      <c r="B80" s="91"/>
      <c r="C80" s="91"/>
      <c r="D80" t="s">
        <v>52</v>
      </c>
      <c r="F80" s="3" t="s">
        <v>100</v>
      </c>
      <c r="G80" s="12">
        <f>((SUMIFS(SSP1_Baseline!$E:$E,SSP1_Baseline!$C:$C,Results_list!$C$67,SSP1_Baseline!$D:$D,Results_list!$D80,SSP1_Baseline!$B:$B,2040)) - (SUMIFS(SSP1_Baseline!$E:$E,SSP1_Baseline!$C:$C,Results_list!$C$67,SSP1_Baseline!$D:$D,Results_list!$D80,SSP1_Baseline!$B:$B,2025))) / (SUMIFS(SSP1_Baseline!$E:$E,SSP1_Baseline!$C:$C,Results_list!$C$67,SSP1_Baseline!$D:$D,Results_list!$D80,SSP1_Baseline!$B:$B,2025))</f>
        <v>-0.25428059795744157</v>
      </c>
      <c r="H80" s="16">
        <f>((SUMIFS(SSP1_VSI!$F:$F,SSP1_VSI!$C:$C,Results_list!$C$67,SSP1_VSI!$D:$D,Results_list!$D80,SSP1_VSI!$B:$B,2040)) - (SUMIFS(SSP1_VSI!$F:$F,SSP1_VSI!$C:$C,Results_list!$C$67,SSP1_VSI!$D:$D,Results_list!$D80,SSP1_VSI!$B:$B,2025))) / (SUMIFS(SSP1_VSI!$F:$F,SSP1_VSI!$C:$C,Results_list!$C$67,SSP1_VSI!$D:$D,Results_list!$D80,SSP1_VSI!$B:$B,2025))</f>
        <v>-0.25421353429629806</v>
      </c>
      <c r="I80" s="13">
        <f t="shared" si="36"/>
        <v>0</v>
      </c>
      <c r="J80" s="12">
        <f>((SUMIFS(SSP2_Baseline!$E:$E,SSP2_Baseline!$C:$C,Results_list!$C$67,SSP2_Baseline!$D:$D,Results_list!$D80,SSP2_Baseline!$B:$B,2040)) - (SUMIFS(SSP2_Baseline!$E:$E,SSP2_Baseline!$C:$C,Results_list!$C$67,SSP2_Baseline!$D:$D,Results_list!$D80,SSP2_Baseline!$B:$B,2025))) / (SUMIFS(SSP2_Baseline!$E:$E,SSP2_Baseline!$C:$C,Results_list!$C$67,SSP2_Baseline!$D:$D,Results_list!$D80,SSP2_Baseline!$B:$B,2025))</f>
        <v>-0.26325900665229868</v>
      </c>
      <c r="K80" s="16">
        <f>((SUMIFS(SSP2_VSI!$F:$F,SSP2_VSI!$C:$C,Results_list!$C$67,SSP2_VSI!$D:$D,Results_list!$D80,SSP2_VSI!$B:$B,2040)) - (SUMIFS(SSP2_VSI!$F:$F,SSP2_VSI!$C:$C,Results_list!$C$67,SSP2_VSI!$D:$D,Results_list!$D80,SSP2_VSI!$B:$B,2025))) / (SUMIFS(SSP2_VSI!$F:$F,SSP2_VSI!$C:$C,Results_list!$C$67,SSP2_VSI!$D:$D,Results_list!$D80,SSP2_VSI!$B:$B,2025))</f>
        <v>-0.26314677742033171</v>
      </c>
      <c r="L80" s="13">
        <f t="shared" si="37"/>
        <v>0</v>
      </c>
      <c r="M80" s="12">
        <f>((SUMIFS(SSP5_Baseline!$E:$E,SSP5_Baseline!$C:$C,Results_list!$C$67,SSP5_Baseline!$D:$D,Results_list!$D80,SSP5_Baseline!$B:$B,2040)) - (SUMIFS(SSP5_Baseline!$E:$E,SSP5_Baseline!$C:$C,Results_list!$C$67,SSP5_Baseline!$D:$D,Results_list!$D80,SSP5_Baseline!$B:$B,2025))) / (SUMIFS(SSP5_Baseline!$E:$E,SSP5_Baseline!$C:$C,Results_list!$C$67,SSP5_Baseline!$D:$D,Results_list!$D80,SSP5_Baseline!$B:$B,2025))</f>
        <v>-0.22432338631894552</v>
      </c>
      <c r="N80" s="16">
        <f>((SUMIFS(SSP5_VSI!$F:$F,SSP5_VSI!$C:$C,Results_list!$C$67,SSP5_VSI!$D:$D,Results_list!$D80,SSP5_VSI!$B:$B,2040)) - (SUMIFS(SSP5_VSI!$F:$F,SSP5_VSI!$C:$C,Results_list!$C$67,SSP5_VSI!$D:$D,Results_list!$D80,SSP5_VSI!$B:$B,2025))) / (SUMIFS(SSP5_VSI!$F:$F,SSP5_VSI!$C:$C,Results_list!$C$67,SSP5_VSI!$D:$D,Results_list!$D80,SSP5_VSI!$B:$B,2025))</f>
        <v>-0.22423495947435601</v>
      </c>
      <c r="O80" s="13">
        <f t="shared" si="38"/>
        <v>0</v>
      </c>
      <c r="Q80" s="91"/>
      <c r="R80" s="91"/>
      <c r="S80" t="s">
        <v>52</v>
      </c>
      <c r="U80" s="3" t="s">
        <v>100</v>
      </c>
      <c r="V80" s="12">
        <f>((SUMIFS(SSP1_Baseline!$E:$E,SSP1_Baseline!$C:$C,Results_list!$C$172,SSP1_Baseline!$D:$D,Results_list!$D185,SSP1_Baseline!$B:$B,2040)) - (SUMIFS(SSP1_Baseline!$E:$E,SSP1_Baseline!$C:$C,Results_list!$C$172,SSP1_Baseline!$D:$D,Results_list!$D185,SSP1_Baseline!$B:$B,2025))) / (SUMIFS(SSP1_Baseline!$E:$E,SSP1_Baseline!$C:$C,Results_list!$C$172,SSP1_Baseline!$D:$D,Results_list!$D185,SSP1_Baseline!$B:$B,2025))</f>
        <v>-2.8771972023571526E-2</v>
      </c>
      <c r="W80" s="16">
        <f>((SUMIFS(SSP1_VSI!$F:$F,SSP1_VSI!$C:$C,Results_list!$C$172,SSP1_VSI!$D:$D,Results_list!$D185,SSP1_VSI!$B:$B,2040)) - (SUMIFS(SSP1_VSI!$F:$F,SSP1_VSI!$C:$C,Results_list!$C$172,SSP1_VSI!$D:$D,Results_list!$D185,SSP1_VSI!$B:$B,2025))) / (SUMIFS(SSP1_VSI!$F:$F,SSP1_VSI!$C:$C,Results_list!$C$172,SSP1_VSI!$D:$D,Results_list!$D185,SSP1_VSI!$B:$B,2025))</f>
        <v>-2.8715410318225675E-2</v>
      </c>
      <c r="X80" s="13">
        <f t="shared" si="39"/>
        <v>0</v>
      </c>
      <c r="Y80" s="12">
        <f>((SUMIFS(SSP2_Baseline!$E:$E,SSP2_Baseline!$C:$C,Results_list!$C$172,SSP2_Baseline!$D:$D,Results_list!$D185,SSP2_Baseline!$B:$B,2040)) - (SUMIFS(SSP2_Baseline!$E:$E,SSP2_Baseline!$C:$C,Results_list!$C$172,SSP2_Baseline!$D:$D,Results_list!$D185,SSP2_Baseline!$B:$B,2025))) / (SUMIFS(SSP2_Baseline!$E:$E,SSP2_Baseline!$C:$C,Results_list!$C$172,SSP2_Baseline!$D:$D,Results_list!$D185,SSP2_Baseline!$B:$B,2025))</f>
        <v>-2.6210603987261525E-2</v>
      </c>
      <c r="Z80" s="16">
        <f>((SUMIFS(SSP2_VSI!$F:$F,SSP2_VSI!$C:$C,Results_list!$C$172,SSP2_VSI!$D:$D,Results_list!$D185,SSP2_VSI!$B:$B,2040)) - (SUMIFS(SSP2_VSI!$F:$F,SSP2_VSI!$C:$C,Results_list!$C$172,SSP2_VSI!$D:$D,Results_list!$D185,SSP2_VSI!$B:$B,2025))) / (SUMIFS(SSP2_VSI!$F:$F,SSP2_VSI!$C:$C,Results_list!$C$172,SSP2_VSI!$D:$D,Results_list!$D185,SSP2_VSI!$B:$B,2025))</f>
        <v>-2.6126373745802903E-2</v>
      </c>
      <c r="AA80" s="13">
        <f t="shared" si="40"/>
        <v>0</v>
      </c>
      <c r="AB80" s="12">
        <f>((SUMIFS(SSP5_Baseline!$E:$E,SSP5_Baseline!$C:$C,Results_list!$C$172,SSP5_Baseline!$D:$D,Results_list!$D185,SSP5_Baseline!$B:$B,2040)) - (SUMIFS(SSP5_Baseline!$E:$E,SSP5_Baseline!$C:$C,Results_list!$C$172,SSP5_Baseline!$D:$D,Results_list!$D185,SSP5_Baseline!$B:$B,2025))) / (SUMIFS(SSP5_Baseline!$E:$E,SSP5_Baseline!$C:$C,Results_list!$C$172,SSP5_Baseline!$D:$D,Results_list!$D185,SSP5_Baseline!$B:$B,2025))</f>
        <v>-2.6838670077501077E-2</v>
      </c>
      <c r="AC80" s="16">
        <f>((SUMIFS(SSP5_VSI!$F:$F,SSP5_VSI!$C:$C,Results_list!$C$172,SSP5_VSI!$D:$D,Results_list!$D185,SSP5_VSI!$B:$B,2040)) - (SUMIFS(SSP5_VSI!$F:$F,SSP5_VSI!$C:$C,Results_list!$C$172,SSP5_VSI!$D:$D,Results_list!$D185,SSP5_VSI!$B:$B,2025))) / (SUMIFS(SSP5_VSI!$F:$F,SSP5_VSI!$C:$C,Results_list!$C$172,SSP5_VSI!$D:$D,Results_list!$D185,SSP5_VSI!$B:$B,2025))</f>
        <v>-2.6778450995559228E-2</v>
      </c>
      <c r="AD80" s="13">
        <f t="shared" si="41"/>
        <v>0</v>
      </c>
      <c r="AF80" s="85"/>
      <c r="AG80" s="85"/>
      <c r="AH80" t="s">
        <v>52</v>
      </c>
      <c r="AJ80" s="3" t="s">
        <v>100</v>
      </c>
      <c r="AK80" s="12">
        <f>((SUMIFS(SSP1_Baseline!$E:$E,SSP1_Baseline!$C:$C,Results_list!$C$256,SSP1_Baseline!$D:$D,Results_list!$D80,SSP1_Baseline!$B:$B,2040)) - (SUMIFS(SSP1_Baseline!$E:$E,SSP1_Baseline!$C:$C,Results_list!$C$256,SSP1_Baseline!$D:$D,Results_list!$D80,SSP1_Baseline!$B:$B,2025))) / (SUMIFS(SSP1_Baseline!$E:$E,SSP1_Baseline!$C:$C,Results_list!$C$256,SSP1_Baseline!$D:$D,Results_list!$D80,SSP1_Baseline!$B:$B,2025))</f>
        <v>-0.35712064169475244</v>
      </c>
      <c r="AL80" s="16">
        <f>((SUMIFS(SSP1_VSI!$F:$F,SSP1_VSI!$C:$C,Results_list!$C$256,SSP1_VSI!$D:$D,Results_list!$D80,SSP1_VSI!$B:$B,2040)) - (SUMIFS(SSP1_VSI!$F:$F,SSP1_VSI!$C:$C,Results_list!$C$256,SSP1_VSI!$D:$D,Results_list!$D80,SSP1_VSI!$B:$B,2025))) / (SUMIFS(SSP1_VSI!$F:$F,SSP1_VSI!$C:$C,Results_list!$C$256,SSP1_VSI!$D:$D,Results_list!$D80,SSP1_VSI!$B:$B,2025))</f>
        <v>-0.35710936291973616</v>
      </c>
      <c r="AM80" s="13">
        <f t="shared" si="42"/>
        <v>0</v>
      </c>
      <c r="AN80" s="12">
        <f>((SUMIFS(SSP2_Baseline!$E:$E,SSP2_Baseline!$C:$C,Results_list!$C$256,SSP2_Baseline!$D:$D,Results_list!$D80,SSP2_Baseline!$B:$B,2040)) - (SUMIFS(SSP2_Baseline!$E:$E,SSP2_Baseline!$C:$C,Results_list!$C$256,SSP2_Baseline!$D:$D,Results_list!$D80,SSP2_Baseline!$B:$B,2025))) / (SUMIFS(SSP2_Baseline!$E:$E,SSP2_Baseline!$C:$C,Results_list!$C$256,SSP2_Baseline!$D:$D,Results_list!$D80,SSP2_Baseline!$B:$B,2025))</f>
        <v>-0.26434123707577839</v>
      </c>
      <c r="AO80" s="16">
        <f>((SUMIFS(SSP2_VSI!$F:$F,SSP2_VSI!$C:$C,Results_list!$C$256,SSP2_VSI!$D:$D,Results_list!$D80,SSP2_VSI!$B:$B,2040)) - (SUMIFS(SSP2_VSI!$F:$F,SSP2_VSI!$C:$C,Results_list!$C$256,SSP2_VSI!$D:$D,Results_list!$D80,SSP2_VSI!$B:$B,2025))) / (SUMIFS(SSP2_VSI!$F:$F,SSP2_VSI!$C:$C,Results_list!$C$256,SSP2_VSI!$D:$D,Results_list!$D80,SSP2_VSI!$B:$B,2025))</f>
        <v>-0.26431882799398237</v>
      </c>
      <c r="AP80" s="13">
        <f t="shared" si="43"/>
        <v>0</v>
      </c>
      <c r="AQ80" s="12">
        <f>((SUMIFS(SSP5_Baseline!$E:$E,SSP5_Baseline!$C:$C,Results_list!$C$256,SSP5_Baseline!$D:$D,Results_list!$D80,SSP5_Baseline!$B:$B,2040)) - (SUMIFS(SSP5_Baseline!$E:$E,SSP5_Baseline!$C:$C,Results_list!$C$256,SSP5_Baseline!$D:$D,Results_list!$D80,SSP5_Baseline!$B:$B,2025))) / (SUMIFS(SSP5_Baseline!$E:$E,SSP5_Baseline!$C:$C,Results_list!$C$256,SSP5_Baseline!$D:$D,Results_list!$D80,SSP5_Baseline!$B:$B,2025))</f>
        <v>-0.30253963224827801</v>
      </c>
      <c r="AR80" s="16">
        <f>((SUMIFS(SSP5_VSI!$F:$F,SSP5_VSI!$C:$C,Results_list!$C$256,SSP5_VSI!$D:$D,Results_list!$D80,SSP5_VSI!$B:$B,2040)) - (SUMIFS(SSP5_VSI!$F:$F,SSP5_VSI!$C:$C,Results_list!$C$256,SSP5_VSI!$D:$D,Results_list!$D80,SSP5_VSI!$B:$B,2025))) / (SUMIFS(SSP5_VSI!$F:$F,SSP5_VSI!$C:$C,Results_list!$C$256,SSP5_VSI!$D:$D,Results_list!$D80,SSP5_VSI!$B:$B,2025))</f>
        <v>-0.30252277332288918</v>
      </c>
      <c r="AS80" s="13">
        <f t="shared" si="44"/>
        <v>0</v>
      </c>
      <c r="AU80" s="87"/>
      <c r="AV80" s="87"/>
      <c r="AW80" t="s">
        <v>52</v>
      </c>
      <c r="AY80" s="3" t="s">
        <v>100</v>
      </c>
      <c r="AZ80" s="12">
        <f>((SUMIFS(SSP1_Baseline!$E:$E,SSP1_Baseline!$C:$C,Results_list!$C$361,SSP1_Baseline!$D:$D,Results_list!$D80,SSP1_Baseline!$B:$B,2040)) - (SUMIFS(SSP1_Baseline!$E:$E,SSP1_Baseline!$C:$C,Results_list!$C$361,SSP1_Baseline!$D:$D,Results_list!$D80,SSP1_Baseline!$B:$B,2025))) / (SUMIFS(SSP1_Baseline!$E:$E,SSP1_Baseline!$C:$C,Results_list!$C$361,SSP1_Baseline!$D:$D,Results_list!$D80,SSP1_Baseline!$B:$B,2025))</f>
        <v>-0.53462441183251908</v>
      </c>
      <c r="BA80" s="16">
        <f>((SUMIFS(SSP1_VSI!$F:$F,SSP1_VSI!$C:$C,Results_list!$C$361,SSP1_VSI!$D:$D,Results_list!$D80,SSP1_VSI!$B:$B,2040)) - (SUMIFS(SSP1_VSI!$F:$F,SSP1_VSI!$C:$C,Results_list!$C$361,SSP1_VSI!$D:$D,Results_list!$D80,SSP1_VSI!$B:$B,2025))) / (SUMIFS(SSP1_VSI!$F:$F,SSP1_VSI!$C:$C,Results_list!$C$361,SSP1_VSI!$D:$D,Results_list!$D80,SSP1_VSI!$B:$B,2025))</f>
        <v>-0.53461664575850898</v>
      </c>
      <c r="BB80" s="13">
        <f t="shared" si="45"/>
        <v>0</v>
      </c>
      <c r="BC80" s="12">
        <f>((SUMIFS(SSP2_Baseline!$E:$E,SSP2_Baseline!$C:$C,Results_list!$C$361,SSP2_Baseline!$D:$D,Results_list!$D80,SSP2_Baseline!$B:$B,2040)) - (SUMIFS(SSP2_Baseline!$E:$E,SSP2_Baseline!$C:$C,Results_list!$C$361,SSP2_Baseline!$D:$D,Results_list!$D80,SSP2_Baseline!$B:$B,2025))) / (SUMIFS(SSP2_Baseline!$E:$E,SSP2_Baseline!$C:$C,Results_list!$C$361,SSP2_Baseline!$D:$D,Results_list!$D80,SSP2_Baseline!$B:$B,2025))</f>
        <v>-0.54687829302566338</v>
      </c>
      <c r="BD80" s="16">
        <f>((SUMIFS(SSP2_VSI!$F:$F,SSP2_VSI!$C:$C,Results_list!$C$361,SSP2_VSI!$D:$D,Results_list!$D80,SSP2_VSI!$B:$B,2040)) - (SUMIFS(SSP2_VSI!$F:$F,SSP2_VSI!$C:$C,Results_list!$C$361,SSP2_VSI!$D:$D,Results_list!$D80,SSP2_VSI!$B:$B,2025))) / (SUMIFS(SSP2_VSI!$F:$F,SSP2_VSI!$C:$C,Results_list!$C$361,SSP2_VSI!$D:$D,Results_list!$D80,SSP2_VSI!$B:$B,2025))</f>
        <v>-0.54685572753807399</v>
      </c>
      <c r="BE80" s="13">
        <f t="shared" si="46"/>
        <v>0</v>
      </c>
      <c r="BF80" s="12">
        <f>((SUMIFS(SSP5_Baseline!$E:$E,SSP5_Baseline!$C:$C,Results_list!$C$361,SSP5_Baseline!$D:$D,Results_list!$D80,SSP5_Baseline!$B:$B,2040)) - (SUMIFS(SSP5_Baseline!$E:$E,SSP5_Baseline!$C:$C,Results_list!$C$361,SSP5_Baseline!$D:$D,Results_list!$D80,SSP5_Baseline!$B:$B,2025))) / (SUMIFS(SSP5_Baseline!$E:$E,SSP5_Baseline!$C:$C,Results_list!$C$361,SSP5_Baseline!$D:$D,Results_list!$D80,SSP5_Baseline!$B:$B,2025))</f>
        <v>-0.5111063810071993</v>
      </c>
      <c r="BG80" s="16">
        <f>((SUMIFS(SSP5_VSI!$F:$F,SSP5_VSI!$C:$C,Results_list!$C$361,SSP5_VSI!$D:$D,Results_list!$D80,SSP5_VSI!$B:$B,2040)) - (SUMIFS(SSP5_VSI!$F:$F,SSP5_VSI!$C:$C,Results_list!$C$361,SSP5_VSI!$D:$D,Results_list!$D80,SSP5_VSI!$B:$B,2025))) / (SUMIFS(SSP5_VSI!$F:$F,SSP5_VSI!$C:$C,Results_list!$C$361,SSP5_VSI!$D:$D,Results_list!$D80,SSP5_VSI!$B:$B,2025))</f>
        <v>-0.51108721742075147</v>
      </c>
      <c r="BH80" s="13">
        <f t="shared" si="47"/>
        <v>0</v>
      </c>
    </row>
    <row r="81" spans="2:60" x14ac:dyDescent="0.35">
      <c r="B81" s="91"/>
      <c r="C81" s="91"/>
      <c r="D81" t="s">
        <v>53</v>
      </c>
      <c r="F81" s="3" t="s">
        <v>101</v>
      </c>
      <c r="G81" s="12">
        <f>((SUMIFS(SSP1_Baseline!$E:$E,SSP1_Baseline!$C:$C,Results_list!$C$67,SSP1_Baseline!$D:$D,Results_list!$D81,SSP1_Baseline!$B:$B,2040)) - (SUMIFS(SSP1_Baseline!$E:$E,SSP1_Baseline!$C:$C,Results_list!$C$67,SSP1_Baseline!$D:$D,Results_list!$D81,SSP1_Baseline!$B:$B,2025))) / (SUMIFS(SSP1_Baseline!$E:$E,SSP1_Baseline!$C:$C,Results_list!$C$67,SSP1_Baseline!$D:$D,Results_list!$D81,SSP1_Baseline!$B:$B,2025))</f>
        <v>-9.6221849197131157E-2</v>
      </c>
      <c r="H81" s="16">
        <f>((SUMIFS(SSP1_VSI!$F:$F,SSP1_VSI!$C:$C,Results_list!$C$67,SSP1_VSI!$D:$D,Results_list!$D81,SSP1_VSI!$B:$B,2040)) - (SUMIFS(SSP1_VSI!$F:$F,SSP1_VSI!$C:$C,Results_list!$C$67,SSP1_VSI!$D:$D,Results_list!$D81,SSP1_VSI!$B:$B,2025))) / (SUMIFS(SSP1_VSI!$F:$F,SSP1_VSI!$C:$C,Results_list!$C$67,SSP1_VSI!$D:$D,Results_list!$D81,SSP1_VSI!$B:$B,2025))</f>
        <v>-9.6256784956822078E-2</v>
      </c>
      <c r="I81" s="13">
        <f t="shared" si="36"/>
        <v>0</v>
      </c>
      <c r="J81" s="12">
        <f>((SUMIFS(SSP2_Baseline!$E:$E,SSP2_Baseline!$C:$C,Results_list!$C$67,SSP2_Baseline!$D:$D,Results_list!$D81,SSP2_Baseline!$B:$B,2040)) - (SUMIFS(SSP2_Baseline!$E:$E,SSP2_Baseline!$C:$C,Results_list!$C$67,SSP2_Baseline!$D:$D,Results_list!$D81,SSP2_Baseline!$B:$B,2025))) / (SUMIFS(SSP2_Baseline!$E:$E,SSP2_Baseline!$C:$C,Results_list!$C$67,SSP2_Baseline!$D:$D,Results_list!$D81,SSP2_Baseline!$B:$B,2025))</f>
        <v>5.8455182426969086E-3</v>
      </c>
      <c r="K81" s="16">
        <f>((SUMIFS(SSP2_VSI!$F:$F,SSP2_VSI!$C:$C,Results_list!$C$67,SSP2_VSI!$D:$D,Results_list!$D81,SSP2_VSI!$B:$B,2040)) - (SUMIFS(SSP2_VSI!$F:$F,SSP2_VSI!$C:$C,Results_list!$C$67,SSP2_VSI!$D:$D,Results_list!$D81,SSP2_VSI!$B:$B,2025))) / (SUMIFS(SSP2_VSI!$F:$F,SSP2_VSI!$C:$C,Results_list!$C$67,SSP2_VSI!$D:$D,Results_list!$D81,SSP2_VSI!$B:$B,2025))</f>
        <v>5.863665459870329E-3</v>
      </c>
      <c r="L81" s="13">
        <f t="shared" si="37"/>
        <v>0</v>
      </c>
      <c r="M81" s="12">
        <f>((SUMIFS(SSP5_Baseline!$E:$E,SSP5_Baseline!$C:$C,Results_list!$C$67,SSP5_Baseline!$D:$D,Results_list!$D81,SSP5_Baseline!$B:$B,2040)) - (SUMIFS(SSP5_Baseline!$E:$E,SSP5_Baseline!$C:$C,Results_list!$C$67,SSP5_Baseline!$D:$D,Results_list!$D81,SSP5_Baseline!$B:$B,2025))) / (SUMIFS(SSP5_Baseline!$E:$E,SSP5_Baseline!$C:$C,Results_list!$C$67,SSP5_Baseline!$D:$D,Results_list!$D81,SSP5_Baseline!$B:$B,2025))</f>
        <v>-2.8172059293897017E-2</v>
      </c>
      <c r="N81" s="16">
        <f>((SUMIFS(SSP5_VSI!$F:$F,SSP5_VSI!$C:$C,Results_list!$C$67,SSP5_VSI!$D:$D,Results_list!$D81,SSP5_VSI!$B:$B,2040)) - (SUMIFS(SSP5_VSI!$F:$F,SSP5_VSI!$C:$C,Results_list!$C$67,SSP5_VSI!$D:$D,Results_list!$D81,SSP5_VSI!$B:$B,2025))) / (SUMIFS(SSP5_VSI!$F:$F,SSP5_VSI!$C:$C,Results_list!$C$67,SSP5_VSI!$D:$D,Results_list!$D81,SSP5_VSI!$B:$B,2025))</f>
        <v>-2.8152763796828659E-2</v>
      </c>
      <c r="O81" s="13">
        <f t="shared" si="38"/>
        <v>0</v>
      </c>
      <c r="Q81" s="91"/>
      <c r="R81" s="91"/>
      <c r="S81" t="s">
        <v>53</v>
      </c>
      <c r="U81" s="3" t="s">
        <v>101</v>
      </c>
      <c r="V81" s="12">
        <f>((SUMIFS(SSP1_Baseline!$E:$E,SSP1_Baseline!$C:$C,Results_list!$C$172,SSP1_Baseline!$D:$D,Results_list!$D186,SSP1_Baseline!$B:$B,2040)) - (SUMIFS(SSP1_Baseline!$E:$E,SSP1_Baseline!$C:$C,Results_list!$C$172,SSP1_Baseline!$D:$D,Results_list!$D186,SSP1_Baseline!$B:$B,2025))) / (SUMIFS(SSP1_Baseline!$E:$E,SSP1_Baseline!$C:$C,Results_list!$C$172,SSP1_Baseline!$D:$D,Results_list!$D186,SSP1_Baseline!$B:$B,2025))</f>
        <v>-7.2328050335532995E-2</v>
      </c>
      <c r="W81" s="16">
        <f>((SUMIFS(SSP1_VSI!$F:$F,SSP1_VSI!$C:$C,Results_list!$C$172,SSP1_VSI!$D:$D,Results_list!$D186,SSP1_VSI!$B:$B,2040)) - (SUMIFS(SSP1_VSI!$F:$F,SSP1_VSI!$C:$C,Results_list!$C$172,SSP1_VSI!$D:$D,Results_list!$D186,SSP1_VSI!$B:$B,2025))) / (SUMIFS(SSP1_VSI!$F:$F,SSP1_VSI!$C:$C,Results_list!$C$172,SSP1_VSI!$D:$D,Results_list!$D186,SSP1_VSI!$B:$B,2025))</f>
        <v>-7.2467331689571896E-2</v>
      </c>
      <c r="X81" s="13">
        <f t="shared" si="39"/>
        <v>0</v>
      </c>
      <c r="Y81" s="12">
        <f>((SUMIFS(SSP2_Baseline!$E:$E,SSP2_Baseline!$C:$C,Results_list!$C$172,SSP2_Baseline!$D:$D,Results_list!$D186,SSP2_Baseline!$B:$B,2040)) - (SUMIFS(SSP2_Baseline!$E:$E,SSP2_Baseline!$C:$C,Results_list!$C$172,SSP2_Baseline!$D:$D,Results_list!$D186,SSP2_Baseline!$B:$B,2025))) / (SUMIFS(SSP2_Baseline!$E:$E,SSP2_Baseline!$C:$C,Results_list!$C$172,SSP2_Baseline!$D:$D,Results_list!$D186,SSP2_Baseline!$B:$B,2025))</f>
        <v>-7.2405368368018475E-2</v>
      </c>
      <c r="Z81" s="16">
        <f>((SUMIFS(SSP2_VSI!$F:$F,SSP2_VSI!$C:$C,Results_list!$C$172,SSP2_VSI!$D:$D,Results_list!$D186,SSP2_VSI!$B:$B,2040)) - (SUMIFS(SSP2_VSI!$F:$F,SSP2_VSI!$C:$C,Results_list!$C$172,SSP2_VSI!$D:$D,Results_list!$D186,SSP2_VSI!$B:$B,2025))) / (SUMIFS(SSP2_VSI!$F:$F,SSP2_VSI!$C:$C,Results_list!$C$172,SSP2_VSI!$D:$D,Results_list!$D186,SSP2_VSI!$B:$B,2025))</f>
        <v>-7.2340625029323299E-2</v>
      </c>
      <c r="AA81" s="13">
        <f t="shared" si="40"/>
        <v>0</v>
      </c>
      <c r="AB81" s="12">
        <f>((SUMIFS(SSP5_Baseline!$E:$E,SSP5_Baseline!$C:$C,Results_list!$C$172,SSP5_Baseline!$D:$D,Results_list!$D186,SSP5_Baseline!$B:$B,2040)) - (SUMIFS(SSP5_Baseline!$E:$E,SSP5_Baseline!$C:$C,Results_list!$C$172,SSP5_Baseline!$D:$D,Results_list!$D186,SSP5_Baseline!$B:$B,2025))) / (SUMIFS(SSP5_Baseline!$E:$E,SSP5_Baseline!$C:$C,Results_list!$C$172,SSP5_Baseline!$D:$D,Results_list!$D186,SSP5_Baseline!$B:$B,2025))</f>
        <v>-2.0715359123670309E-2</v>
      </c>
      <c r="AC81" s="16">
        <f>((SUMIFS(SSP5_VSI!$F:$F,SSP5_VSI!$C:$C,Results_list!$C$172,SSP5_VSI!$D:$D,Results_list!$D186,SSP5_VSI!$B:$B,2040)) - (SUMIFS(SSP5_VSI!$F:$F,SSP5_VSI!$C:$C,Results_list!$C$172,SSP5_VSI!$D:$D,Results_list!$D186,SSP5_VSI!$B:$B,2025))) / (SUMIFS(SSP5_VSI!$F:$F,SSP5_VSI!$C:$C,Results_list!$C$172,SSP5_VSI!$D:$D,Results_list!$D186,SSP5_VSI!$B:$B,2025))</f>
        <v>-2.0651024627104931E-2</v>
      </c>
      <c r="AD81" s="13">
        <f t="shared" si="41"/>
        <v>0</v>
      </c>
      <c r="AF81" s="85"/>
      <c r="AG81" s="85"/>
      <c r="AH81" t="s">
        <v>53</v>
      </c>
      <c r="AJ81" s="3" t="s">
        <v>101</v>
      </c>
      <c r="AK81" s="12">
        <f>((SUMIFS(SSP1_Baseline!$E:$E,SSP1_Baseline!$C:$C,Results_list!$C$256,SSP1_Baseline!$D:$D,Results_list!$D81,SSP1_Baseline!$B:$B,2040)) - (SUMIFS(SSP1_Baseline!$E:$E,SSP1_Baseline!$C:$C,Results_list!$C$256,SSP1_Baseline!$D:$D,Results_list!$D81,SSP1_Baseline!$B:$B,2025))) / (SUMIFS(SSP1_Baseline!$E:$E,SSP1_Baseline!$C:$C,Results_list!$C$256,SSP1_Baseline!$D:$D,Results_list!$D81,SSP1_Baseline!$B:$B,2025))</f>
        <v>-0.13067785361742437</v>
      </c>
      <c r="AL81" s="16">
        <f>((SUMIFS(SSP1_VSI!$F:$F,SSP1_VSI!$C:$C,Results_list!$C$256,SSP1_VSI!$D:$D,Results_list!$D81,SSP1_VSI!$B:$B,2040)) - (SUMIFS(SSP1_VSI!$F:$F,SSP1_VSI!$C:$C,Results_list!$C$256,SSP1_VSI!$D:$D,Results_list!$D81,SSP1_VSI!$B:$B,2025))) / (SUMIFS(SSP1_VSI!$F:$F,SSP1_VSI!$C:$C,Results_list!$C$256,SSP1_VSI!$D:$D,Results_list!$D81,SSP1_VSI!$B:$B,2025))</f>
        <v>-0.13068927185452528</v>
      </c>
      <c r="AM81" s="13">
        <f t="shared" si="42"/>
        <v>0</v>
      </c>
      <c r="AN81" s="12">
        <f>((SUMIFS(SSP2_Baseline!$E:$E,SSP2_Baseline!$C:$C,Results_list!$C$256,SSP2_Baseline!$D:$D,Results_list!$D81,SSP2_Baseline!$B:$B,2040)) - (SUMIFS(SSP2_Baseline!$E:$E,SSP2_Baseline!$C:$C,Results_list!$C$256,SSP2_Baseline!$D:$D,Results_list!$D81,SSP2_Baseline!$B:$B,2025))) / (SUMIFS(SSP2_Baseline!$E:$E,SSP2_Baseline!$C:$C,Results_list!$C$256,SSP2_Baseline!$D:$D,Results_list!$D81,SSP2_Baseline!$B:$B,2025))</f>
        <v>2.1355585929414184E-2</v>
      </c>
      <c r="AO81" s="16">
        <f>((SUMIFS(SSP2_VSI!$F:$F,SSP2_VSI!$C:$C,Results_list!$C$256,SSP2_VSI!$D:$D,Results_list!$D81,SSP2_VSI!$B:$B,2040)) - (SUMIFS(SSP2_VSI!$F:$F,SSP2_VSI!$C:$C,Results_list!$C$256,SSP2_VSI!$D:$D,Results_list!$D81,SSP2_VSI!$B:$B,2025))) / (SUMIFS(SSP2_VSI!$F:$F,SSP2_VSI!$C:$C,Results_list!$C$256,SSP2_VSI!$D:$D,Results_list!$D81,SSP2_VSI!$B:$B,2025))</f>
        <v>2.1356266284593403E-2</v>
      </c>
      <c r="AP81" s="13">
        <f t="shared" si="43"/>
        <v>0</v>
      </c>
      <c r="AQ81" s="12">
        <f>((SUMIFS(SSP5_Baseline!$E:$E,SSP5_Baseline!$C:$C,Results_list!$C$256,SSP5_Baseline!$D:$D,Results_list!$D81,SSP5_Baseline!$B:$B,2040)) - (SUMIFS(SSP5_Baseline!$E:$E,SSP5_Baseline!$C:$C,Results_list!$C$256,SSP5_Baseline!$D:$D,Results_list!$D81,SSP5_Baseline!$B:$B,2025))) / (SUMIFS(SSP5_Baseline!$E:$E,SSP5_Baseline!$C:$C,Results_list!$C$256,SSP5_Baseline!$D:$D,Results_list!$D81,SSP5_Baseline!$B:$B,2025))</f>
        <v>4.5083523228592701E-2</v>
      </c>
      <c r="AR81" s="16">
        <f>((SUMIFS(SSP5_VSI!$F:$F,SSP5_VSI!$C:$C,Results_list!$C$256,SSP5_VSI!$D:$D,Results_list!$D81,SSP5_VSI!$B:$B,2040)) - (SUMIFS(SSP5_VSI!$F:$F,SSP5_VSI!$C:$C,Results_list!$C$256,SSP5_VSI!$D:$D,Results_list!$D81,SSP5_VSI!$B:$B,2025))) / (SUMIFS(SSP5_VSI!$F:$F,SSP5_VSI!$C:$C,Results_list!$C$256,SSP5_VSI!$D:$D,Results_list!$D81,SSP5_VSI!$B:$B,2025))</f>
        <v>4.5091011838779019E-2</v>
      </c>
      <c r="AS81" s="13">
        <f t="shared" si="44"/>
        <v>0</v>
      </c>
      <c r="AU81" s="87"/>
      <c r="AV81" s="87"/>
      <c r="AW81" t="s">
        <v>53</v>
      </c>
      <c r="AY81" s="3" t="s">
        <v>101</v>
      </c>
      <c r="AZ81" s="12">
        <f>((SUMIFS(SSP1_Baseline!$E:$E,SSP1_Baseline!$C:$C,Results_list!$C$361,SSP1_Baseline!$D:$D,Results_list!$D81,SSP1_Baseline!$B:$B,2040)) - (SUMIFS(SSP1_Baseline!$E:$E,SSP1_Baseline!$C:$C,Results_list!$C$361,SSP1_Baseline!$D:$D,Results_list!$D81,SSP1_Baseline!$B:$B,2025))) / (SUMIFS(SSP1_Baseline!$E:$E,SSP1_Baseline!$C:$C,Results_list!$C$361,SSP1_Baseline!$D:$D,Results_list!$D81,SSP1_Baseline!$B:$B,2025))</f>
        <v>-0.29647713107561291</v>
      </c>
      <c r="BA81" s="16">
        <f>((SUMIFS(SSP1_VSI!$F:$F,SSP1_VSI!$C:$C,Results_list!$C$361,SSP1_VSI!$D:$D,Results_list!$D81,SSP1_VSI!$B:$B,2040)) - (SUMIFS(SSP1_VSI!$F:$F,SSP1_VSI!$C:$C,Results_list!$C$361,SSP1_VSI!$D:$D,Results_list!$D81,SSP1_VSI!$B:$B,2025))) / (SUMIFS(SSP1_VSI!$F:$F,SSP1_VSI!$C:$C,Results_list!$C$361,SSP1_VSI!$D:$D,Results_list!$D81,SSP1_VSI!$B:$B,2025))</f>
        <v>-0.29653291923634428</v>
      </c>
      <c r="BB81" s="13">
        <f t="shared" si="45"/>
        <v>0</v>
      </c>
      <c r="BC81" s="12">
        <f>((SUMIFS(SSP2_Baseline!$E:$E,SSP2_Baseline!$C:$C,Results_list!$C$361,SSP2_Baseline!$D:$D,Results_list!$D81,SSP2_Baseline!$B:$B,2040)) - (SUMIFS(SSP2_Baseline!$E:$E,SSP2_Baseline!$C:$C,Results_list!$C$361,SSP2_Baseline!$D:$D,Results_list!$D81,SSP2_Baseline!$B:$B,2025))) / (SUMIFS(SSP2_Baseline!$E:$E,SSP2_Baseline!$C:$C,Results_list!$C$361,SSP2_Baseline!$D:$D,Results_list!$D81,SSP2_Baseline!$B:$B,2025))</f>
        <v>-0.29231841532990122</v>
      </c>
      <c r="BD81" s="16">
        <f>((SUMIFS(SSP2_VSI!$F:$F,SSP2_VSI!$C:$C,Results_list!$C$361,SSP2_VSI!$D:$D,Results_list!$D81,SSP2_VSI!$B:$B,2040)) - (SUMIFS(SSP2_VSI!$F:$F,SSP2_VSI!$C:$C,Results_list!$C$361,SSP2_VSI!$D:$D,Results_list!$D81,SSP2_VSI!$B:$B,2025))) / (SUMIFS(SSP2_VSI!$F:$F,SSP2_VSI!$C:$C,Results_list!$C$361,SSP2_VSI!$D:$D,Results_list!$D81,SSP2_VSI!$B:$B,2025))</f>
        <v>-0.29231970408750502</v>
      </c>
      <c r="BE81" s="13">
        <f t="shared" si="46"/>
        <v>0</v>
      </c>
      <c r="BF81" s="12">
        <f>((SUMIFS(SSP5_Baseline!$E:$E,SSP5_Baseline!$C:$C,Results_list!$C$361,SSP5_Baseline!$D:$D,Results_list!$D81,SSP5_Baseline!$B:$B,2040)) - (SUMIFS(SSP5_Baseline!$E:$E,SSP5_Baseline!$C:$C,Results_list!$C$361,SSP5_Baseline!$D:$D,Results_list!$D81,SSP5_Baseline!$B:$B,2025))) / (SUMIFS(SSP5_Baseline!$E:$E,SSP5_Baseline!$C:$C,Results_list!$C$361,SSP5_Baseline!$D:$D,Results_list!$D81,SSP5_Baseline!$B:$B,2025))</f>
        <v>9.7409446403383448E-2</v>
      </c>
      <c r="BG81" s="16">
        <f>((SUMIFS(SSP5_VSI!$F:$F,SSP5_VSI!$C:$C,Results_list!$C$361,SSP5_VSI!$D:$D,Results_list!$D81,SSP5_VSI!$B:$B,2040)) - (SUMIFS(SSP5_VSI!$F:$F,SSP5_VSI!$C:$C,Results_list!$C$361,SSP5_VSI!$D:$D,Results_list!$D81,SSP5_VSI!$B:$B,2025))) / (SUMIFS(SSP5_VSI!$F:$F,SSP5_VSI!$C:$C,Results_list!$C$361,SSP5_VSI!$D:$D,Results_list!$D81,SSP5_VSI!$B:$B,2025))</f>
        <v>9.743431841453655E-2</v>
      </c>
      <c r="BH81" s="13">
        <f t="shared" si="47"/>
        <v>0</v>
      </c>
    </row>
    <row r="82" spans="2:60" x14ac:dyDescent="0.35">
      <c r="B82" s="91"/>
      <c r="C82" s="91"/>
      <c r="D82" t="s">
        <v>54</v>
      </c>
      <c r="F82" s="3" t="s">
        <v>102</v>
      </c>
      <c r="G82" s="12">
        <f>((SUMIFS(SSP1_Baseline!$E:$E,SSP1_Baseline!$C:$C,Results_list!$C$67,SSP1_Baseline!$D:$D,Results_list!$D82,SSP1_Baseline!$B:$B,2040)) - (SUMIFS(SSP1_Baseline!$E:$E,SSP1_Baseline!$C:$C,Results_list!$C$67,SSP1_Baseline!$D:$D,Results_list!$D82,SSP1_Baseline!$B:$B,2025))) / (SUMIFS(SSP1_Baseline!$E:$E,SSP1_Baseline!$C:$C,Results_list!$C$67,SSP1_Baseline!$D:$D,Results_list!$D82,SSP1_Baseline!$B:$B,2025))</f>
        <v>1.0971405727822443E-3</v>
      </c>
      <c r="H82" s="16">
        <f>((SUMIFS(SSP1_VSI!$F:$F,SSP1_VSI!$C:$C,Results_list!$C$67,SSP1_VSI!$D:$D,Results_list!$D82,SSP1_VSI!$B:$B,2040)) - (SUMIFS(SSP1_VSI!$F:$F,SSP1_VSI!$C:$C,Results_list!$C$67,SSP1_VSI!$D:$D,Results_list!$D82,SSP1_VSI!$B:$B,2025))) / (SUMIFS(SSP1_VSI!$F:$F,SSP1_VSI!$C:$C,Results_list!$C$67,SSP1_VSI!$D:$D,Results_list!$D82,SSP1_VSI!$B:$B,2025))</f>
        <v>1.0971226416046785E-3</v>
      </c>
      <c r="I82" s="13">
        <f t="shared" si="36"/>
        <v>0</v>
      </c>
      <c r="J82" s="12">
        <f>((SUMIFS(SSP2_Baseline!$E:$E,SSP2_Baseline!$C:$C,Results_list!$C$67,SSP2_Baseline!$D:$D,Results_list!$D82,SSP2_Baseline!$B:$B,2040)) - (SUMIFS(SSP2_Baseline!$E:$E,SSP2_Baseline!$C:$C,Results_list!$C$67,SSP2_Baseline!$D:$D,Results_list!$D82,SSP2_Baseline!$B:$B,2025))) / (SUMIFS(SSP2_Baseline!$E:$E,SSP2_Baseline!$C:$C,Results_list!$C$67,SSP2_Baseline!$D:$D,Results_list!$D82,SSP2_Baseline!$B:$B,2025))</f>
        <v>2.8183917812420532E-3</v>
      </c>
      <c r="K82" s="16">
        <f>((SUMIFS(SSP2_VSI!$F:$F,SSP2_VSI!$C:$C,Results_list!$C$67,SSP2_VSI!$D:$D,Results_list!$D82,SSP2_VSI!$B:$B,2040)) - (SUMIFS(SSP2_VSI!$F:$F,SSP2_VSI!$C:$C,Results_list!$C$67,SSP2_VSI!$D:$D,Results_list!$D82,SSP2_VSI!$B:$B,2025))) / (SUMIFS(SSP2_VSI!$F:$F,SSP2_VSI!$C:$C,Results_list!$C$67,SSP2_VSI!$D:$D,Results_list!$D82,SSP2_VSI!$B:$B,2025))</f>
        <v>2.8183984354136498E-3</v>
      </c>
      <c r="L82" s="13">
        <f t="shared" si="37"/>
        <v>0</v>
      </c>
      <c r="M82" s="12">
        <f>((SUMIFS(SSP5_Baseline!$E:$E,SSP5_Baseline!$C:$C,Results_list!$C$67,SSP5_Baseline!$D:$D,Results_list!$D82,SSP5_Baseline!$B:$B,2040)) - (SUMIFS(SSP5_Baseline!$E:$E,SSP5_Baseline!$C:$C,Results_list!$C$67,SSP5_Baseline!$D:$D,Results_list!$D82,SSP5_Baseline!$B:$B,2025))) / (SUMIFS(SSP5_Baseline!$E:$E,SSP5_Baseline!$C:$C,Results_list!$C$67,SSP5_Baseline!$D:$D,Results_list!$D82,SSP5_Baseline!$B:$B,2025))</f>
        <v>4.7673867068620182E-4</v>
      </c>
      <c r="N82" s="16">
        <f>((SUMIFS(SSP5_VSI!$F:$F,SSP5_VSI!$C:$C,Results_list!$C$67,SSP5_VSI!$D:$D,Results_list!$D82,SSP5_VSI!$B:$B,2040)) - (SUMIFS(SSP5_VSI!$F:$F,SSP5_VSI!$C:$C,Results_list!$C$67,SSP5_VSI!$D:$D,Results_list!$D82,SSP5_VSI!$B:$B,2025))) / (SUMIFS(SSP5_VSI!$F:$F,SSP5_VSI!$C:$C,Results_list!$C$67,SSP5_VSI!$D:$D,Results_list!$D82,SSP5_VSI!$B:$B,2025))</f>
        <v>4.7698684505489188E-4</v>
      </c>
      <c r="O82" s="13">
        <f t="shared" si="38"/>
        <v>0</v>
      </c>
      <c r="Q82" s="91"/>
      <c r="R82" s="91"/>
      <c r="S82" t="s">
        <v>54</v>
      </c>
      <c r="U82" s="3" t="s">
        <v>102</v>
      </c>
      <c r="V82" s="12">
        <f>((SUMIFS(SSP1_Baseline!$E:$E,SSP1_Baseline!$C:$C,Results_list!$C$172,SSP1_Baseline!$D:$D,Results_list!$D187,SSP1_Baseline!$B:$B,2040)) - (SUMIFS(SSP1_Baseline!$E:$E,SSP1_Baseline!$C:$C,Results_list!$C$172,SSP1_Baseline!$D:$D,Results_list!$D187,SSP1_Baseline!$B:$B,2025))) / (SUMIFS(SSP1_Baseline!$E:$E,SSP1_Baseline!$C:$C,Results_list!$C$172,SSP1_Baseline!$D:$D,Results_list!$D187,SSP1_Baseline!$B:$B,2025))</f>
        <v>4.9017537678486614E-3</v>
      </c>
      <c r="W82" s="16">
        <f>((SUMIFS(SSP1_VSI!$F:$F,SSP1_VSI!$C:$C,Results_list!$C$172,SSP1_VSI!$D:$D,Results_list!$D187,SSP1_VSI!$B:$B,2040)) - (SUMIFS(SSP1_VSI!$F:$F,SSP1_VSI!$C:$C,Results_list!$C$172,SSP1_VSI!$D:$D,Results_list!$D187,SSP1_VSI!$B:$B,2025))) / (SUMIFS(SSP1_VSI!$F:$F,SSP1_VSI!$C:$C,Results_list!$C$172,SSP1_VSI!$D:$D,Results_list!$D187,SSP1_VSI!$B:$B,2025))</f>
        <v>3.7164262716314978E-3</v>
      </c>
      <c r="X82" s="13">
        <f t="shared" si="39"/>
        <v>-1E-3</v>
      </c>
      <c r="Y82" s="12">
        <f>((SUMIFS(SSP2_Baseline!$E:$E,SSP2_Baseline!$C:$C,Results_list!$C$172,SSP2_Baseline!$D:$D,Results_list!$D187,SSP2_Baseline!$B:$B,2040)) - (SUMIFS(SSP2_Baseline!$E:$E,SSP2_Baseline!$C:$C,Results_list!$C$172,SSP2_Baseline!$D:$D,Results_list!$D187,SSP2_Baseline!$B:$B,2025))) / (SUMIFS(SSP2_Baseline!$E:$E,SSP2_Baseline!$C:$C,Results_list!$C$172,SSP2_Baseline!$D:$D,Results_list!$D187,SSP2_Baseline!$B:$B,2025))</f>
        <v>8.0789517703038858E-3</v>
      </c>
      <c r="Z82" s="16">
        <f>((SUMIFS(SSP2_VSI!$F:$F,SSP2_VSI!$C:$C,Results_list!$C$172,SSP2_VSI!$D:$D,Results_list!$D187,SSP2_VSI!$B:$B,2040)) - (SUMIFS(SSP2_VSI!$F:$F,SSP2_VSI!$C:$C,Results_list!$C$172,SSP2_VSI!$D:$D,Results_list!$D187,SSP2_VSI!$B:$B,2025))) / (SUMIFS(SSP2_VSI!$F:$F,SSP2_VSI!$C:$C,Results_list!$C$172,SSP2_VSI!$D:$D,Results_list!$D187,SSP2_VSI!$B:$B,2025))</f>
        <v>6.9005230807644754E-3</v>
      </c>
      <c r="AA82" s="13">
        <f t="shared" si="40"/>
        <v>0</v>
      </c>
      <c r="AB82" s="12">
        <f>((SUMIFS(SSP5_Baseline!$E:$E,SSP5_Baseline!$C:$C,Results_list!$C$172,SSP5_Baseline!$D:$D,Results_list!$D187,SSP5_Baseline!$B:$B,2040)) - (SUMIFS(SSP5_Baseline!$E:$E,SSP5_Baseline!$C:$C,Results_list!$C$172,SSP5_Baseline!$D:$D,Results_list!$D187,SSP5_Baseline!$B:$B,2025))) / (SUMIFS(SSP5_Baseline!$E:$E,SSP5_Baseline!$C:$C,Results_list!$C$172,SSP5_Baseline!$D:$D,Results_list!$D187,SSP5_Baseline!$B:$B,2025))</f>
        <v>8.5080006647160686E-3</v>
      </c>
      <c r="AC82" s="16">
        <f>((SUMIFS(SSP5_VSI!$F:$F,SSP5_VSI!$C:$C,Results_list!$C$172,SSP5_VSI!$D:$D,Results_list!$D187,SSP5_VSI!$B:$B,2040)) - (SUMIFS(SSP5_VSI!$F:$F,SSP5_VSI!$C:$C,Results_list!$C$172,SSP5_VSI!$D:$D,Results_list!$D187,SSP5_VSI!$B:$B,2025))) / (SUMIFS(SSP5_VSI!$F:$F,SSP5_VSI!$C:$C,Results_list!$C$172,SSP5_VSI!$D:$D,Results_list!$D187,SSP5_VSI!$B:$B,2025))</f>
        <v>7.3402653834331302E-3</v>
      </c>
      <c r="AD82" s="13">
        <f t="shared" si="41"/>
        <v>0</v>
      </c>
      <c r="AF82" s="85"/>
      <c r="AG82" s="85"/>
      <c r="AH82" t="s">
        <v>54</v>
      </c>
      <c r="AJ82" s="3" t="s">
        <v>102</v>
      </c>
      <c r="AK82" s="12">
        <f>((SUMIFS(SSP1_Baseline!$E:$E,SSP1_Baseline!$C:$C,Results_list!$C$256,SSP1_Baseline!$D:$D,Results_list!$D82,SSP1_Baseline!$B:$B,2040)) - (SUMIFS(SSP1_Baseline!$E:$E,SSP1_Baseline!$C:$C,Results_list!$C$256,SSP1_Baseline!$D:$D,Results_list!$D82,SSP1_Baseline!$B:$B,2025))) / (SUMIFS(SSP1_Baseline!$E:$E,SSP1_Baseline!$C:$C,Results_list!$C$256,SSP1_Baseline!$D:$D,Results_list!$D82,SSP1_Baseline!$B:$B,2025))</f>
        <v>0.13583393227734225</v>
      </c>
      <c r="AL82" s="16">
        <f>((SUMIFS(SSP1_VSI!$F:$F,SSP1_VSI!$C:$C,Results_list!$C$256,SSP1_VSI!$D:$D,Results_list!$D82,SSP1_VSI!$B:$B,2040)) - (SUMIFS(SSP1_VSI!$F:$F,SSP1_VSI!$C:$C,Results_list!$C$256,SSP1_VSI!$D:$D,Results_list!$D82,SSP1_VSI!$B:$B,2025))) / (SUMIFS(SSP1_VSI!$F:$F,SSP1_VSI!$C:$C,Results_list!$C$256,SSP1_VSI!$D:$D,Results_list!$D82,SSP1_VSI!$B:$B,2025))</f>
        <v>0.13583801552402899</v>
      </c>
      <c r="AM82" s="13">
        <f t="shared" si="42"/>
        <v>0</v>
      </c>
      <c r="AN82" s="12">
        <f>((SUMIFS(SSP2_Baseline!$E:$E,SSP2_Baseline!$C:$C,Results_list!$C$256,SSP2_Baseline!$D:$D,Results_list!$D82,SSP2_Baseline!$B:$B,2040)) - (SUMIFS(SSP2_Baseline!$E:$E,SSP2_Baseline!$C:$C,Results_list!$C$256,SSP2_Baseline!$D:$D,Results_list!$D82,SSP2_Baseline!$B:$B,2025))) / (SUMIFS(SSP2_Baseline!$E:$E,SSP2_Baseline!$C:$C,Results_list!$C$256,SSP2_Baseline!$D:$D,Results_list!$D82,SSP2_Baseline!$B:$B,2025))</f>
        <v>0.33568522387821453</v>
      </c>
      <c r="AO82" s="16">
        <f>((SUMIFS(SSP2_VSI!$F:$F,SSP2_VSI!$C:$C,Results_list!$C$256,SSP2_VSI!$D:$D,Results_list!$D82,SSP2_VSI!$B:$B,2040)) - (SUMIFS(SSP2_VSI!$F:$F,SSP2_VSI!$C:$C,Results_list!$C$256,SSP2_VSI!$D:$D,Results_list!$D82,SSP2_VSI!$B:$B,2025))) / (SUMIFS(SSP2_VSI!$F:$F,SSP2_VSI!$C:$C,Results_list!$C$256,SSP2_VSI!$D:$D,Results_list!$D82,SSP2_VSI!$B:$B,2025))</f>
        <v>0.33568695662172443</v>
      </c>
      <c r="AP82" s="13">
        <f t="shared" si="43"/>
        <v>0</v>
      </c>
      <c r="AQ82" s="12">
        <f>((SUMIFS(SSP5_Baseline!$E:$E,SSP5_Baseline!$C:$C,Results_list!$C$256,SSP5_Baseline!$D:$D,Results_list!$D82,SSP5_Baseline!$B:$B,2040)) - (SUMIFS(SSP5_Baseline!$E:$E,SSP5_Baseline!$C:$C,Results_list!$C$256,SSP5_Baseline!$D:$D,Results_list!$D82,SSP5_Baseline!$B:$B,2025))) / (SUMIFS(SSP5_Baseline!$E:$E,SSP5_Baseline!$C:$C,Results_list!$C$256,SSP5_Baseline!$D:$D,Results_list!$D82,SSP5_Baseline!$B:$B,2025))</f>
        <v>0.20370038325264722</v>
      </c>
      <c r="AR82" s="16">
        <f>((SUMIFS(SSP5_VSI!$F:$F,SSP5_VSI!$C:$C,Results_list!$C$256,SSP5_VSI!$D:$D,Results_list!$D82,SSP5_VSI!$B:$B,2040)) - (SUMIFS(SSP5_VSI!$F:$F,SSP5_VSI!$C:$C,Results_list!$C$256,SSP5_VSI!$D:$D,Results_list!$D82,SSP5_VSI!$B:$B,2025))) / (SUMIFS(SSP5_VSI!$F:$F,SSP5_VSI!$C:$C,Results_list!$C$256,SSP5_VSI!$D:$D,Results_list!$D82,SSP5_VSI!$B:$B,2025))</f>
        <v>0.20372511672629523</v>
      </c>
      <c r="AS82" s="13">
        <f t="shared" si="44"/>
        <v>0</v>
      </c>
      <c r="AU82" s="87"/>
      <c r="AV82" s="87"/>
      <c r="AW82" t="s">
        <v>54</v>
      </c>
      <c r="AY82" s="3" t="s">
        <v>102</v>
      </c>
      <c r="AZ82" s="12">
        <f>((SUMIFS(SSP1_Baseline!$E:$E,SSP1_Baseline!$C:$C,Results_list!$C$361,SSP1_Baseline!$D:$D,Results_list!$D82,SSP1_Baseline!$B:$B,2040)) - (SUMIFS(SSP1_Baseline!$E:$E,SSP1_Baseline!$C:$C,Results_list!$C$361,SSP1_Baseline!$D:$D,Results_list!$D82,SSP1_Baseline!$B:$B,2025))) / (SUMIFS(SSP1_Baseline!$E:$E,SSP1_Baseline!$C:$C,Results_list!$C$361,SSP1_Baseline!$D:$D,Results_list!$D82,SSP1_Baseline!$B:$B,2025))</f>
        <v>2.8790118559467565E-3</v>
      </c>
      <c r="BA82" s="16">
        <f>((SUMIFS(SSP1_VSI!$F:$F,SSP1_VSI!$C:$C,Results_list!$C$361,SSP1_VSI!$D:$D,Results_list!$D82,SSP1_VSI!$B:$B,2040)) - (SUMIFS(SSP1_VSI!$F:$F,SSP1_VSI!$C:$C,Results_list!$C$361,SSP1_VSI!$D:$D,Results_list!$D82,SSP1_VSI!$B:$B,2025))) / (SUMIFS(SSP1_VSI!$F:$F,SSP1_VSI!$C:$C,Results_list!$C$361,SSP1_VSI!$D:$D,Results_list!$D82,SSP1_VSI!$B:$B,2025))</f>
        <v>-4.8657691710907211E-2</v>
      </c>
      <c r="BB82" s="13">
        <f t="shared" si="45"/>
        <v>-5.1999999999999998E-2</v>
      </c>
      <c r="BC82" s="12">
        <f>((SUMIFS(SSP2_Baseline!$E:$E,SSP2_Baseline!$C:$C,Results_list!$C$361,SSP2_Baseline!$D:$D,Results_list!$D82,SSP2_Baseline!$B:$B,2040)) - (SUMIFS(SSP2_Baseline!$E:$E,SSP2_Baseline!$C:$C,Results_list!$C$361,SSP2_Baseline!$D:$D,Results_list!$D82,SSP2_Baseline!$B:$B,2025))) / (SUMIFS(SSP2_Baseline!$E:$E,SSP2_Baseline!$C:$C,Results_list!$C$361,SSP2_Baseline!$D:$D,Results_list!$D82,SSP2_Baseline!$B:$B,2025))</f>
        <v>5.4718784731419574E-3</v>
      </c>
      <c r="BD82" s="16">
        <f>((SUMIFS(SSP2_VSI!$F:$F,SSP2_VSI!$C:$C,Results_list!$C$361,SSP2_VSI!$D:$D,Results_list!$D82,SSP2_VSI!$B:$B,2040)) - (SUMIFS(SSP2_VSI!$F:$F,SSP2_VSI!$C:$C,Results_list!$C$361,SSP2_VSI!$D:$D,Results_list!$D82,SSP2_VSI!$B:$B,2025))) / (SUMIFS(SSP2_VSI!$F:$F,SSP2_VSI!$C:$C,Results_list!$C$361,SSP2_VSI!$D:$D,Results_list!$D82,SSP2_VSI!$B:$B,2025))</f>
        <v>-4.6254495961893523E-2</v>
      </c>
      <c r="BE82" s="13">
        <f t="shared" si="46"/>
        <v>-0.05</v>
      </c>
      <c r="BF82" s="12">
        <f>((SUMIFS(SSP5_Baseline!$E:$E,SSP5_Baseline!$C:$C,Results_list!$C$361,SSP5_Baseline!$D:$D,Results_list!$D82,SSP5_Baseline!$B:$B,2040)) - (SUMIFS(SSP5_Baseline!$E:$E,SSP5_Baseline!$C:$C,Results_list!$C$361,SSP5_Baseline!$D:$D,Results_list!$D82,SSP5_Baseline!$B:$B,2025))) / (SUMIFS(SSP5_Baseline!$E:$E,SSP5_Baseline!$C:$C,Results_list!$C$361,SSP5_Baseline!$D:$D,Results_list!$D82,SSP5_Baseline!$B:$B,2025))</f>
        <v>9.4991782266154751E-3</v>
      </c>
      <c r="BG82" s="16">
        <f>((SUMIFS(SSP5_VSI!$F:$F,SSP5_VSI!$C:$C,Results_list!$C$361,SSP5_VSI!$D:$D,Results_list!$D82,SSP5_VSI!$B:$B,2040)) - (SUMIFS(SSP5_VSI!$F:$F,SSP5_VSI!$C:$C,Results_list!$C$361,SSP5_VSI!$D:$D,Results_list!$D82,SSP5_VSI!$B:$B,2025))) / (SUMIFS(SSP5_VSI!$F:$F,SSP5_VSI!$C:$C,Results_list!$C$361,SSP5_VSI!$D:$D,Results_list!$D82,SSP5_VSI!$B:$B,2025))</f>
        <v>-4.2270306197787079E-2</v>
      </c>
      <c r="BH82" s="13">
        <f t="shared" si="47"/>
        <v>-0.05</v>
      </c>
    </row>
    <row r="83" spans="2:60" x14ac:dyDescent="0.35">
      <c r="B83" s="91"/>
      <c r="C83" s="91"/>
      <c r="D83" t="s">
        <v>55</v>
      </c>
      <c r="F83" s="3" t="s">
        <v>103</v>
      </c>
      <c r="G83" s="12">
        <f>((SUMIFS(SSP1_Baseline!$E:$E,SSP1_Baseline!$C:$C,Results_list!$C$67,SSP1_Baseline!$D:$D,Results_list!$D83,SSP1_Baseline!$B:$B,2040)) - (SUMIFS(SSP1_Baseline!$E:$E,SSP1_Baseline!$C:$C,Results_list!$C$67,SSP1_Baseline!$D:$D,Results_list!$D83,SSP1_Baseline!$B:$B,2025))) / (SUMIFS(SSP1_Baseline!$E:$E,SSP1_Baseline!$C:$C,Results_list!$C$67,SSP1_Baseline!$D:$D,Results_list!$D83,SSP1_Baseline!$B:$B,2025))</f>
        <v>1.1091303779144101E-3</v>
      </c>
      <c r="H83" s="16">
        <f>((SUMIFS(SSP1_VSI!$F:$F,SSP1_VSI!$C:$C,Results_list!$C$67,SSP1_VSI!$D:$D,Results_list!$D83,SSP1_VSI!$B:$B,2040)) - (SUMIFS(SSP1_VSI!$F:$F,SSP1_VSI!$C:$C,Results_list!$C$67,SSP1_VSI!$D:$D,Results_list!$D83,SSP1_VSI!$B:$B,2025))) / (SUMIFS(SSP1_VSI!$F:$F,SSP1_VSI!$C:$C,Results_list!$C$67,SSP1_VSI!$D:$D,Results_list!$D83,SSP1_VSI!$B:$B,2025))</f>
        <v>1.1090360309326287E-3</v>
      </c>
      <c r="I83" s="13">
        <f t="shared" si="36"/>
        <v>0</v>
      </c>
      <c r="J83" s="12">
        <f>((SUMIFS(SSP2_Baseline!$E:$E,SSP2_Baseline!$C:$C,Results_list!$C$67,SSP2_Baseline!$D:$D,Results_list!$D83,SSP2_Baseline!$B:$B,2040)) - (SUMIFS(SSP2_Baseline!$E:$E,SSP2_Baseline!$C:$C,Results_list!$C$67,SSP2_Baseline!$D:$D,Results_list!$D83,SSP2_Baseline!$B:$B,2025))) / (SUMIFS(SSP2_Baseline!$E:$E,SSP2_Baseline!$C:$C,Results_list!$C$67,SSP2_Baseline!$D:$D,Results_list!$D83,SSP2_Baseline!$B:$B,2025))</f>
        <v>2.8693424434802477E-3</v>
      </c>
      <c r="K83" s="16">
        <f>((SUMIFS(SSP2_VSI!$F:$F,SSP2_VSI!$C:$C,Results_list!$C$67,SSP2_VSI!$D:$D,Results_list!$D83,SSP2_VSI!$B:$B,2040)) - (SUMIFS(SSP2_VSI!$F:$F,SSP2_VSI!$C:$C,Results_list!$C$67,SSP2_VSI!$D:$D,Results_list!$D83,SSP2_VSI!$B:$B,2025))) / (SUMIFS(SSP2_VSI!$F:$F,SSP2_VSI!$C:$C,Results_list!$C$67,SSP2_VSI!$D:$D,Results_list!$D83,SSP2_VSI!$B:$B,2025))</f>
        <v>2.8691735460649524E-3</v>
      </c>
      <c r="L83" s="13">
        <f t="shared" si="37"/>
        <v>0</v>
      </c>
      <c r="M83" s="12">
        <f>((SUMIFS(SSP5_Baseline!$E:$E,SSP5_Baseline!$C:$C,Results_list!$C$67,SSP5_Baseline!$D:$D,Results_list!$D83,SSP5_Baseline!$B:$B,2040)) - (SUMIFS(SSP5_Baseline!$E:$E,SSP5_Baseline!$C:$C,Results_list!$C$67,SSP5_Baseline!$D:$D,Results_list!$D83,SSP5_Baseline!$B:$B,2025))) / (SUMIFS(SSP5_Baseline!$E:$E,SSP5_Baseline!$C:$C,Results_list!$C$67,SSP5_Baseline!$D:$D,Results_list!$D83,SSP5_Baseline!$B:$B,2025))</f>
        <v>4.0101137603657579E-4</v>
      </c>
      <c r="N83" s="16">
        <f>((SUMIFS(SSP5_VSI!$F:$F,SSP5_VSI!$C:$C,Results_list!$C$67,SSP5_VSI!$D:$D,Results_list!$D83,SSP5_VSI!$B:$B,2040)) - (SUMIFS(SSP5_VSI!$F:$F,SSP5_VSI!$C:$C,Results_list!$C$67,SSP5_VSI!$D:$D,Results_list!$D83,SSP5_VSI!$B:$B,2025))) / (SUMIFS(SSP5_VSI!$F:$F,SSP5_VSI!$C:$C,Results_list!$C$67,SSP5_VSI!$D:$D,Results_list!$D83,SSP5_VSI!$B:$B,2025))</f>
        <v>4.0120834935407069E-4</v>
      </c>
      <c r="O83" s="13">
        <f t="shared" si="38"/>
        <v>0</v>
      </c>
      <c r="Q83" s="91"/>
      <c r="R83" s="91"/>
      <c r="S83" t="s">
        <v>55</v>
      </c>
      <c r="U83" s="3" t="s">
        <v>103</v>
      </c>
      <c r="V83" s="12">
        <f>((SUMIFS(SSP1_Baseline!$E:$E,SSP1_Baseline!$C:$C,Results_list!$C$172,SSP1_Baseline!$D:$D,Results_list!$D188,SSP1_Baseline!$B:$B,2040)) - (SUMIFS(SSP1_Baseline!$E:$E,SSP1_Baseline!$C:$C,Results_list!$C$172,SSP1_Baseline!$D:$D,Results_list!$D188,SSP1_Baseline!$B:$B,2025))) / (SUMIFS(SSP1_Baseline!$E:$E,SSP1_Baseline!$C:$C,Results_list!$C$172,SSP1_Baseline!$D:$D,Results_list!$D188,SSP1_Baseline!$B:$B,2025))</f>
        <v>4.415485896994917E-3</v>
      </c>
      <c r="W83" s="16">
        <f>((SUMIFS(SSP1_VSI!$F:$F,SSP1_VSI!$C:$C,Results_list!$C$172,SSP1_VSI!$D:$D,Results_list!$D188,SSP1_VSI!$B:$B,2040)) - (SUMIFS(SSP1_VSI!$F:$F,SSP1_VSI!$C:$C,Results_list!$C$172,SSP1_VSI!$D:$D,Results_list!$D188,SSP1_VSI!$B:$B,2025))) / (SUMIFS(SSP1_VSI!$F:$F,SSP1_VSI!$C:$C,Results_list!$C$172,SSP1_VSI!$D:$D,Results_list!$D188,SSP1_VSI!$B:$B,2025))</f>
        <v>-5.4050474623325247E-2</v>
      </c>
      <c r="X83" s="13">
        <f t="shared" si="39"/>
        <v>-5.8000000000000003E-2</v>
      </c>
      <c r="Y83" s="12">
        <f>((SUMIFS(SSP2_Baseline!$E:$E,SSP2_Baseline!$C:$C,Results_list!$C$172,SSP2_Baseline!$D:$D,Results_list!$D188,SSP2_Baseline!$B:$B,2040)) - (SUMIFS(SSP2_Baseline!$E:$E,SSP2_Baseline!$C:$C,Results_list!$C$172,SSP2_Baseline!$D:$D,Results_list!$D188,SSP2_Baseline!$B:$B,2025))) / (SUMIFS(SSP2_Baseline!$E:$E,SSP2_Baseline!$C:$C,Results_list!$C$172,SSP2_Baseline!$D:$D,Results_list!$D188,SSP2_Baseline!$B:$B,2025))</f>
        <v>7.3373827214629171E-3</v>
      </c>
      <c r="Z83" s="16">
        <f>((SUMIFS(SSP2_VSI!$F:$F,SSP2_VSI!$C:$C,Results_list!$C$172,SSP2_VSI!$D:$D,Results_list!$D188,SSP2_VSI!$B:$B,2040)) - (SUMIFS(SSP2_VSI!$F:$F,SSP2_VSI!$C:$C,Results_list!$C$172,SSP2_VSI!$D:$D,Results_list!$D188,SSP2_VSI!$B:$B,2025))) / (SUMIFS(SSP2_VSI!$F:$F,SSP2_VSI!$C:$C,Results_list!$C$172,SSP2_VSI!$D:$D,Results_list!$D188,SSP2_VSI!$B:$B,2025))</f>
        <v>-5.1278635592388266E-2</v>
      </c>
      <c r="AA83" s="13">
        <f t="shared" si="40"/>
        <v>-0.06</v>
      </c>
      <c r="AB83" s="12">
        <f>((SUMIFS(SSP5_Baseline!$E:$E,SSP5_Baseline!$C:$C,Results_list!$C$172,SSP5_Baseline!$D:$D,Results_list!$D188,SSP5_Baseline!$B:$B,2040)) - (SUMIFS(SSP5_Baseline!$E:$E,SSP5_Baseline!$C:$C,Results_list!$C$172,SSP5_Baseline!$D:$D,Results_list!$D188,SSP5_Baseline!$B:$B,2025))) / (SUMIFS(SSP5_Baseline!$E:$E,SSP5_Baseline!$C:$C,Results_list!$C$172,SSP5_Baseline!$D:$D,Results_list!$D188,SSP5_Baseline!$B:$B,2025))</f>
        <v>7.4677395359472676E-3</v>
      </c>
      <c r="AC83" s="16">
        <f>((SUMIFS(SSP5_VSI!$F:$F,SSP5_VSI!$C:$C,Results_list!$C$172,SSP5_VSI!$D:$D,Results_list!$D188,SSP5_VSI!$B:$B,2040)) - (SUMIFS(SSP5_VSI!$F:$F,SSP5_VSI!$C:$C,Results_list!$C$172,SSP5_VSI!$D:$D,Results_list!$D188,SSP5_VSI!$B:$B,2025))) / (SUMIFS(SSP5_VSI!$F:$F,SSP5_VSI!$C:$C,Results_list!$C$172,SSP5_VSI!$D:$D,Results_list!$D188,SSP5_VSI!$B:$B,2025))</f>
        <v>-5.1168794466019289E-2</v>
      </c>
      <c r="AD83" s="13">
        <f t="shared" si="41"/>
        <v>-0.06</v>
      </c>
      <c r="AF83" s="85"/>
      <c r="AG83" s="85"/>
      <c r="AH83" t="s">
        <v>55</v>
      </c>
      <c r="AJ83" s="3" t="s">
        <v>103</v>
      </c>
      <c r="AK83" s="12">
        <f>((SUMIFS(SSP1_Baseline!$E:$E,SSP1_Baseline!$C:$C,Results_list!$C$256,SSP1_Baseline!$D:$D,Results_list!$D83,SSP1_Baseline!$B:$B,2040)) - (SUMIFS(SSP1_Baseline!$E:$E,SSP1_Baseline!$C:$C,Results_list!$C$256,SSP1_Baseline!$D:$D,Results_list!$D83,SSP1_Baseline!$B:$B,2025))) / (SUMIFS(SSP1_Baseline!$E:$E,SSP1_Baseline!$C:$C,Results_list!$C$256,SSP1_Baseline!$D:$D,Results_list!$D83,SSP1_Baseline!$B:$B,2025))</f>
        <v>0.13738385539652037</v>
      </c>
      <c r="AL83" s="16">
        <f>((SUMIFS(SSP1_VSI!$F:$F,SSP1_VSI!$C:$C,Results_list!$C$256,SSP1_VSI!$D:$D,Results_list!$D83,SSP1_VSI!$B:$B,2040)) - (SUMIFS(SSP1_VSI!$F:$F,SSP1_VSI!$C:$C,Results_list!$C$256,SSP1_VSI!$D:$D,Results_list!$D83,SSP1_VSI!$B:$B,2025))) / (SUMIFS(SSP1_VSI!$F:$F,SSP1_VSI!$C:$C,Results_list!$C$256,SSP1_VSI!$D:$D,Results_list!$D83,SSP1_VSI!$B:$B,2025))</f>
        <v>0.13739186857349839</v>
      </c>
      <c r="AM83" s="13">
        <f t="shared" si="42"/>
        <v>0</v>
      </c>
      <c r="AN83" s="12">
        <f>((SUMIFS(SSP2_Baseline!$E:$E,SSP2_Baseline!$C:$C,Results_list!$C$256,SSP2_Baseline!$D:$D,Results_list!$D83,SSP2_Baseline!$B:$B,2040)) - (SUMIFS(SSP2_Baseline!$E:$E,SSP2_Baseline!$C:$C,Results_list!$C$256,SSP2_Baseline!$D:$D,Results_list!$D83,SSP2_Baseline!$B:$B,2025))) / (SUMIFS(SSP2_Baseline!$E:$E,SSP2_Baseline!$C:$C,Results_list!$C$256,SSP2_Baseline!$D:$D,Results_list!$D83,SSP2_Baseline!$B:$B,2025))</f>
        <v>0.33700578869002318</v>
      </c>
      <c r="AO83" s="16">
        <f>((SUMIFS(SSP2_VSI!$F:$F,SSP2_VSI!$C:$C,Results_list!$C$256,SSP2_VSI!$D:$D,Results_list!$D83,SSP2_VSI!$B:$B,2040)) - (SUMIFS(SSP2_VSI!$F:$F,SSP2_VSI!$C:$C,Results_list!$C$256,SSP2_VSI!$D:$D,Results_list!$D83,SSP2_VSI!$B:$B,2025))) / (SUMIFS(SSP2_VSI!$F:$F,SSP2_VSI!$C:$C,Results_list!$C$256,SSP2_VSI!$D:$D,Results_list!$D83,SSP2_VSI!$B:$B,2025))</f>
        <v>0.33700219089446382</v>
      </c>
      <c r="AP83" s="13">
        <f t="shared" si="43"/>
        <v>0</v>
      </c>
      <c r="AQ83" s="12">
        <f>((SUMIFS(SSP5_Baseline!$E:$E,SSP5_Baseline!$C:$C,Results_list!$C$256,SSP5_Baseline!$D:$D,Results_list!$D83,SSP5_Baseline!$B:$B,2040)) - (SUMIFS(SSP5_Baseline!$E:$E,SSP5_Baseline!$C:$C,Results_list!$C$256,SSP5_Baseline!$D:$D,Results_list!$D83,SSP5_Baseline!$B:$B,2025))) / (SUMIFS(SSP5_Baseline!$E:$E,SSP5_Baseline!$C:$C,Results_list!$C$256,SSP5_Baseline!$D:$D,Results_list!$D83,SSP5_Baseline!$B:$B,2025))</f>
        <v>0.19432040679361817</v>
      </c>
      <c r="AR83" s="16">
        <f>((SUMIFS(SSP5_VSI!$F:$F,SSP5_VSI!$C:$C,Results_list!$C$256,SSP5_VSI!$D:$D,Results_list!$D83,SSP5_VSI!$B:$B,2040)) - (SUMIFS(SSP5_VSI!$F:$F,SSP5_VSI!$C:$C,Results_list!$C$256,SSP5_VSI!$D:$D,Results_list!$D83,SSP5_VSI!$B:$B,2025))) / (SUMIFS(SSP5_VSI!$F:$F,SSP5_VSI!$C:$C,Results_list!$C$256,SSP5_VSI!$D:$D,Results_list!$D83,SSP5_VSI!$B:$B,2025))</f>
        <v>0.19435249612698491</v>
      </c>
      <c r="AS83" s="13">
        <f t="shared" si="44"/>
        <v>0</v>
      </c>
      <c r="AU83" s="87"/>
      <c r="AV83" s="87"/>
      <c r="AW83" t="s">
        <v>55</v>
      </c>
      <c r="AY83" s="3" t="s">
        <v>103</v>
      </c>
      <c r="AZ83" s="12">
        <f>((SUMIFS(SSP1_Baseline!$E:$E,SSP1_Baseline!$C:$C,Results_list!$C$361,SSP1_Baseline!$D:$D,Results_list!$D83,SSP1_Baseline!$B:$B,2040)) - (SUMIFS(SSP1_Baseline!$E:$E,SSP1_Baseline!$C:$C,Results_list!$C$361,SSP1_Baseline!$D:$D,Results_list!$D83,SSP1_Baseline!$B:$B,2025))) / (SUMIFS(SSP1_Baseline!$E:$E,SSP1_Baseline!$C:$C,Results_list!$C$361,SSP1_Baseline!$D:$D,Results_list!$D83,SSP1_Baseline!$B:$B,2025))</f>
        <v>-4.7461571247464076E-4</v>
      </c>
      <c r="BA83" s="16">
        <f>((SUMIFS(SSP1_VSI!$F:$F,SSP1_VSI!$C:$C,Results_list!$C$361,SSP1_VSI!$D:$D,Results_list!$D83,SSP1_VSI!$B:$B,2040)) - (SUMIFS(SSP1_VSI!$F:$F,SSP1_VSI!$C:$C,Results_list!$C$361,SSP1_VSI!$D:$D,Results_list!$D83,SSP1_VSI!$B:$B,2025))) / (SUMIFS(SSP1_VSI!$F:$F,SSP1_VSI!$C:$C,Results_list!$C$361,SSP1_VSI!$D:$D,Results_list!$D83,SSP1_VSI!$B:$B,2025))</f>
        <v>-7.775468426186162E-2</v>
      </c>
      <c r="BB83" s="13">
        <f t="shared" si="45"/>
        <v>-7.6999999999999999E-2</v>
      </c>
      <c r="BC83" s="12">
        <f>((SUMIFS(SSP2_Baseline!$E:$E,SSP2_Baseline!$C:$C,Results_list!$C$361,SSP2_Baseline!$D:$D,Results_list!$D83,SSP2_Baseline!$B:$B,2040)) - (SUMIFS(SSP2_Baseline!$E:$E,SSP2_Baseline!$C:$C,Results_list!$C$361,SSP2_Baseline!$D:$D,Results_list!$D83,SSP2_Baseline!$B:$B,2025))) / (SUMIFS(SSP2_Baseline!$E:$E,SSP2_Baseline!$C:$C,Results_list!$C$361,SSP2_Baseline!$D:$D,Results_list!$D83,SSP2_Baseline!$B:$B,2025))</f>
        <v>2.9006067221260917E-4</v>
      </c>
      <c r="BD83" s="16">
        <f>((SUMIFS(SSP2_VSI!$F:$F,SSP2_VSI!$C:$C,Results_list!$C$361,SSP2_VSI!$D:$D,Results_list!$D83,SSP2_VSI!$B:$B,2040)) - (SUMIFS(SSP2_VSI!$F:$F,SSP2_VSI!$C:$C,Results_list!$C$361,SSP2_VSI!$D:$D,Results_list!$D83,SSP2_VSI!$B:$B,2025))) / (SUMIFS(SSP2_VSI!$F:$F,SSP2_VSI!$C:$C,Results_list!$C$361,SSP2_VSI!$D:$D,Results_list!$D83,SSP2_VSI!$B:$B,2025))</f>
        <v>-7.7104638935279496E-2</v>
      </c>
      <c r="BE83" s="13">
        <f t="shared" si="46"/>
        <v>-0.08</v>
      </c>
      <c r="BF83" s="12">
        <f>((SUMIFS(SSP5_Baseline!$E:$E,SSP5_Baseline!$C:$C,Results_list!$C$361,SSP5_Baseline!$D:$D,Results_list!$D83,SSP5_Baseline!$B:$B,2040)) - (SUMIFS(SSP5_Baseline!$E:$E,SSP5_Baseline!$C:$C,Results_list!$C$361,SSP5_Baseline!$D:$D,Results_list!$D83,SSP5_Baseline!$B:$B,2025))) / (SUMIFS(SSP5_Baseline!$E:$E,SSP5_Baseline!$C:$C,Results_list!$C$361,SSP5_Baseline!$D:$D,Results_list!$D83,SSP5_Baseline!$B:$B,2025))</f>
        <v>3.5866470378264886E-3</v>
      </c>
      <c r="BG83" s="16">
        <f>((SUMIFS(SSP5_VSI!$F:$F,SSP5_VSI!$C:$C,Results_list!$C$361,SSP5_VSI!$D:$D,Results_list!$D83,SSP5_VSI!$B:$B,2040)) - (SUMIFS(SSP5_VSI!$F:$F,SSP5_VSI!$C:$C,Results_list!$C$361,SSP5_VSI!$D:$D,Results_list!$D83,SSP5_VSI!$B:$B,2025))) / (SUMIFS(SSP5_VSI!$F:$F,SSP5_VSI!$C:$C,Results_list!$C$361,SSP5_VSI!$D:$D,Results_list!$D83,SSP5_VSI!$B:$B,2025))</f>
        <v>-7.3871370765530575E-2</v>
      </c>
      <c r="BH83" s="13">
        <f t="shared" si="47"/>
        <v>-0.08</v>
      </c>
    </row>
    <row r="84" spans="2:60" x14ac:dyDescent="0.35">
      <c r="B84" s="92"/>
      <c r="C84" s="92"/>
      <c r="D84" s="20" t="s">
        <v>56</v>
      </c>
      <c r="F84" s="9" t="s">
        <v>104</v>
      </c>
      <c r="G84" s="14">
        <f>((SUMIFS(SSP1_Baseline!$E:$E,SSP1_Baseline!$C:$C,Results_list!$C$67,SSP1_Baseline!$D:$D,Results_list!$D84,SSP1_Baseline!$B:$B,2040)) - (SUMIFS(SSP1_Baseline!$E:$E,SSP1_Baseline!$C:$C,Results_list!$C$67,SSP1_Baseline!$D:$D,Results_list!$D84,SSP1_Baseline!$B:$B,2025))) / (SUMIFS(SSP1_Baseline!$E:$E,SSP1_Baseline!$C:$C,Results_list!$C$67,SSP1_Baseline!$D:$D,Results_list!$D84,SSP1_Baseline!$B:$B,2025))</f>
        <v>-0.19469800827884767</v>
      </c>
      <c r="H84" s="17">
        <f>((SUMIFS(SSP1_VSI!$F:$F,SSP1_VSI!$C:$C,Results_list!$C$67,SSP1_VSI!$D:$D,Results_list!$D84,SSP1_VSI!$B:$B,2040)) - (SUMIFS(SSP1_VSI!$F:$F,SSP1_VSI!$C:$C,Results_list!$C$67,SSP1_VSI!$D:$D,Results_list!$D84,SSP1_VSI!$B:$B,2025))) / (SUMIFS(SSP1_VSI!$F:$F,SSP1_VSI!$C:$C,Results_list!$C$67,SSP1_VSI!$D:$D,Results_list!$D84,SSP1_VSI!$B:$B,2025))</f>
        <v>-0.19470519153119026</v>
      </c>
      <c r="I84" s="15">
        <f t="shared" si="36"/>
        <v>0</v>
      </c>
      <c r="J84" s="14">
        <f>((SUMIFS(SSP2_Baseline!$E:$E,SSP2_Baseline!$C:$C,Results_list!$C$67,SSP2_Baseline!$D:$D,Results_list!$D84,SSP2_Baseline!$B:$B,2040)) - (SUMIFS(SSP2_Baseline!$E:$E,SSP2_Baseline!$C:$C,Results_list!$C$67,SSP2_Baseline!$D:$D,Results_list!$D84,SSP2_Baseline!$B:$B,2025))) / (SUMIFS(SSP2_Baseline!$E:$E,SSP2_Baseline!$C:$C,Results_list!$C$67,SSP2_Baseline!$D:$D,Results_list!$D84,SSP2_Baseline!$B:$B,2025))</f>
        <v>-0.2920838055257296</v>
      </c>
      <c r="K84" s="17">
        <f>((SUMIFS(SSP2_VSI!$F:$F,SSP2_VSI!$C:$C,Results_list!$C$67,SSP2_VSI!$D:$D,Results_list!$D84,SSP2_VSI!$B:$B,2040)) - (SUMIFS(SSP2_VSI!$F:$F,SSP2_VSI!$C:$C,Results_list!$C$67,SSP2_VSI!$D:$D,Results_list!$D84,SSP2_VSI!$B:$B,2025))) / (SUMIFS(SSP2_VSI!$F:$F,SSP2_VSI!$C:$C,Results_list!$C$67,SSP2_VSI!$D:$D,Results_list!$D84,SSP2_VSI!$B:$B,2025))</f>
        <v>-0.29210096384249568</v>
      </c>
      <c r="L84" s="15">
        <f t="shared" si="37"/>
        <v>0</v>
      </c>
      <c r="M84" s="14">
        <f>((SUMIFS(SSP5_Baseline!$E:$E,SSP5_Baseline!$C:$C,Results_list!$C$67,SSP5_Baseline!$D:$D,Results_list!$D84,SSP5_Baseline!$B:$B,2040)) - (SUMIFS(SSP5_Baseline!$E:$E,SSP5_Baseline!$C:$C,Results_list!$C$67,SSP5_Baseline!$D:$D,Results_list!$D84,SSP5_Baseline!$B:$B,2025))) / (SUMIFS(SSP5_Baseline!$E:$E,SSP5_Baseline!$C:$C,Results_list!$C$67,SSP5_Baseline!$D:$D,Results_list!$D84,SSP5_Baseline!$B:$B,2025))</f>
        <v>-6.3498098515477955E-2</v>
      </c>
      <c r="N84" s="17">
        <f>((SUMIFS(SSP5_VSI!$F:$F,SSP5_VSI!$C:$C,Results_list!$C$67,SSP5_VSI!$D:$D,Results_list!$D84,SSP5_VSI!$B:$B,2040)) - (SUMIFS(SSP5_VSI!$F:$F,SSP5_VSI!$C:$C,Results_list!$C$67,SSP5_VSI!$D:$D,Results_list!$D84,SSP5_VSI!$B:$B,2025))) / (SUMIFS(SSP5_VSI!$F:$F,SSP5_VSI!$C:$C,Results_list!$C$67,SSP5_VSI!$D:$D,Results_list!$D84,SSP5_VSI!$B:$B,2025))</f>
        <v>-6.3489033446124277E-2</v>
      </c>
      <c r="O84" s="15">
        <f t="shared" si="38"/>
        <v>0</v>
      </c>
      <c r="Q84" s="92"/>
      <c r="R84" s="92"/>
      <c r="S84" t="s">
        <v>56</v>
      </c>
      <c r="U84" s="9" t="s">
        <v>104</v>
      </c>
      <c r="V84" s="14">
        <f>((SUMIFS(SSP1_Baseline!$E:$E,SSP1_Baseline!$C:$C,Results_list!$C$172,SSP1_Baseline!$D:$D,Results_list!$D189,SSP1_Baseline!$B:$B,2040)) - (SUMIFS(SSP1_Baseline!$E:$E,SSP1_Baseline!$C:$C,Results_list!$C$172,SSP1_Baseline!$D:$D,Results_list!$D189,SSP1_Baseline!$B:$B,2025))) / (SUMIFS(SSP1_Baseline!$E:$E,SSP1_Baseline!$C:$C,Results_list!$C$172,SSP1_Baseline!$D:$D,Results_list!$D189,SSP1_Baseline!$B:$B,2025))</f>
        <v>-9.2782362716901517E-2</v>
      </c>
      <c r="W84" s="17">
        <f>((SUMIFS(SSP1_VSI!$F:$F,SSP1_VSI!$C:$C,Results_list!$C$172,SSP1_VSI!$D:$D,Results_list!$D189,SSP1_VSI!$B:$B,2040)) - (SUMIFS(SSP1_VSI!$F:$F,SSP1_VSI!$C:$C,Results_list!$C$172,SSP1_VSI!$D:$D,Results_list!$D189,SSP1_VSI!$B:$B,2025))) / (SUMIFS(SSP1_VSI!$F:$F,SSP1_VSI!$C:$C,Results_list!$C$172,SSP1_VSI!$D:$D,Results_list!$D189,SSP1_VSI!$B:$B,2025))</f>
        <v>-9.282944227706634E-2</v>
      </c>
      <c r="X84" s="15">
        <f t="shared" si="39"/>
        <v>0</v>
      </c>
      <c r="Y84" s="14">
        <f>((SUMIFS(SSP2_Baseline!$E:$E,SSP2_Baseline!$C:$C,Results_list!$C$172,SSP2_Baseline!$D:$D,Results_list!$D189,SSP2_Baseline!$B:$B,2040)) - (SUMIFS(SSP2_Baseline!$E:$E,SSP2_Baseline!$C:$C,Results_list!$C$172,SSP2_Baseline!$D:$D,Results_list!$D189,SSP2_Baseline!$B:$B,2025))) / (SUMIFS(SSP2_Baseline!$E:$E,SSP2_Baseline!$C:$C,Results_list!$C$172,SSP2_Baseline!$D:$D,Results_list!$D189,SSP2_Baseline!$B:$B,2025))</f>
        <v>-0.11155840089941758</v>
      </c>
      <c r="Z84" s="17">
        <f>((SUMIFS(SSP2_VSI!$F:$F,SSP2_VSI!$C:$C,Results_list!$C$172,SSP2_VSI!$D:$D,Results_list!$D189,SSP2_VSI!$B:$B,2040)) - (SUMIFS(SSP2_VSI!$F:$F,SSP2_VSI!$C:$C,Results_list!$C$172,SSP2_VSI!$D:$D,Results_list!$D189,SSP2_VSI!$B:$B,2025))) / (SUMIFS(SSP2_VSI!$F:$F,SSP2_VSI!$C:$C,Results_list!$C$172,SSP2_VSI!$D:$D,Results_list!$D189,SSP2_VSI!$B:$B,2025))</f>
        <v>-0.11157001350916999</v>
      </c>
      <c r="AA84" s="15">
        <f t="shared" si="40"/>
        <v>0</v>
      </c>
      <c r="AB84" s="14">
        <f>((SUMIFS(SSP5_Baseline!$E:$E,SSP5_Baseline!$C:$C,Results_list!$C$172,SSP5_Baseline!$D:$D,Results_list!$D189,SSP5_Baseline!$B:$B,2040)) - (SUMIFS(SSP5_Baseline!$E:$E,SSP5_Baseline!$C:$C,Results_list!$C$172,SSP5_Baseline!$D:$D,Results_list!$D189,SSP5_Baseline!$B:$B,2025))) / (SUMIFS(SSP5_Baseline!$E:$E,SSP5_Baseline!$C:$C,Results_list!$C$172,SSP5_Baseline!$D:$D,Results_list!$D189,SSP5_Baseline!$B:$B,2025))</f>
        <v>-5.3723508569788442E-2</v>
      </c>
      <c r="AC84" s="17">
        <f>((SUMIFS(SSP5_VSI!$F:$F,SSP5_VSI!$C:$C,Results_list!$C$172,SSP5_VSI!$D:$D,Results_list!$D189,SSP5_VSI!$B:$B,2040)) - (SUMIFS(SSP5_VSI!$F:$F,SSP5_VSI!$C:$C,Results_list!$C$172,SSP5_VSI!$D:$D,Results_list!$D189,SSP5_VSI!$B:$B,2025))) / (SUMIFS(SSP5_VSI!$F:$F,SSP5_VSI!$C:$C,Results_list!$C$172,SSP5_VSI!$D:$D,Results_list!$D189,SSP5_VSI!$B:$B,2025))</f>
        <v>-5.3710639782228932E-2</v>
      </c>
      <c r="AD84" s="15">
        <f t="shared" si="41"/>
        <v>0</v>
      </c>
      <c r="AF84" s="86"/>
      <c r="AG84" s="86"/>
      <c r="AH84" t="s">
        <v>56</v>
      </c>
      <c r="AJ84" s="9" t="s">
        <v>104</v>
      </c>
      <c r="AK84" s="14">
        <f>((SUMIFS(SSP1_Baseline!$E:$E,SSP1_Baseline!$C:$C,Results_list!$C$256,SSP1_Baseline!$D:$D,Results_list!$D84,SSP1_Baseline!$B:$B,2040)) - (SUMIFS(SSP1_Baseline!$E:$E,SSP1_Baseline!$C:$C,Results_list!$C$256,SSP1_Baseline!$D:$D,Results_list!$D84,SSP1_Baseline!$B:$B,2025))) / (SUMIFS(SSP1_Baseline!$E:$E,SSP1_Baseline!$C:$C,Results_list!$C$256,SSP1_Baseline!$D:$D,Results_list!$D84,SSP1_Baseline!$B:$B,2025))</f>
        <v>-0.20883947518762752</v>
      </c>
      <c r="AL84" s="17">
        <f>((SUMIFS(SSP1_VSI!$F:$F,SSP1_VSI!$C:$C,Results_list!$C$256,SSP1_VSI!$D:$D,Results_list!$D84,SSP1_VSI!$B:$B,2040)) - (SUMIFS(SSP1_VSI!$F:$F,SSP1_VSI!$C:$C,Results_list!$C$256,SSP1_VSI!$D:$D,Results_list!$D84,SSP1_VSI!$B:$B,2025))) / (SUMIFS(SSP1_VSI!$F:$F,SSP1_VSI!$C:$C,Results_list!$C$256,SSP1_VSI!$D:$D,Results_list!$D84,SSP1_VSI!$B:$B,2025))</f>
        <v>-0.20884070523393999</v>
      </c>
      <c r="AM84" s="15">
        <f t="shared" si="42"/>
        <v>0</v>
      </c>
      <c r="AN84" s="14">
        <f>((SUMIFS(SSP2_Baseline!$E:$E,SSP2_Baseline!$C:$C,Results_list!$C$256,SSP2_Baseline!$D:$D,Results_list!$D84,SSP2_Baseline!$B:$B,2040)) - (SUMIFS(SSP2_Baseline!$E:$E,SSP2_Baseline!$C:$C,Results_list!$C$256,SSP2_Baseline!$D:$D,Results_list!$D84,SSP2_Baseline!$B:$B,2025))) / (SUMIFS(SSP2_Baseline!$E:$E,SSP2_Baseline!$C:$C,Results_list!$C$256,SSP2_Baseline!$D:$D,Results_list!$D84,SSP2_Baseline!$B:$B,2025))</f>
        <v>-0.27215894178637795</v>
      </c>
      <c r="AO84" s="17">
        <f>((SUMIFS(SSP2_VSI!$F:$F,SSP2_VSI!$C:$C,Results_list!$C$256,SSP2_VSI!$D:$D,Results_list!$D84,SSP2_VSI!$B:$B,2040)) - (SUMIFS(SSP2_VSI!$F:$F,SSP2_VSI!$C:$C,Results_list!$C$256,SSP2_VSI!$D:$D,Results_list!$D84,SSP2_VSI!$B:$B,2025))) / (SUMIFS(SSP2_VSI!$F:$F,SSP2_VSI!$C:$C,Results_list!$C$256,SSP2_VSI!$D:$D,Results_list!$D84,SSP2_VSI!$B:$B,2025))</f>
        <v>-0.2721725629149041</v>
      </c>
      <c r="AP84" s="15">
        <f t="shared" si="43"/>
        <v>0</v>
      </c>
      <c r="AQ84" s="14">
        <f>((SUMIFS(SSP5_Baseline!$E:$E,SSP5_Baseline!$C:$C,Results_list!$C$256,SSP5_Baseline!$D:$D,Results_list!$D84,SSP5_Baseline!$B:$B,2040)) - (SUMIFS(SSP5_Baseline!$E:$E,SSP5_Baseline!$C:$C,Results_list!$C$256,SSP5_Baseline!$D:$D,Results_list!$D84,SSP5_Baseline!$B:$B,2025))) / (SUMIFS(SSP5_Baseline!$E:$E,SSP5_Baseline!$C:$C,Results_list!$C$256,SSP5_Baseline!$D:$D,Results_list!$D84,SSP5_Baseline!$B:$B,2025))</f>
        <v>-5.3551995906726713E-2</v>
      </c>
      <c r="AR84" s="17">
        <f>((SUMIFS(SSP5_VSI!$F:$F,SSP5_VSI!$C:$C,Results_list!$C$256,SSP5_VSI!$D:$D,Results_list!$D84,SSP5_VSI!$B:$B,2040)) - (SUMIFS(SSP5_VSI!$F:$F,SSP5_VSI!$C:$C,Results_list!$C$256,SSP5_VSI!$D:$D,Results_list!$D84,SSP5_VSI!$B:$B,2025))) / (SUMIFS(SSP5_VSI!$F:$F,SSP5_VSI!$C:$C,Results_list!$C$256,SSP5_VSI!$D:$D,Results_list!$D84,SSP5_VSI!$B:$B,2025))</f>
        <v>-5.3544997831887646E-2</v>
      </c>
      <c r="AS84" s="15">
        <f t="shared" si="44"/>
        <v>0</v>
      </c>
      <c r="AU84" s="88"/>
      <c r="AV84" s="88"/>
      <c r="AW84" s="20" t="s">
        <v>56</v>
      </c>
      <c r="AX84" s="20"/>
      <c r="AY84" s="9" t="s">
        <v>104</v>
      </c>
      <c r="AZ84" s="14">
        <f>((SUMIFS(SSP1_Baseline!$E:$E,SSP1_Baseline!$C:$C,Results_list!$C$361,SSP1_Baseline!$D:$D,Results_list!$D84,SSP1_Baseline!$B:$B,2040)) - (SUMIFS(SSP1_Baseline!$E:$E,SSP1_Baseline!$C:$C,Results_list!$C$361,SSP1_Baseline!$D:$D,Results_list!$D84,SSP1_Baseline!$B:$B,2025))) / (SUMIFS(SSP1_Baseline!$E:$E,SSP1_Baseline!$C:$C,Results_list!$C$361,SSP1_Baseline!$D:$D,Results_list!$D84,SSP1_Baseline!$B:$B,2025))</f>
        <v>-0.23119314437710625</v>
      </c>
      <c r="BA84" s="17">
        <f>((SUMIFS(SSP1_VSI!$F:$F,SSP1_VSI!$C:$C,Results_list!$C$361,SSP1_VSI!$D:$D,Results_list!$D84,SSP1_VSI!$B:$B,2040)) - (SUMIFS(SSP1_VSI!$F:$F,SSP1_VSI!$C:$C,Results_list!$C$361,SSP1_VSI!$D:$D,Results_list!$D84,SSP1_VSI!$B:$B,2025))) / (SUMIFS(SSP1_VSI!$F:$F,SSP1_VSI!$C:$C,Results_list!$C$361,SSP1_VSI!$D:$D,Results_list!$D84,SSP1_VSI!$B:$B,2025))</f>
        <v>-0.23121189527308639</v>
      </c>
      <c r="BB84" s="15">
        <f t="shared" si="45"/>
        <v>0</v>
      </c>
      <c r="BC84" s="14">
        <f>((SUMIFS(SSP2_Baseline!$E:$E,SSP2_Baseline!$C:$C,Results_list!$C$361,SSP2_Baseline!$D:$D,Results_list!$D84,SSP2_Baseline!$B:$B,2040)) - (SUMIFS(SSP2_Baseline!$E:$E,SSP2_Baseline!$C:$C,Results_list!$C$361,SSP2_Baseline!$D:$D,Results_list!$D84,SSP2_Baseline!$B:$B,2025))) / (SUMIFS(SSP2_Baseline!$E:$E,SSP2_Baseline!$C:$C,Results_list!$C$361,SSP2_Baseline!$D:$D,Results_list!$D84,SSP2_Baseline!$B:$B,2025))</f>
        <v>-0.2420494007634689</v>
      </c>
      <c r="BD84" s="17">
        <f>((SUMIFS(SSP2_VSI!$F:$F,SSP2_VSI!$C:$C,Results_list!$C$361,SSP2_VSI!$D:$D,Results_list!$D84,SSP2_VSI!$B:$B,2040)) - (SUMIFS(SSP2_VSI!$F:$F,SSP2_VSI!$C:$C,Results_list!$C$361,SSP2_VSI!$D:$D,Results_list!$D84,SSP2_VSI!$B:$B,2025))) / (SUMIFS(SSP2_VSI!$F:$F,SSP2_VSI!$C:$C,Results_list!$C$361,SSP2_VSI!$D:$D,Results_list!$D84,SSP2_VSI!$B:$B,2025))</f>
        <v>-0.242071910517206</v>
      </c>
      <c r="BE84" s="15">
        <f t="shared" si="46"/>
        <v>0</v>
      </c>
      <c r="BF84" s="14">
        <f>((SUMIFS(SSP5_Baseline!$E:$E,SSP5_Baseline!$C:$C,Results_list!$C$361,SSP5_Baseline!$D:$D,Results_list!$D84,SSP5_Baseline!$B:$B,2040)) - (SUMIFS(SSP5_Baseline!$E:$E,SSP5_Baseline!$C:$C,Results_list!$C$361,SSP5_Baseline!$D:$D,Results_list!$D84,SSP5_Baseline!$B:$B,2025))) / (SUMIFS(SSP5_Baseline!$E:$E,SSP5_Baseline!$C:$C,Results_list!$C$361,SSP5_Baseline!$D:$D,Results_list!$D84,SSP5_Baseline!$B:$B,2025))</f>
        <v>1.9784326194770933E-2</v>
      </c>
      <c r="BG84" s="17">
        <f>((SUMIFS(SSP5_VSI!$F:$F,SSP5_VSI!$C:$C,Results_list!$C$361,SSP5_VSI!$D:$D,Results_list!$D84,SSP5_VSI!$B:$B,2040)) - (SUMIFS(SSP5_VSI!$F:$F,SSP5_VSI!$C:$C,Results_list!$C$361,SSP5_VSI!$D:$D,Results_list!$D84,SSP5_VSI!$B:$B,2025))) / (SUMIFS(SSP5_VSI!$F:$F,SSP5_VSI!$C:$C,Results_list!$C$361,SSP5_VSI!$D:$D,Results_list!$D84,SSP5_VSI!$B:$B,2025))</f>
        <v>1.9802547298469524E-2</v>
      </c>
      <c r="BH84" s="15">
        <f t="shared" si="47"/>
        <v>0</v>
      </c>
    </row>
    <row r="85" spans="2:60" x14ac:dyDescent="0.35">
      <c r="J85" s="21"/>
      <c r="K85" s="21"/>
    </row>
    <row r="86" spans="2:60" x14ac:dyDescent="0.35">
      <c r="F86" s="2"/>
      <c r="G86" s="78" t="s">
        <v>3</v>
      </c>
      <c r="H86" s="79"/>
      <c r="I86" s="79"/>
      <c r="J86" s="79"/>
      <c r="K86" s="79"/>
      <c r="L86" s="79"/>
      <c r="M86" s="79"/>
      <c r="N86" s="79"/>
      <c r="O86" s="80"/>
      <c r="AJ86" s="2"/>
      <c r="AK86" s="78" t="s">
        <v>3</v>
      </c>
      <c r="AL86" s="79"/>
      <c r="AM86" s="79"/>
      <c r="AN86" s="79"/>
      <c r="AO86" s="79"/>
      <c r="AP86" s="79"/>
      <c r="AQ86" s="79"/>
      <c r="AR86" s="79"/>
      <c r="AS86" s="80"/>
      <c r="AY86" s="2"/>
      <c r="AZ86" s="93" t="s">
        <v>3</v>
      </c>
      <c r="BA86" s="94"/>
      <c r="BB86" s="94"/>
      <c r="BC86" s="94"/>
      <c r="BD86" s="94"/>
      <c r="BE86" s="94"/>
      <c r="BF86" s="94"/>
      <c r="BG86" s="94"/>
      <c r="BH86" s="95"/>
    </row>
    <row r="87" spans="2:60" ht="43.5" x14ac:dyDescent="0.35">
      <c r="B87" s="8" t="s">
        <v>30</v>
      </c>
      <c r="C87" s="8" t="s">
        <v>30</v>
      </c>
      <c r="D87" s="6" t="s">
        <v>106</v>
      </c>
      <c r="F87" s="7" t="s">
        <v>105</v>
      </c>
      <c r="G87" s="10" t="s">
        <v>0</v>
      </c>
      <c r="H87" s="11" t="s">
        <v>108</v>
      </c>
      <c r="I87" s="18" t="s">
        <v>107</v>
      </c>
      <c r="J87" s="10" t="s">
        <v>1</v>
      </c>
      <c r="K87" s="11" t="s">
        <v>109</v>
      </c>
      <c r="L87" s="18" t="s">
        <v>107</v>
      </c>
      <c r="M87" s="10" t="s">
        <v>2</v>
      </c>
      <c r="N87" s="11" t="s">
        <v>110</v>
      </c>
      <c r="O87" s="18" t="s">
        <v>107</v>
      </c>
      <c r="AF87" s="8" t="s">
        <v>30</v>
      </c>
      <c r="AG87" s="8" t="s">
        <v>30</v>
      </c>
      <c r="AH87" s="6" t="s">
        <v>106</v>
      </c>
      <c r="AJ87" s="7" t="s">
        <v>105</v>
      </c>
      <c r="AK87" s="10" t="s">
        <v>0</v>
      </c>
      <c r="AL87" s="11" t="s">
        <v>108</v>
      </c>
      <c r="AM87" s="18" t="s">
        <v>107</v>
      </c>
      <c r="AN87" s="10" t="s">
        <v>1</v>
      </c>
      <c r="AO87" s="11" t="s">
        <v>109</v>
      </c>
      <c r="AP87" s="18" t="s">
        <v>107</v>
      </c>
      <c r="AQ87" s="10" t="s">
        <v>2</v>
      </c>
      <c r="AR87" s="11" t="s">
        <v>110</v>
      </c>
      <c r="AS87" s="18" t="s">
        <v>107</v>
      </c>
      <c r="AU87" s="8" t="s">
        <v>30</v>
      </c>
      <c r="AV87" s="8" t="s">
        <v>30</v>
      </c>
      <c r="AW87" s="6" t="s">
        <v>106</v>
      </c>
      <c r="AX87" s="27"/>
      <c r="AY87" s="7" t="s">
        <v>105</v>
      </c>
      <c r="AZ87" s="10" t="s">
        <v>0</v>
      </c>
      <c r="BA87" s="11" t="s">
        <v>108</v>
      </c>
      <c r="BB87" s="18" t="s">
        <v>107</v>
      </c>
      <c r="BC87" s="10" t="s">
        <v>1</v>
      </c>
      <c r="BD87" s="11" t="s">
        <v>109</v>
      </c>
      <c r="BE87" s="18" t="s">
        <v>107</v>
      </c>
      <c r="BF87" s="10" t="s">
        <v>2</v>
      </c>
      <c r="BG87" s="11" t="s">
        <v>110</v>
      </c>
      <c r="BH87" s="18" t="s">
        <v>107</v>
      </c>
    </row>
    <row r="88" spans="2:60" x14ac:dyDescent="0.35">
      <c r="B88" s="91" t="s">
        <v>114</v>
      </c>
      <c r="C88" s="91" t="s">
        <v>59</v>
      </c>
      <c r="D88" s="22" t="s">
        <v>38</v>
      </c>
      <c r="F88" s="3" t="s">
        <v>87</v>
      </c>
      <c r="G88" s="12">
        <f>((SUMIFS(SSP1_Baseline!$E:$E,SSP1_Baseline!$C:$C,Results_list!$C$88,SSP1_Baseline!$D:$D,Results_list!$D88,SSP1_Baseline!$B:$B,2040))
- (SUMIFS(SSP1_Baseline!$E:$E,SSP1_Baseline!$C:$C,Results_list!$C$88,SSP1_Baseline!$D:$D,Results_list!$D88,SSP1_Baseline!$B:$B,2025)))
/ (SUMIFS(SSP1_Baseline!$E:$E,SSP1_Baseline!$C:$C,Results_list!$C$88,SSP1_Baseline!$D:$D,Results_list!$D88,SSP1_Baseline!$B:$B,2025))</f>
        <v>-0.12812473410894953</v>
      </c>
      <c r="H88" s="16">
        <f>((SUMIFS(SSP1_VSI!$F:$F,SSP1_VSI!$C:$C,Results_list!$C$88,SSP1_VSI!$D:$D,Results_list!$D88,SSP1_VSI!$B:$B,2040))
- (SUMIFS(SSP1_VSI!$F:$F,SSP1_VSI!$C:$C,Results_list!$C$88,SSP1_VSI!$D:$D,Results_list!$D88,SSP1_VSI!$B:$B,2025)))
/ (SUMIFS(SSP1_VSI!$F:$F,SSP1_VSI!$C:$C,Results_list!$C$88,SSP1_VSI!$D:$D,Results_list!$D88,SSP1_VSI!$B:$B,2025))</f>
        <v>-0.12813638023893908</v>
      </c>
      <c r="I88" s="19">
        <f>ROUND(H88-G88,3)</f>
        <v>0</v>
      </c>
      <c r="J88" s="12">
        <f>((SUMIFS(SSP2_Baseline!$E:$E,SSP2_Baseline!$C:$C,Results_list!$C$88,SSP2_Baseline!$D:$D,Results_list!$D88,SSP2_Baseline!$B:$B,2040))
- (SUMIFS(SSP2_Baseline!$E:$E,SSP2_Baseline!$C:$C,Results_list!$C$88,SSP2_Baseline!$D:$D,Results_list!$D88,SSP2_Baseline!$B:$B,2025)))
/ (SUMIFS(SSP2_Baseline!$E:$E,SSP2_Baseline!$C:$C,Results_list!$C$88,SSP2_Baseline!$D:$D,Results_list!$D88,SSP2_Baseline!$B:$B,2025))</f>
        <v>0.44897635748829989</v>
      </c>
      <c r="K88" s="16">
        <f>((SUMIFS(SSP2_VSI!$F:$F,SSP2_VSI!$C:$C,Results_list!$C$88,SSP2_VSI!$D:$D,Results_list!$D88,SSP2_VSI!$B:$B,2040))
- (SUMIFS(SSP2_VSI!$F:$F,SSP2_VSI!$C:$C,Results_list!$C$88,SSP2_VSI!$D:$D,Results_list!$D88,SSP2_VSI!$B:$B,2025)))
/ (SUMIFS(SSP2_VSI!$F:$F,SSP2_VSI!$C:$C,Results_list!$C$88,SSP2_VSI!$D:$D,Results_list!$D88,SSP2_VSI!$B:$B,2025))</f>
        <v>0.44888683677351493</v>
      </c>
      <c r="L88" s="19">
        <f>ROUND(K88-J88,2)</f>
        <v>0</v>
      </c>
      <c r="M88" s="12">
        <f>((SUMIFS(SSP5_Baseline!$E:$E,SSP5_Baseline!$C:$C,Results_list!$C$88,SSP5_Baseline!$D:$D,Results_list!$D88,SSP5_Baseline!$B:$B,2040))
- (SUMIFS(SSP5_Baseline!$E:$E,SSP5_Baseline!$C:$C,Results_list!$C$88,SSP5_Baseline!$D:$D,Results_list!$D88,SSP5_Baseline!$B:$B,2025)))
/ (SUMIFS(SSP5_Baseline!$E:$E,SSP5_Baseline!$C:$C,Results_list!$C$88,SSP5_Baseline!$D:$D,Results_list!$D88,SSP5_Baseline!$B:$B,2025))</f>
        <v>0.74065321547887208</v>
      </c>
      <c r="N88" s="16">
        <f>((SUMIFS(SSP5_VSI!$F:$F,SSP5_VSI!$C:$C,Results_list!$C$88,SSP5_VSI!$D:$D,Results_list!$D88,SSP5_VSI!$B:$B,2040))
- (SUMIFS(SSP5_VSI!$F:$F,SSP5_VSI!$C:$C,Results_list!$C$88,SSP5_VSI!$D:$D,Results_list!$D88,SSP5_VSI!$B:$B,2025)))
/ (SUMIFS(SSP5_VSI!$F:$F,SSP5_VSI!$C:$C,Results_list!$C$88,SSP5_VSI!$D:$D,Results_list!$D88,SSP5_VSI!$B:$B,2025))</f>
        <v>0.74062306422257607</v>
      </c>
      <c r="O88" s="19">
        <f>ROUND(N88-M88,2)</f>
        <v>0</v>
      </c>
      <c r="AF88" s="85" t="s">
        <v>122</v>
      </c>
      <c r="AG88" s="85" t="s">
        <v>76</v>
      </c>
      <c r="AH88" t="s">
        <v>38</v>
      </c>
      <c r="AJ88" s="3" t="s">
        <v>87</v>
      </c>
      <c r="AK88" s="12">
        <f>((SUMIFS(SSP1_Baseline!$E:$E,SSP1_Baseline!$C:$C,Results_list!$C$277,SSP1_Baseline!$D:$D,Results_list!$D88,SSP1_Baseline!$B:$B,2040)) - (SUMIFS(SSP1_Baseline!$E:$E,SSP1_Baseline!$C:$C,Results_list!$C$277,SSP1_Baseline!$D:$D,Results_list!$D88,SSP1_Baseline!$B:$B,2025))) / (SUMIFS(SSP1_Baseline!$E:$E,SSP1_Baseline!$C:$C,Results_list!$C$277,SSP1_Baseline!$D:$D,Results_list!$D88,SSP1_Baseline!$B:$B,2025))</f>
        <v>-0.14151035154555364</v>
      </c>
      <c r="AL88" s="16">
        <f>((SUMIFS(SSP1_VSI!$F:$F,SSP1_VSI!$C:$C,Results_list!$C$277,SSP1_VSI!$D:$D,Results_list!$D88,SSP1_VSI!$B:$B,2040)) - (SUMIFS(SSP1_VSI!$F:$F,SSP1_VSI!$C:$C,Results_list!$C$277,SSP1_VSI!$D:$D,Results_list!$D88,SSP1_VSI!$B:$B,2025))) / (SUMIFS(SSP1_VSI!$F:$F,SSP1_VSI!$C:$C,Results_list!$C$277,SSP1_VSI!$D:$D,Results_list!$D88,SSP1_VSI!$B:$B,2025))</f>
        <v>-0.14150190434590487</v>
      </c>
      <c r="AM88" s="19">
        <f>ROUND(AL88-AK88,3)</f>
        <v>0</v>
      </c>
      <c r="AN88" s="12">
        <f>((SUMIFS(SSP2_Baseline!$E:$E,SSP2_Baseline!$C:$C,Results_list!$C$277,SSP2_Baseline!$D:$D,Results_list!$D88,SSP2_Baseline!$B:$B,2040)) - (SUMIFS(SSP2_Baseline!$E:$E,SSP2_Baseline!$C:$C,Results_list!$C$277,SSP2_Baseline!$D:$D,Results_list!$D88,SSP2_Baseline!$B:$B,2025))) / (SUMIFS(SSP2_Baseline!$E:$E,SSP2_Baseline!$C:$C,Results_list!$C$277,SSP2_Baseline!$D:$D,Results_list!$D88,SSP2_Baseline!$B:$B,2025))</f>
        <v>0.88410222222871004</v>
      </c>
      <c r="AO88" s="16">
        <f>((SUMIFS(SSP2_VSI!$F:$F,SSP2_VSI!$C:$C,Results_list!$C$277,SSP2_VSI!$D:$D,Results_list!$D88,SSP2_VSI!$B:$B,2040)) - (SUMIFS(SSP2_VSI!$F:$F,SSP2_VSI!$C:$C,Results_list!$C$277,SSP2_VSI!$D:$D,Results_list!$D88,SSP2_VSI!$B:$B,2025))) / (SUMIFS(SSP2_VSI!$F:$F,SSP2_VSI!$C:$C,Results_list!$C$277,SSP2_VSI!$D:$D,Results_list!$D88,SSP2_VSI!$B:$B,2025))</f>
        <v>0.88404260975254778</v>
      </c>
      <c r="AP88" s="19">
        <f>ROUND(AO88-AN88,2)</f>
        <v>0</v>
      </c>
      <c r="AQ88" s="12">
        <f>((SUMIFS(SSP5_Baseline!$E:$E,SSP5_Baseline!$C:$C,Results_list!$C$277,SSP5_Baseline!$D:$D,Results_list!$D88,SSP5_Baseline!$B:$B,2040)) - (SUMIFS(SSP5_Baseline!$E:$E,SSP5_Baseline!$C:$C,Results_list!$C$277,SSP5_Baseline!$D:$D,Results_list!$D88,SSP5_Baseline!$B:$B,2025))) / (SUMIFS(SSP5_Baseline!$E:$E,SSP5_Baseline!$C:$C,Results_list!$C$277,SSP5_Baseline!$D:$D,Results_list!$D88,SSP5_Baseline!$B:$B,2025))</f>
        <v>1.5954886625714295</v>
      </c>
      <c r="AR88" s="16">
        <f>((SUMIFS(SSP5_VSI!$F:$F,SSP5_VSI!$C:$C,Results_list!$C$277,SSP5_VSI!$D:$D,Results_list!$D88,SSP5_VSI!$B:$B,2040)) - (SUMIFS(SSP5_VSI!$F:$F,SSP5_VSI!$C:$C,Results_list!$C$277,SSP5_VSI!$D:$D,Results_list!$D88,SSP5_VSI!$B:$B,2025))) / (SUMIFS(SSP5_VSI!$F:$F,SSP5_VSI!$C:$C,Results_list!$C$277,SSP5_VSI!$D:$D,Results_list!$D88,SSP5_VSI!$B:$B,2025))</f>
        <v>1.5955441093264622</v>
      </c>
      <c r="AS88" s="19">
        <f>ROUND(AR88-AQ88,2)</f>
        <v>0</v>
      </c>
      <c r="AU88" s="87" t="s">
        <v>134</v>
      </c>
      <c r="AV88" s="87" t="s">
        <v>85</v>
      </c>
      <c r="AW88" t="s">
        <v>38</v>
      </c>
      <c r="AY88" s="3" t="s">
        <v>87</v>
      </c>
      <c r="AZ88" s="12">
        <f>((SUMIFS(SSP1_Baseline!$E:$E,SSP1_Baseline!$C:$C,Results_list!$C$382,SSP1_Baseline!$D:$D,Results_list!$D88,SSP1_Baseline!$B:$B,2040)) - (SUMIFS(SSP1_Baseline!$E:$E,SSP1_Baseline!$C:$C,Results_list!$C$382,SSP1_Baseline!$D:$D,Results_list!$D88,SSP1_Baseline!$B:$B,2025))) / (SUMIFS(SSP1_Baseline!$E:$E,SSP1_Baseline!$C:$C,Results_list!$C$382,SSP1_Baseline!$D:$D,Results_list!$D88,SSP1_Baseline!$B:$B,2025))</f>
        <v>-0.14167372880678325</v>
      </c>
      <c r="BA88" s="16">
        <f>((SUMIFS(SSP1_VSI!$F:$F,SSP1_VSI!$C:$C,Results_list!$C$382,SSP1_VSI!$D:$D,Results_list!$D88,SSP1_VSI!$B:$B,2040)) - (SUMIFS(SSP1_VSI!$F:$F,SSP1_VSI!$C:$C,Results_list!$C$382,SSP1_VSI!$D:$D,Results_list!$D88,SSP1_VSI!$B:$B,2025))) / (SUMIFS(SSP1_VSI!$F:$F,SSP1_VSI!$C:$C,Results_list!$C$382,SSP1_VSI!$D:$D,Results_list!$D88,SSP1_VSI!$B:$B,2025))</f>
        <v>-0.14166047784162109</v>
      </c>
      <c r="BB88" s="19">
        <f>ROUND(BA88-AZ88,3)</f>
        <v>0</v>
      </c>
      <c r="BC88" s="12">
        <f>((SUMIFS(SSP2_Baseline!$E:$E,SSP2_Baseline!$C:$C,Results_list!$C$382,SSP2_Baseline!$D:$D,Results_list!$D88,SSP2_Baseline!$B:$B,2040)) - (SUMIFS(SSP2_Baseline!$E:$E,SSP2_Baseline!$C:$C,Results_list!$C$382,SSP2_Baseline!$D:$D,Results_list!$D88,SSP2_Baseline!$B:$B,2025))) / (SUMIFS(SSP2_Baseline!$E:$E,SSP2_Baseline!$C:$C,Results_list!$C$382,SSP2_Baseline!$D:$D,Results_list!$D88,SSP2_Baseline!$B:$B,2025))</f>
        <v>0.72242675522709932</v>
      </c>
      <c r="BD88" s="16">
        <f>((SUMIFS(SSP2_VSI!$F:$F,SSP2_VSI!$C:$C,Results_list!$C$382,SSP2_VSI!$D:$D,Results_list!$D88,SSP2_VSI!$B:$B,2040)) - (SUMIFS(SSP2_VSI!$F:$F,SSP2_VSI!$C:$C,Results_list!$C$382,SSP2_VSI!$D:$D,Results_list!$D88,SSP2_VSI!$B:$B,2025))) / (SUMIFS(SSP2_VSI!$F:$F,SSP2_VSI!$C:$C,Results_list!$C$382,SSP2_VSI!$D:$D,Results_list!$D88,SSP2_VSI!$B:$B,2025))</f>
        <v>0.72226382418404733</v>
      </c>
      <c r="BE88" s="19">
        <f>ROUND(BD88-BC88,2)</f>
        <v>0</v>
      </c>
      <c r="BF88" s="12">
        <f>((SUMIFS(SSP5_Baseline!$E:$E,SSP5_Baseline!$C:$C,Results_list!$C$382,SSP5_Baseline!$D:$D,Results_list!$D88,SSP5_Baseline!$B:$B,2040)) - (SUMIFS(SSP5_Baseline!$E:$E,SSP5_Baseline!$C:$C,Results_list!$C$382,SSP5_Baseline!$D:$D,Results_list!$D88,SSP5_Baseline!$B:$B,2025))) / (SUMIFS(SSP5_Baseline!$E:$E,SSP5_Baseline!$C:$C,Results_list!$C$382,SSP5_Baseline!$D:$D,Results_list!$D88,SSP5_Baseline!$B:$B,2025))</f>
        <v>1.2643975564273702</v>
      </c>
      <c r="BG88" s="16">
        <f>((SUMIFS(SSP5_VSI!$F:$F,SSP5_VSI!$C:$C,Results_list!$C$382,SSP5_VSI!$D:$D,Results_list!$D88,SSP5_VSI!$B:$B,2040)) - (SUMIFS(SSP5_VSI!$F:$F,SSP5_VSI!$C:$C,Results_list!$C$382,SSP5_VSI!$D:$D,Results_list!$D88,SSP5_VSI!$B:$B,2025))) / (SUMIFS(SSP5_VSI!$F:$F,SSP5_VSI!$C:$C,Results_list!$C$382,SSP5_VSI!$D:$D,Results_list!$D88,SSP5_VSI!$B:$B,2025))</f>
        <v>1.2644720736343766</v>
      </c>
      <c r="BH88" s="19">
        <f>ROUND(BG88-BF88,2)</f>
        <v>0</v>
      </c>
    </row>
    <row r="89" spans="2:60" x14ac:dyDescent="0.35">
      <c r="B89" s="91"/>
      <c r="C89" s="91"/>
      <c r="D89" s="22" t="s">
        <v>40</v>
      </c>
      <c r="F89" s="3" t="s">
        <v>88</v>
      </c>
      <c r="G89" s="12">
        <f>((SUMIFS(SSP1_Baseline!$E:$E,SSP1_Baseline!$C:$C,Results_list!$C$88,SSP1_Baseline!$D:$D,Results_list!$D89,SSP1_Baseline!$B:$B,2040)) - (SUMIFS(SSP1_Baseline!$E:$E,SSP1_Baseline!$C:$C,Results_list!$C$88,SSP1_Baseline!$D:$D,Results_list!$D89,SSP1_Baseline!$B:$B,2025))) / (SUMIFS(SSP1_Baseline!$E:$E,SSP1_Baseline!$C:$C,Results_list!$C$88,SSP1_Baseline!$D:$D,Results_list!$D89,SSP1_Baseline!$B:$B,2025))</f>
        <v>3.551037573173884E-2</v>
      </c>
      <c r="H89" s="16">
        <f>((SUMIFS(SSP1_VSI!$F:$F,SSP1_VSI!$C:$C,Results_list!$C$88,SSP1_VSI!$D:$D,Results_list!$D89,SSP1_VSI!$B:$B,2040)) - (SUMIFS(SSP1_VSI!$F:$F,SSP1_VSI!$C:$C,Results_list!$C$88,SSP1_VSI!$D:$D,Results_list!$D89,SSP1_VSI!$B:$B,2025))) / (SUMIFS(SSP1_VSI!$F:$F,SSP1_VSI!$C:$C,Results_list!$C$88,SSP1_VSI!$D:$D,Results_list!$D89,SSP1_VSI!$B:$B,2025))</f>
        <v>3.5503876286705316E-2</v>
      </c>
      <c r="I89" s="13">
        <f t="shared" ref="I89:I105" si="48">ROUND(H89-G89,3)</f>
        <v>0</v>
      </c>
      <c r="J89" s="12">
        <f>((SUMIFS(SSP2_Baseline!$E:$E,SSP2_Baseline!$C:$C,Results_list!$C$88,SSP2_Baseline!$D:$D,Results_list!$D89,SSP2_Baseline!$B:$B,2040)) - (SUMIFS(SSP2_Baseline!$E:$E,SSP2_Baseline!$C:$C,Results_list!$C$88,SSP2_Baseline!$D:$D,Results_list!$D89,SSP2_Baseline!$B:$B,2025))) / (SUMIFS(SSP2_Baseline!$E:$E,SSP2_Baseline!$C:$C,Results_list!$C$88,SSP2_Baseline!$D:$D,Results_list!$D89,SSP2_Baseline!$B:$B,2025))</f>
        <v>2.6727710460421862E-2</v>
      </c>
      <c r="K89" s="16">
        <f>((SUMIFS(SSP2_VSI!$F:$F,SSP2_VSI!$C:$C,Results_list!$C$88,SSP2_VSI!$D:$D,Results_list!$D89,SSP2_VSI!$B:$B,2040)) - (SUMIFS(SSP2_VSI!$F:$F,SSP2_VSI!$C:$C,Results_list!$C$88,SSP2_VSI!$D:$D,Results_list!$D89,SSP2_VSI!$B:$B,2025))) / (SUMIFS(SSP2_VSI!$F:$F,SSP2_VSI!$C:$C,Results_list!$C$88,SSP2_VSI!$D:$D,Results_list!$D89,SSP2_VSI!$B:$B,2025))</f>
        <v>2.6713407111711909E-2</v>
      </c>
      <c r="L89" s="13">
        <f t="shared" ref="L89:L105" si="49">ROUND(K89-J89,2)</f>
        <v>0</v>
      </c>
      <c r="M89" s="12">
        <f>((SUMIFS(SSP5_Baseline!$E:$E,SSP5_Baseline!$C:$C,Results_list!$C$88,SSP5_Baseline!$D:$D,Results_list!$D89,SSP5_Baseline!$B:$B,2040)) - (SUMIFS(SSP5_Baseline!$E:$E,SSP5_Baseline!$C:$C,Results_list!$C$88,SSP5_Baseline!$D:$D,Results_list!$D89,SSP5_Baseline!$B:$B,2025))) / (SUMIFS(SSP5_Baseline!$E:$E,SSP5_Baseline!$C:$C,Results_list!$C$88,SSP5_Baseline!$D:$D,Results_list!$D89,SSP5_Baseline!$B:$B,2025))</f>
        <v>-1.4159446527332205E-2</v>
      </c>
      <c r="N89" s="16">
        <f>((SUMIFS(SSP5_VSI!$F:$F,SSP5_VSI!$C:$C,Results_list!$C$88,SSP5_VSI!$D:$D,Results_list!$D89,SSP5_VSI!$B:$B,2040)) - (SUMIFS(SSP5_VSI!$F:$F,SSP5_VSI!$C:$C,Results_list!$C$88,SSP5_VSI!$D:$D,Results_list!$D89,SSP5_VSI!$B:$B,2025))) / (SUMIFS(SSP5_VSI!$F:$F,SSP5_VSI!$C:$C,Results_list!$C$88,SSP5_VSI!$D:$D,Results_list!$D89,SSP5_VSI!$B:$B,2025))</f>
        <v>-1.4174761489209197E-2</v>
      </c>
      <c r="O89" s="13">
        <f t="shared" ref="O89:O105" si="50">ROUND(N89-M89,2)</f>
        <v>0</v>
      </c>
      <c r="AF89" s="85"/>
      <c r="AG89" s="85"/>
      <c r="AH89" t="s">
        <v>40</v>
      </c>
      <c r="AJ89" s="3" t="s">
        <v>88</v>
      </c>
      <c r="AK89" s="12">
        <f>((SUMIFS(SSP1_Baseline!$E:$E,SSP1_Baseline!$C:$C,Results_list!$C$277,SSP1_Baseline!$D:$D,Results_list!$D89,SSP1_Baseline!$B:$B,2040)) - (SUMIFS(SSP1_Baseline!$E:$E,SSP1_Baseline!$C:$C,Results_list!$C$277,SSP1_Baseline!$D:$D,Results_list!$D89,SSP1_Baseline!$B:$B,2025))) / (SUMIFS(SSP1_Baseline!$E:$E,SSP1_Baseline!$C:$C,Results_list!$C$277,SSP1_Baseline!$D:$D,Results_list!$D89,SSP1_Baseline!$B:$B,2025))</f>
        <v>-0.13808331224213494</v>
      </c>
      <c r="AL89" s="16">
        <f>((SUMIFS(SSP1_VSI!$F:$F,SSP1_VSI!$C:$C,Results_list!$C$277,SSP1_VSI!$D:$D,Results_list!$D89,SSP1_VSI!$B:$B,2040)) - (SUMIFS(SSP1_VSI!$F:$F,SSP1_VSI!$C:$C,Results_list!$C$277,SSP1_VSI!$D:$D,Results_list!$D89,SSP1_VSI!$B:$B,2025))) / (SUMIFS(SSP1_VSI!$F:$F,SSP1_VSI!$C:$C,Results_list!$C$277,SSP1_VSI!$D:$D,Results_list!$D89,SSP1_VSI!$B:$B,2025))</f>
        <v>-0.13808727975915963</v>
      </c>
      <c r="AM89" s="13">
        <f t="shared" ref="AM89:AM105" si="51">ROUND(AL89-AK89,3)</f>
        <v>0</v>
      </c>
      <c r="AN89" s="12">
        <f>((SUMIFS(SSP2_Baseline!$E:$E,SSP2_Baseline!$C:$C,Results_list!$C$277,SSP2_Baseline!$D:$D,Results_list!$D89,SSP2_Baseline!$B:$B,2040)) - (SUMIFS(SSP2_Baseline!$E:$E,SSP2_Baseline!$C:$C,Results_list!$C$277,SSP2_Baseline!$D:$D,Results_list!$D89,SSP2_Baseline!$B:$B,2025))) / (SUMIFS(SSP2_Baseline!$E:$E,SSP2_Baseline!$C:$C,Results_list!$C$277,SSP2_Baseline!$D:$D,Results_list!$D89,SSP2_Baseline!$B:$B,2025))</f>
        <v>-0.14473975793485699</v>
      </c>
      <c r="AO89" s="16">
        <f>((SUMIFS(SSP2_VSI!$F:$F,SSP2_VSI!$C:$C,Results_list!$C$277,SSP2_VSI!$D:$D,Results_list!$D89,SSP2_VSI!$B:$B,2040)) - (SUMIFS(SSP2_VSI!$F:$F,SSP2_VSI!$C:$C,Results_list!$C$277,SSP2_VSI!$D:$D,Results_list!$D89,SSP2_VSI!$B:$B,2025))) / (SUMIFS(SSP2_VSI!$F:$F,SSP2_VSI!$C:$C,Results_list!$C$277,SSP2_VSI!$D:$D,Results_list!$D89,SSP2_VSI!$B:$B,2025))</f>
        <v>-0.14477501282773533</v>
      </c>
      <c r="AP89" s="13">
        <f t="shared" ref="AP89:AP105" si="52">ROUND(AO89-AN89,2)</f>
        <v>0</v>
      </c>
      <c r="AQ89" s="12">
        <f>((SUMIFS(SSP5_Baseline!$E:$E,SSP5_Baseline!$C:$C,Results_list!$C$277,SSP5_Baseline!$D:$D,Results_list!$D89,SSP5_Baseline!$B:$B,2040)) - (SUMIFS(SSP5_Baseline!$E:$E,SSP5_Baseline!$C:$C,Results_list!$C$277,SSP5_Baseline!$D:$D,Results_list!$D89,SSP5_Baseline!$B:$B,2025))) / (SUMIFS(SSP5_Baseline!$E:$E,SSP5_Baseline!$C:$C,Results_list!$C$277,SSP5_Baseline!$D:$D,Results_list!$D89,SSP5_Baseline!$B:$B,2025))</f>
        <v>-6.5021212998963171E-2</v>
      </c>
      <c r="AR89" s="16">
        <f>((SUMIFS(SSP5_VSI!$F:$F,SSP5_VSI!$C:$C,Results_list!$C$277,SSP5_VSI!$D:$D,Results_list!$D89,SSP5_VSI!$B:$B,2040)) - (SUMIFS(SSP5_VSI!$F:$F,SSP5_VSI!$C:$C,Results_list!$C$277,SSP5_VSI!$D:$D,Results_list!$D89,SSP5_VSI!$B:$B,2025))) / (SUMIFS(SSP5_VSI!$F:$F,SSP5_VSI!$C:$C,Results_list!$C$277,SSP5_VSI!$D:$D,Results_list!$D89,SSP5_VSI!$B:$B,2025))</f>
        <v>-6.50826518067327E-2</v>
      </c>
      <c r="AS89" s="13">
        <f t="shared" ref="AS89:AS105" si="53">ROUND(AR89-AQ89,2)</f>
        <v>0</v>
      </c>
      <c r="AU89" s="87"/>
      <c r="AV89" s="87"/>
      <c r="AW89" t="s">
        <v>40</v>
      </c>
      <c r="AY89" s="3" t="s">
        <v>88</v>
      </c>
      <c r="AZ89" s="12">
        <f>((SUMIFS(SSP1_Baseline!$E:$E,SSP1_Baseline!$C:$C,Results_list!$C$382,SSP1_Baseline!$D:$D,Results_list!$D89,SSP1_Baseline!$B:$B,2040)) - (SUMIFS(SSP1_Baseline!$E:$E,SSP1_Baseline!$C:$C,Results_list!$C$382,SSP1_Baseline!$D:$D,Results_list!$D89,SSP1_Baseline!$B:$B,2025))) / (SUMIFS(SSP1_Baseline!$E:$E,SSP1_Baseline!$C:$C,Results_list!$C$382,SSP1_Baseline!$D:$D,Results_list!$D89,SSP1_Baseline!$B:$B,2025))</f>
        <v>-0.12574758790249432</v>
      </c>
      <c r="BA89" s="16">
        <f>((SUMIFS(SSP1_VSI!$F:$F,SSP1_VSI!$C:$C,Results_list!$C$382,SSP1_VSI!$D:$D,Results_list!$D89,SSP1_VSI!$B:$B,2040)) - (SUMIFS(SSP1_VSI!$F:$F,SSP1_VSI!$C:$C,Results_list!$C$382,SSP1_VSI!$D:$D,Results_list!$D89,SSP1_VSI!$B:$B,2025))) / (SUMIFS(SSP1_VSI!$F:$F,SSP1_VSI!$C:$C,Results_list!$C$382,SSP1_VSI!$D:$D,Results_list!$D89,SSP1_VSI!$B:$B,2025))</f>
        <v>-0.12574972812119975</v>
      </c>
      <c r="BB89" s="13">
        <f t="shared" ref="BB89:BB105" si="54">ROUND(BA89-AZ89,3)</f>
        <v>0</v>
      </c>
      <c r="BC89" s="12">
        <f>((SUMIFS(SSP2_Baseline!$E:$E,SSP2_Baseline!$C:$C,Results_list!$C$382,SSP2_Baseline!$D:$D,Results_list!$D89,SSP2_Baseline!$B:$B,2040)) - (SUMIFS(SSP2_Baseline!$E:$E,SSP2_Baseline!$C:$C,Results_list!$C$382,SSP2_Baseline!$D:$D,Results_list!$D89,SSP2_Baseline!$B:$B,2025))) / (SUMIFS(SSP2_Baseline!$E:$E,SSP2_Baseline!$C:$C,Results_list!$C$382,SSP2_Baseline!$D:$D,Results_list!$D89,SSP2_Baseline!$B:$B,2025))</f>
        <v>-0.12621025899286836</v>
      </c>
      <c r="BD89" s="16">
        <f>((SUMIFS(SSP2_VSI!$F:$F,SSP2_VSI!$C:$C,Results_list!$C$382,SSP2_VSI!$D:$D,Results_list!$D89,SSP2_VSI!$B:$B,2040)) - (SUMIFS(SSP2_VSI!$F:$F,SSP2_VSI!$C:$C,Results_list!$C$382,SSP2_VSI!$D:$D,Results_list!$D89,SSP2_VSI!$B:$B,2025))) / (SUMIFS(SSP2_VSI!$F:$F,SSP2_VSI!$C:$C,Results_list!$C$382,SSP2_VSI!$D:$D,Results_list!$D89,SSP2_VSI!$B:$B,2025))</f>
        <v>-0.12623099778929189</v>
      </c>
      <c r="BE89" s="13">
        <f t="shared" ref="BE89:BE105" si="55">ROUND(BD89-BC89,2)</f>
        <v>0</v>
      </c>
      <c r="BF89" s="12">
        <f>((SUMIFS(SSP5_Baseline!$E:$E,SSP5_Baseline!$C:$C,Results_list!$C$382,SSP5_Baseline!$D:$D,Results_list!$D89,SSP5_Baseline!$B:$B,2040)) - (SUMIFS(SSP5_Baseline!$E:$E,SSP5_Baseline!$C:$C,Results_list!$C$382,SSP5_Baseline!$D:$D,Results_list!$D89,SSP5_Baseline!$B:$B,2025))) / (SUMIFS(SSP5_Baseline!$E:$E,SSP5_Baseline!$C:$C,Results_list!$C$382,SSP5_Baseline!$D:$D,Results_list!$D89,SSP5_Baseline!$B:$B,2025))</f>
        <v>-2.6555038844162993E-2</v>
      </c>
      <c r="BG89" s="16">
        <f>((SUMIFS(SSP5_VSI!$F:$F,SSP5_VSI!$C:$C,Results_list!$C$382,SSP5_VSI!$D:$D,Results_list!$D89,SSP5_VSI!$B:$B,2040)) - (SUMIFS(SSP5_VSI!$F:$F,SSP5_VSI!$C:$C,Results_list!$C$382,SSP5_VSI!$D:$D,Results_list!$D89,SSP5_VSI!$B:$B,2025))) / (SUMIFS(SSP5_VSI!$F:$F,SSP5_VSI!$C:$C,Results_list!$C$382,SSP5_VSI!$D:$D,Results_list!$D89,SSP5_VSI!$B:$B,2025))</f>
        <v>-2.6595988561472987E-2</v>
      </c>
      <c r="BH89" s="13">
        <f t="shared" ref="BH89:BH105" si="56">ROUND(BG89-BF89,2)</f>
        <v>0</v>
      </c>
    </row>
    <row r="90" spans="2:60" x14ac:dyDescent="0.35">
      <c r="B90" s="91"/>
      <c r="C90" s="91"/>
      <c r="D90" s="22" t="s">
        <v>41</v>
      </c>
      <c r="F90" s="3" t="s">
        <v>89</v>
      </c>
      <c r="G90" s="12">
        <f>((SUMIFS(SSP1_Baseline!$E:$E,SSP1_Baseline!$C:$C,Results_list!$C$88,SSP1_Baseline!$D:$D,Results_list!$D90,SSP1_Baseline!$B:$B,2040)) - (SUMIFS(SSP1_Baseline!$E:$E,SSP1_Baseline!$C:$C,Results_list!$C$88,SSP1_Baseline!$D:$D,Results_list!$D90,SSP1_Baseline!$B:$B,2025))) / (SUMIFS(SSP1_Baseline!$E:$E,SSP1_Baseline!$C:$C,Results_list!$C$88,SSP1_Baseline!$D:$D,Results_list!$D90,SSP1_Baseline!$B:$B,2025))</f>
        <v>1.0362538080171202E-2</v>
      </c>
      <c r="H90" s="16">
        <f>((SUMIFS(SSP1_VSI!$F:$F,SSP1_VSI!$C:$C,Results_list!$C$88,SSP1_VSI!$D:$D,Results_list!$D90,SSP1_VSI!$B:$B,2040)) - (SUMIFS(SSP1_VSI!$F:$F,SSP1_VSI!$C:$C,Results_list!$C$88,SSP1_VSI!$D:$D,Results_list!$D90,SSP1_VSI!$B:$B,2025))) / (SUMIFS(SSP1_VSI!$F:$F,SSP1_VSI!$C:$C,Results_list!$C$88,SSP1_VSI!$D:$D,Results_list!$D90,SSP1_VSI!$B:$B,2025))</f>
        <v>1.0077874835120772E-2</v>
      </c>
      <c r="I90" s="13">
        <f t="shared" si="48"/>
        <v>0</v>
      </c>
      <c r="J90" s="12">
        <f>((SUMIFS(SSP2_Baseline!$E:$E,SSP2_Baseline!$C:$C,Results_list!$C$88,SSP2_Baseline!$D:$D,Results_list!$D90,SSP2_Baseline!$B:$B,2040)) - (SUMIFS(SSP2_Baseline!$E:$E,SSP2_Baseline!$C:$C,Results_list!$C$88,SSP2_Baseline!$D:$D,Results_list!$D90,SSP2_Baseline!$B:$B,2025))) / (SUMIFS(SSP2_Baseline!$E:$E,SSP2_Baseline!$C:$C,Results_list!$C$88,SSP2_Baseline!$D:$D,Results_list!$D90,SSP2_Baseline!$B:$B,2025))</f>
        <v>2.0400314085211042E-2</v>
      </c>
      <c r="K90" s="16">
        <f>((SUMIFS(SSP2_VSI!$F:$F,SSP2_VSI!$C:$C,Results_list!$C$88,SSP2_VSI!$D:$D,Results_list!$D90,SSP2_VSI!$B:$B,2040)) - (SUMIFS(SSP2_VSI!$F:$F,SSP2_VSI!$C:$C,Results_list!$C$88,SSP2_VSI!$D:$D,Results_list!$D90,SSP2_VSI!$B:$B,2025))) / (SUMIFS(SSP2_VSI!$F:$F,SSP2_VSI!$C:$C,Results_list!$C$88,SSP2_VSI!$D:$D,Results_list!$D90,SSP2_VSI!$B:$B,2025))</f>
        <v>2.0149420604297679E-2</v>
      </c>
      <c r="L90" s="13">
        <f t="shared" si="49"/>
        <v>0</v>
      </c>
      <c r="M90" s="12">
        <f>((SUMIFS(SSP5_Baseline!$E:$E,SSP5_Baseline!$C:$C,Results_list!$C$88,SSP5_Baseline!$D:$D,Results_list!$D90,SSP5_Baseline!$B:$B,2040)) - (SUMIFS(SSP5_Baseline!$E:$E,SSP5_Baseline!$C:$C,Results_list!$C$88,SSP5_Baseline!$D:$D,Results_list!$D90,SSP5_Baseline!$B:$B,2025))) / (SUMIFS(SSP5_Baseline!$E:$E,SSP5_Baseline!$C:$C,Results_list!$C$88,SSP5_Baseline!$D:$D,Results_list!$D90,SSP5_Baseline!$B:$B,2025))</f>
        <v>3.6994165745168707E-2</v>
      </c>
      <c r="N90" s="16">
        <f>((SUMIFS(SSP5_VSI!$F:$F,SSP5_VSI!$C:$C,Results_list!$C$88,SSP5_VSI!$D:$D,Results_list!$D90,SSP5_VSI!$B:$B,2040)) - (SUMIFS(SSP5_VSI!$F:$F,SSP5_VSI!$C:$C,Results_list!$C$88,SSP5_VSI!$D:$D,Results_list!$D90,SSP5_VSI!$B:$B,2025))) / (SUMIFS(SSP5_VSI!$F:$F,SSP5_VSI!$C:$C,Results_list!$C$88,SSP5_VSI!$D:$D,Results_list!$D90,SSP5_VSI!$B:$B,2025))</f>
        <v>3.6722461410361319E-2</v>
      </c>
      <c r="O90" s="13">
        <f t="shared" si="50"/>
        <v>0</v>
      </c>
      <c r="AF90" s="85"/>
      <c r="AG90" s="85"/>
      <c r="AH90" t="s">
        <v>41</v>
      </c>
      <c r="AJ90" s="3" t="s">
        <v>89</v>
      </c>
      <c r="AK90" s="12">
        <f>((SUMIFS(SSP1_Baseline!$E:$E,SSP1_Baseline!$C:$C,Results_list!$C$277,SSP1_Baseline!$D:$D,Results_list!$D90,SSP1_Baseline!$B:$B,2040)) - (SUMIFS(SSP1_Baseline!$E:$E,SSP1_Baseline!$C:$C,Results_list!$C$277,SSP1_Baseline!$D:$D,Results_list!$D90,SSP1_Baseline!$B:$B,2025))) / (SUMIFS(SSP1_Baseline!$E:$E,SSP1_Baseline!$C:$C,Results_list!$C$277,SSP1_Baseline!$D:$D,Results_list!$D90,SSP1_Baseline!$B:$B,2025))</f>
        <v>-8.4779705979924194E-2</v>
      </c>
      <c r="AL90" s="16">
        <f>((SUMIFS(SSP1_VSI!$F:$F,SSP1_VSI!$C:$C,Results_list!$C$277,SSP1_VSI!$D:$D,Results_list!$D90,SSP1_VSI!$B:$B,2040)) - (SUMIFS(SSP1_VSI!$F:$F,SSP1_VSI!$C:$C,Results_list!$C$277,SSP1_VSI!$D:$D,Results_list!$D90,SSP1_VSI!$B:$B,2025))) / (SUMIFS(SSP1_VSI!$F:$F,SSP1_VSI!$C:$C,Results_list!$C$277,SSP1_VSI!$D:$D,Results_list!$D90,SSP1_VSI!$B:$B,2025))</f>
        <v>-8.4866036983491114E-2</v>
      </c>
      <c r="AM90" s="13">
        <f t="shared" si="51"/>
        <v>0</v>
      </c>
      <c r="AN90" s="12">
        <f>((SUMIFS(SSP2_Baseline!$E:$E,SSP2_Baseline!$C:$C,Results_list!$C$277,SSP2_Baseline!$D:$D,Results_list!$D90,SSP2_Baseline!$B:$B,2040)) - (SUMIFS(SSP2_Baseline!$E:$E,SSP2_Baseline!$C:$C,Results_list!$C$277,SSP2_Baseline!$D:$D,Results_list!$D90,SSP2_Baseline!$B:$B,2025))) / (SUMIFS(SSP2_Baseline!$E:$E,SSP2_Baseline!$C:$C,Results_list!$C$277,SSP2_Baseline!$D:$D,Results_list!$D90,SSP2_Baseline!$B:$B,2025))</f>
        <v>-7.3604147026820263E-2</v>
      </c>
      <c r="AO90" s="16">
        <f>((SUMIFS(SSP2_VSI!$F:$F,SSP2_VSI!$C:$C,Results_list!$C$277,SSP2_VSI!$D:$D,Results_list!$D90,SSP2_VSI!$B:$B,2040)) - (SUMIFS(SSP2_VSI!$F:$F,SSP2_VSI!$C:$C,Results_list!$C$277,SSP2_VSI!$D:$D,Results_list!$D90,SSP2_VSI!$B:$B,2025))) / (SUMIFS(SSP2_VSI!$F:$F,SSP2_VSI!$C:$C,Results_list!$C$277,SSP2_VSI!$D:$D,Results_list!$D90,SSP2_VSI!$B:$B,2025))</f>
        <v>-7.3600848321677334E-2</v>
      </c>
      <c r="AP90" s="13">
        <f t="shared" si="52"/>
        <v>0</v>
      </c>
      <c r="AQ90" s="12">
        <f>((SUMIFS(SSP5_Baseline!$E:$E,SSP5_Baseline!$C:$C,Results_list!$C$277,SSP5_Baseline!$D:$D,Results_list!$D90,SSP5_Baseline!$B:$B,2040)) - (SUMIFS(SSP5_Baseline!$E:$E,SSP5_Baseline!$C:$C,Results_list!$C$277,SSP5_Baseline!$D:$D,Results_list!$D90,SSP5_Baseline!$B:$B,2025))) / (SUMIFS(SSP5_Baseline!$E:$E,SSP5_Baseline!$C:$C,Results_list!$C$277,SSP5_Baseline!$D:$D,Results_list!$D90,SSP5_Baseline!$B:$B,2025))</f>
        <v>-4.34660502391888E-2</v>
      </c>
      <c r="AR90" s="16">
        <f>((SUMIFS(SSP5_VSI!$F:$F,SSP5_VSI!$C:$C,Results_list!$C$277,SSP5_VSI!$D:$D,Results_list!$D90,SSP5_VSI!$B:$B,2040)) - (SUMIFS(SSP5_VSI!$F:$F,SSP5_VSI!$C:$C,Results_list!$C$277,SSP5_VSI!$D:$D,Results_list!$D90,SSP5_VSI!$B:$B,2025))) / (SUMIFS(SSP5_VSI!$F:$F,SSP5_VSI!$C:$C,Results_list!$C$277,SSP5_VSI!$D:$D,Results_list!$D90,SSP5_VSI!$B:$B,2025))</f>
        <v>-4.3517364313795569E-2</v>
      </c>
      <c r="AS90" s="13">
        <f t="shared" si="53"/>
        <v>0</v>
      </c>
      <c r="AU90" s="87"/>
      <c r="AV90" s="87"/>
      <c r="AW90" t="s">
        <v>41</v>
      </c>
      <c r="AY90" s="3" t="s">
        <v>89</v>
      </c>
      <c r="AZ90" s="12">
        <f>((SUMIFS(SSP1_Baseline!$E:$E,SSP1_Baseline!$C:$C,Results_list!$C$382,SSP1_Baseline!$D:$D,Results_list!$D90,SSP1_Baseline!$B:$B,2040)) - (SUMIFS(SSP1_Baseline!$E:$E,SSP1_Baseline!$C:$C,Results_list!$C$382,SSP1_Baseline!$D:$D,Results_list!$D90,SSP1_Baseline!$B:$B,2025))) / (SUMIFS(SSP1_Baseline!$E:$E,SSP1_Baseline!$C:$C,Results_list!$C$382,SSP1_Baseline!$D:$D,Results_list!$D90,SSP1_Baseline!$B:$B,2025))</f>
        <v>-9.5979063696623262E-2</v>
      </c>
      <c r="BA90" s="16">
        <f>((SUMIFS(SSP1_VSI!$F:$F,SSP1_VSI!$C:$C,Results_list!$C$382,SSP1_VSI!$D:$D,Results_list!$D90,SSP1_VSI!$B:$B,2040)) - (SUMIFS(SSP1_VSI!$F:$F,SSP1_VSI!$C:$C,Results_list!$C$382,SSP1_VSI!$D:$D,Results_list!$D90,SSP1_VSI!$B:$B,2025))) / (SUMIFS(SSP1_VSI!$F:$F,SSP1_VSI!$C:$C,Results_list!$C$382,SSP1_VSI!$D:$D,Results_list!$D90,SSP1_VSI!$B:$B,2025))</f>
        <v>-0.11306039052626449</v>
      </c>
      <c r="BB90" s="13">
        <f t="shared" si="54"/>
        <v>-1.7000000000000001E-2</v>
      </c>
      <c r="BC90" s="12">
        <f>((SUMIFS(SSP2_Baseline!$E:$E,SSP2_Baseline!$C:$C,Results_list!$C$382,SSP2_Baseline!$D:$D,Results_list!$D90,SSP2_Baseline!$B:$B,2040)) - (SUMIFS(SSP2_Baseline!$E:$E,SSP2_Baseline!$C:$C,Results_list!$C$382,SSP2_Baseline!$D:$D,Results_list!$D90,SSP2_Baseline!$B:$B,2025))) / (SUMIFS(SSP2_Baseline!$E:$E,SSP2_Baseline!$C:$C,Results_list!$C$382,SSP2_Baseline!$D:$D,Results_list!$D90,SSP2_Baseline!$B:$B,2025))</f>
        <v>-9.4376633735546819E-2</v>
      </c>
      <c r="BD90" s="16">
        <f>((SUMIFS(SSP2_VSI!$F:$F,SSP2_VSI!$C:$C,Results_list!$C$382,SSP2_VSI!$D:$D,Results_list!$D90,SSP2_VSI!$B:$B,2040)) - (SUMIFS(SSP2_VSI!$F:$F,SSP2_VSI!$C:$C,Results_list!$C$382,SSP2_VSI!$D:$D,Results_list!$D90,SSP2_VSI!$B:$B,2025))) / (SUMIFS(SSP2_VSI!$F:$F,SSP2_VSI!$C:$C,Results_list!$C$382,SSP2_VSI!$D:$D,Results_list!$D90,SSP2_VSI!$B:$B,2025))</f>
        <v>-0.11155256263427873</v>
      </c>
      <c r="BE90" s="13">
        <f t="shared" si="55"/>
        <v>-0.02</v>
      </c>
      <c r="BF90" s="12">
        <f>((SUMIFS(SSP5_Baseline!$E:$E,SSP5_Baseline!$C:$C,Results_list!$C$382,SSP5_Baseline!$D:$D,Results_list!$D90,SSP5_Baseline!$B:$B,2040)) - (SUMIFS(SSP5_Baseline!$E:$E,SSP5_Baseline!$C:$C,Results_list!$C$382,SSP5_Baseline!$D:$D,Results_list!$D90,SSP5_Baseline!$B:$B,2025))) / (SUMIFS(SSP5_Baseline!$E:$E,SSP5_Baseline!$C:$C,Results_list!$C$382,SSP5_Baseline!$D:$D,Results_list!$D90,SSP5_Baseline!$B:$B,2025))</f>
        <v>-5.1496724450282465E-2</v>
      </c>
      <c r="BG90" s="16">
        <f>((SUMIFS(SSP5_VSI!$F:$F,SSP5_VSI!$C:$C,Results_list!$C$382,SSP5_VSI!$D:$D,Results_list!$D90,SSP5_VSI!$B:$B,2040)) - (SUMIFS(SSP5_VSI!$F:$F,SSP5_VSI!$C:$C,Results_list!$C$382,SSP5_VSI!$D:$D,Results_list!$D90,SSP5_VSI!$B:$B,2025))) / (SUMIFS(SSP5_VSI!$F:$F,SSP5_VSI!$C:$C,Results_list!$C$382,SSP5_VSI!$D:$D,Results_list!$D90,SSP5_VSI!$B:$B,2025))</f>
        <v>-6.8518416653801623E-2</v>
      </c>
      <c r="BH90" s="13">
        <f t="shared" si="56"/>
        <v>-0.02</v>
      </c>
    </row>
    <row r="91" spans="2:60" x14ac:dyDescent="0.35">
      <c r="B91" s="91"/>
      <c r="C91" s="91"/>
      <c r="D91" s="22" t="s">
        <v>42</v>
      </c>
      <c r="F91" s="3" t="s">
        <v>90</v>
      </c>
      <c r="G91" s="12">
        <f>((SUMIFS(SSP1_Baseline!$E:$E,SSP1_Baseline!$C:$C,Results_list!$C$88,SSP1_Baseline!$D:$D,Results_list!$D91,SSP1_Baseline!$B:$B,2040)) - (SUMIFS(SSP1_Baseline!$E:$E,SSP1_Baseline!$C:$C,Results_list!$C$88,SSP1_Baseline!$D:$D,Results_list!$D91,SSP1_Baseline!$B:$B,2025))) / (SUMIFS(SSP1_Baseline!$E:$E,SSP1_Baseline!$C:$C,Results_list!$C$88,SSP1_Baseline!$D:$D,Results_list!$D91,SSP1_Baseline!$B:$B,2025))</f>
        <v>-1.5886215058972983E-5</v>
      </c>
      <c r="H91" s="16">
        <f>((SUMIFS(SSP1_VSI!$F:$F,SSP1_VSI!$C:$C,Results_list!$C$88,SSP1_VSI!$D:$D,Results_list!$D91,SSP1_VSI!$B:$B,2040)) - (SUMIFS(SSP1_VSI!$F:$F,SSP1_VSI!$C:$C,Results_list!$C$88,SSP1_VSI!$D:$D,Results_list!$D91,SSP1_VSI!$B:$B,2025))) / (SUMIFS(SSP1_VSI!$F:$F,SSP1_VSI!$C:$C,Results_list!$C$88,SSP1_VSI!$D:$D,Results_list!$D91,SSP1_VSI!$B:$B,2025))</f>
        <v>-2.1178952679805079E-5</v>
      </c>
      <c r="I91" s="13">
        <f t="shared" si="48"/>
        <v>0</v>
      </c>
      <c r="J91" s="12">
        <f>((SUMIFS(SSP2_Baseline!$E:$E,SSP2_Baseline!$C:$C,Results_list!$C$88,SSP2_Baseline!$D:$D,Results_list!$D91,SSP2_Baseline!$B:$B,2040)) - (SUMIFS(SSP2_Baseline!$E:$E,SSP2_Baseline!$C:$C,Results_list!$C$88,SSP2_Baseline!$D:$D,Results_list!$D91,SSP2_Baseline!$B:$B,2025))) / (SUMIFS(SSP2_Baseline!$E:$E,SSP2_Baseline!$C:$C,Results_list!$C$88,SSP2_Baseline!$D:$D,Results_list!$D91,SSP2_Baseline!$B:$B,2025))</f>
        <v>2.5098736738996839E-2</v>
      </c>
      <c r="K91" s="16">
        <f>((SUMIFS(SSP2_VSI!$F:$F,SSP2_VSI!$C:$C,Results_list!$C$88,SSP2_VSI!$D:$D,Results_list!$D91,SSP2_VSI!$B:$B,2040)) - (SUMIFS(SSP2_VSI!$F:$F,SSP2_VSI!$C:$C,Results_list!$C$88,SSP2_VSI!$D:$D,Results_list!$D91,SSP2_VSI!$B:$B,2025))) / (SUMIFS(SSP2_VSI!$F:$F,SSP2_VSI!$C:$C,Results_list!$C$88,SSP2_VSI!$D:$D,Results_list!$D91,SSP2_VSI!$B:$B,2025))</f>
        <v>2.5089555169024017E-2</v>
      </c>
      <c r="L91" s="13">
        <f t="shared" si="49"/>
        <v>0</v>
      </c>
      <c r="M91" s="12">
        <f>((SUMIFS(SSP5_Baseline!$E:$E,SSP5_Baseline!$C:$C,Results_list!$C$88,SSP5_Baseline!$D:$D,Results_list!$D91,SSP5_Baseline!$B:$B,2040)) - (SUMIFS(SSP5_Baseline!$E:$E,SSP5_Baseline!$C:$C,Results_list!$C$88,SSP5_Baseline!$D:$D,Results_list!$D91,SSP5_Baseline!$B:$B,2025))) / (SUMIFS(SSP5_Baseline!$E:$E,SSP5_Baseline!$C:$C,Results_list!$C$88,SSP5_Baseline!$D:$D,Results_list!$D91,SSP5_Baseline!$B:$B,2025))</f>
        <v>8.0109426108032709E-3</v>
      </c>
      <c r="N91" s="16">
        <f>((SUMIFS(SSP5_VSI!$F:$F,SSP5_VSI!$C:$C,Results_list!$C$88,SSP5_VSI!$D:$D,Results_list!$D91,SSP5_VSI!$B:$B,2040)) - (SUMIFS(SSP5_VSI!$F:$F,SSP5_VSI!$C:$C,Results_list!$C$88,SSP5_VSI!$D:$D,Results_list!$D91,SSP5_VSI!$B:$B,2025))) / (SUMIFS(SSP5_VSI!$F:$F,SSP5_VSI!$C:$C,Results_list!$C$88,SSP5_VSI!$D:$D,Results_list!$D91,SSP5_VSI!$B:$B,2025))</f>
        <v>8.0206085233824713E-3</v>
      </c>
      <c r="O91" s="13">
        <f t="shared" si="50"/>
        <v>0</v>
      </c>
      <c r="AF91" s="85"/>
      <c r="AG91" s="85"/>
      <c r="AH91" t="s">
        <v>42</v>
      </c>
      <c r="AJ91" s="3" t="s">
        <v>90</v>
      </c>
      <c r="AK91" s="12">
        <f>((SUMIFS(SSP1_Baseline!$E:$E,SSP1_Baseline!$C:$C,Results_list!$C$277,SSP1_Baseline!$D:$D,Results_list!$D91,SSP1_Baseline!$B:$B,2040)) - (SUMIFS(SSP1_Baseline!$E:$E,SSP1_Baseline!$C:$C,Results_list!$C$277,SSP1_Baseline!$D:$D,Results_list!$D91,SSP1_Baseline!$B:$B,2025))) / (SUMIFS(SSP1_Baseline!$E:$E,SSP1_Baseline!$C:$C,Results_list!$C$277,SSP1_Baseline!$D:$D,Results_list!$D91,SSP1_Baseline!$B:$B,2025))</f>
        <v>-4.4286424113477198E-2</v>
      </c>
      <c r="AL91" s="16">
        <f>((SUMIFS(SSP1_VSI!$F:$F,SSP1_VSI!$C:$C,Results_list!$C$277,SSP1_VSI!$D:$D,Results_list!$D91,SSP1_VSI!$B:$B,2040)) - (SUMIFS(SSP1_VSI!$F:$F,SSP1_VSI!$C:$C,Results_list!$C$277,SSP1_VSI!$D:$D,Results_list!$D91,SSP1_VSI!$B:$B,2025))) / (SUMIFS(SSP1_VSI!$F:$F,SSP1_VSI!$C:$C,Results_list!$C$277,SSP1_VSI!$D:$D,Results_list!$D91,SSP1_VSI!$B:$B,2025))</f>
        <v>-4.4266987448491474E-2</v>
      </c>
      <c r="AM91" s="13">
        <f t="shared" si="51"/>
        <v>0</v>
      </c>
      <c r="AN91" s="12">
        <f>((SUMIFS(SSP2_Baseline!$E:$E,SSP2_Baseline!$C:$C,Results_list!$C$277,SSP2_Baseline!$D:$D,Results_list!$D91,SSP2_Baseline!$B:$B,2040)) - (SUMIFS(SSP2_Baseline!$E:$E,SSP2_Baseline!$C:$C,Results_list!$C$277,SSP2_Baseline!$D:$D,Results_list!$D91,SSP2_Baseline!$B:$B,2025))) / (SUMIFS(SSP2_Baseline!$E:$E,SSP2_Baseline!$C:$C,Results_list!$C$277,SSP2_Baseline!$D:$D,Results_list!$D91,SSP2_Baseline!$B:$B,2025))</f>
        <v>-1.9884496304490282E-2</v>
      </c>
      <c r="AO91" s="16">
        <f>((SUMIFS(SSP2_VSI!$F:$F,SSP2_VSI!$C:$C,Results_list!$C$277,SSP2_VSI!$D:$D,Results_list!$D91,SSP2_VSI!$B:$B,2040)) - (SUMIFS(SSP2_VSI!$F:$F,SSP2_VSI!$C:$C,Results_list!$C$277,SSP2_VSI!$D:$D,Results_list!$D91,SSP2_VSI!$B:$B,2025))) / (SUMIFS(SSP2_VSI!$F:$F,SSP2_VSI!$C:$C,Results_list!$C$277,SSP2_VSI!$D:$D,Results_list!$D91,SSP2_VSI!$B:$B,2025))</f>
        <v>-1.9878389796395626E-2</v>
      </c>
      <c r="AP91" s="13">
        <f t="shared" si="52"/>
        <v>0</v>
      </c>
      <c r="AQ91" s="12">
        <f>((SUMIFS(SSP5_Baseline!$E:$E,SSP5_Baseline!$C:$C,Results_list!$C$277,SSP5_Baseline!$D:$D,Results_list!$D91,SSP5_Baseline!$B:$B,2040)) - (SUMIFS(SSP5_Baseline!$E:$E,SSP5_Baseline!$C:$C,Results_list!$C$277,SSP5_Baseline!$D:$D,Results_list!$D91,SSP5_Baseline!$B:$B,2025))) / (SUMIFS(SSP5_Baseline!$E:$E,SSP5_Baseline!$C:$C,Results_list!$C$277,SSP5_Baseline!$D:$D,Results_list!$D91,SSP5_Baseline!$B:$B,2025))</f>
        <v>5.5872163186667836E-2</v>
      </c>
      <c r="AR91" s="16">
        <f>((SUMIFS(SSP5_VSI!$F:$F,SSP5_VSI!$C:$C,Results_list!$C$277,SSP5_VSI!$D:$D,Results_list!$D91,SSP5_VSI!$B:$B,2040)) - (SUMIFS(SSP5_VSI!$F:$F,SSP5_VSI!$C:$C,Results_list!$C$277,SSP5_VSI!$D:$D,Results_list!$D91,SSP5_VSI!$B:$B,2025))) / (SUMIFS(SSP5_VSI!$F:$F,SSP5_VSI!$C:$C,Results_list!$C$277,SSP5_VSI!$D:$D,Results_list!$D91,SSP5_VSI!$B:$B,2025))</f>
        <v>5.5978919203761676E-2</v>
      </c>
      <c r="AS91" s="13">
        <f t="shared" si="53"/>
        <v>0</v>
      </c>
      <c r="AU91" s="87"/>
      <c r="AV91" s="87"/>
      <c r="AW91" t="s">
        <v>42</v>
      </c>
      <c r="AY91" s="3" t="s">
        <v>90</v>
      </c>
      <c r="AZ91" s="12">
        <f>((SUMIFS(SSP1_Baseline!$E:$E,SSP1_Baseline!$C:$C,Results_list!$C$382,SSP1_Baseline!$D:$D,Results_list!$D91,SSP1_Baseline!$B:$B,2040)) - (SUMIFS(SSP1_Baseline!$E:$E,SSP1_Baseline!$C:$C,Results_list!$C$382,SSP1_Baseline!$D:$D,Results_list!$D91,SSP1_Baseline!$B:$B,2025))) / (SUMIFS(SSP1_Baseline!$E:$E,SSP1_Baseline!$C:$C,Results_list!$C$382,SSP1_Baseline!$D:$D,Results_list!$D91,SSP1_Baseline!$B:$B,2025))</f>
        <v>-3.3168771387051287E-2</v>
      </c>
      <c r="BA91" s="16">
        <f>((SUMIFS(SSP1_VSI!$F:$F,SSP1_VSI!$C:$C,Results_list!$C$382,SSP1_VSI!$D:$D,Results_list!$D91,SSP1_VSI!$B:$B,2040)) - (SUMIFS(SSP1_VSI!$F:$F,SSP1_VSI!$C:$C,Results_list!$C$382,SSP1_VSI!$D:$D,Results_list!$D91,SSP1_VSI!$B:$B,2025))) / (SUMIFS(SSP1_VSI!$F:$F,SSP1_VSI!$C:$C,Results_list!$C$382,SSP1_VSI!$D:$D,Results_list!$D91,SSP1_VSI!$B:$B,2025))</f>
        <v>-0.75514703341663469</v>
      </c>
      <c r="BB91" s="13">
        <f t="shared" si="54"/>
        <v>-0.72199999999999998</v>
      </c>
      <c r="BC91" s="12">
        <f>((SUMIFS(SSP2_Baseline!$E:$E,SSP2_Baseline!$C:$C,Results_list!$C$382,SSP2_Baseline!$D:$D,Results_list!$D91,SSP2_Baseline!$B:$B,2040)) - (SUMIFS(SSP2_Baseline!$E:$E,SSP2_Baseline!$C:$C,Results_list!$C$382,SSP2_Baseline!$D:$D,Results_list!$D91,SSP2_Baseline!$B:$B,2025))) / (SUMIFS(SSP2_Baseline!$E:$E,SSP2_Baseline!$C:$C,Results_list!$C$382,SSP2_Baseline!$D:$D,Results_list!$D91,SSP2_Baseline!$B:$B,2025))</f>
        <v>-3.3559783390086452E-2</v>
      </c>
      <c r="BD91" s="16">
        <f>((SUMIFS(SSP2_VSI!$F:$F,SSP2_VSI!$C:$C,Results_list!$C$382,SSP2_VSI!$D:$D,Results_list!$D91,SSP2_VSI!$B:$B,2040)) - (SUMIFS(SSP2_VSI!$F:$F,SSP2_VSI!$C:$C,Results_list!$C$382,SSP2_VSI!$D:$D,Results_list!$D91,SSP2_VSI!$B:$B,2025))) / (SUMIFS(SSP2_VSI!$F:$F,SSP2_VSI!$C:$C,Results_list!$C$382,SSP2_VSI!$D:$D,Results_list!$D91,SSP2_VSI!$B:$B,2025))</f>
        <v>-0.75874566540796085</v>
      </c>
      <c r="BE91" s="13">
        <f t="shared" si="55"/>
        <v>-0.73</v>
      </c>
      <c r="BF91" s="12">
        <f>((SUMIFS(SSP5_Baseline!$E:$E,SSP5_Baseline!$C:$C,Results_list!$C$382,SSP5_Baseline!$D:$D,Results_list!$D91,SSP5_Baseline!$B:$B,2040)) - (SUMIFS(SSP5_Baseline!$E:$E,SSP5_Baseline!$C:$C,Results_list!$C$382,SSP5_Baseline!$D:$D,Results_list!$D91,SSP5_Baseline!$B:$B,2025))) / (SUMIFS(SSP5_Baseline!$E:$E,SSP5_Baseline!$C:$C,Results_list!$C$382,SSP5_Baseline!$D:$D,Results_list!$D91,SSP5_Baseline!$B:$B,2025))</f>
        <v>2.1252534394157082E-2</v>
      </c>
      <c r="BG91" s="16">
        <f>((SUMIFS(SSP5_VSI!$F:$F,SSP5_VSI!$C:$C,Results_list!$C$382,SSP5_VSI!$D:$D,Results_list!$D91,SSP5_VSI!$B:$B,2040)) - (SUMIFS(SSP5_VSI!$F:$F,SSP5_VSI!$C:$C,Results_list!$C$382,SSP5_VSI!$D:$D,Results_list!$D91,SSP5_VSI!$B:$B,2025))) / (SUMIFS(SSP5_VSI!$F:$F,SSP5_VSI!$C:$C,Results_list!$C$382,SSP5_VSI!$D:$D,Results_list!$D91,SSP5_VSI!$B:$B,2025))</f>
        <v>-0.69574627357275942</v>
      </c>
      <c r="BH91" s="13">
        <f t="shared" si="56"/>
        <v>-0.72</v>
      </c>
    </row>
    <row r="92" spans="2:60" x14ac:dyDescent="0.35">
      <c r="B92" s="91"/>
      <c r="C92" s="91"/>
      <c r="D92" s="22" t="s">
        <v>43</v>
      </c>
      <c r="F92" s="3" t="s">
        <v>91</v>
      </c>
      <c r="G92" s="12">
        <f>((SUMIFS(SSP1_Baseline!$E:$E,SSP1_Baseline!$C:$C,Results_list!$C$88,SSP1_Baseline!$D:$D,Results_list!$D92,SSP1_Baseline!$B:$B,2040)) - (SUMIFS(SSP1_Baseline!$E:$E,SSP1_Baseline!$C:$C,Results_list!$C$88,SSP1_Baseline!$D:$D,Results_list!$D92,SSP1_Baseline!$B:$B,2025))) / (SUMIFS(SSP1_Baseline!$E:$E,SSP1_Baseline!$C:$C,Results_list!$C$88,SSP1_Baseline!$D:$D,Results_list!$D92,SSP1_Baseline!$B:$B,2025))</f>
        <v>-5.033682202088466E-3</v>
      </c>
      <c r="H92" s="16">
        <f>((SUMIFS(SSP1_VSI!$F:$F,SSP1_VSI!$C:$C,Results_list!$C$88,SSP1_VSI!$D:$D,Results_list!$D92,SSP1_VSI!$B:$B,2040)) - (SUMIFS(SSP1_VSI!$F:$F,SSP1_VSI!$C:$C,Results_list!$C$88,SSP1_VSI!$D:$D,Results_list!$D92,SSP1_VSI!$B:$B,2025))) / (SUMIFS(SSP1_VSI!$F:$F,SSP1_VSI!$C:$C,Results_list!$C$88,SSP1_VSI!$D:$D,Results_list!$D92,SSP1_VSI!$B:$B,2025))</f>
        <v>-5.0752829280514555E-3</v>
      </c>
      <c r="I92" s="13">
        <f t="shared" si="48"/>
        <v>0</v>
      </c>
      <c r="J92" s="12">
        <f>((SUMIFS(SSP2_Baseline!$E:$E,SSP2_Baseline!$C:$C,Results_list!$C$88,SSP2_Baseline!$D:$D,Results_list!$D92,SSP2_Baseline!$B:$B,2040)) - (SUMIFS(SSP2_Baseline!$E:$E,SSP2_Baseline!$C:$C,Results_list!$C$88,SSP2_Baseline!$D:$D,Results_list!$D92,SSP2_Baseline!$B:$B,2025))) / (SUMIFS(SSP2_Baseline!$E:$E,SSP2_Baseline!$C:$C,Results_list!$C$88,SSP2_Baseline!$D:$D,Results_list!$D92,SSP2_Baseline!$B:$B,2025))</f>
        <v>0.10401860444235379</v>
      </c>
      <c r="K92" s="16">
        <f>((SUMIFS(SSP2_VSI!$F:$F,SSP2_VSI!$C:$C,Results_list!$C$88,SSP2_VSI!$D:$D,Results_list!$D92,SSP2_VSI!$B:$B,2040)) - (SUMIFS(SSP2_VSI!$F:$F,SSP2_VSI!$C:$C,Results_list!$C$88,SSP2_VSI!$D:$D,Results_list!$D92,SSP2_VSI!$B:$B,2025))) / (SUMIFS(SSP2_VSI!$F:$F,SSP2_VSI!$C:$C,Results_list!$C$88,SSP2_VSI!$D:$D,Results_list!$D92,SSP2_VSI!$B:$B,2025))</f>
        <v>0.10400199509039205</v>
      </c>
      <c r="L92" s="13">
        <f t="shared" si="49"/>
        <v>0</v>
      </c>
      <c r="M92" s="12">
        <f>((SUMIFS(SSP5_Baseline!$E:$E,SSP5_Baseline!$C:$C,Results_list!$C$88,SSP5_Baseline!$D:$D,Results_list!$D92,SSP5_Baseline!$B:$B,2040)) - (SUMIFS(SSP5_Baseline!$E:$E,SSP5_Baseline!$C:$C,Results_list!$C$88,SSP5_Baseline!$D:$D,Results_list!$D92,SSP5_Baseline!$B:$B,2025))) / (SUMIFS(SSP5_Baseline!$E:$E,SSP5_Baseline!$C:$C,Results_list!$C$88,SSP5_Baseline!$D:$D,Results_list!$D92,SSP5_Baseline!$B:$B,2025))</f>
        <v>0.11734263481757352</v>
      </c>
      <c r="N92" s="16">
        <f>((SUMIFS(SSP5_VSI!$F:$F,SSP5_VSI!$C:$C,Results_list!$C$88,SSP5_VSI!$D:$D,Results_list!$D92,SSP5_VSI!$B:$B,2040)) - (SUMIFS(SSP5_VSI!$F:$F,SSP5_VSI!$C:$C,Results_list!$C$88,SSP5_VSI!$D:$D,Results_list!$D92,SSP5_VSI!$B:$B,2025))) / (SUMIFS(SSP5_VSI!$F:$F,SSP5_VSI!$C:$C,Results_list!$C$88,SSP5_VSI!$D:$D,Results_list!$D92,SSP5_VSI!$B:$B,2025))</f>
        <v>0.11730547813808775</v>
      </c>
      <c r="O92" s="13">
        <f t="shared" si="50"/>
        <v>0</v>
      </c>
      <c r="AF92" s="85"/>
      <c r="AG92" s="85"/>
      <c r="AH92" t="s">
        <v>43</v>
      </c>
      <c r="AJ92" s="3" t="s">
        <v>91</v>
      </c>
      <c r="AK92" s="12">
        <f>((SUMIFS(SSP1_Baseline!$E:$E,SSP1_Baseline!$C:$C,Results_list!$C$277,SSP1_Baseline!$D:$D,Results_list!$D92,SSP1_Baseline!$B:$B,2040)) - (SUMIFS(SSP1_Baseline!$E:$E,SSP1_Baseline!$C:$C,Results_list!$C$277,SSP1_Baseline!$D:$D,Results_list!$D92,SSP1_Baseline!$B:$B,2025))) / (SUMIFS(SSP1_Baseline!$E:$E,SSP1_Baseline!$C:$C,Results_list!$C$277,SSP1_Baseline!$D:$D,Results_list!$D92,SSP1_Baseline!$B:$B,2025))</f>
        <v>-4.9520715131353303E-2</v>
      </c>
      <c r="AL92" s="16">
        <f>((SUMIFS(SSP1_VSI!$F:$F,SSP1_VSI!$C:$C,Results_list!$C$277,SSP1_VSI!$D:$D,Results_list!$D92,SSP1_VSI!$B:$B,2040)) - (SUMIFS(SSP1_VSI!$F:$F,SSP1_VSI!$C:$C,Results_list!$C$277,SSP1_VSI!$D:$D,Results_list!$D92,SSP1_VSI!$B:$B,2025))) / (SUMIFS(SSP1_VSI!$F:$F,SSP1_VSI!$C:$C,Results_list!$C$277,SSP1_VSI!$D:$D,Results_list!$D92,SSP1_VSI!$B:$B,2025))</f>
        <v>-4.9537529829066618E-2</v>
      </c>
      <c r="AM92" s="13">
        <f t="shared" si="51"/>
        <v>0</v>
      </c>
      <c r="AN92" s="12">
        <f>((SUMIFS(SSP2_Baseline!$E:$E,SSP2_Baseline!$C:$C,Results_list!$C$277,SSP2_Baseline!$D:$D,Results_list!$D92,SSP2_Baseline!$B:$B,2040)) - (SUMIFS(SSP2_Baseline!$E:$E,SSP2_Baseline!$C:$C,Results_list!$C$277,SSP2_Baseline!$D:$D,Results_list!$D92,SSP2_Baseline!$B:$B,2025))) / (SUMIFS(SSP2_Baseline!$E:$E,SSP2_Baseline!$C:$C,Results_list!$C$277,SSP2_Baseline!$D:$D,Results_list!$D92,SSP2_Baseline!$B:$B,2025))</f>
        <v>5.9268455722604621E-3</v>
      </c>
      <c r="AO92" s="16">
        <f>((SUMIFS(SSP2_VSI!$F:$F,SSP2_VSI!$C:$C,Results_list!$C$277,SSP2_VSI!$D:$D,Results_list!$D92,SSP2_VSI!$B:$B,2040)) - (SUMIFS(SSP2_VSI!$F:$F,SSP2_VSI!$C:$C,Results_list!$C$277,SSP2_VSI!$D:$D,Results_list!$D92,SSP2_VSI!$B:$B,2025))) / (SUMIFS(SSP2_VSI!$F:$F,SSP2_VSI!$C:$C,Results_list!$C$277,SSP2_VSI!$D:$D,Results_list!$D92,SSP2_VSI!$B:$B,2025))</f>
        <v>5.9349672356282905E-3</v>
      </c>
      <c r="AP92" s="13">
        <f t="shared" si="52"/>
        <v>0</v>
      </c>
      <c r="AQ92" s="12">
        <f>((SUMIFS(SSP5_Baseline!$E:$E,SSP5_Baseline!$C:$C,Results_list!$C$277,SSP5_Baseline!$D:$D,Results_list!$D92,SSP5_Baseline!$B:$B,2040)) - (SUMIFS(SSP5_Baseline!$E:$E,SSP5_Baseline!$C:$C,Results_list!$C$277,SSP5_Baseline!$D:$D,Results_list!$D92,SSP5_Baseline!$B:$B,2025))) / (SUMIFS(SSP5_Baseline!$E:$E,SSP5_Baseline!$C:$C,Results_list!$C$277,SSP5_Baseline!$D:$D,Results_list!$D92,SSP5_Baseline!$B:$B,2025))</f>
        <v>3.0457509037708639E-2</v>
      </c>
      <c r="AR92" s="16">
        <f>((SUMIFS(SSP5_VSI!$F:$F,SSP5_VSI!$C:$C,Results_list!$C$277,SSP5_VSI!$D:$D,Results_list!$D92,SSP5_VSI!$B:$B,2040)) - (SUMIFS(SSP5_VSI!$F:$F,SSP5_VSI!$C:$C,Results_list!$C$277,SSP5_VSI!$D:$D,Results_list!$D92,SSP5_VSI!$B:$B,2025))) / (SUMIFS(SSP5_VSI!$F:$F,SSP5_VSI!$C:$C,Results_list!$C$277,SSP5_VSI!$D:$D,Results_list!$D92,SSP5_VSI!$B:$B,2025))</f>
        <v>3.0449822484350065E-2</v>
      </c>
      <c r="AS92" s="13">
        <f t="shared" si="53"/>
        <v>0</v>
      </c>
      <c r="AU92" s="87"/>
      <c r="AV92" s="87"/>
      <c r="AW92" t="s">
        <v>43</v>
      </c>
      <c r="AY92" s="3" t="s">
        <v>91</v>
      </c>
      <c r="AZ92" s="12">
        <f>((SUMIFS(SSP1_Baseline!$E:$E,SSP1_Baseline!$C:$C,Results_list!$C$382,SSP1_Baseline!$D:$D,Results_list!$D92,SSP1_Baseline!$B:$B,2040)) - (SUMIFS(SSP1_Baseline!$E:$E,SSP1_Baseline!$C:$C,Results_list!$C$382,SSP1_Baseline!$D:$D,Results_list!$D92,SSP1_Baseline!$B:$B,2025))) / (SUMIFS(SSP1_Baseline!$E:$E,SSP1_Baseline!$C:$C,Results_list!$C$382,SSP1_Baseline!$D:$D,Results_list!$D92,SSP1_Baseline!$B:$B,2025))</f>
        <v>-0.19805613170218592</v>
      </c>
      <c r="BA92" s="16">
        <f>((SUMIFS(SSP1_VSI!$F:$F,SSP1_VSI!$C:$C,Results_list!$C$382,SSP1_VSI!$D:$D,Results_list!$D92,SSP1_VSI!$B:$B,2040)) - (SUMIFS(SSP1_VSI!$F:$F,SSP1_VSI!$C:$C,Results_list!$C$382,SSP1_VSI!$D:$D,Results_list!$D92,SSP1_VSI!$B:$B,2025))) / (SUMIFS(SSP1_VSI!$F:$F,SSP1_VSI!$C:$C,Results_list!$C$382,SSP1_VSI!$D:$D,Results_list!$D92,SSP1_VSI!$B:$B,2025))</f>
        <v>-0.19808989495501578</v>
      </c>
      <c r="BB92" s="13">
        <f t="shared" si="54"/>
        <v>0</v>
      </c>
      <c r="BC92" s="12">
        <f>((SUMIFS(SSP2_Baseline!$E:$E,SSP2_Baseline!$C:$C,Results_list!$C$382,SSP2_Baseline!$D:$D,Results_list!$D92,SSP2_Baseline!$B:$B,2040)) - (SUMIFS(SSP2_Baseline!$E:$E,SSP2_Baseline!$C:$C,Results_list!$C$382,SSP2_Baseline!$D:$D,Results_list!$D92,SSP2_Baseline!$B:$B,2025))) / (SUMIFS(SSP2_Baseline!$E:$E,SSP2_Baseline!$C:$C,Results_list!$C$382,SSP2_Baseline!$D:$D,Results_list!$D92,SSP2_Baseline!$B:$B,2025))</f>
        <v>-0.13593253806354055</v>
      </c>
      <c r="BD92" s="16">
        <f>((SUMIFS(SSP2_VSI!$F:$F,SSP2_VSI!$C:$C,Results_list!$C$382,SSP2_VSI!$D:$D,Results_list!$D92,SSP2_VSI!$B:$B,2040)) - (SUMIFS(SSP2_VSI!$F:$F,SSP2_VSI!$C:$C,Results_list!$C$382,SSP2_VSI!$D:$D,Results_list!$D92,SSP2_VSI!$B:$B,2025))) / (SUMIFS(SSP2_VSI!$F:$F,SSP2_VSI!$C:$C,Results_list!$C$382,SSP2_VSI!$D:$D,Results_list!$D92,SSP2_VSI!$B:$B,2025))</f>
        <v>-0.13591424382618938</v>
      </c>
      <c r="BE92" s="13">
        <f t="shared" si="55"/>
        <v>0</v>
      </c>
      <c r="BF92" s="12">
        <f>((SUMIFS(SSP5_Baseline!$E:$E,SSP5_Baseline!$C:$C,Results_list!$C$382,SSP5_Baseline!$D:$D,Results_list!$D92,SSP5_Baseline!$B:$B,2040)) - (SUMIFS(SSP5_Baseline!$E:$E,SSP5_Baseline!$C:$C,Results_list!$C$382,SSP5_Baseline!$D:$D,Results_list!$D92,SSP5_Baseline!$B:$B,2025))) / (SUMIFS(SSP5_Baseline!$E:$E,SSP5_Baseline!$C:$C,Results_list!$C$382,SSP5_Baseline!$D:$D,Results_list!$D92,SSP5_Baseline!$B:$B,2025))</f>
        <v>-1.5588267191318927E-2</v>
      </c>
      <c r="BG92" s="16">
        <f>((SUMIFS(SSP5_VSI!$F:$F,SSP5_VSI!$C:$C,Results_list!$C$382,SSP5_VSI!$D:$D,Results_list!$D92,SSP5_VSI!$B:$B,2040)) - (SUMIFS(SSP5_VSI!$F:$F,SSP5_VSI!$C:$C,Results_list!$C$382,SSP5_VSI!$D:$D,Results_list!$D92,SSP5_VSI!$B:$B,2025))) / (SUMIFS(SSP5_VSI!$F:$F,SSP5_VSI!$C:$C,Results_list!$C$382,SSP5_VSI!$D:$D,Results_list!$D92,SSP5_VSI!$B:$B,2025))</f>
        <v>-1.5602190146727849E-2</v>
      </c>
      <c r="BH92" s="13">
        <f t="shared" si="56"/>
        <v>0</v>
      </c>
    </row>
    <row r="93" spans="2:60" x14ac:dyDescent="0.35">
      <c r="B93" s="91"/>
      <c r="C93" s="91"/>
      <c r="D93" s="22" t="s">
        <v>44</v>
      </c>
      <c r="F93" s="3" t="s">
        <v>92</v>
      </c>
      <c r="G93" s="12">
        <f>((SUMIFS(SSP1_Baseline!$E:$E,SSP1_Baseline!$C:$C,Results_list!$C$88,SSP1_Baseline!$D:$D,Results_list!$D93,SSP1_Baseline!$B:$B,2040)) - (SUMIFS(SSP1_Baseline!$E:$E,SSP1_Baseline!$C:$C,Results_list!$C$88,SSP1_Baseline!$D:$D,Results_list!$D93,SSP1_Baseline!$B:$B,2025))) / (SUMIFS(SSP1_Baseline!$E:$E,SSP1_Baseline!$C:$C,Results_list!$C$88,SSP1_Baseline!$D:$D,Results_list!$D93,SSP1_Baseline!$B:$B,2025))</f>
        <v>-0.13831154552099884</v>
      </c>
      <c r="H93" s="16">
        <f>((SUMIFS(SSP1_VSI!$F:$F,SSP1_VSI!$C:$C,Results_list!$C$88,SSP1_VSI!$D:$D,Results_list!$D93,SSP1_VSI!$B:$B,2040)) - (SUMIFS(SSP1_VSI!$F:$F,SSP1_VSI!$C:$C,Results_list!$C$88,SSP1_VSI!$D:$D,Results_list!$D93,SSP1_VSI!$B:$B,2025))) / (SUMIFS(SSP1_VSI!$F:$F,SSP1_VSI!$C:$C,Results_list!$C$88,SSP1_VSI!$D:$D,Results_list!$D93,SSP1_VSI!$B:$B,2025))</f>
        <v>-0.1383841473584069</v>
      </c>
      <c r="I93" s="13">
        <f t="shared" si="48"/>
        <v>0</v>
      </c>
      <c r="J93" s="12">
        <f>((SUMIFS(SSP2_Baseline!$E:$E,SSP2_Baseline!$C:$C,Results_list!$C$88,SSP2_Baseline!$D:$D,Results_list!$D93,SSP2_Baseline!$B:$B,2040)) - (SUMIFS(SSP2_Baseline!$E:$E,SSP2_Baseline!$C:$C,Results_list!$C$88,SSP2_Baseline!$D:$D,Results_list!$D93,SSP2_Baseline!$B:$B,2025))) / (SUMIFS(SSP2_Baseline!$E:$E,SSP2_Baseline!$C:$C,Results_list!$C$88,SSP2_Baseline!$D:$D,Results_list!$D93,SSP2_Baseline!$B:$B,2025))</f>
        <v>-7.1974472316881588E-2</v>
      </c>
      <c r="K93" s="16">
        <f>((SUMIFS(SSP2_VSI!$F:$F,SSP2_VSI!$C:$C,Results_list!$C$88,SSP2_VSI!$D:$D,Results_list!$D93,SSP2_VSI!$B:$B,2040)) - (SUMIFS(SSP2_VSI!$F:$F,SSP2_VSI!$C:$C,Results_list!$C$88,SSP2_VSI!$D:$D,Results_list!$D93,SSP2_VSI!$B:$B,2025))) / (SUMIFS(SSP2_VSI!$F:$F,SSP2_VSI!$C:$C,Results_list!$C$88,SSP2_VSI!$D:$D,Results_list!$D93,SSP2_VSI!$B:$B,2025))</f>
        <v>-7.1971588373650558E-2</v>
      </c>
      <c r="L93" s="13">
        <f t="shared" si="49"/>
        <v>0</v>
      </c>
      <c r="M93" s="12">
        <f>((SUMIFS(SSP5_Baseline!$E:$E,SSP5_Baseline!$C:$C,Results_list!$C$88,SSP5_Baseline!$D:$D,Results_list!$D93,SSP5_Baseline!$B:$B,2040)) - (SUMIFS(SSP5_Baseline!$E:$E,SSP5_Baseline!$C:$C,Results_list!$C$88,SSP5_Baseline!$D:$D,Results_list!$D93,SSP5_Baseline!$B:$B,2025))) / (SUMIFS(SSP5_Baseline!$E:$E,SSP5_Baseline!$C:$C,Results_list!$C$88,SSP5_Baseline!$D:$D,Results_list!$D93,SSP5_Baseline!$B:$B,2025))</f>
        <v>-2.7576254944579735E-2</v>
      </c>
      <c r="N93" s="16">
        <f>((SUMIFS(SSP5_VSI!$F:$F,SSP5_VSI!$C:$C,Results_list!$C$88,SSP5_VSI!$D:$D,Results_list!$D93,SSP5_VSI!$B:$B,2040)) - (SUMIFS(SSP5_VSI!$F:$F,SSP5_VSI!$C:$C,Results_list!$C$88,SSP5_VSI!$D:$D,Results_list!$D93,SSP5_VSI!$B:$B,2025))) / (SUMIFS(SSP5_VSI!$F:$F,SSP5_VSI!$C:$C,Results_list!$C$88,SSP5_VSI!$D:$D,Results_list!$D93,SSP5_VSI!$B:$B,2025))</f>
        <v>-2.7558961234801269E-2</v>
      </c>
      <c r="O93" s="13">
        <f t="shared" si="50"/>
        <v>0</v>
      </c>
      <c r="AF93" s="85"/>
      <c r="AG93" s="85"/>
      <c r="AH93" t="s">
        <v>44</v>
      </c>
      <c r="AJ93" s="3" t="s">
        <v>92</v>
      </c>
      <c r="AK93" s="12">
        <f>((SUMIFS(SSP1_Baseline!$E:$E,SSP1_Baseline!$C:$C,Results_list!$C$277,SSP1_Baseline!$D:$D,Results_list!$D93,SSP1_Baseline!$B:$B,2040)) - (SUMIFS(SSP1_Baseline!$E:$E,SSP1_Baseline!$C:$C,Results_list!$C$277,SSP1_Baseline!$D:$D,Results_list!$D93,SSP1_Baseline!$B:$B,2025))) / (SUMIFS(SSP1_Baseline!$E:$E,SSP1_Baseline!$C:$C,Results_list!$C$277,SSP1_Baseline!$D:$D,Results_list!$D93,SSP1_Baseline!$B:$B,2025))</f>
        <v>-0.16063694172307416</v>
      </c>
      <c r="AL93" s="16">
        <f>((SUMIFS(SSP1_VSI!$F:$F,SSP1_VSI!$C:$C,Results_list!$C$277,SSP1_VSI!$D:$D,Results_list!$D93,SSP1_VSI!$B:$B,2040)) - (SUMIFS(SSP1_VSI!$F:$F,SSP1_VSI!$C:$C,Results_list!$C$277,SSP1_VSI!$D:$D,Results_list!$D93,SSP1_VSI!$B:$B,2025))) / (SUMIFS(SSP1_VSI!$F:$F,SSP1_VSI!$C:$C,Results_list!$C$277,SSP1_VSI!$D:$D,Results_list!$D93,SSP1_VSI!$B:$B,2025))</f>
        <v>-0.16074225056447458</v>
      </c>
      <c r="AM93" s="13">
        <f t="shared" si="51"/>
        <v>0</v>
      </c>
      <c r="AN93" s="12">
        <f>((SUMIFS(SSP2_Baseline!$E:$E,SSP2_Baseline!$C:$C,Results_list!$C$277,SSP2_Baseline!$D:$D,Results_list!$D93,SSP2_Baseline!$B:$B,2040)) - (SUMIFS(SSP2_Baseline!$E:$E,SSP2_Baseline!$C:$C,Results_list!$C$277,SSP2_Baseline!$D:$D,Results_list!$D93,SSP2_Baseline!$B:$B,2025))) / (SUMIFS(SSP2_Baseline!$E:$E,SSP2_Baseline!$C:$C,Results_list!$C$277,SSP2_Baseline!$D:$D,Results_list!$D93,SSP2_Baseline!$B:$B,2025))</f>
        <v>-0.11856844683192436</v>
      </c>
      <c r="AO93" s="16">
        <f>((SUMIFS(SSP2_VSI!$F:$F,SSP2_VSI!$C:$C,Results_list!$C$277,SSP2_VSI!$D:$D,Results_list!$D93,SSP2_VSI!$B:$B,2040)) - (SUMIFS(SSP2_VSI!$F:$F,SSP2_VSI!$C:$C,Results_list!$C$277,SSP2_VSI!$D:$D,Results_list!$D93,SSP2_VSI!$B:$B,2025))) / (SUMIFS(SSP2_VSI!$F:$F,SSP2_VSI!$C:$C,Results_list!$C$277,SSP2_VSI!$D:$D,Results_list!$D93,SSP2_VSI!$B:$B,2025))</f>
        <v>-0.11855329958533493</v>
      </c>
      <c r="AP93" s="13">
        <f t="shared" si="52"/>
        <v>0</v>
      </c>
      <c r="AQ93" s="12">
        <f>((SUMIFS(SSP5_Baseline!$E:$E,SSP5_Baseline!$C:$C,Results_list!$C$277,SSP5_Baseline!$D:$D,Results_list!$D93,SSP5_Baseline!$B:$B,2040)) - (SUMIFS(SSP5_Baseline!$E:$E,SSP5_Baseline!$C:$C,Results_list!$C$277,SSP5_Baseline!$D:$D,Results_list!$D93,SSP5_Baseline!$B:$B,2025))) / (SUMIFS(SSP5_Baseline!$E:$E,SSP5_Baseline!$C:$C,Results_list!$C$277,SSP5_Baseline!$D:$D,Results_list!$D93,SSP5_Baseline!$B:$B,2025))</f>
        <v>-7.805622198016917E-3</v>
      </c>
      <c r="AR93" s="16">
        <f>((SUMIFS(SSP5_VSI!$F:$F,SSP5_VSI!$C:$C,Results_list!$C$277,SSP5_VSI!$D:$D,Results_list!$D93,SSP5_VSI!$B:$B,2040)) - (SUMIFS(SSP5_VSI!$F:$F,SSP5_VSI!$C:$C,Results_list!$C$277,SSP5_VSI!$D:$D,Results_list!$D93,SSP5_VSI!$B:$B,2025))) / (SUMIFS(SSP5_VSI!$F:$F,SSP5_VSI!$C:$C,Results_list!$C$277,SSP5_VSI!$D:$D,Results_list!$D93,SSP5_VSI!$B:$B,2025))</f>
        <v>-7.7726923635468232E-3</v>
      </c>
      <c r="AS93" s="13">
        <f t="shared" si="53"/>
        <v>0</v>
      </c>
      <c r="AU93" s="87"/>
      <c r="AV93" s="87"/>
      <c r="AW93" t="s">
        <v>44</v>
      </c>
      <c r="AY93" s="3" t="s">
        <v>92</v>
      </c>
      <c r="AZ93" s="12">
        <f>((SUMIFS(SSP1_Baseline!$E:$E,SSP1_Baseline!$C:$C,Results_list!$C$382,SSP1_Baseline!$D:$D,Results_list!$D93,SSP1_Baseline!$B:$B,2040)) - (SUMIFS(SSP1_Baseline!$E:$E,SSP1_Baseline!$C:$C,Results_list!$C$382,SSP1_Baseline!$D:$D,Results_list!$D93,SSP1_Baseline!$B:$B,2025))) / (SUMIFS(SSP1_Baseline!$E:$E,SSP1_Baseline!$C:$C,Results_list!$C$382,SSP1_Baseline!$D:$D,Results_list!$D93,SSP1_Baseline!$B:$B,2025))</f>
        <v>-0.28142828852548096</v>
      </c>
      <c r="BA93" s="16">
        <f>((SUMIFS(SSP1_VSI!$F:$F,SSP1_VSI!$C:$C,Results_list!$C$382,SSP1_VSI!$D:$D,Results_list!$D93,SSP1_VSI!$B:$B,2040)) - (SUMIFS(SSP1_VSI!$F:$F,SSP1_VSI!$C:$C,Results_list!$C$382,SSP1_VSI!$D:$D,Results_list!$D93,SSP1_VSI!$B:$B,2025))) / (SUMIFS(SSP1_VSI!$F:$F,SSP1_VSI!$C:$C,Results_list!$C$382,SSP1_VSI!$D:$D,Results_list!$D93,SSP1_VSI!$B:$B,2025))</f>
        <v>-0.28151863919348513</v>
      </c>
      <c r="BB93" s="13">
        <f t="shared" si="54"/>
        <v>0</v>
      </c>
      <c r="BC93" s="12">
        <f>((SUMIFS(SSP2_Baseline!$E:$E,SSP2_Baseline!$C:$C,Results_list!$C$382,SSP2_Baseline!$D:$D,Results_list!$D93,SSP2_Baseline!$B:$B,2040)) - (SUMIFS(SSP2_Baseline!$E:$E,SSP2_Baseline!$C:$C,Results_list!$C$382,SSP2_Baseline!$D:$D,Results_list!$D93,SSP2_Baseline!$B:$B,2025))) / (SUMIFS(SSP2_Baseline!$E:$E,SSP2_Baseline!$C:$C,Results_list!$C$382,SSP2_Baseline!$D:$D,Results_list!$D93,SSP2_Baseline!$B:$B,2025))</f>
        <v>-0.2759727948787169</v>
      </c>
      <c r="BD93" s="16">
        <f>((SUMIFS(SSP2_VSI!$F:$F,SSP2_VSI!$C:$C,Results_list!$C$382,SSP2_VSI!$D:$D,Results_list!$D93,SSP2_VSI!$B:$B,2040)) - (SUMIFS(SSP2_VSI!$F:$F,SSP2_VSI!$C:$C,Results_list!$C$382,SSP2_VSI!$D:$D,Results_list!$D93,SSP2_VSI!$B:$B,2025))) / (SUMIFS(SSP2_VSI!$F:$F,SSP2_VSI!$C:$C,Results_list!$C$382,SSP2_VSI!$D:$D,Results_list!$D93,SSP2_VSI!$B:$B,2025))</f>
        <v>-0.27597372155187172</v>
      </c>
      <c r="BE93" s="13">
        <f t="shared" si="55"/>
        <v>0</v>
      </c>
      <c r="BF93" s="12">
        <f>((SUMIFS(SSP5_Baseline!$E:$E,SSP5_Baseline!$C:$C,Results_list!$C$382,SSP5_Baseline!$D:$D,Results_list!$D93,SSP5_Baseline!$B:$B,2040)) - (SUMIFS(SSP5_Baseline!$E:$E,SSP5_Baseline!$C:$C,Results_list!$C$382,SSP5_Baseline!$D:$D,Results_list!$D93,SSP5_Baseline!$B:$B,2025))) / (SUMIFS(SSP5_Baseline!$E:$E,SSP5_Baseline!$C:$C,Results_list!$C$382,SSP5_Baseline!$D:$D,Results_list!$D93,SSP5_Baseline!$B:$B,2025))</f>
        <v>3.097892382809529E-3</v>
      </c>
      <c r="BG93" s="16">
        <f>((SUMIFS(SSP5_VSI!$F:$F,SSP5_VSI!$C:$C,Results_list!$C$382,SSP5_VSI!$D:$D,Results_list!$D93,SSP5_VSI!$B:$B,2040)) - (SUMIFS(SSP5_VSI!$F:$F,SSP5_VSI!$C:$C,Results_list!$C$382,SSP5_VSI!$D:$D,Results_list!$D93,SSP5_VSI!$B:$B,2025))) / (SUMIFS(SSP5_VSI!$F:$F,SSP5_VSI!$C:$C,Results_list!$C$382,SSP5_VSI!$D:$D,Results_list!$D93,SSP5_VSI!$B:$B,2025))</f>
        <v>3.1343221322977068E-3</v>
      </c>
      <c r="BH93" s="13">
        <f t="shared" si="56"/>
        <v>0</v>
      </c>
    </row>
    <row r="94" spans="2:60" x14ac:dyDescent="0.35">
      <c r="B94" s="91"/>
      <c r="C94" s="91"/>
      <c r="D94" s="22" t="s">
        <v>45</v>
      </c>
      <c r="F94" s="3" t="s">
        <v>93</v>
      </c>
      <c r="G94" s="12">
        <f>((SUMIFS(SSP1_Baseline!$E:$E,SSP1_Baseline!$C:$C,Results_list!$C$88,SSP1_Baseline!$D:$D,Results_list!$D94,SSP1_Baseline!$B:$B,2040)) - (SUMIFS(SSP1_Baseline!$E:$E,SSP1_Baseline!$C:$C,Results_list!$C$88,SSP1_Baseline!$D:$D,Results_list!$D94,SSP1_Baseline!$B:$B,2025))) / (SUMIFS(SSP1_Baseline!$E:$E,SSP1_Baseline!$C:$C,Results_list!$C$88,SSP1_Baseline!$D:$D,Results_list!$D94,SSP1_Baseline!$B:$B,2025))</f>
        <v>-7.4219596853658101E-2</v>
      </c>
      <c r="H94" s="16">
        <f>((SUMIFS(SSP1_VSI!$F:$F,SSP1_VSI!$C:$C,Results_list!$C$88,SSP1_VSI!$D:$D,Results_list!$D94,SSP1_VSI!$B:$B,2040)) - (SUMIFS(SSP1_VSI!$F:$F,SSP1_VSI!$C:$C,Results_list!$C$88,SSP1_VSI!$D:$D,Results_list!$D94,SSP1_VSI!$B:$B,2025))) / (SUMIFS(SSP1_VSI!$F:$F,SSP1_VSI!$C:$C,Results_list!$C$88,SSP1_VSI!$D:$D,Results_list!$D94,SSP1_VSI!$B:$B,2025))</f>
        <v>-7.5351002685930688E-2</v>
      </c>
      <c r="I94" s="13">
        <f t="shared" si="48"/>
        <v>-1E-3</v>
      </c>
      <c r="J94" s="12">
        <f>((SUMIFS(SSP2_Baseline!$E:$E,SSP2_Baseline!$C:$C,Results_list!$C$88,SSP2_Baseline!$D:$D,Results_list!$D94,SSP2_Baseline!$B:$B,2040)) - (SUMIFS(SSP2_Baseline!$E:$E,SSP2_Baseline!$C:$C,Results_list!$C$88,SSP2_Baseline!$D:$D,Results_list!$D94,SSP2_Baseline!$B:$B,2025))) / (SUMIFS(SSP2_Baseline!$E:$E,SSP2_Baseline!$C:$C,Results_list!$C$88,SSP2_Baseline!$D:$D,Results_list!$D94,SSP2_Baseline!$B:$B,2025))</f>
        <v>-6.0147190430606366E-2</v>
      </c>
      <c r="K94" s="16">
        <f>((SUMIFS(SSP2_VSI!$F:$F,SSP2_VSI!$C:$C,Results_list!$C$88,SSP2_VSI!$D:$D,Results_list!$D94,SSP2_VSI!$B:$B,2040)) - (SUMIFS(SSP2_VSI!$F:$F,SSP2_VSI!$C:$C,Results_list!$C$88,SSP2_VSI!$D:$D,Results_list!$D94,SSP2_VSI!$B:$B,2025))) / (SUMIFS(SSP2_VSI!$F:$F,SSP2_VSI!$C:$C,Results_list!$C$88,SSP2_VSI!$D:$D,Results_list!$D94,SSP2_VSI!$B:$B,2025))</f>
        <v>-6.1275749249950794E-2</v>
      </c>
      <c r="L94" s="13">
        <f t="shared" si="49"/>
        <v>0</v>
      </c>
      <c r="M94" s="12">
        <f>((SUMIFS(SSP5_Baseline!$E:$E,SSP5_Baseline!$C:$C,Results_list!$C$88,SSP5_Baseline!$D:$D,Results_list!$D94,SSP5_Baseline!$B:$B,2040)) - (SUMIFS(SSP5_Baseline!$E:$E,SSP5_Baseline!$C:$C,Results_list!$C$88,SSP5_Baseline!$D:$D,Results_list!$D94,SSP5_Baseline!$B:$B,2025))) / (SUMIFS(SSP5_Baseline!$E:$E,SSP5_Baseline!$C:$C,Results_list!$C$88,SSP5_Baseline!$D:$D,Results_list!$D94,SSP5_Baseline!$B:$B,2025))</f>
        <v>-5.2969202189236224E-2</v>
      </c>
      <c r="N94" s="16">
        <f>((SUMIFS(SSP5_VSI!$F:$F,SSP5_VSI!$C:$C,Results_list!$C$88,SSP5_VSI!$D:$D,Results_list!$D94,SSP5_VSI!$B:$B,2040)) - (SUMIFS(SSP5_VSI!$F:$F,SSP5_VSI!$C:$C,Results_list!$C$88,SSP5_VSI!$D:$D,Results_list!$D94,SSP5_VSI!$B:$B,2025))) / (SUMIFS(SSP5_VSI!$F:$F,SSP5_VSI!$C:$C,Results_list!$C$88,SSP5_VSI!$D:$D,Results_list!$D94,SSP5_VSI!$B:$B,2025))</f>
        <v>-5.4168165562460478E-2</v>
      </c>
      <c r="O94" s="13">
        <f t="shared" si="50"/>
        <v>0</v>
      </c>
      <c r="AF94" s="85"/>
      <c r="AG94" s="85"/>
      <c r="AH94" t="s">
        <v>45</v>
      </c>
      <c r="AJ94" s="3" t="s">
        <v>93</v>
      </c>
      <c r="AK94" s="12">
        <f>((SUMIFS(SSP1_Baseline!$E:$E,SSP1_Baseline!$C:$C,Results_list!$C$277,SSP1_Baseline!$D:$D,Results_list!$D94,SSP1_Baseline!$B:$B,2040)) - (SUMIFS(SSP1_Baseline!$E:$E,SSP1_Baseline!$C:$C,Results_list!$C$277,SSP1_Baseline!$D:$D,Results_list!$D94,SSP1_Baseline!$B:$B,2025))) / (SUMIFS(SSP1_Baseline!$E:$E,SSP1_Baseline!$C:$C,Results_list!$C$277,SSP1_Baseline!$D:$D,Results_list!$D94,SSP1_Baseline!$B:$B,2025))</f>
        <v>-0.13235640445126437</v>
      </c>
      <c r="AL94" s="16">
        <f>((SUMIFS(SSP1_VSI!$F:$F,SSP1_VSI!$C:$C,Results_list!$C$277,SSP1_VSI!$D:$D,Results_list!$D94,SSP1_VSI!$B:$B,2040)) - (SUMIFS(SSP1_VSI!$F:$F,SSP1_VSI!$C:$C,Results_list!$C$277,SSP1_VSI!$D:$D,Results_list!$D94,SSP1_VSI!$B:$B,2025))) / (SUMIFS(SSP1_VSI!$F:$F,SSP1_VSI!$C:$C,Results_list!$C$277,SSP1_VSI!$D:$D,Results_list!$D94,SSP1_VSI!$B:$B,2025))</f>
        <v>-0.13234474384003936</v>
      </c>
      <c r="AM94" s="13">
        <f t="shared" si="51"/>
        <v>0</v>
      </c>
      <c r="AN94" s="12">
        <f>((SUMIFS(SSP2_Baseline!$E:$E,SSP2_Baseline!$C:$C,Results_list!$C$277,SSP2_Baseline!$D:$D,Results_list!$D94,SSP2_Baseline!$B:$B,2040)) - (SUMIFS(SSP2_Baseline!$E:$E,SSP2_Baseline!$C:$C,Results_list!$C$277,SSP2_Baseline!$D:$D,Results_list!$D94,SSP2_Baseline!$B:$B,2025))) / (SUMIFS(SSP2_Baseline!$E:$E,SSP2_Baseline!$C:$C,Results_list!$C$277,SSP2_Baseline!$D:$D,Results_list!$D94,SSP2_Baseline!$B:$B,2025))</f>
        <v>-0.12046018464823843</v>
      </c>
      <c r="AO94" s="16">
        <f>((SUMIFS(SSP2_VSI!$F:$F,SSP2_VSI!$C:$C,Results_list!$C$277,SSP2_VSI!$D:$D,Results_list!$D94,SSP2_VSI!$B:$B,2040)) - (SUMIFS(SSP2_VSI!$F:$F,SSP2_VSI!$C:$C,Results_list!$C$277,SSP2_VSI!$D:$D,Results_list!$D94,SSP2_VSI!$B:$B,2025))) / (SUMIFS(SSP2_VSI!$F:$F,SSP2_VSI!$C:$C,Results_list!$C$277,SSP2_VSI!$D:$D,Results_list!$D94,SSP2_VSI!$B:$B,2025))</f>
        <v>-0.12030759138828494</v>
      </c>
      <c r="AP94" s="13">
        <f t="shared" si="52"/>
        <v>0</v>
      </c>
      <c r="AQ94" s="12">
        <f>((SUMIFS(SSP5_Baseline!$E:$E,SSP5_Baseline!$C:$C,Results_list!$C$277,SSP5_Baseline!$D:$D,Results_list!$D94,SSP5_Baseline!$B:$B,2040)) - (SUMIFS(SSP5_Baseline!$E:$E,SSP5_Baseline!$C:$C,Results_list!$C$277,SSP5_Baseline!$D:$D,Results_list!$D94,SSP5_Baseline!$B:$B,2025))) / (SUMIFS(SSP5_Baseline!$E:$E,SSP5_Baseline!$C:$C,Results_list!$C$277,SSP5_Baseline!$D:$D,Results_list!$D94,SSP5_Baseline!$B:$B,2025))</f>
        <v>-0.10731330649829497</v>
      </c>
      <c r="AR94" s="16">
        <f>((SUMIFS(SSP5_VSI!$F:$F,SSP5_VSI!$C:$C,Results_list!$C$277,SSP5_VSI!$D:$D,Results_list!$D94,SSP5_VSI!$B:$B,2040)) - (SUMIFS(SSP5_VSI!$F:$F,SSP5_VSI!$C:$C,Results_list!$C$277,SSP5_VSI!$D:$D,Results_list!$D94,SSP5_VSI!$B:$B,2025))) / (SUMIFS(SSP5_VSI!$F:$F,SSP5_VSI!$C:$C,Results_list!$C$277,SSP5_VSI!$D:$D,Results_list!$D94,SSP5_VSI!$B:$B,2025))</f>
        <v>-0.1073172134024913</v>
      </c>
      <c r="AS94" s="13">
        <f t="shared" si="53"/>
        <v>0</v>
      </c>
      <c r="AU94" s="87"/>
      <c r="AV94" s="87"/>
      <c r="AW94" t="s">
        <v>45</v>
      </c>
      <c r="AY94" s="3" t="s">
        <v>93</v>
      </c>
      <c r="AZ94" s="12">
        <f>((SUMIFS(SSP1_Baseline!$E:$E,SSP1_Baseline!$C:$C,Results_list!$C$382,SSP1_Baseline!$D:$D,Results_list!$D94,SSP1_Baseline!$B:$B,2040)) - (SUMIFS(SSP1_Baseline!$E:$E,SSP1_Baseline!$C:$C,Results_list!$C$382,SSP1_Baseline!$D:$D,Results_list!$D94,SSP1_Baseline!$B:$B,2025))) / (SUMIFS(SSP1_Baseline!$E:$E,SSP1_Baseline!$C:$C,Results_list!$C$382,SSP1_Baseline!$D:$D,Results_list!$D94,SSP1_Baseline!$B:$B,2025))</f>
        <v>-8.0017114688759008E-2</v>
      </c>
      <c r="BA94" s="16">
        <f>((SUMIFS(SSP1_VSI!$F:$F,SSP1_VSI!$C:$C,Results_list!$C$382,SSP1_VSI!$D:$D,Results_list!$D94,SSP1_VSI!$B:$B,2040)) - (SUMIFS(SSP1_VSI!$F:$F,SSP1_VSI!$C:$C,Results_list!$C$382,SSP1_VSI!$D:$D,Results_list!$D94,SSP1_VSI!$B:$B,2025))) / (SUMIFS(SSP1_VSI!$F:$F,SSP1_VSI!$C:$C,Results_list!$C$382,SSP1_VSI!$D:$D,Results_list!$D94,SSP1_VSI!$B:$B,2025))</f>
        <v>-0.11045109676891839</v>
      </c>
      <c r="BB94" s="13">
        <f t="shared" si="54"/>
        <v>-0.03</v>
      </c>
      <c r="BC94" s="12">
        <f>((SUMIFS(SSP2_Baseline!$E:$E,SSP2_Baseline!$C:$C,Results_list!$C$382,SSP2_Baseline!$D:$D,Results_list!$D94,SSP2_Baseline!$B:$B,2040)) - (SUMIFS(SSP2_Baseline!$E:$E,SSP2_Baseline!$C:$C,Results_list!$C$382,SSP2_Baseline!$D:$D,Results_list!$D94,SSP2_Baseline!$B:$B,2025))) / (SUMIFS(SSP2_Baseline!$E:$E,SSP2_Baseline!$C:$C,Results_list!$C$382,SSP2_Baseline!$D:$D,Results_list!$D94,SSP2_Baseline!$B:$B,2025))</f>
        <v>-8.0146039461532426E-2</v>
      </c>
      <c r="BD94" s="16">
        <f>((SUMIFS(SSP2_VSI!$F:$F,SSP2_VSI!$C:$C,Results_list!$C$382,SSP2_VSI!$D:$D,Results_list!$D94,SSP2_VSI!$B:$B,2040)) - (SUMIFS(SSP2_VSI!$F:$F,SSP2_VSI!$C:$C,Results_list!$C$382,SSP2_VSI!$D:$D,Results_list!$D94,SSP2_VSI!$B:$B,2025))) / (SUMIFS(SSP2_VSI!$F:$F,SSP2_VSI!$C:$C,Results_list!$C$382,SSP2_VSI!$D:$D,Results_list!$D94,SSP2_VSI!$B:$B,2025))</f>
        <v>-0.11093692227141555</v>
      </c>
      <c r="BE94" s="13">
        <f t="shared" si="55"/>
        <v>-0.03</v>
      </c>
      <c r="BF94" s="12">
        <f>((SUMIFS(SSP5_Baseline!$E:$E,SSP5_Baseline!$C:$C,Results_list!$C$382,SSP5_Baseline!$D:$D,Results_list!$D94,SSP5_Baseline!$B:$B,2040)) - (SUMIFS(SSP5_Baseline!$E:$E,SSP5_Baseline!$C:$C,Results_list!$C$382,SSP5_Baseline!$D:$D,Results_list!$D94,SSP5_Baseline!$B:$B,2025))) / (SUMIFS(SSP5_Baseline!$E:$E,SSP5_Baseline!$C:$C,Results_list!$C$382,SSP5_Baseline!$D:$D,Results_list!$D94,SSP5_Baseline!$B:$B,2025))</f>
        <v>-7.0322590678579516E-2</v>
      </c>
      <c r="BG94" s="16">
        <f>((SUMIFS(SSP5_VSI!$F:$F,SSP5_VSI!$C:$C,Results_list!$C$382,SSP5_VSI!$D:$D,Results_list!$D94,SSP5_VSI!$B:$B,2040)) - (SUMIFS(SSP5_VSI!$F:$F,SSP5_VSI!$C:$C,Results_list!$C$382,SSP5_VSI!$D:$D,Results_list!$D94,SSP5_VSI!$B:$B,2025))) / (SUMIFS(SSP5_VSI!$F:$F,SSP5_VSI!$C:$C,Results_list!$C$382,SSP5_VSI!$D:$D,Results_list!$D94,SSP5_VSI!$B:$B,2025))</f>
        <v>-0.10117479054391432</v>
      </c>
      <c r="BH94" s="13">
        <f t="shared" si="56"/>
        <v>-0.03</v>
      </c>
    </row>
    <row r="95" spans="2:60" x14ac:dyDescent="0.35">
      <c r="B95" s="91"/>
      <c r="C95" s="91"/>
      <c r="D95" s="22" t="s">
        <v>46</v>
      </c>
      <c r="F95" s="3" t="s">
        <v>94</v>
      </c>
      <c r="G95" s="12">
        <f>((SUMIFS(SSP1_Baseline!$E:$E,SSP1_Baseline!$C:$C,Results_list!$C$88,SSP1_Baseline!$D:$D,Results_list!$D95,SSP1_Baseline!$B:$B,2040)) - (SUMIFS(SSP1_Baseline!$E:$E,SSP1_Baseline!$C:$C,Results_list!$C$88,SSP1_Baseline!$D:$D,Results_list!$D95,SSP1_Baseline!$B:$B,2025))) / (SUMIFS(SSP1_Baseline!$E:$E,SSP1_Baseline!$C:$C,Results_list!$C$88,SSP1_Baseline!$D:$D,Results_list!$D95,SSP1_Baseline!$B:$B,2025))</f>
        <v>1.5138976744529831</v>
      </c>
      <c r="H95" s="16">
        <f>((SUMIFS(SSP1_VSI!$F:$F,SSP1_VSI!$C:$C,Results_list!$C$88,SSP1_VSI!$D:$D,Results_list!$D95,SSP1_VSI!$B:$B,2040)) - (SUMIFS(SSP1_VSI!$F:$F,SSP1_VSI!$C:$C,Results_list!$C$88,SSP1_VSI!$D:$D,Results_list!$D95,SSP1_VSI!$B:$B,2025))) / (SUMIFS(SSP1_VSI!$F:$F,SSP1_VSI!$C:$C,Results_list!$C$88,SSP1_VSI!$D:$D,Results_list!$D95,SSP1_VSI!$B:$B,2025))</f>
        <v>1.5138958858704639</v>
      </c>
      <c r="I95" s="13">
        <f t="shared" si="48"/>
        <v>0</v>
      </c>
      <c r="J95" s="12">
        <f>((SUMIFS(SSP2_Baseline!$E:$E,SSP2_Baseline!$C:$C,Results_list!$C$88,SSP2_Baseline!$D:$D,Results_list!$D95,SSP2_Baseline!$B:$B,2040)) - (SUMIFS(SSP2_Baseline!$E:$E,SSP2_Baseline!$C:$C,Results_list!$C$88,SSP2_Baseline!$D:$D,Results_list!$D95,SSP2_Baseline!$B:$B,2025))) / (SUMIFS(SSP2_Baseline!$E:$E,SSP2_Baseline!$C:$C,Results_list!$C$88,SSP2_Baseline!$D:$D,Results_list!$D95,SSP2_Baseline!$B:$B,2025))</f>
        <v>4.7331358290266019</v>
      </c>
      <c r="K95" s="16">
        <f>((SUMIFS(SSP2_VSI!$F:$F,SSP2_VSI!$C:$C,Results_list!$C$88,SSP2_VSI!$D:$D,Results_list!$D95,SSP2_VSI!$B:$B,2040)) - (SUMIFS(SSP2_VSI!$F:$F,SSP2_VSI!$C:$C,Results_list!$C$88,SSP2_VSI!$D:$D,Results_list!$D95,SSP2_VSI!$B:$B,2025))) / (SUMIFS(SSP2_VSI!$F:$F,SSP2_VSI!$C:$C,Results_list!$C$88,SSP2_VSI!$D:$D,Results_list!$D95,SSP2_VSI!$B:$B,2025))</f>
        <v>4.7329711973566919</v>
      </c>
      <c r="L95" s="13">
        <f t="shared" si="49"/>
        <v>0</v>
      </c>
      <c r="M95" s="12">
        <f>((SUMIFS(SSP5_Baseline!$E:$E,SSP5_Baseline!$C:$C,Results_list!$C$88,SSP5_Baseline!$D:$D,Results_list!$D95,SSP5_Baseline!$B:$B,2040)) - (SUMIFS(SSP5_Baseline!$E:$E,SSP5_Baseline!$C:$C,Results_list!$C$88,SSP5_Baseline!$D:$D,Results_list!$D95,SSP5_Baseline!$B:$B,2025))) / (SUMIFS(SSP5_Baseline!$E:$E,SSP5_Baseline!$C:$C,Results_list!$C$88,SSP5_Baseline!$D:$D,Results_list!$D95,SSP5_Baseline!$B:$B,2025))</f>
        <v>2.9973899722501476</v>
      </c>
      <c r="N95" s="16">
        <f>((SUMIFS(SSP5_VSI!$F:$F,SSP5_VSI!$C:$C,Results_list!$C$88,SSP5_VSI!$D:$D,Results_list!$D95,SSP5_VSI!$B:$B,2040)) - (SUMIFS(SSP5_VSI!$F:$F,SSP5_VSI!$C:$C,Results_list!$C$88,SSP5_VSI!$D:$D,Results_list!$D95,SSP5_VSI!$B:$B,2025))) / (SUMIFS(SSP5_VSI!$F:$F,SSP5_VSI!$C:$C,Results_list!$C$88,SSP5_VSI!$D:$D,Results_list!$D95,SSP5_VSI!$B:$B,2025))</f>
        <v>2.9973068681118002</v>
      </c>
      <c r="O95" s="13">
        <f t="shared" si="50"/>
        <v>0</v>
      </c>
      <c r="AF95" s="85"/>
      <c r="AG95" s="85"/>
      <c r="AH95" t="s">
        <v>46</v>
      </c>
      <c r="AJ95" s="3" t="s">
        <v>94</v>
      </c>
      <c r="AK95" s="12">
        <f>((SUMIFS(SSP1_Baseline!$E:$E,SSP1_Baseline!$C:$C,Results_list!$C$277,SSP1_Baseline!$D:$D,Results_list!$D95,SSP1_Baseline!$B:$B,2040)) - (SUMIFS(SSP1_Baseline!$E:$E,SSP1_Baseline!$C:$C,Results_list!$C$277,SSP1_Baseline!$D:$D,Results_list!$D95,SSP1_Baseline!$B:$B,2025))) / (SUMIFS(SSP1_Baseline!$E:$E,SSP1_Baseline!$C:$C,Results_list!$C$277,SSP1_Baseline!$D:$D,Results_list!$D95,SSP1_Baseline!$B:$B,2025))</f>
        <v>0.51704431470808554</v>
      </c>
      <c r="AL95" s="16">
        <f>((SUMIFS(SSP1_VSI!$F:$F,SSP1_VSI!$C:$C,Results_list!$C$277,SSP1_VSI!$D:$D,Results_list!$D95,SSP1_VSI!$B:$B,2040)) - (SUMIFS(SSP1_VSI!$F:$F,SSP1_VSI!$C:$C,Results_list!$C$277,SSP1_VSI!$D:$D,Results_list!$D95,SSP1_VSI!$B:$B,2025))) / (SUMIFS(SSP1_VSI!$F:$F,SSP1_VSI!$C:$C,Results_list!$C$277,SSP1_VSI!$D:$D,Results_list!$D95,SSP1_VSI!$B:$B,2025))</f>
        <v>0.51704316022049857</v>
      </c>
      <c r="AM95" s="13">
        <f t="shared" si="51"/>
        <v>0</v>
      </c>
      <c r="AN95" s="12">
        <f>((SUMIFS(SSP2_Baseline!$E:$E,SSP2_Baseline!$C:$C,Results_list!$C$277,SSP2_Baseline!$D:$D,Results_list!$D95,SSP2_Baseline!$B:$B,2040)) - (SUMIFS(SSP2_Baseline!$E:$E,SSP2_Baseline!$C:$C,Results_list!$C$277,SSP2_Baseline!$D:$D,Results_list!$D95,SSP2_Baseline!$B:$B,2025))) / (SUMIFS(SSP2_Baseline!$E:$E,SSP2_Baseline!$C:$C,Results_list!$C$277,SSP2_Baseline!$D:$D,Results_list!$D95,SSP2_Baseline!$B:$B,2025))</f>
        <v>1.3696802602336902</v>
      </c>
      <c r="AO95" s="16">
        <f>((SUMIFS(SSP2_VSI!$F:$F,SSP2_VSI!$C:$C,Results_list!$C$277,SSP2_VSI!$D:$D,Results_list!$D95,SSP2_VSI!$B:$B,2040)) - (SUMIFS(SSP2_VSI!$F:$F,SSP2_VSI!$C:$C,Results_list!$C$277,SSP2_VSI!$D:$D,Results_list!$D95,SSP2_VSI!$B:$B,2025))) / (SUMIFS(SSP2_VSI!$F:$F,SSP2_VSI!$C:$C,Results_list!$C$277,SSP2_VSI!$D:$D,Results_list!$D95,SSP2_VSI!$B:$B,2025))</f>
        <v>1.3696070197828309</v>
      </c>
      <c r="AP95" s="13">
        <f t="shared" si="52"/>
        <v>0</v>
      </c>
      <c r="AQ95" s="12">
        <f>((SUMIFS(SSP5_Baseline!$E:$E,SSP5_Baseline!$C:$C,Results_list!$C$277,SSP5_Baseline!$D:$D,Results_list!$D95,SSP5_Baseline!$B:$B,2040)) - (SUMIFS(SSP5_Baseline!$E:$E,SSP5_Baseline!$C:$C,Results_list!$C$277,SSP5_Baseline!$D:$D,Results_list!$D95,SSP5_Baseline!$B:$B,2025))) / (SUMIFS(SSP5_Baseline!$E:$E,SSP5_Baseline!$C:$C,Results_list!$C$277,SSP5_Baseline!$D:$D,Results_list!$D95,SSP5_Baseline!$B:$B,2025))</f>
        <v>1.2567637929376845</v>
      </c>
      <c r="AR95" s="16">
        <f>((SUMIFS(SSP5_VSI!$F:$F,SSP5_VSI!$C:$C,Results_list!$C$277,SSP5_VSI!$D:$D,Results_list!$D95,SSP5_VSI!$B:$B,2040)) - (SUMIFS(SSP5_VSI!$F:$F,SSP5_VSI!$C:$C,Results_list!$C$277,SSP5_VSI!$D:$D,Results_list!$D95,SSP5_VSI!$B:$B,2025))) / (SUMIFS(SSP5_VSI!$F:$F,SSP5_VSI!$C:$C,Results_list!$C$277,SSP5_VSI!$D:$D,Results_list!$D95,SSP5_VSI!$B:$B,2025))</f>
        <v>1.2567571108387807</v>
      </c>
      <c r="AS95" s="13">
        <f t="shared" si="53"/>
        <v>0</v>
      </c>
      <c r="AU95" s="87"/>
      <c r="AV95" s="87"/>
      <c r="AW95" t="s">
        <v>46</v>
      </c>
      <c r="AY95" s="3" t="s">
        <v>94</v>
      </c>
      <c r="AZ95" s="12">
        <f>((SUMIFS(SSP1_Baseline!$E:$E,SSP1_Baseline!$C:$C,Results_list!$C$382,SSP1_Baseline!$D:$D,Results_list!$D95,SSP1_Baseline!$B:$B,2040)) - (SUMIFS(SSP1_Baseline!$E:$E,SSP1_Baseline!$C:$C,Results_list!$C$382,SSP1_Baseline!$D:$D,Results_list!$D95,SSP1_Baseline!$B:$B,2025))) / (SUMIFS(SSP1_Baseline!$E:$E,SSP1_Baseline!$C:$C,Results_list!$C$382,SSP1_Baseline!$D:$D,Results_list!$D95,SSP1_Baseline!$B:$B,2025))</f>
        <v>0.37069104187403046</v>
      </c>
      <c r="BA95" s="16">
        <f>((SUMIFS(SSP1_VSI!$F:$F,SSP1_VSI!$C:$C,Results_list!$C$382,SSP1_VSI!$D:$D,Results_list!$D95,SSP1_VSI!$B:$B,2040)) - (SUMIFS(SSP1_VSI!$F:$F,SSP1_VSI!$C:$C,Results_list!$C$382,SSP1_VSI!$D:$D,Results_list!$D95,SSP1_VSI!$B:$B,2025))) / (SUMIFS(SSP1_VSI!$F:$F,SSP1_VSI!$C:$C,Results_list!$C$382,SSP1_VSI!$D:$D,Results_list!$D95,SSP1_VSI!$B:$B,2025))</f>
        <v>0.37069946877836235</v>
      </c>
      <c r="BB95" s="13">
        <f t="shared" si="54"/>
        <v>0</v>
      </c>
      <c r="BC95" s="12">
        <f>((SUMIFS(SSP2_Baseline!$E:$E,SSP2_Baseline!$C:$C,Results_list!$C$382,SSP2_Baseline!$D:$D,Results_list!$D95,SSP2_Baseline!$B:$B,2040)) - (SUMIFS(SSP2_Baseline!$E:$E,SSP2_Baseline!$C:$C,Results_list!$C$382,SSP2_Baseline!$D:$D,Results_list!$D95,SSP2_Baseline!$B:$B,2025))) / (SUMIFS(SSP2_Baseline!$E:$E,SSP2_Baseline!$C:$C,Results_list!$C$382,SSP2_Baseline!$D:$D,Results_list!$D95,SSP2_Baseline!$B:$B,2025))</f>
        <v>0.95537120398128506</v>
      </c>
      <c r="BD95" s="16">
        <f>((SUMIFS(SSP2_VSI!$F:$F,SSP2_VSI!$C:$C,Results_list!$C$382,SSP2_VSI!$D:$D,Results_list!$D95,SSP2_VSI!$B:$B,2040)) - (SUMIFS(SSP2_VSI!$F:$F,SSP2_VSI!$C:$C,Results_list!$C$382,SSP2_VSI!$D:$D,Results_list!$D95,SSP2_VSI!$B:$B,2025))) / (SUMIFS(SSP2_VSI!$F:$F,SSP2_VSI!$C:$C,Results_list!$C$382,SSP2_VSI!$D:$D,Results_list!$D95,SSP2_VSI!$B:$B,2025))</f>
        <v>0.95525592344242205</v>
      </c>
      <c r="BE95" s="13">
        <f t="shared" si="55"/>
        <v>0</v>
      </c>
      <c r="BF95" s="12">
        <f>((SUMIFS(SSP5_Baseline!$E:$E,SSP5_Baseline!$C:$C,Results_list!$C$382,SSP5_Baseline!$D:$D,Results_list!$D95,SSP5_Baseline!$B:$B,2040)) - (SUMIFS(SSP5_Baseline!$E:$E,SSP5_Baseline!$C:$C,Results_list!$C$382,SSP5_Baseline!$D:$D,Results_list!$D95,SSP5_Baseline!$B:$B,2025))) / (SUMIFS(SSP5_Baseline!$E:$E,SSP5_Baseline!$C:$C,Results_list!$C$382,SSP5_Baseline!$D:$D,Results_list!$D95,SSP5_Baseline!$B:$B,2025))</f>
        <v>0.86531580434171895</v>
      </c>
      <c r="BG95" s="16">
        <f>((SUMIFS(SSP5_VSI!$F:$F,SSP5_VSI!$C:$C,Results_list!$C$382,SSP5_VSI!$D:$D,Results_list!$D95,SSP5_VSI!$B:$B,2040)) - (SUMIFS(SSP5_VSI!$F:$F,SSP5_VSI!$C:$C,Results_list!$C$382,SSP5_VSI!$D:$D,Results_list!$D95,SSP5_VSI!$B:$B,2025))) / (SUMIFS(SSP5_VSI!$F:$F,SSP5_VSI!$C:$C,Results_list!$C$382,SSP5_VSI!$D:$D,Results_list!$D95,SSP5_VSI!$B:$B,2025))</f>
        <v>0.86533165196513273</v>
      </c>
      <c r="BH95" s="13">
        <f t="shared" si="56"/>
        <v>0</v>
      </c>
    </row>
    <row r="96" spans="2:60" x14ac:dyDescent="0.35">
      <c r="B96" s="91"/>
      <c r="C96" s="91"/>
      <c r="D96" s="22" t="s">
        <v>47</v>
      </c>
      <c r="F96" s="3" t="s">
        <v>95</v>
      </c>
      <c r="G96" s="12">
        <f>((SUMIFS(SSP1_Baseline!$E:$E,SSP1_Baseline!$C:$C,Results_list!$C$88,SSP1_Baseline!$D:$D,Results_list!$D96,SSP1_Baseline!$B:$B,2040)) - (SUMIFS(SSP1_Baseline!$E:$E,SSP1_Baseline!$C:$C,Results_list!$C$88,SSP1_Baseline!$D:$D,Results_list!$D96,SSP1_Baseline!$B:$B,2025))) / (SUMIFS(SSP1_Baseline!$E:$E,SSP1_Baseline!$C:$C,Results_list!$C$88,SSP1_Baseline!$D:$D,Results_list!$D96,SSP1_Baseline!$B:$B,2025))</f>
        <v>4.8814616386545521E-3</v>
      </c>
      <c r="H96" s="16">
        <f>((SUMIFS(SSP1_VSI!$F:$F,SSP1_VSI!$C:$C,Results_list!$C$88,SSP1_VSI!$D:$D,Results_list!$D96,SSP1_VSI!$B:$B,2040)) - (SUMIFS(SSP1_VSI!$F:$F,SSP1_VSI!$C:$C,Results_list!$C$88,SSP1_VSI!$D:$D,Results_list!$D96,SSP1_VSI!$B:$B,2025))) / (SUMIFS(SSP1_VSI!$F:$F,SSP1_VSI!$C:$C,Results_list!$C$88,SSP1_VSI!$D:$D,Results_list!$D96,SSP1_VSI!$B:$B,2025))</f>
        <v>4.8897220235159505E-3</v>
      </c>
      <c r="I96" s="13">
        <f t="shared" si="48"/>
        <v>0</v>
      </c>
      <c r="J96" s="12">
        <f>((SUMIFS(SSP2_Baseline!$E:$E,SSP2_Baseline!$C:$C,Results_list!$C$88,SSP2_Baseline!$D:$D,Results_list!$D96,SSP2_Baseline!$B:$B,2040)) - (SUMIFS(SSP2_Baseline!$E:$E,SSP2_Baseline!$C:$C,Results_list!$C$88,SSP2_Baseline!$D:$D,Results_list!$D96,SSP2_Baseline!$B:$B,2025))) / (SUMIFS(SSP2_Baseline!$E:$E,SSP2_Baseline!$C:$C,Results_list!$C$88,SSP2_Baseline!$D:$D,Results_list!$D96,SSP2_Baseline!$B:$B,2025))</f>
        <v>6.6508762128856216E-2</v>
      </c>
      <c r="K96" s="16">
        <f>((SUMIFS(SSP2_VSI!$F:$F,SSP2_VSI!$C:$C,Results_list!$C$88,SSP2_VSI!$D:$D,Results_list!$D96,SSP2_VSI!$B:$B,2040)) - (SUMIFS(SSP2_VSI!$F:$F,SSP2_VSI!$C:$C,Results_list!$C$88,SSP2_VSI!$D:$D,Results_list!$D96,SSP2_VSI!$B:$B,2025))) / (SUMIFS(SSP2_VSI!$F:$F,SSP2_VSI!$C:$C,Results_list!$C$88,SSP2_VSI!$D:$D,Results_list!$D96,SSP2_VSI!$B:$B,2025))</f>
        <v>6.6509808021937317E-2</v>
      </c>
      <c r="L96" s="13">
        <f t="shared" si="49"/>
        <v>0</v>
      </c>
      <c r="M96" s="12">
        <f>((SUMIFS(SSP5_Baseline!$E:$E,SSP5_Baseline!$C:$C,Results_list!$C$88,SSP5_Baseline!$D:$D,Results_list!$D96,SSP5_Baseline!$B:$B,2040)) - (SUMIFS(SSP5_Baseline!$E:$E,SSP5_Baseline!$C:$C,Results_list!$C$88,SSP5_Baseline!$D:$D,Results_list!$D96,SSP5_Baseline!$B:$B,2025))) / (SUMIFS(SSP5_Baseline!$E:$E,SSP5_Baseline!$C:$C,Results_list!$C$88,SSP5_Baseline!$D:$D,Results_list!$D96,SSP5_Baseline!$B:$B,2025))</f>
        <v>2.7167239910394249E-2</v>
      </c>
      <c r="N96" s="16">
        <f>((SUMIFS(SSP5_VSI!$F:$F,SSP5_VSI!$C:$C,Results_list!$C$88,SSP5_VSI!$D:$D,Results_list!$D96,SSP5_VSI!$B:$B,2040)) - (SUMIFS(SSP5_VSI!$F:$F,SSP5_VSI!$C:$C,Results_list!$C$88,SSP5_VSI!$D:$D,Results_list!$D96,SSP5_VSI!$B:$B,2025))) / (SUMIFS(SSP5_VSI!$F:$F,SSP5_VSI!$C:$C,Results_list!$C$88,SSP5_VSI!$D:$D,Results_list!$D96,SSP5_VSI!$B:$B,2025))</f>
        <v>2.7215828885381918E-2</v>
      </c>
      <c r="O96" s="13">
        <f t="shared" si="50"/>
        <v>0</v>
      </c>
      <c r="AF96" s="85"/>
      <c r="AG96" s="85"/>
      <c r="AH96" t="s">
        <v>47</v>
      </c>
      <c r="AJ96" s="3" t="s">
        <v>95</v>
      </c>
      <c r="AK96" s="12">
        <f>((SUMIFS(SSP1_Baseline!$E:$E,SSP1_Baseline!$C:$C,Results_list!$C$277,SSP1_Baseline!$D:$D,Results_list!$D96,SSP1_Baseline!$B:$B,2040)) - (SUMIFS(SSP1_Baseline!$E:$E,SSP1_Baseline!$C:$C,Results_list!$C$277,SSP1_Baseline!$D:$D,Results_list!$D96,SSP1_Baseline!$B:$B,2025))) / (SUMIFS(SSP1_Baseline!$E:$E,SSP1_Baseline!$C:$C,Results_list!$C$277,SSP1_Baseline!$D:$D,Results_list!$D96,SSP1_Baseline!$B:$B,2025))</f>
        <v>-4.8830900817991629E-2</v>
      </c>
      <c r="AL96" s="16">
        <f>((SUMIFS(SSP1_VSI!$F:$F,SSP1_VSI!$C:$C,Results_list!$C$277,SSP1_VSI!$D:$D,Results_list!$D96,SSP1_VSI!$B:$B,2040)) - (SUMIFS(SSP1_VSI!$F:$F,SSP1_VSI!$C:$C,Results_list!$C$277,SSP1_VSI!$D:$D,Results_list!$D96,SSP1_VSI!$B:$B,2025))) / (SUMIFS(SSP1_VSI!$F:$F,SSP1_VSI!$C:$C,Results_list!$C$277,SSP1_VSI!$D:$D,Results_list!$D96,SSP1_VSI!$B:$B,2025))</f>
        <v>-4.8798049281450269E-2</v>
      </c>
      <c r="AM96" s="13">
        <f t="shared" si="51"/>
        <v>0</v>
      </c>
      <c r="AN96" s="12">
        <f>((SUMIFS(SSP2_Baseline!$E:$E,SSP2_Baseline!$C:$C,Results_list!$C$277,SSP2_Baseline!$D:$D,Results_list!$D96,SSP2_Baseline!$B:$B,2040)) - (SUMIFS(SSP2_Baseline!$E:$E,SSP2_Baseline!$C:$C,Results_list!$C$277,SSP2_Baseline!$D:$D,Results_list!$D96,SSP2_Baseline!$B:$B,2025))) / (SUMIFS(SSP2_Baseline!$E:$E,SSP2_Baseline!$C:$C,Results_list!$C$277,SSP2_Baseline!$D:$D,Results_list!$D96,SSP2_Baseline!$B:$B,2025))</f>
        <v>-2.2374961974750775E-2</v>
      </c>
      <c r="AO96" s="16">
        <f>((SUMIFS(SSP2_VSI!$F:$F,SSP2_VSI!$C:$C,Results_list!$C$277,SSP2_VSI!$D:$D,Results_list!$D96,SSP2_VSI!$B:$B,2040)) - (SUMIFS(SSP2_VSI!$F:$F,SSP2_VSI!$C:$C,Results_list!$C$277,SSP2_VSI!$D:$D,Results_list!$D96,SSP2_VSI!$B:$B,2025))) / (SUMIFS(SSP2_VSI!$F:$F,SSP2_VSI!$C:$C,Results_list!$C$277,SSP2_VSI!$D:$D,Results_list!$D96,SSP2_VSI!$B:$B,2025))</f>
        <v>-2.2363394837810992E-2</v>
      </c>
      <c r="AP96" s="13">
        <f t="shared" si="52"/>
        <v>0</v>
      </c>
      <c r="AQ96" s="12">
        <f>((SUMIFS(SSP5_Baseline!$E:$E,SSP5_Baseline!$C:$C,Results_list!$C$277,SSP5_Baseline!$D:$D,Results_list!$D96,SSP5_Baseline!$B:$B,2040)) - (SUMIFS(SSP5_Baseline!$E:$E,SSP5_Baseline!$C:$C,Results_list!$C$277,SSP5_Baseline!$D:$D,Results_list!$D96,SSP5_Baseline!$B:$B,2025))) / (SUMIFS(SSP5_Baseline!$E:$E,SSP5_Baseline!$C:$C,Results_list!$C$277,SSP5_Baseline!$D:$D,Results_list!$D96,SSP5_Baseline!$B:$B,2025))</f>
        <v>0.10082720055596663</v>
      </c>
      <c r="AR96" s="16">
        <f>((SUMIFS(SSP5_VSI!$F:$F,SSP5_VSI!$C:$C,Results_list!$C$277,SSP5_VSI!$D:$D,Results_list!$D96,SSP5_VSI!$B:$B,2040)) - (SUMIFS(SSP5_VSI!$F:$F,SSP5_VSI!$C:$C,Results_list!$C$277,SSP5_VSI!$D:$D,Results_list!$D96,SSP5_VSI!$B:$B,2025))) / (SUMIFS(SSP5_VSI!$F:$F,SSP5_VSI!$C:$C,Results_list!$C$277,SSP5_VSI!$D:$D,Results_list!$D96,SSP5_VSI!$B:$B,2025))</f>
        <v>0.10099133187339189</v>
      </c>
      <c r="AS96" s="13">
        <f t="shared" si="53"/>
        <v>0</v>
      </c>
      <c r="AU96" s="87"/>
      <c r="AV96" s="87"/>
      <c r="AW96" t="s">
        <v>47</v>
      </c>
      <c r="AY96" s="3" t="s">
        <v>95</v>
      </c>
      <c r="AZ96" s="12">
        <f>((SUMIFS(SSP1_Baseline!$E:$E,SSP1_Baseline!$C:$C,Results_list!$C$382,SSP1_Baseline!$D:$D,Results_list!$D96,SSP1_Baseline!$B:$B,2040)) - (SUMIFS(SSP1_Baseline!$E:$E,SSP1_Baseline!$C:$C,Results_list!$C$382,SSP1_Baseline!$D:$D,Results_list!$D96,SSP1_Baseline!$B:$B,2025))) / (SUMIFS(SSP1_Baseline!$E:$E,SSP1_Baseline!$C:$C,Results_list!$C$382,SSP1_Baseline!$D:$D,Results_list!$D96,SSP1_Baseline!$B:$B,2025))</f>
        <v>-0.32752601900314793</v>
      </c>
      <c r="BA96" s="16">
        <f>((SUMIFS(SSP1_VSI!$F:$F,SSP1_VSI!$C:$C,Results_list!$C$382,SSP1_VSI!$D:$D,Results_list!$D96,SSP1_VSI!$B:$B,2040)) - (SUMIFS(SSP1_VSI!$F:$F,SSP1_VSI!$C:$C,Results_list!$C$382,SSP1_VSI!$D:$D,Results_list!$D96,SSP1_VSI!$B:$B,2025))) / (SUMIFS(SSP1_VSI!$F:$F,SSP1_VSI!$C:$C,Results_list!$C$382,SSP1_VSI!$D:$D,Results_list!$D96,SSP1_VSI!$B:$B,2025))</f>
        <v>-0.32744385520582125</v>
      </c>
      <c r="BB96" s="13">
        <f t="shared" si="54"/>
        <v>0</v>
      </c>
      <c r="BC96" s="12">
        <f>((SUMIFS(SSP2_Baseline!$E:$E,SSP2_Baseline!$C:$C,Results_list!$C$382,SSP2_Baseline!$D:$D,Results_list!$D96,SSP2_Baseline!$B:$B,2040)) - (SUMIFS(SSP2_Baseline!$E:$E,SSP2_Baseline!$C:$C,Results_list!$C$382,SSP2_Baseline!$D:$D,Results_list!$D96,SSP2_Baseline!$B:$B,2025))) / (SUMIFS(SSP2_Baseline!$E:$E,SSP2_Baseline!$C:$C,Results_list!$C$382,SSP2_Baseline!$D:$D,Results_list!$D96,SSP2_Baseline!$B:$B,2025))</f>
        <v>-0.35312201100633789</v>
      </c>
      <c r="BD96" s="16">
        <f>((SUMIFS(SSP2_VSI!$F:$F,SSP2_VSI!$C:$C,Results_list!$C$382,SSP2_VSI!$D:$D,Results_list!$D96,SSP2_VSI!$B:$B,2040)) - (SUMIFS(SSP2_VSI!$F:$F,SSP2_VSI!$C:$C,Results_list!$C$382,SSP2_VSI!$D:$D,Results_list!$D96,SSP2_VSI!$B:$B,2025))) / (SUMIFS(SSP2_VSI!$F:$F,SSP2_VSI!$C:$C,Results_list!$C$382,SSP2_VSI!$D:$D,Results_list!$D96,SSP2_VSI!$B:$B,2025))</f>
        <v>-0.35308453562361752</v>
      </c>
      <c r="BE96" s="13">
        <f t="shared" si="55"/>
        <v>0</v>
      </c>
      <c r="BF96" s="12">
        <f>((SUMIFS(SSP5_Baseline!$E:$E,SSP5_Baseline!$C:$C,Results_list!$C$382,SSP5_Baseline!$D:$D,Results_list!$D96,SSP5_Baseline!$B:$B,2040)) - (SUMIFS(SSP5_Baseline!$E:$E,SSP5_Baseline!$C:$C,Results_list!$C$382,SSP5_Baseline!$D:$D,Results_list!$D96,SSP5_Baseline!$B:$B,2025))) / (SUMIFS(SSP5_Baseline!$E:$E,SSP5_Baseline!$C:$C,Results_list!$C$382,SSP5_Baseline!$D:$D,Results_list!$D96,SSP5_Baseline!$B:$B,2025))</f>
        <v>0.28964319412178036</v>
      </c>
      <c r="BG96" s="16">
        <f>((SUMIFS(SSP5_VSI!$F:$F,SSP5_VSI!$C:$C,Results_list!$C$382,SSP5_VSI!$D:$D,Results_list!$D96,SSP5_VSI!$B:$B,2040)) - (SUMIFS(SSP5_VSI!$F:$F,SSP5_VSI!$C:$C,Results_list!$C$382,SSP5_VSI!$D:$D,Results_list!$D96,SSP5_VSI!$B:$B,2025))) / (SUMIFS(SSP5_VSI!$F:$F,SSP5_VSI!$C:$C,Results_list!$C$382,SSP5_VSI!$D:$D,Results_list!$D96,SSP5_VSI!$B:$B,2025))</f>
        <v>0.2899131087172882</v>
      </c>
      <c r="BH96" s="13">
        <f t="shared" si="56"/>
        <v>0</v>
      </c>
    </row>
    <row r="97" spans="2:60" x14ac:dyDescent="0.35">
      <c r="B97" s="91"/>
      <c r="C97" s="91"/>
      <c r="D97" s="22" t="s">
        <v>48</v>
      </c>
      <c r="F97" s="3" t="s">
        <v>96</v>
      </c>
      <c r="G97" s="12">
        <f>((SUMIFS(SSP1_Baseline!$E:$E,SSP1_Baseline!$C:$C,Results_list!$C$88,SSP1_Baseline!$D:$D,Results_list!$D97,SSP1_Baseline!$B:$B,2040)) - (SUMIFS(SSP1_Baseline!$E:$E,SSP1_Baseline!$C:$C,Results_list!$C$88,SSP1_Baseline!$D:$D,Results_list!$D97,SSP1_Baseline!$B:$B,2025))) / (SUMIFS(SSP1_Baseline!$E:$E,SSP1_Baseline!$C:$C,Results_list!$C$88,SSP1_Baseline!$D:$D,Results_list!$D97,SSP1_Baseline!$B:$B,2025))</f>
        <v>5.6109135958218477E-4</v>
      </c>
      <c r="H97" s="16">
        <f>((SUMIFS(SSP1_VSI!$F:$F,SSP1_VSI!$C:$C,Results_list!$C$88,SSP1_VSI!$D:$D,Results_list!$D97,SSP1_VSI!$B:$B,2040)) - (SUMIFS(SSP1_VSI!$F:$F,SSP1_VSI!$C:$C,Results_list!$C$88,SSP1_VSI!$D:$D,Results_list!$D97,SSP1_VSI!$B:$B,2025))) / (SUMIFS(SSP1_VSI!$F:$F,SSP1_VSI!$C:$C,Results_list!$C$88,SSP1_VSI!$D:$D,Results_list!$D97,SSP1_VSI!$B:$B,2025))</f>
        <v>5.6115726035336306E-4</v>
      </c>
      <c r="I97" s="13">
        <f t="shared" si="48"/>
        <v>0</v>
      </c>
      <c r="J97" s="12">
        <f>((SUMIFS(SSP2_Baseline!$E:$E,SSP2_Baseline!$C:$C,Results_list!$C$88,SSP2_Baseline!$D:$D,Results_list!$D97,SSP2_Baseline!$B:$B,2040)) - (SUMIFS(SSP2_Baseline!$E:$E,SSP2_Baseline!$C:$C,Results_list!$C$88,SSP2_Baseline!$D:$D,Results_list!$D97,SSP2_Baseline!$B:$B,2025))) / (SUMIFS(SSP2_Baseline!$E:$E,SSP2_Baseline!$C:$C,Results_list!$C$88,SSP2_Baseline!$D:$D,Results_list!$D97,SSP2_Baseline!$B:$B,2025))</f>
        <v>5.6518773648807786E-4</v>
      </c>
      <c r="K97" s="16">
        <f>((SUMIFS(SSP2_VSI!$F:$F,SSP2_VSI!$C:$C,Results_list!$C$88,SSP2_VSI!$D:$D,Results_list!$D97,SSP2_VSI!$B:$B,2040)) - (SUMIFS(SSP2_VSI!$F:$F,SSP2_VSI!$C:$C,Results_list!$C$88,SSP2_VSI!$D:$D,Results_list!$D97,SSP2_VSI!$B:$B,2025))) / (SUMIFS(SSP2_VSI!$F:$F,SSP2_VSI!$C:$C,Results_list!$C$88,SSP2_VSI!$D:$D,Results_list!$D97,SSP2_VSI!$B:$B,2025))</f>
        <v>5.6522417581104792E-4</v>
      </c>
      <c r="L97" s="13">
        <f t="shared" si="49"/>
        <v>0</v>
      </c>
      <c r="M97" s="12">
        <f>((SUMIFS(SSP5_Baseline!$E:$E,SSP5_Baseline!$C:$C,Results_list!$C$88,SSP5_Baseline!$D:$D,Results_list!$D97,SSP5_Baseline!$B:$B,2040)) - (SUMIFS(SSP5_Baseline!$E:$E,SSP5_Baseline!$C:$C,Results_list!$C$88,SSP5_Baseline!$D:$D,Results_list!$D97,SSP5_Baseline!$B:$B,2025))) / (SUMIFS(SSP5_Baseline!$E:$E,SSP5_Baseline!$C:$C,Results_list!$C$88,SSP5_Baseline!$D:$D,Results_list!$D97,SSP5_Baseline!$B:$B,2025))</f>
        <v>4.5919990312851027E-4</v>
      </c>
      <c r="N97" s="16">
        <f>((SUMIFS(SSP5_VSI!$F:$F,SSP5_VSI!$C:$C,Results_list!$C$88,SSP5_VSI!$D:$D,Results_list!$D97,SSP5_VSI!$B:$B,2040)) - (SUMIFS(SSP5_VSI!$F:$F,SSP5_VSI!$C:$C,Results_list!$C$88,SSP5_VSI!$D:$D,Results_list!$D97,SSP5_VSI!$B:$B,2025))) / (SUMIFS(SSP5_VSI!$F:$F,SSP5_VSI!$C:$C,Results_list!$C$88,SSP5_VSI!$D:$D,Results_list!$D97,SSP5_VSI!$B:$B,2025))</f>
        <v>4.593073477402602E-4</v>
      </c>
      <c r="O97" s="13">
        <f t="shared" si="50"/>
        <v>0</v>
      </c>
      <c r="AF97" s="85"/>
      <c r="AG97" s="85"/>
      <c r="AH97" t="s">
        <v>48</v>
      </c>
      <c r="AJ97" s="3" t="s">
        <v>96</v>
      </c>
      <c r="AK97" s="12">
        <f>((SUMIFS(SSP1_Baseline!$E:$E,SSP1_Baseline!$C:$C,Results_list!$C$277,SSP1_Baseline!$D:$D,Results_list!$D97,SSP1_Baseline!$B:$B,2040)) - (SUMIFS(SSP1_Baseline!$E:$E,SSP1_Baseline!$C:$C,Results_list!$C$277,SSP1_Baseline!$D:$D,Results_list!$D97,SSP1_Baseline!$B:$B,2025))) / (SUMIFS(SSP1_Baseline!$E:$E,SSP1_Baseline!$C:$C,Results_list!$C$277,SSP1_Baseline!$D:$D,Results_list!$D97,SSP1_Baseline!$B:$B,2025))</f>
        <v>2.9918618024985591E-2</v>
      </c>
      <c r="AL97" s="16">
        <f>((SUMIFS(SSP1_VSI!$F:$F,SSP1_VSI!$C:$C,Results_list!$C$277,SSP1_VSI!$D:$D,Results_list!$D97,SSP1_VSI!$B:$B,2040)) - (SUMIFS(SSP1_VSI!$F:$F,SSP1_VSI!$C:$C,Results_list!$C$277,SSP1_VSI!$D:$D,Results_list!$D97,SSP1_VSI!$B:$B,2025))) / (SUMIFS(SSP1_VSI!$F:$F,SSP1_VSI!$C:$C,Results_list!$C$277,SSP1_VSI!$D:$D,Results_list!$D97,SSP1_VSI!$B:$B,2025))</f>
        <v>2.99223660027595E-2</v>
      </c>
      <c r="AM97" s="13">
        <f t="shared" si="51"/>
        <v>0</v>
      </c>
      <c r="AN97" s="12">
        <f>((SUMIFS(SSP2_Baseline!$E:$E,SSP2_Baseline!$C:$C,Results_list!$C$277,SSP2_Baseline!$D:$D,Results_list!$D97,SSP2_Baseline!$B:$B,2040)) - (SUMIFS(SSP2_Baseline!$E:$E,SSP2_Baseline!$C:$C,Results_list!$C$277,SSP2_Baseline!$D:$D,Results_list!$D97,SSP2_Baseline!$B:$B,2025))) / (SUMIFS(SSP2_Baseline!$E:$E,SSP2_Baseline!$C:$C,Results_list!$C$277,SSP2_Baseline!$D:$D,Results_list!$D97,SSP2_Baseline!$B:$B,2025))</f>
        <v>2.7894733621971798E-2</v>
      </c>
      <c r="AO97" s="16">
        <f>((SUMIFS(SSP2_VSI!$F:$F,SSP2_VSI!$C:$C,Results_list!$C$277,SSP2_VSI!$D:$D,Results_list!$D97,SSP2_VSI!$B:$B,2040)) - (SUMIFS(SSP2_VSI!$F:$F,SSP2_VSI!$C:$C,Results_list!$C$277,SSP2_VSI!$D:$D,Results_list!$D97,SSP2_VSI!$B:$B,2025))) / (SUMIFS(SSP2_VSI!$F:$F,SSP2_VSI!$C:$C,Results_list!$C$277,SSP2_VSI!$D:$D,Results_list!$D97,SSP2_VSI!$B:$B,2025))</f>
        <v>2.7901350227927665E-2</v>
      </c>
      <c r="AP97" s="13">
        <f t="shared" si="52"/>
        <v>0</v>
      </c>
      <c r="AQ97" s="12">
        <f>((SUMIFS(SSP5_Baseline!$E:$E,SSP5_Baseline!$C:$C,Results_list!$C$277,SSP5_Baseline!$D:$D,Results_list!$D97,SSP5_Baseline!$B:$B,2040)) - (SUMIFS(SSP5_Baseline!$E:$E,SSP5_Baseline!$C:$C,Results_list!$C$277,SSP5_Baseline!$D:$D,Results_list!$D97,SSP5_Baseline!$B:$B,2025))) / (SUMIFS(SSP5_Baseline!$E:$E,SSP5_Baseline!$C:$C,Results_list!$C$277,SSP5_Baseline!$D:$D,Results_list!$D97,SSP5_Baseline!$B:$B,2025))</f>
        <v>3.0724377319570093E-2</v>
      </c>
      <c r="AR97" s="16">
        <f>((SUMIFS(SSP5_VSI!$F:$F,SSP5_VSI!$C:$C,Results_list!$C$277,SSP5_VSI!$D:$D,Results_list!$D97,SSP5_VSI!$B:$B,2040)) - (SUMIFS(SSP5_VSI!$F:$F,SSP5_VSI!$C:$C,Results_list!$C$277,SSP5_VSI!$D:$D,Results_list!$D97,SSP5_VSI!$B:$B,2025))) / (SUMIFS(SSP5_VSI!$F:$F,SSP5_VSI!$C:$C,Results_list!$C$277,SSP5_VSI!$D:$D,Results_list!$D97,SSP5_VSI!$B:$B,2025))</f>
        <v>3.0731417060972765E-2</v>
      </c>
      <c r="AS97" s="13">
        <f t="shared" si="53"/>
        <v>0</v>
      </c>
      <c r="AU97" s="87"/>
      <c r="AV97" s="87"/>
      <c r="AW97" t="s">
        <v>48</v>
      </c>
      <c r="AY97" s="3" t="s">
        <v>96</v>
      </c>
      <c r="AZ97" s="12">
        <f>((SUMIFS(SSP1_Baseline!$E:$E,SSP1_Baseline!$C:$C,Results_list!$C$382,SSP1_Baseline!$D:$D,Results_list!$D97,SSP1_Baseline!$B:$B,2040)) - (SUMIFS(SSP1_Baseline!$E:$E,SSP1_Baseline!$C:$C,Results_list!$C$382,SSP1_Baseline!$D:$D,Results_list!$D97,SSP1_Baseline!$B:$B,2025))) / (SUMIFS(SSP1_Baseline!$E:$E,SSP1_Baseline!$C:$C,Results_list!$C$382,SSP1_Baseline!$D:$D,Results_list!$D97,SSP1_Baseline!$B:$B,2025))</f>
        <v>3.7047831879296181E-5</v>
      </c>
      <c r="BA97" s="16">
        <f>((SUMIFS(SSP1_VSI!$F:$F,SSP1_VSI!$C:$C,Results_list!$C$382,SSP1_VSI!$D:$D,Results_list!$D97,SSP1_VSI!$B:$B,2040)) - (SUMIFS(SSP1_VSI!$F:$F,SSP1_VSI!$C:$C,Results_list!$C$382,SSP1_VSI!$D:$D,Results_list!$D97,SSP1_VSI!$B:$B,2025))) / (SUMIFS(SSP1_VSI!$F:$F,SSP1_VSI!$C:$C,Results_list!$C$382,SSP1_VSI!$D:$D,Results_list!$D97,SSP1_VSI!$B:$B,2025))</f>
        <v>3.7056418189168433E-5</v>
      </c>
      <c r="BB97" s="13">
        <f t="shared" si="54"/>
        <v>0</v>
      </c>
      <c r="BC97" s="12">
        <f>((SUMIFS(SSP2_Baseline!$E:$E,SSP2_Baseline!$C:$C,Results_list!$C$382,SSP2_Baseline!$D:$D,Results_list!$D97,SSP2_Baseline!$B:$B,2040)) - (SUMIFS(SSP2_Baseline!$E:$E,SSP2_Baseline!$C:$C,Results_list!$C$382,SSP2_Baseline!$D:$D,Results_list!$D97,SSP2_Baseline!$B:$B,2025))) / (SUMIFS(SSP2_Baseline!$E:$E,SSP2_Baseline!$C:$C,Results_list!$C$382,SSP2_Baseline!$D:$D,Results_list!$D97,SSP2_Baseline!$B:$B,2025))</f>
        <v>1.3368294292278457E-5</v>
      </c>
      <c r="BD97" s="16">
        <f>((SUMIFS(SSP2_VSI!$F:$F,SSP2_VSI!$C:$C,Results_list!$C$382,SSP2_VSI!$D:$D,Results_list!$D97,SSP2_VSI!$B:$B,2040)) - (SUMIFS(SSP2_VSI!$F:$F,SSP2_VSI!$C:$C,Results_list!$C$382,SSP2_VSI!$D:$D,Results_list!$D97,SSP2_VSI!$B:$B,2025))) / (SUMIFS(SSP2_VSI!$F:$F,SSP2_VSI!$C:$C,Results_list!$C$382,SSP2_VSI!$D:$D,Results_list!$D97,SSP2_VSI!$B:$B,2025))</f>
        <v>1.3373084010197071E-5</v>
      </c>
      <c r="BE97" s="13">
        <f t="shared" si="55"/>
        <v>0</v>
      </c>
      <c r="BF97" s="12">
        <f>((SUMIFS(SSP5_Baseline!$E:$E,SSP5_Baseline!$C:$C,Results_list!$C$382,SSP5_Baseline!$D:$D,Results_list!$D97,SSP5_Baseline!$B:$B,2040)) - (SUMIFS(SSP5_Baseline!$E:$E,SSP5_Baseline!$C:$C,Results_list!$C$382,SSP5_Baseline!$D:$D,Results_list!$D97,SSP5_Baseline!$B:$B,2025))) / (SUMIFS(SSP5_Baseline!$E:$E,SSP5_Baseline!$C:$C,Results_list!$C$382,SSP5_Baseline!$D:$D,Results_list!$D97,SSP5_Baseline!$B:$B,2025))</f>
        <v>1.9168220472102987E-5</v>
      </c>
      <c r="BG97" s="16">
        <f>((SUMIFS(SSP5_VSI!$F:$F,SSP5_VSI!$C:$C,Results_list!$C$382,SSP5_VSI!$D:$D,Results_list!$D97,SSP5_VSI!$B:$B,2040)) - (SUMIFS(SSP5_VSI!$F:$F,SSP5_VSI!$C:$C,Results_list!$C$382,SSP5_VSI!$D:$D,Results_list!$D97,SSP5_VSI!$B:$B,2025))) / (SUMIFS(SSP5_VSI!$F:$F,SSP5_VSI!$C:$C,Results_list!$C$382,SSP5_VSI!$D:$D,Results_list!$D97,SSP5_VSI!$B:$B,2025))</f>
        <v>1.9183432636341742E-5</v>
      </c>
      <c r="BH97" s="13">
        <f t="shared" si="56"/>
        <v>0</v>
      </c>
    </row>
    <row r="98" spans="2:60" x14ac:dyDescent="0.35">
      <c r="B98" s="91"/>
      <c r="C98" s="91"/>
      <c r="D98" s="22" t="s">
        <v>49</v>
      </c>
      <c r="F98" s="3" t="s">
        <v>97</v>
      </c>
      <c r="G98" s="12">
        <f>((SUMIFS(SSP1_Baseline!$E:$E,SSP1_Baseline!$C:$C,Results_list!$C$88,SSP1_Baseline!$D:$D,Results_list!$D98,SSP1_Baseline!$B:$B,2040)) - (SUMIFS(SSP1_Baseline!$E:$E,SSP1_Baseline!$C:$C,Results_list!$C$88,SSP1_Baseline!$D:$D,Results_list!$D98,SSP1_Baseline!$B:$B,2025))) / (SUMIFS(SSP1_Baseline!$E:$E,SSP1_Baseline!$C:$C,Results_list!$C$88,SSP1_Baseline!$D:$D,Results_list!$D98,SSP1_Baseline!$B:$B,2025))</f>
        <v>-3.6211746943439559E-2</v>
      </c>
      <c r="H98" s="16">
        <f>((SUMIFS(SSP1_VSI!$F:$F,SSP1_VSI!$C:$C,Results_list!$C$88,SSP1_VSI!$D:$D,Results_list!$D98,SSP1_VSI!$B:$B,2040)) - (SUMIFS(SSP1_VSI!$F:$F,SSP1_VSI!$C:$C,Results_list!$C$88,SSP1_VSI!$D:$D,Results_list!$D98,SSP1_VSI!$B:$B,2025))) / (SUMIFS(SSP1_VSI!$F:$F,SSP1_VSI!$C:$C,Results_list!$C$88,SSP1_VSI!$D:$D,Results_list!$D98,SSP1_VSI!$B:$B,2025))</f>
        <v>-3.8978774152365281E-2</v>
      </c>
      <c r="I98" s="13">
        <f t="shared" si="48"/>
        <v>-3.0000000000000001E-3</v>
      </c>
      <c r="J98" s="12">
        <f>((SUMIFS(SSP2_Baseline!$E:$E,SSP2_Baseline!$C:$C,Results_list!$C$88,SSP2_Baseline!$D:$D,Results_list!$D98,SSP2_Baseline!$B:$B,2040)) - (SUMIFS(SSP2_Baseline!$E:$E,SSP2_Baseline!$C:$C,Results_list!$C$88,SSP2_Baseline!$D:$D,Results_list!$D98,SSP2_Baseline!$B:$B,2025))) / (SUMIFS(SSP2_Baseline!$E:$E,SSP2_Baseline!$C:$C,Results_list!$C$88,SSP2_Baseline!$D:$D,Results_list!$D98,SSP2_Baseline!$B:$B,2025))</f>
        <v>8.1489684503098514E-3</v>
      </c>
      <c r="K98" s="16">
        <f>((SUMIFS(SSP2_VSI!$F:$F,SSP2_VSI!$C:$C,Results_list!$C$88,SSP2_VSI!$D:$D,Results_list!$D98,SSP2_VSI!$B:$B,2040)) - (SUMIFS(SSP2_VSI!$F:$F,SSP2_VSI!$C:$C,Results_list!$C$88,SSP2_VSI!$D:$D,Results_list!$D98,SSP2_VSI!$B:$B,2025))) / (SUMIFS(SSP2_VSI!$F:$F,SSP2_VSI!$C:$C,Results_list!$C$88,SSP2_VSI!$D:$D,Results_list!$D98,SSP2_VSI!$B:$B,2025))</f>
        <v>5.2158951729635019E-3</v>
      </c>
      <c r="L98" s="13">
        <f t="shared" si="49"/>
        <v>0</v>
      </c>
      <c r="M98" s="12">
        <f>((SUMIFS(SSP5_Baseline!$E:$E,SSP5_Baseline!$C:$C,Results_list!$C$88,SSP5_Baseline!$D:$D,Results_list!$D98,SSP5_Baseline!$B:$B,2040)) - (SUMIFS(SSP5_Baseline!$E:$E,SSP5_Baseline!$C:$C,Results_list!$C$88,SSP5_Baseline!$D:$D,Results_list!$D98,SSP5_Baseline!$B:$B,2025))) / (SUMIFS(SSP5_Baseline!$E:$E,SSP5_Baseline!$C:$C,Results_list!$C$88,SSP5_Baseline!$D:$D,Results_list!$D98,SSP5_Baseline!$B:$B,2025))</f>
        <v>9.7395024891607559E-3</v>
      </c>
      <c r="N98" s="16">
        <f>((SUMIFS(SSP5_VSI!$F:$F,SSP5_VSI!$C:$C,Results_list!$C$88,SSP5_VSI!$D:$D,Results_list!$D98,SSP5_VSI!$B:$B,2040)) - (SUMIFS(SSP5_VSI!$F:$F,SSP5_VSI!$C:$C,Results_list!$C$88,SSP5_VSI!$D:$D,Results_list!$D98,SSP5_VSI!$B:$B,2025))) / (SUMIFS(SSP5_VSI!$F:$F,SSP5_VSI!$C:$C,Results_list!$C$88,SSP5_VSI!$D:$D,Results_list!$D98,SSP5_VSI!$B:$B,2025))</f>
        <v>6.8162063727081725E-3</v>
      </c>
      <c r="O98" s="13">
        <f t="shared" si="50"/>
        <v>0</v>
      </c>
      <c r="AF98" s="85"/>
      <c r="AG98" s="85"/>
      <c r="AH98" t="s">
        <v>49</v>
      </c>
      <c r="AJ98" s="3" t="s">
        <v>97</v>
      </c>
      <c r="AK98" s="12">
        <f>((SUMIFS(SSP1_Baseline!$E:$E,SSP1_Baseline!$C:$C,Results_list!$C$277,SSP1_Baseline!$D:$D,Results_list!$D98,SSP1_Baseline!$B:$B,2040)) - (SUMIFS(SSP1_Baseline!$E:$E,SSP1_Baseline!$C:$C,Results_list!$C$277,SSP1_Baseline!$D:$D,Results_list!$D98,SSP1_Baseline!$B:$B,2025))) / (SUMIFS(SSP1_Baseline!$E:$E,SSP1_Baseline!$C:$C,Results_list!$C$277,SSP1_Baseline!$D:$D,Results_list!$D98,SSP1_Baseline!$B:$B,2025))</f>
        <v>-7.3642182151960292E-2</v>
      </c>
      <c r="AL98" s="16">
        <f>((SUMIFS(SSP1_VSI!$F:$F,SSP1_VSI!$C:$C,Results_list!$C$277,SSP1_VSI!$D:$D,Results_list!$D98,SSP1_VSI!$B:$B,2040)) - (SUMIFS(SSP1_VSI!$F:$F,SSP1_VSI!$C:$C,Results_list!$C$277,SSP1_VSI!$D:$D,Results_list!$D98,SSP1_VSI!$B:$B,2025))) / (SUMIFS(SSP1_VSI!$F:$F,SSP1_VSI!$C:$C,Results_list!$C$277,SSP1_VSI!$D:$D,Results_list!$D98,SSP1_VSI!$B:$B,2025))</f>
        <v>-7.3770362306587331E-2</v>
      </c>
      <c r="AM98" s="13">
        <f t="shared" si="51"/>
        <v>0</v>
      </c>
      <c r="AN98" s="12">
        <f>((SUMIFS(SSP2_Baseline!$E:$E,SSP2_Baseline!$C:$C,Results_list!$C$277,SSP2_Baseline!$D:$D,Results_list!$D98,SSP2_Baseline!$B:$B,2040)) - (SUMIFS(SSP2_Baseline!$E:$E,SSP2_Baseline!$C:$C,Results_list!$C$277,SSP2_Baseline!$D:$D,Results_list!$D98,SSP2_Baseline!$B:$B,2025))) / (SUMIFS(SSP2_Baseline!$E:$E,SSP2_Baseline!$C:$C,Results_list!$C$277,SSP2_Baseline!$D:$D,Results_list!$D98,SSP2_Baseline!$B:$B,2025))</f>
        <v>-4.0683592628585945E-2</v>
      </c>
      <c r="AO98" s="16">
        <f>((SUMIFS(SSP2_VSI!$F:$F,SSP2_VSI!$C:$C,Results_list!$C$277,SSP2_VSI!$D:$D,Results_list!$D98,SSP2_VSI!$B:$B,2040)) - (SUMIFS(SSP2_VSI!$F:$F,SSP2_VSI!$C:$C,Results_list!$C$277,SSP2_VSI!$D:$D,Results_list!$D98,SSP2_VSI!$B:$B,2025))) / (SUMIFS(SSP2_VSI!$F:$F,SSP2_VSI!$C:$C,Results_list!$C$277,SSP2_VSI!$D:$D,Results_list!$D98,SSP2_VSI!$B:$B,2025))</f>
        <v>-4.0673026002337027E-2</v>
      </c>
      <c r="AP98" s="13">
        <f t="shared" si="52"/>
        <v>0</v>
      </c>
      <c r="AQ98" s="12">
        <f>((SUMIFS(SSP5_Baseline!$E:$E,SSP5_Baseline!$C:$C,Results_list!$C$277,SSP5_Baseline!$D:$D,Results_list!$D98,SSP5_Baseline!$B:$B,2040)) - (SUMIFS(SSP5_Baseline!$E:$E,SSP5_Baseline!$C:$C,Results_list!$C$277,SSP5_Baseline!$D:$D,Results_list!$D98,SSP5_Baseline!$B:$B,2025))) / (SUMIFS(SSP5_Baseline!$E:$E,SSP5_Baseline!$C:$C,Results_list!$C$277,SSP5_Baseline!$D:$D,Results_list!$D98,SSP5_Baseline!$B:$B,2025))</f>
        <v>-2.8593489359008947E-2</v>
      </c>
      <c r="AR98" s="16">
        <f>((SUMIFS(SSP5_VSI!$F:$F,SSP5_VSI!$C:$C,Results_list!$C$277,SSP5_VSI!$D:$D,Results_list!$D98,SSP5_VSI!$B:$B,2040)) - (SUMIFS(SSP5_VSI!$F:$F,SSP5_VSI!$C:$C,Results_list!$C$277,SSP5_VSI!$D:$D,Results_list!$D98,SSP5_VSI!$B:$B,2025))) / (SUMIFS(SSP5_VSI!$F:$F,SSP5_VSI!$C:$C,Results_list!$C$277,SSP5_VSI!$D:$D,Results_list!$D98,SSP5_VSI!$B:$B,2025))</f>
        <v>-2.8700480664911491E-2</v>
      </c>
      <c r="AS98" s="13">
        <f t="shared" si="53"/>
        <v>0</v>
      </c>
      <c r="AU98" s="87"/>
      <c r="AV98" s="87"/>
      <c r="AW98" t="s">
        <v>49</v>
      </c>
      <c r="AY98" s="3" t="s">
        <v>97</v>
      </c>
      <c r="AZ98" s="12">
        <f>((SUMIFS(SSP1_Baseline!$E:$E,SSP1_Baseline!$C:$C,Results_list!$C$382,SSP1_Baseline!$D:$D,Results_list!$D98,SSP1_Baseline!$B:$B,2040)) - (SUMIFS(SSP1_Baseline!$E:$E,SSP1_Baseline!$C:$C,Results_list!$C$382,SSP1_Baseline!$D:$D,Results_list!$D98,SSP1_Baseline!$B:$B,2025))) / (SUMIFS(SSP1_Baseline!$E:$E,SSP1_Baseline!$C:$C,Results_list!$C$382,SSP1_Baseline!$D:$D,Results_list!$D98,SSP1_Baseline!$B:$B,2025))</f>
        <v>-2.5949899919659548E-2</v>
      </c>
      <c r="BA98" s="16">
        <f>((SUMIFS(SSP1_VSI!$F:$F,SSP1_VSI!$C:$C,Results_list!$C$382,SSP1_VSI!$D:$D,Results_list!$D98,SSP1_VSI!$B:$B,2040)) - (SUMIFS(SSP1_VSI!$F:$F,SSP1_VSI!$C:$C,Results_list!$C$382,SSP1_VSI!$D:$D,Results_list!$D98,SSP1_VSI!$B:$B,2025))) / (SUMIFS(SSP1_VSI!$F:$F,SSP1_VSI!$C:$C,Results_list!$C$382,SSP1_VSI!$D:$D,Results_list!$D98,SSP1_VSI!$B:$B,2025))</f>
        <v>-6.238415432174782E-2</v>
      </c>
      <c r="BB98" s="13">
        <f t="shared" si="54"/>
        <v>-3.5999999999999997E-2</v>
      </c>
      <c r="BC98" s="12">
        <f>((SUMIFS(SSP2_Baseline!$E:$E,SSP2_Baseline!$C:$C,Results_list!$C$382,SSP2_Baseline!$D:$D,Results_list!$D98,SSP2_Baseline!$B:$B,2040)) - (SUMIFS(SSP2_Baseline!$E:$E,SSP2_Baseline!$C:$C,Results_list!$C$382,SSP2_Baseline!$D:$D,Results_list!$D98,SSP2_Baseline!$B:$B,2025))) / (SUMIFS(SSP2_Baseline!$E:$E,SSP2_Baseline!$C:$C,Results_list!$C$382,SSP2_Baseline!$D:$D,Results_list!$D98,SSP2_Baseline!$B:$B,2025))</f>
        <v>-2.3440911129362699E-2</v>
      </c>
      <c r="BD98" s="16">
        <f>((SUMIFS(SSP2_VSI!$F:$F,SSP2_VSI!$C:$C,Results_list!$C$382,SSP2_VSI!$D:$D,Results_list!$D98,SSP2_VSI!$B:$B,2040)) - (SUMIFS(SSP2_VSI!$F:$F,SSP2_VSI!$C:$C,Results_list!$C$382,SSP2_VSI!$D:$D,Results_list!$D98,SSP2_VSI!$B:$B,2025))) / (SUMIFS(SSP2_VSI!$F:$F,SSP2_VSI!$C:$C,Results_list!$C$382,SSP2_VSI!$D:$D,Results_list!$D98,SSP2_VSI!$B:$B,2025))</f>
        <v>-6.0102255100860896E-2</v>
      </c>
      <c r="BE98" s="13">
        <f t="shared" si="55"/>
        <v>-0.04</v>
      </c>
      <c r="BF98" s="12">
        <f>((SUMIFS(SSP5_Baseline!$E:$E,SSP5_Baseline!$C:$C,Results_list!$C$382,SSP5_Baseline!$D:$D,Results_list!$D98,SSP5_Baseline!$B:$B,2040)) - (SUMIFS(SSP5_Baseline!$E:$E,SSP5_Baseline!$C:$C,Results_list!$C$382,SSP5_Baseline!$D:$D,Results_list!$D98,SSP5_Baseline!$B:$B,2025))) / (SUMIFS(SSP5_Baseline!$E:$E,SSP5_Baseline!$C:$C,Results_list!$C$382,SSP5_Baseline!$D:$D,Results_list!$D98,SSP5_Baseline!$B:$B,2025))</f>
        <v>-1.8267704965769512E-2</v>
      </c>
      <c r="BG98" s="16">
        <f>((SUMIFS(SSP5_VSI!$F:$F,SSP5_VSI!$C:$C,Results_list!$C$382,SSP5_VSI!$D:$D,Results_list!$D98,SSP5_VSI!$B:$B,2040)) - (SUMIFS(SSP5_VSI!$F:$F,SSP5_VSI!$C:$C,Results_list!$C$382,SSP5_VSI!$D:$D,Results_list!$D98,SSP5_VSI!$B:$B,2025))) / (SUMIFS(SSP5_VSI!$F:$F,SSP5_VSI!$C:$C,Results_list!$C$382,SSP5_VSI!$D:$D,Results_list!$D98,SSP5_VSI!$B:$B,2025))</f>
        <v>-5.4841338025980846E-2</v>
      </c>
      <c r="BH98" s="13">
        <f t="shared" si="56"/>
        <v>-0.04</v>
      </c>
    </row>
    <row r="99" spans="2:60" x14ac:dyDescent="0.35">
      <c r="B99" s="91"/>
      <c r="C99" s="91"/>
      <c r="D99" s="22" t="s">
        <v>50</v>
      </c>
      <c r="F99" s="3" t="s">
        <v>98</v>
      </c>
      <c r="G99" s="12">
        <f>((SUMIFS(SSP1_Baseline!$E:$E,SSP1_Baseline!$C:$C,Results_list!$C$88,SSP1_Baseline!$D:$D,Results_list!$D99,SSP1_Baseline!$B:$B,2040)) - (SUMIFS(SSP1_Baseline!$E:$E,SSP1_Baseline!$C:$C,Results_list!$C$88,SSP1_Baseline!$D:$D,Results_list!$D99,SSP1_Baseline!$B:$B,2025))) / (SUMIFS(SSP1_Baseline!$E:$E,SSP1_Baseline!$C:$C,Results_list!$C$88,SSP1_Baseline!$D:$D,Results_list!$D99,SSP1_Baseline!$B:$B,2025))</f>
        <v>-5.1111070040778639E-2</v>
      </c>
      <c r="H99" s="16">
        <f>((SUMIFS(SSP1_VSI!$F:$F,SSP1_VSI!$C:$C,Results_list!$C$88,SSP1_VSI!$D:$D,Results_list!$D99,SSP1_VSI!$B:$B,2040)) - (SUMIFS(SSP1_VSI!$F:$F,SSP1_VSI!$C:$C,Results_list!$C$88,SSP1_VSI!$D:$D,Results_list!$D99,SSP1_VSI!$B:$B,2025))) / (SUMIFS(SSP1_VSI!$F:$F,SSP1_VSI!$C:$C,Results_list!$C$88,SSP1_VSI!$D:$D,Results_list!$D99,SSP1_VSI!$B:$B,2025))</f>
        <v>-5.1113750642247213E-2</v>
      </c>
      <c r="I99" s="13">
        <f t="shared" si="48"/>
        <v>0</v>
      </c>
      <c r="J99" s="12">
        <f>((SUMIFS(SSP2_Baseline!$E:$E,SSP2_Baseline!$C:$C,Results_list!$C$88,SSP2_Baseline!$D:$D,Results_list!$D99,SSP2_Baseline!$B:$B,2040)) - (SUMIFS(SSP2_Baseline!$E:$E,SSP2_Baseline!$C:$C,Results_list!$C$88,SSP2_Baseline!$D:$D,Results_list!$D99,SSP2_Baseline!$B:$B,2025))) / (SUMIFS(SSP2_Baseline!$E:$E,SSP2_Baseline!$C:$C,Results_list!$C$88,SSP2_Baseline!$D:$D,Results_list!$D99,SSP2_Baseline!$B:$B,2025))</f>
        <v>7.6565859214751703E-2</v>
      </c>
      <c r="K99" s="16">
        <f>((SUMIFS(SSP2_VSI!$F:$F,SSP2_VSI!$C:$C,Results_list!$C$88,SSP2_VSI!$D:$D,Results_list!$D99,SSP2_VSI!$B:$B,2040)) - (SUMIFS(SSP2_VSI!$F:$F,SSP2_VSI!$C:$C,Results_list!$C$88,SSP2_VSI!$D:$D,Results_list!$D99,SSP2_VSI!$B:$B,2025))) / (SUMIFS(SSP2_VSI!$F:$F,SSP2_VSI!$C:$C,Results_list!$C$88,SSP2_VSI!$D:$D,Results_list!$D99,SSP2_VSI!$B:$B,2025))</f>
        <v>7.6566240348423395E-2</v>
      </c>
      <c r="L99" s="13">
        <f t="shared" si="49"/>
        <v>0</v>
      </c>
      <c r="M99" s="12">
        <f>((SUMIFS(SSP5_Baseline!$E:$E,SSP5_Baseline!$C:$C,Results_list!$C$88,SSP5_Baseline!$D:$D,Results_list!$D99,SSP5_Baseline!$B:$B,2040)) - (SUMIFS(SSP5_Baseline!$E:$E,SSP5_Baseline!$C:$C,Results_list!$C$88,SSP5_Baseline!$D:$D,Results_list!$D99,SSP5_Baseline!$B:$B,2025))) / (SUMIFS(SSP5_Baseline!$E:$E,SSP5_Baseline!$C:$C,Results_list!$C$88,SSP5_Baseline!$D:$D,Results_list!$D99,SSP5_Baseline!$B:$B,2025))</f>
        <v>0.11141995764977231</v>
      </c>
      <c r="N99" s="16">
        <f>((SUMIFS(SSP5_VSI!$F:$F,SSP5_VSI!$C:$C,Results_list!$C$88,SSP5_VSI!$D:$D,Results_list!$D99,SSP5_VSI!$B:$B,2040)) - (SUMIFS(SSP5_VSI!$F:$F,SSP5_VSI!$C:$C,Results_list!$C$88,SSP5_VSI!$D:$D,Results_list!$D99,SSP5_VSI!$B:$B,2025))) / (SUMIFS(SSP5_VSI!$F:$F,SSP5_VSI!$C:$C,Results_list!$C$88,SSP5_VSI!$D:$D,Results_list!$D99,SSP5_VSI!$B:$B,2025))</f>
        <v>0.11142449839571204</v>
      </c>
      <c r="O99" s="13">
        <f t="shared" si="50"/>
        <v>0</v>
      </c>
      <c r="AF99" s="85"/>
      <c r="AG99" s="85"/>
      <c r="AH99" t="s">
        <v>50</v>
      </c>
      <c r="AJ99" s="3" t="s">
        <v>98</v>
      </c>
      <c r="AK99" s="12">
        <f>((SUMIFS(SSP1_Baseline!$E:$E,SSP1_Baseline!$C:$C,Results_list!$C$277,SSP1_Baseline!$D:$D,Results_list!$D99,SSP1_Baseline!$B:$B,2040)) - (SUMIFS(SSP1_Baseline!$E:$E,SSP1_Baseline!$C:$C,Results_list!$C$277,SSP1_Baseline!$D:$D,Results_list!$D99,SSP1_Baseline!$B:$B,2025))) / (SUMIFS(SSP1_Baseline!$E:$E,SSP1_Baseline!$C:$C,Results_list!$C$277,SSP1_Baseline!$D:$D,Results_list!$D99,SSP1_Baseline!$B:$B,2025))</f>
        <v>-0.22220993546913564</v>
      </c>
      <c r="AL99" s="16">
        <f>((SUMIFS(SSP1_VSI!$F:$F,SSP1_VSI!$C:$C,Results_list!$C$277,SSP1_VSI!$D:$D,Results_list!$D99,SSP1_VSI!$B:$B,2040)) - (SUMIFS(SSP1_VSI!$F:$F,SSP1_VSI!$C:$C,Results_list!$C$277,SSP1_VSI!$D:$D,Results_list!$D99,SSP1_VSI!$B:$B,2025))) / (SUMIFS(SSP1_VSI!$F:$F,SSP1_VSI!$C:$C,Results_list!$C$277,SSP1_VSI!$D:$D,Results_list!$D99,SSP1_VSI!$B:$B,2025))</f>
        <v>-0.22222756746243993</v>
      </c>
      <c r="AM99" s="13">
        <f t="shared" si="51"/>
        <v>0</v>
      </c>
      <c r="AN99" s="12">
        <f>((SUMIFS(SSP2_Baseline!$E:$E,SSP2_Baseline!$C:$C,Results_list!$C$277,SSP2_Baseline!$D:$D,Results_list!$D99,SSP2_Baseline!$B:$B,2040)) - (SUMIFS(SSP2_Baseline!$E:$E,SSP2_Baseline!$C:$C,Results_list!$C$277,SSP2_Baseline!$D:$D,Results_list!$D99,SSP2_Baseline!$B:$B,2025))) / (SUMIFS(SSP2_Baseline!$E:$E,SSP2_Baseline!$C:$C,Results_list!$C$277,SSP2_Baseline!$D:$D,Results_list!$D99,SSP2_Baseline!$B:$B,2025))</f>
        <v>0.60088856389406808</v>
      </c>
      <c r="AO99" s="16">
        <f>((SUMIFS(SSP2_VSI!$F:$F,SSP2_VSI!$C:$C,Results_list!$C$277,SSP2_VSI!$D:$D,Results_list!$D99,SSP2_VSI!$B:$B,2040)) - (SUMIFS(SSP2_VSI!$F:$F,SSP2_VSI!$C:$C,Results_list!$C$277,SSP2_VSI!$D:$D,Results_list!$D99,SSP2_VSI!$B:$B,2025))) / (SUMIFS(SSP2_VSI!$F:$F,SSP2_VSI!$C:$C,Results_list!$C$277,SSP2_VSI!$D:$D,Results_list!$D99,SSP2_VSI!$B:$B,2025))</f>
        <v>0.60092888371766251</v>
      </c>
      <c r="AP99" s="13">
        <f t="shared" si="52"/>
        <v>0</v>
      </c>
      <c r="AQ99" s="12">
        <f>((SUMIFS(SSP5_Baseline!$E:$E,SSP5_Baseline!$C:$C,Results_list!$C$277,SSP5_Baseline!$D:$D,Results_list!$D99,SSP5_Baseline!$B:$B,2040)) - (SUMIFS(SSP5_Baseline!$E:$E,SSP5_Baseline!$C:$C,Results_list!$C$277,SSP5_Baseline!$D:$D,Results_list!$D99,SSP5_Baseline!$B:$B,2025))) / (SUMIFS(SSP5_Baseline!$E:$E,SSP5_Baseline!$C:$C,Results_list!$C$277,SSP5_Baseline!$D:$D,Results_list!$D99,SSP5_Baseline!$B:$B,2025))</f>
        <v>1.1146322133957567</v>
      </c>
      <c r="AR99" s="16">
        <f>((SUMIFS(SSP5_VSI!$F:$F,SSP5_VSI!$C:$C,Results_list!$C$277,SSP5_VSI!$D:$D,Results_list!$D99,SSP5_VSI!$B:$B,2040)) - (SUMIFS(SSP5_VSI!$F:$F,SSP5_VSI!$C:$C,Results_list!$C$277,SSP5_VSI!$D:$D,Results_list!$D99,SSP5_VSI!$B:$B,2025))) / (SUMIFS(SSP5_VSI!$F:$F,SSP5_VSI!$C:$C,Results_list!$C$277,SSP5_VSI!$D:$D,Results_list!$D99,SSP5_VSI!$B:$B,2025))</f>
        <v>1.114608360062078</v>
      </c>
      <c r="AS99" s="13">
        <f t="shared" si="53"/>
        <v>0</v>
      </c>
      <c r="AU99" s="87"/>
      <c r="AV99" s="87"/>
      <c r="AW99" t="s">
        <v>50</v>
      </c>
      <c r="AY99" s="3" t="s">
        <v>98</v>
      </c>
      <c r="AZ99" s="12">
        <f>((SUMIFS(SSP1_Baseline!$E:$E,SSP1_Baseline!$C:$C,Results_list!$C$382,SSP1_Baseline!$D:$D,Results_list!$D99,SSP1_Baseline!$B:$B,2040)) - (SUMIFS(SSP1_Baseline!$E:$E,SSP1_Baseline!$C:$C,Results_list!$C$382,SSP1_Baseline!$D:$D,Results_list!$D99,SSP1_Baseline!$B:$B,2025))) / (SUMIFS(SSP1_Baseline!$E:$E,SSP1_Baseline!$C:$C,Results_list!$C$382,SSP1_Baseline!$D:$D,Results_list!$D99,SSP1_Baseline!$B:$B,2025))</f>
        <v>-0.14760250819869281</v>
      </c>
      <c r="BA99" s="16">
        <f>((SUMIFS(SSP1_VSI!$F:$F,SSP1_VSI!$C:$C,Results_list!$C$382,SSP1_VSI!$D:$D,Results_list!$D99,SSP1_VSI!$B:$B,2040)) - (SUMIFS(SSP1_VSI!$F:$F,SSP1_VSI!$C:$C,Results_list!$C$382,SSP1_VSI!$D:$D,Results_list!$D99,SSP1_VSI!$B:$B,2025))) / (SUMIFS(SSP1_VSI!$F:$F,SSP1_VSI!$C:$C,Results_list!$C$382,SSP1_VSI!$D:$D,Results_list!$D99,SSP1_VSI!$B:$B,2025))</f>
        <v>-0.14761070236350107</v>
      </c>
      <c r="BB99" s="13">
        <f t="shared" si="54"/>
        <v>0</v>
      </c>
      <c r="BC99" s="12">
        <f>((SUMIFS(SSP2_Baseline!$E:$E,SSP2_Baseline!$C:$C,Results_list!$C$382,SSP2_Baseline!$D:$D,Results_list!$D99,SSP2_Baseline!$B:$B,2040)) - (SUMIFS(SSP2_Baseline!$E:$E,SSP2_Baseline!$C:$C,Results_list!$C$382,SSP2_Baseline!$D:$D,Results_list!$D99,SSP2_Baseline!$B:$B,2025))) / (SUMIFS(SSP2_Baseline!$E:$E,SSP2_Baseline!$C:$C,Results_list!$C$382,SSP2_Baseline!$D:$D,Results_list!$D99,SSP2_Baseline!$B:$B,2025))</f>
        <v>9.4349516063729905E-3</v>
      </c>
      <c r="BD99" s="16">
        <f>((SUMIFS(SSP2_VSI!$F:$F,SSP2_VSI!$C:$C,Results_list!$C$382,SSP2_VSI!$D:$D,Results_list!$D99,SSP2_VSI!$B:$B,2040)) - (SUMIFS(SSP2_VSI!$F:$F,SSP2_VSI!$C:$C,Results_list!$C$382,SSP2_VSI!$D:$D,Results_list!$D99,SSP2_VSI!$B:$B,2025))) / (SUMIFS(SSP2_VSI!$F:$F,SSP2_VSI!$C:$C,Results_list!$C$382,SSP2_VSI!$D:$D,Results_list!$D99,SSP2_VSI!$B:$B,2025))</f>
        <v>9.4349913308959376E-3</v>
      </c>
      <c r="BE99" s="13">
        <f t="shared" si="55"/>
        <v>0</v>
      </c>
      <c r="BF99" s="12">
        <f>((SUMIFS(SSP5_Baseline!$E:$E,SSP5_Baseline!$C:$C,Results_list!$C$382,SSP5_Baseline!$D:$D,Results_list!$D99,SSP5_Baseline!$B:$B,2040)) - (SUMIFS(SSP5_Baseline!$E:$E,SSP5_Baseline!$C:$C,Results_list!$C$382,SSP5_Baseline!$D:$D,Results_list!$D99,SSP5_Baseline!$B:$B,2025))) / (SUMIFS(SSP5_Baseline!$E:$E,SSP5_Baseline!$C:$C,Results_list!$C$382,SSP5_Baseline!$D:$D,Results_list!$D99,SSP5_Baseline!$B:$B,2025))</f>
        <v>0.1379251483749446</v>
      </c>
      <c r="BG99" s="16">
        <f>((SUMIFS(SSP5_VSI!$F:$F,SSP5_VSI!$C:$C,Results_list!$C$382,SSP5_VSI!$D:$D,Results_list!$D99,SSP5_VSI!$B:$B,2040)) - (SUMIFS(SSP5_VSI!$F:$F,SSP5_VSI!$C:$C,Results_list!$C$382,SSP5_VSI!$D:$D,Results_list!$D99,SSP5_VSI!$B:$B,2025))) / (SUMIFS(SSP5_VSI!$F:$F,SSP5_VSI!$C:$C,Results_list!$C$382,SSP5_VSI!$D:$D,Results_list!$D99,SSP5_VSI!$B:$B,2025))</f>
        <v>0.13794029023609675</v>
      </c>
      <c r="BH99" s="13">
        <f t="shared" si="56"/>
        <v>0</v>
      </c>
    </row>
    <row r="100" spans="2:60" x14ac:dyDescent="0.35">
      <c r="B100" s="91"/>
      <c r="C100" s="91"/>
      <c r="D100" s="22" t="s">
        <v>51</v>
      </c>
      <c r="F100" s="3" t="s">
        <v>99</v>
      </c>
      <c r="G100" s="12">
        <f>((SUMIFS(SSP1_Baseline!$E:$E,SSP1_Baseline!$C:$C,Results_list!$C$88,SSP1_Baseline!$D:$D,Results_list!$D100,SSP1_Baseline!$B:$B,2040)) - (SUMIFS(SSP1_Baseline!$E:$E,SSP1_Baseline!$C:$C,Results_list!$C$88,SSP1_Baseline!$D:$D,Results_list!$D100,SSP1_Baseline!$B:$B,2025))) / (SUMIFS(SSP1_Baseline!$E:$E,SSP1_Baseline!$C:$C,Results_list!$C$88,SSP1_Baseline!$D:$D,Results_list!$D100,SSP1_Baseline!$B:$B,2025))</f>
        <v>7.5749390329514374E-2</v>
      </c>
      <c r="H100" s="16">
        <f>((SUMIFS(SSP1_VSI!$F:$F,SSP1_VSI!$C:$C,Results_list!$C$88,SSP1_VSI!$D:$D,Results_list!$D100,SSP1_VSI!$B:$B,2040)) - (SUMIFS(SSP1_VSI!$F:$F,SSP1_VSI!$C:$C,Results_list!$C$88,SSP1_VSI!$D:$D,Results_list!$D100,SSP1_VSI!$B:$B,2025))) / (SUMIFS(SSP1_VSI!$F:$F,SSP1_VSI!$C:$C,Results_list!$C$88,SSP1_VSI!$D:$D,Results_list!$D100,SSP1_VSI!$B:$B,2025))</f>
        <v>7.5745194722871917E-2</v>
      </c>
      <c r="I100" s="13">
        <f t="shared" si="48"/>
        <v>0</v>
      </c>
      <c r="J100" s="12">
        <f>((SUMIFS(SSP2_Baseline!$E:$E,SSP2_Baseline!$C:$C,Results_list!$C$88,SSP2_Baseline!$D:$D,Results_list!$D100,SSP2_Baseline!$B:$B,2040)) - (SUMIFS(SSP2_Baseline!$E:$E,SSP2_Baseline!$C:$C,Results_list!$C$88,SSP2_Baseline!$D:$D,Results_list!$D100,SSP2_Baseline!$B:$B,2025))) / (SUMIFS(SSP2_Baseline!$E:$E,SSP2_Baseline!$C:$C,Results_list!$C$88,SSP2_Baseline!$D:$D,Results_list!$D100,SSP2_Baseline!$B:$B,2025))</f>
        <v>8.6227262675685645E-2</v>
      </c>
      <c r="K100" s="16">
        <f>((SUMIFS(SSP2_VSI!$F:$F,SSP2_VSI!$C:$C,Results_list!$C$88,SSP2_VSI!$D:$D,Results_list!$D100,SSP2_VSI!$B:$B,2040)) - (SUMIFS(SSP2_VSI!$F:$F,SSP2_VSI!$C:$C,Results_list!$C$88,SSP2_VSI!$D:$D,Results_list!$D100,SSP2_VSI!$B:$B,2025))) / (SUMIFS(SSP2_VSI!$F:$F,SSP2_VSI!$C:$C,Results_list!$C$88,SSP2_VSI!$D:$D,Results_list!$D100,SSP2_VSI!$B:$B,2025))</f>
        <v>8.6202174581705371E-2</v>
      </c>
      <c r="L100" s="13">
        <f t="shared" si="49"/>
        <v>0</v>
      </c>
      <c r="M100" s="12">
        <f>((SUMIFS(SSP5_Baseline!$E:$E,SSP5_Baseline!$C:$C,Results_list!$C$88,SSP5_Baseline!$D:$D,Results_list!$D100,SSP5_Baseline!$B:$B,2040)) - (SUMIFS(SSP5_Baseline!$E:$E,SSP5_Baseline!$C:$C,Results_list!$C$88,SSP5_Baseline!$D:$D,Results_list!$D100,SSP5_Baseline!$B:$B,2025))) / (SUMIFS(SSP5_Baseline!$E:$E,SSP5_Baseline!$C:$C,Results_list!$C$88,SSP5_Baseline!$D:$D,Results_list!$D100,SSP5_Baseline!$B:$B,2025))</f>
        <v>8.1452716951976138E-3</v>
      </c>
      <c r="N100" s="16">
        <f>((SUMIFS(SSP5_VSI!$F:$F,SSP5_VSI!$C:$C,Results_list!$C$88,SSP5_VSI!$D:$D,Results_list!$D100,SSP5_VSI!$B:$B,2040)) - (SUMIFS(SSP5_VSI!$F:$F,SSP5_VSI!$C:$C,Results_list!$C$88,SSP5_VSI!$D:$D,Results_list!$D100,SSP5_VSI!$B:$B,2025))) / (SUMIFS(SSP5_VSI!$F:$F,SSP5_VSI!$C:$C,Results_list!$C$88,SSP5_VSI!$D:$D,Results_list!$D100,SSP5_VSI!$B:$B,2025))</f>
        <v>8.1546647744381532E-3</v>
      </c>
      <c r="O100" s="13">
        <f t="shared" si="50"/>
        <v>0</v>
      </c>
      <c r="AF100" s="85"/>
      <c r="AG100" s="85"/>
      <c r="AH100" t="s">
        <v>51</v>
      </c>
      <c r="AJ100" s="3" t="s">
        <v>99</v>
      </c>
      <c r="AK100" s="12">
        <f>((SUMIFS(SSP1_Baseline!$E:$E,SSP1_Baseline!$C:$C,Results_list!$C$277,SSP1_Baseline!$D:$D,Results_list!$D100,SSP1_Baseline!$B:$B,2040)) - (SUMIFS(SSP1_Baseline!$E:$E,SSP1_Baseline!$C:$C,Results_list!$C$277,SSP1_Baseline!$D:$D,Results_list!$D100,SSP1_Baseline!$B:$B,2025))) / (SUMIFS(SSP1_Baseline!$E:$E,SSP1_Baseline!$C:$C,Results_list!$C$277,SSP1_Baseline!$D:$D,Results_list!$D100,SSP1_Baseline!$B:$B,2025))</f>
        <v>1.7438198874599874E-2</v>
      </c>
      <c r="AL100" s="16">
        <f>((SUMIFS(SSP1_VSI!$F:$F,SSP1_VSI!$C:$C,Results_list!$C$277,SSP1_VSI!$D:$D,Results_list!$D100,SSP1_VSI!$B:$B,2040)) - (SUMIFS(SSP1_VSI!$F:$F,SSP1_VSI!$C:$C,Results_list!$C$277,SSP1_VSI!$D:$D,Results_list!$D100,SSP1_VSI!$B:$B,2025))) / (SUMIFS(SSP1_VSI!$F:$F,SSP1_VSI!$C:$C,Results_list!$C$277,SSP1_VSI!$D:$D,Results_list!$D100,SSP1_VSI!$B:$B,2025))</f>
        <v>1.7429967270954229E-2</v>
      </c>
      <c r="AM100" s="13">
        <f t="shared" si="51"/>
        <v>0</v>
      </c>
      <c r="AN100" s="12">
        <f>((SUMIFS(SSP2_Baseline!$E:$E,SSP2_Baseline!$C:$C,Results_list!$C$277,SSP2_Baseline!$D:$D,Results_list!$D100,SSP2_Baseline!$B:$B,2040)) - (SUMIFS(SSP2_Baseline!$E:$E,SSP2_Baseline!$C:$C,Results_list!$C$277,SSP2_Baseline!$D:$D,Results_list!$D100,SSP2_Baseline!$B:$B,2025))) / (SUMIFS(SSP2_Baseline!$E:$E,SSP2_Baseline!$C:$C,Results_list!$C$277,SSP2_Baseline!$D:$D,Results_list!$D100,SSP2_Baseline!$B:$B,2025))</f>
        <v>2.1603237818128677E-2</v>
      </c>
      <c r="AO100" s="16">
        <f>((SUMIFS(SSP2_VSI!$F:$F,SSP2_VSI!$C:$C,Results_list!$C$277,SSP2_VSI!$D:$D,Results_list!$D100,SSP2_VSI!$B:$B,2040)) - (SUMIFS(SSP2_VSI!$F:$F,SSP2_VSI!$C:$C,Results_list!$C$277,SSP2_VSI!$D:$D,Results_list!$D100,SSP2_VSI!$B:$B,2025))) / (SUMIFS(SSP2_VSI!$F:$F,SSP2_VSI!$C:$C,Results_list!$C$277,SSP2_VSI!$D:$D,Results_list!$D100,SSP2_VSI!$B:$B,2025))</f>
        <v>2.1572562749363568E-2</v>
      </c>
      <c r="AP100" s="13">
        <f t="shared" si="52"/>
        <v>0</v>
      </c>
      <c r="AQ100" s="12">
        <f>((SUMIFS(SSP5_Baseline!$E:$E,SSP5_Baseline!$C:$C,Results_list!$C$277,SSP5_Baseline!$D:$D,Results_list!$D100,SSP5_Baseline!$B:$B,2040)) - (SUMIFS(SSP5_Baseline!$E:$E,SSP5_Baseline!$C:$C,Results_list!$C$277,SSP5_Baseline!$D:$D,Results_list!$D100,SSP5_Baseline!$B:$B,2025))) / (SUMIFS(SSP5_Baseline!$E:$E,SSP5_Baseline!$C:$C,Results_list!$C$277,SSP5_Baseline!$D:$D,Results_list!$D100,SSP5_Baseline!$B:$B,2025))</f>
        <v>-3.8151013664281766E-4</v>
      </c>
      <c r="AR100" s="16">
        <f>((SUMIFS(SSP5_VSI!$F:$F,SSP5_VSI!$C:$C,Results_list!$C$277,SSP5_VSI!$D:$D,Results_list!$D100,SSP5_VSI!$B:$B,2040)) - (SUMIFS(SSP5_VSI!$F:$F,SSP5_VSI!$C:$C,Results_list!$C$277,SSP5_VSI!$D:$D,Results_list!$D100,SSP5_VSI!$B:$B,2025))) / (SUMIFS(SSP5_VSI!$F:$F,SSP5_VSI!$C:$C,Results_list!$C$277,SSP5_VSI!$D:$D,Results_list!$D100,SSP5_VSI!$B:$B,2025))</f>
        <v>-3.6902168518675215E-4</v>
      </c>
      <c r="AS100" s="13">
        <f t="shared" si="53"/>
        <v>0</v>
      </c>
      <c r="AU100" s="87"/>
      <c r="AV100" s="87"/>
      <c r="AW100" t="s">
        <v>51</v>
      </c>
      <c r="AY100" s="3" t="s">
        <v>99</v>
      </c>
      <c r="AZ100" s="12">
        <f>((SUMIFS(SSP1_Baseline!$E:$E,SSP1_Baseline!$C:$C,Results_list!$C$382,SSP1_Baseline!$D:$D,Results_list!$D100,SSP1_Baseline!$B:$B,2040)) - (SUMIFS(SSP1_Baseline!$E:$E,SSP1_Baseline!$C:$C,Results_list!$C$382,SSP1_Baseline!$D:$D,Results_list!$D100,SSP1_Baseline!$B:$B,2025))) / (SUMIFS(SSP1_Baseline!$E:$E,SSP1_Baseline!$C:$C,Results_list!$C$382,SSP1_Baseline!$D:$D,Results_list!$D100,SSP1_Baseline!$B:$B,2025))</f>
        <v>4.3181200217626496E-2</v>
      </c>
      <c r="BA100" s="16">
        <f>((SUMIFS(SSP1_VSI!$F:$F,SSP1_VSI!$C:$C,Results_list!$C$382,SSP1_VSI!$D:$D,Results_list!$D100,SSP1_VSI!$B:$B,2040)) - (SUMIFS(SSP1_VSI!$F:$F,SSP1_VSI!$C:$C,Results_list!$C$382,SSP1_VSI!$D:$D,Results_list!$D100,SSP1_VSI!$B:$B,2025))) / (SUMIFS(SSP1_VSI!$F:$F,SSP1_VSI!$C:$C,Results_list!$C$382,SSP1_VSI!$D:$D,Results_list!$D100,SSP1_VSI!$B:$B,2025))</f>
        <v>4.3171925097718486E-2</v>
      </c>
      <c r="BB100" s="13">
        <f t="shared" si="54"/>
        <v>0</v>
      </c>
      <c r="BC100" s="12">
        <f>((SUMIFS(SSP2_Baseline!$E:$E,SSP2_Baseline!$C:$C,Results_list!$C$382,SSP2_Baseline!$D:$D,Results_list!$D100,SSP2_Baseline!$B:$B,2040)) - (SUMIFS(SSP2_Baseline!$E:$E,SSP2_Baseline!$C:$C,Results_list!$C$382,SSP2_Baseline!$D:$D,Results_list!$D100,SSP2_Baseline!$B:$B,2025))) / (SUMIFS(SSP2_Baseline!$E:$E,SSP2_Baseline!$C:$C,Results_list!$C$382,SSP2_Baseline!$D:$D,Results_list!$D100,SSP2_Baseline!$B:$B,2025))</f>
        <v>3.8639018752020769E-2</v>
      </c>
      <c r="BD100" s="16">
        <f>((SUMIFS(SSP2_VSI!$F:$F,SSP2_VSI!$C:$C,Results_list!$C$382,SSP2_VSI!$D:$D,Results_list!$D100,SSP2_VSI!$B:$B,2040)) - (SUMIFS(SSP2_VSI!$F:$F,SSP2_VSI!$C:$C,Results_list!$C$382,SSP2_VSI!$D:$D,Results_list!$D100,SSP2_VSI!$B:$B,2025))) / (SUMIFS(SSP2_VSI!$F:$F,SSP2_VSI!$C:$C,Results_list!$C$382,SSP2_VSI!$D:$D,Results_list!$D100,SSP2_VSI!$B:$B,2025))</f>
        <v>3.8585103429026553E-2</v>
      </c>
      <c r="BE100" s="13">
        <f t="shared" si="55"/>
        <v>0</v>
      </c>
      <c r="BF100" s="12">
        <f>((SUMIFS(SSP5_Baseline!$E:$E,SSP5_Baseline!$C:$C,Results_list!$C$382,SSP5_Baseline!$D:$D,Results_list!$D100,SSP5_Baseline!$B:$B,2040)) - (SUMIFS(SSP5_Baseline!$E:$E,SSP5_Baseline!$C:$C,Results_list!$C$382,SSP5_Baseline!$D:$D,Results_list!$D100,SSP5_Baseline!$B:$B,2025))) / (SUMIFS(SSP5_Baseline!$E:$E,SSP5_Baseline!$C:$C,Results_list!$C$382,SSP5_Baseline!$D:$D,Results_list!$D100,SSP5_Baseline!$B:$B,2025))</f>
        <v>2.6802039954503332E-3</v>
      </c>
      <c r="BG100" s="16">
        <f>((SUMIFS(SSP5_VSI!$F:$F,SSP5_VSI!$C:$C,Results_list!$C$382,SSP5_VSI!$D:$D,Results_list!$D100,SSP5_VSI!$B:$B,2040)) - (SUMIFS(SSP5_VSI!$F:$F,SSP5_VSI!$C:$C,Results_list!$C$382,SSP5_VSI!$D:$D,Results_list!$D100,SSP5_VSI!$B:$B,2025))) / (SUMIFS(SSP5_VSI!$F:$F,SSP5_VSI!$C:$C,Results_list!$C$382,SSP5_VSI!$D:$D,Results_list!$D100,SSP5_VSI!$B:$B,2025))</f>
        <v>2.7020846444032573E-3</v>
      </c>
      <c r="BH100" s="13">
        <f t="shared" si="56"/>
        <v>0</v>
      </c>
    </row>
    <row r="101" spans="2:60" x14ac:dyDescent="0.35">
      <c r="B101" s="91"/>
      <c r="C101" s="91"/>
      <c r="D101" s="22" t="s">
        <v>52</v>
      </c>
      <c r="F101" s="3" t="s">
        <v>100</v>
      </c>
      <c r="G101" s="12">
        <f>((SUMIFS(SSP1_Baseline!$E:$E,SSP1_Baseline!$C:$C,Results_list!$C$88,SSP1_Baseline!$D:$D,Results_list!$D101,SSP1_Baseline!$B:$B,2040)) - (SUMIFS(SSP1_Baseline!$E:$E,SSP1_Baseline!$C:$C,Results_list!$C$88,SSP1_Baseline!$D:$D,Results_list!$D101,SSP1_Baseline!$B:$B,2025))) / (SUMIFS(SSP1_Baseline!$E:$E,SSP1_Baseline!$C:$C,Results_list!$C$88,SSP1_Baseline!$D:$D,Results_list!$D101,SSP1_Baseline!$B:$B,2025))</f>
        <v>-0.19360959201109337</v>
      </c>
      <c r="H101" s="16">
        <f>((SUMIFS(SSP1_VSI!$F:$F,SSP1_VSI!$C:$C,Results_list!$C$88,SSP1_VSI!$D:$D,Results_list!$D101,SSP1_VSI!$B:$B,2040)) - (SUMIFS(SSP1_VSI!$F:$F,SSP1_VSI!$C:$C,Results_list!$C$88,SSP1_VSI!$D:$D,Results_list!$D101,SSP1_VSI!$B:$B,2025))) / (SUMIFS(SSP1_VSI!$F:$F,SSP1_VSI!$C:$C,Results_list!$C$88,SSP1_VSI!$D:$D,Results_list!$D101,SSP1_VSI!$B:$B,2025))</f>
        <v>-0.19355305864065842</v>
      </c>
      <c r="I101" s="13">
        <f t="shared" si="48"/>
        <v>0</v>
      </c>
      <c r="J101" s="12">
        <f>((SUMIFS(SSP2_Baseline!$E:$E,SSP2_Baseline!$C:$C,Results_list!$C$88,SSP2_Baseline!$D:$D,Results_list!$D101,SSP2_Baseline!$B:$B,2040)) - (SUMIFS(SSP2_Baseline!$E:$E,SSP2_Baseline!$C:$C,Results_list!$C$88,SSP2_Baseline!$D:$D,Results_list!$D101,SSP2_Baseline!$B:$B,2025))) / (SUMIFS(SSP2_Baseline!$E:$E,SSP2_Baseline!$C:$C,Results_list!$C$88,SSP2_Baseline!$D:$D,Results_list!$D101,SSP2_Baseline!$B:$B,2025))</f>
        <v>-0.17218409376115995</v>
      </c>
      <c r="K101" s="16">
        <f>((SUMIFS(SSP2_VSI!$F:$F,SSP2_VSI!$C:$C,Results_list!$C$88,SSP2_VSI!$D:$D,Results_list!$D101,SSP2_VSI!$B:$B,2040)) - (SUMIFS(SSP2_VSI!$F:$F,SSP2_VSI!$C:$C,Results_list!$C$88,SSP2_VSI!$D:$D,Results_list!$D101,SSP2_VSI!$B:$B,2025))) / (SUMIFS(SSP2_VSI!$F:$F,SSP2_VSI!$C:$C,Results_list!$C$88,SSP2_VSI!$D:$D,Results_list!$D101,SSP2_VSI!$B:$B,2025))</f>
        <v>-0.17209164135770899</v>
      </c>
      <c r="L101" s="13">
        <f t="shared" si="49"/>
        <v>0</v>
      </c>
      <c r="M101" s="12">
        <f>((SUMIFS(SSP5_Baseline!$E:$E,SSP5_Baseline!$C:$C,Results_list!$C$88,SSP5_Baseline!$D:$D,Results_list!$D101,SSP5_Baseline!$B:$B,2040)) - (SUMIFS(SSP5_Baseline!$E:$E,SSP5_Baseline!$C:$C,Results_list!$C$88,SSP5_Baseline!$D:$D,Results_list!$D101,SSP5_Baseline!$B:$B,2025))) / (SUMIFS(SSP5_Baseline!$E:$E,SSP5_Baseline!$C:$C,Results_list!$C$88,SSP5_Baseline!$D:$D,Results_list!$D101,SSP5_Baseline!$B:$B,2025))</f>
        <v>-0.18150657871770198</v>
      </c>
      <c r="N101" s="16">
        <f>((SUMIFS(SSP5_VSI!$F:$F,SSP5_VSI!$C:$C,Results_list!$C$88,SSP5_VSI!$D:$D,Results_list!$D101,SSP5_VSI!$B:$B,2040)) - (SUMIFS(SSP5_VSI!$F:$F,SSP5_VSI!$C:$C,Results_list!$C$88,SSP5_VSI!$D:$D,Results_list!$D101,SSP5_VSI!$B:$B,2025))) / (SUMIFS(SSP5_VSI!$F:$F,SSP5_VSI!$C:$C,Results_list!$C$88,SSP5_VSI!$D:$D,Results_list!$D101,SSP5_VSI!$B:$B,2025))</f>
        <v>-0.18143878106461572</v>
      </c>
      <c r="O101" s="13">
        <f t="shared" si="50"/>
        <v>0</v>
      </c>
      <c r="AF101" s="85"/>
      <c r="AG101" s="85"/>
      <c r="AH101" t="s">
        <v>52</v>
      </c>
      <c r="AJ101" s="3" t="s">
        <v>100</v>
      </c>
      <c r="AK101" s="12">
        <f>((SUMIFS(SSP1_Baseline!$E:$E,SSP1_Baseline!$C:$C,Results_list!$C$277,SSP1_Baseline!$D:$D,Results_list!$D101,SSP1_Baseline!$B:$B,2040)) - (SUMIFS(SSP1_Baseline!$E:$E,SSP1_Baseline!$C:$C,Results_list!$C$277,SSP1_Baseline!$D:$D,Results_list!$D101,SSP1_Baseline!$B:$B,2025))) / (SUMIFS(SSP1_Baseline!$E:$E,SSP1_Baseline!$C:$C,Results_list!$C$277,SSP1_Baseline!$D:$D,Results_list!$D101,SSP1_Baseline!$B:$B,2025))</f>
        <v>-0.40711260320263293</v>
      </c>
      <c r="AL101" s="16">
        <f>((SUMIFS(SSP1_VSI!$F:$F,SSP1_VSI!$C:$C,Results_list!$C$277,SSP1_VSI!$D:$D,Results_list!$D101,SSP1_VSI!$B:$B,2040)) - (SUMIFS(SSP1_VSI!$F:$F,SSP1_VSI!$C:$C,Results_list!$C$277,SSP1_VSI!$D:$D,Results_list!$D101,SSP1_VSI!$B:$B,2025))) / (SUMIFS(SSP1_VSI!$F:$F,SSP1_VSI!$C:$C,Results_list!$C$277,SSP1_VSI!$D:$D,Results_list!$D101,SSP1_VSI!$B:$B,2025))</f>
        <v>-0.40703490097964962</v>
      </c>
      <c r="AM101" s="13">
        <f t="shared" si="51"/>
        <v>0</v>
      </c>
      <c r="AN101" s="12">
        <f>((SUMIFS(SSP2_Baseline!$E:$E,SSP2_Baseline!$C:$C,Results_list!$C$277,SSP2_Baseline!$D:$D,Results_list!$D101,SSP2_Baseline!$B:$B,2040)) - (SUMIFS(SSP2_Baseline!$E:$E,SSP2_Baseline!$C:$C,Results_list!$C$277,SSP2_Baseline!$D:$D,Results_list!$D101,SSP2_Baseline!$B:$B,2025))) / (SUMIFS(SSP2_Baseline!$E:$E,SSP2_Baseline!$C:$C,Results_list!$C$277,SSP2_Baseline!$D:$D,Results_list!$D101,SSP2_Baseline!$B:$B,2025))</f>
        <v>-0.33026490505878975</v>
      </c>
      <c r="AO101" s="16">
        <f>((SUMIFS(SSP2_VSI!$F:$F,SSP2_VSI!$C:$C,Results_list!$C$277,SSP2_VSI!$D:$D,Results_list!$D101,SSP2_VSI!$B:$B,2040)) - (SUMIFS(SSP2_VSI!$F:$F,SSP2_VSI!$C:$C,Results_list!$C$277,SSP2_VSI!$D:$D,Results_list!$D101,SSP2_VSI!$B:$B,2025))) / (SUMIFS(SSP2_VSI!$F:$F,SSP2_VSI!$C:$C,Results_list!$C$277,SSP2_VSI!$D:$D,Results_list!$D101,SSP2_VSI!$B:$B,2025))</f>
        <v>-0.33007157503756251</v>
      </c>
      <c r="AP101" s="13">
        <f t="shared" si="52"/>
        <v>0</v>
      </c>
      <c r="AQ101" s="12">
        <f>((SUMIFS(SSP5_Baseline!$E:$E,SSP5_Baseline!$C:$C,Results_list!$C$277,SSP5_Baseline!$D:$D,Results_list!$D101,SSP5_Baseline!$B:$B,2040)) - (SUMIFS(SSP5_Baseline!$E:$E,SSP5_Baseline!$C:$C,Results_list!$C$277,SSP5_Baseline!$D:$D,Results_list!$D101,SSP5_Baseline!$B:$B,2025))) / (SUMIFS(SSP5_Baseline!$E:$E,SSP5_Baseline!$C:$C,Results_list!$C$277,SSP5_Baseline!$D:$D,Results_list!$D101,SSP5_Baseline!$B:$B,2025))</f>
        <v>-0.37566757139472079</v>
      </c>
      <c r="AR101" s="16">
        <f>((SUMIFS(SSP5_VSI!$F:$F,SSP5_VSI!$C:$C,Results_list!$C$277,SSP5_VSI!$D:$D,Results_list!$D101,SSP5_VSI!$B:$B,2040)) - (SUMIFS(SSP5_VSI!$F:$F,SSP5_VSI!$C:$C,Results_list!$C$277,SSP5_VSI!$D:$D,Results_list!$D101,SSP5_VSI!$B:$B,2025))) / (SUMIFS(SSP5_VSI!$F:$F,SSP5_VSI!$C:$C,Results_list!$C$277,SSP5_VSI!$D:$D,Results_list!$D101,SSP5_VSI!$B:$B,2025))</f>
        <v>-0.3755300019848109</v>
      </c>
      <c r="AS101" s="13">
        <f t="shared" si="53"/>
        <v>0</v>
      </c>
      <c r="AU101" s="87"/>
      <c r="AV101" s="87"/>
      <c r="AW101" t="s">
        <v>52</v>
      </c>
      <c r="AY101" s="3" t="s">
        <v>100</v>
      </c>
      <c r="AZ101" s="12">
        <f>((SUMIFS(SSP1_Baseline!$E:$E,SSP1_Baseline!$C:$C,Results_list!$C$382,SSP1_Baseline!$D:$D,Results_list!$D101,SSP1_Baseline!$B:$B,2040)) - (SUMIFS(SSP1_Baseline!$E:$E,SSP1_Baseline!$C:$C,Results_list!$C$382,SSP1_Baseline!$D:$D,Results_list!$D101,SSP1_Baseline!$B:$B,2025))) / (SUMIFS(SSP1_Baseline!$E:$E,SSP1_Baseline!$C:$C,Results_list!$C$382,SSP1_Baseline!$D:$D,Results_list!$D101,SSP1_Baseline!$B:$B,2025))</f>
        <v>-0.42564888001747625</v>
      </c>
      <c r="BA101" s="16">
        <f>((SUMIFS(SSP1_VSI!$F:$F,SSP1_VSI!$C:$C,Results_list!$C$382,SSP1_VSI!$D:$D,Results_list!$D101,SSP1_VSI!$B:$B,2040)) - (SUMIFS(SSP1_VSI!$F:$F,SSP1_VSI!$C:$C,Results_list!$C$382,SSP1_VSI!$D:$D,Results_list!$D101,SSP1_VSI!$B:$B,2025))) / (SUMIFS(SSP1_VSI!$F:$F,SSP1_VSI!$C:$C,Results_list!$C$382,SSP1_VSI!$D:$D,Results_list!$D101,SSP1_VSI!$B:$B,2025))</f>
        <v>-0.42561147849749836</v>
      </c>
      <c r="BB101" s="13">
        <f t="shared" si="54"/>
        <v>0</v>
      </c>
      <c r="BC101" s="12">
        <f>((SUMIFS(SSP2_Baseline!$E:$E,SSP2_Baseline!$C:$C,Results_list!$C$382,SSP2_Baseline!$D:$D,Results_list!$D101,SSP2_Baseline!$B:$B,2040)) - (SUMIFS(SSP2_Baseline!$E:$E,SSP2_Baseline!$C:$C,Results_list!$C$382,SSP2_Baseline!$D:$D,Results_list!$D101,SSP2_Baseline!$B:$B,2025))) / (SUMIFS(SSP2_Baseline!$E:$E,SSP2_Baseline!$C:$C,Results_list!$C$382,SSP2_Baseline!$D:$D,Results_list!$D101,SSP2_Baseline!$B:$B,2025))</f>
        <v>-0.34632965768517965</v>
      </c>
      <c r="BD101" s="16">
        <f>((SUMIFS(SSP2_VSI!$F:$F,SSP2_VSI!$C:$C,Results_list!$C$382,SSP2_VSI!$D:$D,Results_list!$D101,SSP2_VSI!$B:$B,2040)) - (SUMIFS(SSP2_VSI!$F:$F,SSP2_VSI!$C:$C,Results_list!$C$382,SSP2_VSI!$D:$D,Results_list!$D101,SSP2_VSI!$B:$B,2025))) / (SUMIFS(SSP2_VSI!$F:$F,SSP2_VSI!$C:$C,Results_list!$C$382,SSP2_VSI!$D:$D,Results_list!$D101,SSP2_VSI!$B:$B,2025))</f>
        <v>-0.34623976409600604</v>
      </c>
      <c r="BE101" s="13">
        <f t="shared" si="55"/>
        <v>0</v>
      </c>
      <c r="BF101" s="12">
        <f>((SUMIFS(SSP5_Baseline!$E:$E,SSP5_Baseline!$C:$C,Results_list!$C$382,SSP5_Baseline!$D:$D,Results_list!$D101,SSP5_Baseline!$B:$B,2040)) - (SUMIFS(SSP5_Baseline!$E:$E,SSP5_Baseline!$C:$C,Results_list!$C$382,SSP5_Baseline!$D:$D,Results_list!$D101,SSP5_Baseline!$B:$B,2025))) / (SUMIFS(SSP5_Baseline!$E:$E,SSP5_Baseline!$C:$C,Results_list!$C$382,SSP5_Baseline!$D:$D,Results_list!$D101,SSP5_Baseline!$B:$B,2025))</f>
        <v>-0.40535520345795173</v>
      </c>
      <c r="BG101" s="16">
        <f>((SUMIFS(SSP5_VSI!$F:$F,SSP5_VSI!$C:$C,Results_list!$C$382,SSP5_VSI!$D:$D,Results_list!$D101,SSP5_VSI!$B:$B,2040)) - (SUMIFS(SSP5_VSI!$F:$F,SSP5_VSI!$C:$C,Results_list!$C$382,SSP5_VSI!$D:$D,Results_list!$D101,SSP5_VSI!$B:$B,2025))) / (SUMIFS(SSP5_VSI!$F:$F,SSP5_VSI!$C:$C,Results_list!$C$382,SSP5_VSI!$D:$D,Results_list!$D101,SSP5_VSI!$B:$B,2025))</f>
        <v>-0.40529047384786043</v>
      </c>
      <c r="BH101" s="13">
        <f t="shared" si="56"/>
        <v>0</v>
      </c>
    </row>
    <row r="102" spans="2:60" x14ac:dyDescent="0.35">
      <c r="B102" s="91"/>
      <c r="C102" s="91"/>
      <c r="D102" s="22" t="s">
        <v>53</v>
      </c>
      <c r="F102" s="3" t="s">
        <v>101</v>
      </c>
      <c r="G102" s="12">
        <f>((SUMIFS(SSP1_Baseline!$E:$E,SSP1_Baseline!$C:$C,Results_list!$C$88,SSP1_Baseline!$D:$D,Results_list!$D102,SSP1_Baseline!$B:$B,2040)) - (SUMIFS(SSP1_Baseline!$E:$E,SSP1_Baseline!$C:$C,Results_list!$C$88,SSP1_Baseline!$D:$D,Results_list!$D102,SSP1_Baseline!$B:$B,2025))) / (SUMIFS(SSP1_Baseline!$E:$E,SSP1_Baseline!$C:$C,Results_list!$C$88,SSP1_Baseline!$D:$D,Results_list!$D102,SSP1_Baseline!$B:$B,2025))</f>
        <v>-0.15144692792546929</v>
      </c>
      <c r="H102" s="16">
        <f>((SUMIFS(SSP1_VSI!$F:$F,SSP1_VSI!$C:$C,Results_list!$C$88,SSP1_VSI!$D:$D,Results_list!$D102,SSP1_VSI!$B:$B,2040)) - (SUMIFS(SSP1_VSI!$F:$F,SSP1_VSI!$C:$C,Results_list!$C$88,SSP1_VSI!$D:$D,Results_list!$D102,SSP1_VSI!$B:$B,2025))) / (SUMIFS(SSP1_VSI!$F:$F,SSP1_VSI!$C:$C,Results_list!$C$88,SSP1_VSI!$D:$D,Results_list!$D102,SSP1_VSI!$B:$B,2025))</f>
        <v>-0.15151029086203979</v>
      </c>
      <c r="I102" s="13">
        <f t="shared" si="48"/>
        <v>0</v>
      </c>
      <c r="J102" s="12">
        <f>((SUMIFS(SSP2_Baseline!$E:$E,SSP2_Baseline!$C:$C,Results_list!$C$88,SSP2_Baseline!$D:$D,Results_list!$D102,SSP2_Baseline!$B:$B,2040)) - (SUMIFS(SSP2_Baseline!$E:$E,SSP2_Baseline!$C:$C,Results_list!$C$88,SSP2_Baseline!$D:$D,Results_list!$D102,SSP2_Baseline!$B:$B,2025))) / (SUMIFS(SSP2_Baseline!$E:$E,SSP2_Baseline!$C:$C,Results_list!$C$88,SSP2_Baseline!$D:$D,Results_list!$D102,SSP2_Baseline!$B:$B,2025))</f>
        <v>-9.3718739312086741E-2</v>
      </c>
      <c r="K102" s="16">
        <f>((SUMIFS(SSP2_VSI!$F:$F,SSP2_VSI!$C:$C,Results_list!$C$88,SSP2_VSI!$D:$D,Results_list!$D102,SSP2_VSI!$B:$B,2040)) - (SUMIFS(SSP2_VSI!$F:$F,SSP2_VSI!$C:$C,Results_list!$C$88,SSP2_VSI!$D:$D,Results_list!$D102,SSP2_VSI!$B:$B,2025))) / (SUMIFS(SSP2_VSI!$F:$F,SSP2_VSI!$C:$C,Results_list!$C$88,SSP2_VSI!$D:$D,Results_list!$D102,SSP2_VSI!$B:$B,2025))</f>
        <v>-9.3696629967749648E-2</v>
      </c>
      <c r="L102" s="13">
        <f t="shared" si="49"/>
        <v>0</v>
      </c>
      <c r="M102" s="12">
        <f>((SUMIFS(SSP5_Baseline!$E:$E,SSP5_Baseline!$C:$C,Results_list!$C$88,SSP5_Baseline!$D:$D,Results_list!$D102,SSP5_Baseline!$B:$B,2040)) - (SUMIFS(SSP5_Baseline!$E:$E,SSP5_Baseline!$C:$C,Results_list!$C$88,SSP5_Baseline!$D:$D,Results_list!$D102,SSP5_Baseline!$B:$B,2025))) / (SUMIFS(SSP5_Baseline!$E:$E,SSP5_Baseline!$C:$C,Results_list!$C$88,SSP5_Baseline!$D:$D,Results_list!$D102,SSP5_Baseline!$B:$B,2025))</f>
        <v>-2.4494732285205378E-2</v>
      </c>
      <c r="N102" s="16">
        <f>((SUMIFS(SSP5_VSI!$F:$F,SSP5_VSI!$C:$C,Results_list!$C$88,SSP5_VSI!$D:$D,Results_list!$D102,SSP5_VSI!$B:$B,2040)) - (SUMIFS(SSP5_VSI!$F:$F,SSP5_VSI!$C:$C,Results_list!$C$88,SSP5_VSI!$D:$D,Results_list!$D102,SSP5_VSI!$B:$B,2025))) / (SUMIFS(SSP5_VSI!$F:$F,SSP5_VSI!$C:$C,Results_list!$C$88,SSP5_VSI!$D:$D,Results_list!$D102,SSP5_VSI!$B:$B,2025))</f>
        <v>-2.446547241134836E-2</v>
      </c>
      <c r="O102" s="13">
        <f t="shared" si="50"/>
        <v>0</v>
      </c>
      <c r="AF102" s="85"/>
      <c r="AG102" s="85"/>
      <c r="AH102" t="s">
        <v>53</v>
      </c>
      <c r="AJ102" s="3" t="s">
        <v>101</v>
      </c>
      <c r="AK102" s="12">
        <f>((SUMIFS(SSP1_Baseline!$E:$E,SSP1_Baseline!$C:$C,Results_list!$C$277,SSP1_Baseline!$D:$D,Results_list!$D102,SSP1_Baseline!$B:$B,2040)) - (SUMIFS(SSP1_Baseline!$E:$E,SSP1_Baseline!$C:$C,Results_list!$C$277,SSP1_Baseline!$D:$D,Results_list!$D102,SSP1_Baseline!$B:$B,2025))) / (SUMIFS(SSP1_Baseline!$E:$E,SSP1_Baseline!$C:$C,Results_list!$C$277,SSP1_Baseline!$D:$D,Results_list!$D102,SSP1_Baseline!$B:$B,2025))</f>
        <v>-0.16769336955403205</v>
      </c>
      <c r="AL102" s="16">
        <f>((SUMIFS(SSP1_VSI!$F:$F,SSP1_VSI!$C:$C,Results_list!$C$277,SSP1_VSI!$D:$D,Results_list!$D102,SSP1_VSI!$B:$B,2040)) - (SUMIFS(SSP1_VSI!$F:$F,SSP1_VSI!$C:$C,Results_list!$C$277,SSP1_VSI!$D:$D,Results_list!$D102,SSP1_VSI!$B:$B,2025))) / (SUMIFS(SSP1_VSI!$F:$F,SSP1_VSI!$C:$C,Results_list!$C$277,SSP1_VSI!$D:$D,Results_list!$D102,SSP1_VSI!$B:$B,2025))</f>
        <v>-0.16779734097408103</v>
      </c>
      <c r="AM102" s="13">
        <f t="shared" si="51"/>
        <v>0</v>
      </c>
      <c r="AN102" s="12">
        <f>((SUMIFS(SSP2_Baseline!$E:$E,SSP2_Baseline!$C:$C,Results_list!$C$277,SSP2_Baseline!$D:$D,Results_list!$D102,SSP2_Baseline!$B:$B,2040)) - (SUMIFS(SSP2_Baseline!$E:$E,SSP2_Baseline!$C:$C,Results_list!$C$277,SSP2_Baseline!$D:$D,Results_list!$D102,SSP2_Baseline!$B:$B,2025))) / (SUMIFS(SSP2_Baseline!$E:$E,SSP2_Baseline!$C:$C,Results_list!$C$277,SSP2_Baseline!$D:$D,Results_list!$D102,SSP2_Baseline!$B:$B,2025))</f>
        <v>-0.13345468106361238</v>
      </c>
      <c r="AO102" s="16">
        <f>((SUMIFS(SSP2_VSI!$F:$F,SSP2_VSI!$C:$C,Results_list!$C$277,SSP2_VSI!$D:$D,Results_list!$D102,SSP2_VSI!$B:$B,2040)) - (SUMIFS(SSP2_VSI!$F:$F,SSP2_VSI!$C:$C,Results_list!$C$277,SSP2_VSI!$D:$D,Results_list!$D102,SSP2_VSI!$B:$B,2025))) / (SUMIFS(SSP2_VSI!$F:$F,SSP2_VSI!$C:$C,Results_list!$C$277,SSP2_VSI!$D:$D,Results_list!$D102,SSP2_VSI!$B:$B,2025))</f>
        <v>-0.13342700840874655</v>
      </c>
      <c r="AP102" s="13">
        <f t="shared" si="52"/>
        <v>0</v>
      </c>
      <c r="AQ102" s="12">
        <f>((SUMIFS(SSP5_Baseline!$E:$E,SSP5_Baseline!$C:$C,Results_list!$C$277,SSP5_Baseline!$D:$D,Results_list!$D102,SSP5_Baseline!$B:$B,2040)) - (SUMIFS(SSP5_Baseline!$E:$E,SSP5_Baseline!$C:$C,Results_list!$C$277,SSP5_Baseline!$D:$D,Results_list!$D102,SSP5_Baseline!$B:$B,2025))) / (SUMIFS(SSP5_Baseline!$E:$E,SSP5_Baseline!$C:$C,Results_list!$C$277,SSP5_Baseline!$D:$D,Results_list!$D102,SSP5_Baseline!$B:$B,2025))</f>
        <v>-4.2563080052412435E-3</v>
      </c>
      <c r="AR102" s="16">
        <f>((SUMIFS(SSP5_VSI!$F:$F,SSP5_VSI!$C:$C,Results_list!$C$277,SSP5_VSI!$D:$D,Results_list!$D102,SSP5_VSI!$B:$B,2040)) - (SUMIFS(SSP5_VSI!$F:$F,SSP5_VSI!$C:$C,Results_list!$C$277,SSP5_VSI!$D:$D,Results_list!$D102,SSP5_VSI!$B:$B,2025))) / (SUMIFS(SSP5_VSI!$F:$F,SSP5_VSI!$C:$C,Results_list!$C$277,SSP5_VSI!$D:$D,Results_list!$D102,SSP5_VSI!$B:$B,2025))</f>
        <v>-4.2145788110245419E-3</v>
      </c>
      <c r="AS102" s="13">
        <f t="shared" si="53"/>
        <v>0</v>
      </c>
      <c r="AU102" s="87"/>
      <c r="AV102" s="87"/>
      <c r="AW102" t="s">
        <v>53</v>
      </c>
      <c r="AY102" s="3" t="s">
        <v>101</v>
      </c>
      <c r="AZ102" s="12">
        <f>((SUMIFS(SSP1_Baseline!$E:$E,SSP1_Baseline!$C:$C,Results_list!$C$382,SSP1_Baseline!$D:$D,Results_list!$D102,SSP1_Baseline!$B:$B,2040)) - (SUMIFS(SSP1_Baseline!$E:$E,SSP1_Baseline!$C:$C,Results_list!$C$382,SSP1_Baseline!$D:$D,Results_list!$D102,SSP1_Baseline!$B:$B,2025))) / (SUMIFS(SSP1_Baseline!$E:$E,SSP1_Baseline!$C:$C,Results_list!$C$382,SSP1_Baseline!$D:$D,Results_list!$D102,SSP1_Baseline!$B:$B,2025))</f>
        <v>-0.19233532486327495</v>
      </c>
      <c r="BA102" s="16">
        <f>((SUMIFS(SSP1_VSI!$F:$F,SSP1_VSI!$C:$C,Results_list!$C$382,SSP1_VSI!$D:$D,Results_list!$D102,SSP1_VSI!$B:$B,2040)) - (SUMIFS(SSP1_VSI!$F:$F,SSP1_VSI!$C:$C,Results_list!$C$382,SSP1_VSI!$D:$D,Results_list!$D102,SSP1_VSI!$B:$B,2025))) / (SUMIFS(SSP1_VSI!$F:$F,SSP1_VSI!$C:$C,Results_list!$C$382,SSP1_VSI!$D:$D,Results_list!$D102,SSP1_VSI!$B:$B,2025))</f>
        <v>-0.19240018868879502</v>
      </c>
      <c r="BB102" s="13">
        <f t="shared" si="54"/>
        <v>0</v>
      </c>
      <c r="BC102" s="12">
        <f>((SUMIFS(SSP2_Baseline!$E:$E,SSP2_Baseline!$C:$C,Results_list!$C$382,SSP2_Baseline!$D:$D,Results_list!$D102,SSP2_Baseline!$B:$B,2040)) - (SUMIFS(SSP2_Baseline!$E:$E,SSP2_Baseline!$C:$C,Results_list!$C$382,SSP2_Baseline!$D:$D,Results_list!$D102,SSP2_Baseline!$B:$B,2025))) / (SUMIFS(SSP2_Baseline!$E:$E,SSP2_Baseline!$C:$C,Results_list!$C$382,SSP2_Baseline!$D:$D,Results_list!$D102,SSP2_Baseline!$B:$B,2025))</f>
        <v>-0.1901688804933408</v>
      </c>
      <c r="BD102" s="16">
        <f>((SUMIFS(SSP2_VSI!$F:$F,SSP2_VSI!$C:$C,Results_list!$C$382,SSP2_VSI!$D:$D,Results_list!$D102,SSP2_VSI!$B:$B,2040)) - (SUMIFS(SSP2_VSI!$F:$F,SSP2_VSI!$C:$C,Results_list!$C$382,SSP2_VSI!$D:$D,Results_list!$D102,SSP2_VSI!$B:$B,2025))) / (SUMIFS(SSP2_VSI!$F:$F,SSP2_VSI!$C:$C,Results_list!$C$382,SSP2_VSI!$D:$D,Results_list!$D102,SSP2_VSI!$B:$B,2025))</f>
        <v>-0.19015836896540259</v>
      </c>
      <c r="BE102" s="13">
        <f t="shared" si="55"/>
        <v>0</v>
      </c>
      <c r="BF102" s="12">
        <f>((SUMIFS(SSP5_Baseline!$E:$E,SSP5_Baseline!$C:$C,Results_list!$C$382,SSP5_Baseline!$D:$D,Results_list!$D102,SSP5_Baseline!$B:$B,2040)) - (SUMIFS(SSP5_Baseline!$E:$E,SSP5_Baseline!$C:$C,Results_list!$C$382,SSP5_Baseline!$D:$D,Results_list!$D102,SSP5_Baseline!$B:$B,2025))) / (SUMIFS(SSP5_Baseline!$E:$E,SSP5_Baseline!$C:$C,Results_list!$C$382,SSP5_Baseline!$D:$D,Results_list!$D102,SSP5_Baseline!$B:$B,2025))</f>
        <v>2.2559458399237259E-2</v>
      </c>
      <c r="BG102" s="16">
        <f>((SUMIFS(SSP5_VSI!$F:$F,SSP5_VSI!$C:$C,Results_list!$C$382,SSP5_VSI!$D:$D,Results_list!$D102,SSP5_VSI!$B:$B,2040)) - (SUMIFS(SSP5_VSI!$F:$F,SSP5_VSI!$C:$C,Results_list!$C$382,SSP5_VSI!$D:$D,Results_list!$D102,SSP5_VSI!$B:$B,2025))) / (SUMIFS(SSP5_VSI!$F:$F,SSP5_VSI!$C:$C,Results_list!$C$382,SSP5_VSI!$D:$D,Results_list!$D102,SSP5_VSI!$B:$B,2025))</f>
        <v>2.2589389671941851E-2</v>
      </c>
      <c r="BH102" s="13">
        <f t="shared" si="56"/>
        <v>0</v>
      </c>
    </row>
    <row r="103" spans="2:60" x14ac:dyDescent="0.35">
      <c r="B103" s="91"/>
      <c r="C103" s="91"/>
      <c r="D103" s="22" t="s">
        <v>54</v>
      </c>
      <c r="F103" s="3" t="s">
        <v>102</v>
      </c>
      <c r="G103" s="12">
        <f>((SUMIFS(SSP1_Baseline!$E:$E,SSP1_Baseline!$C:$C,Results_list!$C$88,SSP1_Baseline!$D:$D,Results_list!$D103,SSP1_Baseline!$B:$B,2040)) - (SUMIFS(SSP1_Baseline!$E:$E,SSP1_Baseline!$C:$C,Results_list!$C$88,SSP1_Baseline!$D:$D,Results_list!$D103,SSP1_Baseline!$B:$B,2025))) / (SUMIFS(SSP1_Baseline!$E:$E,SSP1_Baseline!$C:$C,Results_list!$C$88,SSP1_Baseline!$D:$D,Results_list!$D103,SSP1_Baseline!$B:$B,2025))</f>
        <v>1.813949126825629E-3</v>
      </c>
      <c r="H103" s="16">
        <f>((SUMIFS(SSP1_VSI!$F:$F,SSP1_VSI!$C:$C,Results_list!$C$88,SSP1_VSI!$D:$D,Results_list!$D103,SSP1_VSI!$B:$B,2040)) - (SUMIFS(SSP1_VSI!$F:$F,SSP1_VSI!$C:$C,Results_list!$C$88,SSP1_VSI!$D:$D,Results_list!$D103,SSP1_VSI!$B:$B,2025))) / (SUMIFS(SSP1_VSI!$F:$F,SSP1_VSI!$C:$C,Results_list!$C$88,SSP1_VSI!$D:$D,Results_list!$D103,SSP1_VSI!$B:$B,2025))</f>
        <v>1.813828902897951E-3</v>
      </c>
      <c r="I103" s="13">
        <f t="shared" si="48"/>
        <v>0</v>
      </c>
      <c r="J103" s="12">
        <f>((SUMIFS(SSP2_Baseline!$E:$E,SSP2_Baseline!$C:$C,Results_list!$C$88,SSP2_Baseline!$D:$D,Results_list!$D103,SSP2_Baseline!$B:$B,2040)) - (SUMIFS(SSP2_Baseline!$E:$E,SSP2_Baseline!$C:$C,Results_list!$C$88,SSP2_Baseline!$D:$D,Results_list!$D103,SSP2_Baseline!$B:$B,2025))) / (SUMIFS(SSP2_Baseline!$E:$E,SSP2_Baseline!$C:$C,Results_list!$C$88,SSP2_Baseline!$D:$D,Results_list!$D103,SSP2_Baseline!$B:$B,2025))</f>
        <v>3.770409835148896E-3</v>
      </c>
      <c r="K103" s="16">
        <f>((SUMIFS(SSP2_VSI!$F:$F,SSP2_VSI!$C:$C,Results_list!$C$88,SSP2_VSI!$D:$D,Results_list!$D103,SSP2_VSI!$B:$B,2040)) - (SUMIFS(SSP2_VSI!$F:$F,SSP2_VSI!$C:$C,Results_list!$C$88,SSP2_VSI!$D:$D,Results_list!$D103,SSP2_VSI!$B:$B,2025))) / (SUMIFS(SSP2_VSI!$F:$F,SSP2_VSI!$C:$C,Results_list!$C$88,SSP2_VSI!$D:$D,Results_list!$D103,SSP2_VSI!$B:$B,2025))</f>
        <v>3.7705828363368389E-3</v>
      </c>
      <c r="L103" s="13">
        <f t="shared" si="49"/>
        <v>0</v>
      </c>
      <c r="M103" s="12">
        <f>((SUMIFS(SSP5_Baseline!$E:$E,SSP5_Baseline!$C:$C,Results_list!$C$88,SSP5_Baseline!$D:$D,Results_list!$D103,SSP5_Baseline!$B:$B,2040)) - (SUMIFS(SSP5_Baseline!$E:$E,SSP5_Baseline!$C:$C,Results_list!$C$88,SSP5_Baseline!$D:$D,Results_list!$D103,SSP5_Baseline!$B:$B,2025))) / (SUMIFS(SSP5_Baseline!$E:$E,SSP5_Baseline!$C:$C,Results_list!$C$88,SSP5_Baseline!$D:$D,Results_list!$D103,SSP5_Baseline!$B:$B,2025))</f>
        <v>2.1652069490994586E-3</v>
      </c>
      <c r="N103" s="16">
        <f>((SUMIFS(SSP5_VSI!$F:$F,SSP5_VSI!$C:$C,Results_list!$C$88,SSP5_VSI!$D:$D,Results_list!$D103,SSP5_VSI!$B:$B,2040)) - (SUMIFS(SSP5_VSI!$F:$F,SSP5_VSI!$C:$C,Results_list!$C$88,SSP5_VSI!$D:$D,Results_list!$D103,SSP5_VSI!$B:$B,2025))) / (SUMIFS(SSP5_VSI!$F:$F,SSP5_VSI!$C:$C,Results_list!$C$88,SSP5_VSI!$D:$D,Results_list!$D103,SSP5_VSI!$B:$B,2025))</f>
        <v>2.1659429833740282E-3</v>
      </c>
      <c r="O103" s="13">
        <f t="shared" si="50"/>
        <v>0</v>
      </c>
      <c r="AF103" s="85"/>
      <c r="AG103" s="85"/>
      <c r="AH103" t="s">
        <v>54</v>
      </c>
      <c r="AJ103" s="3" t="s">
        <v>102</v>
      </c>
      <c r="AK103" s="12">
        <f>((SUMIFS(SSP1_Baseline!$E:$E,SSP1_Baseline!$C:$C,Results_list!$C$277,SSP1_Baseline!$D:$D,Results_list!$D103,SSP1_Baseline!$B:$B,2040)) - (SUMIFS(SSP1_Baseline!$E:$E,SSP1_Baseline!$C:$C,Results_list!$C$277,SSP1_Baseline!$D:$D,Results_list!$D103,SSP1_Baseline!$B:$B,2025))) / (SUMIFS(SSP1_Baseline!$E:$E,SSP1_Baseline!$C:$C,Results_list!$C$277,SSP1_Baseline!$D:$D,Results_list!$D103,SSP1_Baseline!$B:$B,2025))</f>
        <v>3.4237366669931865E-2</v>
      </c>
      <c r="AL103" s="16">
        <f>((SUMIFS(SSP1_VSI!$F:$F,SSP1_VSI!$C:$C,Results_list!$C$277,SSP1_VSI!$D:$D,Results_list!$D103,SSP1_VSI!$B:$B,2040)) - (SUMIFS(SSP1_VSI!$F:$F,SSP1_VSI!$C:$C,Results_list!$C$277,SSP1_VSI!$D:$D,Results_list!$D103,SSP1_VSI!$B:$B,2025))) / (SUMIFS(SSP1_VSI!$F:$F,SSP1_VSI!$C:$C,Results_list!$C$277,SSP1_VSI!$D:$D,Results_list!$D103,SSP1_VSI!$B:$B,2025))</f>
        <v>3.4250993233587483E-2</v>
      </c>
      <c r="AM103" s="13">
        <f t="shared" si="51"/>
        <v>0</v>
      </c>
      <c r="AN103" s="12">
        <f>((SUMIFS(SSP2_Baseline!$E:$E,SSP2_Baseline!$C:$C,Results_list!$C$277,SSP2_Baseline!$D:$D,Results_list!$D103,SSP2_Baseline!$B:$B,2040)) - (SUMIFS(SSP2_Baseline!$E:$E,SSP2_Baseline!$C:$C,Results_list!$C$277,SSP2_Baseline!$D:$D,Results_list!$D103,SSP2_Baseline!$B:$B,2025))) / (SUMIFS(SSP2_Baseline!$E:$E,SSP2_Baseline!$C:$C,Results_list!$C$277,SSP2_Baseline!$D:$D,Results_list!$D103,SSP2_Baseline!$B:$B,2025))</f>
        <v>5.332087218770229E-2</v>
      </c>
      <c r="AO103" s="16">
        <f>((SUMIFS(SSP2_VSI!$F:$F,SSP2_VSI!$C:$C,Results_list!$C$277,SSP2_VSI!$D:$D,Results_list!$D103,SSP2_VSI!$B:$B,2040)) - (SUMIFS(SSP2_VSI!$F:$F,SSP2_VSI!$C:$C,Results_list!$C$277,SSP2_VSI!$D:$D,Results_list!$D103,SSP2_VSI!$B:$B,2025))) / (SUMIFS(SSP2_VSI!$F:$F,SSP2_VSI!$C:$C,Results_list!$C$277,SSP2_VSI!$D:$D,Results_list!$D103,SSP2_VSI!$B:$B,2025))</f>
        <v>5.3370699456648941E-2</v>
      </c>
      <c r="AP103" s="13">
        <f t="shared" si="52"/>
        <v>0</v>
      </c>
      <c r="AQ103" s="12">
        <f>((SUMIFS(SSP5_Baseline!$E:$E,SSP5_Baseline!$C:$C,Results_list!$C$277,SSP5_Baseline!$D:$D,Results_list!$D103,SSP5_Baseline!$B:$B,2040)) - (SUMIFS(SSP5_Baseline!$E:$E,SSP5_Baseline!$C:$C,Results_list!$C$277,SSP5_Baseline!$D:$D,Results_list!$D103,SSP5_Baseline!$B:$B,2025))) / (SUMIFS(SSP5_Baseline!$E:$E,SSP5_Baseline!$C:$C,Results_list!$C$277,SSP5_Baseline!$D:$D,Results_list!$D103,SSP5_Baseline!$B:$B,2025))</f>
        <v>7.1258393229611167E-2</v>
      </c>
      <c r="AR103" s="16">
        <f>((SUMIFS(SSP5_VSI!$F:$F,SSP5_VSI!$C:$C,Results_list!$C$277,SSP5_VSI!$D:$D,Results_list!$D103,SSP5_VSI!$B:$B,2040)) - (SUMIFS(SSP5_VSI!$F:$F,SSP5_VSI!$C:$C,Results_list!$C$277,SSP5_VSI!$D:$D,Results_list!$D103,SSP5_VSI!$B:$B,2025))) / (SUMIFS(SSP5_VSI!$F:$F,SSP5_VSI!$C:$C,Results_list!$C$277,SSP5_VSI!$D:$D,Results_list!$D103,SSP5_VSI!$B:$B,2025))</f>
        <v>7.1305631918873652E-2</v>
      </c>
      <c r="AS103" s="13">
        <f t="shared" si="53"/>
        <v>0</v>
      </c>
      <c r="AU103" s="87"/>
      <c r="AV103" s="87"/>
      <c r="AW103" t="s">
        <v>54</v>
      </c>
      <c r="AY103" s="3" t="s">
        <v>102</v>
      </c>
      <c r="AZ103" s="12">
        <f>((SUMIFS(SSP1_Baseline!$E:$E,SSP1_Baseline!$C:$C,Results_list!$C$382,SSP1_Baseline!$D:$D,Results_list!$D103,SSP1_Baseline!$B:$B,2040)) - (SUMIFS(SSP1_Baseline!$E:$E,SSP1_Baseline!$C:$C,Results_list!$C$382,SSP1_Baseline!$D:$D,Results_list!$D103,SSP1_Baseline!$B:$B,2025))) / (SUMIFS(SSP1_Baseline!$E:$E,SSP1_Baseline!$C:$C,Results_list!$C$382,SSP1_Baseline!$D:$D,Results_list!$D103,SSP1_Baseline!$B:$B,2025))</f>
        <v>1.7746962137281922E-4</v>
      </c>
      <c r="BA103" s="16">
        <f>((SUMIFS(SSP1_VSI!$F:$F,SSP1_VSI!$C:$C,Results_list!$C$382,SSP1_VSI!$D:$D,Results_list!$D103,SSP1_VSI!$B:$B,2040)) - (SUMIFS(SSP1_VSI!$F:$F,SSP1_VSI!$C:$C,Results_list!$C$382,SSP1_VSI!$D:$D,Results_list!$D103,SSP1_VSI!$B:$B,2025))) / (SUMIFS(SSP1_VSI!$F:$F,SSP1_VSI!$C:$C,Results_list!$C$382,SSP1_VSI!$D:$D,Results_list!$D103,SSP1_VSI!$B:$B,2025))</f>
        <v>-0.14679707832884814</v>
      </c>
      <c r="BB103" s="13">
        <f t="shared" si="54"/>
        <v>-0.14699999999999999</v>
      </c>
      <c r="BC103" s="12">
        <f>((SUMIFS(SSP2_Baseline!$E:$E,SSP2_Baseline!$C:$C,Results_list!$C$382,SSP2_Baseline!$D:$D,Results_list!$D103,SSP2_Baseline!$B:$B,2040)) - (SUMIFS(SSP2_Baseline!$E:$E,SSP2_Baseline!$C:$C,Results_list!$C$382,SSP2_Baseline!$D:$D,Results_list!$D103,SSP2_Baseline!$B:$B,2025))) / (SUMIFS(SSP2_Baseline!$E:$E,SSP2_Baseline!$C:$C,Results_list!$C$382,SSP2_Baseline!$D:$D,Results_list!$D103,SSP2_Baseline!$B:$B,2025))</f>
        <v>1.6105120493471515E-3</v>
      </c>
      <c r="BD103" s="16">
        <f>((SUMIFS(SSP2_VSI!$F:$F,SSP2_VSI!$C:$C,Results_list!$C$382,SSP2_VSI!$D:$D,Results_list!$D103,SSP2_VSI!$B:$B,2040)) - (SUMIFS(SSP2_VSI!$F:$F,SSP2_VSI!$C:$C,Results_list!$C$382,SSP2_VSI!$D:$D,Results_list!$D103,SSP2_VSI!$B:$B,2025))) / (SUMIFS(SSP2_VSI!$F:$F,SSP2_VSI!$C:$C,Results_list!$C$382,SSP2_VSI!$D:$D,Results_list!$D103,SSP2_VSI!$B:$B,2025))</f>
        <v>-0.14682224397881927</v>
      </c>
      <c r="BE103" s="13">
        <f t="shared" si="55"/>
        <v>-0.15</v>
      </c>
      <c r="BF103" s="12">
        <f>((SUMIFS(SSP5_Baseline!$E:$E,SSP5_Baseline!$C:$C,Results_list!$C$382,SSP5_Baseline!$D:$D,Results_list!$D103,SSP5_Baseline!$B:$B,2040)) - (SUMIFS(SSP5_Baseline!$E:$E,SSP5_Baseline!$C:$C,Results_list!$C$382,SSP5_Baseline!$D:$D,Results_list!$D103,SSP5_Baseline!$B:$B,2025))) / (SUMIFS(SSP5_Baseline!$E:$E,SSP5_Baseline!$C:$C,Results_list!$C$382,SSP5_Baseline!$D:$D,Results_list!$D103,SSP5_Baseline!$B:$B,2025))</f>
        <v>4.3796522701138485E-2</v>
      </c>
      <c r="BG103" s="16">
        <f>((SUMIFS(SSP5_VSI!$F:$F,SSP5_VSI!$C:$C,Results_list!$C$382,SSP5_VSI!$D:$D,Results_list!$D103,SSP5_VSI!$B:$B,2040)) - (SUMIFS(SSP5_VSI!$F:$F,SSP5_VSI!$C:$C,Results_list!$C$382,SSP5_VSI!$D:$D,Results_list!$D103,SSP5_VSI!$B:$B,2025))) / (SUMIFS(SSP5_VSI!$F:$F,SSP5_VSI!$C:$C,Results_list!$C$382,SSP5_VSI!$D:$D,Results_list!$D103,SSP5_VSI!$B:$B,2025))</f>
        <v>-0.10379062127485239</v>
      </c>
      <c r="BH103" s="13">
        <f t="shared" si="56"/>
        <v>-0.15</v>
      </c>
    </row>
    <row r="104" spans="2:60" x14ac:dyDescent="0.35">
      <c r="B104" s="91"/>
      <c r="C104" s="91"/>
      <c r="D104" s="22" t="s">
        <v>55</v>
      </c>
      <c r="F104" s="3" t="s">
        <v>103</v>
      </c>
      <c r="G104" s="12">
        <f>((SUMIFS(SSP1_Baseline!$E:$E,SSP1_Baseline!$C:$C,Results_list!$C$88,SSP1_Baseline!$D:$D,Results_list!$D104,SSP1_Baseline!$B:$B,2040)) - (SUMIFS(SSP1_Baseline!$E:$E,SSP1_Baseline!$C:$C,Results_list!$C$88,SSP1_Baseline!$D:$D,Results_list!$D104,SSP1_Baseline!$B:$B,2025))) / (SUMIFS(SSP1_Baseline!$E:$E,SSP1_Baseline!$C:$C,Results_list!$C$88,SSP1_Baseline!$D:$D,Results_list!$D104,SSP1_Baseline!$B:$B,2025))</f>
        <v>1.7270170247975292E-3</v>
      </c>
      <c r="H104" s="16">
        <f>((SUMIFS(SSP1_VSI!$F:$F,SSP1_VSI!$C:$C,Results_list!$C$88,SSP1_VSI!$D:$D,Results_list!$D104,SSP1_VSI!$B:$B,2040)) - (SUMIFS(SSP1_VSI!$F:$F,SSP1_VSI!$C:$C,Results_list!$C$88,SSP1_VSI!$D:$D,Results_list!$D104,SSP1_VSI!$B:$B,2025))) / (SUMIFS(SSP1_VSI!$F:$F,SSP1_VSI!$C:$C,Results_list!$C$88,SSP1_VSI!$D:$D,Results_list!$D104,SSP1_VSI!$B:$B,2025))</f>
        <v>1.7270226285301404E-3</v>
      </c>
      <c r="I104" s="13">
        <f t="shared" si="48"/>
        <v>0</v>
      </c>
      <c r="J104" s="12">
        <f>((SUMIFS(SSP2_Baseline!$E:$E,SSP2_Baseline!$C:$C,Results_list!$C$88,SSP2_Baseline!$D:$D,Results_list!$D104,SSP2_Baseline!$B:$B,2040)) - (SUMIFS(SSP2_Baseline!$E:$E,SSP2_Baseline!$C:$C,Results_list!$C$88,SSP2_Baseline!$D:$D,Results_list!$D104,SSP2_Baseline!$B:$B,2025))) / (SUMIFS(SSP2_Baseline!$E:$E,SSP2_Baseline!$C:$C,Results_list!$C$88,SSP2_Baseline!$D:$D,Results_list!$D104,SSP2_Baseline!$B:$B,2025))</f>
        <v>3.6429170619217822E-3</v>
      </c>
      <c r="K104" s="16">
        <f>((SUMIFS(SSP2_VSI!$F:$F,SSP2_VSI!$C:$C,Results_list!$C$88,SSP2_VSI!$D:$D,Results_list!$D104,SSP2_VSI!$B:$B,2040)) - (SUMIFS(SSP2_VSI!$F:$F,SSP2_VSI!$C:$C,Results_list!$C$88,SSP2_VSI!$D:$D,Results_list!$D104,SSP2_VSI!$B:$B,2025))) / (SUMIFS(SSP2_VSI!$F:$F,SSP2_VSI!$C:$C,Results_list!$C$88,SSP2_VSI!$D:$D,Results_list!$D104,SSP2_VSI!$B:$B,2025))</f>
        <v>3.6429792506665302E-3</v>
      </c>
      <c r="L104" s="13">
        <f t="shared" si="49"/>
        <v>0</v>
      </c>
      <c r="M104" s="12">
        <f>((SUMIFS(SSP5_Baseline!$E:$E,SSP5_Baseline!$C:$C,Results_list!$C$88,SSP5_Baseline!$D:$D,Results_list!$D104,SSP5_Baseline!$B:$B,2040)) - (SUMIFS(SSP5_Baseline!$E:$E,SSP5_Baseline!$C:$C,Results_list!$C$88,SSP5_Baseline!$D:$D,Results_list!$D104,SSP5_Baseline!$B:$B,2025))) / (SUMIFS(SSP5_Baseline!$E:$E,SSP5_Baseline!$C:$C,Results_list!$C$88,SSP5_Baseline!$D:$D,Results_list!$D104,SSP5_Baseline!$B:$B,2025))</f>
        <v>1.9100475449280361E-3</v>
      </c>
      <c r="N104" s="16">
        <f>((SUMIFS(SSP5_VSI!$F:$F,SSP5_VSI!$C:$C,Results_list!$C$88,SSP5_VSI!$D:$D,Results_list!$D104,SSP5_VSI!$B:$B,2040)) - (SUMIFS(SSP5_VSI!$F:$F,SSP5_VSI!$C:$C,Results_list!$C$88,SSP5_VSI!$D:$D,Results_list!$D104,SSP5_VSI!$B:$B,2025))) / (SUMIFS(SSP5_VSI!$F:$F,SSP5_VSI!$C:$C,Results_list!$C$88,SSP5_VSI!$D:$D,Results_list!$D104,SSP5_VSI!$B:$B,2025))</f>
        <v>1.9109968829847698E-3</v>
      </c>
      <c r="O104" s="13">
        <f t="shared" si="50"/>
        <v>0</v>
      </c>
      <c r="AF104" s="85"/>
      <c r="AG104" s="85"/>
      <c r="AH104" t="s">
        <v>55</v>
      </c>
      <c r="AJ104" s="3" t="s">
        <v>103</v>
      </c>
      <c r="AK104" s="12">
        <f>((SUMIFS(SSP1_Baseline!$E:$E,SSP1_Baseline!$C:$C,Results_list!$C$277,SSP1_Baseline!$D:$D,Results_list!$D104,SSP1_Baseline!$B:$B,2040)) - (SUMIFS(SSP1_Baseline!$E:$E,SSP1_Baseline!$C:$C,Results_list!$C$277,SSP1_Baseline!$D:$D,Results_list!$D104,SSP1_Baseline!$B:$B,2025))) / (SUMIFS(SSP1_Baseline!$E:$E,SSP1_Baseline!$C:$C,Results_list!$C$277,SSP1_Baseline!$D:$D,Results_list!$D104,SSP1_Baseline!$B:$B,2025))</f>
        <v>3.0203479344555684E-2</v>
      </c>
      <c r="AL104" s="16">
        <f>((SUMIFS(SSP1_VSI!$F:$F,SSP1_VSI!$C:$C,Results_list!$C$277,SSP1_VSI!$D:$D,Results_list!$D104,SSP1_VSI!$B:$B,2040)) - (SUMIFS(SSP1_VSI!$F:$F,SSP1_VSI!$C:$C,Results_list!$C$277,SSP1_VSI!$D:$D,Results_list!$D104,SSP1_VSI!$B:$B,2025))) / (SUMIFS(SSP1_VSI!$F:$F,SSP1_VSI!$C:$C,Results_list!$C$277,SSP1_VSI!$D:$D,Results_list!$D104,SSP1_VSI!$B:$B,2025))</f>
        <v>3.0215350712780507E-2</v>
      </c>
      <c r="AM104" s="13">
        <f t="shared" si="51"/>
        <v>0</v>
      </c>
      <c r="AN104" s="12">
        <f>((SUMIFS(SSP2_Baseline!$E:$E,SSP2_Baseline!$C:$C,Results_list!$C$277,SSP2_Baseline!$D:$D,Results_list!$D104,SSP2_Baseline!$B:$B,2040)) - (SUMIFS(SSP2_Baseline!$E:$E,SSP2_Baseline!$C:$C,Results_list!$C$277,SSP2_Baseline!$D:$D,Results_list!$D104,SSP2_Baseline!$B:$B,2025))) / (SUMIFS(SSP2_Baseline!$E:$E,SSP2_Baseline!$C:$C,Results_list!$C$277,SSP2_Baseline!$D:$D,Results_list!$D104,SSP2_Baseline!$B:$B,2025))</f>
        <v>4.5728947874245855E-2</v>
      </c>
      <c r="AO104" s="16">
        <f>((SUMIFS(SSP2_VSI!$F:$F,SSP2_VSI!$C:$C,Results_list!$C$277,SSP2_VSI!$D:$D,Results_list!$D104,SSP2_VSI!$B:$B,2040)) - (SUMIFS(SSP2_VSI!$F:$F,SSP2_VSI!$C:$C,Results_list!$C$277,SSP2_VSI!$D:$D,Results_list!$D104,SSP2_VSI!$B:$B,2025))) / (SUMIFS(SSP2_VSI!$F:$F,SSP2_VSI!$C:$C,Results_list!$C$277,SSP2_VSI!$D:$D,Results_list!$D104,SSP2_VSI!$B:$B,2025))</f>
        <v>4.576880351762784E-2</v>
      </c>
      <c r="AP104" s="13">
        <f t="shared" si="52"/>
        <v>0</v>
      </c>
      <c r="AQ104" s="12">
        <f>((SUMIFS(SSP5_Baseline!$E:$E,SSP5_Baseline!$C:$C,Results_list!$C$277,SSP5_Baseline!$D:$D,Results_list!$D104,SSP5_Baseline!$B:$B,2040)) - (SUMIFS(SSP5_Baseline!$E:$E,SSP5_Baseline!$C:$C,Results_list!$C$277,SSP5_Baseline!$D:$D,Results_list!$D104,SSP5_Baseline!$B:$B,2025))) / (SUMIFS(SSP5_Baseline!$E:$E,SSP5_Baseline!$C:$C,Results_list!$C$277,SSP5_Baseline!$D:$D,Results_list!$D104,SSP5_Baseline!$B:$B,2025))</f>
        <v>6.28297731489776E-2</v>
      </c>
      <c r="AR104" s="16">
        <f>((SUMIFS(SSP5_VSI!$F:$F,SSP5_VSI!$C:$C,Results_list!$C$277,SSP5_VSI!$D:$D,Results_list!$D104,SSP5_VSI!$B:$B,2040)) - (SUMIFS(SSP5_VSI!$F:$F,SSP5_VSI!$C:$C,Results_list!$C$277,SSP5_VSI!$D:$D,Results_list!$D104,SSP5_VSI!$B:$B,2025))) / (SUMIFS(SSP5_VSI!$F:$F,SSP5_VSI!$C:$C,Results_list!$C$277,SSP5_VSI!$D:$D,Results_list!$D104,SSP5_VSI!$B:$B,2025))</f>
        <v>6.2877913085137141E-2</v>
      </c>
      <c r="AS104" s="13">
        <f t="shared" si="53"/>
        <v>0</v>
      </c>
      <c r="AU104" s="87"/>
      <c r="AV104" s="87"/>
      <c r="AW104" t="s">
        <v>55</v>
      </c>
      <c r="AY104" s="3" t="s">
        <v>103</v>
      </c>
      <c r="AZ104" s="12">
        <f>((SUMIFS(SSP1_Baseline!$E:$E,SSP1_Baseline!$C:$C,Results_list!$C$382,SSP1_Baseline!$D:$D,Results_list!$D104,SSP1_Baseline!$B:$B,2040)) - (SUMIFS(SSP1_Baseline!$E:$E,SSP1_Baseline!$C:$C,Results_list!$C$382,SSP1_Baseline!$D:$D,Results_list!$D104,SSP1_Baseline!$B:$B,2025))) / (SUMIFS(SSP1_Baseline!$E:$E,SSP1_Baseline!$C:$C,Results_list!$C$382,SSP1_Baseline!$D:$D,Results_list!$D104,SSP1_Baseline!$B:$B,2025))</f>
        <v>-2.4671731629592681E-3</v>
      </c>
      <c r="BA104" s="16">
        <f>((SUMIFS(SSP1_VSI!$F:$F,SSP1_VSI!$C:$C,Results_list!$C$382,SSP1_VSI!$D:$D,Results_list!$D104,SSP1_VSI!$B:$B,2040)) - (SUMIFS(SSP1_VSI!$F:$F,SSP1_VSI!$C:$C,Results_list!$C$382,SSP1_VSI!$D:$D,Results_list!$D104,SSP1_VSI!$B:$B,2025))) / (SUMIFS(SSP1_VSI!$F:$F,SSP1_VSI!$C:$C,Results_list!$C$382,SSP1_VSI!$D:$D,Results_list!$D104,SSP1_VSI!$B:$B,2025))</f>
        <v>-0.15890316674967894</v>
      </c>
      <c r="BB104" s="13">
        <f t="shared" si="54"/>
        <v>-0.156</v>
      </c>
      <c r="BC104" s="12">
        <f>((SUMIFS(SSP2_Baseline!$E:$E,SSP2_Baseline!$C:$C,Results_list!$C$382,SSP2_Baseline!$D:$D,Results_list!$D104,SSP2_Baseline!$B:$B,2040)) - (SUMIFS(SSP2_Baseline!$E:$E,SSP2_Baseline!$C:$C,Results_list!$C$382,SSP2_Baseline!$D:$D,Results_list!$D104,SSP2_Baseline!$B:$B,2025))) / (SUMIFS(SSP2_Baseline!$E:$E,SSP2_Baseline!$C:$C,Results_list!$C$382,SSP2_Baseline!$D:$D,Results_list!$D104,SSP2_Baseline!$B:$B,2025))</f>
        <v>-2.275445944955498E-3</v>
      </c>
      <c r="BD104" s="16">
        <f>((SUMIFS(SSP2_VSI!$F:$F,SSP2_VSI!$C:$C,Results_list!$C$382,SSP2_VSI!$D:$D,Results_list!$D104,SSP2_VSI!$B:$B,2040)) - (SUMIFS(SSP2_VSI!$F:$F,SSP2_VSI!$C:$C,Results_list!$C$382,SSP2_VSI!$D:$D,Results_list!$D104,SSP2_VSI!$B:$B,2025))) / (SUMIFS(SSP2_VSI!$F:$F,SSP2_VSI!$C:$C,Results_list!$C$382,SSP2_VSI!$D:$D,Results_list!$D104,SSP2_VSI!$B:$B,2025))</f>
        <v>-0.16002563713243201</v>
      </c>
      <c r="BE104" s="13">
        <f t="shared" si="55"/>
        <v>-0.16</v>
      </c>
      <c r="BF104" s="12">
        <f>((SUMIFS(SSP5_Baseline!$E:$E,SSP5_Baseline!$C:$C,Results_list!$C$382,SSP5_Baseline!$D:$D,Results_list!$D104,SSP5_Baseline!$B:$B,2040)) - (SUMIFS(SSP5_Baseline!$E:$E,SSP5_Baseline!$C:$C,Results_list!$C$382,SSP5_Baseline!$D:$D,Results_list!$D104,SSP5_Baseline!$B:$B,2025))) / (SUMIFS(SSP5_Baseline!$E:$E,SSP5_Baseline!$C:$C,Results_list!$C$382,SSP5_Baseline!$D:$D,Results_list!$D104,SSP5_Baseline!$B:$B,2025))</f>
        <v>3.9837714773587031E-2</v>
      </c>
      <c r="BG104" s="16">
        <f>((SUMIFS(SSP5_VSI!$F:$F,SSP5_VSI!$C:$C,Results_list!$C$382,SSP5_VSI!$D:$D,Results_list!$D104,SSP5_VSI!$B:$B,2040)) - (SUMIFS(SSP5_VSI!$F:$F,SSP5_VSI!$C:$C,Results_list!$C$382,SSP5_VSI!$D:$D,Results_list!$D104,SSP5_VSI!$B:$B,2025))) / (SUMIFS(SSP5_VSI!$F:$F,SSP5_VSI!$C:$C,Results_list!$C$382,SSP5_VSI!$D:$D,Results_list!$D104,SSP5_VSI!$B:$B,2025))</f>
        <v>-0.1169822665807682</v>
      </c>
      <c r="BH104" s="13">
        <f t="shared" si="56"/>
        <v>-0.16</v>
      </c>
    </row>
    <row r="105" spans="2:60" x14ac:dyDescent="0.35">
      <c r="B105" s="92"/>
      <c r="C105" s="92"/>
      <c r="D105" s="23" t="s">
        <v>56</v>
      </c>
      <c r="F105" s="9" t="s">
        <v>104</v>
      </c>
      <c r="G105" s="14">
        <f>((SUMIFS(SSP1_Baseline!$E:$E,SSP1_Baseline!$C:$C,Results_list!$C$88,SSP1_Baseline!$D:$D,Results_list!$D105,SSP1_Baseline!$B:$B,2040)) - (SUMIFS(SSP1_Baseline!$E:$E,SSP1_Baseline!$C:$C,Results_list!$C$88,SSP1_Baseline!$D:$D,Results_list!$D105,SSP1_Baseline!$B:$B,2025))) / (SUMIFS(SSP1_Baseline!$E:$E,SSP1_Baseline!$C:$C,Results_list!$C$88,SSP1_Baseline!$D:$D,Results_list!$D105,SSP1_Baseline!$B:$B,2025))</f>
        <v>-0.19388895129133427</v>
      </c>
      <c r="H105" s="17">
        <f>((SUMIFS(SSP1_VSI!$F:$F,SSP1_VSI!$C:$C,Results_list!$C$88,SSP1_VSI!$D:$D,Results_list!$D105,SSP1_VSI!$B:$B,2040)) - (SUMIFS(SSP1_VSI!$F:$F,SSP1_VSI!$C:$C,Results_list!$C$88,SSP1_VSI!$D:$D,Results_list!$D105,SSP1_VSI!$B:$B,2025))) / (SUMIFS(SSP1_VSI!$F:$F,SSP1_VSI!$C:$C,Results_list!$C$88,SSP1_VSI!$D:$D,Results_list!$D105,SSP1_VSI!$B:$B,2025))</f>
        <v>-0.19390442950632089</v>
      </c>
      <c r="I105" s="15">
        <f t="shared" si="48"/>
        <v>0</v>
      </c>
      <c r="J105" s="14">
        <f>((SUMIFS(SSP2_Baseline!$E:$E,SSP2_Baseline!$C:$C,Results_list!$C$88,SSP2_Baseline!$D:$D,Results_list!$D105,SSP2_Baseline!$B:$B,2040)) - (SUMIFS(SSP2_Baseline!$E:$E,SSP2_Baseline!$C:$C,Results_list!$C$88,SSP2_Baseline!$D:$D,Results_list!$D105,SSP2_Baseline!$B:$B,2025))) / (SUMIFS(SSP2_Baseline!$E:$E,SSP2_Baseline!$C:$C,Results_list!$C$88,SSP2_Baseline!$D:$D,Results_list!$D105,SSP2_Baseline!$B:$B,2025))</f>
        <v>-0.25045521312334307</v>
      </c>
      <c r="K105" s="17">
        <f>((SUMIFS(SSP2_VSI!$F:$F,SSP2_VSI!$C:$C,Results_list!$C$88,SSP2_VSI!$D:$D,Results_list!$D105,SSP2_VSI!$B:$B,2040)) - (SUMIFS(SSP2_VSI!$F:$F,SSP2_VSI!$C:$C,Results_list!$C$88,SSP2_VSI!$D:$D,Results_list!$D105,SSP2_VSI!$B:$B,2025))) / (SUMIFS(SSP2_VSI!$F:$F,SSP2_VSI!$C:$C,Results_list!$C$88,SSP2_VSI!$D:$D,Results_list!$D105,SSP2_VSI!$B:$B,2025))</f>
        <v>-0.25047263606462722</v>
      </c>
      <c r="L105" s="15">
        <f t="shared" si="49"/>
        <v>0</v>
      </c>
      <c r="M105" s="14">
        <f>((SUMIFS(SSP5_Baseline!$E:$E,SSP5_Baseline!$C:$C,Results_list!$C$88,SSP5_Baseline!$D:$D,Results_list!$D105,SSP5_Baseline!$B:$B,2040)) - (SUMIFS(SSP5_Baseline!$E:$E,SSP5_Baseline!$C:$C,Results_list!$C$88,SSP5_Baseline!$D:$D,Results_list!$D105,SSP5_Baseline!$B:$B,2025))) / (SUMIFS(SSP5_Baseline!$E:$E,SSP5_Baseline!$C:$C,Results_list!$C$88,SSP5_Baseline!$D:$D,Results_list!$D105,SSP5_Baseline!$B:$B,2025))</f>
        <v>-9.5372862298522793E-2</v>
      </c>
      <c r="N105" s="17">
        <f>((SUMIFS(SSP5_VSI!$F:$F,SSP5_VSI!$C:$C,Results_list!$C$88,SSP5_VSI!$D:$D,Results_list!$D105,SSP5_VSI!$B:$B,2040)) - (SUMIFS(SSP5_VSI!$F:$F,SSP5_VSI!$C:$C,Results_list!$C$88,SSP5_VSI!$D:$D,Results_list!$D105,SSP5_VSI!$B:$B,2025))) / (SUMIFS(SSP5_VSI!$F:$F,SSP5_VSI!$C:$C,Results_list!$C$88,SSP5_VSI!$D:$D,Results_list!$D105,SSP5_VSI!$B:$B,2025))</f>
        <v>-9.536464108742447E-2</v>
      </c>
      <c r="O105" s="15">
        <f t="shared" si="50"/>
        <v>0</v>
      </c>
      <c r="AF105" s="86"/>
      <c r="AG105" s="86"/>
      <c r="AH105" t="s">
        <v>56</v>
      </c>
      <c r="AJ105" s="9" t="s">
        <v>104</v>
      </c>
      <c r="AK105" s="14">
        <f>((SUMIFS(SSP1_Baseline!$E:$E,SSP1_Baseline!$C:$C,Results_list!$C$277,SSP1_Baseline!$D:$D,Results_list!$D105,SSP1_Baseline!$B:$B,2040)) - (SUMIFS(SSP1_Baseline!$E:$E,SSP1_Baseline!$C:$C,Results_list!$C$277,SSP1_Baseline!$D:$D,Results_list!$D105,SSP1_Baseline!$B:$B,2025))) / (SUMIFS(SSP1_Baseline!$E:$E,SSP1_Baseline!$C:$C,Results_list!$C$277,SSP1_Baseline!$D:$D,Results_list!$D105,SSP1_Baseline!$B:$B,2025))</f>
        <v>-0.18005264691091202</v>
      </c>
      <c r="AL105" s="17">
        <f>((SUMIFS(SSP1_VSI!$F:$F,SSP1_VSI!$C:$C,Results_list!$C$277,SSP1_VSI!$D:$D,Results_list!$D105,SSP1_VSI!$B:$B,2040)) - (SUMIFS(SSP1_VSI!$F:$F,SSP1_VSI!$C:$C,Results_list!$C$277,SSP1_VSI!$D:$D,Results_list!$D105,SSP1_VSI!$B:$B,2025))) / (SUMIFS(SSP1_VSI!$F:$F,SSP1_VSI!$C:$C,Results_list!$C$277,SSP1_VSI!$D:$D,Results_list!$D105,SSP1_VSI!$B:$B,2025))</f>
        <v>-0.18008161514181303</v>
      </c>
      <c r="AM105" s="15">
        <f t="shared" si="51"/>
        <v>0</v>
      </c>
      <c r="AN105" s="14">
        <f>((SUMIFS(SSP2_Baseline!$E:$E,SSP2_Baseline!$C:$C,Results_list!$C$277,SSP2_Baseline!$D:$D,Results_list!$D105,SSP2_Baseline!$B:$B,2040)) - (SUMIFS(SSP2_Baseline!$E:$E,SSP2_Baseline!$C:$C,Results_list!$C$277,SSP2_Baseline!$D:$D,Results_list!$D105,SSP2_Baseline!$B:$B,2025))) / (SUMIFS(SSP2_Baseline!$E:$E,SSP2_Baseline!$C:$C,Results_list!$C$277,SSP2_Baseline!$D:$D,Results_list!$D105,SSP2_Baseline!$B:$B,2025))</f>
        <v>-0.20022964701437471</v>
      </c>
      <c r="AO105" s="17">
        <f>((SUMIFS(SSP2_VSI!$F:$F,SSP2_VSI!$C:$C,Results_list!$C$277,SSP2_VSI!$D:$D,Results_list!$D105,SSP2_VSI!$B:$B,2040)) - (SUMIFS(SSP2_VSI!$F:$F,SSP2_VSI!$C:$C,Results_list!$C$277,SSP2_VSI!$D:$D,Results_list!$D105,SSP2_VSI!$B:$B,2025))) / (SUMIFS(SSP2_VSI!$F:$F,SSP2_VSI!$C:$C,Results_list!$C$277,SSP2_VSI!$D:$D,Results_list!$D105,SSP2_VSI!$B:$B,2025))</f>
        <v>-0.20024682739425681</v>
      </c>
      <c r="AP105" s="15">
        <f t="shared" si="52"/>
        <v>0</v>
      </c>
      <c r="AQ105" s="14">
        <f>((SUMIFS(SSP5_Baseline!$E:$E,SSP5_Baseline!$C:$C,Results_list!$C$277,SSP5_Baseline!$D:$D,Results_list!$D105,SSP5_Baseline!$B:$B,2040)) - (SUMIFS(SSP5_Baseline!$E:$E,SSP5_Baseline!$C:$C,Results_list!$C$277,SSP5_Baseline!$D:$D,Results_list!$D105,SSP5_Baseline!$B:$B,2025))) / (SUMIFS(SSP5_Baseline!$E:$E,SSP5_Baseline!$C:$C,Results_list!$C$277,SSP5_Baseline!$D:$D,Results_list!$D105,SSP5_Baseline!$B:$B,2025))</f>
        <v>-0.11153081807723306</v>
      </c>
      <c r="AR105" s="17">
        <f>((SUMIFS(SSP5_VSI!$F:$F,SSP5_VSI!$C:$C,Results_list!$C$277,SSP5_VSI!$D:$D,Results_list!$D105,SSP5_VSI!$B:$B,2040)) - (SUMIFS(SSP5_VSI!$F:$F,SSP5_VSI!$C:$C,Results_list!$C$277,SSP5_VSI!$D:$D,Results_list!$D105,SSP5_VSI!$B:$B,2025))) / (SUMIFS(SSP5_VSI!$F:$F,SSP5_VSI!$C:$C,Results_list!$C$277,SSP5_VSI!$D:$D,Results_list!$D105,SSP5_VSI!$B:$B,2025))</f>
        <v>-0.11152458956011696</v>
      </c>
      <c r="AS105" s="15">
        <f t="shared" si="53"/>
        <v>0</v>
      </c>
      <c r="AU105" s="88"/>
      <c r="AV105" s="88"/>
      <c r="AW105" s="20" t="s">
        <v>56</v>
      </c>
      <c r="AX105" s="20"/>
      <c r="AY105" s="9" t="s">
        <v>104</v>
      </c>
      <c r="AZ105" s="14">
        <f>((SUMIFS(SSP1_Baseline!$E:$E,SSP1_Baseline!$C:$C,Results_list!$C$382,SSP1_Baseline!$D:$D,Results_list!$D105,SSP1_Baseline!$B:$B,2040)) - (SUMIFS(SSP1_Baseline!$E:$E,SSP1_Baseline!$C:$C,Results_list!$C$382,SSP1_Baseline!$D:$D,Results_list!$D105,SSP1_Baseline!$B:$B,2025))) / (SUMIFS(SSP1_Baseline!$E:$E,SSP1_Baseline!$C:$C,Results_list!$C$382,SSP1_Baseline!$D:$D,Results_list!$D105,SSP1_Baseline!$B:$B,2025))</f>
        <v>-0.18097253892135315</v>
      </c>
      <c r="BA105" s="17">
        <f>((SUMIFS(SSP1_VSI!$F:$F,SSP1_VSI!$C:$C,Results_list!$C$382,SSP1_VSI!$D:$D,Results_list!$D105,SSP1_VSI!$B:$B,2040)) - (SUMIFS(SSP1_VSI!$F:$F,SSP1_VSI!$C:$C,Results_list!$C$382,SSP1_VSI!$D:$D,Results_list!$D105,SSP1_VSI!$B:$B,2025))) / (SUMIFS(SSP1_VSI!$F:$F,SSP1_VSI!$C:$C,Results_list!$C$382,SSP1_VSI!$D:$D,Results_list!$D105,SSP1_VSI!$B:$B,2025))</f>
        <v>-0.18100321888839657</v>
      </c>
      <c r="BB105" s="15">
        <f t="shared" si="54"/>
        <v>0</v>
      </c>
      <c r="BC105" s="14">
        <f>((SUMIFS(SSP2_Baseline!$E:$E,SSP2_Baseline!$C:$C,Results_list!$C$382,SSP2_Baseline!$D:$D,Results_list!$D105,SSP2_Baseline!$B:$B,2040)) - (SUMIFS(SSP2_Baseline!$E:$E,SSP2_Baseline!$C:$C,Results_list!$C$382,SSP2_Baseline!$D:$D,Results_list!$D105,SSP2_Baseline!$B:$B,2025))) / (SUMIFS(SSP2_Baseline!$E:$E,SSP2_Baseline!$C:$C,Results_list!$C$382,SSP2_Baseline!$D:$D,Results_list!$D105,SSP2_Baseline!$B:$B,2025))</f>
        <v>-0.19368382236893517</v>
      </c>
      <c r="BD105" s="17">
        <f>((SUMIFS(SSP2_VSI!$F:$F,SSP2_VSI!$C:$C,Results_list!$C$382,SSP2_VSI!$D:$D,Results_list!$D105,SSP2_VSI!$B:$B,2040)) - (SUMIFS(SSP2_VSI!$F:$F,SSP2_VSI!$C:$C,Results_list!$C$382,SSP2_VSI!$D:$D,Results_list!$D105,SSP2_VSI!$B:$B,2025))) / (SUMIFS(SSP2_VSI!$F:$F,SSP2_VSI!$C:$C,Results_list!$C$382,SSP2_VSI!$D:$D,Results_list!$D105,SSP2_VSI!$B:$B,2025))</f>
        <v>-0.19371568520896831</v>
      </c>
      <c r="BE105" s="15">
        <f t="shared" si="55"/>
        <v>0</v>
      </c>
      <c r="BF105" s="14">
        <f>((SUMIFS(SSP5_Baseline!$E:$E,SSP5_Baseline!$C:$C,Results_list!$C$382,SSP5_Baseline!$D:$D,Results_list!$D105,SSP5_Baseline!$B:$B,2040)) - (SUMIFS(SSP5_Baseline!$E:$E,SSP5_Baseline!$C:$C,Results_list!$C$382,SSP5_Baseline!$D:$D,Results_list!$D105,SSP5_Baseline!$B:$B,2025))) / (SUMIFS(SSP5_Baseline!$E:$E,SSP5_Baseline!$C:$C,Results_list!$C$382,SSP5_Baseline!$D:$D,Results_list!$D105,SSP5_Baseline!$B:$B,2025))</f>
        <v>-3.3911982915262449E-2</v>
      </c>
      <c r="BG105" s="17">
        <f>((SUMIFS(SSP5_VSI!$F:$F,SSP5_VSI!$C:$C,Results_list!$C$382,SSP5_VSI!$D:$D,Results_list!$D105,SSP5_VSI!$B:$B,2040)) - (SUMIFS(SSP5_VSI!$F:$F,SSP5_VSI!$C:$C,Results_list!$C$382,SSP5_VSI!$D:$D,Results_list!$D105,SSP5_VSI!$B:$B,2025))) / (SUMIFS(SSP5_VSI!$F:$F,SSP5_VSI!$C:$C,Results_list!$C$382,SSP5_VSI!$D:$D,Results_list!$D105,SSP5_VSI!$B:$B,2025))</f>
        <v>-3.3887555283958197E-2</v>
      </c>
      <c r="BH105" s="15">
        <f t="shared" si="56"/>
        <v>0</v>
      </c>
    </row>
  </sheetData>
  <mergeCells count="57">
    <mergeCell ref="V2:AD2"/>
    <mergeCell ref="Q4:Q21"/>
    <mergeCell ref="R4:R21"/>
    <mergeCell ref="G44:O44"/>
    <mergeCell ref="B46:B63"/>
    <mergeCell ref="C46:C63"/>
    <mergeCell ref="G2:O2"/>
    <mergeCell ref="B4:B21"/>
    <mergeCell ref="C4:C21"/>
    <mergeCell ref="G23:O23"/>
    <mergeCell ref="B25:B42"/>
    <mergeCell ref="C25:C42"/>
    <mergeCell ref="Q46:Q63"/>
    <mergeCell ref="R46:R63"/>
    <mergeCell ref="G86:O86"/>
    <mergeCell ref="B88:B105"/>
    <mergeCell ref="C88:C105"/>
    <mergeCell ref="G65:O65"/>
    <mergeCell ref="B67:B84"/>
    <mergeCell ref="C67:C84"/>
    <mergeCell ref="AK44:AS44"/>
    <mergeCell ref="V23:AD23"/>
    <mergeCell ref="Q25:Q42"/>
    <mergeCell ref="R25:R42"/>
    <mergeCell ref="V44:AD44"/>
    <mergeCell ref="AK2:AS2"/>
    <mergeCell ref="AF4:AF21"/>
    <mergeCell ref="AG4:AG21"/>
    <mergeCell ref="AK23:AS23"/>
    <mergeCell ref="AF25:AF42"/>
    <mergeCell ref="AG25:AG42"/>
    <mergeCell ref="AG67:AG84"/>
    <mergeCell ref="AK86:AS86"/>
    <mergeCell ref="V65:AD65"/>
    <mergeCell ref="Q67:Q84"/>
    <mergeCell ref="R67:R84"/>
    <mergeCell ref="AU88:AU105"/>
    <mergeCell ref="AV88:AV105"/>
    <mergeCell ref="AF88:AF105"/>
    <mergeCell ref="AG88:AG105"/>
    <mergeCell ref="AZ2:BH2"/>
    <mergeCell ref="AU4:AU21"/>
    <mergeCell ref="AV4:AV21"/>
    <mergeCell ref="AZ23:BH23"/>
    <mergeCell ref="AU25:AU42"/>
    <mergeCell ref="AV25:AV42"/>
    <mergeCell ref="AZ44:BH44"/>
    <mergeCell ref="AU46:AU63"/>
    <mergeCell ref="AF46:AF63"/>
    <mergeCell ref="AG46:AG63"/>
    <mergeCell ref="AK65:AS65"/>
    <mergeCell ref="AF67:AF84"/>
    <mergeCell ref="AV46:AV63"/>
    <mergeCell ref="AZ65:BH65"/>
    <mergeCell ref="AU67:AU84"/>
    <mergeCell ref="AV67:AV84"/>
    <mergeCell ref="AZ86:BH86"/>
  </mergeCells>
  <conditionalFormatting sqref="I1:I1048576">
    <cfRule type="colorScale" priority="4">
      <colorScale>
        <cfvo type="min"/>
        <cfvo type="max"/>
        <color rgb="FF63BE7B"/>
        <color rgb="FFFCFCFF"/>
      </colorScale>
    </cfRule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4:I21 O4:O21 L4:L21">
    <cfRule type="colorScale" priority="7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7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7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5:I42 O25:O42 L25:L42">
    <cfRule type="colorScale" priority="6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46:I63 O46:O63 L46:L63">
    <cfRule type="colorScale" priority="6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67:I84 O67:O84 L67:L84">
    <cfRule type="colorScale" priority="6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7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7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88:I105 O88:O105 L88:L105">
    <cfRule type="colorScale" priority="6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1:L1048576 O1:O1048576">
    <cfRule type="colorScale" priority="3">
      <colorScale>
        <cfvo type="min"/>
        <cfvo type="max"/>
        <color rgb="FF63BE7B"/>
        <color rgb="FFFCFCFF"/>
      </colorScale>
    </cfRule>
  </conditionalFormatting>
  <conditionalFormatting sqref="X1:X1048576 AA1:AA1048576 AD1:AD1048576">
    <cfRule type="colorScale" priority="2">
      <colorScale>
        <cfvo type="min"/>
        <cfvo type="max"/>
        <color rgb="FF63BE7B"/>
        <color rgb="FFFCFCFF"/>
      </colorScale>
    </cfRule>
  </conditionalFormatting>
  <conditionalFormatting sqref="X4:X21 AD4:AD21 AA4:AA21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25:X42 AD25:AD42 AA25:AA42">
    <cfRule type="colorScale" priority="5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46:X63 AD46:AD63 AA46:AA63">
    <cfRule type="colorScale" priority="5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67:X84 AD67:AD84 AA67:AA84">
    <cfRule type="colorScale" priority="5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I4:AI21">
    <cfRule type="colorScale" priority="4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I25:AI42">
    <cfRule type="colorScale" priority="4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M1:AM1048576 AP1:AP1048576 AS1:AS1048576 BB1:BB1048576 BE1:BE1048576 BH1:BH1048576">
    <cfRule type="colorScale" priority="1">
      <colorScale>
        <cfvo type="min"/>
        <cfvo type="max"/>
        <color rgb="FF63BE7B"/>
        <color rgb="FFFCFCFF"/>
      </colorScale>
    </cfRule>
  </conditionalFormatting>
  <conditionalFormatting sqref="AM4:AM21 AS4:AS21 AP4:AP21">
    <cfRule type="colorScale" priority="3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M25:AM42 AS25:AS42 AP25:AP42">
    <cfRule type="colorScale" priority="2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M46:AM63 AS46:AS63 AP46:AP63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M67:AM84 AS67:AS84 AP67:AP84">
    <cfRule type="colorScale" priority="3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3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M88:AM105 AS88:AS105 AP88:AP105"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X25:AX42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X46:AX63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B4:BB21 BH4:BH21 BE4:BE21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B25:BB42 BH25:BH42 BE25:BE42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B46:BB63 BH46:BH63 BE46:BE63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B67:BB84 BH67:BH84 BE67:BE84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B88:BB105 BH88:BH105 BE88:BE105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E42B-8BA9-4CA9-A84D-39012669ACA2}">
  <dimension ref="B2:AI127"/>
  <sheetViews>
    <sheetView showGridLines="0" zoomScale="85" zoomScaleNormal="85" workbookViewId="0">
      <selection activeCell="BK12" sqref="BK12"/>
    </sheetView>
  </sheetViews>
  <sheetFormatPr defaultRowHeight="14.5" x14ac:dyDescent="0.35"/>
  <cols>
    <col min="2" max="2" width="12.453125" customWidth="1"/>
    <col min="3" max="5" width="0" hidden="1" customWidth="1"/>
    <col min="6" max="6" width="8.81640625" bestFit="1" customWidth="1"/>
    <col min="7" max="15" width="6.81640625" customWidth="1"/>
    <col min="16" max="16" width="4.36328125" customWidth="1"/>
    <col min="17" max="17" width="12.453125" customWidth="1"/>
    <col min="18" max="20" width="0" hidden="1" customWidth="1"/>
    <col min="21" max="21" width="8.81640625" bestFit="1" customWidth="1"/>
    <col min="22" max="30" width="6.81640625" customWidth="1"/>
    <col min="31" max="31" width="4.36328125" customWidth="1"/>
    <col min="32" max="32" width="12.453125" customWidth="1"/>
    <col min="33" max="35" width="8.7265625" hidden="1" customWidth="1"/>
    <col min="36" max="36" width="7.26953125" customWidth="1"/>
    <col min="37" max="45" width="6.81640625" customWidth="1"/>
  </cols>
  <sheetData>
    <row r="2" spans="2:30" ht="16" x14ac:dyDescent="0.4">
      <c r="B2" s="38"/>
      <c r="C2" s="38"/>
      <c r="D2" s="38"/>
      <c r="E2" s="38"/>
      <c r="F2" s="39"/>
      <c r="G2" s="98" t="s">
        <v>3</v>
      </c>
      <c r="H2" s="99"/>
      <c r="I2" s="99"/>
      <c r="J2" s="99"/>
      <c r="K2" s="99"/>
      <c r="L2" s="99"/>
      <c r="M2" s="99"/>
      <c r="N2" s="99"/>
      <c r="O2" s="100"/>
      <c r="P2" s="38"/>
      <c r="Q2" s="38"/>
      <c r="R2" s="38"/>
      <c r="S2" s="38"/>
      <c r="T2" s="38"/>
      <c r="U2" s="39"/>
      <c r="V2" s="98" t="s">
        <v>3</v>
      </c>
      <c r="W2" s="99"/>
      <c r="X2" s="99"/>
      <c r="Y2" s="99"/>
      <c r="Z2" s="99"/>
      <c r="AA2" s="99"/>
      <c r="AB2" s="99"/>
      <c r="AC2" s="99"/>
      <c r="AD2" s="100"/>
    </row>
    <row r="3" spans="2:30" ht="32" x14ac:dyDescent="0.4">
      <c r="B3" s="40" t="s">
        <v>30</v>
      </c>
      <c r="C3" s="40" t="s">
        <v>30</v>
      </c>
      <c r="D3" s="41" t="s">
        <v>106</v>
      </c>
      <c r="E3" s="42" t="s">
        <v>131</v>
      </c>
      <c r="F3" s="41" t="s">
        <v>106</v>
      </c>
      <c r="G3" s="43" t="s">
        <v>0</v>
      </c>
      <c r="H3" s="44" t="s">
        <v>108</v>
      </c>
      <c r="I3" s="42" t="s">
        <v>137</v>
      </c>
      <c r="J3" s="43" t="s">
        <v>1</v>
      </c>
      <c r="K3" s="44" t="s">
        <v>109</v>
      </c>
      <c r="L3" s="42" t="s">
        <v>137</v>
      </c>
      <c r="M3" s="43" t="s">
        <v>2</v>
      </c>
      <c r="N3" s="44" t="s">
        <v>110</v>
      </c>
      <c r="O3" s="42" t="s">
        <v>137</v>
      </c>
      <c r="P3" s="38"/>
      <c r="Q3" s="40" t="s">
        <v>30</v>
      </c>
      <c r="R3" s="45" t="s">
        <v>30</v>
      </c>
      <c r="S3" s="46" t="s">
        <v>106</v>
      </c>
      <c r="T3" s="42" t="s">
        <v>131</v>
      </c>
      <c r="U3" s="41" t="s">
        <v>106</v>
      </c>
      <c r="V3" s="43" t="s">
        <v>0</v>
      </c>
      <c r="W3" s="44" t="s">
        <v>108</v>
      </c>
      <c r="X3" s="42" t="s">
        <v>137</v>
      </c>
      <c r="Y3" s="43" t="s">
        <v>1</v>
      </c>
      <c r="Z3" s="44" t="s">
        <v>109</v>
      </c>
      <c r="AA3" s="42" t="s">
        <v>107</v>
      </c>
      <c r="AB3" s="43" t="s">
        <v>2</v>
      </c>
      <c r="AC3" s="44" t="s">
        <v>110</v>
      </c>
      <c r="AD3" s="42" t="s">
        <v>137</v>
      </c>
    </row>
    <row r="4" spans="2:30" ht="14.5" customHeight="1" x14ac:dyDescent="0.4">
      <c r="B4" s="101" t="s">
        <v>112</v>
      </c>
      <c r="C4" s="103" t="s">
        <v>37</v>
      </c>
      <c r="D4" s="38" t="s">
        <v>38</v>
      </c>
      <c r="E4" s="38"/>
      <c r="F4" s="47" t="s">
        <v>87</v>
      </c>
      <c r="G4" s="48">
        <f>((SUMIFS(SSP1_Baseline!$E:$E,SSP1_Baseline!$C:$C,Results_list!$C$4,SSP1_Baseline!$D:$D,Results_list!$D4,SSP1_Baseline!$B:$B,2040))
- (SUMIFS(SSP1_Baseline!$E:$E,SSP1_Baseline!$C:$C,Results_list!$C$4,SSP1_Baseline!$D:$D,Results_list!$D4,SSP1_Baseline!$B:$B,2025)))
/ (SUMIFS(SSP1_Baseline!$E:$E,SSP1_Baseline!$C:$C,Results_list!$C$4,SSP1_Baseline!$D:$D,Results_list!$D4,SSP1_Baseline!$B:$B,2025))</f>
        <v>-8.6069653521533618E-2</v>
      </c>
      <c r="H4" s="49">
        <f>((SUMIFS(SSP1_VSI!$F:$F,SSP1_VSI!$C:$C,Results_list!$C$4,SSP1_VSI!$D:$D,Results_list!$D4,SSP1_VSI!$B:$B,2040))
- (SUMIFS(SSP1_VSI!$F:$F,SSP1_VSI!$C:$C,Results_list!$C$4,SSP1_VSI!$D:$D,Results_list!$D4,SSP1_VSI!$B:$B,2025)))
/ (SUMIFS(SSP1_VSI!$F:$F,SSP1_VSI!$C:$C,Results_list!$C$4,SSP1_VSI!$D:$D,Results_list!$D4,SSP1_VSI!$B:$B,2025))</f>
        <v>-0.32276357621244844</v>
      </c>
      <c r="I4" s="50">
        <f>ROUND(H4-G4,2)</f>
        <v>-0.24</v>
      </c>
      <c r="J4" s="48">
        <f>((SUMIFS(SSP2_Baseline!$E:$E,SSP2_Baseline!$C:$C,Results_list!$C$4,SSP2_Baseline!$D:$D,Results_list!$D4,SSP2_Baseline!$B:$B,2040))
- (SUMIFS(SSP2_Baseline!$E:$E,SSP2_Baseline!$C:$C,Results_list!$C$4,SSP2_Baseline!$D:$D,Results_list!$D4,SSP2_Baseline!$B:$B,2025)))
/ (SUMIFS(SSP2_Baseline!$E:$E,SSP2_Baseline!$C:$C,Results_list!$C$4,SSP2_Baseline!$D:$D,Results_list!$D4,SSP2_Baseline!$B:$B,2025))</f>
        <v>0.32899822980057986</v>
      </c>
      <c r="K4" s="49">
        <f>((SUMIFS(SSP2_VSI!$F:$F,SSP2_VSI!$C:$C,Results_list!$C$4,SSP2_VSI!$D:$D,Results_list!$D4,SSP2_VSI!$B:$B,2040))
- (SUMIFS(SSP2_VSI!$F:$F,SSP2_VSI!$C:$C,Results_list!$C$4,SSP2_VSI!$D:$D,Results_list!$D4,SSP2_VSI!$B:$B,2025)))
/ (SUMIFS(SSP2_VSI!$F:$F,SSP2_VSI!$C:$C,Results_list!$C$4,SSP2_VSI!$D:$D,Results_list!$D4,SSP2_VSI!$B:$B,2025))</f>
        <v>-0.12398301590718751</v>
      </c>
      <c r="L4" s="50">
        <f>ROUND(K4-J4,2)</f>
        <v>-0.45</v>
      </c>
      <c r="M4" s="48">
        <f>((SUMIFS(SSP5_Baseline!$E:$E,SSP5_Baseline!$C:$C,Results_list!$C$4,SSP5_Baseline!$D:$D,Results_list!$D4,SSP5_Baseline!$B:$B,2040))
- (SUMIFS(SSP5_Baseline!$E:$E,SSP5_Baseline!$C:$C,Results_list!$C$4,SSP5_Baseline!$D:$D,Results_list!$D4,SSP5_Baseline!$B:$B,2025)))
/ (SUMIFS(SSP5_Baseline!$E:$E,SSP5_Baseline!$C:$C,Results_list!$C$4,SSP5_Baseline!$D:$D,Results_list!$D4,SSP5_Baseline!$B:$B,2025))</f>
        <v>0.53114617735533221</v>
      </c>
      <c r="N4" s="49">
        <f>((SUMIFS(SSP5_VSI!$F:$F,SSP5_VSI!$C:$C,Results_list!$C$4,SSP5_VSI!$D:$D,Results_list!$D4,SSP5_VSI!$B:$B,2040))
- (SUMIFS(SSP5_VSI!$F:$F,SSP5_VSI!$C:$C,Results_list!$C$4,SSP5_VSI!$D:$D,Results_list!$D4,SSP5_VSI!$B:$B,2025)))
/ (SUMIFS(SSP5_VSI!$F:$F,SSP5_VSI!$C:$C,Results_list!$C$4,SSP5_VSI!$D:$D,Results_list!$D4,SSP5_VSI!$B:$B,2025))</f>
        <v>5.6086358340901081E-2</v>
      </c>
      <c r="O4" s="50">
        <f>ROUND(N4-M4,2)</f>
        <v>-0.48</v>
      </c>
      <c r="P4" s="38"/>
      <c r="Q4" s="105" t="s">
        <v>118</v>
      </c>
      <c r="R4" s="106" t="s">
        <v>69</v>
      </c>
      <c r="S4" s="38" t="s">
        <v>38</v>
      </c>
      <c r="T4" s="51" t="s">
        <v>70</v>
      </c>
      <c r="U4" s="68" t="s">
        <v>87</v>
      </c>
      <c r="V4" s="48">
        <v>0.12819002755658629</v>
      </c>
      <c r="W4" s="49">
        <v>0.12815858545843412</v>
      </c>
      <c r="X4" s="50">
        <f>ROUND(W4-V4,3)</f>
        <v>0</v>
      </c>
      <c r="Y4" s="48">
        <v>0.99121283183242237</v>
      </c>
      <c r="Z4" s="49">
        <v>0.99141793660952349</v>
      </c>
      <c r="AA4" s="50">
        <f>ROUND(Z4-Y4,2)</f>
        <v>0</v>
      </c>
      <c r="AB4" s="48">
        <v>1.7185949621457326</v>
      </c>
      <c r="AC4" s="49">
        <v>1.7185884871867962</v>
      </c>
      <c r="AD4" s="50">
        <f>ROUND(AC4-AB4,2)</f>
        <v>0</v>
      </c>
    </row>
    <row r="5" spans="2:30" ht="14.5" hidden="1" customHeight="1" x14ac:dyDescent="0.4">
      <c r="B5" s="101"/>
      <c r="C5" s="103"/>
      <c r="D5" s="38" t="s">
        <v>40</v>
      </c>
      <c r="E5" s="38"/>
      <c r="F5" s="47" t="s">
        <v>88</v>
      </c>
      <c r="G5" s="48">
        <f>((SUMIFS(SSP1_Baseline!E:E,SSP1_Baseline!C:C,Results_list!$C$4,SSP1_Baseline!D:D,Results_list!D5,SSP1_Baseline!B:B,2040)) - (SUMIFS(SSP1_Baseline!E:E,SSP1_Baseline!C:C,Results_list!$C$4,SSP1_Baseline!D:D,Results_list!D5,SSP1_Baseline!B:B,2025))) / (SUMIFS(SSP1_Baseline!E:E,SSP1_Baseline!C:C,Results_list!$C$4,SSP1_Baseline!D:D,Results_list!D5,SSP1_Baseline!B:B,2025))</f>
        <v>-6.3355466665627122E-2</v>
      </c>
      <c r="H5" s="49">
        <f>((SUMIFS(SSP1_VSI!F:F,SSP1_VSI!C:C,Results_list!$C$4,SSP1_VSI!D:D,Results_list!D5,SSP1_VSI!B:B,2040)) - (SUMIFS(SSP1_VSI!F:F,SSP1_VSI!C:C,Results_list!$C$4,SSP1_VSI!D:D,Results_list!D5,SSP1_VSI!B:B,2025))) / (SUMIFS(SSP1_VSI!F:F,SSP1_VSI!C:C,Results_list!$C$4,SSP1_VSI!D:D,Results_list!D5,SSP1_VSI!B:B,2025))</f>
        <v>-6.3357723827787329E-2</v>
      </c>
      <c r="I5" s="52">
        <f t="shared" ref="I5:I21" si="0">ROUND(H5-G5,2)</f>
        <v>0</v>
      </c>
      <c r="J5" s="48">
        <f>((SUMIFS(SSP2_Baseline!$E:$E,SSP2_Baseline!$C:$C,Results_list!$C$4,SSP2_Baseline!$D:$D,Results_list!$D5,SSP2_Baseline!$B:$B,2040)) - (SUMIFS(SSP2_Baseline!$E:$E,SSP2_Baseline!$C:$C,Results_list!$C$4,SSP2_Baseline!$D:$D,Results_list!$D5,SSP2_Baseline!$B:$B,2025))) / (SUMIFS(SSP2_Baseline!$E:$E,SSP2_Baseline!$C:$C,Results_list!$C$4,SSP2_Baseline!$D:$D,Results_list!$D5,SSP2_Baseline!$B:$B,2025))</f>
        <v>-7.2682945450585443E-2</v>
      </c>
      <c r="K5" s="49">
        <f>((SUMIFS(SSP2_VSI!$F:$F,SSP2_VSI!$C:$C,Results_list!$C$4,SSP2_VSI!$D:$D,Results_list!$D5,SSP2_VSI!$B:$B,2040)) - (SUMIFS(SSP2_VSI!$F:$F,SSP2_VSI!$C:$C,Results_list!$C$4,SSP2_VSI!$D:$D,Results_list!$D5,SSP2_VSI!$B:$B,2025))) / (SUMIFS(SSP2_VSI!$F:$F,SSP2_VSI!$C:$C,Results_list!$C$4,SSP2_VSI!$D:$D,Results_list!$D5,SSP2_VSI!$B:$B,2025))</f>
        <v>-7.2677614610132557E-2</v>
      </c>
      <c r="L5" s="52">
        <f t="shared" ref="L5:L21" si="1">ROUND(K5-J5,2)</f>
        <v>0</v>
      </c>
      <c r="M5" s="48">
        <f>((SUMIFS(SSP5_Baseline!$E:$E,SSP5_Baseline!$C:$C,Results_list!$C$4,SSP5_Baseline!$D:$D,Results_list!$D5,SSP5_Baseline!$B:$B,2040)) - (SUMIFS(SSP5_Baseline!$E:$E,SSP5_Baseline!$C:$C,Results_list!$C$4,SSP5_Baseline!$D:$D,Results_list!$D5,SSP5_Baseline!$B:$B,2025))) / (SUMIFS(SSP5_Baseline!$E:$E,SSP5_Baseline!$C:$C,Results_list!$C$4,SSP5_Baseline!$D:$D,Results_list!$D5,SSP5_Baseline!$B:$B,2025))</f>
        <v>0.16400753336870419</v>
      </c>
      <c r="N5" s="49">
        <f>((SUMIFS(SSP5_VSI!$F:$F,SSP5_VSI!$C:$C,Results_list!$C$4,SSP5_VSI!$D:$D,Results_list!$D5,SSP5_VSI!$B:$B,2040)) - (SUMIFS(SSP5_VSI!$F:$F,SSP5_VSI!$C:$C,Results_list!$C$4,SSP5_VSI!$D:$D,Results_list!$D5,SSP5_VSI!$B:$B,2025))) / (SUMIFS(SSP5_VSI!$F:$F,SSP5_VSI!$C:$C,Results_list!$C$4,SSP5_VSI!$D:$D,Results_list!$D5,SSP5_VSI!$B:$B,2025))</f>
        <v>0.16392899674072381</v>
      </c>
      <c r="O5" s="52">
        <f t="shared" ref="O5:O21" si="2">ROUND(N5-M5,2)</f>
        <v>0</v>
      </c>
      <c r="P5" s="38"/>
      <c r="Q5" s="105"/>
      <c r="R5" s="106"/>
      <c r="S5" s="38" t="s">
        <v>40</v>
      </c>
      <c r="T5" s="53" t="s">
        <v>70</v>
      </c>
      <c r="U5" s="69" t="s">
        <v>88</v>
      </c>
      <c r="V5" s="48">
        <v>2.1470527372672056E-2</v>
      </c>
      <c r="W5" s="49">
        <v>2.1471127560671217E-2</v>
      </c>
      <c r="X5" s="52">
        <f t="shared" ref="X5:X21" si="3">ROUND(W5-V5,3)</f>
        <v>0</v>
      </c>
      <c r="Y5" s="48">
        <v>3.6882941491444567E-3</v>
      </c>
      <c r="Z5" s="49">
        <v>3.6859980255575507E-3</v>
      </c>
      <c r="AA5" s="52">
        <f t="shared" ref="AA5:AA21" si="4">ROUND(Z5-Y5,2)</f>
        <v>0</v>
      </c>
      <c r="AB5" s="48">
        <v>-1.3035471211292572E-2</v>
      </c>
      <c r="AC5" s="49">
        <v>-1.303513274413964E-2</v>
      </c>
      <c r="AD5" s="52">
        <f t="shared" ref="AD5:AD21" si="5">ROUND(AC5-AB5,2)</f>
        <v>0</v>
      </c>
    </row>
    <row r="6" spans="2:30" ht="16" x14ac:dyDescent="0.4">
      <c r="B6" s="101"/>
      <c r="C6" s="103"/>
      <c r="D6" s="38" t="s">
        <v>41</v>
      </c>
      <c r="E6" s="38"/>
      <c r="F6" s="47" t="s">
        <v>89</v>
      </c>
      <c r="G6" s="48">
        <f>((SUMIFS(SSP1_Baseline!E:E,SSP1_Baseline!C:C,Results_list!$C$4,SSP1_Baseline!D:D,Results_list!D6,SSP1_Baseline!B:B,2040)) - (SUMIFS(SSP1_Baseline!E:E,SSP1_Baseline!C:C,Results_list!$C$4,SSP1_Baseline!D:D,Results_list!D6,SSP1_Baseline!B:B,2025))) / (SUMIFS(SSP1_Baseline!E:E,SSP1_Baseline!C:C,Results_list!$C$4,SSP1_Baseline!D:D,Results_list!D6,SSP1_Baseline!B:B,2025))</f>
        <v>-3.2533836499250039E-3</v>
      </c>
      <c r="H6" s="49">
        <f>((SUMIFS(SSP1_VSI!F:F,SSP1_VSI!C:C,Results_list!$C$4,SSP1_VSI!D:D,Results_list!D6,SSP1_VSI!B:B,2040)) - (SUMIFS(SSP1_VSI!F:F,SSP1_VSI!C:C,Results_list!$C$4,SSP1_VSI!D:D,Results_list!D6,SSP1_VSI!B:B,2025))) / (SUMIFS(SSP1_VSI!F:F,SSP1_VSI!C:C,Results_list!$C$4,SSP1_VSI!D:D,Results_list!D6,SSP1_VSI!B:B,2025))</f>
        <v>-0.93631373115846972</v>
      </c>
      <c r="I6" s="52">
        <f t="shared" si="0"/>
        <v>-0.93</v>
      </c>
      <c r="J6" s="48">
        <f>((SUMIFS(SSP2_Baseline!$E:$E,SSP2_Baseline!$C:$C,Results_list!$C$4,SSP2_Baseline!$D:$D,Results_list!$D6,SSP2_Baseline!$B:$B,2040)) - (SUMIFS(SSP2_Baseline!$E:$E,SSP2_Baseline!$C:$C,Results_list!$C$4,SSP2_Baseline!$D:$D,Results_list!$D6,SSP2_Baseline!$B:$B,2025))) / (SUMIFS(SSP2_Baseline!$E:$E,SSP2_Baseline!$C:$C,Results_list!$C$4,SSP2_Baseline!$D:$D,Results_list!$D6,SSP2_Baseline!$B:$B,2025))</f>
        <v>-3.0202638464701414E-3</v>
      </c>
      <c r="K6" s="49">
        <f>((SUMIFS(SSP2_VSI!$F:$F,SSP2_VSI!$C:$C,Results_list!$C$4,SSP2_VSI!$D:$D,Results_list!$D6,SSP2_VSI!$B:$B,2040)) - (SUMIFS(SSP2_VSI!$F:$F,SSP2_VSI!$C:$C,Results_list!$C$4,SSP2_VSI!$D:$D,Results_list!$D6,SSP2_VSI!$B:$B,2025))) / (SUMIFS(SSP2_VSI!$F:$F,SSP2_VSI!$C:$C,Results_list!$C$4,SSP2_VSI!$D:$D,Results_list!$D6,SSP2_VSI!$B:$B,2025))</f>
        <v>-0.93595551546568156</v>
      </c>
      <c r="L6" s="52">
        <f t="shared" si="1"/>
        <v>-0.93</v>
      </c>
      <c r="M6" s="48">
        <f>((SUMIFS(SSP5_Baseline!$E:$E,SSP5_Baseline!$C:$C,Results_list!$C$4,SSP5_Baseline!$D:$D,Results_list!$D6,SSP5_Baseline!$B:$B,2040)) - (SUMIFS(SSP5_Baseline!$E:$E,SSP5_Baseline!$C:$C,Results_list!$C$4,SSP5_Baseline!$D:$D,Results_list!$D6,SSP5_Baseline!$B:$B,2025))) / (SUMIFS(SSP5_Baseline!$E:$E,SSP5_Baseline!$C:$C,Results_list!$C$4,SSP5_Baseline!$D:$D,Results_list!$D6,SSP5_Baseline!$B:$B,2025))</f>
        <v>1.5985024391315618E-4</v>
      </c>
      <c r="N6" s="49">
        <f>((SUMIFS(SSP5_VSI!$F:$F,SSP5_VSI!$C:$C,Results_list!$C$4,SSP5_VSI!$D:$D,Results_list!$D6,SSP5_VSI!$B:$B,2040)) - (SUMIFS(SSP5_VSI!$F:$F,SSP5_VSI!$C:$C,Results_list!$C$4,SSP5_VSI!$D:$D,Results_list!$D6,SSP5_VSI!$B:$B,2025))) / (SUMIFS(SSP5_VSI!$F:$F,SSP5_VSI!$C:$C,Results_list!$C$4,SSP5_VSI!$D:$D,Results_list!$D6,SSP5_VSI!$B:$B,2025))</f>
        <v>-0.93033959721095483</v>
      </c>
      <c r="O6" s="52">
        <f t="shared" si="2"/>
        <v>-0.93</v>
      </c>
      <c r="P6" s="38"/>
      <c r="Q6" s="105"/>
      <c r="R6" s="106"/>
      <c r="S6" s="38" t="s">
        <v>41</v>
      </c>
      <c r="T6" s="53" t="s">
        <v>70</v>
      </c>
      <c r="U6" s="69" t="s">
        <v>89</v>
      </c>
      <c r="V6" s="48">
        <v>-3.3204526721474559E-2</v>
      </c>
      <c r="W6" s="49">
        <v>-3.320552084708437E-2</v>
      </c>
      <c r="X6" s="52">
        <f t="shared" si="3"/>
        <v>0</v>
      </c>
      <c r="Y6" s="48">
        <v>-3.3556698989407129E-2</v>
      </c>
      <c r="Z6" s="49">
        <v>-3.3555639733995772E-2</v>
      </c>
      <c r="AA6" s="52">
        <f t="shared" si="4"/>
        <v>0</v>
      </c>
      <c r="AB6" s="48">
        <v>2.3595759199955733E-2</v>
      </c>
      <c r="AC6" s="49">
        <v>2.3595770158631357E-2</v>
      </c>
      <c r="AD6" s="52">
        <f t="shared" si="5"/>
        <v>0</v>
      </c>
    </row>
    <row r="7" spans="2:30" ht="16" x14ac:dyDescent="0.4">
      <c r="B7" s="101"/>
      <c r="C7" s="103"/>
      <c r="D7" s="38" t="s">
        <v>42</v>
      </c>
      <c r="E7" s="38"/>
      <c r="F7" s="47" t="s">
        <v>90</v>
      </c>
      <c r="G7" s="48">
        <f>((SUMIFS(SSP1_Baseline!E:E,SSP1_Baseline!C:C,Results_list!$C$4,SSP1_Baseline!D:D,Results_list!D7,SSP1_Baseline!B:B,2040)) - (SUMIFS(SSP1_Baseline!E:E,SSP1_Baseline!C:C,Results_list!$C$4,SSP1_Baseline!D:D,Results_list!D7,SSP1_Baseline!B:B,2025))) / (SUMIFS(SSP1_Baseline!E:E,SSP1_Baseline!C:C,Results_list!$C$4,SSP1_Baseline!D:D,Results_list!D7,SSP1_Baseline!B:B,2025))</f>
        <v>-6.3126918008191091E-2</v>
      </c>
      <c r="H7" s="49">
        <f>((SUMIFS(SSP1_VSI!F:F,SSP1_VSI!C:C,Results_list!$C$4,SSP1_VSI!D:D,Results_list!D7,SSP1_VSI!B:B,2040)) - (SUMIFS(SSP1_VSI!F:F,SSP1_VSI!C:C,Results_list!$C$4,SSP1_VSI!D:D,Results_list!D7,SSP1_VSI!B:B,2025))) / (SUMIFS(SSP1_VSI!F:F,SSP1_VSI!C:C,Results_list!$C$4,SSP1_VSI!D:D,Results_list!D7,SSP1_VSI!B:B,2025))</f>
        <v>-0.1841598492953454</v>
      </c>
      <c r="I7" s="52">
        <f t="shared" si="0"/>
        <v>-0.12</v>
      </c>
      <c r="J7" s="48">
        <f>((SUMIFS(SSP2_Baseline!$E:$E,SSP2_Baseline!$C:$C,Results_list!$C$4,SSP2_Baseline!$D:$D,Results_list!$D7,SSP2_Baseline!$B:$B,2040)) - (SUMIFS(SSP2_Baseline!$E:$E,SSP2_Baseline!$C:$C,Results_list!$C$4,SSP2_Baseline!$D:$D,Results_list!$D7,SSP2_Baseline!$B:$B,2025))) / (SUMIFS(SSP2_Baseline!$E:$E,SSP2_Baseline!$C:$C,Results_list!$C$4,SSP2_Baseline!$D:$D,Results_list!$D7,SSP2_Baseline!$B:$B,2025))</f>
        <v>-5.8711920456226273E-2</v>
      </c>
      <c r="K7" s="49">
        <f>((SUMIFS(SSP2_VSI!$F:$F,SSP2_VSI!$C:$C,Results_list!$C$4,SSP2_VSI!$D:$D,Results_list!$D7,SSP2_VSI!$B:$B,2040)) - (SUMIFS(SSP2_VSI!$F:$F,SSP2_VSI!$C:$C,Results_list!$C$4,SSP2_VSI!$D:$D,Results_list!$D7,SSP2_VSI!$B:$B,2025))) / (SUMIFS(SSP2_VSI!$F:$F,SSP2_VSI!$C:$C,Results_list!$C$4,SSP2_VSI!$D:$D,Results_list!$D7,SSP2_VSI!$B:$B,2025))</f>
        <v>-0.17971457572885238</v>
      </c>
      <c r="L7" s="52">
        <f t="shared" si="1"/>
        <v>-0.12</v>
      </c>
      <c r="M7" s="48">
        <f>((SUMIFS(SSP5_Baseline!$E:$E,SSP5_Baseline!$C:$C,Results_list!$C$4,SSP5_Baseline!$D:$D,Results_list!$D7,SSP5_Baseline!$B:$B,2040)) - (SUMIFS(SSP5_Baseline!$E:$E,SSP5_Baseline!$C:$C,Results_list!$C$4,SSP5_Baseline!$D:$D,Results_list!$D7,SSP5_Baseline!$B:$B,2025))) / (SUMIFS(SSP5_Baseline!$E:$E,SSP5_Baseline!$C:$C,Results_list!$C$4,SSP5_Baseline!$D:$D,Results_list!$D7,SSP5_Baseline!$B:$B,2025))</f>
        <v>-5.5562809909781151E-2</v>
      </c>
      <c r="N7" s="49">
        <f>((SUMIFS(SSP5_VSI!$F:$F,SSP5_VSI!$C:$C,Results_list!$C$4,SSP5_VSI!$D:$D,Results_list!$D7,SSP5_VSI!$B:$B,2040)) - (SUMIFS(SSP5_VSI!$F:$F,SSP5_VSI!$C:$C,Results_list!$C$4,SSP5_VSI!$D:$D,Results_list!$D7,SSP5_VSI!$B:$B,2025))) / (SUMIFS(SSP5_VSI!$F:$F,SSP5_VSI!$C:$C,Results_list!$C$4,SSP5_VSI!$D:$D,Results_list!$D7,SSP5_VSI!$B:$B,2025))</f>
        <v>-0.16680077134145846</v>
      </c>
      <c r="O7" s="52">
        <f t="shared" si="2"/>
        <v>-0.11</v>
      </c>
      <c r="P7" s="38"/>
      <c r="Q7" s="105"/>
      <c r="R7" s="106"/>
      <c r="S7" s="38" t="s">
        <v>42</v>
      </c>
      <c r="T7" s="53" t="s">
        <v>70</v>
      </c>
      <c r="U7" s="69" t="s">
        <v>90</v>
      </c>
      <c r="V7" s="48">
        <v>-0.38942720767343308</v>
      </c>
      <c r="W7" s="49">
        <v>-0.38942334307139209</v>
      </c>
      <c r="X7" s="52">
        <f t="shared" si="3"/>
        <v>0</v>
      </c>
      <c r="Y7" s="48">
        <v>-0.32660773323897296</v>
      </c>
      <c r="Z7" s="49">
        <v>-0.32660368178515509</v>
      </c>
      <c r="AA7" s="52">
        <f t="shared" si="4"/>
        <v>0</v>
      </c>
      <c r="AB7" s="48">
        <v>-0.29845293270783407</v>
      </c>
      <c r="AC7" s="49">
        <v>-0.29845194585546891</v>
      </c>
      <c r="AD7" s="52">
        <f t="shared" si="5"/>
        <v>0</v>
      </c>
    </row>
    <row r="8" spans="2:30" ht="16" x14ac:dyDescent="0.4">
      <c r="B8" s="101"/>
      <c r="C8" s="103"/>
      <c r="D8" s="38" t="s">
        <v>43</v>
      </c>
      <c r="E8" s="38"/>
      <c r="F8" s="47" t="s">
        <v>91</v>
      </c>
      <c r="G8" s="48">
        <f>((SUMIFS(SSP1_Baseline!E:E,SSP1_Baseline!C:C,Results_list!$C$4,SSP1_Baseline!D:D,Results_list!D8,SSP1_Baseline!B:B,2040)) - (SUMIFS(SSP1_Baseline!E:E,SSP1_Baseline!C:C,Results_list!$C$4,SSP1_Baseline!D:D,Results_list!D8,SSP1_Baseline!B:B,2025))) / (SUMIFS(SSP1_Baseline!E:E,SSP1_Baseline!C:C,Results_list!$C$4,SSP1_Baseline!D:D,Results_list!D8,SSP1_Baseline!B:B,2025))</f>
        <v>-0.15134480063714914</v>
      </c>
      <c r="H8" s="49">
        <f>((SUMIFS(SSP1_VSI!F:F,SSP1_VSI!C:C,Results_list!$C$4,SSP1_VSI!D:D,Results_list!D8,SSP1_VSI!B:B,2040)) - (SUMIFS(SSP1_VSI!F:F,SSP1_VSI!C:C,Results_list!$C$4,SSP1_VSI!D:D,Results_list!D8,SSP1_VSI!B:B,2025))) / (SUMIFS(SSP1_VSI!F:F,SSP1_VSI!C:C,Results_list!$C$4,SSP1_VSI!D:D,Results_list!D8,SSP1_VSI!B:B,2025))</f>
        <v>-0.19315105134490587</v>
      </c>
      <c r="I8" s="52">
        <f t="shared" si="0"/>
        <v>-0.04</v>
      </c>
      <c r="J8" s="48">
        <f>((SUMIFS(SSP2_Baseline!$E:$E,SSP2_Baseline!$C:$C,Results_list!$C$4,SSP2_Baseline!$D:$D,Results_list!$D8,SSP2_Baseline!$B:$B,2040)) - (SUMIFS(SSP2_Baseline!$E:$E,SSP2_Baseline!$C:$C,Results_list!$C$4,SSP2_Baseline!$D:$D,Results_list!$D8,SSP2_Baseline!$B:$B,2025))) / (SUMIFS(SSP2_Baseline!$E:$E,SSP2_Baseline!$C:$C,Results_list!$C$4,SSP2_Baseline!$D:$D,Results_list!$D8,SSP2_Baseline!$B:$B,2025))</f>
        <v>-0.10974660196101307</v>
      </c>
      <c r="K8" s="49">
        <f>((SUMIFS(SSP2_VSI!$F:$F,SSP2_VSI!$C:$C,Results_list!$C$4,SSP2_VSI!$D:$D,Results_list!$D8,SSP2_VSI!$B:$B,2040)) - (SUMIFS(SSP2_VSI!$F:$F,SSP2_VSI!$C:$C,Results_list!$C$4,SSP2_VSI!$D:$D,Results_list!$D8,SSP2_VSI!$B:$B,2025))) / (SUMIFS(SSP2_VSI!$F:$F,SSP2_VSI!$C:$C,Results_list!$C$4,SSP2_VSI!$D:$D,Results_list!$D8,SSP2_VSI!$B:$B,2025))</f>
        <v>-0.15413151736071526</v>
      </c>
      <c r="L8" s="52">
        <f t="shared" si="1"/>
        <v>-0.04</v>
      </c>
      <c r="M8" s="48">
        <f>((SUMIFS(SSP5_Baseline!$E:$E,SSP5_Baseline!$C:$C,Results_list!$C$4,SSP5_Baseline!$D:$D,Results_list!$D8,SSP5_Baseline!$B:$B,2040)) - (SUMIFS(SSP5_Baseline!$E:$E,SSP5_Baseline!$C:$C,Results_list!$C$4,SSP5_Baseline!$D:$D,Results_list!$D8,SSP5_Baseline!$B:$B,2025))) / (SUMIFS(SSP5_Baseline!$E:$E,SSP5_Baseline!$C:$C,Results_list!$C$4,SSP5_Baseline!$D:$D,Results_list!$D8,SSP5_Baseline!$B:$B,2025))</f>
        <v>-7.4212602663830257E-2</v>
      </c>
      <c r="N8" s="49">
        <f>((SUMIFS(SSP5_VSI!$F:$F,SSP5_VSI!$C:$C,Results_list!$C$4,SSP5_VSI!$D:$D,Results_list!$D8,SSP5_VSI!$B:$B,2040)) - (SUMIFS(SSP5_VSI!$F:$F,SSP5_VSI!$C:$C,Results_list!$C$4,SSP5_VSI!$D:$D,Results_list!$D8,SSP5_VSI!$B:$B,2025))) / (SUMIFS(SSP5_VSI!$F:$F,SSP5_VSI!$C:$C,Results_list!$C$4,SSP5_VSI!$D:$D,Results_list!$D8,SSP5_VSI!$B:$B,2025))</f>
        <v>-0.11293628891954208</v>
      </c>
      <c r="O8" s="52">
        <f t="shared" si="2"/>
        <v>-0.04</v>
      </c>
      <c r="P8" s="38"/>
      <c r="Q8" s="105"/>
      <c r="R8" s="106"/>
      <c r="S8" s="38" t="s">
        <v>43</v>
      </c>
      <c r="T8" s="53" t="s">
        <v>70</v>
      </c>
      <c r="U8" s="69" t="s">
        <v>91</v>
      </c>
      <c r="V8" s="48">
        <v>-5.2854681470181929E-2</v>
      </c>
      <c r="W8" s="49">
        <v>-5.2856064075926905E-2</v>
      </c>
      <c r="X8" s="52">
        <f t="shared" si="3"/>
        <v>0</v>
      </c>
      <c r="Y8" s="48">
        <v>-4.240245335335751E-2</v>
      </c>
      <c r="Z8" s="49">
        <v>-4.2401058664724031E-2</v>
      </c>
      <c r="AA8" s="52">
        <f t="shared" si="4"/>
        <v>0</v>
      </c>
      <c r="AB8" s="48">
        <v>1.1817747750434269E-2</v>
      </c>
      <c r="AC8" s="49">
        <v>1.1818284459221236E-2</v>
      </c>
      <c r="AD8" s="52">
        <f t="shared" si="5"/>
        <v>0</v>
      </c>
    </row>
    <row r="9" spans="2:30" ht="16" x14ac:dyDescent="0.4">
      <c r="B9" s="101"/>
      <c r="C9" s="103"/>
      <c r="D9" s="38" t="s">
        <v>44</v>
      </c>
      <c r="E9" s="38"/>
      <c r="F9" s="47" t="s">
        <v>92</v>
      </c>
      <c r="G9" s="48">
        <f>((SUMIFS(SSP1_Baseline!E:E,SSP1_Baseline!C:C,Results_list!$C$4,SSP1_Baseline!D:D,Results_list!D9,SSP1_Baseline!B:B,2040)) - (SUMIFS(SSP1_Baseline!E:E,SSP1_Baseline!C:C,Results_list!$C$4,SSP1_Baseline!D:D,Results_list!D9,SSP1_Baseline!B:B,2025))) / (SUMIFS(SSP1_Baseline!E:E,SSP1_Baseline!C:C,Results_list!$C$4,SSP1_Baseline!D:D,Results_list!D9,SSP1_Baseline!B:B,2025))</f>
        <v>-8.3937643411941945E-2</v>
      </c>
      <c r="H9" s="49">
        <f>((SUMIFS(SSP1_VSI!F:F,SSP1_VSI!C:C,Results_list!$C$4,SSP1_VSI!D:D,Results_list!D9,SSP1_VSI!B:B,2040)) - (SUMIFS(SSP1_VSI!F:F,SSP1_VSI!C:C,Results_list!$C$4,SSP1_VSI!D:D,Results_list!D9,SSP1_VSI!B:B,2025))) / (SUMIFS(SSP1_VSI!F:F,SSP1_VSI!C:C,Results_list!$C$4,SSP1_VSI!D:D,Results_list!D9,SSP1_VSI!B:B,2025))</f>
        <v>-9.6716074514266212E-2</v>
      </c>
      <c r="I9" s="52">
        <f t="shared" si="0"/>
        <v>-0.01</v>
      </c>
      <c r="J9" s="48">
        <f>((SUMIFS(SSP2_Baseline!$E:$E,SSP2_Baseline!$C:$C,Results_list!$C$4,SSP2_Baseline!$D:$D,Results_list!$D9,SSP2_Baseline!$B:$B,2040)) - (SUMIFS(SSP2_Baseline!$E:$E,SSP2_Baseline!$C:$C,Results_list!$C$4,SSP2_Baseline!$D:$D,Results_list!$D9,SSP2_Baseline!$B:$B,2025))) / (SUMIFS(SSP2_Baseline!$E:$E,SSP2_Baseline!$C:$C,Results_list!$C$4,SSP2_Baseline!$D:$D,Results_list!$D9,SSP2_Baseline!$B:$B,2025))</f>
        <v>-6.695730361662125E-2</v>
      </c>
      <c r="K9" s="49">
        <f>((SUMIFS(SSP2_VSI!$F:$F,SSP2_VSI!$C:$C,Results_list!$C$4,SSP2_VSI!$D:$D,Results_list!$D9,SSP2_VSI!$B:$B,2040)) - (SUMIFS(SSP2_VSI!$F:$F,SSP2_VSI!$C:$C,Results_list!$C$4,SSP2_VSI!$D:$D,Results_list!$D9,SSP2_VSI!$B:$B,2025))) / (SUMIFS(SSP2_VSI!$F:$F,SSP2_VSI!$C:$C,Results_list!$C$4,SSP2_VSI!$D:$D,Results_list!$D9,SSP2_VSI!$B:$B,2025))</f>
        <v>-7.9768049283650042E-2</v>
      </c>
      <c r="L9" s="52">
        <f t="shared" si="1"/>
        <v>-0.01</v>
      </c>
      <c r="M9" s="48">
        <f>((SUMIFS(SSP5_Baseline!$E:$E,SSP5_Baseline!$C:$C,Results_list!$C$4,SSP5_Baseline!$D:$D,Results_list!$D9,SSP5_Baseline!$B:$B,2040)) - (SUMIFS(SSP5_Baseline!$E:$E,SSP5_Baseline!$C:$C,Results_list!$C$4,SSP5_Baseline!$D:$D,Results_list!$D9,SSP5_Baseline!$B:$B,2025))) / (SUMIFS(SSP5_Baseline!$E:$E,SSP5_Baseline!$C:$C,Results_list!$C$4,SSP5_Baseline!$D:$D,Results_list!$D9,SSP5_Baseline!$B:$B,2025))</f>
        <v>5.0519623931402295E-2</v>
      </c>
      <c r="N9" s="49">
        <f>((SUMIFS(SSP5_VSI!$F:$F,SSP5_VSI!$C:$C,Results_list!$C$4,SSP5_VSI!$D:$D,Results_list!$D9,SSP5_VSI!$B:$B,2040)) - (SUMIFS(SSP5_VSI!$F:$F,SSP5_VSI!$C:$C,Results_list!$C$4,SSP5_VSI!$D:$D,Results_list!$D9,SSP5_VSI!$B:$B,2025))) / (SUMIFS(SSP5_VSI!$F:$F,SSP5_VSI!$C:$C,Results_list!$C$4,SSP5_VSI!$D:$D,Results_list!$D9,SSP5_VSI!$B:$B,2025))</f>
        <v>3.8729879259767924E-2</v>
      </c>
      <c r="O9" s="52">
        <f t="shared" si="2"/>
        <v>-0.01</v>
      </c>
      <c r="P9" s="38"/>
      <c r="Q9" s="105"/>
      <c r="R9" s="106"/>
      <c r="S9" s="38" t="s">
        <v>44</v>
      </c>
      <c r="T9" s="53" t="s">
        <v>70</v>
      </c>
      <c r="U9" s="69" t="s">
        <v>92</v>
      </c>
      <c r="V9" s="48">
        <v>-0.22406776293727093</v>
      </c>
      <c r="W9" s="49">
        <v>-0.2240632820572297</v>
      </c>
      <c r="X9" s="52">
        <f t="shared" si="3"/>
        <v>0</v>
      </c>
      <c r="Y9" s="48">
        <v>-0.18839048630765945</v>
      </c>
      <c r="Z9" s="49">
        <v>-0.18839216644430856</v>
      </c>
      <c r="AA9" s="52">
        <f t="shared" si="4"/>
        <v>0</v>
      </c>
      <c r="AB9" s="48">
        <v>6.6934132884532274E-2</v>
      </c>
      <c r="AC9" s="49">
        <v>6.6930898095943395E-2</v>
      </c>
      <c r="AD9" s="52">
        <f t="shared" si="5"/>
        <v>0</v>
      </c>
    </row>
    <row r="10" spans="2:30" ht="16" x14ac:dyDescent="0.4">
      <c r="B10" s="101"/>
      <c r="C10" s="103"/>
      <c r="D10" s="38" t="s">
        <v>45</v>
      </c>
      <c r="E10" s="38"/>
      <c r="F10" s="47" t="s">
        <v>93</v>
      </c>
      <c r="G10" s="48">
        <f>((SUMIFS(SSP1_Baseline!E:E,SSP1_Baseline!C:C,Results_list!$C$4,SSP1_Baseline!D:D,Results_list!D10,SSP1_Baseline!B:B,2040)) - (SUMIFS(SSP1_Baseline!E:E,SSP1_Baseline!C:C,Results_list!$C$4,SSP1_Baseline!D:D,Results_list!D10,SSP1_Baseline!B:B,2025))) / (SUMIFS(SSP1_Baseline!E:E,SSP1_Baseline!C:C,Results_list!$C$4,SSP1_Baseline!D:D,Results_list!D10,SSP1_Baseline!B:B,2025))</f>
        <v>-3.487092489976037E-3</v>
      </c>
      <c r="H10" s="49">
        <f>((SUMIFS(SSP1_VSI!F:F,SSP1_VSI!C:C,Results_list!$C$4,SSP1_VSI!D:D,Results_list!D10,SSP1_VSI!B:B,2040)) - (SUMIFS(SSP1_VSI!F:F,SSP1_VSI!C:C,Results_list!$C$4,SSP1_VSI!D:D,Results_list!D10,SSP1_VSI!B:B,2025))) / (SUMIFS(SSP1_VSI!F:F,SSP1_VSI!C:C,Results_list!$C$4,SSP1_VSI!D:D,Results_list!D10,SSP1_VSI!B:B,2025))</f>
        <v>-0.9619458748249694</v>
      </c>
      <c r="I10" s="52">
        <f t="shared" si="0"/>
        <v>-0.96</v>
      </c>
      <c r="J10" s="48">
        <f>((SUMIFS(SSP2_Baseline!$E:$E,SSP2_Baseline!$C:$C,Results_list!$C$4,SSP2_Baseline!$D:$D,Results_list!$D10,SSP2_Baseline!$B:$B,2040)) - (SUMIFS(SSP2_Baseline!$E:$E,SSP2_Baseline!$C:$C,Results_list!$C$4,SSP2_Baseline!$D:$D,Results_list!$D10,SSP2_Baseline!$B:$B,2025))) / (SUMIFS(SSP2_Baseline!$E:$E,SSP2_Baseline!$C:$C,Results_list!$C$4,SSP2_Baseline!$D:$D,Results_list!$D10,SSP2_Baseline!$B:$B,2025))</f>
        <v>-3.6665373003454509E-3</v>
      </c>
      <c r="K10" s="49">
        <f>((SUMIFS(SSP2_VSI!$F:$F,SSP2_VSI!$C:$C,Results_list!$C$4,SSP2_VSI!$D:$D,Results_list!$D10,SSP2_VSI!$B:$B,2040)) - (SUMIFS(SSP2_VSI!$F:$F,SSP2_VSI!$C:$C,Results_list!$C$4,SSP2_VSI!$D:$D,Results_list!$D10,SSP2_VSI!$B:$B,2025))) / (SUMIFS(SSP2_VSI!$F:$F,SSP2_VSI!$C:$C,Results_list!$C$4,SSP2_VSI!$D:$D,Results_list!$D10,SSP2_VSI!$B:$B,2025))</f>
        <v>-0.96246239346716256</v>
      </c>
      <c r="L10" s="52">
        <f t="shared" si="1"/>
        <v>-0.96</v>
      </c>
      <c r="M10" s="48">
        <f>((SUMIFS(SSP5_Baseline!$E:$E,SSP5_Baseline!$C:$C,Results_list!$C$4,SSP5_Baseline!$D:$D,Results_list!$D10,SSP5_Baseline!$B:$B,2040)) - (SUMIFS(SSP5_Baseline!$E:$E,SSP5_Baseline!$C:$C,Results_list!$C$4,SSP5_Baseline!$D:$D,Results_list!$D10,SSP5_Baseline!$B:$B,2025))) / (SUMIFS(SSP5_Baseline!$E:$E,SSP5_Baseline!$C:$C,Results_list!$C$4,SSP5_Baseline!$D:$D,Results_list!$D10,SSP5_Baseline!$B:$B,2025))</f>
        <v>-3.9762496959901842E-3</v>
      </c>
      <c r="N10" s="49">
        <f>((SUMIFS(SSP5_VSI!$F:$F,SSP5_VSI!$C:$C,Results_list!$C$4,SSP5_VSI!$D:$D,Results_list!$D10,SSP5_VSI!$B:$B,2040)) - (SUMIFS(SSP5_VSI!$F:$F,SSP5_VSI!$C:$C,Results_list!$C$4,SSP5_VSI!$D:$D,Results_list!$D10,SSP5_VSI!$B:$B,2025))) / (SUMIFS(SSP5_VSI!$F:$F,SSP5_VSI!$C:$C,Results_list!$C$4,SSP5_VSI!$D:$D,Results_list!$D10,SSP5_VSI!$B:$B,2025))</f>
        <v>-0.95862539567701177</v>
      </c>
      <c r="O10" s="52">
        <f t="shared" si="2"/>
        <v>-0.95</v>
      </c>
      <c r="P10" s="38"/>
      <c r="Q10" s="105"/>
      <c r="R10" s="106"/>
      <c r="S10" s="38" t="s">
        <v>45</v>
      </c>
      <c r="T10" s="53" t="s">
        <v>70</v>
      </c>
      <c r="U10" s="69" t="s">
        <v>93</v>
      </c>
      <c r="V10" s="48">
        <v>-3.6113124795194374E-3</v>
      </c>
      <c r="W10" s="49">
        <v>-0.90426254883324975</v>
      </c>
      <c r="X10" s="52">
        <f t="shared" si="3"/>
        <v>-0.90100000000000002</v>
      </c>
      <c r="Y10" s="48">
        <v>-3.6383539802948362E-3</v>
      </c>
      <c r="Z10" s="49">
        <v>-0.90382611675157731</v>
      </c>
      <c r="AA10" s="52">
        <f t="shared" si="4"/>
        <v>-0.9</v>
      </c>
      <c r="AB10" s="48">
        <v>-6.6750603104835302E-4</v>
      </c>
      <c r="AC10" s="49">
        <v>-0.90238047274081734</v>
      </c>
      <c r="AD10" s="52">
        <f t="shared" si="5"/>
        <v>-0.9</v>
      </c>
    </row>
    <row r="11" spans="2:30" ht="14.5" hidden="1" customHeight="1" x14ac:dyDescent="0.4">
      <c r="B11" s="101"/>
      <c r="C11" s="103"/>
      <c r="D11" s="38" t="s">
        <v>46</v>
      </c>
      <c r="E11" s="38"/>
      <c r="F11" s="47" t="s">
        <v>94</v>
      </c>
      <c r="G11" s="48">
        <f>((SUMIFS(SSP1_Baseline!E:E,SSP1_Baseline!C:C,Results_list!$C$4,SSP1_Baseline!D:D,Results_list!D11,SSP1_Baseline!B:B,2040)) - (SUMIFS(SSP1_Baseline!E:E,SSP1_Baseline!C:C,Results_list!$C$4,SSP1_Baseline!D:D,Results_list!D11,SSP1_Baseline!B:B,2025))) / (SUMIFS(SSP1_Baseline!E:E,SSP1_Baseline!C:C,Results_list!$C$4,SSP1_Baseline!D:D,Results_list!D11,SSP1_Baseline!B:B,2025))</f>
        <v>0.65037747794377565</v>
      </c>
      <c r="H11" s="49">
        <f>((SUMIFS(SSP1_VSI!F:F,SSP1_VSI!C:C,Results_list!$C$4,SSP1_VSI!D:D,Results_list!D11,SSP1_VSI!B:B,2040)) - (SUMIFS(SSP1_VSI!F:F,SSP1_VSI!C:C,Results_list!$C$4,SSP1_VSI!D:D,Results_list!D11,SSP1_VSI!B:B,2025))) / (SUMIFS(SSP1_VSI!F:F,SSP1_VSI!C:C,Results_list!$C$4,SSP1_VSI!D:D,Results_list!D11,SSP1_VSI!B:B,2025))</f>
        <v>0.65044170599884776</v>
      </c>
      <c r="I11" s="52">
        <f t="shared" si="0"/>
        <v>0</v>
      </c>
      <c r="J11" s="48">
        <f>((SUMIFS(SSP2_Baseline!$E:$E,SSP2_Baseline!$C:$C,Results_list!$C$4,SSP2_Baseline!$D:$D,Results_list!$D11,SSP2_Baseline!$B:$B,2040)) - (SUMIFS(SSP2_Baseline!$E:$E,SSP2_Baseline!$C:$C,Results_list!$C$4,SSP2_Baseline!$D:$D,Results_list!$D11,SSP2_Baseline!$B:$B,2025))) / (SUMIFS(SSP2_Baseline!$E:$E,SSP2_Baseline!$C:$C,Results_list!$C$4,SSP2_Baseline!$D:$D,Results_list!$D11,SSP2_Baseline!$B:$B,2025))</f>
        <v>0.58893618015481475</v>
      </c>
      <c r="K11" s="49">
        <f>((SUMIFS(SSP2_VSI!$F:$F,SSP2_VSI!$C:$C,Results_list!$C$4,SSP2_VSI!$D:$D,Results_list!$D11,SSP2_VSI!$B:$B,2040)) - (SUMIFS(SSP2_VSI!$F:$F,SSP2_VSI!$C:$C,Results_list!$C$4,SSP2_VSI!$D:$D,Results_list!$D11,SSP2_VSI!$B:$B,2025))) / (SUMIFS(SSP2_VSI!$F:$F,SSP2_VSI!$C:$C,Results_list!$C$4,SSP2_VSI!$D:$D,Results_list!$D11,SSP2_VSI!$B:$B,2025))</f>
        <v>0.58869787219158842</v>
      </c>
      <c r="L11" s="52">
        <f t="shared" si="1"/>
        <v>0</v>
      </c>
      <c r="M11" s="48">
        <f>((SUMIFS(SSP5_Baseline!$E:$E,SSP5_Baseline!$C:$C,Results_list!$C$4,SSP5_Baseline!$D:$D,Results_list!$D11,SSP5_Baseline!$B:$B,2040)) - (SUMIFS(SSP5_Baseline!$E:$E,SSP5_Baseline!$C:$C,Results_list!$C$4,SSP5_Baseline!$D:$D,Results_list!$D11,SSP5_Baseline!$B:$B,2025))) / (SUMIFS(SSP5_Baseline!$E:$E,SSP5_Baseline!$C:$C,Results_list!$C$4,SSP5_Baseline!$D:$D,Results_list!$D11,SSP5_Baseline!$B:$B,2025))</f>
        <v>0.4091827517863677</v>
      </c>
      <c r="N11" s="49">
        <f>((SUMIFS(SSP5_VSI!$F:$F,SSP5_VSI!$C:$C,Results_list!$C$4,SSP5_VSI!$D:$D,Results_list!$D11,SSP5_VSI!$B:$B,2040)) - (SUMIFS(SSP5_VSI!$F:$F,SSP5_VSI!$C:$C,Results_list!$C$4,SSP5_VSI!$D:$D,Results_list!$D11,SSP5_VSI!$B:$B,2025))) / (SUMIFS(SSP5_VSI!$F:$F,SSP5_VSI!$C:$C,Results_list!$C$4,SSP5_VSI!$D:$D,Results_list!$D11,SSP5_VSI!$B:$B,2025))</f>
        <v>0.40922026392114647</v>
      </c>
      <c r="O11" s="52">
        <f t="shared" si="2"/>
        <v>0</v>
      </c>
      <c r="P11" s="38"/>
      <c r="Q11" s="105"/>
      <c r="R11" s="106"/>
      <c r="S11" s="38" t="s">
        <v>46</v>
      </c>
      <c r="T11" s="53" t="s">
        <v>70</v>
      </c>
      <c r="U11" s="69" t="s">
        <v>94</v>
      </c>
      <c r="V11" s="48">
        <v>2.9746702787028676</v>
      </c>
      <c r="W11" s="49">
        <v>2.9745249815067112</v>
      </c>
      <c r="X11" s="52">
        <f t="shared" si="3"/>
        <v>0</v>
      </c>
      <c r="Y11" s="48">
        <v>3.7986262363645893</v>
      </c>
      <c r="Z11" s="49">
        <v>3.7986999479354093</v>
      </c>
      <c r="AA11" s="52">
        <f t="shared" si="4"/>
        <v>0</v>
      </c>
      <c r="AB11" s="48">
        <v>1.6620475150879968</v>
      </c>
      <c r="AC11" s="49">
        <v>1.6620744627122905</v>
      </c>
      <c r="AD11" s="52">
        <f t="shared" si="5"/>
        <v>0</v>
      </c>
    </row>
    <row r="12" spans="2:30" ht="16" x14ac:dyDescent="0.4">
      <c r="B12" s="101"/>
      <c r="C12" s="103"/>
      <c r="D12" s="38" t="s">
        <v>47</v>
      </c>
      <c r="E12" s="38"/>
      <c r="F12" s="47" t="s">
        <v>95</v>
      </c>
      <c r="G12" s="48">
        <f>((SUMIFS(SSP1_Baseline!E:E,SSP1_Baseline!C:C,Results_list!$C$4,SSP1_Baseline!D:D,Results_list!D12,SSP1_Baseline!B:B,2040)) - (SUMIFS(SSP1_Baseline!E:E,SSP1_Baseline!C:C,Results_list!$C$4,SSP1_Baseline!D:D,Results_list!D12,SSP1_Baseline!B:B,2025))) / (SUMIFS(SSP1_Baseline!E:E,SSP1_Baseline!C:C,Results_list!$C$4,SSP1_Baseline!D:D,Results_list!D12,SSP1_Baseline!B:B,2025))</f>
        <v>-0.23944373045518455</v>
      </c>
      <c r="H12" s="49">
        <f>((SUMIFS(SSP1_VSI!F:F,SSP1_VSI!C:C,Results_list!$C$4,SSP1_VSI!D:D,Results_list!D12,SSP1_VSI!B:B,2040)) - (SUMIFS(SSP1_VSI!F:F,SSP1_VSI!C:C,Results_list!$C$4,SSP1_VSI!D:D,Results_list!D12,SSP1_VSI!B:B,2025))) / (SUMIFS(SSP1_VSI!F:F,SSP1_VSI!C:C,Results_list!$C$4,SSP1_VSI!D:D,Results_list!D12,SSP1_VSI!B:B,2025))</f>
        <v>-0.23941732766949614</v>
      </c>
      <c r="I12" s="52">
        <f t="shared" si="0"/>
        <v>0</v>
      </c>
      <c r="J12" s="48">
        <f>((SUMIFS(SSP2_Baseline!$E:$E,SSP2_Baseline!$C:$C,Results_list!$C$4,SSP2_Baseline!$D:$D,Results_list!$D12,SSP2_Baseline!$B:$B,2040)) - (SUMIFS(SSP2_Baseline!$E:$E,SSP2_Baseline!$C:$C,Results_list!$C$4,SSP2_Baseline!$D:$D,Results_list!$D12,SSP2_Baseline!$B:$B,2025))) / (SUMIFS(SSP2_Baseline!$E:$E,SSP2_Baseline!$C:$C,Results_list!$C$4,SSP2_Baseline!$D:$D,Results_list!$D12,SSP2_Baseline!$B:$B,2025))</f>
        <v>-0.24071121781984242</v>
      </c>
      <c r="K12" s="49">
        <f>((SUMIFS(SSP2_VSI!$F:$F,SSP2_VSI!$C:$C,Results_list!$C$4,SSP2_VSI!$D:$D,Results_list!$D12,SSP2_VSI!$B:$B,2040)) - (SUMIFS(SSP2_VSI!$F:$F,SSP2_VSI!$C:$C,Results_list!$C$4,SSP2_VSI!$D:$D,Results_list!$D12,SSP2_VSI!$B:$B,2025))) / (SUMIFS(SSP2_VSI!$F:$F,SSP2_VSI!$C:$C,Results_list!$C$4,SSP2_VSI!$D:$D,Results_list!$D12,SSP2_VSI!$B:$B,2025))</f>
        <v>-0.24070475593134524</v>
      </c>
      <c r="L12" s="52">
        <f t="shared" si="1"/>
        <v>0</v>
      </c>
      <c r="M12" s="48">
        <f>((SUMIFS(SSP5_Baseline!$E:$E,SSP5_Baseline!$C:$C,Results_list!$C$4,SSP5_Baseline!$D:$D,Results_list!$D12,SSP5_Baseline!$B:$B,2040)) - (SUMIFS(SSP5_Baseline!$E:$E,SSP5_Baseline!$C:$C,Results_list!$C$4,SSP5_Baseline!$D:$D,Results_list!$D12,SSP5_Baseline!$B:$B,2025))) / (SUMIFS(SSP5_Baseline!$E:$E,SSP5_Baseline!$C:$C,Results_list!$C$4,SSP5_Baseline!$D:$D,Results_list!$D12,SSP5_Baseline!$B:$B,2025))</f>
        <v>-0.15345199146129673</v>
      </c>
      <c r="N12" s="49">
        <f>((SUMIFS(SSP5_VSI!$F:$F,SSP5_VSI!$C:$C,Results_list!$C$4,SSP5_VSI!$D:$D,Results_list!$D12,SSP5_VSI!$B:$B,2040)) - (SUMIFS(SSP5_VSI!$F:$F,SSP5_VSI!$C:$C,Results_list!$C$4,SSP5_VSI!$D:$D,Results_list!$D12,SSP5_VSI!$B:$B,2025))) / (SUMIFS(SSP5_VSI!$F:$F,SSP5_VSI!$C:$C,Results_list!$C$4,SSP5_VSI!$D:$D,Results_list!$D12,SSP5_VSI!$B:$B,2025))</f>
        <v>-0.15335376098452394</v>
      </c>
      <c r="O12" s="52">
        <f t="shared" si="2"/>
        <v>0</v>
      </c>
      <c r="P12" s="38"/>
      <c r="Q12" s="105"/>
      <c r="R12" s="106"/>
      <c r="S12" s="38" t="s">
        <v>47</v>
      </c>
      <c r="T12" s="53" t="s">
        <v>70</v>
      </c>
      <c r="U12" s="69" t="s">
        <v>95</v>
      </c>
      <c r="V12" s="48">
        <v>-0.53995779847985759</v>
      </c>
      <c r="W12" s="49">
        <v>-0.53995663876158162</v>
      </c>
      <c r="X12" s="52">
        <f t="shared" si="3"/>
        <v>0</v>
      </c>
      <c r="Y12" s="48">
        <v>-0.44165487076059262</v>
      </c>
      <c r="Z12" s="49">
        <v>-0.44165440314655352</v>
      </c>
      <c r="AA12" s="52">
        <f t="shared" si="4"/>
        <v>0</v>
      </c>
      <c r="AB12" s="48">
        <v>-0.45120247687638648</v>
      </c>
      <c r="AC12" s="49">
        <v>-0.4512019843467206</v>
      </c>
      <c r="AD12" s="52">
        <f t="shared" si="5"/>
        <v>0</v>
      </c>
    </row>
    <row r="13" spans="2:30" ht="14.5" hidden="1" customHeight="1" x14ac:dyDescent="0.4">
      <c r="B13" s="101"/>
      <c r="C13" s="103"/>
      <c r="D13" s="38" t="s">
        <v>48</v>
      </c>
      <c r="E13" s="38"/>
      <c r="F13" s="47" t="s">
        <v>96</v>
      </c>
      <c r="G13" s="48">
        <f>((SUMIFS(SSP1_Baseline!E:E,SSP1_Baseline!C:C,Results_list!$C$4,SSP1_Baseline!D:D,Results_list!D13,SSP1_Baseline!B:B,2040)) - (SUMIFS(SSP1_Baseline!E:E,SSP1_Baseline!C:C,Results_list!$C$4,SSP1_Baseline!D:D,Results_list!D13,SSP1_Baseline!B:B,2025))) / (SUMIFS(SSP1_Baseline!E:E,SSP1_Baseline!C:C,Results_list!$C$4,SSP1_Baseline!D:D,Results_list!D13,SSP1_Baseline!B:B,2025))</f>
        <v>1.8348860162558774E-4</v>
      </c>
      <c r="H13" s="49">
        <f>((SUMIFS(SSP1_VSI!F:F,SSP1_VSI!C:C,Results_list!$C$4,SSP1_VSI!D:D,Results_list!D13,SSP1_VSI!B:B,2040)) - (SUMIFS(SSP1_VSI!F:F,SSP1_VSI!C:C,Results_list!$C$4,SSP1_VSI!D:D,Results_list!D13,SSP1_VSI!B:B,2025))) / (SUMIFS(SSP1_VSI!F:F,SSP1_VSI!C:C,Results_list!$C$4,SSP1_VSI!D:D,Results_list!D13,SSP1_VSI!B:B,2025))</f>
        <v>1.83561586518659E-4</v>
      </c>
      <c r="I13" s="52">
        <f t="shared" si="0"/>
        <v>0</v>
      </c>
      <c r="J13" s="48">
        <f>((SUMIFS(SSP2_Baseline!$E:$E,SSP2_Baseline!$C:$C,Results_list!$C$4,SSP2_Baseline!$D:$D,Results_list!$D13,SSP2_Baseline!$B:$B,2040)) - (SUMIFS(SSP2_Baseline!$E:$E,SSP2_Baseline!$C:$C,Results_list!$C$4,SSP2_Baseline!$D:$D,Results_list!$D13,SSP2_Baseline!$B:$B,2025))) / (SUMIFS(SSP2_Baseline!$E:$E,SSP2_Baseline!$C:$C,Results_list!$C$4,SSP2_Baseline!$D:$D,Results_list!$D13,SSP2_Baseline!$B:$B,2025))</f>
        <v>1.1073193351583498E-4</v>
      </c>
      <c r="K13" s="49">
        <f>((SUMIFS(SSP2_VSI!$F:$F,SSP2_VSI!$C:$C,Results_list!$C$4,SSP2_VSI!$D:$D,Results_list!$D13,SSP2_VSI!$B:$B,2040)) - (SUMIFS(SSP2_VSI!$F:$F,SSP2_VSI!$C:$C,Results_list!$C$4,SSP2_VSI!$D:$D,Results_list!$D13,SSP2_VSI!$B:$B,2025))) / (SUMIFS(SSP2_VSI!$F:$F,SSP2_VSI!$C:$C,Results_list!$C$4,SSP2_VSI!$D:$D,Results_list!$D13,SSP2_VSI!$B:$B,2025))</f>
        <v>1.1065093343984355E-4</v>
      </c>
      <c r="L13" s="52">
        <f t="shared" si="1"/>
        <v>0</v>
      </c>
      <c r="M13" s="48">
        <f>((SUMIFS(SSP5_Baseline!$E:$E,SSP5_Baseline!$C:$C,Results_list!$C$4,SSP5_Baseline!$D:$D,Results_list!$D13,SSP5_Baseline!$B:$B,2040)) - (SUMIFS(SSP5_Baseline!$E:$E,SSP5_Baseline!$C:$C,Results_list!$C$4,SSP5_Baseline!$D:$D,Results_list!$D13,SSP5_Baseline!$B:$B,2025))) / (SUMIFS(SSP5_Baseline!$E:$E,SSP5_Baseline!$C:$C,Results_list!$C$4,SSP5_Baseline!$D:$D,Results_list!$D13,SSP5_Baseline!$B:$B,2025))</f>
        <v>4.3000304427371353E-4</v>
      </c>
      <c r="N13" s="49">
        <f>((SUMIFS(SSP5_VSI!$F:$F,SSP5_VSI!$C:$C,Results_list!$C$4,SSP5_VSI!$D:$D,Results_list!$D13,SSP5_VSI!$B:$B,2040)) - (SUMIFS(SSP5_VSI!$F:$F,SSP5_VSI!$C:$C,Results_list!$C$4,SSP5_VSI!$D:$D,Results_list!$D13,SSP5_VSI!$B:$B,2025))) / (SUMIFS(SSP5_VSI!$F:$F,SSP5_VSI!$C:$C,Results_list!$C$4,SSP5_VSI!$D:$D,Results_list!$D13,SSP5_VSI!$B:$B,2025))</f>
        <v>4.3012339507401455E-4</v>
      </c>
      <c r="O13" s="52">
        <f t="shared" si="2"/>
        <v>0</v>
      </c>
      <c r="P13" s="38"/>
      <c r="Q13" s="105"/>
      <c r="R13" s="106"/>
      <c r="S13" s="38" t="s">
        <v>48</v>
      </c>
      <c r="T13" s="53" t="s">
        <v>70</v>
      </c>
      <c r="U13" s="69" t="s">
        <v>96</v>
      </c>
      <c r="V13" s="48">
        <v>1.9241660821705858E-3</v>
      </c>
      <c r="W13" s="49">
        <v>1.928764922913077E-3</v>
      </c>
      <c r="X13" s="52">
        <f t="shared" si="3"/>
        <v>0</v>
      </c>
      <c r="Y13" s="48">
        <v>-2.0030564196046968E-2</v>
      </c>
      <c r="Z13" s="49">
        <v>-2.0030105088713324E-2</v>
      </c>
      <c r="AA13" s="52">
        <f t="shared" si="4"/>
        <v>0</v>
      </c>
      <c r="AB13" s="48">
        <v>-2.3469189282587E-2</v>
      </c>
      <c r="AC13" s="49">
        <v>-2.3468559575904217E-2</v>
      </c>
      <c r="AD13" s="52">
        <f t="shared" si="5"/>
        <v>0</v>
      </c>
    </row>
    <row r="14" spans="2:30" ht="16" x14ac:dyDescent="0.4">
      <c r="B14" s="101"/>
      <c r="C14" s="103"/>
      <c r="D14" s="38" t="s">
        <v>49</v>
      </c>
      <c r="E14" s="38"/>
      <c r="F14" s="47" t="s">
        <v>97</v>
      </c>
      <c r="G14" s="48">
        <f>((SUMIFS(SSP1_Baseline!E:E,SSP1_Baseline!C:C,Results_list!$C$4,SSP1_Baseline!D:D,Results_list!D14,SSP1_Baseline!B:B,2040)) - (SUMIFS(SSP1_Baseline!E:E,SSP1_Baseline!C:C,Results_list!$C$4,SSP1_Baseline!D:D,Results_list!D14,SSP1_Baseline!B:B,2025))) / (SUMIFS(SSP1_Baseline!E:E,SSP1_Baseline!C:C,Results_list!$C$4,SSP1_Baseline!D:D,Results_list!D14,SSP1_Baseline!B:B,2025))</f>
        <v>-1.7032690111033206E-3</v>
      </c>
      <c r="H14" s="49">
        <f>((SUMIFS(SSP1_VSI!F:F,SSP1_VSI!C:C,Results_list!$C$4,SSP1_VSI!D:D,Results_list!D14,SSP1_VSI!B:B,2040)) - (SUMIFS(SSP1_VSI!F:F,SSP1_VSI!C:C,Results_list!$C$4,SSP1_VSI!D:D,Results_list!D14,SSP1_VSI!B:B,2025))) / (SUMIFS(SSP1_VSI!F:F,SSP1_VSI!C:C,Results_list!$C$4,SSP1_VSI!D:D,Results_list!D14,SSP1_VSI!B:B,2025))</f>
        <v>-0.96570455895753693</v>
      </c>
      <c r="I14" s="52">
        <f t="shared" si="0"/>
        <v>-0.96</v>
      </c>
      <c r="J14" s="48">
        <f>((SUMIFS(SSP2_Baseline!$E:$E,SSP2_Baseline!$C:$C,Results_list!$C$4,SSP2_Baseline!$D:$D,Results_list!$D14,SSP2_Baseline!$B:$B,2040)) - (SUMIFS(SSP2_Baseline!$E:$E,SSP2_Baseline!$C:$C,Results_list!$C$4,SSP2_Baseline!$D:$D,Results_list!$D14,SSP2_Baseline!$B:$B,2025))) / (SUMIFS(SSP2_Baseline!$E:$E,SSP2_Baseline!$C:$C,Results_list!$C$4,SSP2_Baseline!$D:$D,Results_list!$D14,SSP2_Baseline!$B:$B,2025))</f>
        <v>-1.7687554323084541E-3</v>
      </c>
      <c r="K14" s="49">
        <f>((SUMIFS(SSP2_VSI!$F:$F,SSP2_VSI!$C:$C,Results_list!$C$4,SSP2_VSI!$D:$D,Results_list!$D14,SSP2_VSI!$B:$B,2040)) - (SUMIFS(SSP2_VSI!$F:$F,SSP2_VSI!$C:$C,Results_list!$C$4,SSP2_VSI!$D:$D,Results_list!$D14,SSP2_VSI!$B:$B,2025))) / (SUMIFS(SSP2_VSI!$F:$F,SSP2_VSI!$C:$C,Results_list!$C$4,SSP2_VSI!$D:$D,Results_list!$D14,SSP2_VSI!$B:$B,2025))</f>
        <v>-0.9659733629035383</v>
      </c>
      <c r="L14" s="52">
        <f t="shared" si="1"/>
        <v>-0.96</v>
      </c>
      <c r="M14" s="48">
        <f>((SUMIFS(SSP5_Baseline!$E:$E,SSP5_Baseline!$C:$C,Results_list!$C$4,SSP5_Baseline!$D:$D,Results_list!$D14,SSP5_Baseline!$B:$B,2040)) - (SUMIFS(SSP5_Baseline!$E:$E,SSP5_Baseline!$C:$C,Results_list!$C$4,SSP5_Baseline!$D:$D,Results_list!$D14,SSP5_Baseline!$B:$B,2025))) / (SUMIFS(SSP5_Baseline!$E:$E,SSP5_Baseline!$C:$C,Results_list!$C$4,SSP5_Baseline!$D:$D,Results_list!$D14,SSP5_Baseline!$B:$B,2025))</f>
        <v>-1.9166263763587858E-3</v>
      </c>
      <c r="N14" s="49">
        <f>((SUMIFS(SSP5_VSI!$F:$F,SSP5_VSI!$C:$C,Results_list!$C$4,SSP5_VSI!$D:$D,Results_list!$D14,SSP5_VSI!$B:$B,2040)) - (SUMIFS(SSP5_VSI!$F:$F,SSP5_VSI!$C:$C,Results_list!$C$4,SSP5_VSI!$D:$D,Results_list!$D14,SSP5_VSI!$B:$B,2025))) / (SUMIFS(SSP5_VSI!$F:$F,SSP5_VSI!$C:$C,Results_list!$C$4,SSP5_VSI!$D:$D,Results_list!$D14,SSP5_VSI!$B:$B,2025))</f>
        <v>-0.9641382634150587</v>
      </c>
      <c r="O14" s="52">
        <f t="shared" si="2"/>
        <v>-0.96</v>
      </c>
      <c r="P14" s="38"/>
      <c r="Q14" s="105"/>
      <c r="R14" s="106"/>
      <c r="S14" s="38" t="s">
        <v>49</v>
      </c>
      <c r="T14" s="53" t="s">
        <v>70</v>
      </c>
      <c r="U14" s="69" t="s">
        <v>97</v>
      </c>
      <c r="V14" s="48">
        <v>-8.2610739615644621E-2</v>
      </c>
      <c r="W14" s="49">
        <v>-8.2611433610744453E-2</v>
      </c>
      <c r="X14" s="52">
        <f t="shared" si="3"/>
        <v>0</v>
      </c>
      <c r="Y14" s="48">
        <v>-7.821555313596272E-2</v>
      </c>
      <c r="Z14" s="49">
        <v>-7.8214383958140274E-2</v>
      </c>
      <c r="AA14" s="52">
        <f t="shared" si="4"/>
        <v>0</v>
      </c>
      <c r="AB14" s="48">
        <v>-7.182475151440975E-3</v>
      </c>
      <c r="AC14" s="49">
        <v>-7.1826630866961266E-3</v>
      </c>
      <c r="AD14" s="52">
        <f t="shared" si="5"/>
        <v>0</v>
      </c>
    </row>
    <row r="15" spans="2:30" ht="14.5" hidden="1" customHeight="1" x14ac:dyDescent="0.4">
      <c r="B15" s="101"/>
      <c r="C15" s="103"/>
      <c r="D15" s="38" t="s">
        <v>50</v>
      </c>
      <c r="E15" s="38"/>
      <c r="F15" s="47" t="s">
        <v>98</v>
      </c>
      <c r="G15" s="48">
        <f>((SUMIFS(SSP1_Baseline!E:E,SSP1_Baseline!C:C,Results_list!$C$4,SSP1_Baseline!D:D,Results_list!D15,SSP1_Baseline!B:B,2040)) - (SUMIFS(SSP1_Baseline!E:E,SSP1_Baseline!C:C,Results_list!$C$4,SSP1_Baseline!D:D,Results_list!D15,SSP1_Baseline!B:B,2025))) / (SUMIFS(SSP1_Baseline!E:E,SSP1_Baseline!C:C,Results_list!$C$4,SSP1_Baseline!D:D,Results_list!D15,SSP1_Baseline!B:B,2025))</f>
        <v>-1.9804362412178592E-2</v>
      </c>
      <c r="H15" s="49">
        <f>((SUMIFS(SSP1_VSI!F:F,SSP1_VSI!C:C,Results_list!$C$4,SSP1_VSI!D:D,Results_list!D15,SSP1_VSI!B:B,2040)) - (SUMIFS(SSP1_VSI!F:F,SSP1_VSI!C:C,Results_list!$C$4,SSP1_VSI!D:D,Results_list!D15,SSP1_VSI!B:B,2025))) / (SUMIFS(SSP1_VSI!F:F,SSP1_VSI!C:C,Results_list!$C$4,SSP1_VSI!D:D,Results_list!D15,SSP1_VSI!B:B,2025))</f>
        <v>-1.9802940730699499E-2</v>
      </c>
      <c r="I15" s="52">
        <f t="shared" si="0"/>
        <v>0</v>
      </c>
      <c r="J15" s="48">
        <f>((SUMIFS(SSP2_Baseline!$E:$E,SSP2_Baseline!$C:$C,Results_list!$C$4,SSP2_Baseline!$D:$D,Results_list!$D15,SSP2_Baseline!$B:$B,2040)) - (SUMIFS(SSP2_Baseline!$E:$E,SSP2_Baseline!$C:$C,Results_list!$C$4,SSP2_Baseline!$D:$D,Results_list!$D15,SSP2_Baseline!$B:$B,2025))) / (SUMIFS(SSP2_Baseline!$E:$E,SSP2_Baseline!$C:$C,Results_list!$C$4,SSP2_Baseline!$D:$D,Results_list!$D15,SSP2_Baseline!$B:$B,2025))</f>
        <v>-3.8794791548672778E-3</v>
      </c>
      <c r="K15" s="49">
        <f>((SUMIFS(SSP2_VSI!$F:$F,SSP2_VSI!$C:$C,Results_list!$C$4,SSP2_VSI!$D:$D,Results_list!$D15,SSP2_VSI!$B:$B,2040)) - (SUMIFS(SSP2_VSI!$F:$F,SSP2_VSI!$C:$C,Results_list!$C$4,SSP2_VSI!$D:$D,Results_list!$D15,SSP2_VSI!$B:$B,2025))) / (SUMIFS(SSP2_VSI!$F:$F,SSP2_VSI!$C:$C,Results_list!$C$4,SSP2_VSI!$D:$D,Results_list!$D15,SSP2_VSI!$B:$B,2025))</f>
        <v>-3.8817101751871183E-3</v>
      </c>
      <c r="L15" s="52">
        <f t="shared" si="1"/>
        <v>0</v>
      </c>
      <c r="M15" s="48">
        <f>((SUMIFS(SSP5_Baseline!$E:$E,SSP5_Baseline!$C:$C,Results_list!$C$4,SSP5_Baseline!$D:$D,Results_list!$D15,SSP5_Baseline!$B:$B,2040)) - (SUMIFS(SSP5_Baseline!$E:$E,SSP5_Baseline!$C:$C,Results_list!$C$4,SSP5_Baseline!$D:$D,Results_list!$D15,SSP5_Baseline!$B:$B,2025))) / (SUMIFS(SSP5_Baseline!$E:$E,SSP5_Baseline!$C:$C,Results_list!$C$4,SSP5_Baseline!$D:$D,Results_list!$D15,SSP5_Baseline!$B:$B,2025))</f>
        <v>8.9564452247395399E-3</v>
      </c>
      <c r="N15" s="49">
        <f>((SUMIFS(SSP5_VSI!$F:$F,SSP5_VSI!$C:$C,Results_list!$C$4,SSP5_VSI!$D:$D,Results_list!$D15,SSP5_VSI!$B:$B,2040)) - (SUMIFS(SSP5_VSI!$F:$F,SSP5_VSI!$C:$C,Results_list!$C$4,SSP5_VSI!$D:$D,Results_list!$D15,SSP5_VSI!$B:$B,2025))) / (SUMIFS(SSP5_VSI!$F:$F,SSP5_VSI!$C:$C,Results_list!$C$4,SSP5_VSI!$D:$D,Results_list!$D15,SSP5_VSI!$B:$B,2025))</f>
        <v>8.9589037270569605E-3</v>
      </c>
      <c r="O15" s="52">
        <f t="shared" si="2"/>
        <v>0</v>
      </c>
      <c r="P15" s="38"/>
      <c r="Q15" s="105"/>
      <c r="R15" s="106"/>
      <c r="S15" s="38" t="s">
        <v>50</v>
      </c>
      <c r="T15" s="53" t="s">
        <v>70</v>
      </c>
      <c r="U15" s="69" t="s">
        <v>98</v>
      </c>
      <c r="V15" s="48">
        <v>-9.4894263156683728E-2</v>
      </c>
      <c r="W15" s="49">
        <v>-9.4894173214071689E-2</v>
      </c>
      <c r="X15" s="52">
        <f t="shared" si="3"/>
        <v>0</v>
      </c>
      <c r="Y15" s="48">
        <v>-8.2887798843620519E-2</v>
      </c>
      <c r="Z15" s="49">
        <v>-8.2887937002564374E-2</v>
      </c>
      <c r="AA15" s="52">
        <f t="shared" si="4"/>
        <v>0</v>
      </c>
      <c r="AB15" s="48">
        <v>-4.1669109306249043E-2</v>
      </c>
      <c r="AC15" s="49">
        <v>-4.1667967066497349E-2</v>
      </c>
      <c r="AD15" s="52">
        <f t="shared" si="5"/>
        <v>0</v>
      </c>
    </row>
    <row r="16" spans="2:30" ht="14.5" hidden="1" customHeight="1" x14ac:dyDescent="0.4">
      <c r="B16" s="101"/>
      <c r="C16" s="103"/>
      <c r="D16" s="38" t="s">
        <v>51</v>
      </c>
      <c r="E16" s="38"/>
      <c r="F16" s="47" t="s">
        <v>99</v>
      </c>
      <c r="G16" s="48">
        <f>((SUMIFS(SSP1_Baseline!E:E,SSP1_Baseline!C:C,Results_list!$C$4,SSP1_Baseline!D:D,Results_list!D16,SSP1_Baseline!B:B,2040)) - (SUMIFS(SSP1_Baseline!E:E,SSP1_Baseline!C:C,Results_list!$C$4,SSP1_Baseline!D:D,Results_list!D16,SSP1_Baseline!B:B,2025))) / (SUMIFS(SSP1_Baseline!E:E,SSP1_Baseline!C:C,Results_list!$C$4,SSP1_Baseline!D:D,Results_list!D16,SSP1_Baseline!B:B,2025))</f>
        <v>-1.0297452963368651E-2</v>
      </c>
      <c r="H16" s="49">
        <f>((SUMIFS(SSP1_VSI!F:F,SSP1_VSI!C:C,Results_list!$C$4,SSP1_VSI!D:D,Results_list!D16,SSP1_VSI!B:B,2040)) - (SUMIFS(SSP1_VSI!F:F,SSP1_VSI!C:C,Results_list!$C$4,SSP1_VSI!D:D,Results_list!D16,SSP1_VSI!B:B,2025))) / (SUMIFS(SSP1_VSI!F:F,SSP1_VSI!C:C,Results_list!$C$4,SSP1_VSI!D:D,Results_list!D16,SSP1_VSI!B:B,2025))</f>
        <v>-1.0305499160051194E-2</v>
      </c>
      <c r="I16" s="52">
        <f t="shared" si="0"/>
        <v>0</v>
      </c>
      <c r="J16" s="48">
        <f>((SUMIFS(SSP2_Baseline!$E:$E,SSP2_Baseline!$C:$C,Results_list!$C$4,SSP2_Baseline!$D:$D,Results_list!$D16,SSP2_Baseline!$B:$B,2040)) - (SUMIFS(SSP2_Baseline!$E:$E,SSP2_Baseline!$C:$C,Results_list!$C$4,SSP2_Baseline!$D:$D,Results_list!$D16,SSP2_Baseline!$B:$B,2025))) / (SUMIFS(SSP2_Baseline!$E:$E,SSP2_Baseline!$C:$C,Results_list!$C$4,SSP2_Baseline!$D:$D,Results_list!$D16,SSP2_Baseline!$B:$B,2025))</f>
        <v>-1.0039133533620917E-2</v>
      </c>
      <c r="K16" s="49">
        <f>((SUMIFS(SSP2_VSI!$F:$F,SSP2_VSI!$C:$C,Results_list!$C$4,SSP2_VSI!$D:$D,Results_list!$D16,SSP2_VSI!$B:$B,2040)) - (SUMIFS(SSP2_VSI!$F:$F,SSP2_VSI!$C:$C,Results_list!$C$4,SSP2_VSI!$D:$D,Results_list!$D16,SSP2_VSI!$B:$B,2025))) / (SUMIFS(SSP2_VSI!$F:$F,SSP2_VSI!$C:$C,Results_list!$C$4,SSP2_VSI!$D:$D,Results_list!$D16,SSP2_VSI!$B:$B,2025))</f>
        <v>-1.0196006714833075E-2</v>
      </c>
      <c r="L16" s="52">
        <f t="shared" si="1"/>
        <v>0</v>
      </c>
      <c r="M16" s="48">
        <f>((SUMIFS(SSP5_Baseline!$E:$E,SSP5_Baseline!$C:$C,Results_list!$C$4,SSP5_Baseline!$D:$D,Results_list!$D16,SSP5_Baseline!$B:$B,2040)) - (SUMIFS(SSP5_Baseline!$E:$E,SSP5_Baseline!$C:$C,Results_list!$C$4,SSP5_Baseline!$D:$D,Results_list!$D16,SSP5_Baseline!$B:$B,2025))) / (SUMIFS(SSP5_Baseline!$E:$E,SSP5_Baseline!$C:$C,Results_list!$C$4,SSP5_Baseline!$D:$D,Results_list!$D16,SSP5_Baseline!$B:$B,2025))</f>
        <v>-3.2423092909227812E-2</v>
      </c>
      <c r="N16" s="49">
        <f>((SUMIFS(SSP5_VSI!$F:$F,SSP5_VSI!$C:$C,Results_list!$C$4,SSP5_VSI!$D:$D,Results_list!$D16,SSP5_VSI!$B:$B,2040)) - (SUMIFS(SSP5_VSI!$F:$F,SSP5_VSI!$C:$C,Results_list!$C$4,SSP5_VSI!$D:$D,Results_list!$D16,SSP5_VSI!$B:$B,2025))) / (SUMIFS(SSP5_VSI!$F:$F,SSP5_VSI!$C:$C,Results_list!$C$4,SSP5_VSI!$D:$D,Results_list!$D16,SSP5_VSI!$B:$B,2025))</f>
        <v>-3.2373522160956299E-2</v>
      </c>
      <c r="O16" s="52">
        <f t="shared" si="2"/>
        <v>0</v>
      </c>
      <c r="P16" s="38"/>
      <c r="Q16" s="105"/>
      <c r="R16" s="106"/>
      <c r="S16" s="38" t="s">
        <v>51</v>
      </c>
      <c r="T16" s="53" t="s">
        <v>70</v>
      </c>
      <c r="U16" s="69" t="s">
        <v>99</v>
      </c>
      <c r="V16" s="48">
        <v>1.3591919457660426E-2</v>
      </c>
      <c r="W16" s="49">
        <v>1.3591313396491439E-2</v>
      </c>
      <c r="X16" s="52">
        <f t="shared" si="3"/>
        <v>0</v>
      </c>
      <c r="Y16" s="48">
        <v>1.5022584642392414E-2</v>
      </c>
      <c r="Z16" s="49">
        <v>1.502616157659057E-2</v>
      </c>
      <c r="AA16" s="52">
        <f t="shared" si="4"/>
        <v>0</v>
      </c>
      <c r="AB16" s="48">
        <v>1.1887637616832558E-3</v>
      </c>
      <c r="AC16" s="49">
        <v>1.187870557162908E-3</v>
      </c>
      <c r="AD16" s="52">
        <f t="shared" si="5"/>
        <v>0</v>
      </c>
    </row>
    <row r="17" spans="2:30" ht="14.5" hidden="1" customHeight="1" x14ac:dyDescent="0.4">
      <c r="B17" s="101"/>
      <c r="C17" s="103"/>
      <c r="D17" s="38" t="s">
        <v>52</v>
      </c>
      <c r="E17" s="38"/>
      <c r="F17" s="47" t="s">
        <v>100</v>
      </c>
      <c r="G17" s="48">
        <f>((SUMIFS(SSP1_Baseline!E:E,SSP1_Baseline!C:C,Results_list!$C$4,SSP1_Baseline!D:D,Results_list!D17,SSP1_Baseline!B:B,2040)) - (SUMIFS(SSP1_Baseline!E:E,SSP1_Baseline!C:C,Results_list!$C$4,SSP1_Baseline!D:D,Results_list!D17,SSP1_Baseline!B:B,2025))) / (SUMIFS(SSP1_Baseline!E:E,SSP1_Baseline!C:C,Results_list!$C$4,SSP1_Baseline!D:D,Results_list!D17,SSP1_Baseline!B:B,2025))</f>
        <v>-0.38610962202992705</v>
      </c>
      <c r="H17" s="49">
        <f>((SUMIFS(SSP1_VSI!F:F,SSP1_VSI!C:C,Results_list!$C$4,SSP1_VSI!D:D,Results_list!D17,SSP1_VSI!B:B,2040)) - (SUMIFS(SSP1_VSI!F:F,SSP1_VSI!C:C,Results_list!$C$4,SSP1_VSI!D:D,Results_list!D17,SSP1_VSI!B:B,2025))) / (SUMIFS(SSP1_VSI!F:F,SSP1_VSI!C:C,Results_list!$C$4,SSP1_VSI!D:D,Results_list!D17,SSP1_VSI!B:B,2025))</f>
        <v>-0.38609509343637083</v>
      </c>
      <c r="I17" s="52">
        <f t="shared" si="0"/>
        <v>0</v>
      </c>
      <c r="J17" s="48">
        <f>((SUMIFS(SSP2_Baseline!$E:$E,SSP2_Baseline!$C:$C,Results_list!$C$4,SSP2_Baseline!$D:$D,Results_list!$D17,SSP2_Baseline!$B:$B,2040)) - (SUMIFS(SSP2_Baseline!$E:$E,SSP2_Baseline!$C:$C,Results_list!$C$4,SSP2_Baseline!$D:$D,Results_list!$D17,SSP2_Baseline!$B:$B,2025))) / (SUMIFS(SSP2_Baseline!$E:$E,SSP2_Baseline!$C:$C,Results_list!$C$4,SSP2_Baseline!$D:$D,Results_list!$D17,SSP2_Baseline!$B:$B,2025))</f>
        <v>-0.40591851644474503</v>
      </c>
      <c r="K17" s="49">
        <f>((SUMIFS(SSP2_VSI!$F:$F,SSP2_VSI!$C:$C,Results_list!$C$4,SSP2_VSI!$D:$D,Results_list!$D17,SSP2_VSI!$B:$B,2040)) - (SUMIFS(SSP2_VSI!$F:$F,SSP2_VSI!$C:$C,Results_list!$C$4,SSP2_VSI!$D:$D,Results_list!$D17,SSP2_VSI!$B:$B,2025))) / (SUMIFS(SSP2_VSI!$F:$F,SSP2_VSI!$C:$C,Results_list!$C$4,SSP2_VSI!$D:$D,Results_list!$D17,SSP2_VSI!$B:$B,2025))</f>
        <v>-0.40589101967549973</v>
      </c>
      <c r="L17" s="52">
        <f t="shared" si="1"/>
        <v>0</v>
      </c>
      <c r="M17" s="48">
        <f>((SUMIFS(SSP5_Baseline!$E:$E,SSP5_Baseline!$C:$C,Results_list!$C$4,SSP5_Baseline!$D:$D,Results_list!$D17,SSP5_Baseline!$B:$B,2040)) - (SUMIFS(SSP5_Baseline!$E:$E,SSP5_Baseline!$C:$C,Results_list!$C$4,SSP5_Baseline!$D:$D,Results_list!$D17,SSP5_Baseline!$B:$B,2025))) / (SUMIFS(SSP5_Baseline!$E:$E,SSP5_Baseline!$C:$C,Results_list!$C$4,SSP5_Baseline!$D:$D,Results_list!$D17,SSP5_Baseline!$B:$B,2025))</f>
        <v>-0.45087768829628938</v>
      </c>
      <c r="N17" s="49">
        <f>((SUMIFS(SSP5_VSI!$F:$F,SSP5_VSI!$C:$C,Results_list!$C$4,SSP5_VSI!$D:$D,Results_list!$D17,SSP5_VSI!$B:$B,2040)) - (SUMIFS(SSP5_VSI!$F:$F,SSP5_VSI!$C:$C,Results_list!$C$4,SSP5_VSI!$D:$D,Results_list!$D17,SSP5_VSI!$B:$B,2025))) / (SUMIFS(SSP5_VSI!$F:$F,SSP5_VSI!$C:$C,Results_list!$C$4,SSP5_VSI!$D:$D,Results_list!$D17,SSP5_VSI!$B:$B,2025))</f>
        <v>-0.45085609277109784</v>
      </c>
      <c r="O17" s="52">
        <f t="shared" si="2"/>
        <v>0</v>
      </c>
      <c r="P17" s="38"/>
      <c r="Q17" s="105"/>
      <c r="R17" s="106"/>
      <c r="S17" s="38" t="s">
        <v>52</v>
      </c>
      <c r="T17" s="53" t="s">
        <v>70</v>
      </c>
      <c r="U17" s="69" t="s">
        <v>100</v>
      </c>
      <c r="V17" s="48">
        <v>-0.43669621603441972</v>
      </c>
      <c r="W17" s="49">
        <v>-0.43669529469117907</v>
      </c>
      <c r="X17" s="52">
        <f t="shared" si="3"/>
        <v>0</v>
      </c>
      <c r="Y17" s="48">
        <v>-0.49533260971357235</v>
      </c>
      <c r="Z17" s="49">
        <v>-0.49533311667203311</v>
      </c>
      <c r="AA17" s="52">
        <f t="shared" si="4"/>
        <v>0</v>
      </c>
      <c r="AB17" s="48">
        <v>-0.57511485339511303</v>
      </c>
      <c r="AC17" s="49">
        <v>-0.57511447919336334</v>
      </c>
      <c r="AD17" s="52">
        <f t="shared" si="5"/>
        <v>0</v>
      </c>
    </row>
    <row r="18" spans="2:30" ht="14.5" hidden="1" customHeight="1" x14ac:dyDescent="0.4">
      <c r="B18" s="101"/>
      <c r="C18" s="103"/>
      <c r="D18" s="38" t="s">
        <v>53</v>
      </c>
      <c r="E18" s="38"/>
      <c r="F18" s="47" t="s">
        <v>101</v>
      </c>
      <c r="G18" s="48">
        <f>((SUMIFS(SSP1_Baseline!E:E,SSP1_Baseline!C:C,Results_list!$C$4,SSP1_Baseline!D:D,Results_list!D18,SSP1_Baseline!B:B,2040)) - (SUMIFS(SSP1_Baseline!E:E,SSP1_Baseline!C:C,Results_list!$C$4,SSP1_Baseline!D:D,Results_list!D18,SSP1_Baseline!B:B,2025))) / (SUMIFS(SSP1_Baseline!E:E,SSP1_Baseline!C:C,Results_list!$C$4,SSP1_Baseline!D:D,Results_list!D18,SSP1_Baseline!B:B,2025))</f>
        <v>-2.1355603736095144E-2</v>
      </c>
      <c r="H18" s="49">
        <f>((SUMIFS(SSP1_VSI!F:F,SSP1_VSI!C:C,Results_list!$C$4,SSP1_VSI!D:D,Results_list!D18,SSP1_VSI!B:B,2040)) - (SUMIFS(SSP1_VSI!F:F,SSP1_VSI!C:C,Results_list!$C$4,SSP1_VSI!D:D,Results_list!D18,SSP1_VSI!B:B,2025))) / (SUMIFS(SSP1_VSI!F:F,SSP1_VSI!C:C,Results_list!$C$4,SSP1_VSI!D:D,Results_list!D18,SSP1_VSI!B:B,2025))</f>
        <v>-2.1375719379803544E-2</v>
      </c>
      <c r="I18" s="52">
        <f t="shared" si="0"/>
        <v>0</v>
      </c>
      <c r="J18" s="48">
        <f>((SUMIFS(SSP2_Baseline!$E:$E,SSP2_Baseline!$C:$C,Results_list!$C$4,SSP2_Baseline!$D:$D,Results_list!$D18,SSP2_Baseline!$B:$B,2040)) - (SUMIFS(SSP2_Baseline!$E:$E,SSP2_Baseline!$C:$C,Results_list!$C$4,SSP2_Baseline!$D:$D,Results_list!$D18,SSP2_Baseline!$B:$B,2025))) / (SUMIFS(SSP2_Baseline!$E:$E,SSP2_Baseline!$C:$C,Results_list!$C$4,SSP2_Baseline!$D:$D,Results_list!$D18,SSP2_Baseline!$B:$B,2025))</f>
        <v>-1.6697304135673222E-2</v>
      </c>
      <c r="K18" s="49">
        <f>((SUMIFS(SSP2_VSI!$F:$F,SSP2_VSI!$C:$C,Results_list!$C$4,SSP2_VSI!$D:$D,Results_list!$D18,SSP2_VSI!$B:$B,2040)) - (SUMIFS(SSP2_VSI!$F:$F,SSP2_VSI!$C:$C,Results_list!$C$4,SSP2_VSI!$D:$D,Results_list!$D18,SSP2_VSI!$B:$B,2025))) / (SUMIFS(SSP2_VSI!$F:$F,SSP2_VSI!$C:$C,Results_list!$C$4,SSP2_VSI!$D:$D,Results_list!$D18,SSP2_VSI!$B:$B,2025))</f>
        <v>-1.6685751672388283E-2</v>
      </c>
      <c r="L18" s="52">
        <f t="shared" si="1"/>
        <v>0</v>
      </c>
      <c r="M18" s="48">
        <f>((SUMIFS(SSP5_Baseline!$E:$E,SSP5_Baseline!$C:$C,Results_list!$C$4,SSP5_Baseline!$D:$D,Results_list!$D18,SSP5_Baseline!$B:$B,2040)) - (SUMIFS(SSP5_Baseline!$E:$E,SSP5_Baseline!$C:$C,Results_list!$C$4,SSP5_Baseline!$D:$D,Results_list!$D18,SSP5_Baseline!$B:$B,2025))) / (SUMIFS(SSP5_Baseline!$E:$E,SSP5_Baseline!$C:$C,Results_list!$C$4,SSP5_Baseline!$D:$D,Results_list!$D18,SSP5_Baseline!$B:$B,2025))</f>
        <v>0.19999220792195258</v>
      </c>
      <c r="N18" s="49">
        <f>((SUMIFS(SSP5_VSI!$F:$F,SSP5_VSI!$C:$C,Results_list!$C$4,SSP5_VSI!$D:$D,Results_list!$D18,SSP5_VSI!$B:$B,2040)) - (SUMIFS(SSP5_VSI!$F:$F,SSP5_VSI!$C:$C,Results_list!$C$4,SSP5_VSI!$D:$D,Results_list!$D18,SSP5_VSI!$B:$B,2025))) / (SUMIFS(SSP5_VSI!$F:$F,SSP5_VSI!$C:$C,Results_list!$C$4,SSP5_VSI!$D:$D,Results_list!$D18,SSP5_VSI!$B:$B,2025))</f>
        <v>0.20001567544801616</v>
      </c>
      <c r="O18" s="52">
        <f t="shared" si="2"/>
        <v>0</v>
      </c>
      <c r="P18" s="38"/>
      <c r="Q18" s="105"/>
      <c r="R18" s="106"/>
      <c r="S18" s="38" t="s">
        <v>53</v>
      </c>
      <c r="T18" s="53" t="s">
        <v>70</v>
      </c>
      <c r="U18" s="69" t="s">
        <v>101</v>
      </c>
      <c r="V18" s="48">
        <v>-0.27818431520705383</v>
      </c>
      <c r="W18" s="49">
        <v>-0.27818296505639317</v>
      </c>
      <c r="X18" s="52">
        <f t="shared" si="3"/>
        <v>0</v>
      </c>
      <c r="Y18" s="48">
        <v>-0.23372774671562335</v>
      </c>
      <c r="Z18" s="49">
        <v>-0.23372631486404521</v>
      </c>
      <c r="AA18" s="52">
        <f t="shared" si="4"/>
        <v>0</v>
      </c>
      <c r="AB18" s="48">
        <v>0.18774754746947186</v>
      </c>
      <c r="AC18" s="49">
        <v>0.18774597456724101</v>
      </c>
      <c r="AD18" s="52">
        <f t="shared" si="5"/>
        <v>0</v>
      </c>
    </row>
    <row r="19" spans="2:30" ht="16" x14ac:dyDescent="0.4">
      <c r="B19" s="101"/>
      <c r="C19" s="103"/>
      <c r="D19" s="38" t="s">
        <v>54</v>
      </c>
      <c r="E19" s="38"/>
      <c r="F19" s="47" t="s">
        <v>102</v>
      </c>
      <c r="G19" s="48">
        <f>((SUMIFS(SSP1_Baseline!E:E,SSP1_Baseline!C:C,Results_list!$C$4,SSP1_Baseline!D:D,Results_list!D19,SSP1_Baseline!B:B,2040)) - (SUMIFS(SSP1_Baseline!E:E,SSP1_Baseline!C:C,Results_list!$C$4,SSP1_Baseline!D:D,Results_list!D19,SSP1_Baseline!B:B,2025))) / (SUMIFS(SSP1_Baseline!E:E,SSP1_Baseline!C:C,Results_list!$C$4,SSP1_Baseline!D:D,Results_list!D19,SSP1_Baseline!B:B,2025))</f>
        <v>-7.5984061157387591E-3</v>
      </c>
      <c r="H19" s="49">
        <f>((SUMIFS(SSP1_VSI!F:F,SSP1_VSI!C:C,Results_list!$C$4,SSP1_VSI!D:D,Results_list!D19,SSP1_VSI!B:B,2040)) - (SUMIFS(SSP1_VSI!F:F,SSP1_VSI!C:C,Results_list!$C$4,SSP1_VSI!D:D,Results_list!D19,SSP1_VSI!B:B,2025))) / (SUMIFS(SSP1_VSI!F:F,SSP1_VSI!C:C,Results_list!$C$4,SSP1_VSI!D:D,Results_list!D19,SSP1_VSI!B:B,2025))</f>
        <v>-7.7902413412381452E-3</v>
      </c>
      <c r="I19" s="52">
        <f t="shared" si="0"/>
        <v>0</v>
      </c>
      <c r="J19" s="48">
        <f>((SUMIFS(SSP2_Baseline!$E:$E,SSP2_Baseline!$C:$C,Results_list!$C$4,SSP2_Baseline!$D:$D,Results_list!$D19,SSP2_Baseline!$B:$B,2040)) - (SUMIFS(SSP2_Baseline!$E:$E,SSP2_Baseline!$C:$C,Results_list!$C$4,SSP2_Baseline!$D:$D,Results_list!$D19,SSP2_Baseline!$B:$B,2025))) / (SUMIFS(SSP2_Baseline!$E:$E,SSP2_Baseline!$C:$C,Results_list!$C$4,SSP2_Baseline!$D:$D,Results_list!$D19,SSP2_Baseline!$B:$B,2025))</f>
        <v>-6.8547832601691533E-3</v>
      </c>
      <c r="K19" s="49">
        <f>((SUMIFS(SSP2_VSI!$F:$F,SSP2_VSI!$C:$C,Results_list!$C$4,SSP2_VSI!$D:$D,Results_list!$D19,SSP2_VSI!$B:$B,2040)) - (SUMIFS(SSP2_VSI!$F:$F,SSP2_VSI!$C:$C,Results_list!$C$4,SSP2_VSI!$D:$D,Results_list!$D19,SSP2_VSI!$B:$B,2025))) / (SUMIFS(SSP2_VSI!$F:$F,SSP2_VSI!$C:$C,Results_list!$C$4,SSP2_VSI!$D:$D,Results_list!$D19,SSP2_VSI!$B:$B,2025))</f>
        <v>-7.0481721307053581E-3</v>
      </c>
      <c r="L19" s="52">
        <f t="shared" si="1"/>
        <v>0</v>
      </c>
      <c r="M19" s="48">
        <f>((SUMIFS(SSP5_Baseline!$E:$E,SSP5_Baseline!$C:$C,Results_list!$C$4,SSP5_Baseline!$D:$D,Results_list!$D19,SSP5_Baseline!$B:$B,2040)) - (SUMIFS(SSP5_Baseline!$E:$E,SSP5_Baseline!$C:$C,Results_list!$C$4,SSP5_Baseline!$D:$D,Results_list!$D19,SSP5_Baseline!$B:$B,2025))) / (SUMIFS(SSP5_Baseline!$E:$E,SSP5_Baseline!$C:$C,Results_list!$C$4,SSP5_Baseline!$D:$D,Results_list!$D19,SSP5_Baseline!$B:$B,2025))</f>
        <v>-6.4201369718190054E-3</v>
      </c>
      <c r="N19" s="49">
        <f>((SUMIFS(SSP5_VSI!$F:$F,SSP5_VSI!$C:$C,Results_list!$C$4,SSP5_VSI!$D:$D,Results_list!$D19,SSP5_VSI!$B:$B,2040)) - (SUMIFS(SSP5_VSI!$F:$F,SSP5_VSI!$C:$C,Results_list!$C$4,SSP5_VSI!$D:$D,Results_list!$D19,SSP5_VSI!$B:$B,2025))) / (SUMIFS(SSP5_VSI!$F:$F,SSP5_VSI!$C:$C,Results_list!$C$4,SSP5_VSI!$D:$D,Results_list!$D19,SSP5_VSI!$B:$B,2025))</f>
        <v>-6.6058004902580011E-3</v>
      </c>
      <c r="O19" s="52">
        <f t="shared" si="2"/>
        <v>0</v>
      </c>
      <c r="P19" s="38"/>
      <c r="Q19" s="105"/>
      <c r="R19" s="106"/>
      <c r="S19" s="38" t="s">
        <v>54</v>
      </c>
      <c r="T19" s="53" t="s">
        <v>70</v>
      </c>
      <c r="U19" s="69" t="s">
        <v>102</v>
      </c>
      <c r="V19" s="48">
        <v>-0.23298215064251193</v>
      </c>
      <c r="W19" s="49">
        <v>-0.23297536788597389</v>
      </c>
      <c r="X19" s="52">
        <f t="shared" si="3"/>
        <v>0</v>
      </c>
      <c r="Y19" s="48">
        <v>-0.17935731459078877</v>
      </c>
      <c r="Z19" s="49">
        <v>-0.17935633440164905</v>
      </c>
      <c r="AA19" s="52">
        <f t="shared" si="4"/>
        <v>0</v>
      </c>
      <c r="AB19" s="48">
        <v>-0.20389964670943825</v>
      </c>
      <c r="AC19" s="49">
        <v>-0.20389764303918298</v>
      </c>
      <c r="AD19" s="52">
        <f t="shared" si="5"/>
        <v>0</v>
      </c>
    </row>
    <row r="20" spans="2:30" ht="16" x14ac:dyDescent="0.4">
      <c r="B20" s="101"/>
      <c r="C20" s="103"/>
      <c r="D20" s="38" t="s">
        <v>55</v>
      </c>
      <c r="E20" s="38"/>
      <c r="F20" s="54" t="s">
        <v>103</v>
      </c>
      <c r="G20" s="55">
        <f>((SUMIFS(SSP1_Baseline!E:E,SSP1_Baseline!C:C,Results_list!$C$4,SSP1_Baseline!D:D,Results_list!D20,SSP1_Baseline!B:B,2040)) - (SUMIFS(SSP1_Baseline!E:E,SSP1_Baseline!C:C,Results_list!$C$4,SSP1_Baseline!D:D,Results_list!D20,SSP1_Baseline!B:B,2025))) / (SUMIFS(SSP1_Baseline!E:E,SSP1_Baseline!C:C,Results_list!$C$4,SSP1_Baseline!D:D,Results_list!D20,SSP1_Baseline!B:B,2025))</f>
        <v>-8.0570194861619236E-3</v>
      </c>
      <c r="H20" s="56">
        <f>((SUMIFS(SSP1_VSI!F:F,SSP1_VSI!C:C,Results_list!$C$4,SSP1_VSI!D:D,Results_list!D20,SSP1_VSI!B:B,2040)) - (SUMIFS(SSP1_VSI!F:F,SSP1_VSI!C:C,Results_list!$C$4,SSP1_VSI!D:D,Results_list!D20,SSP1_VSI!B:B,2025))) / (SUMIFS(SSP1_VSI!F:F,SSP1_VSI!C:C,Results_list!$C$4,SSP1_VSI!D:D,Results_list!D20,SSP1_VSI!B:B,2025))</f>
        <v>-2.9893760945723075E-2</v>
      </c>
      <c r="I20" s="57">
        <f t="shared" si="0"/>
        <v>-0.02</v>
      </c>
      <c r="J20" s="55">
        <f>((SUMIFS(SSP2_Baseline!$E:$E,SSP2_Baseline!$C:$C,Results_list!$C$4,SSP2_Baseline!$D:$D,Results_list!$D20,SSP2_Baseline!$B:$B,2040)) - (SUMIFS(SSP2_Baseline!$E:$E,SSP2_Baseline!$C:$C,Results_list!$C$4,SSP2_Baseline!$D:$D,Results_list!$D20,SSP2_Baseline!$B:$B,2025))) / (SUMIFS(SSP2_Baseline!$E:$E,SSP2_Baseline!$C:$C,Results_list!$C$4,SSP2_Baseline!$D:$D,Results_list!$D20,SSP2_Baseline!$B:$B,2025))</f>
        <v>-7.4527897097914257E-3</v>
      </c>
      <c r="K20" s="56">
        <f>((SUMIFS(SSP2_VSI!$F:$F,SSP2_VSI!$C:$C,Results_list!$C$4,SSP2_VSI!$D:$D,Results_list!$D20,SSP2_VSI!$B:$B,2040)) - (SUMIFS(SSP2_VSI!$F:$F,SSP2_VSI!$C:$C,Results_list!$C$4,SSP2_VSI!$D:$D,Results_list!$D20,SSP2_VSI!$B:$B,2025))) / (SUMIFS(SSP2_VSI!$F:$F,SSP2_VSI!$C:$C,Results_list!$C$4,SSP2_VSI!$D:$D,Results_list!$D20,SSP2_VSI!$B:$B,2025))</f>
        <v>-2.9325735380570497E-2</v>
      </c>
      <c r="L20" s="57">
        <f t="shared" si="1"/>
        <v>-0.02</v>
      </c>
      <c r="M20" s="55">
        <f>((SUMIFS(SSP5_Baseline!$E:$E,SSP5_Baseline!$C:$C,Results_list!$C$4,SSP5_Baseline!$D:$D,Results_list!$D20,SSP5_Baseline!$B:$B,2040)) - (SUMIFS(SSP5_Baseline!$E:$E,SSP5_Baseline!$C:$C,Results_list!$C$4,SSP5_Baseline!$D:$D,Results_list!$D20,SSP5_Baseline!$B:$B,2025))) / (SUMIFS(SSP5_Baseline!$E:$E,SSP5_Baseline!$C:$C,Results_list!$C$4,SSP5_Baseline!$D:$D,Results_list!$D20,SSP5_Baseline!$B:$B,2025))</f>
        <v>-7.1894308978907376E-3</v>
      </c>
      <c r="N20" s="58">
        <f>((SUMIFS(SSP5_VSI!$F:$F,SSP5_VSI!$C:$C,Results_list!$C$4,SSP5_VSI!$D:$D,Results_list!$D20,SSP5_VSI!$B:$B,2040)) - (SUMIFS(SSP5_VSI!$F:$F,SSP5_VSI!$C:$C,Results_list!$C$4,SSP5_VSI!$D:$D,Results_list!$D20,SSP5_VSI!$B:$B,2025))) / (SUMIFS(SSP5_VSI!$F:$F,SSP5_VSI!$C:$C,Results_list!$C$4,SSP5_VSI!$D:$D,Results_list!$D20,SSP5_VSI!$B:$B,2025))</f>
        <v>-2.8752960297187449E-2</v>
      </c>
      <c r="O20" s="57">
        <f t="shared" si="2"/>
        <v>-0.02</v>
      </c>
      <c r="P20" s="38"/>
      <c r="Q20" s="105"/>
      <c r="R20" s="106"/>
      <c r="S20" s="38" t="s">
        <v>55</v>
      </c>
      <c r="T20" s="53" t="s">
        <v>70</v>
      </c>
      <c r="U20" s="70" t="s">
        <v>103</v>
      </c>
      <c r="V20" s="55">
        <v>-0.23861856630853004</v>
      </c>
      <c r="W20" s="56">
        <v>-0.23861144967934622</v>
      </c>
      <c r="X20" s="57">
        <f t="shared" si="3"/>
        <v>0</v>
      </c>
      <c r="Y20" s="55">
        <v>-0.18659741570523403</v>
      </c>
      <c r="Z20" s="56">
        <v>-0.18659361253158571</v>
      </c>
      <c r="AA20" s="57">
        <f t="shared" si="4"/>
        <v>0</v>
      </c>
      <c r="AB20" s="55">
        <v>-0.20972404168181955</v>
      </c>
      <c r="AC20" s="58">
        <v>-0.20972202178178959</v>
      </c>
      <c r="AD20" s="57">
        <f t="shared" si="5"/>
        <v>0</v>
      </c>
    </row>
    <row r="21" spans="2:30" ht="14.5" hidden="1" customHeight="1" x14ac:dyDescent="0.4">
      <c r="B21" s="102"/>
      <c r="C21" s="104"/>
      <c r="D21" s="59" t="s">
        <v>56</v>
      </c>
      <c r="E21" s="59"/>
      <c r="F21" s="54" t="s">
        <v>104</v>
      </c>
      <c r="G21" s="60">
        <f>((SUMIFS(SSP1_Baseline!E:E,SSP1_Baseline!C:C,Results_list!$C$4,SSP1_Baseline!D:D,Results_list!D21,SSP1_Baseline!B:B,2040)) - (SUMIFS(SSP1_Baseline!E:E,SSP1_Baseline!C:C,Results_list!$C$4,SSP1_Baseline!D:D,Results_list!D21,SSP1_Baseline!B:B,2025))) / (SUMIFS(SSP1_Baseline!E:E,SSP1_Baseline!C:C,Results_list!$C$4,SSP1_Baseline!D:D,Results_list!D21,SSP1_Baseline!B:B,2025))</f>
        <v>7.0987284715135837E-2</v>
      </c>
      <c r="H21" s="61">
        <f>((SUMIFS(SSP1_VSI!F:F,SSP1_VSI!C:C,Results_list!$C$4,SSP1_VSI!D:D,Results_list!D21,SSP1_VSI!B:B,2040)) - (SUMIFS(SSP1_VSI!F:F,SSP1_VSI!C:C,Results_list!$C$4,SSP1_VSI!D:D,Results_list!D21,SSP1_VSI!B:B,2025))) / (SUMIFS(SSP1_VSI!F:F,SSP1_VSI!C:C,Results_list!$C$4,SSP1_VSI!D:D,Results_list!D21,SSP1_VSI!B:B,2025))</f>
        <v>7.1002535302196454E-2</v>
      </c>
      <c r="I21" s="62">
        <f t="shared" si="0"/>
        <v>0</v>
      </c>
      <c r="J21" s="60">
        <f>((SUMIFS(SSP2_Baseline!$E:$E,SSP2_Baseline!$C:$C,Results_list!$C$4,SSP2_Baseline!$D:$D,Results_list!$D21,SSP2_Baseline!$B:$B,2040)) - (SUMIFS(SSP2_Baseline!$E:$E,SSP2_Baseline!$C:$C,Results_list!$C$4,SSP2_Baseline!$D:$D,Results_list!$D21,SSP2_Baseline!$B:$B,2025))) / (SUMIFS(SSP2_Baseline!$E:$E,SSP2_Baseline!$C:$C,Results_list!$C$4,SSP2_Baseline!$D:$D,Results_list!$D21,SSP2_Baseline!$B:$B,2025))</f>
        <v>7.699689119680167E-2</v>
      </c>
      <c r="K21" s="61">
        <f>((SUMIFS(SSP2_VSI!$F:$F,SSP2_VSI!$C:$C,Results_list!$C$4,SSP2_VSI!$D:$D,Results_list!$D21,SSP2_VSI!$B:$B,2040)) - (SUMIFS(SSP2_VSI!$F:$F,SSP2_VSI!$C:$C,Results_list!$C$4,SSP2_VSI!$D:$D,Results_list!$D21,SSP2_VSI!$B:$B,2025))) / (SUMIFS(SSP2_VSI!$F:$F,SSP2_VSI!$C:$C,Results_list!$C$4,SSP2_VSI!$D:$D,Results_list!$D21,SSP2_VSI!$B:$B,2025))</f>
        <v>7.696589925988849E-2</v>
      </c>
      <c r="L21" s="62">
        <f t="shared" si="1"/>
        <v>0</v>
      </c>
      <c r="M21" s="60">
        <f>((SUMIFS(SSP5_Baseline!$E:$E,SSP5_Baseline!$C:$C,Results_list!$C$4,SSP5_Baseline!$D:$D,Results_list!$D21,SSP5_Baseline!$B:$B,2040)) - (SUMIFS(SSP5_Baseline!$E:$E,SSP5_Baseline!$C:$C,Results_list!$C$4,SSP5_Baseline!$D:$D,Results_list!$D21,SSP5_Baseline!$B:$B,2025))) / (SUMIFS(SSP5_Baseline!$E:$E,SSP5_Baseline!$C:$C,Results_list!$C$4,SSP5_Baseline!$D:$D,Results_list!$D21,SSP5_Baseline!$B:$B,2025))</f>
        <v>0.26699579842251064</v>
      </c>
      <c r="N21" s="61">
        <f>((SUMIFS(SSP5_VSI!$F:$F,SSP5_VSI!$C:$C,Results_list!$C$4,SSP5_VSI!$D:$D,Results_list!$D21,SSP5_VSI!$B:$B,2040)) - (SUMIFS(SSP5_VSI!$F:$F,SSP5_VSI!$C:$C,Results_list!$C$4,SSP5_VSI!$D:$D,Results_list!$D21,SSP5_VSI!$B:$B,2025))) / (SUMIFS(SSP5_VSI!$F:$F,SSP5_VSI!$C:$C,Results_list!$C$4,SSP5_VSI!$D:$D,Results_list!$D21,SSP5_VSI!$B:$B,2025))</f>
        <v>0.26705146758941395</v>
      </c>
      <c r="O21" s="62">
        <f t="shared" si="2"/>
        <v>0</v>
      </c>
      <c r="P21" s="38"/>
      <c r="Q21" s="105"/>
      <c r="R21" s="106"/>
      <c r="S21" s="38" t="s">
        <v>56</v>
      </c>
      <c r="T21" s="53" t="s">
        <v>70</v>
      </c>
      <c r="U21" s="47" t="s">
        <v>104</v>
      </c>
      <c r="V21" s="63">
        <v>-0.26611994904753161</v>
      </c>
      <c r="W21" s="64">
        <v>-0.26611551652998539</v>
      </c>
      <c r="X21" s="65">
        <f t="shared" si="3"/>
        <v>0</v>
      </c>
      <c r="Y21" s="63">
        <v>-0.3074429366127272</v>
      </c>
      <c r="Z21" s="64">
        <v>-0.30742983536932167</v>
      </c>
      <c r="AA21" s="65">
        <f t="shared" si="4"/>
        <v>0</v>
      </c>
      <c r="AB21" s="63">
        <v>0.31116225952351223</v>
      </c>
      <c r="AC21" s="64">
        <v>0.31115706133149618</v>
      </c>
      <c r="AD21" s="65">
        <f t="shared" si="5"/>
        <v>0</v>
      </c>
    </row>
    <row r="22" spans="2:30" ht="16" hidden="1" x14ac:dyDescent="0.4">
      <c r="B22" s="66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</row>
    <row r="23" spans="2:30" ht="16" hidden="1" x14ac:dyDescent="0.4">
      <c r="B23" s="38"/>
      <c r="C23" s="38"/>
      <c r="D23" s="38"/>
      <c r="E23" s="38"/>
      <c r="F23" s="39"/>
      <c r="G23" s="98" t="s">
        <v>3</v>
      </c>
      <c r="H23" s="99"/>
      <c r="I23" s="99"/>
      <c r="J23" s="99"/>
      <c r="K23" s="99"/>
      <c r="L23" s="99"/>
      <c r="M23" s="99"/>
      <c r="N23" s="99"/>
      <c r="O23" s="100"/>
      <c r="P23" s="38"/>
      <c r="Q23" s="38"/>
      <c r="R23" s="38"/>
      <c r="S23" s="38"/>
      <c r="T23" s="38"/>
      <c r="U23" s="39"/>
      <c r="V23" s="98" t="s">
        <v>3</v>
      </c>
      <c r="W23" s="99"/>
      <c r="X23" s="99"/>
      <c r="Y23" s="99"/>
      <c r="Z23" s="99"/>
      <c r="AA23" s="99"/>
      <c r="AB23" s="99"/>
      <c r="AC23" s="99"/>
      <c r="AD23" s="100"/>
    </row>
    <row r="24" spans="2:30" ht="48" hidden="1" x14ac:dyDescent="0.4">
      <c r="B24" s="40" t="s">
        <v>30</v>
      </c>
      <c r="C24" s="40" t="s">
        <v>30</v>
      </c>
      <c r="D24" s="41" t="s">
        <v>106</v>
      </c>
      <c r="E24" s="42" t="s">
        <v>131</v>
      </c>
      <c r="F24" s="41" t="s">
        <v>106</v>
      </c>
      <c r="G24" s="43" t="s">
        <v>0</v>
      </c>
      <c r="H24" s="44" t="s">
        <v>108</v>
      </c>
      <c r="I24" s="42" t="s">
        <v>137</v>
      </c>
      <c r="J24" s="43" t="s">
        <v>1</v>
      </c>
      <c r="K24" s="44" t="s">
        <v>109</v>
      </c>
      <c r="L24" s="42" t="s">
        <v>137</v>
      </c>
      <c r="M24" s="43" t="s">
        <v>2</v>
      </c>
      <c r="N24" s="44" t="s">
        <v>110</v>
      </c>
      <c r="O24" s="42" t="s">
        <v>137</v>
      </c>
      <c r="P24" s="38"/>
      <c r="Q24" s="40" t="s">
        <v>30</v>
      </c>
      <c r="R24" s="45" t="s">
        <v>30</v>
      </c>
      <c r="S24" s="46" t="s">
        <v>106</v>
      </c>
      <c r="T24" s="42" t="s">
        <v>131</v>
      </c>
      <c r="U24" s="41" t="s">
        <v>106</v>
      </c>
      <c r="V24" s="43" t="s">
        <v>0</v>
      </c>
      <c r="W24" s="44" t="s">
        <v>108</v>
      </c>
      <c r="X24" s="42" t="s">
        <v>137</v>
      </c>
      <c r="Y24" s="43" t="s">
        <v>1</v>
      </c>
      <c r="Z24" s="44" t="s">
        <v>109</v>
      </c>
      <c r="AA24" s="42" t="s">
        <v>137</v>
      </c>
      <c r="AB24" s="43" t="s">
        <v>2</v>
      </c>
      <c r="AC24" s="44" t="s">
        <v>110</v>
      </c>
      <c r="AD24" s="42" t="s">
        <v>137</v>
      </c>
    </row>
    <row r="25" spans="2:30" ht="14.5" customHeight="1" x14ac:dyDescent="0.4">
      <c r="B25" s="107" t="s">
        <v>129</v>
      </c>
      <c r="C25" s="103" t="s">
        <v>125</v>
      </c>
      <c r="D25" s="38" t="s">
        <v>38</v>
      </c>
      <c r="E25" s="38"/>
      <c r="F25" s="47" t="s">
        <v>87</v>
      </c>
      <c r="G25" s="48">
        <f>((SUMIFS(SSP1_Baseline!$E:$E,SSP1_Baseline!$C:$C,Results_list!$C$25,SSP1_Baseline!$D:$D,Results_list!$D25,SSP1_Baseline!$B:$B,2040))
- (SUMIFS(SSP1_Baseline!$E:$E,SSP1_Baseline!$C:$C,Results_list!$C$25,SSP1_Baseline!$D:$D,Results_list!$D25,SSP1_Baseline!$B:$B,2025)))
/ (SUMIFS(SSP1_Baseline!$E:$E,SSP1_Baseline!$C:$C,Results_list!$C$25,SSP1_Baseline!$D:$D,Results_list!$D25,SSP1_Baseline!$B:$B,2025))</f>
        <v>-0.10860359278523213</v>
      </c>
      <c r="H25" s="49">
        <f>((SUMIFS(SSP1_VSI!$F:$F,SSP1_VSI!$C:$C,Results_list!$C$25,SSP1_VSI!$D:$D,Results_list!$D25,SSP1_VSI!$B:$B,2040))
- (SUMIFS(SSP1_VSI!$F:$F,SSP1_VSI!$C:$C,Results_list!$C$25,SSP1_VSI!$D:$D,Results_list!$D25,SSP1_VSI!$B:$B,2025)))
/ (SUMIFS(SSP1_VSI!$F:$F,SSP1_VSI!$C:$C,Results_list!$C$25,SSP1_VSI!$D:$D,Results_list!$D25,SSP1_VSI!$B:$B,2025))</f>
        <v>-0.13098718505259674</v>
      </c>
      <c r="I25" s="50">
        <f>ROUND(H25-G25,3)</f>
        <v>-2.1999999999999999E-2</v>
      </c>
      <c r="J25" s="48">
        <f>((SUMIFS(SSP2_Baseline!$E:$E,SSP2_Baseline!$C:$C,Results_list!$C$25,SSP2_Baseline!$D:$D,Results_list!$D25,SSP2_Baseline!$B:$B,2040))
- (SUMIFS(SSP2_Baseline!$E:$E,SSP2_Baseline!$C:$C,Results_list!$C$25,SSP2_Baseline!$D:$D,Results_list!$D25,SSP2_Baseline!$B:$B,2025)))
/ (SUMIFS(SSP2_Baseline!$E:$E,SSP2_Baseline!$C:$C,Results_list!$C$25,SSP2_Baseline!$D:$D,Results_list!$D25,SSP2_Baseline!$B:$B,2025))</f>
        <v>0.73496018944813879</v>
      </c>
      <c r="K25" s="49">
        <f>((SUMIFS(SSP2_VSI!$F:$F,SSP2_VSI!$C:$C,Results_list!$C$25,SSP2_VSI!$D:$D,Results_list!$D25,SSP2_VSI!$B:$B,2040))
- (SUMIFS(SSP2_VSI!$F:$F,SSP2_VSI!$C:$C,Results_list!$C$25,SSP2_VSI!$D:$D,Results_list!$D25,SSP2_VSI!$B:$B,2025)))
/ (SUMIFS(SSP2_VSI!$F:$F,SSP2_VSI!$C:$C,Results_list!$C$25,SSP2_VSI!$D:$D,Results_list!$D25,SSP2_VSI!$B:$B,2025))</f>
        <v>0.65894041241145151</v>
      </c>
      <c r="L25" s="50">
        <f>ROUND(K25-J25,2)</f>
        <v>-0.08</v>
      </c>
      <c r="M25" s="48">
        <f>((SUMIFS(SSP5_Baseline!$E:$E,SSP5_Baseline!$C:$C,Results_list!$C$25,SSP5_Baseline!$D:$D,Results_list!$D25,SSP5_Baseline!$B:$B,2040))
- (SUMIFS(SSP5_Baseline!$E:$E,SSP5_Baseline!$C:$C,Results_list!$C$25,SSP5_Baseline!$D:$D,Results_list!$D25,SSP5_Baseline!$B:$B,2025)))
/ (SUMIFS(SSP5_Baseline!$E:$E,SSP5_Baseline!$C:$C,Results_list!$C$25,SSP5_Baseline!$D:$D,Results_list!$D25,SSP5_Baseline!$B:$B,2025))</f>
        <v>1.4199223089573054</v>
      </c>
      <c r="N25" s="49">
        <f>((SUMIFS(SSP5_VSI!$F:$F,SSP5_VSI!$C:$C,Results_list!$C$25,SSP5_VSI!$D:$D,Results_list!$D25,SSP5_VSI!$B:$B,2040))
- (SUMIFS(SSP5_VSI!$F:$F,SSP5_VSI!$C:$C,Results_list!$C$25,SSP5_VSI!$D:$D,Results_list!$D25,SSP5_VSI!$B:$B,2025)))
/ (SUMIFS(SSP5_VSI!$F:$F,SSP5_VSI!$C:$C,Results_list!$C$25,SSP5_VSI!$D:$D,Results_list!$D25,SSP5_VSI!$B:$B,2025))</f>
        <v>1.3287322506594887</v>
      </c>
      <c r="O25" s="50">
        <f>ROUND(N25-M25,2)</f>
        <v>-0.09</v>
      </c>
      <c r="P25" s="38"/>
      <c r="Q25" s="105" t="s">
        <v>119</v>
      </c>
      <c r="R25" s="106" t="s">
        <v>69</v>
      </c>
      <c r="S25" s="38" t="s">
        <v>38</v>
      </c>
      <c r="T25" s="51" t="s">
        <v>71</v>
      </c>
      <c r="U25" s="47" t="s">
        <v>87</v>
      </c>
      <c r="V25" s="48">
        <v>0.13339074274014204</v>
      </c>
      <c r="W25" s="49">
        <v>0.13337722878353572</v>
      </c>
      <c r="X25" s="50">
        <f>ROUND(W25-V25,3)</f>
        <v>0</v>
      </c>
      <c r="Y25" s="48">
        <v>1.494548195134876</v>
      </c>
      <c r="Z25" s="49">
        <v>1.4947320658166316</v>
      </c>
      <c r="AA25" s="50">
        <f>ROUND(Z25-Y25,2)</f>
        <v>0</v>
      </c>
      <c r="AB25" s="48">
        <v>2.9797873738085388</v>
      </c>
      <c r="AC25" s="49">
        <v>2.9798187987213307</v>
      </c>
      <c r="AD25" s="50">
        <f>ROUND(AC25-AB25,2)</f>
        <v>0</v>
      </c>
    </row>
    <row r="26" spans="2:30" ht="14.5" hidden="1" customHeight="1" x14ac:dyDescent="0.4">
      <c r="B26" s="107"/>
      <c r="C26" s="103"/>
      <c r="D26" s="38" t="s">
        <v>40</v>
      </c>
      <c r="E26" s="38"/>
      <c r="F26" s="47" t="s">
        <v>88</v>
      </c>
      <c r="G26" s="48">
        <f>((SUMIFS(SSP1_Baseline!$E:$E,SSP1_Baseline!$C:$C,Results_list!$C$25,SSP1_Baseline!$D:$D,Results_list!$D26,SSP1_Baseline!$B:$B,2040)) - (SUMIFS(SSP1_Baseline!$E:$E,SSP1_Baseline!$C:$C,Results_list!$C$25,SSP1_Baseline!$D:$D,Results_list!$D26,SSP1_Baseline!$B:$B,2025))) / (SUMIFS(SSP1_Baseline!$E:$E,SSP1_Baseline!$C:$C,Results_list!$C$25,SSP1_Baseline!$D:$D,Results_list!$D26,SSP1_Baseline!$B:$B,2025))</f>
        <v>-4.7633201311955238E-3</v>
      </c>
      <c r="H26" s="49">
        <f>((SUMIFS(SSP1_VSI!$F:$F,SSP1_VSI!$C:$C,Results_list!$C$25,SSP1_VSI!$D:$D,Results_list!$D26,SSP1_VSI!$B:$B,2040)) - (SUMIFS(SSP1_VSI!$F:$F,SSP1_VSI!$C:$C,Results_list!$C$25,SSP1_VSI!$D:$D,Results_list!$D26,SSP1_VSI!$B:$B,2025))) / (SUMIFS(SSP1_VSI!$F:$F,SSP1_VSI!$C:$C,Results_list!$C$25,SSP1_VSI!$D:$D,Results_list!$D26,SSP1_VSI!$B:$B,2025))</f>
        <v>-4.7639340645607379E-3</v>
      </c>
      <c r="I26" s="52">
        <f t="shared" ref="I26:I42" si="6">ROUND(H26-G26,3)</f>
        <v>0</v>
      </c>
      <c r="J26" s="48">
        <f>((SUMIFS(SSP2_Baseline!$E:$E,SSP2_Baseline!$C:$C,Results_list!$C$25,SSP2_Baseline!$D:$D,Results_list!$D26,SSP2_Baseline!$B:$B,2040)) - (SUMIFS(SSP2_Baseline!$E:$E,SSP2_Baseline!$C:$C,Results_list!$C$25,SSP2_Baseline!$D:$D,Results_list!$D26,SSP2_Baseline!$B:$B,2025))) / (SUMIFS(SSP2_Baseline!$E:$E,SSP2_Baseline!$C:$C,Results_list!$C$25,SSP2_Baseline!$D:$D,Results_list!$D26,SSP2_Baseline!$B:$B,2025))</f>
        <v>-8.0161815457308952E-3</v>
      </c>
      <c r="K26" s="49">
        <f>((SUMIFS(SSP2_VSI!$F:$F,SSP2_VSI!$C:$C,Results_list!$C$25,SSP2_VSI!$D:$D,Results_list!$D26,SSP2_VSI!$B:$B,2040)) - (SUMIFS(SSP2_VSI!$F:$F,SSP2_VSI!$C:$C,Results_list!$C$25,SSP2_VSI!$D:$D,Results_list!$D26,SSP2_VSI!$B:$B,2025))) / (SUMIFS(SSP2_VSI!$F:$F,SSP2_VSI!$C:$C,Results_list!$C$25,SSP2_VSI!$D:$D,Results_list!$D26,SSP2_VSI!$B:$B,2025))</f>
        <v>-8.0174421135557807E-3</v>
      </c>
      <c r="L26" s="52">
        <f t="shared" ref="L26:L42" si="7">ROUND(K26-J26,2)</f>
        <v>0</v>
      </c>
      <c r="M26" s="48">
        <f>((SUMIFS(SSP5_Baseline!$E:$E,SSP5_Baseline!$C:$C,Results_list!$C$25,SSP5_Baseline!$D:$D,Results_list!$D26,SSP5_Baseline!$B:$B,2040)) - (SUMIFS(SSP5_Baseline!$E:$E,SSP5_Baseline!$C:$C,Results_list!$C$25,SSP5_Baseline!$D:$D,Results_list!$D26,SSP5_Baseline!$B:$B,2025))) / (SUMIFS(SSP5_Baseline!$E:$E,SSP5_Baseline!$C:$C,Results_list!$C$25,SSP5_Baseline!$D:$D,Results_list!$D26,SSP5_Baseline!$B:$B,2025))</f>
        <v>2.3752316493803941E-2</v>
      </c>
      <c r="N26" s="49">
        <f>((SUMIFS(SSP5_VSI!$F:$F,SSP5_VSI!$C:$C,Results_list!$C$25,SSP5_VSI!$D:$D,Results_list!$D26,SSP5_VSI!$B:$B,2040)) - (SUMIFS(SSP5_VSI!$F:$F,SSP5_VSI!$C:$C,Results_list!$C$25,SSP5_VSI!$D:$D,Results_list!$D26,SSP5_VSI!$B:$B,2025))) / (SUMIFS(SSP5_VSI!$F:$F,SSP5_VSI!$C:$C,Results_list!$C$25,SSP5_VSI!$D:$D,Results_list!$D26,SSP5_VSI!$B:$B,2025))</f>
        <v>2.3750761503749319E-2</v>
      </c>
      <c r="O26" s="52">
        <f t="shared" ref="O26:O42" si="8">ROUND(N26-M26,2)</f>
        <v>0</v>
      </c>
      <c r="P26" s="38"/>
      <c r="Q26" s="105"/>
      <c r="R26" s="106"/>
      <c r="S26" s="38" t="s">
        <v>40</v>
      </c>
      <c r="T26" s="53" t="s">
        <v>71</v>
      </c>
      <c r="U26" s="47" t="s">
        <v>88</v>
      </c>
      <c r="V26" s="48">
        <v>-4.6291910091483673E-2</v>
      </c>
      <c r="W26" s="49">
        <v>-4.629133132801197E-2</v>
      </c>
      <c r="X26" s="52">
        <f t="shared" ref="X26:X42" si="9">ROUND(W26-V26,3)</f>
        <v>0</v>
      </c>
      <c r="Y26" s="48">
        <v>-4.4546460129820081E-2</v>
      </c>
      <c r="Z26" s="49">
        <v>-4.4549022712921667E-2</v>
      </c>
      <c r="AA26" s="52">
        <f t="shared" ref="AA26:AA42" si="10">ROUND(Z26-Y26,2)</f>
        <v>0</v>
      </c>
      <c r="AB26" s="48">
        <v>-2.7973113346773928E-3</v>
      </c>
      <c r="AC26" s="49">
        <v>-2.7965825555305848E-3</v>
      </c>
      <c r="AD26" s="52">
        <f t="shared" ref="AD26:AD42" si="11">ROUND(AC26-AB26,2)</f>
        <v>0</v>
      </c>
    </row>
    <row r="27" spans="2:30" ht="16" x14ac:dyDescent="0.4">
      <c r="B27" s="107"/>
      <c r="C27" s="103"/>
      <c r="D27" s="38" t="s">
        <v>41</v>
      </c>
      <c r="E27" s="38"/>
      <c r="F27" s="47" t="s">
        <v>89</v>
      </c>
      <c r="G27" s="48">
        <f>((SUMIFS(SSP1_Baseline!$E:$E,SSP1_Baseline!$C:$C,Results_list!$C$25,SSP1_Baseline!$D:$D,Results_list!$D27,SSP1_Baseline!$B:$B,2040)) - (SUMIFS(SSP1_Baseline!$E:$E,SSP1_Baseline!$C:$C,Results_list!$C$25,SSP1_Baseline!$D:$D,Results_list!$D27,SSP1_Baseline!$B:$B,2025))) / (SUMIFS(SSP1_Baseline!$E:$E,SSP1_Baseline!$C:$C,Results_list!$C$25,SSP1_Baseline!$D:$D,Results_list!$D27,SSP1_Baseline!$B:$B,2025))</f>
        <v>-2.4683329249652369E-2</v>
      </c>
      <c r="H27" s="49">
        <f>((SUMIFS(SSP1_VSI!$F:$F,SSP1_VSI!$C:$C,Results_list!$C$25,SSP1_VSI!$D:$D,Results_list!$D27,SSP1_VSI!$B:$B,2040)) - (SUMIFS(SSP1_VSI!$F:$F,SSP1_VSI!$C:$C,Results_list!$C$25,SSP1_VSI!$D:$D,Results_list!$D27,SSP1_VSI!$B:$B,2025))) / (SUMIFS(SSP1_VSI!$F:$F,SSP1_VSI!$C:$C,Results_list!$C$25,SSP1_VSI!$D:$D,Results_list!$D27,SSP1_VSI!$B:$B,2025))</f>
        <v>-4.5218978971807718E-2</v>
      </c>
      <c r="I27" s="52">
        <f t="shared" si="6"/>
        <v>-2.1000000000000001E-2</v>
      </c>
      <c r="J27" s="48">
        <f>((SUMIFS(SSP2_Baseline!$E:$E,SSP2_Baseline!$C:$C,Results_list!$C$25,SSP2_Baseline!$D:$D,Results_list!$D27,SSP2_Baseline!$B:$B,2040)) - (SUMIFS(SSP2_Baseline!$E:$E,SSP2_Baseline!$C:$C,Results_list!$C$25,SSP2_Baseline!$D:$D,Results_list!$D27,SSP2_Baseline!$B:$B,2025))) / (SUMIFS(SSP2_Baseline!$E:$E,SSP2_Baseline!$C:$C,Results_list!$C$25,SSP2_Baseline!$D:$D,Results_list!$D27,SSP2_Baseline!$B:$B,2025))</f>
        <v>-2.4416095943677996E-2</v>
      </c>
      <c r="K27" s="49">
        <f>((SUMIFS(SSP2_VSI!$F:$F,SSP2_VSI!$C:$C,Results_list!$C$25,SSP2_VSI!$D:$D,Results_list!$D27,SSP2_VSI!$B:$B,2040)) - (SUMIFS(SSP2_VSI!$F:$F,SSP2_VSI!$C:$C,Results_list!$C$25,SSP2_VSI!$D:$D,Results_list!$D27,SSP2_VSI!$B:$B,2025))) / (SUMIFS(SSP2_VSI!$F:$F,SSP2_VSI!$C:$C,Results_list!$C$25,SSP2_VSI!$D:$D,Results_list!$D27,SSP2_VSI!$B:$B,2025))</f>
        <v>-4.498242051719005E-2</v>
      </c>
      <c r="L27" s="52">
        <f t="shared" si="7"/>
        <v>-0.02</v>
      </c>
      <c r="M27" s="48">
        <f>((SUMIFS(SSP5_Baseline!$E:$E,SSP5_Baseline!$C:$C,Results_list!$C$25,SSP5_Baseline!$D:$D,Results_list!$D27,SSP5_Baseline!$B:$B,2040)) - (SUMIFS(SSP5_Baseline!$E:$E,SSP5_Baseline!$C:$C,Results_list!$C$25,SSP5_Baseline!$D:$D,Results_list!$D27,SSP5_Baseline!$B:$B,2025))) / (SUMIFS(SSP5_Baseline!$E:$E,SSP5_Baseline!$C:$C,Results_list!$C$25,SSP5_Baseline!$D:$D,Results_list!$D27,SSP5_Baseline!$B:$B,2025))</f>
        <v>-1.3432869496120985E-2</v>
      </c>
      <c r="N27" s="49">
        <f>((SUMIFS(SSP5_VSI!$F:$F,SSP5_VSI!$C:$C,Results_list!$C$25,SSP5_VSI!$D:$D,Results_list!$D27,SSP5_VSI!$B:$B,2040)) - (SUMIFS(SSP5_VSI!$F:$F,SSP5_VSI!$C:$C,Results_list!$C$25,SSP5_VSI!$D:$D,Results_list!$D27,SSP5_VSI!$B:$B,2025))) / (SUMIFS(SSP5_VSI!$F:$F,SSP5_VSI!$C:$C,Results_list!$C$25,SSP5_VSI!$D:$D,Results_list!$D27,SSP5_VSI!$B:$B,2025))</f>
        <v>-3.3945285160446897E-2</v>
      </c>
      <c r="O27" s="52">
        <f t="shared" si="8"/>
        <v>-0.02</v>
      </c>
      <c r="P27" s="38"/>
      <c r="Q27" s="105"/>
      <c r="R27" s="106"/>
      <c r="S27" s="38" t="s">
        <v>41</v>
      </c>
      <c r="T27" s="53" t="s">
        <v>71</v>
      </c>
      <c r="U27" s="47" t="s">
        <v>89</v>
      </c>
      <c r="V27" s="48">
        <v>-7.1557127564146603E-2</v>
      </c>
      <c r="W27" s="49">
        <v>-7.1558101515303188E-2</v>
      </c>
      <c r="X27" s="52">
        <f t="shared" si="9"/>
        <v>0</v>
      </c>
      <c r="Y27" s="48">
        <v>-7.005290454341416E-2</v>
      </c>
      <c r="Z27" s="49">
        <v>-7.0051809883583588E-2</v>
      </c>
      <c r="AA27" s="52">
        <f t="shared" si="10"/>
        <v>0</v>
      </c>
      <c r="AB27" s="48">
        <v>-3.2989926493858922E-2</v>
      </c>
      <c r="AC27" s="49">
        <v>-3.2989574228720002E-2</v>
      </c>
      <c r="AD27" s="52">
        <f t="shared" si="11"/>
        <v>0</v>
      </c>
    </row>
    <row r="28" spans="2:30" ht="16" x14ac:dyDescent="0.4">
      <c r="B28" s="107"/>
      <c r="C28" s="103"/>
      <c r="D28" s="38" t="s">
        <v>42</v>
      </c>
      <c r="E28" s="38"/>
      <c r="F28" s="47" t="s">
        <v>90</v>
      </c>
      <c r="G28" s="48">
        <f>((SUMIFS(SSP1_Baseline!$E:$E,SSP1_Baseline!$C:$C,Results_list!$C$25,SSP1_Baseline!$D:$D,Results_list!$D28,SSP1_Baseline!$B:$B,2040)) - (SUMIFS(SSP1_Baseline!$E:$E,SSP1_Baseline!$C:$C,Results_list!$C$25,SSP1_Baseline!$D:$D,Results_list!$D28,SSP1_Baseline!$B:$B,2025))) / (SUMIFS(SSP1_Baseline!$E:$E,SSP1_Baseline!$C:$C,Results_list!$C$25,SSP1_Baseline!$D:$D,Results_list!$D28,SSP1_Baseline!$B:$B,2025))</f>
        <v>-1.4180315965115996E-2</v>
      </c>
      <c r="H28" s="49">
        <f>((SUMIFS(SSP1_VSI!$F:$F,SSP1_VSI!$C:$C,Results_list!$C$25,SSP1_VSI!$D:$D,Results_list!$D28,SSP1_VSI!$B:$B,2040)) - (SUMIFS(SSP1_VSI!$F:$F,SSP1_VSI!$C:$C,Results_list!$C$25,SSP1_VSI!$D:$D,Results_list!$D28,SSP1_VSI!$B:$B,2025))) / (SUMIFS(SSP1_VSI!$F:$F,SSP1_VSI!$C:$C,Results_list!$C$25,SSP1_VSI!$D:$D,Results_list!$D28,SSP1_VSI!$B:$B,2025))</f>
        <v>-1.4728101142805211E-2</v>
      </c>
      <c r="I28" s="52">
        <f t="shared" si="6"/>
        <v>-1E-3</v>
      </c>
      <c r="J28" s="48">
        <f>((SUMIFS(SSP2_Baseline!$E:$E,SSP2_Baseline!$C:$C,Results_list!$C$25,SSP2_Baseline!$D:$D,Results_list!$D28,SSP2_Baseline!$B:$B,2040)) - (SUMIFS(SSP2_Baseline!$E:$E,SSP2_Baseline!$C:$C,Results_list!$C$25,SSP2_Baseline!$D:$D,Results_list!$D28,SSP2_Baseline!$B:$B,2025))) / (SUMIFS(SSP2_Baseline!$E:$E,SSP2_Baseline!$C:$C,Results_list!$C$25,SSP2_Baseline!$D:$D,Results_list!$D28,SSP2_Baseline!$B:$B,2025))</f>
        <v>-1.247517728294403E-2</v>
      </c>
      <c r="K28" s="49">
        <f>((SUMIFS(SSP2_VSI!$F:$F,SSP2_VSI!$C:$C,Results_list!$C$25,SSP2_VSI!$D:$D,Results_list!$D28,SSP2_VSI!$B:$B,2040)) - (SUMIFS(SSP2_VSI!$F:$F,SSP2_VSI!$C:$C,Results_list!$C$25,SSP2_VSI!$D:$D,Results_list!$D28,SSP2_VSI!$B:$B,2025))) / (SUMIFS(SSP2_VSI!$F:$F,SSP2_VSI!$C:$C,Results_list!$C$25,SSP2_VSI!$D:$D,Results_list!$D28,SSP2_VSI!$B:$B,2025))</f>
        <v>-1.3024051436705871E-2</v>
      </c>
      <c r="L28" s="52">
        <f t="shared" si="7"/>
        <v>0</v>
      </c>
      <c r="M28" s="48">
        <f>((SUMIFS(SSP5_Baseline!$E:$E,SSP5_Baseline!$C:$C,Results_list!$C$25,SSP5_Baseline!$D:$D,Results_list!$D28,SSP5_Baseline!$B:$B,2040)) - (SUMIFS(SSP5_Baseline!$E:$E,SSP5_Baseline!$C:$C,Results_list!$C$25,SSP5_Baseline!$D:$D,Results_list!$D28,SSP5_Baseline!$B:$B,2025))) / (SUMIFS(SSP5_Baseline!$E:$E,SSP5_Baseline!$C:$C,Results_list!$C$25,SSP5_Baseline!$D:$D,Results_list!$D28,SSP5_Baseline!$B:$B,2025))</f>
        <v>-1.0964581115027941E-2</v>
      </c>
      <c r="N28" s="49">
        <f>((SUMIFS(SSP5_VSI!$F:$F,SSP5_VSI!$C:$C,Results_list!$C$25,SSP5_VSI!$D:$D,Results_list!$D28,SSP5_VSI!$B:$B,2040)) - (SUMIFS(SSP5_VSI!$F:$F,SSP5_VSI!$C:$C,Results_list!$C$25,SSP5_VSI!$D:$D,Results_list!$D28,SSP5_VSI!$B:$B,2025))) / (SUMIFS(SSP5_VSI!$F:$F,SSP5_VSI!$C:$C,Results_list!$C$25,SSP5_VSI!$D:$D,Results_list!$D28,SSP5_VSI!$B:$B,2025))</f>
        <v>-1.151249040440791E-2</v>
      </c>
      <c r="O28" s="52">
        <f t="shared" si="8"/>
        <v>0</v>
      </c>
      <c r="P28" s="38"/>
      <c r="Q28" s="105"/>
      <c r="R28" s="106"/>
      <c r="S28" s="38" t="s">
        <v>42</v>
      </c>
      <c r="T28" s="53" t="s">
        <v>71</v>
      </c>
      <c r="U28" s="47" t="s">
        <v>90</v>
      </c>
      <c r="V28" s="48">
        <v>-0.25640061053680208</v>
      </c>
      <c r="W28" s="49">
        <v>-0.25639555955616694</v>
      </c>
      <c r="X28" s="52">
        <f t="shared" si="9"/>
        <v>0</v>
      </c>
      <c r="Y28" s="48">
        <v>-0.25808695486156236</v>
      </c>
      <c r="Z28" s="49">
        <v>-0.25808031434410456</v>
      </c>
      <c r="AA28" s="52">
        <f t="shared" si="10"/>
        <v>0</v>
      </c>
      <c r="AB28" s="48">
        <v>0.31477214777638785</v>
      </c>
      <c r="AC28" s="49">
        <v>0.31477428655799539</v>
      </c>
      <c r="AD28" s="52">
        <f t="shared" si="11"/>
        <v>0</v>
      </c>
    </row>
    <row r="29" spans="2:30" ht="16" x14ac:dyDescent="0.4">
      <c r="B29" s="107"/>
      <c r="C29" s="103"/>
      <c r="D29" s="38" t="s">
        <v>43</v>
      </c>
      <c r="E29" s="38"/>
      <c r="F29" s="47" t="s">
        <v>91</v>
      </c>
      <c r="G29" s="48">
        <f>((SUMIFS(SSP1_Baseline!$E:$E,SSP1_Baseline!$C:$C,Results_list!$C$25,SSP1_Baseline!$D:$D,Results_list!$D29,SSP1_Baseline!$B:$B,2040)) - (SUMIFS(SSP1_Baseline!$E:$E,SSP1_Baseline!$C:$C,Results_list!$C$25,SSP1_Baseline!$D:$D,Results_list!$D29,SSP1_Baseline!$B:$B,2025))) / (SUMIFS(SSP1_Baseline!$E:$E,SSP1_Baseline!$C:$C,Results_list!$C$25,SSP1_Baseline!$D:$D,Results_list!$D29,SSP1_Baseline!$B:$B,2025))</f>
        <v>-2.7817944755783697E-2</v>
      </c>
      <c r="H29" s="49">
        <f>((SUMIFS(SSP1_VSI!$F:$F,SSP1_VSI!$C:$C,Results_list!$C$25,SSP1_VSI!$D:$D,Results_list!$D29,SSP1_VSI!$B:$B,2040)) - (SUMIFS(SSP1_VSI!$F:$F,SSP1_VSI!$C:$C,Results_list!$C$25,SSP1_VSI!$D:$D,Results_list!$D29,SSP1_VSI!$B:$B,2025))) / (SUMIFS(SSP1_VSI!$F:$F,SSP1_VSI!$C:$C,Results_list!$C$25,SSP1_VSI!$D:$D,Results_list!$D29,SSP1_VSI!$B:$B,2025))</f>
        <v>-2.782478194745934E-2</v>
      </c>
      <c r="I29" s="52">
        <f t="shared" si="6"/>
        <v>0</v>
      </c>
      <c r="J29" s="48">
        <f>((SUMIFS(SSP2_Baseline!$E:$E,SSP2_Baseline!$C:$C,Results_list!$C$25,SSP2_Baseline!$D:$D,Results_list!$D29,SSP2_Baseline!$B:$B,2040)) - (SUMIFS(SSP2_Baseline!$E:$E,SSP2_Baseline!$C:$C,Results_list!$C$25,SSP2_Baseline!$D:$D,Results_list!$D29,SSP2_Baseline!$B:$B,2025))) / (SUMIFS(SSP2_Baseline!$E:$E,SSP2_Baseline!$C:$C,Results_list!$C$25,SSP2_Baseline!$D:$D,Results_list!$D29,SSP2_Baseline!$B:$B,2025))</f>
        <v>-2.239448768992032E-2</v>
      </c>
      <c r="K29" s="49">
        <f>((SUMIFS(SSP2_VSI!$F:$F,SSP2_VSI!$C:$C,Results_list!$C$25,SSP2_VSI!$D:$D,Results_list!$D29,SSP2_VSI!$B:$B,2040)) - (SUMIFS(SSP2_VSI!$F:$F,SSP2_VSI!$C:$C,Results_list!$C$25,SSP2_VSI!$D:$D,Results_list!$D29,SSP2_VSI!$B:$B,2025))) / (SUMIFS(SSP2_VSI!$F:$F,SSP2_VSI!$C:$C,Results_list!$C$25,SSP2_VSI!$D:$D,Results_list!$D29,SSP2_VSI!$B:$B,2025))</f>
        <v>-2.23997424178837E-2</v>
      </c>
      <c r="L29" s="52">
        <f t="shared" si="7"/>
        <v>0</v>
      </c>
      <c r="M29" s="48">
        <f>((SUMIFS(SSP5_Baseline!$E:$E,SSP5_Baseline!$C:$C,Results_list!$C$25,SSP5_Baseline!$D:$D,Results_list!$D29,SSP5_Baseline!$B:$B,2040)) - (SUMIFS(SSP5_Baseline!$E:$E,SSP5_Baseline!$C:$C,Results_list!$C$25,SSP5_Baseline!$D:$D,Results_list!$D29,SSP5_Baseline!$B:$B,2025))) / (SUMIFS(SSP5_Baseline!$E:$E,SSP5_Baseline!$C:$C,Results_list!$C$25,SSP5_Baseline!$D:$D,Results_list!$D29,SSP5_Baseline!$B:$B,2025))</f>
        <v>-1.701333387367612E-2</v>
      </c>
      <c r="N29" s="49">
        <f>((SUMIFS(SSP5_VSI!$F:$F,SSP5_VSI!$C:$C,Results_list!$C$25,SSP5_VSI!$D:$D,Results_list!$D29,SSP5_VSI!$B:$B,2040)) - (SUMIFS(SSP5_VSI!$F:$F,SSP5_VSI!$C:$C,Results_list!$C$25,SSP5_VSI!$D:$D,Results_list!$D29,SSP5_VSI!$B:$B,2025))) / (SUMIFS(SSP5_VSI!$F:$F,SSP5_VSI!$C:$C,Results_list!$C$25,SSP5_VSI!$D:$D,Results_list!$D29,SSP5_VSI!$B:$B,2025))</f>
        <v>-1.7019455462528178E-2</v>
      </c>
      <c r="O29" s="52">
        <f t="shared" si="8"/>
        <v>0</v>
      </c>
      <c r="P29" s="38"/>
      <c r="Q29" s="105"/>
      <c r="R29" s="106"/>
      <c r="S29" s="38" t="s">
        <v>43</v>
      </c>
      <c r="T29" s="53" t="s">
        <v>71</v>
      </c>
      <c r="U29" s="47" t="s">
        <v>91</v>
      </c>
      <c r="V29" s="48">
        <v>-7.76969693024884E-2</v>
      </c>
      <c r="W29" s="49">
        <v>-7.76982230313603E-2</v>
      </c>
      <c r="X29" s="52">
        <f t="shared" si="9"/>
        <v>0</v>
      </c>
      <c r="Y29" s="48">
        <v>-6.0175995974049164E-2</v>
      </c>
      <c r="Z29" s="49">
        <v>-6.0174494625747074E-2</v>
      </c>
      <c r="AA29" s="52">
        <f t="shared" si="10"/>
        <v>0</v>
      </c>
      <c r="AB29" s="48">
        <v>-5.2621448938565355E-3</v>
      </c>
      <c r="AC29" s="49">
        <v>-5.2607004272582957E-3</v>
      </c>
      <c r="AD29" s="52">
        <f t="shared" si="11"/>
        <v>0</v>
      </c>
    </row>
    <row r="30" spans="2:30" ht="16" x14ac:dyDescent="0.4">
      <c r="B30" s="107"/>
      <c r="C30" s="103"/>
      <c r="D30" s="38" t="s">
        <v>44</v>
      </c>
      <c r="E30" s="38"/>
      <c r="F30" s="47" t="s">
        <v>92</v>
      </c>
      <c r="G30" s="48">
        <f>((SUMIFS(SSP1_Baseline!$E:$E,SSP1_Baseline!$C:$C,Results_list!$C$25,SSP1_Baseline!$D:$D,Results_list!$D30,SSP1_Baseline!$B:$B,2040)) - (SUMIFS(SSP1_Baseline!$E:$E,SSP1_Baseline!$C:$C,Results_list!$C$25,SSP1_Baseline!$D:$D,Results_list!$D30,SSP1_Baseline!$B:$B,2025))) / (SUMIFS(SSP1_Baseline!$E:$E,SSP1_Baseline!$C:$C,Results_list!$C$25,SSP1_Baseline!$D:$D,Results_list!$D30,SSP1_Baseline!$B:$B,2025))</f>
        <v>-0.33486601800118737</v>
      </c>
      <c r="H30" s="49">
        <f>((SUMIFS(SSP1_VSI!$F:$F,SSP1_VSI!$C:$C,Results_list!$C$25,SSP1_VSI!$D:$D,Results_list!$D30,SSP1_VSI!$B:$B,2040)) - (SUMIFS(SSP1_VSI!$F:$F,SSP1_VSI!$C:$C,Results_list!$C$25,SSP1_VSI!$D:$D,Results_list!$D30,SSP1_VSI!$B:$B,2025))) / (SUMIFS(SSP1_VSI!$F:$F,SSP1_VSI!$C:$C,Results_list!$C$25,SSP1_VSI!$D:$D,Results_list!$D30,SSP1_VSI!$B:$B,2025))</f>
        <v>-0.33499478203995758</v>
      </c>
      <c r="I30" s="52">
        <f t="shared" si="6"/>
        <v>0</v>
      </c>
      <c r="J30" s="48">
        <f>((SUMIFS(SSP2_Baseline!$E:$E,SSP2_Baseline!$C:$C,Results_list!$C$25,SSP2_Baseline!$D:$D,Results_list!$D30,SSP2_Baseline!$B:$B,2040)) - (SUMIFS(SSP2_Baseline!$E:$E,SSP2_Baseline!$C:$C,Results_list!$C$25,SSP2_Baseline!$D:$D,Results_list!$D30,SSP2_Baseline!$B:$B,2025))) / (SUMIFS(SSP2_Baseline!$E:$E,SSP2_Baseline!$C:$C,Results_list!$C$25,SSP2_Baseline!$D:$D,Results_list!$D30,SSP2_Baseline!$B:$B,2025))</f>
        <v>-0.31165001942974491</v>
      </c>
      <c r="K30" s="49">
        <f>((SUMIFS(SSP2_VSI!$F:$F,SSP2_VSI!$C:$C,Results_list!$C$25,SSP2_VSI!$D:$D,Results_list!$D30,SSP2_VSI!$B:$B,2040)) - (SUMIFS(SSP2_VSI!$F:$F,SSP2_VSI!$C:$C,Results_list!$C$25,SSP2_VSI!$D:$D,Results_list!$D30,SSP2_VSI!$B:$B,2025))) / (SUMIFS(SSP2_VSI!$F:$F,SSP2_VSI!$C:$C,Results_list!$C$25,SSP2_VSI!$D:$D,Results_list!$D30,SSP2_VSI!$B:$B,2025))</f>
        <v>-0.31175942187334188</v>
      </c>
      <c r="L30" s="52">
        <f t="shared" si="7"/>
        <v>0</v>
      </c>
      <c r="M30" s="48">
        <f>((SUMIFS(SSP5_Baseline!$E:$E,SSP5_Baseline!$C:$C,Results_list!$C$25,SSP5_Baseline!$D:$D,Results_list!$D30,SSP5_Baseline!$B:$B,2040)) - (SUMIFS(SSP5_Baseline!$E:$E,SSP5_Baseline!$C:$C,Results_list!$C$25,SSP5_Baseline!$D:$D,Results_list!$D30,SSP5_Baseline!$B:$B,2025))) / (SUMIFS(SSP5_Baseline!$E:$E,SSP5_Baseline!$C:$C,Results_list!$C$25,SSP5_Baseline!$D:$D,Results_list!$D30,SSP5_Baseline!$B:$B,2025))</f>
        <v>-0.16350758391834952</v>
      </c>
      <c r="N30" s="49">
        <f>((SUMIFS(SSP5_VSI!$F:$F,SSP5_VSI!$C:$C,Results_list!$C$25,SSP5_VSI!$D:$D,Results_list!$D30,SSP5_VSI!$B:$B,2040)) - (SUMIFS(SSP5_VSI!$F:$F,SSP5_VSI!$C:$C,Results_list!$C$25,SSP5_VSI!$D:$D,Results_list!$D30,SSP5_VSI!$B:$B,2025))) / (SUMIFS(SSP5_VSI!$F:$F,SSP5_VSI!$C:$C,Results_list!$C$25,SSP5_VSI!$D:$D,Results_list!$D30,SSP5_VSI!$B:$B,2025))</f>
        <v>-0.16360309962581385</v>
      </c>
      <c r="O30" s="52">
        <f t="shared" si="8"/>
        <v>0</v>
      </c>
      <c r="P30" s="38"/>
      <c r="Q30" s="105"/>
      <c r="R30" s="106"/>
      <c r="S30" s="38" t="s">
        <v>44</v>
      </c>
      <c r="T30" s="53" t="s">
        <v>71</v>
      </c>
      <c r="U30" s="47" t="s">
        <v>92</v>
      </c>
      <c r="V30" s="48">
        <v>-0.28704218503528883</v>
      </c>
      <c r="W30" s="49">
        <v>-0.2870376905794757</v>
      </c>
      <c r="X30" s="52">
        <f t="shared" si="9"/>
        <v>0</v>
      </c>
      <c r="Y30" s="48">
        <v>-0.26845162620472546</v>
      </c>
      <c r="Z30" s="49">
        <v>-0.26845335353193484</v>
      </c>
      <c r="AA30" s="52">
        <f t="shared" si="10"/>
        <v>0</v>
      </c>
      <c r="AB30" s="48">
        <v>2.1375368203778042E-2</v>
      </c>
      <c r="AC30" s="49">
        <v>2.1373855296784813E-2</v>
      </c>
      <c r="AD30" s="52">
        <f t="shared" si="11"/>
        <v>0</v>
      </c>
    </row>
    <row r="31" spans="2:30" ht="16" x14ac:dyDescent="0.4">
      <c r="B31" s="107"/>
      <c r="C31" s="103"/>
      <c r="D31" s="38" t="s">
        <v>45</v>
      </c>
      <c r="E31" s="38"/>
      <c r="F31" s="47" t="s">
        <v>93</v>
      </c>
      <c r="G31" s="48">
        <f>((SUMIFS(SSP1_Baseline!$E:$E,SSP1_Baseline!$C:$C,Results_list!$C$25,SSP1_Baseline!$D:$D,Results_list!$D31,SSP1_Baseline!$B:$B,2040)) - (SUMIFS(SSP1_Baseline!$E:$E,SSP1_Baseline!$C:$C,Results_list!$C$25,SSP1_Baseline!$D:$D,Results_list!$D31,SSP1_Baseline!$B:$B,2025))) / (SUMIFS(SSP1_Baseline!$E:$E,SSP1_Baseline!$C:$C,Results_list!$C$25,SSP1_Baseline!$D:$D,Results_list!$D31,SSP1_Baseline!$B:$B,2025))</f>
        <v>-6.3002352945518938E-2</v>
      </c>
      <c r="H31" s="49">
        <f>((SUMIFS(SSP1_VSI!$F:$F,SSP1_VSI!$C:$C,Results_list!$C$25,SSP1_VSI!$D:$D,Results_list!$D31,SSP1_VSI!$B:$B,2040)) - (SUMIFS(SSP1_VSI!$F:$F,SSP1_VSI!$C:$C,Results_list!$C$25,SSP1_VSI!$D:$D,Results_list!$D31,SSP1_VSI!$B:$B,2025))) / (SUMIFS(SSP1_VSI!$F:$F,SSP1_VSI!$C:$C,Results_list!$C$25,SSP1_VSI!$D:$D,Results_list!$D31,SSP1_VSI!$B:$B,2025))</f>
        <v>-0.22264268959163844</v>
      </c>
      <c r="I31" s="52">
        <f t="shared" si="6"/>
        <v>-0.16</v>
      </c>
      <c r="J31" s="48">
        <f>((SUMIFS(SSP2_Baseline!$E:$E,SSP2_Baseline!$C:$C,Results_list!$C$25,SSP2_Baseline!$D:$D,Results_list!$D31,SSP2_Baseline!$B:$B,2040)) - (SUMIFS(SSP2_Baseline!$E:$E,SSP2_Baseline!$C:$C,Results_list!$C$25,SSP2_Baseline!$D:$D,Results_list!$D31,SSP2_Baseline!$B:$B,2025))) / (SUMIFS(SSP2_Baseline!$E:$E,SSP2_Baseline!$C:$C,Results_list!$C$25,SSP2_Baseline!$D:$D,Results_list!$D31,SSP2_Baseline!$B:$B,2025))</f>
        <v>-5.912956329038236E-2</v>
      </c>
      <c r="K31" s="49">
        <f>((SUMIFS(SSP2_VSI!$F:$F,SSP2_VSI!$C:$C,Results_list!$C$25,SSP2_VSI!$D:$D,Results_list!$D31,SSP2_VSI!$B:$B,2040)) - (SUMIFS(SSP2_VSI!$F:$F,SSP2_VSI!$C:$C,Results_list!$C$25,SSP2_VSI!$D:$D,Results_list!$D31,SSP2_VSI!$B:$B,2025))) / (SUMIFS(SSP2_VSI!$F:$F,SSP2_VSI!$C:$C,Results_list!$C$25,SSP2_VSI!$D:$D,Results_list!$D31,SSP2_VSI!$B:$B,2025))</f>
        <v>-0.21964499036633239</v>
      </c>
      <c r="L31" s="52">
        <f t="shared" si="7"/>
        <v>-0.16</v>
      </c>
      <c r="M31" s="48">
        <f>((SUMIFS(SSP5_Baseline!$E:$E,SSP5_Baseline!$C:$C,Results_list!$C$25,SSP5_Baseline!$D:$D,Results_list!$D31,SSP5_Baseline!$B:$B,2040)) - (SUMIFS(SSP5_Baseline!$E:$E,SSP5_Baseline!$C:$C,Results_list!$C$25,SSP5_Baseline!$D:$D,Results_list!$D31,SSP5_Baseline!$B:$B,2025))) / (SUMIFS(SSP5_Baseline!$E:$E,SSP5_Baseline!$C:$C,Results_list!$C$25,SSP5_Baseline!$D:$D,Results_list!$D31,SSP5_Baseline!$B:$B,2025))</f>
        <v>-5.2778218813926463E-2</v>
      </c>
      <c r="N31" s="49">
        <f>((SUMIFS(SSP5_VSI!$F:$F,SSP5_VSI!$C:$C,Results_list!$C$25,SSP5_VSI!$D:$D,Results_list!$D31,SSP5_VSI!$B:$B,2040)) - (SUMIFS(SSP5_VSI!$F:$F,SSP5_VSI!$C:$C,Results_list!$C$25,SSP5_VSI!$D:$D,Results_list!$D31,SSP5_VSI!$B:$B,2025))) / (SUMIFS(SSP5_VSI!$F:$F,SSP5_VSI!$C:$C,Results_list!$C$25,SSP5_VSI!$D:$D,Results_list!$D31,SSP5_VSI!$B:$B,2025))</f>
        <v>-0.21435442251615081</v>
      </c>
      <c r="O31" s="52">
        <f t="shared" si="8"/>
        <v>-0.16</v>
      </c>
      <c r="P31" s="38"/>
      <c r="Q31" s="105"/>
      <c r="R31" s="106"/>
      <c r="S31" s="38" t="s">
        <v>45</v>
      </c>
      <c r="T31" s="53" t="s">
        <v>71</v>
      </c>
      <c r="U31" s="47" t="s">
        <v>93</v>
      </c>
      <c r="V31" s="48">
        <v>-1.3736038924861331E-2</v>
      </c>
      <c r="W31" s="49">
        <v>-0.90485864022315787</v>
      </c>
      <c r="X31" s="52">
        <f t="shared" si="9"/>
        <v>-0.89100000000000001</v>
      </c>
      <c r="Y31" s="48">
        <v>-1.3705753913451392E-2</v>
      </c>
      <c r="Z31" s="49">
        <v>-0.90636314380830862</v>
      </c>
      <c r="AA31" s="52">
        <f t="shared" si="10"/>
        <v>-0.89</v>
      </c>
      <c r="AB31" s="48">
        <v>-1.1539848226462755E-2</v>
      </c>
      <c r="AC31" s="49">
        <v>-0.90508488246701746</v>
      </c>
      <c r="AD31" s="52">
        <f t="shared" si="11"/>
        <v>-0.89</v>
      </c>
    </row>
    <row r="32" spans="2:30" ht="14.5" hidden="1" customHeight="1" x14ac:dyDescent="0.4">
      <c r="B32" s="107"/>
      <c r="C32" s="103"/>
      <c r="D32" s="38" t="s">
        <v>46</v>
      </c>
      <c r="E32" s="38"/>
      <c r="F32" s="47" t="s">
        <v>94</v>
      </c>
      <c r="G32" s="48">
        <f>((SUMIFS(SSP1_Baseline!$E:$E,SSP1_Baseline!$C:$C,Results_list!$C$25,SSP1_Baseline!$D:$D,Results_list!$D32,SSP1_Baseline!$B:$B,2040)) - (SUMIFS(SSP1_Baseline!$E:$E,SSP1_Baseline!$C:$C,Results_list!$C$25,SSP1_Baseline!$D:$D,Results_list!$D32,SSP1_Baseline!$B:$B,2025))) / (SUMIFS(SSP1_Baseline!$E:$E,SSP1_Baseline!$C:$C,Results_list!$C$25,SSP1_Baseline!$D:$D,Results_list!$D32,SSP1_Baseline!$B:$B,2025))</f>
        <v>0.95369198093772756</v>
      </c>
      <c r="H32" s="49">
        <f>((SUMIFS(SSP1_VSI!$F:$F,SSP1_VSI!$C:$C,Results_list!$C$25,SSP1_VSI!$D:$D,Results_list!$D32,SSP1_VSI!$B:$B,2040)) - (SUMIFS(SSP1_VSI!$F:$F,SSP1_VSI!$C:$C,Results_list!$C$25,SSP1_VSI!$D:$D,Results_list!$D32,SSP1_VSI!$B:$B,2025))) / (SUMIFS(SSP1_VSI!$F:$F,SSP1_VSI!$C:$C,Results_list!$C$25,SSP1_VSI!$D:$D,Results_list!$D32,SSP1_VSI!$B:$B,2025))</f>
        <v>0.95369771198914099</v>
      </c>
      <c r="I32" s="52">
        <f t="shared" si="6"/>
        <v>0</v>
      </c>
      <c r="J32" s="48">
        <f>((SUMIFS(SSP2_Baseline!$E:$E,SSP2_Baseline!$C:$C,Results_list!$C$25,SSP2_Baseline!$D:$D,Results_list!$D32,SSP2_Baseline!$B:$B,2040)) - (SUMIFS(SSP2_Baseline!$E:$E,SSP2_Baseline!$C:$C,Results_list!$C$25,SSP2_Baseline!$D:$D,Results_list!$D32,SSP2_Baseline!$B:$B,2025))) / (SUMIFS(SSP2_Baseline!$E:$E,SSP2_Baseline!$C:$C,Results_list!$C$25,SSP2_Baseline!$D:$D,Results_list!$D32,SSP2_Baseline!$B:$B,2025))</f>
        <v>1.0588501925074771</v>
      </c>
      <c r="K32" s="49">
        <f>((SUMIFS(SSP2_VSI!$F:$F,SSP2_VSI!$C:$C,Results_list!$C$25,SSP2_VSI!$D:$D,Results_list!$D32,SSP2_VSI!$B:$B,2040)) - (SUMIFS(SSP2_VSI!$F:$F,SSP2_VSI!$C:$C,Results_list!$C$25,SSP2_VSI!$D:$D,Results_list!$D32,SSP2_VSI!$B:$B,2025))) / (SUMIFS(SSP2_VSI!$F:$F,SSP2_VSI!$C:$C,Results_list!$C$25,SSP2_VSI!$D:$D,Results_list!$D32,SSP2_VSI!$B:$B,2025))</f>
        <v>1.0587797373923029</v>
      </c>
      <c r="L32" s="52">
        <f t="shared" si="7"/>
        <v>0</v>
      </c>
      <c r="M32" s="48">
        <f>((SUMIFS(SSP5_Baseline!$E:$E,SSP5_Baseline!$C:$C,Results_list!$C$25,SSP5_Baseline!$D:$D,Results_list!$D32,SSP5_Baseline!$B:$B,2040)) - (SUMIFS(SSP5_Baseline!$E:$E,SSP5_Baseline!$C:$C,Results_list!$C$25,SSP5_Baseline!$D:$D,Results_list!$D32,SSP5_Baseline!$B:$B,2025))) / (SUMIFS(SSP5_Baseline!$E:$E,SSP5_Baseline!$C:$C,Results_list!$C$25,SSP5_Baseline!$D:$D,Results_list!$D32,SSP5_Baseline!$B:$B,2025))</f>
        <v>0.78717593783626194</v>
      </c>
      <c r="N32" s="49">
        <f>((SUMIFS(SSP5_VSI!$F:$F,SSP5_VSI!$C:$C,Results_list!$C$25,SSP5_VSI!$D:$D,Results_list!$D32,SSP5_VSI!$B:$B,2040)) - (SUMIFS(SSP5_VSI!$F:$F,SSP5_VSI!$C:$C,Results_list!$C$25,SSP5_VSI!$D:$D,Results_list!$D32,SSP5_VSI!$B:$B,2025))) / (SUMIFS(SSP5_VSI!$F:$F,SSP5_VSI!$C:$C,Results_list!$C$25,SSP5_VSI!$D:$D,Results_list!$D32,SSP5_VSI!$B:$B,2025))</f>
        <v>0.78718274913265074</v>
      </c>
      <c r="O32" s="52">
        <f t="shared" si="8"/>
        <v>0</v>
      </c>
      <c r="P32" s="38"/>
      <c r="Q32" s="105"/>
      <c r="R32" s="106"/>
      <c r="S32" s="38" t="s">
        <v>46</v>
      </c>
      <c r="T32" s="53" t="s">
        <v>71</v>
      </c>
      <c r="U32" s="47" t="s">
        <v>94</v>
      </c>
      <c r="V32" s="48">
        <v>1.6838149698773157</v>
      </c>
      <c r="W32" s="49">
        <v>1.6837602586377785</v>
      </c>
      <c r="X32" s="52">
        <f t="shared" si="9"/>
        <v>0</v>
      </c>
      <c r="Y32" s="48">
        <v>2.6232526530525146</v>
      </c>
      <c r="Z32" s="49">
        <v>2.6233272821759446</v>
      </c>
      <c r="AA32" s="52">
        <f t="shared" si="10"/>
        <v>0</v>
      </c>
      <c r="AB32" s="48">
        <v>1.3246243242320019</v>
      </c>
      <c r="AC32" s="49">
        <v>1.324691096433483</v>
      </c>
      <c r="AD32" s="52">
        <f t="shared" si="11"/>
        <v>0</v>
      </c>
    </row>
    <row r="33" spans="2:30" ht="16" x14ac:dyDescent="0.4">
      <c r="B33" s="107"/>
      <c r="C33" s="103"/>
      <c r="D33" s="38" t="s">
        <v>47</v>
      </c>
      <c r="E33" s="38"/>
      <c r="F33" s="47" t="s">
        <v>95</v>
      </c>
      <c r="G33" s="48">
        <f>((SUMIFS(SSP1_Baseline!$E:$E,SSP1_Baseline!$C:$C,Results_list!$C$25,SSP1_Baseline!$D:$D,Results_list!$D33,SSP1_Baseline!$B:$B,2040)) - (SUMIFS(SSP1_Baseline!$E:$E,SSP1_Baseline!$C:$C,Results_list!$C$25,SSP1_Baseline!$D:$D,Results_list!$D33,SSP1_Baseline!$B:$B,2025))) / (SUMIFS(SSP1_Baseline!$E:$E,SSP1_Baseline!$C:$C,Results_list!$C$25,SSP1_Baseline!$D:$D,Results_list!$D33,SSP1_Baseline!$B:$B,2025))</f>
        <v>-8.4458413175465208E-2</v>
      </c>
      <c r="H33" s="49">
        <f>((SUMIFS(SSP1_VSI!$F:$F,SSP1_VSI!$C:$C,Results_list!$C$25,SSP1_VSI!$D:$D,Results_list!$D33,SSP1_VSI!$B:$B,2040)) - (SUMIFS(SSP1_VSI!$F:$F,SSP1_VSI!$C:$C,Results_list!$C$25,SSP1_VSI!$D:$D,Results_list!$D33,SSP1_VSI!$B:$B,2025))) / (SUMIFS(SSP1_VSI!$F:$F,SSP1_VSI!$C:$C,Results_list!$C$25,SSP1_VSI!$D:$D,Results_list!$D33,SSP1_VSI!$B:$B,2025))</f>
        <v>-8.4454944171819882E-2</v>
      </c>
      <c r="I33" s="52">
        <f t="shared" si="6"/>
        <v>0</v>
      </c>
      <c r="J33" s="48">
        <f>((SUMIFS(SSP2_Baseline!$E:$E,SSP2_Baseline!$C:$C,Results_list!$C$25,SSP2_Baseline!$D:$D,Results_list!$D33,SSP2_Baseline!$B:$B,2040)) - (SUMIFS(SSP2_Baseline!$E:$E,SSP2_Baseline!$C:$C,Results_list!$C$25,SSP2_Baseline!$D:$D,Results_list!$D33,SSP2_Baseline!$B:$B,2025))) / (SUMIFS(SSP2_Baseline!$E:$E,SSP2_Baseline!$C:$C,Results_list!$C$25,SSP2_Baseline!$D:$D,Results_list!$D33,SSP2_Baseline!$B:$B,2025))</f>
        <v>-7.4806430681133504E-2</v>
      </c>
      <c r="K33" s="49">
        <f>((SUMIFS(SSP2_VSI!$F:$F,SSP2_VSI!$C:$C,Results_list!$C$25,SSP2_VSI!$D:$D,Results_list!$D33,SSP2_VSI!$B:$B,2040)) - (SUMIFS(SSP2_VSI!$F:$F,SSP2_VSI!$C:$C,Results_list!$C$25,SSP2_VSI!$D:$D,Results_list!$D33,SSP2_VSI!$B:$B,2025))) / (SUMIFS(SSP2_VSI!$F:$F,SSP2_VSI!$C:$C,Results_list!$C$25,SSP2_VSI!$D:$D,Results_list!$D33,SSP2_VSI!$B:$B,2025))</f>
        <v>-7.4805325686896851E-2</v>
      </c>
      <c r="L33" s="52">
        <f t="shared" si="7"/>
        <v>0</v>
      </c>
      <c r="M33" s="48">
        <f>((SUMIFS(SSP5_Baseline!$E:$E,SSP5_Baseline!$C:$C,Results_list!$C$25,SSP5_Baseline!$D:$D,Results_list!$D33,SSP5_Baseline!$B:$B,2040)) - (SUMIFS(SSP5_Baseline!$E:$E,SSP5_Baseline!$C:$C,Results_list!$C$25,SSP5_Baseline!$D:$D,Results_list!$D33,SSP5_Baseline!$B:$B,2025))) / (SUMIFS(SSP5_Baseline!$E:$E,SSP5_Baseline!$C:$C,Results_list!$C$25,SSP5_Baseline!$D:$D,Results_list!$D33,SSP5_Baseline!$B:$B,2025))</f>
        <v>-6.2778742603698007E-2</v>
      </c>
      <c r="N33" s="49">
        <f>((SUMIFS(SSP5_VSI!$F:$F,SSP5_VSI!$C:$C,Results_list!$C$25,SSP5_VSI!$D:$D,Results_list!$D33,SSP5_VSI!$B:$B,2040)) - (SUMIFS(SSP5_VSI!$F:$F,SSP5_VSI!$C:$C,Results_list!$C$25,SSP5_VSI!$D:$D,Results_list!$D33,SSP5_VSI!$B:$B,2025))) / (SUMIFS(SSP5_VSI!$F:$F,SSP5_VSI!$C:$C,Results_list!$C$25,SSP5_VSI!$D:$D,Results_list!$D33,SSP5_VSI!$B:$B,2025))</f>
        <v>-6.2762100121513717E-2</v>
      </c>
      <c r="O33" s="52">
        <f t="shared" si="8"/>
        <v>0</v>
      </c>
      <c r="P33" s="38"/>
      <c r="Q33" s="105"/>
      <c r="R33" s="106"/>
      <c r="S33" s="38" t="s">
        <v>47</v>
      </c>
      <c r="T33" s="53" t="s">
        <v>71</v>
      </c>
      <c r="U33" s="47" t="s">
        <v>95</v>
      </c>
      <c r="V33" s="48">
        <v>-0.34607390644718583</v>
      </c>
      <c r="W33" s="49">
        <v>-0.34607221322496867</v>
      </c>
      <c r="X33" s="52">
        <f t="shared" si="9"/>
        <v>0</v>
      </c>
      <c r="Y33" s="48">
        <v>-0.36160850176032616</v>
      </c>
      <c r="Z33" s="49">
        <v>-0.36160759934223663</v>
      </c>
      <c r="AA33" s="52">
        <f t="shared" si="10"/>
        <v>0</v>
      </c>
      <c r="AB33" s="48">
        <v>0.53976498213283775</v>
      </c>
      <c r="AC33" s="49">
        <v>0.53976528821449166</v>
      </c>
      <c r="AD33" s="52">
        <f t="shared" si="11"/>
        <v>0</v>
      </c>
    </row>
    <row r="34" spans="2:30" ht="14.5" hidden="1" customHeight="1" x14ac:dyDescent="0.4">
      <c r="B34" s="107"/>
      <c r="C34" s="103"/>
      <c r="D34" s="38" t="s">
        <v>48</v>
      </c>
      <c r="E34" s="38"/>
      <c r="F34" s="47" t="s">
        <v>96</v>
      </c>
      <c r="G34" s="48">
        <f>((SUMIFS(SSP1_Baseline!$E:$E,SSP1_Baseline!$C:$C,Results_list!$C$25,SSP1_Baseline!$D:$D,Results_list!$D34,SSP1_Baseline!$B:$B,2040)) - (SUMIFS(SSP1_Baseline!$E:$E,SSP1_Baseline!$C:$C,Results_list!$C$25,SSP1_Baseline!$D:$D,Results_list!$D34,SSP1_Baseline!$B:$B,2025))) / (SUMIFS(SSP1_Baseline!$E:$E,SSP1_Baseline!$C:$C,Results_list!$C$25,SSP1_Baseline!$D:$D,Results_list!$D34,SSP1_Baseline!$B:$B,2025))</f>
        <v>6.7256080878136458E-4</v>
      </c>
      <c r="H34" s="49">
        <f>((SUMIFS(SSP1_VSI!$F:$F,SSP1_VSI!$C:$C,Results_list!$C$25,SSP1_VSI!$D:$D,Results_list!$D34,SSP1_VSI!$B:$B,2040)) - (SUMIFS(SSP1_VSI!$F:$F,SSP1_VSI!$C:$C,Results_list!$C$25,SSP1_VSI!$D:$D,Results_list!$D34,SSP1_VSI!$B:$B,2025))) / (SUMIFS(SSP1_VSI!$F:$F,SSP1_VSI!$C:$C,Results_list!$C$25,SSP1_VSI!$D:$D,Results_list!$D34,SSP1_VSI!$B:$B,2025))</f>
        <v>6.7260349323779449E-4</v>
      </c>
      <c r="I34" s="52">
        <f t="shared" si="6"/>
        <v>0</v>
      </c>
      <c r="J34" s="48">
        <f>((SUMIFS(SSP2_Baseline!$E:$E,SSP2_Baseline!$C:$C,Results_list!$C$25,SSP2_Baseline!$D:$D,Results_list!$D34,SSP2_Baseline!$B:$B,2040)) - (SUMIFS(SSP2_Baseline!$E:$E,SSP2_Baseline!$C:$C,Results_list!$C$25,SSP2_Baseline!$D:$D,Results_list!$D34,SSP2_Baseline!$B:$B,2025))) / (SUMIFS(SSP2_Baseline!$E:$E,SSP2_Baseline!$C:$C,Results_list!$C$25,SSP2_Baseline!$D:$D,Results_list!$D34,SSP2_Baseline!$B:$B,2025))</f>
        <v>5.9459826086759792E-4</v>
      </c>
      <c r="K34" s="49">
        <f>((SUMIFS(SSP2_VSI!$F:$F,SSP2_VSI!$C:$C,Results_list!$C$25,SSP2_VSI!$D:$D,Results_list!$D34,SSP2_VSI!$B:$B,2040)) - (SUMIFS(SSP2_VSI!$F:$F,SSP2_VSI!$C:$C,Results_list!$C$25,SSP2_VSI!$D:$D,Results_list!$D34,SSP2_VSI!$B:$B,2025))) / (SUMIFS(SSP2_VSI!$F:$F,SSP2_VSI!$C:$C,Results_list!$C$25,SSP2_VSI!$D:$D,Results_list!$D34,SSP2_VSI!$B:$B,2025))</f>
        <v>5.9459904610944527E-4</v>
      </c>
      <c r="L34" s="52">
        <f t="shared" si="7"/>
        <v>0</v>
      </c>
      <c r="M34" s="48">
        <f>((SUMIFS(SSP5_Baseline!$E:$E,SSP5_Baseline!$C:$C,Results_list!$C$25,SSP5_Baseline!$D:$D,Results_list!$D34,SSP5_Baseline!$B:$B,2040)) - (SUMIFS(SSP5_Baseline!$E:$E,SSP5_Baseline!$C:$C,Results_list!$C$25,SSP5_Baseline!$D:$D,Results_list!$D34,SSP5_Baseline!$B:$B,2025))) / (SUMIFS(SSP5_Baseline!$E:$E,SSP5_Baseline!$C:$C,Results_list!$C$25,SSP5_Baseline!$D:$D,Results_list!$D34,SSP5_Baseline!$B:$B,2025))</f>
        <v>1.9840484626480778E-4</v>
      </c>
      <c r="N34" s="49">
        <f>((SUMIFS(SSP5_VSI!$F:$F,SSP5_VSI!$C:$C,Results_list!$C$25,SSP5_VSI!$D:$D,Results_list!$D34,SSP5_VSI!$B:$B,2040)) - (SUMIFS(SSP5_VSI!$F:$F,SSP5_VSI!$C:$C,Results_list!$C$25,SSP5_VSI!$D:$D,Results_list!$D34,SSP5_VSI!$B:$B,2025))) / (SUMIFS(SSP5_VSI!$F:$F,SSP5_VSI!$C:$C,Results_list!$C$25,SSP5_VSI!$D:$D,Results_list!$D34,SSP5_VSI!$B:$B,2025))</f>
        <v>1.9847237082729082E-4</v>
      </c>
      <c r="O34" s="52">
        <f t="shared" si="8"/>
        <v>0</v>
      </c>
      <c r="P34" s="38"/>
      <c r="Q34" s="105"/>
      <c r="R34" s="106"/>
      <c r="S34" s="38" t="s">
        <v>48</v>
      </c>
      <c r="T34" s="53" t="s">
        <v>71</v>
      </c>
      <c r="U34" s="47" t="s">
        <v>96</v>
      </c>
      <c r="V34" s="48">
        <v>2.8169822696651321E-2</v>
      </c>
      <c r="W34" s="49">
        <v>2.8174938255964819E-2</v>
      </c>
      <c r="X34" s="52">
        <f t="shared" si="9"/>
        <v>0</v>
      </c>
      <c r="Y34" s="48">
        <v>-3.1359532153289555E-3</v>
      </c>
      <c r="Z34" s="49">
        <v>-3.1354846712260622E-3</v>
      </c>
      <c r="AA34" s="52">
        <f t="shared" si="10"/>
        <v>0</v>
      </c>
      <c r="AB34" s="48">
        <v>-6.3459846933188345E-3</v>
      </c>
      <c r="AC34" s="49">
        <v>-6.3423300269026817E-3</v>
      </c>
      <c r="AD34" s="52">
        <f t="shared" si="11"/>
        <v>0</v>
      </c>
    </row>
    <row r="35" spans="2:30" ht="16" x14ac:dyDescent="0.4">
      <c r="B35" s="107"/>
      <c r="C35" s="103"/>
      <c r="D35" s="38" t="s">
        <v>49</v>
      </c>
      <c r="E35" s="38"/>
      <c r="F35" s="47" t="s">
        <v>97</v>
      </c>
      <c r="G35" s="48">
        <f>((SUMIFS(SSP1_Baseline!$E:$E,SSP1_Baseline!$C:$C,Results_list!$C$25,SSP1_Baseline!$D:$D,Results_list!$D35,SSP1_Baseline!$B:$B,2040)) - (SUMIFS(SSP1_Baseline!$E:$E,SSP1_Baseline!$C:$C,Results_list!$C$25,SSP1_Baseline!$D:$D,Results_list!$D35,SSP1_Baseline!$B:$B,2025))) / (SUMIFS(SSP1_Baseline!$E:$E,SSP1_Baseline!$C:$C,Results_list!$C$25,SSP1_Baseline!$D:$D,Results_list!$D35,SSP1_Baseline!$B:$B,2025))</f>
        <v>-6.706235635617365E-2</v>
      </c>
      <c r="H35" s="49">
        <f>((SUMIFS(SSP1_VSI!$F:$F,SSP1_VSI!$C:$C,Results_list!$C$25,SSP1_VSI!$D:$D,Results_list!$D35,SSP1_VSI!$B:$B,2040)) - (SUMIFS(SSP1_VSI!$F:$F,SSP1_VSI!$C:$C,Results_list!$C$25,SSP1_VSI!$D:$D,Results_list!$D35,SSP1_VSI!$B:$B,2025))) / (SUMIFS(SSP1_VSI!$F:$F,SSP1_VSI!$C:$C,Results_list!$C$25,SSP1_VSI!$D:$D,Results_list!$D35,SSP1_VSI!$B:$B,2025))</f>
        <v>-0.28687089252164411</v>
      </c>
      <c r="I35" s="52">
        <f t="shared" si="6"/>
        <v>-0.22</v>
      </c>
      <c r="J35" s="48">
        <f>((SUMIFS(SSP2_Baseline!$E:$E,SSP2_Baseline!$C:$C,Results_list!$C$25,SSP2_Baseline!$D:$D,Results_list!$D35,SSP2_Baseline!$B:$B,2040)) - (SUMIFS(SSP2_Baseline!$E:$E,SSP2_Baseline!$C:$C,Results_list!$C$25,SSP2_Baseline!$D:$D,Results_list!$D35,SSP2_Baseline!$B:$B,2025))) / (SUMIFS(SSP2_Baseline!$E:$E,SSP2_Baseline!$C:$C,Results_list!$C$25,SSP2_Baseline!$D:$D,Results_list!$D35,SSP2_Baseline!$B:$B,2025))</f>
        <v>-6.2316201189540885E-2</v>
      </c>
      <c r="K35" s="49">
        <f>((SUMIFS(SSP2_VSI!$F:$F,SSP2_VSI!$C:$C,Results_list!$C$25,SSP2_VSI!$D:$D,Results_list!$D35,SSP2_VSI!$B:$B,2040)) - (SUMIFS(SSP2_VSI!$F:$F,SSP2_VSI!$C:$C,Results_list!$C$25,SSP2_VSI!$D:$D,Results_list!$D35,SSP2_VSI!$B:$B,2025))) / (SUMIFS(SSP2_VSI!$F:$F,SSP2_VSI!$C:$C,Results_list!$C$25,SSP2_VSI!$D:$D,Results_list!$D35,SSP2_VSI!$B:$B,2025))</f>
        <v>-0.28343886659855266</v>
      </c>
      <c r="L35" s="52">
        <f t="shared" si="7"/>
        <v>-0.22</v>
      </c>
      <c r="M35" s="48">
        <f>((SUMIFS(SSP5_Baseline!$E:$E,SSP5_Baseline!$C:$C,Results_list!$C$25,SSP5_Baseline!$D:$D,Results_list!$D35,SSP5_Baseline!$B:$B,2040)) - (SUMIFS(SSP5_Baseline!$E:$E,SSP5_Baseline!$C:$C,Results_list!$C$25,SSP5_Baseline!$D:$D,Results_list!$D35,SSP5_Baseline!$B:$B,2025))) / (SUMIFS(SSP5_Baseline!$E:$E,SSP5_Baseline!$C:$C,Results_list!$C$25,SSP5_Baseline!$D:$D,Results_list!$D35,SSP5_Baseline!$B:$B,2025))</f>
        <v>-5.813991024907935E-2</v>
      </c>
      <c r="N35" s="49">
        <f>((SUMIFS(SSP5_VSI!$F:$F,SSP5_VSI!$C:$C,Results_list!$C$25,SSP5_VSI!$D:$D,Results_list!$D35,SSP5_VSI!$B:$B,2040)) - (SUMIFS(SSP5_VSI!$F:$F,SSP5_VSI!$C:$C,Results_list!$C$25,SSP5_VSI!$D:$D,Results_list!$D35,SSP5_VSI!$B:$B,2025))) / (SUMIFS(SSP5_VSI!$F:$F,SSP5_VSI!$C:$C,Results_list!$C$25,SSP5_VSI!$D:$D,Results_list!$D35,SSP5_VSI!$B:$B,2025))</f>
        <v>-0.28098127408401313</v>
      </c>
      <c r="O35" s="52">
        <f t="shared" si="8"/>
        <v>-0.22</v>
      </c>
      <c r="P35" s="38"/>
      <c r="Q35" s="105"/>
      <c r="R35" s="106"/>
      <c r="S35" s="38" t="s">
        <v>49</v>
      </c>
      <c r="T35" s="53" t="s">
        <v>71</v>
      </c>
      <c r="U35" s="47" t="s">
        <v>97</v>
      </c>
      <c r="V35" s="48">
        <v>-0.11976471297503961</v>
      </c>
      <c r="W35" s="49">
        <v>-0.11976527876377056</v>
      </c>
      <c r="X35" s="52">
        <f t="shared" si="9"/>
        <v>0</v>
      </c>
      <c r="Y35" s="48">
        <v>-0.10845526724973077</v>
      </c>
      <c r="Z35" s="49">
        <v>-0.10845397986199301</v>
      </c>
      <c r="AA35" s="52">
        <f t="shared" si="10"/>
        <v>0</v>
      </c>
      <c r="AB35" s="48">
        <v>-8.3497076856163699E-2</v>
      </c>
      <c r="AC35" s="49">
        <v>-8.349669930704115E-2</v>
      </c>
      <c r="AD35" s="52">
        <f t="shared" si="11"/>
        <v>0</v>
      </c>
    </row>
    <row r="36" spans="2:30" ht="14.5" hidden="1" customHeight="1" x14ac:dyDescent="0.4">
      <c r="B36" s="107"/>
      <c r="C36" s="103"/>
      <c r="D36" s="38" t="s">
        <v>50</v>
      </c>
      <c r="E36" s="38"/>
      <c r="F36" s="47" t="s">
        <v>98</v>
      </c>
      <c r="G36" s="48">
        <f>((SUMIFS(SSP1_Baseline!$E:$E,SSP1_Baseline!$C:$C,Results_list!$C$25,SSP1_Baseline!$D:$D,Results_list!$D36,SSP1_Baseline!$B:$B,2040)) - (SUMIFS(SSP1_Baseline!$E:$E,SSP1_Baseline!$C:$C,Results_list!$C$25,SSP1_Baseline!$D:$D,Results_list!$D36,SSP1_Baseline!$B:$B,2025))) / (SUMIFS(SSP1_Baseline!$E:$E,SSP1_Baseline!$C:$C,Results_list!$C$25,SSP1_Baseline!$D:$D,Results_list!$D36,SSP1_Baseline!$B:$B,2025))</f>
        <v>-4.3580318462288929E-2</v>
      </c>
      <c r="H36" s="49">
        <f>((SUMIFS(SSP1_VSI!$F:$F,SSP1_VSI!$C:$C,Results_list!$C$25,SSP1_VSI!$D:$D,Results_list!$D36,SSP1_VSI!$B:$B,2040)) - (SUMIFS(SSP1_VSI!$F:$F,SSP1_VSI!$C:$C,Results_list!$C$25,SSP1_VSI!$D:$D,Results_list!$D36,SSP1_VSI!$B:$B,2025))) / (SUMIFS(SSP1_VSI!$F:$F,SSP1_VSI!$C:$C,Results_list!$C$25,SSP1_VSI!$D:$D,Results_list!$D36,SSP1_VSI!$B:$B,2025))</f>
        <v>-4.3581195609398465E-2</v>
      </c>
      <c r="I36" s="52">
        <f t="shared" si="6"/>
        <v>0</v>
      </c>
      <c r="J36" s="48">
        <f>((SUMIFS(SSP2_Baseline!$E:$E,SSP2_Baseline!$C:$C,Results_list!$C$25,SSP2_Baseline!$D:$D,Results_list!$D36,SSP2_Baseline!$B:$B,2040)) - (SUMIFS(SSP2_Baseline!$E:$E,SSP2_Baseline!$C:$C,Results_list!$C$25,SSP2_Baseline!$D:$D,Results_list!$D36,SSP2_Baseline!$B:$B,2025))) / (SUMIFS(SSP2_Baseline!$E:$E,SSP2_Baseline!$C:$C,Results_list!$C$25,SSP2_Baseline!$D:$D,Results_list!$D36,SSP2_Baseline!$B:$B,2025))</f>
        <v>4.1863249934363592E-3</v>
      </c>
      <c r="K36" s="49">
        <f>((SUMIFS(SSP2_VSI!$F:$F,SSP2_VSI!$C:$C,Results_list!$C$25,SSP2_VSI!$D:$D,Results_list!$D36,SSP2_VSI!$B:$B,2040)) - (SUMIFS(SSP2_VSI!$F:$F,SSP2_VSI!$C:$C,Results_list!$C$25,SSP2_VSI!$D:$D,Results_list!$D36,SSP2_VSI!$B:$B,2025))) / (SUMIFS(SSP2_VSI!$F:$F,SSP2_VSI!$C:$C,Results_list!$C$25,SSP2_VSI!$D:$D,Results_list!$D36,SSP2_VSI!$B:$B,2025))</f>
        <v>4.185871460734748E-3</v>
      </c>
      <c r="L36" s="52">
        <f t="shared" si="7"/>
        <v>0</v>
      </c>
      <c r="M36" s="48">
        <f>((SUMIFS(SSP5_Baseline!$E:$E,SSP5_Baseline!$C:$C,Results_list!$C$25,SSP5_Baseline!$D:$D,Results_list!$D36,SSP5_Baseline!$B:$B,2040)) - (SUMIFS(SSP5_Baseline!$E:$E,SSP5_Baseline!$C:$C,Results_list!$C$25,SSP5_Baseline!$D:$D,Results_list!$D36,SSP5_Baseline!$B:$B,2025))) / (SUMIFS(SSP5_Baseline!$E:$E,SSP5_Baseline!$C:$C,Results_list!$C$25,SSP5_Baseline!$D:$D,Results_list!$D36,SSP5_Baseline!$B:$B,2025))</f>
        <v>3.5301876837811545E-2</v>
      </c>
      <c r="N36" s="49">
        <f>((SUMIFS(SSP5_VSI!$F:$F,SSP5_VSI!$C:$C,Results_list!$C$25,SSP5_VSI!$D:$D,Results_list!$D36,SSP5_VSI!$B:$B,2040)) - (SUMIFS(SSP5_VSI!$F:$F,SSP5_VSI!$C:$C,Results_list!$C$25,SSP5_VSI!$D:$D,Results_list!$D36,SSP5_VSI!$B:$B,2025))) / (SUMIFS(SSP5_VSI!$F:$F,SSP5_VSI!$C:$C,Results_list!$C$25,SSP5_VSI!$D:$D,Results_list!$D36,SSP5_VSI!$B:$B,2025))</f>
        <v>3.5303796393149976E-2</v>
      </c>
      <c r="O36" s="52">
        <f t="shared" si="8"/>
        <v>0</v>
      </c>
      <c r="P36" s="38"/>
      <c r="Q36" s="105"/>
      <c r="R36" s="106"/>
      <c r="S36" s="38" t="s">
        <v>50</v>
      </c>
      <c r="T36" s="53" t="s">
        <v>71</v>
      </c>
      <c r="U36" s="47" t="s">
        <v>98</v>
      </c>
      <c r="V36" s="48">
        <v>-7.2032682277933344E-2</v>
      </c>
      <c r="W36" s="49">
        <v>-7.2032379516267078E-2</v>
      </c>
      <c r="X36" s="52">
        <f t="shared" si="9"/>
        <v>0</v>
      </c>
      <c r="Y36" s="48">
        <v>-3.0235527349809513E-2</v>
      </c>
      <c r="Z36" s="49">
        <v>-3.0235695730082821E-2</v>
      </c>
      <c r="AA36" s="52">
        <f t="shared" si="10"/>
        <v>0</v>
      </c>
      <c r="AB36" s="48">
        <v>2.0971769935994141E-2</v>
      </c>
      <c r="AC36" s="49">
        <v>2.097480864890296E-2</v>
      </c>
      <c r="AD36" s="52">
        <f t="shared" si="11"/>
        <v>0</v>
      </c>
    </row>
    <row r="37" spans="2:30" ht="14.5" hidden="1" customHeight="1" x14ac:dyDescent="0.4">
      <c r="B37" s="107"/>
      <c r="C37" s="103"/>
      <c r="D37" s="38" t="s">
        <v>51</v>
      </c>
      <c r="E37" s="38"/>
      <c r="F37" s="47" t="s">
        <v>99</v>
      </c>
      <c r="G37" s="48">
        <f>((SUMIFS(SSP1_Baseline!$E:$E,SSP1_Baseline!$C:$C,Results_list!$C$25,SSP1_Baseline!$D:$D,Results_list!$D37,SSP1_Baseline!$B:$B,2040)) - (SUMIFS(SSP1_Baseline!$E:$E,SSP1_Baseline!$C:$C,Results_list!$C$25,SSP1_Baseline!$D:$D,Results_list!$D37,SSP1_Baseline!$B:$B,2025))) / (SUMIFS(SSP1_Baseline!$E:$E,SSP1_Baseline!$C:$C,Results_list!$C$25,SSP1_Baseline!$D:$D,Results_list!$D37,SSP1_Baseline!$B:$B,2025))</f>
        <v>2.9220503694356234E-2</v>
      </c>
      <c r="H37" s="49">
        <f>((SUMIFS(SSP1_VSI!$F:$F,SSP1_VSI!$C:$C,Results_list!$C$25,SSP1_VSI!$D:$D,Results_list!$D37,SSP1_VSI!$B:$B,2040)) - (SUMIFS(SSP1_VSI!$F:$F,SSP1_VSI!$C:$C,Results_list!$C$25,SSP1_VSI!$D:$D,Results_list!$D37,SSP1_VSI!$B:$B,2025))) / (SUMIFS(SSP1_VSI!$F:$F,SSP1_VSI!$C:$C,Results_list!$C$25,SSP1_VSI!$D:$D,Results_list!$D37,SSP1_VSI!$B:$B,2025))</f>
        <v>2.9218341667715069E-2</v>
      </c>
      <c r="I37" s="52">
        <f t="shared" si="6"/>
        <v>0</v>
      </c>
      <c r="J37" s="48">
        <f>((SUMIFS(SSP2_Baseline!$E:$E,SSP2_Baseline!$C:$C,Results_list!$C$25,SSP2_Baseline!$D:$D,Results_list!$D37,SSP2_Baseline!$B:$B,2040)) - (SUMIFS(SSP2_Baseline!$E:$E,SSP2_Baseline!$C:$C,Results_list!$C$25,SSP2_Baseline!$D:$D,Results_list!$D37,SSP2_Baseline!$B:$B,2025))) / (SUMIFS(SSP2_Baseline!$E:$E,SSP2_Baseline!$C:$C,Results_list!$C$25,SSP2_Baseline!$D:$D,Results_list!$D37,SSP2_Baseline!$B:$B,2025))</f>
        <v>2.5780352961603248E-2</v>
      </c>
      <c r="K37" s="49">
        <f>((SUMIFS(SSP2_VSI!$F:$F,SSP2_VSI!$C:$C,Results_list!$C$25,SSP2_VSI!$D:$D,Results_list!$D37,SSP2_VSI!$B:$B,2040)) - (SUMIFS(SSP2_VSI!$F:$F,SSP2_VSI!$C:$C,Results_list!$C$25,SSP2_VSI!$D:$D,Results_list!$D37,SSP2_VSI!$B:$B,2025))) / (SUMIFS(SSP2_VSI!$F:$F,SSP2_VSI!$C:$C,Results_list!$C$25,SSP2_VSI!$D:$D,Results_list!$D37,SSP2_VSI!$B:$B,2025))</f>
        <v>2.576544957156068E-2</v>
      </c>
      <c r="L37" s="52">
        <f t="shared" si="7"/>
        <v>0</v>
      </c>
      <c r="M37" s="48">
        <f>((SUMIFS(SSP5_Baseline!$E:$E,SSP5_Baseline!$C:$C,Results_list!$C$25,SSP5_Baseline!$D:$D,Results_list!$D37,SSP5_Baseline!$B:$B,2040)) - (SUMIFS(SSP5_Baseline!$E:$E,SSP5_Baseline!$C:$C,Results_list!$C$25,SSP5_Baseline!$D:$D,Results_list!$D37,SSP5_Baseline!$B:$B,2025))) / (SUMIFS(SSP5_Baseline!$E:$E,SSP5_Baseline!$C:$C,Results_list!$C$25,SSP5_Baseline!$D:$D,Results_list!$D37,SSP5_Baseline!$B:$B,2025))</f>
        <v>-2.1822914503460824E-2</v>
      </c>
      <c r="N37" s="49">
        <f>((SUMIFS(SSP5_VSI!$F:$F,SSP5_VSI!$C:$C,Results_list!$C$25,SSP5_VSI!$D:$D,Results_list!$D37,SSP5_VSI!$B:$B,2040)) - (SUMIFS(SSP5_VSI!$F:$F,SSP5_VSI!$C:$C,Results_list!$C$25,SSP5_VSI!$D:$D,Results_list!$D37,SSP5_VSI!$B:$B,2025))) / (SUMIFS(SSP5_VSI!$F:$F,SSP5_VSI!$C:$C,Results_list!$C$25,SSP5_VSI!$D:$D,Results_list!$D37,SSP5_VSI!$B:$B,2025))</f>
        <v>-2.1818166596064573E-2</v>
      </c>
      <c r="O37" s="52">
        <f t="shared" si="8"/>
        <v>0</v>
      </c>
      <c r="P37" s="38"/>
      <c r="Q37" s="105"/>
      <c r="R37" s="106"/>
      <c r="S37" s="38" t="s">
        <v>51</v>
      </c>
      <c r="T37" s="53" t="s">
        <v>71</v>
      </c>
      <c r="U37" s="47" t="s">
        <v>99</v>
      </c>
      <c r="V37" s="48">
        <v>1.1050581331186892E-2</v>
      </c>
      <c r="W37" s="49">
        <v>1.1050090616525595E-2</v>
      </c>
      <c r="X37" s="52">
        <f t="shared" si="9"/>
        <v>0</v>
      </c>
      <c r="Y37" s="48">
        <v>1.0384301777574437E-2</v>
      </c>
      <c r="Z37" s="49">
        <v>1.0388113145066992E-2</v>
      </c>
      <c r="AA37" s="52">
        <f t="shared" si="10"/>
        <v>0</v>
      </c>
      <c r="AB37" s="48">
        <v>-6.876283049095088E-4</v>
      </c>
      <c r="AC37" s="49">
        <v>-6.8868355515038339E-4</v>
      </c>
      <c r="AD37" s="52">
        <f t="shared" si="11"/>
        <v>0</v>
      </c>
    </row>
    <row r="38" spans="2:30" ht="14.5" hidden="1" customHeight="1" x14ac:dyDescent="0.4">
      <c r="B38" s="107"/>
      <c r="C38" s="103"/>
      <c r="D38" s="38" t="s">
        <v>52</v>
      </c>
      <c r="E38" s="38"/>
      <c r="F38" s="47" t="s">
        <v>100</v>
      </c>
      <c r="G38" s="48">
        <f>((SUMIFS(SSP1_Baseline!$E:$E,SSP1_Baseline!$C:$C,Results_list!$C$25,SSP1_Baseline!$D:$D,Results_list!$D38,SSP1_Baseline!$B:$B,2040)) - (SUMIFS(SSP1_Baseline!$E:$E,SSP1_Baseline!$C:$C,Results_list!$C$25,SSP1_Baseline!$D:$D,Results_list!$D38,SSP1_Baseline!$B:$B,2025))) / (SUMIFS(SSP1_Baseline!$E:$E,SSP1_Baseline!$C:$C,Results_list!$C$25,SSP1_Baseline!$D:$D,Results_list!$D38,SSP1_Baseline!$B:$B,2025))</f>
        <v>-0.37864131479667079</v>
      </c>
      <c r="H38" s="49">
        <f>((SUMIFS(SSP1_VSI!$F:$F,SSP1_VSI!$C:$C,Results_list!$C$25,SSP1_VSI!$D:$D,Results_list!$D38,SSP1_VSI!$B:$B,2040)) - (SUMIFS(SSP1_VSI!$F:$F,SSP1_VSI!$C:$C,Results_list!$C$25,SSP1_VSI!$D:$D,Results_list!$D38,SSP1_VSI!$B:$B,2025))) / (SUMIFS(SSP1_VSI!$F:$F,SSP1_VSI!$C:$C,Results_list!$C$25,SSP1_VSI!$D:$D,Results_list!$D38,SSP1_VSI!$B:$B,2025))</f>
        <v>-0.37860207867392826</v>
      </c>
      <c r="I38" s="52">
        <f t="shared" si="6"/>
        <v>0</v>
      </c>
      <c r="J38" s="48">
        <f>((SUMIFS(SSP2_Baseline!$E:$E,SSP2_Baseline!$C:$C,Results_list!$C$25,SSP2_Baseline!$D:$D,Results_list!$D38,SSP2_Baseline!$B:$B,2040)) - (SUMIFS(SSP2_Baseline!$E:$E,SSP2_Baseline!$C:$C,Results_list!$C$25,SSP2_Baseline!$D:$D,Results_list!$D38,SSP2_Baseline!$B:$B,2025))) / (SUMIFS(SSP2_Baseline!$E:$E,SSP2_Baseline!$C:$C,Results_list!$C$25,SSP2_Baseline!$D:$D,Results_list!$D38,SSP2_Baseline!$B:$B,2025))</f>
        <v>-0.36479841099997184</v>
      </c>
      <c r="K38" s="49">
        <f>((SUMIFS(SSP2_VSI!$F:$F,SSP2_VSI!$C:$C,Results_list!$C$25,SSP2_VSI!$D:$D,Results_list!$D38,SSP2_VSI!$B:$B,2040)) - (SUMIFS(SSP2_VSI!$F:$F,SSP2_VSI!$C:$C,Results_list!$C$25,SSP2_VSI!$D:$D,Results_list!$D38,SSP2_VSI!$B:$B,2025))) / (SUMIFS(SSP2_VSI!$F:$F,SSP2_VSI!$C:$C,Results_list!$C$25,SSP2_VSI!$D:$D,Results_list!$D38,SSP2_VSI!$B:$B,2025))</f>
        <v>-0.36471912941054668</v>
      </c>
      <c r="L38" s="52">
        <f t="shared" si="7"/>
        <v>0</v>
      </c>
      <c r="M38" s="48">
        <f>((SUMIFS(SSP5_Baseline!$E:$E,SSP5_Baseline!$C:$C,Results_list!$C$25,SSP5_Baseline!$D:$D,Results_list!$D38,SSP5_Baseline!$B:$B,2040)) - (SUMIFS(SSP5_Baseline!$E:$E,SSP5_Baseline!$C:$C,Results_list!$C$25,SSP5_Baseline!$D:$D,Results_list!$D38,SSP5_Baseline!$B:$B,2025))) / (SUMIFS(SSP5_Baseline!$E:$E,SSP5_Baseline!$C:$C,Results_list!$C$25,SSP5_Baseline!$D:$D,Results_list!$D38,SSP5_Baseline!$B:$B,2025))</f>
        <v>-9.2659979837748055E-2</v>
      </c>
      <c r="N38" s="49">
        <f>((SUMIFS(SSP5_VSI!$F:$F,SSP5_VSI!$C:$C,Results_list!$C$25,SSP5_VSI!$D:$D,Results_list!$D38,SSP5_VSI!$B:$B,2040)) - (SUMIFS(SSP5_VSI!$F:$F,SSP5_VSI!$C:$C,Results_list!$C$25,SSP5_VSI!$D:$D,Results_list!$D38,SSP5_VSI!$B:$B,2025))) / (SUMIFS(SSP5_VSI!$F:$F,SSP5_VSI!$C:$C,Results_list!$C$25,SSP5_VSI!$D:$D,Results_list!$D38,SSP5_VSI!$B:$B,2025))</f>
        <v>-9.2577315616835368E-2</v>
      </c>
      <c r="O38" s="52">
        <f t="shared" si="8"/>
        <v>0</v>
      </c>
      <c r="P38" s="38"/>
      <c r="Q38" s="105"/>
      <c r="R38" s="106"/>
      <c r="S38" s="38" t="s">
        <v>52</v>
      </c>
      <c r="T38" s="53" t="s">
        <v>71</v>
      </c>
      <c r="U38" s="47" t="s">
        <v>100</v>
      </c>
      <c r="V38" s="48">
        <v>-0.47793762488425662</v>
      </c>
      <c r="W38" s="49">
        <v>-0.47793609359725575</v>
      </c>
      <c r="X38" s="52">
        <f t="shared" si="9"/>
        <v>0</v>
      </c>
      <c r="Y38" s="48">
        <v>-0.31748340738067943</v>
      </c>
      <c r="Z38" s="49">
        <v>-0.31748417479447921</v>
      </c>
      <c r="AA38" s="52">
        <f t="shared" si="10"/>
        <v>0</v>
      </c>
      <c r="AB38" s="48">
        <v>-0.41720453975221</v>
      </c>
      <c r="AC38" s="49">
        <v>-0.41720336198544616</v>
      </c>
      <c r="AD38" s="52">
        <f t="shared" si="11"/>
        <v>0</v>
      </c>
    </row>
    <row r="39" spans="2:30" ht="14.5" hidden="1" customHeight="1" x14ac:dyDescent="0.4">
      <c r="B39" s="107"/>
      <c r="C39" s="103"/>
      <c r="D39" s="38" t="s">
        <v>53</v>
      </c>
      <c r="E39" s="38"/>
      <c r="F39" s="47" t="s">
        <v>101</v>
      </c>
      <c r="G39" s="48">
        <f>((SUMIFS(SSP1_Baseline!$E:$E,SSP1_Baseline!$C:$C,Results_list!$C$25,SSP1_Baseline!$D:$D,Results_list!$D39,SSP1_Baseline!$B:$B,2040)) - (SUMIFS(SSP1_Baseline!$E:$E,SSP1_Baseline!$C:$C,Results_list!$C$25,SSP1_Baseline!$D:$D,Results_list!$D39,SSP1_Baseline!$B:$B,2025))) / (SUMIFS(SSP1_Baseline!$E:$E,SSP1_Baseline!$C:$C,Results_list!$C$25,SSP1_Baseline!$D:$D,Results_list!$D39,SSP1_Baseline!$B:$B,2025))</f>
        <v>-0.26458482063496963</v>
      </c>
      <c r="H39" s="49">
        <f>((SUMIFS(SSP1_VSI!$F:$F,SSP1_VSI!$C:$C,Results_list!$C$25,SSP1_VSI!$D:$D,Results_list!$D39,SSP1_VSI!$B:$B,2040)) - (SUMIFS(SSP1_VSI!$F:$F,SSP1_VSI!$C:$C,Results_list!$C$25,SSP1_VSI!$D:$D,Results_list!$D39,SSP1_VSI!$B:$B,2025))) / (SUMIFS(SSP1_VSI!$F:$F,SSP1_VSI!$C:$C,Results_list!$C$25,SSP1_VSI!$D:$D,Results_list!$D39,SSP1_VSI!$B:$B,2025))</f>
        <v>-0.26460895012797048</v>
      </c>
      <c r="I39" s="52">
        <f t="shared" si="6"/>
        <v>0</v>
      </c>
      <c r="J39" s="48">
        <f>((SUMIFS(SSP2_Baseline!$E:$E,SSP2_Baseline!$C:$C,Results_list!$C$25,SSP2_Baseline!$D:$D,Results_list!$D39,SSP2_Baseline!$B:$B,2040)) - (SUMIFS(SSP2_Baseline!$E:$E,SSP2_Baseline!$C:$C,Results_list!$C$25,SSP2_Baseline!$D:$D,Results_list!$D39,SSP2_Baseline!$B:$B,2025))) / (SUMIFS(SSP2_Baseline!$E:$E,SSP2_Baseline!$C:$C,Results_list!$C$25,SSP2_Baseline!$D:$D,Results_list!$D39,SSP2_Baseline!$B:$B,2025))</f>
        <v>-0.26809668384363794</v>
      </c>
      <c r="K39" s="49">
        <f>((SUMIFS(SSP2_VSI!$F:$F,SSP2_VSI!$C:$C,Results_list!$C$25,SSP2_VSI!$D:$D,Results_list!$D39,SSP2_VSI!$B:$B,2040)) - (SUMIFS(SSP2_VSI!$F:$F,SSP2_VSI!$C:$C,Results_list!$C$25,SSP2_VSI!$D:$D,Results_list!$D39,SSP2_VSI!$B:$B,2025))) / (SUMIFS(SSP2_VSI!$F:$F,SSP2_VSI!$C:$C,Results_list!$C$25,SSP2_VSI!$D:$D,Results_list!$D39,SSP2_VSI!$B:$B,2025))</f>
        <v>-0.26809721915012769</v>
      </c>
      <c r="L39" s="52">
        <f t="shared" si="7"/>
        <v>0</v>
      </c>
      <c r="M39" s="48">
        <f>((SUMIFS(SSP5_Baseline!$E:$E,SSP5_Baseline!$C:$C,Results_list!$C$25,SSP5_Baseline!$D:$D,Results_list!$D39,SSP5_Baseline!$B:$B,2040)) - (SUMIFS(SSP5_Baseline!$E:$E,SSP5_Baseline!$C:$C,Results_list!$C$25,SSP5_Baseline!$D:$D,Results_list!$D39,SSP5_Baseline!$B:$B,2025))) / (SUMIFS(SSP5_Baseline!$E:$E,SSP5_Baseline!$C:$C,Results_list!$C$25,SSP5_Baseline!$D:$D,Results_list!$D39,SSP5_Baseline!$B:$B,2025))</f>
        <v>-3.5362365053495937E-2</v>
      </c>
      <c r="N39" s="49">
        <f>((SUMIFS(SSP5_VSI!$F:$F,SSP5_VSI!$C:$C,Results_list!$C$25,SSP5_VSI!$D:$D,Results_list!$D39,SSP5_VSI!$B:$B,2040)) - (SUMIFS(SSP5_VSI!$F:$F,SSP5_VSI!$C:$C,Results_list!$C$25,SSP5_VSI!$D:$D,Results_list!$D39,SSP5_VSI!$B:$B,2025))) / (SUMIFS(SSP5_VSI!$F:$F,SSP5_VSI!$C:$C,Results_list!$C$25,SSP5_VSI!$D:$D,Results_list!$D39,SSP5_VSI!$B:$B,2025))</f>
        <v>-3.5352168661954203E-2</v>
      </c>
      <c r="O39" s="52">
        <f t="shared" si="8"/>
        <v>0</v>
      </c>
      <c r="P39" s="38"/>
      <c r="Q39" s="105"/>
      <c r="R39" s="106"/>
      <c r="S39" s="38" t="s">
        <v>53</v>
      </c>
      <c r="T39" s="53" t="s">
        <v>71</v>
      </c>
      <c r="U39" s="47" t="s">
        <v>101</v>
      </c>
      <c r="V39" s="48">
        <v>-0.29346287015880673</v>
      </c>
      <c r="W39" s="49">
        <v>-0.29346134371122939</v>
      </c>
      <c r="X39" s="52">
        <f t="shared" si="9"/>
        <v>0</v>
      </c>
      <c r="Y39" s="48">
        <v>-0.2746454151220753</v>
      </c>
      <c r="Z39" s="49">
        <v>-0.27464418423789416</v>
      </c>
      <c r="AA39" s="52">
        <f t="shared" si="10"/>
        <v>0</v>
      </c>
      <c r="AB39" s="48">
        <v>5.1618664496334107E-2</v>
      </c>
      <c r="AC39" s="49">
        <v>5.1618872267696396E-2</v>
      </c>
      <c r="AD39" s="52">
        <f t="shared" si="11"/>
        <v>0</v>
      </c>
    </row>
    <row r="40" spans="2:30" ht="16" x14ac:dyDescent="0.4">
      <c r="B40" s="107"/>
      <c r="C40" s="103"/>
      <c r="D40" s="38" t="s">
        <v>54</v>
      </c>
      <c r="E40" s="38"/>
      <c r="F40" s="47" t="s">
        <v>102</v>
      </c>
      <c r="G40" s="48">
        <f>((SUMIFS(SSP1_Baseline!$E:$E,SSP1_Baseline!$C:$C,Results_list!$C$25,SSP1_Baseline!$D:$D,Results_list!$D40,SSP1_Baseline!$B:$B,2040)) - (SUMIFS(SSP1_Baseline!$E:$E,SSP1_Baseline!$C:$C,Results_list!$C$25,SSP1_Baseline!$D:$D,Results_list!$D40,SSP1_Baseline!$B:$B,2025))) / (SUMIFS(SSP1_Baseline!$E:$E,SSP1_Baseline!$C:$C,Results_list!$C$25,SSP1_Baseline!$D:$D,Results_list!$D40,SSP1_Baseline!$B:$B,2025))</f>
        <v>-1.4101546721991879E-3</v>
      </c>
      <c r="H40" s="49">
        <f>((SUMIFS(SSP1_VSI!$F:$F,SSP1_VSI!$C:$C,Results_list!$C$25,SSP1_VSI!$D:$D,Results_list!$D40,SSP1_VSI!$B:$B,2040)) - (SUMIFS(SSP1_VSI!$F:$F,SSP1_VSI!$C:$C,Results_list!$C$25,SSP1_VSI!$D:$D,Results_list!$D40,SSP1_VSI!$B:$B,2025))) / (SUMIFS(SSP1_VSI!$F:$F,SSP1_VSI!$C:$C,Results_list!$C$25,SSP1_VSI!$D:$D,Results_list!$D40,SSP1_VSI!$B:$B,2025))</f>
        <v>-2.1601561261629454E-3</v>
      </c>
      <c r="I40" s="52">
        <f t="shared" si="6"/>
        <v>-1E-3</v>
      </c>
      <c r="J40" s="48">
        <f>((SUMIFS(SSP2_Baseline!$E:$E,SSP2_Baseline!$C:$C,Results_list!$C$25,SSP2_Baseline!$D:$D,Results_list!$D40,SSP2_Baseline!$B:$B,2040)) - (SUMIFS(SSP2_Baseline!$E:$E,SSP2_Baseline!$C:$C,Results_list!$C$25,SSP2_Baseline!$D:$D,Results_list!$D40,SSP2_Baseline!$B:$B,2025))) / (SUMIFS(SSP2_Baseline!$E:$E,SSP2_Baseline!$C:$C,Results_list!$C$25,SSP2_Baseline!$D:$D,Results_list!$D40,SSP2_Baseline!$B:$B,2025))</f>
        <v>-3.3204777919979559E-4</v>
      </c>
      <c r="K40" s="49">
        <f>((SUMIFS(SSP2_VSI!$F:$F,SSP2_VSI!$C:$C,Results_list!$C$25,SSP2_VSI!$D:$D,Results_list!$D40,SSP2_VSI!$B:$B,2040)) - (SUMIFS(SSP2_VSI!$F:$F,SSP2_VSI!$C:$C,Results_list!$C$25,SSP2_VSI!$D:$D,Results_list!$D40,SSP2_VSI!$B:$B,2025))) / (SUMIFS(SSP2_VSI!$F:$F,SSP2_VSI!$C:$C,Results_list!$C$25,SSP2_VSI!$D:$D,Results_list!$D40,SSP2_VSI!$B:$B,2025))</f>
        <v>-1.0823211487769407E-3</v>
      </c>
      <c r="L40" s="52">
        <f t="shared" si="7"/>
        <v>0</v>
      </c>
      <c r="M40" s="48">
        <f>((SUMIFS(SSP5_Baseline!$E:$E,SSP5_Baseline!$C:$C,Results_list!$C$25,SSP5_Baseline!$D:$D,Results_list!$D40,SSP5_Baseline!$B:$B,2040)) - (SUMIFS(SSP5_Baseline!$E:$E,SSP5_Baseline!$C:$C,Results_list!$C$25,SSP5_Baseline!$D:$D,Results_list!$D40,SSP5_Baseline!$B:$B,2025))) / (SUMIFS(SSP5_Baseline!$E:$E,SSP5_Baseline!$C:$C,Results_list!$C$25,SSP5_Baseline!$D:$D,Results_list!$D40,SSP5_Baseline!$B:$B,2025))</f>
        <v>-1.8432367456202123E-3</v>
      </c>
      <c r="N40" s="49">
        <f>((SUMIFS(SSP5_VSI!$F:$F,SSP5_VSI!$C:$C,Results_list!$C$25,SSP5_VSI!$D:$D,Results_list!$D40,SSP5_VSI!$B:$B,2040)) - (SUMIFS(SSP5_VSI!$F:$F,SSP5_VSI!$C:$C,Results_list!$C$25,SSP5_VSI!$D:$D,Results_list!$D40,SSP5_VSI!$B:$B,2025))) / (SUMIFS(SSP5_VSI!$F:$F,SSP5_VSI!$C:$C,Results_list!$C$25,SSP5_VSI!$D:$D,Results_list!$D40,SSP5_VSI!$B:$B,2025))</f>
        <v>-2.5941670017580001E-3</v>
      </c>
      <c r="O40" s="52">
        <f t="shared" si="8"/>
        <v>0</v>
      </c>
      <c r="P40" s="38"/>
      <c r="Q40" s="105"/>
      <c r="R40" s="106"/>
      <c r="S40" s="38" t="s">
        <v>54</v>
      </c>
      <c r="T40" s="53" t="s">
        <v>71</v>
      </c>
      <c r="U40" s="47" t="s">
        <v>102</v>
      </c>
      <c r="V40" s="48">
        <v>-1.420595451704915E-2</v>
      </c>
      <c r="W40" s="49">
        <v>-1.4199993177586107E-2</v>
      </c>
      <c r="X40" s="52">
        <f t="shared" si="9"/>
        <v>0</v>
      </c>
      <c r="Y40" s="48">
        <v>-8.1530378426209664E-4</v>
      </c>
      <c r="Z40" s="49">
        <v>-8.1431309958058173E-4</v>
      </c>
      <c r="AA40" s="52">
        <f t="shared" si="10"/>
        <v>0</v>
      </c>
      <c r="AB40" s="48">
        <v>0.20887818503929914</v>
      </c>
      <c r="AC40" s="49">
        <v>0.20888226197472148</v>
      </c>
      <c r="AD40" s="52">
        <f t="shared" si="11"/>
        <v>0</v>
      </c>
    </row>
    <row r="41" spans="2:30" ht="16" x14ac:dyDescent="0.4">
      <c r="B41" s="107"/>
      <c r="C41" s="103"/>
      <c r="D41" s="38" t="s">
        <v>55</v>
      </c>
      <c r="E41" s="38"/>
      <c r="F41" s="71" t="s">
        <v>103</v>
      </c>
      <c r="G41" s="55">
        <f>((SUMIFS(SSP1_Baseline!$E:$E,SSP1_Baseline!$C:$C,Results_list!$C$25,SSP1_Baseline!$D:$D,Results_list!$D41,SSP1_Baseline!$B:$B,2040)) - (SUMIFS(SSP1_Baseline!$E:$E,SSP1_Baseline!$C:$C,Results_list!$C$25,SSP1_Baseline!$D:$D,Results_list!$D41,SSP1_Baseline!$B:$B,2025))) / (SUMIFS(SSP1_Baseline!$E:$E,SSP1_Baseline!$C:$C,Results_list!$C$25,SSP1_Baseline!$D:$D,Results_list!$D41,SSP1_Baseline!$B:$B,2025))</f>
        <v>-2.0435245714995579E-3</v>
      </c>
      <c r="H41" s="56">
        <f>((SUMIFS(SSP1_VSI!$F:$F,SSP1_VSI!$C:$C,Results_list!$C$25,SSP1_VSI!$D:$D,Results_list!$D41,SSP1_VSI!$B:$B,2040)) - (SUMIFS(SSP1_VSI!$F:$F,SSP1_VSI!$C:$C,Results_list!$C$25,SSP1_VSI!$D:$D,Results_list!$D41,SSP1_VSI!$B:$B,2025))) / (SUMIFS(SSP1_VSI!$F:$F,SSP1_VSI!$C:$C,Results_list!$C$25,SSP1_VSI!$D:$D,Results_list!$D41,SSP1_VSI!$B:$B,2025))</f>
        <v>-2.194214830397469E-3</v>
      </c>
      <c r="I41" s="57">
        <f t="shared" si="6"/>
        <v>0</v>
      </c>
      <c r="J41" s="55">
        <f>((SUMIFS(SSP2_Baseline!$E:$E,SSP2_Baseline!$C:$C,Results_list!$C$25,SSP2_Baseline!$D:$D,Results_list!$D41,SSP2_Baseline!$B:$B,2040)) - (SUMIFS(SSP2_Baseline!$E:$E,SSP2_Baseline!$C:$C,Results_list!$C$25,SSP2_Baseline!$D:$D,Results_list!$D41,SSP2_Baseline!$B:$B,2025))) / (SUMIFS(SSP2_Baseline!$E:$E,SSP2_Baseline!$C:$C,Results_list!$C$25,SSP2_Baseline!$D:$D,Results_list!$D41,SSP2_Baseline!$B:$B,2025))</f>
        <v>-9.4616276228986097E-4</v>
      </c>
      <c r="K41" s="56">
        <f>((SUMIFS(SSP2_VSI!$F:$F,SSP2_VSI!$C:$C,Results_list!$C$25,SSP2_VSI!$D:$D,Results_list!$D41,SSP2_VSI!$B:$B,2040)) - (SUMIFS(SSP2_VSI!$F:$F,SSP2_VSI!$C:$C,Results_list!$C$25,SSP2_VSI!$D:$D,Results_list!$D41,SSP2_VSI!$B:$B,2025))) / (SUMIFS(SSP2_VSI!$F:$F,SSP2_VSI!$C:$C,Results_list!$C$25,SSP2_VSI!$D:$D,Results_list!$D41,SSP2_VSI!$B:$B,2025))</f>
        <v>-1.0969503031310578E-3</v>
      </c>
      <c r="L41" s="57">
        <f t="shared" si="7"/>
        <v>0</v>
      </c>
      <c r="M41" s="55">
        <f>((SUMIFS(SSP5_Baseline!$E:$E,SSP5_Baseline!$C:$C,Results_list!$C$25,SSP5_Baseline!$D:$D,Results_list!$D41,SSP5_Baseline!$B:$B,2040)) - (SUMIFS(SSP5_Baseline!$E:$E,SSP5_Baseline!$C:$C,Results_list!$C$25,SSP5_Baseline!$D:$D,Results_list!$D41,SSP5_Baseline!$B:$B,2025))) / (SUMIFS(SSP5_Baseline!$E:$E,SSP5_Baseline!$C:$C,Results_list!$C$25,SSP5_Baseline!$D:$D,Results_list!$D41,SSP5_Baseline!$B:$B,2025))</f>
        <v>-2.452845811249188E-3</v>
      </c>
      <c r="N41" s="58">
        <f>((SUMIFS(SSP5_VSI!$F:$F,SSP5_VSI!$C:$C,Results_list!$C$25,SSP5_VSI!$D:$D,Results_list!$D41,SSP5_VSI!$B:$B,2040)) - (SUMIFS(SSP5_VSI!$F:$F,SSP5_VSI!$C:$C,Results_list!$C$25,SSP5_VSI!$D:$D,Results_list!$D41,SSP5_VSI!$B:$B,2025))) / (SUMIFS(SSP5_VSI!$F:$F,SSP5_VSI!$C:$C,Results_list!$C$25,SSP5_VSI!$D:$D,Results_list!$D41,SSP5_VSI!$B:$B,2025))</f>
        <v>-2.6032554112653638E-3</v>
      </c>
      <c r="O41" s="57">
        <f t="shared" si="8"/>
        <v>0</v>
      </c>
      <c r="P41" s="38"/>
      <c r="Q41" s="105"/>
      <c r="R41" s="106"/>
      <c r="S41" s="38" t="s">
        <v>55</v>
      </c>
      <c r="T41" s="53" t="s">
        <v>71</v>
      </c>
      <c r="U41" s="70" t="s">
        <v>103</v>
      </c>
      <c r="V41" s="55">
        <v>-2.1894636919270325E-2</v>
      </c>
      <c r="W41" s="56">
        <v>-2.1888518360215166E-2</v>
      </c>
      <c r="X41" s="57">
        <f t="shared" si="9"/>
        <v>0</v>
      </c>
      <c r="Y41" s="55">
        <v>-1.1068444585356777E-2</v>
      </c>
      <c r="Z41" s="56">
        <v>-1.1064306877678638E-2</v>
      </c>
      <c r="AA41" s="57">
        <f t="shared" si="10"/>
        <v>0</v>
      </c>
      <c r="AB41" s="55">
        <v>0.20188030734683923</v>
      </c>
      <c r="AC41" s="58">
        <v>0.20188484684725122</v>
      </c>
      <c r="AD41" s="57">
        <f t="shared" si="11"/>
        <v>0</v>
      </c>
    </row>
    <row r="42" spans="2:30" ht="14.5" hidden="1" customHeight="1" x14ac:dyDescent="0.4">
      <c r="B42" s="107"/>
      <c r="C42" s="103"/>
      <c r="D42" s="38" t="s">
        <v>56</v>
      </c>
      <c r="E42" s="38"/>
      <c r="F42" s="47" t="s">
        <v>104</v>
      </c>
      <c r="G42" s="63">
        <f>((SUMIFS(SSP1_Baseline!$E:$E,SSP1_Baseline!$C:$C,Results_list!$C$25,SSP1_Baseline!$D:$D,Results_list!$D42,SSP1_Baseline!$B:$B,2040)) - (SUMIFS(SSP1_Baseline!$E:$E,SSP1_Baseline!$C:$C,Results_list!$C$25,SSP1_Baseline!$D:$D,Results_list!$D42,SSP1_Baseline!$B:$B,2025))) / (SUMIFS(SSP1_Baseline!$E:$E,SSP1_Baseline!$C:$C,Results_list!$C$25,SSP1_Baseline!$D:$D,Results_list!$D42,SSP1_Baseline!$B:$B,2025))</f>
        <v>-7.8120541278491606E-2</v>
      </c>
      <c r="H42" s="64">
        <f>((SUMIFS(SSP1_VSI!$F:$F,SSP1_VSI!$C:$C,Results_list!$C$25,SSP1_VSI!$D:$D,Results_list!$D42,SSP1_VSI!$B:$B,2040)) - (SUMIFS(SSP1_VSI!$F:$F,SSP1_VSI!$C:$C,Results_list!$C$25,SSP1_VSI!$D:$D,Results_list!$D42,SSP1_VSI!$B:$B,2025))) / (SUMIFS(SSP1_VSI!$F:$F,SSP1_VSI!$C:$C,Results_list!$C$25,SSP1_VSI!$D:$D,Results_list!$D42,SSP1_VSI!$B:$B,2025))</f>
        <v>-7.8124711853579387E-2</v>
      </c>
      <c r="I42" s="65">
        <f t="shared" si="6"/>
        <v>0</v>
      </c>
      <c r="J42" s="63">
        <f>((SUMIFS(SSP2_Baseline!$E:$E,SSP2_Baseline!$C:$C,Results_list!$C$25,SSP2_Baseline!$D:$D,Results_list!$D42,SSP2_Baseline!$B:$B,2040)) - (SUMIFS(SSP2_Baseline!$E:$E,SSP2_Baseline!$C:$C,Results_list!$C$25,SSP2_Baseline!$D:$D,Results_list!$D42,SSP2_Baseline!$B:$B,2025))) / (SUMIFS(SSP2_Baseline!$E:$E,SSP2_Baseline!$C:$C,Results_list!$C$25,SSP2_Baseline!$D:$D,Results_list!$D42,SSP2_Baseline!$B:$B,2025))</f>
        <v>-0.12716265863581877</v>
      </c>
      <c r="K42" s="64">
        <f>((SUMIFS(SSP2_VSI!$F:$F,SSP2_VSI!$C:$C,Results_list!$C$25,SSP2_VSI!$D:$D,Results_list!$D42,SSP2_VSI!$B:$B,2040)) - (SUMIFS(SSP2_VSI!$F:$F,SSP2_VSI!$C:$C,Results_list!$C$25,SSP2_VSI!$D:$D,Results_list!$D42,SSP2_VSI!$B:$B,2025))) / (SUMIFS(SSP2_VSI!$F:$F,SSP2_VSI!$C:$C,Results_list!$C$25,SSP2_VSI!$D:$D,Results_list!$D42,SSP2_VSI!$B:$B,2025))</f>
        <v>-0.12717554193933267</v>
      </c>
      <c r="L42" s="65">
        <f t="shared" si="7"/>
        <v>0</v>
      </c>
      <c r="M42" s="63">
        <f>((SUMIFS(SSP5_Baseline!$E:$E,SSP5_Baseline!$C:$C,Results_list!$C$25,SSP5_Baseline!$D:$D,Results_list!$D42,SSP5_Baseline!$B:$B,2040)) - (SUMIFS(SSP5_Baseline!$E:$E,SSP5_Baseline!$C:$C,Results_list!$C$25,SSP5_Baseline!$D:$D,Results_list!$D42,SSP5_Baseline!$B:$B,2025))) / (SUMIFS(SSP5_Baseline!$E:$E,SSP5_Baseline!$C:$C,Results_list!$C$25,SSP5_Baseline!$D:$D,Results_list!$D42,SSP5_Baseline!$B:$B,2025))</f>
        <v>0.18231961947685071</v>
      </c>
      <c r="N42" s="64">
        <f>((SUMIFS(SSP5_VSI!$F:$F,SSP5_VSI!$C:$C,Results_list!$C$25,SSP5_VSI!$D:$D,Results_list!$D42,SSP5_VSI!$B:$B,2040)) - (SUMIFS(SSP5_VSI!$F:$F,SSP5_VSI!$C:$C,Results_list!$C$25,SSP5_VSI!$D:$D,Results_list!$D42,SSP5_VSI!$B:$B,2025))) / (SUMIFS(SSP5_VSI!$F:$F,SSP5_VSI!$C:$C,Results_list!$C$25,SSP5_VSI!$D:$D,Results_list!$D42,SSP5_VSI!$B:$B,2025))</f>
        <v>0.18233492668078502</v>
      </c>
      <c r="O42" s="65">
        <f t="shared" si="8"/>
        <v>0</v>
      </c>
      <c r="P42" s="38"/>
      <c r="Q42" s="105"/>
      <c r="R42" s="106"/>
      <c r="S42" s="38" t="s">
        <v>56</v>
      </c>
      <c r="T42" s="53" t="s">
        <v>71</v>
      </c>
      <c r="U42" s="47" t="s">
        <v>104</v>
      </c>
      <c r="V42" s="63">
        <v>-0.21890762997031271</v>
      </c>
      <c r="W42" s="64">
        <v>-0.21890271948354492</v>
      </c>
      <c r="X42" s="65">
        <f t="shared" si="9"/>
        <v>0</v>
      </c>
      <c r="Y42" s="63">
        <v>-0.25472104868975237</v>
      </c>
      <c r="Z42" s="64">
        <v>-0.25470746787021481</v>
      </c>
      <c r="AA42" s="65">
        <f t="shared" si="10"/>
        <v>0</v>
      </c>
      <c r="AB42" s="63">
        <v>2.3893332507230768E-2</v>
      </c>
      <c r="AC42" s="64">
        <v>2.3899323870205304E-2</v>
      </c>
      <c r="AD42" s="65">
        <f t="shared" si="11"/>
        <v>0</v>
      </c>
    </row>
    <row r="43" spans="2:30" ht="16" hidden="1" x14ac:dyDescent="0.4"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38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</row>
    <row r="44" spans="2:30" ht="16" hidden="1" x14ac:dyDescent="0.4">
      <c r="B44" s="38"/>
      <c r="C44" s="38"/>
      <c r="D44" s="38"/>
      <c r="E44" s="38"/>
      <c r="F44" s="39"/>
      <c r="G44" s="98" t="s">
        <v>3</v>
      </c>
      <c r="H44" s="99"/>
      <c r="I44" s="99"/>
      <c r="J44" s="99"/>
      <c r="K44" s="99"/>
      <c r="L44" s="99"/>
      <c r="M44" s="99"/>
      <c r="N44" s="99"/>
      <c r="O44" s="100"/>
      <c r="P44" s="38"/>
      <c r="Q44" s="38"/>
      <c r="R44" s="38"/>
      <c r="S44" s="38"/>
      <c r="T44" s="38"/>
      <c r="U44" s="39"/>
      <c r="V44" s="98" t="s">
        <v>3</v>
      </c>
      <c r="W44" s="99"/>
      <c r="X44" s="99"/>
      <c r="Y44" s="99"/>
      <c r="Z44" s="99"/>
      <c r="AA44" s="99"/>
      <c r="AB44" s="99"/>
      <c r="AC44" s="99"/>
      <c r="AD44" s="100"/>
    </row>
    <row r="45" spans="2:30" ht="48" hidden="1" x14ac:dyDescent="0.4">
      <c r="B45" s="40" t="s">
        <v>30</v>
      </c>
      <c r="C45" s="40" t="s">
        <v>30</v>
      </c>
      <c r="D45" s="41" t="s">
        <v>106</v>
      </c>
      <c r="E45" s="42" t="s">
        <v>131</v>
      </c>
      <c r="F45" s="41" t="s">
        <v>106</v>
      </c>
      <c r="G45" s="43" t="s">
        <v>0</v>
      </c>
      <c r="H45" s="44" t="s">
        <v>108</v>
      </c>
      <c r="I45" s="42" t="s">
        <v>137</v>
      </c>
      <c r="J45" s="43" t="s">
        <v>1</v>
      </c>
      <c r="K45" s="44" t="s">
        <v>109</v>
      </c>
      <c r="L45" s="42" t="s">
        <v>137</v>
      </c>
      <c r="M45" s="43" t="s">
        <v>2</v>
      </c>
      <c r="N45" s="44" t="s">
        <v>110</v>
      </c>
      <c r="O45" s="42" t="s">
        <v>137</v>
      </c>
      <c r="P45" s="38"/>
      <c r="Q45" s="40" t="s">
        <v>30</v>
      </c>
      <c r="R45" s="45" t="s">
        <v>30</v>
      </c>
      <c r="S45" s="46" t="s">
        <v>106</v>
      </c>
      <c r="T45" s="42" t="s">
        <v>131</v>
      </c>
      <c r="U45" s="41" t="s">
        <v>106</v>
      </c>
      <c r="V45" s="43" t="s">
        <v>0</v>
      </c>
      <c r="W45" s="44" t="s">
        <v>108</v>
      </c>
      <c r="X45" s="42" t="s">
        <v>137</v>
      </c>
      <c r="Y45" s="43" t="s">
        <v>1</v>
      </c>
      <c r="Z45" s="44" t="s">
        <v>109</v>
      </c>
      <c r="AA45" s="42" t="s">
        <v>137</v>
      </c>
      <c r="AB45" s="43" t="s">
        <v>2</v>
      </c>
      <c r="AC45" s="44" t="s">
        <v>110</v>
      </c>
      <c r="AD45" s="42" t="s">
        <v>137</v>
      </c>
    </row>
    <row r="46" spans="2:30" ht="14.5" customHeight="1" x14ac:dyDescent="0.4">
      <c r="B46" s="107" t="s">
        <v>116</v>
      </c>
      <c r="C46" s="103" t="s">
        <v>63</v>
      </c>
      <c r="D46" s="38" t="s">
        <v>38</v>
      </c>
      <c r="E46" s="38"/>
      <c r="F46" s="47" t="s">
        <v>87</v>
      </c>
      <c r="G46" s="48">
        <f>((SUMIFS(SSP1_Baseline!$E:$E,SSP1_Baseline!$C:$C,Results_list!$C$109,SSP1_Baseline!$D:$D,Results_list!$D151,SSP1_Baseline!$B:$B,2040))
- (SUMIFS(SSP1_Baseline!$E:$E,SSP1_Baseline!$C:$C,Results_list!$C$109,SSP1_Baseline!$D:$D,Results_list!$D151,SSP1_Baseline!$B:$B,2025)))
/ (SUMIFS(SSP1_Baseline!$E:$E,SSP1_Baseline!$C:$C,Results_list!$C$109,SSP1_Baseline!$D:$D,Results_list!$D151,SSP1_Baseline!$B:$B,2025))</f>
        <v>-3.3906701266766317E-4</v>
      </c>
      <c r="H46" s="49">
        <f>((SUMIFS(SSP1_VSI!$F:$F,SSP1_VSI!$C:$C,Results_list!$C$109,SSP1_VSI!$D:$D,Results_list!$D151,SSP1_VSI!$B:$B,2040))
- (SUMIFS(SSP1_VSI!$F:$F,SSP1_VSI!$C:$C,Results_list!$C$109,SSP1_VSI!$D:$D,Results_list!$D151,SSP1_VSI!$B:$B,2025)))
/ (SUMIFS(SSP1_VSI!$F:$F,SSP1_VSI!$C:$C,Results_list!$C$109,SSP1_VSI!$D:$D,Results_list!$D151,SSP1_VSI!$B:$B,2025))</f>
        <v>-0.88399656954968553</v>
      </c>
      <c r="I46" s="50">
        <f>ROUND(H46-G46,3)</f>
        <v>-0.88400000000000001</v>
      </c>
      <c r="J46" s="48">
        <f>((SUMIFS(SSP2_Baseline!$E:$E,SSP2_Baseline!$C:$C,Results_list!$C$109,SSP2_Baseline!$D:$D,Results_list!$D151,SSP2_Baseline!$B:$B,2040))
- (SUMIFS(SSP2_Baseline!$E:$E,SSP2_Baseline!$C:$C,Results_list!$C$109,SSP2_Baseline!$D:$D,Results_list!$D151,SSP2_Baseline!$B:$B,2025)))
/ (SUMIFS(SSP2_Baseline!$E:$E,SSP2_Baseline!$C:$C,Results_list!$C$109,SSP2_Baseline!$D:$D,Results_list!$D151,SSP2_Baseline!$B:$B,2025))</f>
        <v>3.8610055664333961E-3</v>
      </c>
      <c r="K46" s="49">
        <f>((SUMIFS(SSP2_VSI!$F:$F,SSP2_VSI!$C:$C,Results_list!$C$109,SSP2_VSI!$D:$D,Results_list!$D151,SSP2_VSI!$B:$B,2040))
- (SUMIFS(SSP2_VSI!$F:$F,SSP2_VSI!$C:$C,Results_list!$C$109,SSP2_VSI!$D:$D,Results_list!$D151,SSP2_VSI!$B:$B,2025)))
/ (SUMIFS(SSP2_VSI!$F:$F,SSP2_VSI!$C:$C,Results_list!$C$109,SSP2_VSI!$D:$D,Results_list!$D151,SSP2_VSI!$B:$B,2025))</f>
        <v>-0.88793958366744719</v>
      </c>
      <c r="L46" s="50">
        <f>ROUND(K46-J46,2)</f>
        <v>-0.89</v>
      </c>
      <c r="M46" s="48">
        <f>((SUMIFS(SSP5_Baseline!$E:$E,SSP5_Baseline!$C:$C,Results_list!$C$109,SSP5_Baseline!$D:$D,Results_list!$D151,SSP5_Baseline!$B:$B,2040))
- (SUMIFS(SSP5_Baseline!$E:$E,SSP5_Baseline!$C:$C,Results_list!$C$109,SSP5_Baseline!$D:$D,Results_list!$D151,SSP5_Baseline!$B:$B,2025)))
/ (SUMIFS(SSP5_Baseline!$E:$E,SSP5_Baseline!$C:$C,Results_list!$C$109,SSP5_Baseline!$D:$D,Results_list!$D151,SSP5_Baseline!$B:$B,2025))</f>
        <v>5.6703685600594644E-3</v>
      </c>
      <c r="N46" s="49">
        <f>((SUMIFS(SSP5_VSI!$F:$F,SSP5_VSI!$C:$C,Results_list!$C$109,SSP5_VSI!$D:$D,Results_list!$D151,SSP5_VSI!$B:$B,2040))
- (SUMIFS(SSP5_VSI!$F:$F,SSP5_VSI!$C:$C,Results_list!$C$109,SSP5_VSI!$D:$D,Results_list!$D151,SSP5_VSI!$B:$B,2025)))
/ (SUMIFS(SSP5_VSI!$F:$F,SSP5_VSI!$C:$C,Results_list!$C$109,SSP5_VSI!$D:$D,Results_list!$D151,SSP5_VSI!$B:$B,2025))</f>
        <v>-0.88660769817512897</v>
      </c>
      <c r="O46" s="50">
        <f>ROUND(N46-M46,2)</f>
        <v>-0.89</v>
      </c>
      <c r="P46" s="38"/>
      <c r="Q46" s="105" t="s">
        <v>120</v>
      </c>
      <c r="R46" s="106" t="s">
        <v>72</v>
      </c>
      <c r="S46" s="38" t="s">
        <v>38</v>
      </c>
      <c r="T46" s="51"/>
      <c r="U46" s="47" t="s">
        <v>87</v>
      </c>
      <c r="V46" s="48">
        <f>((SUMIFS(SSP1_Baseline!$E:$E,SSP1_Baseline!$C:$C,Results_list!$C$235,SSP1_Baseline!$D:$D,Results_list!$D46,SSP1_Baseline!$B:$B,2040)) - (SUMIFS(SSP1_Baseline!$E:$E,SSP1_Baseline!$C:$C,Results_list!$C$235,SSP1_Baseline!$D:$D,Results_list!$D46,SSP1_Baseline!$B:$B,2025))) / (SUMIFS(SSP1_Baseline!$E:$E,SSP1_Baseline!$C:$C,Results_list!$C$235,SSP1_Baseline!$D:$D,Results_list!$D46,SSP1_Baseline!$B:$B,2025))</f>
        <v>-0.14595017875366659</v>
      </c>
      <c r="W46" s="49">
        <f>((SUMIFS(SSP1_VSI!$F:$F,SSP1_VSI!$C:$C,Results_list!$C$235,SSP1_VSI!$D:$D,Results_list!$D46,SSP1_VSI!$B:$B,2040)) - (SUMIFS(SSP1_VSI!$F:$F,SSP1_VSI!$C:$C,Results_list!$C$235,SSP1_VSI!$D:$D,Results_list!$D46,SSP1_VSI!$B:$B,2025))) / (SUMIFS(SSP1_VSI!$F:$F,SSP1_VSI!$C:$C,Results_list!$C$235,SSP1_VSI!$D:$D,Results_list!$D46,SSP1_VSI!$B:$B,2025))</f>
        <v>-0.14593163998158717</v>
      </c>
      <c r="X46" s="50">
        <f>ROUND(W46-V46,3)</f>
        <v>0</v>
      </c>
      <c r="Y46" s="48">
        <f>((SUMIFS(SSP2_Baseline!$E:$E,SSP2_Baseline!$C:$C,Results_list!$C$235,SSP2_Baseline!$D:$D,Results_list!$D46,SSP2_Baseline!$B:$B,2040)) - (SUMIFS(SSP2_Baseline!$E:$E,SSP2_Baseline!$C:$C,Results_list!$C$235,SSP2_Baseline!$D:$D,Results_list!$D46,SSP2_Baseline!$B:$B,2025))) / (SUMIFS(SSP2_Baseline!$E:$E,SSP2_Baseline!$C:$C,Results_list!$C$235,SSP2_Baseline!$D:$D,Results_list!$D46,SSP2_Baseline!$B:$B,2025))</f>
        <v>0.4426436097495059</v>
      </c>
      <c r="Z46" s="49">
        <f>((SUMIFS(SSP2_VSI!$F:$F,SSP2_VSI!$C:$C,Results_list!$C$235,SSP2_VSI!$D:$D,Results_list!$D46,SSP2_VSI!$B:$B,2040)) - (SUMIFS(SSP2_VSI!$F:$F,SSP2_VSI!$C:$C,Results_list!$C$235,SSP2_VSI!$D:$D,Results_list!$D46,SSP2_VSI!$B:$B,2025))) / (SUMIFS(SSP2_VSI!$F:$F,SSP2_VSI!$C:$C,Results_list!$C$235,SSP2_VSI!$D:$D,Results_list!$D46,SSP2_VSI!$B:$B,2025))</f>
        <v>0.4425169778824567</v>
      </c>
      <c r="AA46" s="50">
        <f>ROUND(Z46-Y46,2)</f>
        <v>0</v>
      </c>
      <c r="AB46" s="48">
        <f>((SUMIFS(SSP5_Baseline!$E:$E,SSP5_Baseline!$C:$C,Results_list!$C$235,SSP5_Baseline!$D:$D,Results_list!$D46,SSP5_Baseline!$B:$B,2040)) - (SUMIFS(SSP5_Baseline!$E:$E,SSP5_Baseline!$C:$C,Results_list!$C$235,SSP5_Baseline!$D:$D,Results_list!$D46,SSP5_Baseline!$B:$B,2025))) / (SUMIFS(SSP5_Baseline!$E:$E,SSP5_Baseline!$C:$C,Results_list!$C$235,SSP5_Baseline!$D:$D,Results_list!$D46,SSP5_Baseline!$B:$B,2025))</f>
        <v>0.74569157514978057</v>
      </c>
      <c r="AC46" s="49">
        <f>((SUMIFS(SSP5_VSI!$F:$F,SSP5_VSI!$C:$C,Results_list!$C$235,SSP5_VSI!$D:$D,Results_list!$D46,SSP5_VSI!$B:$B,2040)) - (SUMIFS(SSP5_VSI!$F:$F,SSP5_VSI!$C:$C,Results_list!$C$235,SSP5_VSI!$D:$D,Results_list!$D46,SSP5_VSI!$B:$B,2025))) / (SUMIFS(SSP5_VSI!$F:$F,SSP5_VSI!$C:$C,Results_list!$C$235,SSP5_VSI!$D:$D,Results_list!$D46,SSP5_VSI!$B:$B,2025))</f>
        <v>0.74575437235435316</v>
      </c>
      <c r="AD46" s="50">
        <f>ROUND(AC46-AB46,2)</f>
        <v>0</v>
      </c>
    </row>
    <row r="47" spans="2:30" ht="14.5" hidden="1" customHeight="1" x14ac:dyDescent="0.4">
      <c r="B47" s="107"/>
      <c r="C47" s="103"/>
      <c r="D47" s="38" t="s">
        <v>40</v>
      </c>
      <c r="E47" s="38"/>
      <c r="F47" s="47" t="s">
        <v>88</v>
      </c>
      <c r="G47" s="48">
        <f>((SUMIFS(SSP1_Baseline!$E:$E,SSP1_Baseline!$C:$C,Results_list!$C$109,SSP1_Baseline!$D:$D,Results_list!$D152,SSP1_Baseline!$B:$B,2040)) - (SUMIFS(SSP1_Baseline!$E:$E,SSP1_Baseline!$C:$C,Results_list!$C$109,SSP1_Baseline!$D:$D,Results_list!$D152,SSP1_Baseline!$B:$B,2025))) / (SUMIFS(SSP1_Baseline!$E:$E,SSP1_Baseline!$C:$C,Results_list!$C$109,SSP1_Baseline!$D:$D,Results_list!$D152,SSP1_Baseline!$B:$B,2025))</f>
        <v>-2.7762127407385431E-3</v>
      </c>
      <c r="H47" s="49">
        <f>((SUMIFS(SSP1_VSI!$F:$F,SSP1_VSI!$C:$C,Results_list!$C$109,SSP1_VSI!$D:$D,Results_list!$D152,SSP1_VSI!$B:$B,2040)) - (SUMIFS(SSP1_VSI!$F:$F,SSP1_VSI!$C:$C,Results_list!$C$109,SSP1_VSI!$D:$D,Results_list!$D152,SSP1_VSI!$B:$B,2025))) / (SUMIFS(SSP1_VSI!$F:$F,SSP1_VSI!$C:$C,Results_list!$C$109,SSP1_VSI!$D:$D,Results_list!$D152,SSP1_VSI!$B:$B,2025))</f>
        <v>-2.7776381667049782E-3</v>
      </c>
      <c r="I47" s="52">
        <f t="shared" ref="I47:I63" si="12">ROUND(H47-G47,3)</f>
        <v>0</v>
      </c>
      <c r="J47" s="48">
        <f>((SUMIFS(SSP2_Baseline!$E:$E,SSP2_Baseline!$C:$C,Results_list!$C$109,SSP2_Baseline!$D:$D,Results_list!$D152,SSP2_Baseline!$B:$B,2040)) - (SUMIFS(SSP2_Baseline!$E:$E,SSP2_Baseline!$C:$C,Results_list!$C$109,SSP2_Baseline!$D:$D,Results_list!$D152,SSP2_Baseline!$B:$B,2025))) / (SUMIFS(SSP2_Baseline!$E:$E,SSP2_Baseline!$C:$C,Results_list!$C$109,SSP2_Baseline!$D:$D,Results_list!$D152,SSP2_Baseline!$B:$B,2025))</f>
        <v>-2.9650428948088895E-3</v>
      </c>
      <c r="K47" s="49">
        <f>((SUMIFS(SSP2_VSI!$F:$F,SSP2_VSI!$C:$C,Results_list!$C$109,SSP2_VSI!$D:$D,Results_list!$D152,SSP2_VSI!$B:$B,2040)) - (SUMIFS(SSP2_VSI!$F:$F,SSP2_VSI!$C:$C,Results_list!$C$109,SSP2_VSI!$D:$D,Results_list!$D152,SSP2_VSI!$B:$B,2025))) / (SUMIFS(SSP2_VSI!$F:$F,SSP2_VSI!$C:$C,Results_list!$C$109,SSP2_VSI!$D:$D,Results_list!$D152,SSP2_VSI!$B:$B,2025))</f>
        <v>-2.9689070652507915E-3</v>
      </c>
      <c r="L47" s="52">
        <f t="shared" ref="L47:L63" si="13">ROUND(K47-J47,2)</f>
        <v>0</v>
      </c>
      <c r="M47" s="48">
        <f>((SUMIFS(SSP5_Baseline!$E:$E,SSP5_Baseline!$C:$C,Results_list!$C$109,SSP5_Baseline!$D:$D,Results_list!$D152,SSP5_Baseline!$B:$B,2040)) - (SUMIFS(SSP5_Baseline!$E:$E,SSP5_Baseline!$C:$C,Results_list!$C$109,SSP5_Baseline!$D:$D,Results_list!$D152,SSP5_Baseline!$B:$B,2025))) / (SUMIFS(SSP5_Baseline!$E:$E,SSP5_Baseline!$C:$C,Results_list!$C$109,SSP5_Baseline!$D:$D,Results_list!$D152,SSP5_Baseline!$B:$B,2025))</f>
        <v>-1.1450370029444502E-3</v>
      </c>
      <c r="N47" s="49">
        <f>((SUMIFS(SSP5_VSI!$F:$F,SSP5_VSI!$C:$C,Results_list!$C$109,SSP5_VSI!$D:$D,Results_list!$D152,SSP5_VSI!$B:$B,2040)) - (SUMIFS(SSP5_VSI!$F:$F,SSP5_VSI!$C:$C,Results_list!$C$109,SSP5_VSI!$D:$D,Results_list!$D152,SSP5_VSI!$B:$B,2025))) / (SUMIFS(SSP5_VSI!$F:$F,SSP5_VSI!$C:$C,Results_list!$C$109,SSP5_VSI!$D:$D,Results_list!$D152,SSP5_VSI!$B:$B,2025))</f>
        <v>-1.1502402119708264E-3</v>
      </c>
      <c r="O47" s="52">
        <f t="shared" ref="O47:O63" si="14">ROUND(N47-M47,2)</f>
        <v>0</v>
      </c>
      <c r="P47" s="38"/>
      <c r="Q47" s="105"/>
      <c r="R47" s="106"/>
      <c r="S47" s="38" t="s">
        <v>40</v>
      </c>
      <c r="T47" s="53"/>
      <c r="U47" s="47" t="s">
        <v>88</v>
      </c>
      <c r="V47" s="48">
        <f>((SUMIFS(SSP1_Baseline!$E:$E,SSP1_Baseline!$C:$C,Results_list!$C$235,SSP1_Baseline!$D:$D,Results_list!$D47,SSP1_Baseline!$B:$B,2040)) - (SUMIFS(SSP1_Baseline!$E:$E,SSP1_Baseline!$C:$C,Results_list!$C$235,SSP1_Baseline!$D:$D,Results_list!$D47,SSP1_Baseline!$B:$B,2025))) / (SUMIFS(SSP1_Baseline!$E:$E,SSP1_Baseline!$C:$C,Results_list!$C$235,SSP1_Baseline!$D:$D,Results_list!$D47,SSP1_Baseline!$B:$B,2025))</f>
        <v>-0.13999768451226521</v>
      </c>
      <c r="W47" s="49">
        <f>((SUMIFS(SSP1_VSI!$F:$F,SSP1_VSI!$C:$C,Results_list!$C$235,SSP1_VSI!$D:$D,Results_list!$D47,SSP1_VSI!$B:$B,2040)) - (SUMIFS(SSP1_VSI!$F:$F,SSP1_VSI!$C:$C,Results_list!$C$235,SSP1_VSI!$D:$D,Results_list!$D47,SSP1_VSI!$B:$B,2025))) / (SUMIFS(SSP1_VSI!$F:$F,SSP1_VSI!$C:$C,Results_list!$C$235,SSP1_VSI!$D:$D,Results_list!$D47,SSP1_VSI!$B:$B,2025))</f>
        <v>-0.13999817524395572</v>
      </c>
      <c r="X47" s="52">
        <f t="shared" ref="X47:X63" si="15">ROUND(W47-V47,3)</f>
        <v>0</v>
      </c>
      <c r="Y47" s="48">
        <f>((SUMIFS(SSP2_Baseline!$E:$E,SSP2_Baseline!$C:$C,Results_list!$C$235,SSP2_Baseline!$D:$D,Results_list!$D47,SSP2_Baseline!$B:$B,2040)) - (SUMIFS(SSP2_Baseline!$E:$E,SSP2_Baseline!$C:$C,Results_list!$C$235,SSP2_Baseline!$D:$D,Results_list!$D47,SSP2_Baseline!$B:$B,2025))) / (SUMIFS(SSP2_Baseline!$E:$E,SSP2_Baseline!$C:$C,Results_list!$C$235,SSP2_Baseline!$D:$D,Results_list!$D47,SSP2_Baseline!$B:$B,2025))</f>
        <v>-0.1482988586857395</v>
      </c>
      <c r="Z47" s="49">
        <f>((SUMIFS(SSP2_VSI!$F:$F,SSP2_VSI!$C:$C,Results_list!$C$235,SSP2_VSI!$D:$D,Results_list!$D47,SSP2_VSI!$B:$B,2040)) - (SUMIFS(SSP2_VSI!$F:$F,SSP2_VSI!$C:$C,Results_list!$C$235,SSP2_VSI!$D:$D,Results_list!$D47,SSP2_VSI!$B:$B,2025))) / (SUMIFS(SSP2_VSI!$F:$F,SSP2_VSI!$C:$C,Results_list!$C$235,SSP2_VSI!$D:$D,Results_list!$D47,SSP2_VSI!$B:$B,2025))</f>
        <v>-0.14831871218100734</v>
      </c>
      <c r="AA47" s="52">
        <f t="shared" ref="AA47:AA63" si="16">ROUND(Z47-Y47,2)</f>
        <v>0</v>
      </c>
      <c r="AB47" s="48">
        <f>((SUMIFS(SSP5_Baseline!$E:$E,SSP5_Baseline!$C:$C,Results_list!$C$235,SSP5_Baseline!$D:$D,Results_list!$D47,SSP5_Baseline!$B:$B,2040)) - (SUMIFS(SSP5_Baseline!$E:$E,SSP5_Baseline!$C:$C,Results_list!$C$235,SSP5_Baseline!$D:$D,Results_list!$D47,SSP5_Baseline!$B:$B,2025))) / (SUMIFS(SSP5_Baseline!$E:$E,SSP5_Baseline!$C:$C,Results_list!$C$235,SSP5_Baseline!$D:$D,Results_list!$D47,SSP5_Baseline!$B:$B,2025))</f>
        <v>-5.7264061841255223E-2</v>
      </c>
      <c r="AC47" s="49">
        <f>((SUMIFS(SSP5_VSI!$F:$F,SSP5_VSI!$C:$C,Results_list!$C$235,SSP5_VSI!$D:$D,Results_list!$D47,SSP5_VSI!$B:$B,2040)) - (SUMIFS(SSP5_VSI!$F:$F,SSP5_VSI!$C:$C,Results_list!$C$235,SSP5_VSI!$D:$D,Results_list!$D47,SSP5_VSI!$B:$B,2025))) / (SUMIFS(SSP5_VSI!$F:$F,SSP5_VSI!$C:$C,Results_list!$C$235,SSP5_VSI!$D:$D,Results_list!$D47,SSP5_VSI!$B:$B,2025))</f>
        <v>-5.7322511542688914E-2</v>
      </c>
      <c r="AD47" s="52">
        <f t="shared" ref="AD47:AD63" si="17">ROUND(AC47-AB47,2)</f>
        <v>0</v>
      </c>
    </row>
    <row r="48" spans="2:30" ht="16" x14ac:dyDescent="0.4">
      <c r="B48" s="107"/>
      <c r="C48" s="103"/>
      <c r="D48" s="38" t="s">
        <v>41</v>
      </c>
      <c r="E48" s="38"/>
      <c r="F48" s="47" t="s">
        <v>89</v>
      </c>
      <c r="G48" s="48">
        <f>((SUMIFS(SSP1_Baseline!$E:$E,SSP1_Baseline!$C:$C,Results_list!$C$109,SSP1_Baseline!$D:$D,Results_list!$D153,SSP1_Baseline!$B:$B,2040)) - (SUMIFS(SSP1_Baseline!$E:$E,SSP1_Baseline!$C:$C,Results_list!$C$109,SSP1_Baseline!$D:$D,Results_list!$D153,SSP1_Baseline!$B:$B,2025))) / (SUMIFS(SSP1_Baseline!$E:$E,SSP1_Baseline!$C:$C,Results_list!$C$109,SSP1_Baseline!$D:$D,Results_list!$D153,SSP1_Baseline!$B:$B,2025))</f>
        <v>-2.9952672379750089E-3</v>
      </c>
      <c r="H48" s="49">
        <f>((SUMIFS(SSP1_VSI!$F:$F,SSP1_VSI!$C:$C,Results_list!$C$109,SSP1_VSI!$D:$D,Results_list!$D153,SSP1_VSI!$B:$B,2040)) - (SUMIFS(SSP1_VSI!$F:$F,SSP1_VSI!$C:$C,Results_list!$C$109,SSP1_VSI!$D:$D,Results_list!$D153,SSP1_VSI!$B:$B,2025))) / (SUMIFS(SSP1_VSI!$F:$F,SSP1_VSI!$C:$C,Results_list!$C$109,SSP1_VSI!$D:$D,Results_list!$D153,SSP1_VSI!$B:$B,2025))</f>
        <v>-0.70835833572120088</v>
      </c>
      <c r="I48" s="52">
        <f t="shared" si="12"/>
        <v>-0.70499999999999996</v>
      </c>
      <c r="J48" s="48">
        <f>((SUMIFS(SSP2_Baseline!$E:$E,SSP2_Baseline!$C:$C,Results_list!$C$109,SSP2_Baseline!$D:$D,Results_list!$D153,SSP2_Baseline!$B:$B,2040)) - (SUMIFS(SSP2_Baseline!$E:$E,SSP2_Baseline!$C:$C,Results_list!$C$109,SSP2_Baseline!$D:$D,Results_list!$D153,SSP2_Baseline!$B:$B,2025))) / (SUMIFS(SSP2_Baseline!$E:$E,SSP2_Baseline!$C:$C,Results_list!$C$109,SSP2_Baseline!$D:$D,Results_list!$D153,SSP2_Baseline!$B:$B,2025))</f>
        <v>-2.5589609396331797E-3</v>
      </c>
      <c r="K48" s="49">
        <f>((SUMIFS(SSP2_VSI!$F:$F,SSP2_VSI!$C:$C,Results_list!$C$109,SSP2_VSI!$D:$D,Results_list!$D153,SSP2_VSI!$B:$B,2040)) - (SUMIFS(SSP2_VSI!$F:$F,SSP2_VSI!$C:$C,Results_list!$C$109,SSP2_VSI!$D:$D,Results_list!$D153,SSP2_VSI!$B:$B,2025))) / (SUMIFS(SSP2_VSI!$F:$F,SSP2_VSI!$C:$C,Results_list!$C$109,SSP2_VSI!$D:$D,Results_list!$D153,SSP2_VSI!$B:$B,2025))</f>
        <v>-0.7082593081664279</v>
      </c>
      <c r="L48" s="52">
        <f t="shared" si="13"/>
        <v>-0.71</v>
      </c>
      <c r="M48" s="48">
        <f>((SUMIFS(SSP5_Baseline!$E:$E,SSP5_Baseline!$C:$C,Results_list!$C$109,SSP5_Baseline!$D:$D,Results_list!$D153,SSP5_Baseline!$B:$B,2040)) - (SUMIFS(SSP5_Baseline!$E:$E,SSP5_Baseline!$C:$C,Results_list!$C$109,SSP5_Baseline!$D:$D,Results_list!$D153,SSP5_Baseline!$B:$B,2025))) / (SUMIFS(SSP5_Baseline!$E:$E,SSP5_Baseline!$C:$C,Results_list!$C$109,SSP5_Baseline!$D:$D,Results_list!$D153,SSP5_Baseline!$B:$B,2025))</f>
        <v>-1.6831720874821655E-3</v>
      </c>
      <c r="N48" s="49">
        <f>((SUMIFS(SSP5_VSI!$F:$F,SSP5_VSI!$C:$C,Results_list!$C$109,SSP5_VSI!$D:$D,Results_list!$D153,SSP5_VSI!$B:$B,2040)) - (SUMIFS(SSP5_VSI!$F:$F,SSP5_VSI!$C:$C,Results_list!$C$109,SSP5_VSI!$D:$D,Results_list!$D153,SSP5_VSI!$B:$B,2025))) / (SUMIFS(SSP5_VSI!$F:$F,SSP5_VSI!$C:$C,Results_list!$C$109,SSP5_VSI!$D:$D,Results_list!$D153,SSP5_VSI!$B:$B,2025))</f>
        <v>-0.70727495547400232</v>
      </c>
      <c r="O48" s="52">
        <f t="shared" si="14"/>
        <v>-0.71</v>
      </c>
      <c r="P48" s="38"/>
      <c r="Q48" s="105"/>
      <c r="R48" s="106"/>
      <c r="S48" s="38" t="s">
        <v>41</v>
      </c>
      <c r="T48" s="53"/>
      <c r="U48" s="47" t="s">
        <v>89</v>
      </c>
      <c r="V48" s="48">
        <f>((SUMIFS(SSP1_Baseline!$E:$E,SSP1_Baseline!$C:$C,Results_list!$C$235,SSP1_Baseline!$D:$D,Results_list!$D48,SSP1_Baseline!$B:$B,2040)) - (SUMIFS(SSP1_Baseline!$E:$E,SSP1_Baseline!$C:$C,Results_list!$C$235,SSP1_Baseline!$D:$D,Results_list!$D48,SSP1_Baseline!$B:$B,2025))) / (SUMIFS(SSP1_Baseline!$E:$E,SSP1_Baseline!$C:$C,Results_list!$C$235,SSP1_Baseline!$D:$D,Results_list!$D48,SSP1_Baseline!$B:$B,2025))</f>
        <v>-8.0217135888419527E-2</v>
      </c>
      <c r="W48" s="49">
        <f>((SUMIFS(SSP1_VSI!$F:$F,SSP1_VSI!$C:$C,Results_list!$C$235,SSP1_VSI!$D:$D,Results_list!$D48,SSP1_VSI!$B:$B,2040)) - (SUMIFS(SSP1_VSI!$F:$F,SSP1_VSI!$C:$C,Results_list!$C$235,SSP1_VSI!$D:$D,Results_list!$D48,SSP1_VSI!$B:$B,2025))) / (SUMIFS(SSP1_VSI!$F:$F,SSP1_VSI!$C:$C,Results_list!$C$235,SSP1_VSI!$D:$D,Results_list!$D48,SSP1_VSI!$B:$B,2025))</f>
        <v>-0.11415868704137587</v>
      </c>
      <c r="X48" s="52">
        <f t="shared" si="15"/>
        <v>-3.4000000000000002E-2</v>
      </c>
      <c r="Y48" s="48">
        <f>((SUMIFS(SSP2_Baseline!$E:$E,SSP2_Baseline!$C:$C,Results_list!$C$235,SSP2_Baseline!$D:$D,Results_list!$D48,SSP2_Baseline!$B:$B,2040)) - (SUMIFS(SSP2_Baseline!$E:$E,SSP2_Baseline!$C:$C,Results_list!$C$235,SSP2_Baseline!$D:$D,Results_list!$D48,SSP2_Baseline!$B:$B,2025))) / (SUMIFS(SSP2_Baseline!$E:$E,SSP2_Baseline!$C:$C,Results_list!$C$235,SSP2_Baseline!$D:$D,Results_list!$D48,SSP2_Baseline!$B:$B,2025))</f>
        <v>-7.90239618037058E-2</v>
      </c>
      <c r="Z48" s="49">
        <f>((SUMIFS(SSP2_VSI!$F:$F,SSP2_VSI!$C:$C,Results_list!$C$235,SSP2_VSI!$D:$D,Results_list!$D48,SSP2_VSI!$B:$B,2040)) - (SUMIFS(SSP2_VSI!$F:$F,SSP2_VSI!$C:$C,Results_list!$C$235,SSP2_VSI!$D:$D,Results_list!$D48,SSP2_VSI!$B:$B,2025))) / (SUMIFS(SSP2_VSI!$F:$F,SSP2_VSI!$C:$C,Results_list!$C$235,SSP2_VSI!$D:$D,Results_list!$D48,SSP2_VSI!$B:$B,2025))</f>
        <v>-0.11326113041358274</v>
      </c>
      <c r="AA48" s="52">
        <f t="shared" si="16"/>
        <v>-0.03</v>
      </c>
      <c r="AB48" s="48">
        <f>((SUMIFS(SSP5_Baseline!$E:$E,SSP5_Baseline!$C:$C,Results_list!$C$235,SSP5_Baseline!$D:$D,Results_list!$D48,SSP5_Baseline!$B:$B,2040)) - (SUMIFS(SSP5_Baseline!$E:$E,SSP5_Baseline!$C:$C,Results_list!$C$235,SSP5_Baseline!$D:$D,Results_list!$D48,SSP5_Baseline!$B:$B,2025))) / (SUMIFS(SSP5_Baseline!$E:$E,SSP5_Baseline!$C:$C,Results_list!$C$235,SSP5_Baseline!$D:$D,Results_list!$D48,SSP5_Baseline!$B:$B,2025))</f>
        <v>-4.624476717326758E-2</v>
      </c>
      <c r="AC48" s="49">
        <f>((SUMIFS(SSP5_VSI!$F:$F,SSP5_VSI!$C:$C,Results_list!$C$235,SSP5_VSI!$D:$D,Results_list!$D48,SSP5_VSI!$B:$B,2040)) - (SUMIFS(SSP5_VSI!$F:$F,SSP5_VSI!$C:$C,Results_list!$C$235,SSP5_VSI!$D:$D,Results_list!$D48,SSP5_VSI!$B:$B,2025))) / (SUMIFS(SSP5_VSI!$F:$F,SSP5_VSI!$C:$C,Results_list!$C$235,SSP5_VSI!$D:$D,Results_list!$D48,SSP5_VSI!$B:$B,2025))</f>
        <v>-8.0271883975720187E-2</v>
      </c>
      <c r="AD48" s="52">
        <f t="shared" si="17"/>
        <v>-0.03</v>
      </c>
    </row>
    <row r="49" spans="2:30" ht="16" x14ac:dyDescent="0.4">
      <c r="B49" s="107"/>
      <c r="C49" s="103"/>
      <c r="D49" s="38" t="s">
        <v>42</v>
      </c>
      <c r="E49" s="38"/>
      <c r="F49" s="47" t="s">
        <v>90</v>
      </c>
      <c r="G49" s="48">
        <f>((SUMIFS(SSP1_Baseline!$E:$E,SSP1_Baseline!$C:$C,Results_list!$C$109,SSP1_Baseline!$D:$D,Results_list!$D154,SSP1_Baseline!$B:$B,2040)) - (SUMIFS(SSP1_Baseline!$E:$E,SSP1_Baseline!$C:$C,Results_list!$C$109,SSP1_Baseline!$D:$D,Results_list!$D154,SSP1_Baseline!$B:$B,2025))) / (SUMIFS(SSP1_Baseline!$E:$E,SSP1_Baseline!$C:$C,Results_list!$C$109,SSP1_Baseline!$D:$D,Results_list!$D154,SSP1_Baseline!$B:$B,2025))</f>
        <v>-3.5323386003694015E-4</v>
      </c>
      <c r="H49" s="49">
        <f>((SUMIFS(SSP1_VSI!$F:$F,SSP1_VSI!$C:$C,Results_list!$C$109,SSP1_VSI!$D:$D,Results_list!$D154,SSP1_VSI!$B:$B,2040)) - (SUMIFS(SSP1_VSI!$F:$F,SSP1_VSI!$C:$C,Results_list!$C$109,SSP1_VSI!$D:$D,Results_list!$D154,SSP1_VSI!$B:$B,2025))) / (SUMIFS(SSP1_VSI!$F:$F,SSP1_VSI!$C:$C,Results_list!$C$109,SSP1_VSI!$D:$D,Results_list!$D154,SSP1_VSI!$B:$B,2025))</f>
        <v>-1.635571324170227E-2</v>
      </c>
      <c r="I49" s="52">
        <f t="shared" si="12"/>
        <v>-1.6E-2</v>
      </c>
      <c r="J49" s="48">
        <f>((SUMIFS(SSP2_Baseline!$E:$E,SSP2_Baseline!$C:$C,Results_list!$C$109,SSP2_Baseline!$D:$D,Results_list!$D154,SSP2_Baseline!$B:$B,2040)) - (SUMIFS(SSP2_Baseline!$E:$E,SSP2_Baseline!$C:$C,Results_list!$C$109,SSP2_Baseline!$D:$D,Results_list!$D154,SSP2_Baseline!$B:$B,2025))) / (SUMIFS(SSP2_Baseline!$E:$E,SSP2_Baseline!$C:$C,Results_list!$C$109,SSP2_Baseline!$D:$D,Results_list!$D154,SSP2_Baseline!$B:$B,2025))</f>
        <v>-1.5754563409595465E-5</v>
      </c>
      <c r="K49" s="49">
        <f>((SUMIFS(SSP2_VSI!$F:$F,SSP2_VSI!$C:$C,Results_list!$C$109,SSP2_VSI!$D:$D,Results_list!$D154,SSP2_VSI!$B:$B,2040)) - (SUMIFS(SSP2_VSI!$F:$F,SSP2_VSI!$C:$C,Results_list!$C$109,SSP2_VSI!$D:$D,Results_list!$D154,SSP2_VSI!$B:$B,2025))) / (SUMIFS(SSP2_VSI!$F:$F,SSP2_VSI!$C:$C,Results_list!$C$109,SSP2_VSI!$D:$D,Results_list!$D154,SSP2_VSI!$B:$B,2025))</f>
        <v>-1.6021139466426648E-2</v>
      </c>
      <c r="L49" s="52">
        <f t="shared" si="13"/>
        <v>-0.02</v>
      </c>
      <c r="M49" s="48">
        <f>((SUMIFS(SSP5_Baseline!$E:$E,SSP5_Baseline!$C:$C,Results_list!$C$109,SSP5_Baseline!$D:$D,Results_list!$D154,SSP5_Baseline!$B:$B,2040)) - (SUMIFS(SSP5_Baseline!$E:$E,SSP5_Baseline!$C:$C,Results_list!$C$109,SSP5_Baseline!$D:$D,Results_list!$D154,SSP5_Baseline!$B:$B,2025))) / (SUMIFS(SSP5_Baseline!$E:$E,SSP5_Baseline!$C:$C,Results_list!$C$109,SSP5_Baseline!$D:$D,Results_list!$D154,SSP5_Baseline!$B:$B,2025))</f>
        <v>1.383487255160798E-3</v>
      </c>
      <c r="N49" s="49">
        <f>((SUMIFS(SSP5_VSI!$F:$F,SSP5_VSI!$C:$C,Results_list!$C$109,SSP5_VSI!$D:$D,Results_list!$D154,SSP5_VSI!$B:$B,2040)) - (SUMIFS(SSP5_VSI!$F:$F,SSP5_VSI!$C:$C,Results_list!$C$109,SSP5_VSI!$D:$D,Results_list!$D154,SSP5_VSI!$B:$B,2025))) / (SUMIFS(SSP5_VSI!$F:$F,SSP5_VSI!$C:$C,Results_list!$C$109,SSP5_VSI!$D:$D,Results_list!$D154,SSP5_VSI!$B:$B,2025))</f>
        <v>-1.461197006499158E-2</v>
      </c>
      <c r="O49" s="52">
        <f t="shared" si="14"/>
        <v>-0.02</v>
      </c>
      <c r="P49" s="38"/>
      <c r="Q49" s="105"/>
      <c r="R49" s="106"/>
      <c r="S49" s="38" t="s">
        <v>42</v>
      </c>
      <c r="T49" s="53"/>
      <c r="U49" s="47" t="s">
        <v>90</v>
      </c>
      <c r="V49" s="48">
        <f>((SUMIFS(SSP1_Baseline!$E:$E,SSP1_Baseline!$C:$C,Results_list!$C$235,SSP1_Baseline!$D:$D,Results_list!$D49,SSP1_Baseline!$B:$B,2040)) - (SUMIFS(SSP1_Baseline!$E:$E,SSP1_Baseline!$C:$C,Results_list!$C$235,SSP1_Baseline!$D:$D,Results_list!$D49,SSP1_Baseline!$B:$B,2025))) / (SUMIFS(SSP1_Baseline!$E:$E,SSP1_Baseline!$C:$C,Results_list!$C$235,SSP1_Baseline!$D:$D,Results_list!$D49,SSP1_Baseline!$B:$B,2025))</f>
        <v>-5.8462686784336103E-2</v>
      </c>
      <c r="W49" s="49">
        <f>((SUMIFS(SSP1_VSI!$F:$F,SSP1_VSI!$C:$C,Results_list!$C$235,SSP1_VSI!$D:$D,Results_list!$D49,SSP1_VSI!$B:$B,2040)) - (SUMIFS(SSP1_VSI!$F:$F,SSP1_VSI!$C:$C,Results_list!$C$235,SSP1_VSI!$D:$D,Results_list!$D49,SSP1_VSI!$B:$B,2025))) / (SUMIFS(SSP1_VSI!$F:$F,SSP1_VSI!$C:$C,Results_list!$C$235,SSP1_VSI!$D:$D,Results_list!$D49,SSP1_VSI!$B:$B,2025))</f>
        <v>-5.8457019343881554E-2</v>
      </c>
      <c r="X49" s="52">
        <f t="shared" si="15"/>
        <v>0</v>
      </c>
      <c r="Y49" s="48">
        <f>((SUMIFS(SSP2_Baseline!$E:$E,SSP2_Baseline!$C:$C,Results_list!$C$235,SSP2_Baseline!$D:$D,Results_list!$D49,SSP2_Baseline!$B:$B,2040)) - (SUMIFS(SSP2_Baseline!$E:$E,SSP2_Baseline!$C:$C,Results_list!$C$235,SSP2_Baseline!$D:$D,Results_list!$D49,SSP2_Baseline!$B:$B,2025))) / (SUMIFS(SSP2_Baseline!$E:$E,SSP2_Baseline!$C:$C,Results_list!$C$235,SSP2_Baseline!$D:$D,Results_list!$D49,SSP2_Baseline!$B:$B,2025))</f>
        <v>-6.3308497286280421E-2</v>
      </c>
      <c r="Z49" s="49">
        <f>((SUMIFS(SSP2_VSI!$F:$F,SSP2_VSI!$C:$C,Results_list!$C$235,SSP2_VSI!$D:$D,Results_list!$D49,SSP2_VSI!$B:$B,2040)) - (SUMIFS(SSP2_VSI!$F:$F,SSP2_VSI!$C:$C,Results_list!$C$235,SSP2_VSI!$D:$D,Results_list!$D49,SSP2_VSI!$B:$B,2025))) / (SUMIFS(SSP2_VSI!$F:$F,SSP2_VSI!$C:$C,Results_list!$C$235,SSP2_VSI!$D:$D,Results_list!$D49,SSP2_VSI!$B:$B,2025))</f>
        <v>-6.3317563316282313E-2</v>
      </c>
      <c r="AA49" s="52">
        <f t="shared" si="16"/>
        <v>0</v>
      </c>
      <c r="AB49" s="48">
        <f>((SUMIFS(SSP5_Baseline!$E:$E,SSP5_Baseline!$C:$C,Results_list!$C$235,SSP5_Baseline!$D:$D,Results_list!$D49,SSP5_Baseline!$B:$B,2040)) - (SUMIFS(SSP5_Baseline!$E:$E,SSP5_Baseline!$C:$C,Results_list!$C$235,SSP5_Baseline!$D:$D,Results_list!$D49,SSP5_Baseline!$B:$B,2025))) / (SUMIFS(SSP5_Baseline!$E:$E,SSP5_Baseline!$C:$C,Results_list!$C$235,SSP5_Baseline!$D:$D,Results_list!$D49,SSP5_Baseline!$B:$B,2025))</f>
        <v>0.22883249956220836</v>
      </c>
      <c r="AC49" s="49">
        <f>((SUMIFS(SSP5_VSI!$F:$F,SSP5_VSI!$C:$C,Results_list!$C$235,SSP5_VSI!$D:$D,Results_list!$D49,SSP5_VSI!$B:$B,2040)) - (SUMIFS(SSP5_VSI!$F:$F,SSP5_VSI!$C:$C,Results_list!$C$235,SSP5_VSI!$D:$D,Results_list!$D49,SSP5_VSI!$B:$B,2025))) / (SUMIFS(SSP5_VSI!$F:$F,SSP5_VSI!$C:$C,Results_list!$C$235,SSP5_VSI!$D:$D,Results_list!$D49,SSP5_VSI!$B:$B,2025))</f>
        <v>0.22888738548202273</v>
      </c>
      <c r="AD49" s="52">
        <f t="shared" si="17"/>
        <v>0</v>
      </c>
    </row>
    <row r="50" spans="2:30" ht="16" x14ac:dyDescent="0.4">
      <c r="B50" s="107"/>
      <c r="C50" s="103"/>
      <c r="D50" s="38" t="s">
        <v>43</v>
      </c>
      <c r="E50" s="38"/>
      <c r="F50" s="47" t="s">
        <v>91</v>
      </c>
      <c r="G50" s="48">
        <f>((SUMIFS(SSP1_Baseline!$E:$E,SSP1_Baseline!$C:$C,Results_list!$C$109,SSP1_Baseline!$D:$D,Results_list!$D155,SSP1_Baseline!$B:$B,2040)) - (SUMIFS(SSP1_Baseline!$E:$E,SSP1_Baseline!$C:$C,Results_list!$C$109,SSP1_Baseline!$D:$D,Results_list!$D155,SSP1_Baseline!$B:$B,2025))) / (SUMIFS(SSP1_Baseline!$E:$E,SSP1_Baseline!$C:$C,Results_list!$C$109,SSP1_Baseline!$D:$D,Results_list!$D155,SSP1_Baseline!$B:$B,2025))</f>
        <v>-3.8214764504935659E-3</v>
      </c>
      <c r="H50" s="49">
        <f>((SUMIFS(SSP1_VSI!$F:$F,SSP1_VSI!$C:$C,Results_list!$C$109,SSP1_VSI!$D:$D,Results_list!$D155,SSP1_VSI!$B:$B,2040)) - (SUMIFS(SSP1_VSI!$F:$F,SSP1_VSI!$C:$C,Results_list!$C$109,SSP1_VSI!$D:$D,Results_list!$D155,SSP1_VSI!$B:$B,2025))) / (SUMIFS(SSP1_VSI!$F:$F,SSP1_VSI!$C:$C,Results_list!$C$109,SSP1_VSI!$D:$D,Results_list!$D155,SSP1_VSI!$B:$B,2025))</f>
        <v>-0.7806043182885869</v>
      </c>
      <c r="I50" s="52">
        <f t="shared" si="12"/>
        <v>-0.77700000000000002</v>
      </c>
      <c r="J50" s="48">
        <f>((SUMIFS(SSP2_Baseline!$E:$E,SSP2_Baseline!$C:$C,Results_list!$C$109,SSP2_Baseline!$D:$D,Results_list!$D155,SSP2_Baseline!$B:$B,2040)) - (SUMIFS(SSP2_Baseline!$E:$E,SSP2_Baseline!$C:$C,Results_list!$C$109,SSP2_Baseline!$D:$D,Results_list!$D155,SSP2_Baseline!$B:$B,2025))) / (SUMIFS(SSP2_Baseline!$E:$E,SSP2_Baseline!$C:$C,Results_list!$C$109,SSP2_Baseline!$D:$D,Results_list!$D155,SSP2_Baseline!$B:$B,2025))</f>
        <v>4.2018065604512413E-5</v>
      </c>
      <c r="K50" s="49">
        <f>((SUMIFS(SSP2_VSI!$F:$F,SSP2_VSI!$C:$C,Results_list!$C$109,SSP2_VSI!$D:$D,Results_list!$D155,SSP2_VSI!$B:$B,2040)) - (SUMIFS(SSP2_VSI!$F:$F,SSP2_VSI!$C:$C,Results_list!$C$109,SSP2_VSI!$D:$D,Results_list!$D155,SSP2_VSI!$B:$B,2025))) / (SUMIFS(SSP2_VSI!$F:$F,SSP2_VSI!$C:$C,Results_list!$C$109,SSP2_VSI!$D:$D,Results_list!$D155,SSP2_VSI!$B:$B,2025))</f>
        <v>-0.78149207344698368</v>
      </c>
      <c r="L50" s="52">
        <f t="shared" si="13"/>
        <v>-0.78</v>
      </c>
      <c r="M50" s="48">
        <f>((SUMIFS(SSP5_Baseline!$E:$E,SSP5_Baseline!$C:$C,Results_list!$C$109,SSP5_Baseline!$D:$D,Results_list!$D155,SSP5_Baseline!$B:$B,2040)) - (SUMIFS(SSP5_Baseline!$E:$E,SSP5_Baseline!$C:$C,Results_list!$C$109,SSP5_Baseline!$D:$D,Results_list!$D155,SSP5_Baseline!$B:$B,2025))) / (SUMIFS(SSP5_Baseline!$E:$E,SSP5_Baseline!$C:$C,Results_list!$C$109,SSP5_Baseline!$D:$D,Results_list!$D155,SSP5_Baseline!$B:$B,2025))</f>
        <v>2.3325727146422002E-3</v>
      </c>
      <c r="N50" s="49">
        <f>((SUMIFS(SSP5_VSI!$F:$F,SSP5_VSI!$C:$C,Results_list!$C$109,SSP5_VSI!$D:$D,Results_list!$D155,SSP5_VSI!$B:$B,2040)) - (SUMIFS(SSP5_VSI!$F:$F,SSP5_VSI!$C:$C,Results_list!$C$109,SSP5_VSI!$D:$D,Results_list!$D155,SSP5_VSI!$B:$B,2025))) / (SUMIFS(SSP5_VSI!$F:$F,SSP5_VSI!$C:$C,Results_list!$C$109,SSP5_VSI!$D:$D,Results_list!$D155,SSP5_VSI!$B:$B,2025))</f>
        <v>-0.77922975598933542</v>
      </c>
      <c r="O50" s="52">
        <f t="shared" si="14"/>
        <v>-0.78</v>
      </c>
      <c r="P50" s="38"/>
      <c r="Q50" s="105"/>
      <c r="R50" s="106"/>
      <c r="S50" s="38" t="s">
        <v>43</v>
      </c>
      <c r="T50" s="53"/>
      <c r="U50" s="47" t="s">
        <v>91</v>
      </c>
      <c r="V50" s="48">
        <f>((SUMIFS(SSP1_Baseline!$E:$E,SSP1_Baseline!$C:$C,Results_list!$C$235,SSP1_Baseline!$D:$D,Results_list!$D50,SSP1_Baseline!$B:$B,2040)) - (SUMIFS(SSP1_Baseline!$E:$E,SSP1_Baseline!$C:$C,Results_list!$C$235,SSP1_Baseline!$D:$D,Results_list!$D50,SSP1_Baseline!$B:$B,2025))) / (SUMIFS(SSP1_Baseline!$E:$E,SSP1_Baseline!$C:$C,Results_list!$C$235,SSP1_Baseline!$D:$D,Results_list!$D50,SSP1_Baseline!$B:$B,2025))</f>
        <v>-2.9707033644515764E-2</v>
      </c>
      <c r="W50" s="49">
        <f>((SUMIFS(SSP1_VSI!$F:$F,SSP1_VSI!$C:$C,Results_list!$C$235,SSP1_VSI!$D:$D,Results_list!$D50,SSP1_VSI!$B:$B,2040)) - (SUMIFS(SSP1_VSI!$F:$F,SSP1_VSI!$C:$C,Results_list!$C$235,SSP1_VSI!$D:$D,Results_list!$D50,SSP1_VSI!$B:$B,2025))) / (SUMIFS(SSP1_VSI!$F:$F,SSP1_VSI!$C:$C,Results_list!$C$235,SSP1_VSI!$D:$D,Results_list!$D50,SSP1_VSI!$B:$B,2025))</f>
        <v>-0.68187756421360179</v>
      </c>
      <c r="X50" s="52">
        <f t="shared" si="15"/>
        <v>-0.65200000000000002</v>
      </c>
      <c r="Y50" s="48">
        <f>((SUMIFS(SSP2_Baseline!$E:$E,SSP2_Baseline!$C:$C,Results_list!$C$235,SSP2_Baseline!$D:$D,Results_list!$D50,SSP2_Baseline!$B:$B,2040)) - (SUMIFS(SSP2_Baseline!$E:$E,SSP2_Baseline!$C:$C,Results_list!$C$235,SSP2_Baseline!$D:$D,Results_list!$D50,SSP2_Baseline!$B:$B,2025))) / (SUMIFS(SSP2_Baseline!$E:$E,SSP2_Baseline!$C:$C,Results_list!$C$235,SSP2_Baseline!$D:$D,Results_list!$D50,SSP2_Baseline!$B:$B,2025))</f>
        <v>-1.8476173348115757E-2</v>
      </c>
      <c r="Z50" s="49">
        <f>((SUMIFS(SSP2_VSI!$F:$F,SSP2_VSI!$C:$C,Results_list!$C$235,SSP2_VSI!$D:$D,Results_list!$D50,SSP2_VSI!$B:$B,2040)) - (SUMIFS(SSP2_VSI!$F:$F,SSP2_VSI!$C:$C,Results_list!$C$235,SSP2_VSI!$D:$D,Results_list!$D50,SSP2_VSI!$B:$B,2025))) / (SUMIFS(SSP2_VSI!$F:$F,SSP2_VSI!$C:$C,Results_list!$C$235,SSP2_VSI!$D:$D,Results_list!$D50,SSP2_VSI!$B:$B,2025))</f>
        <v>-0.68483933586442336</v>
      </c>
      <c r="AA50" s="52">
        <f t="shared" si="16"/>
        <v>-0.67</v>
      </c>
      <c r="AB50" s="48">
        <f>((SUMIFS(SSP5_Baseline!$E:$E,SSP5_Baseline!$C:$C,Results_list!$C$235,SSP5_Baseline!$D:$D,Results_list!$D50,SSP5_Baseline!$B:$B,2040)) - (SUMIFS(SSP5_Baseline!$E:$E,SSP5_Baseline!$C:$C,Results_list!$C$235,SSP5_Baseline!$D:$D,Results_list!$D50,SSP5_Baseline!$B:$B,2025))) / (SUMIFS(SSP5_Baseline!$E:$E,SSP5_Baseline!$C:$C,Results_list!$C$235,SSP5_Baseline!$D:$D,Results_list!$D50,SSP5_Baseline!$B:$B,2025))</f>
        <v>6.4094017240081185E-3</v>
      </c>
      <c r="AC50" s="49">
        <f>((SUMIFS(SSP5_VSI!$F:$F,SSP5_VSI!$C:$C,Results_list!$C$235,SSP5_VSI!$D:$D,Results_list!$D50,SSP5_VSI!$B:$B,2040)) - (SUMIFS(SSP5_VSI!$F:$F,SSP5_VSI!$C:$C,Results_list!$C$235,SSP5_VSI!$D:$D,Results_list!$D50,SSP5_VSI!$B:$B,2025))) / (SUMIFS(SSP5_VSI!$F:$F,SSP5_VSI!$C:$C,Results_list!$C$235,SSP5_VSI!$D:$D,Results_list!$D50,SSP5_VSI!$B:$B,2025))</f>
        <v>-0.65760598093801548</v>
      </c>
      <c r="AD50" s="52">
        <f t="shared" si="17"/>
        <v>-0.66</v>
      </c>
    </row>
    <row r="51" spans="2:30" ht="16" x14ac:dyDescent="0.4">
      <c r="B51" s="107"/>
      <c r="C51" s="103"/>
      <c r="D51" s="38" t="s">
        <v>44</v>
      </c>
      <c r="E51" s="38"/>
      <c r="F51" s="47" t="s">
        <v>92</v>
      </c>
      <c r="G51" s="48">
        <f>((SUMIFS(SSP1_Baseline!$E:$E,SSP1_Baseline!$C:$C,Results_list!$C$109,SSP1_Baseline!$D:$D,Results_list!$D156,SSP1_Baseline!$B:$B,2040)) - (SUMIFS(SSP1_Baseline!$E:$E,SSP1_Baseline!$C:$C,Results_list!$C$109,SSP1_Baseline!$D:$D,Results_list!$D156,SSP1_Baseline!$B:$B,2025))) / (SUMIFS(SSP1_Baseline!$E:$E,SSP1_Baseline!$C:$C,Results_list!$C$109,SSP1_Baseline!$D:$D,Results_list!$D156,SSP1_Baseline!$B:$B,2025))</f>
        <v>-8.1205579172266718E-3</v>
      </c>
      <c r="H51" s="49">
        <f>((SUMIFS(SSP1_VSI!$F:$F,SSP1_VSI!$C:$C,Results_list!$C$109,SSP1_VSI!$D:$D,Results_list!$D156,SSP1_VSI!$B:$B,2040)) - (SUMIFS(SSP1_VSI!$F:$F,SSP1_VSI!$C:$C,Results_list!$C$109,SSP1_VSI!$D:$D,Results_list!$D156,SSP1_VSI!$B:$B,2025))) / (SUMIFS(SSP1_VSI!$F:$F,SSP1_VSI!$C:$C,Results_list!$C$109,SSP1_VSI!$D:$D,Results_list!$D156,SSP1_VSI!$B:$B,2025))</f>
        <v>-0.35821603613600517</v>
      </c>
      <c r="I51" s="52">
        <f t="shared" si="12"/>
        <v>-0.35</v>
      </c>
      <c r="J51" s="48">
        <f>((SUMIFS(SSP2_Baseline!$E:$E,SSP2_Baseline!$C:$C,Results_list!$C$109,SSP2_Baseline!$D:$D,Results_list!$D156,SSP2_Baseline!$B:$B,2040)) - (SUMIFS(SSP2_Baseline!$E:$E,SSP2_Baseline!$C:$C,Results_list!$C$109,SSP2_Baseline!$D:$D,Results_list!$D156,SSP2_Baseline!$B:$B,2025))) / (SUMIFS(SSP2_Baseline!$E:$E,SSP2_Baseline!$C:$C,Results_list!$C$109,SSP2_Baseline!$D:$D,Results_list!$D156,SSP2_Baseline!$B:$B,2025))</f>
        <v>-3.6922963041039051E-3</v>
      </c>
      <c r="K51" s="49">
        <f>((SUMIFS(SSP2_VSI!$F:$F,SSP2_VSI!$C:$C,Results_list!$C$109,SSP2_VSI!$D:$D,Results_list!$D156,SSP2_VSI!$B:$B,2040)) - (SUMIFS(SSP2_VSI!$F:$F,SSP2_VSI!$C:$C,Results_list!$C$109,SSP2_VSI!$D:$D,Results_list!$D156,SSP2_VSI!$B:$B,2025))) / (SUMIFS(SSP2_VSI!$F:$F,SSP2_VSI!$C:$C,Results_list!$C$109,SSP2_VSI!$D:$D,Results_list!$D156,SSP2_VSI!$B:$B,2025))</f>
        <v>-0.35381261207132808</v>
      </c>
      <c r="L51" s="52">
        <f t="shared" si="13"/>
        <v>-0.35</v>
      </c>
      <c r="M51" s="48">
        <f>((SUMIFS(SSP5_Baseline!$E:$E,SSP5_Baseline!$C:$C,Results_list!$C$109,SSP5_Baseline!$D:$D,Results_list!$D156,SSP5_Baseline!$B:$B,2040)) - (SUMIFS(SSP5_Baseline!$E:$E,SSP5_Baseline!$C:$C,Results_list!$C$109,SSP5_Baseline!$D:$D,Results_list!$D156,SSP5_Baseline!$B:$B,2025))) / (SUMIFS(SSP5_Baseline!$E:$E,SSP5_Baseline!$C:$C,Results_list!$C$109,SSP5_Baseline!$D:$D,Results_list!$D156,SSP5_Baseline!$B:$B,2025))</f>
        <v>1.5682460996053024E-3</v>
      </c>
      <c r="N51" s="49">
        <f>((SUMIFS(SSP5_VSI!$F:$F,SSP5_VSI!$C:$C,Results_list!$C$109,SSP5_VSI!$D:$D,Results_list!$D156,SSP5_VSI!$B:$B,2040)) - (SUMIFS(SSP5_VSI!$F:$F,SSP5_VSI!$C:$C,Results_list!$C$109,SSP5_VSI!$D:$D,Results_list!$D156,SSP5_VSI!$B:$B,2025))) / (SUMIFS(SSP5_VSI!$F:$F,SSP5_VSI!$C:$C,Results_list!$C$109,SSP5_VSI!$D:$D,Results_list!$D156,SSP5_VSI!$B:$B,2025))</f>
        <v>-0.34804561692717273</v>
      </c>
      <c r="O51" s="52">
        <f t="shared" si="14"/>
        <v>-0.35</v>
      </c>
      <c r="P51" s="38"/>
      <c r="Q51" s="105"/>
      <c r="R51" s="106"/>
      <c r="S51" s="38" t="s">
        <v>44</v>
      </c>
      <c r="T51" s="53"/>
      <c r="U51" s="47" t="s">
        <v>92</v>
      </c>
      <c r="V51" s="48">
        <f>((SUMIFS(SSP1_Baseline!$E:$E,SSP1_Baseline!$C:$C,Results_list!$C$235,SSP1_Baseline!$D:$D,Results_list!$D51,SSP1_Baseline!$B:$B,2040)) - (SUMIFS(SSP1_Baseline!$E:$E,SSP1_Baseline!$C:$C,Results_list!$C$235,SSP1_Baseline!$D:$D,Results_list!$D51,SSP1_Baseline!$B:$B,2025))) / (SUMIFS(SSP1_Baseline!$E:$E,SSP1_Baseline!$C:$C,Results_list!$C$235,SSP1_Baseline!$D:$D,Results_list!$D51,SSP1_Baseline!$B:$B,2025))</f>
        <v>-0.19078745466163918</v>
      </c>
      <c r="W51" s="49">
        <f>((SUMIFS(SSP1_VSI!$F:$F,SSP1_VSI!$C:$C,Results_list!$C$235,SSP1_VSI!$D:$D,Results_list!$D51,SSP1_VSI!$B:$B,2040)) - (SUMIFS(SSP1_VSI!$F:$F,SSP1_VSI!$C:$C,Results_list!$C$235,SSP1_VSI!$D:$D,Results_list!$D51,SSP1_VSI!$B:$B,2025))) / (SUMIFS(SSP1_VSI!$F:$F,SSP1_VSI!$C:$C,Results_list!$C$235,SSP1_VSI!$D:$D,Results_list!$D51,SSP1_VSI!$B:$B,2025))</f>
        <v>-0.19082902573017058</v>
      </c>
      <c r="X51" s="52">
        <f t="shared" si="15"/>
        <v>0</v>
      </c>
      <c r="Y51" s="48">
        <f>((SUMIFS(SSP2_Baseline!$E:$E,SSP2_Baseline!$C:$C,Results_list!$C$235,SSP2_Baseline!$D:$D,Results_list!$D51,SSP2_Baseline!$B:$B,2040)) - (SUMIFS(SSP2_Baseline!$E:$E,SSP2_Baseline!$C:$C,Results_list!$C$235,SSP2_Baseline!$D:$D,Results_list!$D51,SSP2_Baseline!$B:$B,2025))) / (SUMIFS(SSP2_Baseline!$E:$E,SSP2_Baseline!$C:$C,Results_list!$C$235,SSP2_Baseline!$D:$D,Results_list!$D51,SSP2_Baseline!$B:$B,2025))</f>
        <v>-0.19556372616300335</v>
      </c>
      <c r="Z51" s="49">
        <f>((SUMIFS(SSP2_VSI!$F:$F,SSP2_VSI!$C:$C,Results_list!$C$235,SSP2_VSI!$D:$D,Results_list!$D51,SSP2_VSI!$B:$B,2040)) - (SUMIFS(SSP2_VSI!$F:$F,SSP2_VSI!$C:$C,Results_list!$C$235,SSP2_VSI!$D:$D,Results_list!$D51,SSP2_VSI!$B:$B,2025))) / (SUMIFS(SSP2_VSI!$F:$F,SSP2_VSI!$C:$C,Results_list!$C$235,SSP2_VSI!$D:$D,Results_list!$D51,SSP2_VSI!$B:$B,2025))</f>
        <v>-0.19556119060725938</v>
      </c>
      <c r="AA51" s="52">
        <f t="shared" si="16"/>
        <v>0</v>
      </c>
      <c r="AB51" s="48">
        <f>((SUMIFS(SSP5_Baseline!$E:$E,SSP5_Baseline!$C:$C,Results_list!$C$235,SSP5_Baseline!$D:$D,Results_list!$D51,SSP5_Baseline!$B:$B,2040)) - (SUMIFS(SSP5_Baseline!$E:$E,SSP5_Baseline!$C:$C,Results_list!$C$235,SSP5_Baseline!$D:$D,Results_list!$D51,SSP5_Baseline!$B:$B,2025))) / (SUMIFS(SSP5_Baseline!$E:$E,SSP5_Baseline!$C:$C,Results_list!$C$235,SSP5_Baseline!$D:$D,Results_list!$D51,SSP5_Baseline!$B:$B,2025))</f>
        <v>3.115874150081531E-2</v>
      </c>
      <c r="AC51" s="49">
        <f>((SUMIFS(SSP5_VSI!$F:$F,SSP5_VSI!$C:$C,Results_list!$C$235,SSP5_VSI!$D:$D,Results_list!$D51,SSP5_VSI!$B:$B,2040)) - (SUMIFS(SSP5_VSI!$F:$F,SSP5_VSI!$C:$C,Results_list!$C$235,SSP5_VSI!$D:$D,Results_list!$D51,SSP5_VSI!$B:$B,2025))) / (SUMIFS(SSP5_VSI!$F:$F,SSP5_VSI!$C:$C,Results_list!$C$235,SSP5_VSI!$D:$D,Results_list!$D51,SSP5_VSI!$B:$B,2025))</f>
        <v>3.1180335441949564E-2</v>
      </c>
      <c r="AD51" s="52">
        <f t="shared" si="17"/>
        <v>0</v>
      </c>
    </row>
    <row r="52" spans="2:30" ht="16" x14ac:dyDescent="0.4">
      <c r="B52" s="107"/>
      <c r="C52" s="103"/>
      <c r="D52" s="38" t="s">
        <v>45</v>
      </c>
      <c r="E52" s="38"/>
      <c r="F52" s="47" t="s">
        <v>93</v>
      </c>
      <c r="G52" s="48">
        <f>((SUMIFS(SSP1_Baseline!$E:$E,SSP1_Baseline!$C:$C,Results_list!$C$109,SSP1_Baseline!$D:$D,Results_list!$D157,SSP1_Baseline!$B:$B,2040)) - (SUMIFS(SSP1_Baseline!$E:$E,SSP1_Baseline!$C:$C,Results_list!$C$109,SSP1_Baseline!$D:$D,Results_list!$D157,SSP1_Baseline!$B:$B,2025))) / (SUMIFS(SSP1_Baseline!$E:$E,SSP1_Baseline!$C:$C,Results_list!$C$109,SSP1_Baseline!$D:$D,Results_list!$D157,SSP1_Baseline!$B:$B,2025))</f>
        <v>-2.4808487873088567E-2</v>
      </c>
      <c r="H52" s="49">
        <f>((SUMIFS(SSP1_VSI!$F:$F,SSP1_VSI!$C:$C,Results_list!$C$109,SSP1_VSI!$D:$D,Results_list!$D157,SSP1_VSI!$B:$B,2040)) - (SUMIFS(SSP1_VSI!$F:$F,SSP1_VSI!$C:$C,Results_list!$C$109,SSP1_VSI!$D:$D,Results_list!$D157,SSP1_VSI!$B:$B,2025))) / (SUMIFS(SSP1_VSI!$F:$F,SSP1_VSI!$C:$C,Results_list!$C$109,SSP1_VSI!$D:$D,Results_list!$D157,SSP1_VSI!$B:$B,2025))</f>
        <v>-0.76409755739518637</v>
      </c>
      <c r="I52" s="52">
        <f t="shared" si="12"/>
        <v>-0.73899999999999999</v>
      </c>
      <c r="J52" s="48">
        <f>((SUMIFS(SSP2_Baseline!$E:$E,SSP2_Baseline!$C:$C,Results_list!$C$109,SSP2_Baseline!$D:$D,Results_list!$D157,SSP2_Baseline!$B:$B,2040)) - (SUMIFS(SSP2_Baseline!$E:$E,SSP2_Baseline!$C:$C,Results_list!$C$109,SSP2_Baseline!$D:$D,Results_list!$D157,SSP2_Baseline!$B:$B,2025))) / (SUMIFS(SSP2_Baseline!$E:$E,SSP2_Baseline!$C:$C,Results_list!$C$109,SSP2_Baseline!$D:$D,Results_list!$D157,SSP2_Baseline!$B:$B,2025))</f>
        <v>-2.3646603226862139E-2</v>
      </c>
      <c r="K52" s="49">
        <f>((SUMIFS(SSP2_VSI!$F:$F,SSP2_VSI!$C:$C,Results_list!$C$109,SSP2_VSI!$D:$D,Results_list!$D157,SSP2_VSI!$B:$B,2040)) - (SUMIFS(SSP2_VSI!$F:$F,SSP2_VSI!$C:$C,Results_list!$C$109,SSP2_VSI!$D:$D,Results_list!$D157,SSP2_VSI!$B:$B,2025))) / (SUMIFS(SSP2_VSI!$F:$F,SSP2_VSI!$C:$C,Results_list!$C$109,SSP2_VSI!$D:$D,Results_list!$D157,SSP2_VSI!$B:$B,2025))</f>
        <v>-0.76417621785729095</v>
      </c>
      <c r="L52" s="52">
        <f t="shared" si="13"/>
        <v>-0.74</v>
      </c>
      <c r="M52" s="48">
        <f>((SUMIFS(SSP5_Baseline!$E:$E,SSP5_Baseline!$C:$C,Results_list!$C$109,SSP5_Baseline!$D:$D,Results_list!$D157,SSP5_Baseline!$B:$B,2040)) - (SUMIFS(SSP5_Baseline!$E:$E,SSP5_Baseline!$C:$C,Results_list!$C$109,SSP5_Baseline!$D:$D,Results_list!$D157,SSP5_Baseline!$B:$B,2025))) / (SUMIFS(SSP5_Baseline!$E:$E,SSP5_Baseline!$C:$C,Results_list!$C$109,SSP5_Baseline!$D:$D,Results_list!$D157,SSP5_Baseline!$B:$B,2025))</f>
        <v>-2.3170027265685664E-2</v>
      </c>
      <c r="N52" s="49">
        <f>((SUMIFS(SSP5_VSI!$F:$F,SSP5_VSI!$C:$C,Results_list!$C$109,SSP5_VSI!$D:$D,Results_list!$D157,SSP5_VSI!$B:$B,2040)) - (SUMIFS(SSP5_VSI!$F:$F,SSP5_VSI!$C:$C,Results_list!$C$109,SSP5_VSI!$D:$D,Results_list!$D157,SSP5_VSI!$B:$B,2025))) / (SUMIFS(SSP5_VSI!$F:$F,SSP5_VSI!$C:$C,Results_list!$C$109,SSP5_VSI!$D:$D,Results_list!$D157,SSP5_VSI!$B:$B,2025))</f>
        <v>-0.76390992966546545</v>
      </c>
      <c r="O52" s="52">
        <f t="shared" si="14"/>
        <v>-0.74</v>
      </c>
      <c r="P52" s="38"/>
      <c r="Q52" s="105"/>
      <c r="R52" s="106"/>
      <c r="S52" s="38" t="s">
        <v>45</v>
      </c>
      <c r="T52" s="53"/>
      <c r="U52" s="47" t="s">
        <v>93</v>
      </c>
      <c r="V52" s="48">
        <f>((SUMIFS(SSP1_Baseline!$E:$E,SSP1_Baseline!$C:$C,Results_list!$C$235,SSP1_Baseline!$D:$D,Results_list!$D52,SSP1_Baseline!$B:$B,2040)) - (SUMIFS(SSP1_Baseline!$E:$E,SSP1_Baseline!$C:$C,Results_list!$C$235,SSP1_Baseline!$D:$D,Results_list!$D52,SSP1_Baseline!$B:$B,2025))) / (SUMIFS(SSP1_Baseline!$E:$E,SSP1_Baseline!$C:$C,Results_list!$C$235,SSP1_Baseline!$D:$D,Results_list!$D52,SSP1_Baseline!$B:$B,2025))</f>
        <v>-8.618828813516391E-2</v>
      </c>
      <c r="W52" s="49">
        <f>((SUMIFS(SSP1_VSI!$F:$F,SSP1_VSI!$C:$C,Results_list!$C$235,SSP1_VSI!$D:$D,Results_list!$D52,SSP1_VSI!$B:$B,2040)) - (SUMIFS(SSP1_VSI!$F:$F,SSP1_VSI!$C:$C,Results_list!$C$235,SSP1_VSI!$D:$D,Results_list!$D52,SSP1_VSI!$B:$B,2025))) / (SUMIFS(SSP1_VSI!$F:$F,SSP1_VSI!$C:$C,Results_list!$C$235,SSP1_VSI!$D:$D,Results_list!$D52,SSP1_VSI!$B:$B,2025))</f>
        <v>-0.4409096082915166</v>
      </c>
      <c r="X52" s="52">
        <f t="shared" si="15"/>
        <v>-0.35499999999999998</v>
      </c>
      <c r="Y52" s="48">
        <f>((SUMIFS(SSP2_Baseline!$E:$E,SSP2_Baseline!$C:$C,Results_list!$C$235,SSP2_Baseline!$D:$D,Results_list!$D52,SSP2_Baseline!$B:$B,2040)) - (SUMIFS(SSP2_Baseline!$E:$E,SSP2_Baseline!$C:$C,Results_list!$C$235,SSP2_Baseline!$D:$D,Results_list!$D52,SSP2_Baseline!$B:$B,2025))) / (SUMIFS(SSP2_Baseline!$E:$E,SSP2_Baseline!$C:$C,Results_list!$C$235,SSP2_Baseline!$D:$D,Results_list!$D52,SSP2_Baseline!$B:$B,2025))</f>
        <v>-8.5243302161789478E-2</v>
      </c>
      <c r="Z52" s="49">
        <f>((SUMIFS(SSP2_VSI!$F:$F,SSP2_VSI!$C:$C,Results_list!$C$235,SSP2_VSI!$D:$D,Results_list!$D52,SSP2_VSI!$B:$B,2040)) - (SUMIFS(SSP2_VSI!$F:$F,SSP2_VSI!$C:$C,Results_list!$C$235,SSP2_VSI!$D:$D,Results_list!$D52,SSP2_VSI!$B:$B,2025))) / (SUMIFS(SSP2_VSI!$F:$F,SSP2_VSI!$C:$C,Results_list!$C$235,SSP2_VSI!$D:$D,Results_list!$D52,SSP2_VSI!$B:$B,2025))</f>
        <v>-0.44458177709624985</v>
      </c>
      <c r="AA52" s="52">
        <f t="shared" si="16"/>
        <v>-0.36</v>
      </c>
      <c r="AB52" s="48">
        <f>((SUMIFS(SSP5_Baseline!$E:$E,SSP5_Baseline!$C:$C,Results_list!$C$235,SSP5_Baseline!$D:$D,Results_list!$D52,SSP5_Baseline!$B:$B,2040)) - (SUMIFS(SSP5_Baseline!$E:$E,SSP5_Baseline!$C:$C,Results_list!$C$235,SSP5_Baseline!$D:$D,Results_list!$D52,SSP5_Baseline!$B:$B,2025))) / (SUMIFS(SSP5_Baseline!$E:$E,SSP5_Baseline!$C:$C,Results_list!$C$235,SSP5_Baseline!$D:$D,Results_list!$D52,SSP5_Baseline!$B:$B,2025))</f>
        <v>-7.077100445628319E-2</v>
      </c>
      <c r="AC52" s="49">
        <f>((SUMIFS(SSP5_VSI!$F:$F,SSP5_VSI!$C:$C,Results_list!$C$235,SSP5_VSI!$D:$D,Results_list!$D52,SSP5_VSI!$B:$B,2040)) - (SUMIFS(SSP5_VSI!$F:$F,SSP5_VSI!$C:$C,Results_list!$C$235,SSP5_VSI!$D:$D,Results_list!$D52,SSP5_VSI!$B:$B,2025))) / (SUMIFS(SSP5_VSI!$F:$F,SSP5_VSI!$C:$C,Results_list!$C$235,SSP5_VSI!$D:$D,Results_list!$D52,SSP5_VSI!$B:$B,2025))</f>
        <v>-0.43065905923799103</v>
      </c>
      <c r="AD52" s="52">
        <f t="shared" si="17"/>
        <v>-0.36</v>
      </c>
    </row>
    <row r="53" spans="2:30" ht="14.5" hidden="1" customHeight="1" x14ac:dyDescent="0.4">
      <c r="B53" s="107"/>
      <c r="C53" s="103"/>
      <c r="D53" s="38" t="s">
        <v>46</v>
      </c>
      <c r="E53" s="38"/>
      <c r="F53" s="47" t="s">
        <v>94</v>
      </c>
      <c r="G53" s="48">
        <f>((SUMIFS(SSP1_Baseline!$E:$E,SSP1_Baseline!$C:$C,Results_list!$C$109,SSP1_Baseline!$D:$D,Results_list!$D158,SSP1_Baseline!$B:$B,2040)) - (SUMIFS(SSP1_Baseline!$E:$E,SSP1_Baseline!$C:$C,Results_list!$C$109,SSP1_Baseline!$D:$D,Results_list!$D158,SSP1_Baseline!$B:$B,2025))) / (SUMIFS(SSP1_Baseline!$E:$E,SSP1_Baseline!$C:$C,Results_list!$C$109,SSP1_Baseline!$D:$D,Results_list!$D158,SSP1_Baseline!$B:$B,2025))</f>
        <v>0.35885836563767243</v>
      </c>
      <c r="H53" s="49">
        <f>((SUMIFS(SSP1_VSI!$F:$F,SSP1_VSI!$C:$C,Results_list!$C$109,SSP1_VSI!$D:$D,Results_list!$D158,SSP1_VSI!$B:$B,2040)) - (SUMIFS(SSP1_VSI!$F:$F,SSP1_VSI!$C:$C,Results_list!$C$109,SSP1_VSI!$D:$D,Results_list!$D158,SSP1_VSI!$B:$B,2025))) / (SUMIFS(SSP1_VSI!$F:$F,SSP1_VSI!$C:$C,Results_list!$C$109,SSP1_VSI!$D:$D,Results_list!$D158,SSP1_VSI!$B:$B,2025))</f>
        <v>0.35886958764215277</v>
      </c>
      <c r="I53" s="52">
        <f t="shared" si="12"/>
        <v>0</v>
      </c>
      <c r="J53" s="48">
        <f>((SUMIFS(SSP2_Baseline!$E:$E,SSP2_Baseline!$C:$C,Results_list!$C$109,SSP2_Baseline!$D:$D,Results_list!$D158,SSP2_Baseline!$B:$B,2040)) - (SUMIFS(SSP2_Baseline!$E:$E,SSP2_Baseline!$C:$C,Results_list!$C$109,SSP2_Baseline!$D:$D,Results_list!$D158,SSP2_Baseline!$B:$B,2025))) / (SUMIFS(SSP2_Baseline!$E:$E,SSP2_Baseline!$C:$C,Results_list!$C$109,SSP2_Baseline!$D:$D,Results_list!$D158,SSP2_Baseline!$B:$B,2025))</f>
        <v>0.20418181782045314</v>
      </c>
      <c r="K53" s="49">
        <f>((SUMIFS(SSP2_VSI!$F:$F,SSP2_VSI!$C:$C,Results_list!$C$109,SSP2_VSI!$D:$D,Results_list!$D158,SSP2_VSI!$B:$B,2040)) - (SUMIFS(SSP2_VSI!$F:$F,SSP2_VSI!$C:$C,Results_list!$C$109,SSP2_VSI!$D:$D,Results_list!$D158,SSP2_VSI!$B:$B,2025))) / (SUMIFS(SSP2_VSI!$F:$F,SSP2_VSI!$C:$C,Results_list!$C$109,SSP2_VSI!$D:$D,Results_list!$D158,SSP2_VSI!$B:$B,2025))</f>
        <v>0.20413599003969285</v>
      </c>
      <c r="L53" s="52">
        <f t="shared" si="13"/>
        <v>0</v>
      </c>
      <c r="M53" s="48">
        <f>((SUMIFS(SSP5_Baseline!$E:$E,SSP5_Baseline!$C:$C,Results_list!$C$109,SSP5_Baseline!$D:$D,Results_list!$D158,SSP5_Baseline!$B:$B,2040)) - (SUMIFS(SSP5_Baseline!$E:$E,SSP5_Baseline!$C:$C,Results_list!$C$109,SSP5_Baseline!$D:$D,Results_list!$D158,SSP5_Baseline!$B:$B,2025))) / (SUMIFS(SSP5_Baseline!$E:$E,SSP5_Baseline!$C:$C,Results_list!$C$109,SSP5_Baseline!$D:$D,Results_list!$D158,SSP5_Baseline!$B:$B,2025))</f>
        <v>0.14763757713803868</v>
      </c>
      <c r="N53" s="49">
        <f>((SUMIFS(SSP5_VSI!$F:$F,SSP5_VSI!$C:$C,Results_list!$C$109,SSP5_VSI!$D:$D,Results_list!$D158,SSP5_VSI!$B:$B,2040)) - (SUMIFS(SSP5_VSI!$F:$F,SSP5_VSI!$C:$C,Results_list!$C$109,SSP5_VSI!$D:$D,Results_list!$D158,SSP5_VSI!$B:$B,2025))) / (SUMIFS(SSP5_VSI!$F:$F,SSP5_VSI!$C:$C,Results_list!$C$109,SSP5_VSI!$D:$D,Results_list!$D158,SSP5_VSI!$B:$B,2025))</f>
        <v>0.14765431971796097</v>
      </c>
      <c r="O53" s="52">
        <f t="shared" si="14"/>
        <v>0</v>
      </c>
      <c r="P53" s="38"/>
      <c r="Q53" s="105"/>
      <c r="R53" s="106"/>
      <c r="S53" s="38" t="s">
        <v>46</v>
      </c>
      <c r="T53" s="53"/>
      <c r="U53" s="47" t="s">
        <v>94</v>
      </c>
      <c r="V53" s="48">
        <f>((SUMIFS(SSP1_Baseline!$E:$E,SSP1_Baseline!$C:$C,Results_list!$C$235,SSP1_Baseline!$D:$D,Results_list!$D53,SSP1_Baseline!$B:$B,2040)) - (SUMIFS(SSP1_Baseline!$E:$E,SSP1_Baseline!$C:$C,Results_list!$C$235,SSP1_Baseline!$D:$D,Results_list!$D53,SSP1_Baseline!$B:$B,2025))) / (SUMIFS(SSP1_Baseline!$E:$E,SSP1_Baseline!$C:$C,Results_list!$C$235,SSP1_Baseline!$D:$D,Results_list!$D53,SSP1_Baseline!$B:$B,2025))</f>
        <v>0.30536578419629662</v>
      </c>
      <c r="W53" s="49">
        <f>((SUMIFS(SSP1_VSI!$F:$F,SSP1_VSI!$C:$C,Results_list!$C$235,SSP1_VSI!$D:$D,Results_list!$D53,SSP1_VSI!$B:$B,2040)) - (SUMIFS(SSP1_VSI!$F:$F,SSP1_VSI!$C:$C,Results_list!$C$235,SSP1_VSI!$D:$D,Results_list!$D53,SSP1_VSI!$B:$B,2025))) / (SUMIFS(SSP1_VSI!$F:$F,SSP1_VSI!$C:$C,Results_list!$C$235,SSP1_VSI!$D:$D,Results_list!$D53,SSP1_VSI!$B:$B,2025))</f>
        <v>0.30537868495151527</v>
      </c>
      <c r="X53" s="52">
        <f t="shared" si="15"/>
        <v>0</v>
      </c>
      <c r="Y53" s="48">
        <f>((SUMIFS(SSP2_Baseline!$E:$E,SSP2_Baseline!$C:$C,Results_list!$C$235,SSP2_Baseline!$D:$D,Results_list!$D53,SSP2_Baseline!$B:$B,2040)) - (SUMIFS(SSP2_Baseline!$E:$E,SSP2_Baseline!$C:$C,Results_list!$C$235,SSP2_Baseline!$D:$D,Results_list!$D53,SSP2_Baseline!$B:$B,2025))) / (SUMIFS(SSP2_Baseline!$E:$E,SSP2_Baseline!$C:$C,Results_list!$C$235,SSP2_Baseline!$D:$D,Results_list!$D53,SSP2_Baseline!$B:$B,2025))</f>
        <v>0.69897479808887752</v>
      </c>
      <c r="Z53" s="49">
        <f>((SUMIFS(SSP2_VSI!$F:$F,SSP2_VSI!$C:$C,Results_list!$C$235,SSP2_VSI!$D:$D,Results_list!$D53,SSP2_VSI!$B:$B,2040)) - (SUMIFS(SSP2_VSI!$F:$F,SSP2_VSI!$C:$C,Results_list!$C$235,SSP2_VSI!$D:$D,Results_list!$D53,SSP2_VSI!$B:$B,2025))) / (SUMIFS(SSP2_VSI!$F:$F,SSP2_VSI!$C:$C,Results_list!$C$235,SSP2_VSI!$D:$D,Results_list!$D53,SSP2_VSI!$B:$B,2025))</f>
        <v>0.6988732865902717</v>
      </c>
      <c r="AA53" s="52">
        <f t="shared" si="16"/>
        <v>0</v>
      </c>
      <c r="AB53" s="48">
        <f>((SUMIFS(SSP5_Baseline!$E:$E,SSP5_Baseline!$C:$C,Results_list!$C$235,SSP5_Baseline!$D:$D,Results_list!$D53,SSP5_Baseline!$B:$B,2040)) - (SUMIFS(SSP5_Baseline!$E:$E,SSP5_Baseline!$C:$C,Results_list!$C$235,SSP5_Baseline!$D:$D,Results_list!$D53,SSP5_Baseline!$B:$B,2025))) / (SUMIFS(SSP5_Baseline!$E:$E,SSP5_Baseline!$C:$C,Results_list!$C$235,SSP5_Baseline!$D:$D,Results_list!$D53,SSP5_Baseline!$B:$B,2025))</f>
        <v>0.62637526970262314</v>
      </c>
      <c r="AC53" s="49">
        <f>((SUMIFS(SSP5_VSI!$F:$F,SSP5_VSI!$C:$C,Results_list!$C$235,SSP5_VSI!$D:$D,Results_list!$D53,SSP5_VSI!$B:$B,2040)) - (SUMIFS(SSP5_VSI!$F:$F,SSP5_VSI!$C:$C,Results_list!$C$235,SSP5_VSI!$D:$D,Results_list!$D53,SSP5_VSI!$B:$B,2025))) / (SUMIFS(SSP5_VSI!$F:$F,SSP5_VSI!$C:$C,Results_list!$C$235,SSP5_VSI!$D:$D,Results_list!$D53,SSP5_VSI!$B:$B,2025))</f>
        <v>0.62640143379818092</v>
      </c>
      <c r="AD53" s="52">
        <f t="shared" si="17"/>
        <v>0</v>
      </c>
    </row>
    <row r="54" spans="2:30" ht="16" x14ac:dyDescent="0.4">
      <c r="B54" s="107"/>
      <c r="C54" s="103"/>
      <c r="D54" s="38" t="s">
        <v>47</v>
      </c>
      <c r="E54" s="38"/>
      <c r="F54" s="47" t="s">
        <v>95</v>
      </c>
      <c r="G54" s="48">
        <f>((SUMIFS(SSP1_Baseline!$E:$E,SSP1_Baseline!$C:$C,Results_list!$C$109,SSP1_Baseline!$D:$D,Results_list!$D159,SSP1_Baseline!$B:$B,2040)) - (SUMIFS(SSP1_Baseline!$E:$E,SSP1_Baseline!$C:$C,Results_list!$C$109,SSP1_Baseline!$D:$D,Results_list!$D159,SSP1_Baseline!$B:$B,2025))) / (SUMIFS(SSP1_Baseline!$E:$E,SSP1_Baseline!$C:$C,Results_list!$C$109,SSP1_Baseline!$D:$D,Results_list!$D159,SSP1_Baseline!$B:$B,2025))</f>
        <v>-6.874799600864221E-4</v>
      </c>
      <c r="H54" s="49">
        <f>((SUMIFS(SSP1_VSI!$F:$F,SSP1_VSI!$C:$C,Results_list!$C$109,SSP1_VSI!$D:$D,Results_list!$D159,SSP1_VSI!$B:$B,2040)) - (SUMIFS(SSP1_VSI!$F:$F,SSP1_VSI!$C:$C,Results_list!$C$109,SSP1_VSI!$D:$D,Results_list!$D159,SSP1_VSI!$B:$B,2025))) / (SUMIFS(SSP1_VSI!$F:$F,SSP1_VSI!$C:$C,Results_list!$C$109,SSP1_VSI!$D:$D,Results_list!$D159,SSP1_VSI!$B:$B,2025))</f>
        <v>-6.8538632398227272E-4</v>
      </c>
      <c r="I54" s="52">
        <f t="shared" si="12"/>
        <v>0</v>
      </c>
      <c r="J54" s="48">
        <f>((SUMIFS(SSP2_Baseline!$E:$E,SSP2_Baseline!$C:$C,Results_list!$C$109,SSP2_Baseline!$D:$D,Results_list!$D159,SSP2_Baseline!$B:$B,2040)) - (SUMIFS(SSP2_Baseline!$E:$E,SSP2_Baseline!$C:$C,Results_list!$C$109,SSP2_Baseline!$D:$D,Results_list!$D159,SSP2_Baseline!$B:$B,2025))) / (SUMIFS(SSP2_Baseline!$E:$E,SSP2_Baseline!$C:$C,Results_list!$C$109,SSP2_Baseline!$D:$D,Results_list!$D159,SSP2_Baseline!$B:$B,2025))</f>
        <v>-8.4600207999169208E-5</v>
      </c>
      <c r="K54" s="49">
        <f>((SUMIFS(SSP2_VSI!$F:$F,SSP2_VSI!$C:$C,Results_list!$C$109,SSP2_VSI!$D:$D,Results_list!$D159,SSP2_VSI!$B:$B,2040)) - (SUMIFS(SSP2_VSI!$F:$F,SSP2_VSI!$C:$C,Results_list!$C$109,SSP2_VSI!$D:$D,Results_list!$D159,SSP2_VSI!$B:$B,2025))) / (SUMIFS(SSP2_VSI!$F:$F,SSP2_VSI!$C:$C,Results_list!$C$109,SSP2_VSI!$D:$D,Results_list!$D159,SSP2_VSI!$B:$B,2025))</f>
        <v>-8.4087156039927734E-5</v>
      </c>
      <c r="L54" s="52">
        <f t="shared" si="13"/>
        <v>0</v>
      </c>
      <c r="M54" s="48">
        <f>((SUMIFS(SSP5_Baseline!$E:$E,SSP5_Baseline!$C:$C,Results_list!$C$109,SSP5_Baseline!$D:$D,Results_list!$D159,SSP5_Baseline!$B:$B,2040)) - (SUMIFS(SSP5_Baseline!$E:$E,SSP5_Baseline!$C:$C,Results_list!$C$109,SSP5_Baseline!$D:$D,Results_list!$D159,SSP5_Baseline!$B:$B,2025))) / (SUMIFS(SSP5_Baseline!$E:$E,SSP5_Baseline!$C:$C,Results_list!$C$109,SSP5_Baseline!$D:$D,Results_list!$D159,SSP5_Baseline!$B:$B,2025))</f>
        <v>3.590859294071499E-3</v>
      </c>
      <c r="N54" s="49">
        <f>((SUMIFS(SSP5_VSI!$F:$F,SSP5_VSI!$C:$C,Results_list!$C$109,SSP5_VSI!$D:$D,Results_list!$D159,SSP5_VSI!$B:$B,2040)) - (SUMIFS(SSP5_VSI!$F:$F,SSP5_VSI!$C:$C,Results_list!$C$109,SSP5_VSI!$D:$D,Results_list!$D159,SSP5_VSI!$B:$B,2025))) / (SUMIFS(SSP5_VSI!$F:$F,SSP5_VSI!$C:$C,Results_list!$C$109,SSP5_VSI!$D:$D,Results_list!$D159,SSP5_VSI!$B:$B,2025))</f>
        <v>3.6016070281178038E-3</v>
      </c>
      <c r="O54" s="52">
        <f t="shared" si="14"/>
        <v>0</v>
      </c>
      <c r="P54" s="38"/>
      <c r="Q54" s="105"/>
      <c r="R54" s="106"/>
      <c r="S54" s="38" t="s">
        <v>47</v>
      </c>
      <c r="T54" s="53"/>
      <c r="U54" s="47" t="s">
        <v>95</v>
      </c>
      <c r="V54" s="48">
        <f>((SUMIFS(SSP1_Baseline!$E:$E,SSP1_Baseline!$C:$C,Results_list!$C$235,SSP1_Baseline!$D:$D,Results_list!$D54,SSP1_Baseline!$B:$B,2040)) - (SUMIFS(SSP1_Baseline!$E:$E,SSP1_Baseline!$C:$C,Results_list!$C$235,SSP1_Baseline!$D:$D,Results_list!$D54,SSP1_Baseline!$B:$B,2025))) / (SUMIFS(SSP1_Baseline!$E:$E,SSP1_Baseline!$C:$C,Results_list!$C$235,SSP1_Baseline!$D:$D,Results_list!$D54,SSP1_Baseline!$B:$B,2025))</f>
        <v>-7.3036150547530307E-2</v>
      </c>
      <c r="W54" s="49">
        <f>((SUMIFS(SSP1_VSI!$F:$F,SSP1_VSI!$C:$C,Results_list!$C$235,SSP1_VSI!$D:$D,Results_list!$D54,SSP1_VSI!$B:$B,2040)) - (SUMIFS(SSP1_VSI!$F:$F,SSP1_VSI!$C:$C,Results_list!$C$235,SSP1_VSI!$D:$D,Results_list!$D54,SSP1_VSI!$B:$B,2025))) / (SUMIFS(SSP1_VSI!$F:$F,SSP1_VSI!$C:$C,Results_list!$C$235,SSP1_VSI!$D:$D,Results_list!$D54,SSP1_VSI!$B:$B,2025))</f>
        <v>-0.56316884320931915</v>
      </c>
      <c r="X54" s="52">
        <f t="shared" si="15"/>
        <v>-0.49</v>
      </c>
      <c r="Y54" s="48">
        <f>((SUMIFS(SSP2_Baseline!$E:$E,SSP2_Baseline!$C:$C,Results_list!$C$235,SSP2_Baseline!$D:$D,Results_list!$D54,SSP2_Baseline!$B:$B,2040)) - (SUMIFS(SSP2_Baseline!$E:$E,SSP2_Baseline!$C:$C,Results_list!$C$235,SSP2_Baseline!$D:$D,Results_list!$D54,SSP2_Baseline!$B:$B,2025))) / (SUMIFS(SSP2_Baseline!$E:$E,SSP2_Baseline!$C:$C,Results_list!$C$235,SSP2_Baseline!$D:$D,Results_list!$D54,SSP2_Baseline!$B:$B,2025))</f>
        <v>-8.5421188219476821E-2</v>
      </c>
      <c r="Z54" s="49">
        <f>((SUMIFS(SSP2_VSI!$F:$F,SSP2_VSI!$C:$C,Results_list!$C$235,SSP2_VSI!$D:$D,Results_list!$D54,SSP2_VSI!$B:$B,2040)) - (SUMIFS(SSP2_VSI!$F:$F,SSP2_VSI!$C:$C,Results_list!$C$235,SSP2_VSI!$D:$D,Results_list!$D54,SSP2_VSI!$B:$B,2025))) / (SUMIFS(SSP2_VSI!$F:$F,SSP2_VSI!$C:$C,Results_list!$C$235,SSP2_VSI!$D:$D,Results_list!$D54,SSP2_VSI!$B:$B,2025))</f>
        <v>-0.58197457384613704</v>
      </c>
      <c r="AA54" s="52">
        <f t="shared" si="16"/>
        <v>-0.5</v>
      </c>
      <c r="AB54" s="48">
        <f>((SUMIFS(SSP5_Baseline!$E:$E,SSP5_Baseline!$C:$C,Results_list!$C$235,SSP5_Baseline!$D:$D,Results_list!$D54,SSP5_Baseline!$B:$B,2040)) - (SUMIFS(SSP5_Baseline!$E:$E,SSP5_Baseline!$C:$C,Results_list!$C$235,SSP5_Baseline!$D:$D,Results_list!$D54,SSP5_Baseline!$B:$B,2025))) / (SUMIFS(SSP5_Baseline!$E:$E,SSP5_Baseline!$C:$C,Results_list!$C$235,SSP5_Baseline!$D:$D,Results_list!$D54,SSP5_Baseline!$B:$B,2025))</f>
        <v>0.40732390591188633</v>
      </c>
      <c r="AC54" s="49">
        <f>((SUMIFS(SSP5_VSI!$F:$F,SSP5_VSI!$C:$C,Results_list!$C$235,SSP5_VSI!$D:$D,Results_list!$D54,SSP5_VSI!$B:$B,2040)) - (SUMIFS(SSP5_VSI!$F:$F,SSP5_VSI!$C:$C,Results_list!$C$235,SSP5_VSI!$D:$D,Results_list!$D54,SSP5_VSI!$B:$B,2025))) / (SUMIFS(SSP5_VSI!$F:$F,SSP5_VSI!$C:$C,Results_list!$C$235,SSP5_VSI!$D:$D,Results_list!$D54,SSP5_VSI!$B:$B,2025))</f>
        <v>-3.3310677526412015E-2</v>
      </c>
      <c r="AD54" s="52">
        <f t="shared" si="17"/>
        <v>-0.44</v>
      </c>
    </row>
    <row r="55" spans="2:30" ht="14.5" hidden="1" customHeight="1" x14ac:dyDescent="0.4">
      <c r="B55" s="107"/>
      <c r="C55" s="103"/>
      <c r="D55" s="38" t="s">
        <v>48</v>
      </c>
      <c r="E55" s="38"/>
      <c r="F55" s="47" t="s">
        <v>96</v>
      </c>
      <c r="G55" s="48">
        <f>((SUMIFS(SSP1_Baseline!$E:$E,SSP1_Baseline!$C:$C,Results_list!$C$109,SSP1_Baseline!$D:$D,Results_list!$D160,SSP1_Baseline!$B:$B,2040)) - (SUMIFS(SSP1_Baseline!$E:$E,SSP1_Baseline!$C:$C,Results_list!$C$109,SSP1_Baseline!$D:$D,Results_list!$D160,SSP1_Baseline!$B:$B,2025))) / (SUMIFS(SSP1_Baseline!$E:$E,SSP1_Baseline!$C:$C,Results_list!$C$109,SSP1_Baseline!$D:$D,Results_list!$D160,SSP1_Baseline!$B:$B,2025))</f>
        <v>1.870216106086594E-6</v>
      </c>
      <c r="H55" s="49">
        <f>((SUMIFS(SSP1_VSI!$F:$F,SSP1_VSI!$C:$C,Results_list!$C$109,SSP1_VSI!$D:$D,Results_list!$D160,SSP1_VSI!$B:$B,2040)) - (SUMIFS(SSP1_VSI!$F:$F,SSP1_VSI!$C:$C,Results_list!$C$109,SSP1_VSI!$D:$D,Results_list!$D160,SSP1_VSI!$B:$B,2025))) / (SUMIFS(SSP1_VSI!$F:$F,SSP1_VSI!$C:$C,Results_list!$C$109,SSP1_VSI!$D:$D,Results_list!$D160,SSP1_VSI!$B:$B,2025))</f>
        <v>1.98549382077418E-6</v>
      </c>
      <c r="I55" s="52">
        <f t="shared" si="12"/>
        <v>0</v>
      </c>
      <c r="J55" s="48">
        <f>((SUMIFS(SSP2_Baseline!$E:$E,SSP2_Baseline!$C:$C,Results_list!$C$109,SSP2_Baseline!$D:$D,Results_list!$D160,SSP2_Baseline!$B:$B,2040)) - (SUMIFS(SSP2_Baseline!$E:$E,SSP2_Baseline!$C:$C,Results_list!$C$109,SSP2_Baseline!$D:$D,Results_list!$D160,SSP2_Baseline!$B:$B,2025))) / (SUMIFS(SSP2_Baseline!$E:$E,SSP2_Baseline!$C:$C,Results_list!$C$109,SSP2_Baseline!$D:$D,Results_list!$D160,SSP2_Baseline!$B:$B,2025))</f>
        <v>-1.5820662905416535E-4</v>
      </c>
      <c r="K55" s="49">
        <f>((SUMIFS(SSP2_VSI!$F:$F,SSP2_VSI!$C:$C,Results_list!$C$109,SSP2_VSI!$D:$D,Results_list!$D160,SSP2_VSI!$B:$B,2040)) - (SUMIFS(SSP2_VSI!$F:$F,SSP2_VSI!$C:$C,Results_list!$C$109,SSP2_VSI!$D:$D,Results_list!$D160,SSP2_VSI!$B:$B,2025))) / (SUMIFS(SSP2_VSI!$F:$F,SSP2_VSI!$C:$C,Results_list!$C$109,SSP2_VSI!$D:$D,Results_list!$D160,SSP2_VSI!$B:$B,2025))</f>
        <v>-1.5819777100984535E-4</v>
      </c>
      <c r="L55" s="52">
        <f t="shared" si="13"/>
        <v>0</v>
      </c>
      <c r="M55" s="48">
        <f>((SUMIFS(SSP5_Baseline!$E:$E,SSP5_Baseline!$C:$C,Results_list!$C$109,SSP5_Baseline!$D:$D,Results_list!$D160,SSP5_Baseline!$B:$B,2040)) - (SUMIFS(SSP5_Baseline!$E:$E,SSP5_Baseline!$C:$C,Results_list!$C$109,SSP5_Baseline!$D:$D,Results_list!$D160,SSP5_Baseline!$B:$B,2025))) / (SUMIFS(SSP5_Baseline!$E:$E,SSP5_Baseline!$C:$C,Results_list!$C$109,SSP5_Baseline!$D:$D,Results_list!$D160,SSP5_Baseline!$B:$B,2025))</f>
        <v>-2.7533391353064141E-5</v>
      </c>
      <c r="N55" s="49">
        <f>((SUMIFS(SSP5_VSI!$F:$F,SSP5_VSI!$C:$C,Results_list!$C$109,SSP5_VSI!$D:$D,Results_list!$D160,SSP5_VSI!$B:$B,2040)) - (SUMIFS(SSP5_VSI!$F:$F,SSP5_VSI!$C:$C,Results_list!$C$109,SSP5_VSI!$D:$D,Results_list!$D160,SSP5_VSI!$B:$B,2025))) / (SUMIFS(SSP5_VSI!$F:$F,SSP5_VSI!$C:$C,Results_list!$C$109,SSP5_VSI!$D:$D,Results_list!$D160,SSP5_VSI!$B:$B,2025))</f>
        <v>-2.7352226641542524E-5</v>
      </c>
      <c r="O55" s="52">
        <f t="shared" si="14"/>
        <v>0</v>
      </c>
      <c r="P55" s="38"/>
      <c r="Q55" s="105"/>
      <c r="R55" s="106"/>
      <c r="S55" s="38" t="s">
        <v>48</v>
      </c>
      <c r="T55" s="53"/>
      <c r="U55" s="47" t="s">
        <v>96</v>
      </c>
      <c r="V55" s="48">
        <f>((SUMIFS(SSP1_Baseline!$E:$E,SSP1_Baseline!$C:$C,Results_list!$C$235,SSP1_Baseline!$D:$D,Results_list!$D55,SSP1_Baseline!$B:$B,2040)) - (SUMIFS(SSP1_Baseline!$E:$E,SSP1_Baseline!$C:$C,Results_list!$C$235,SSP1_Baseline!$D:$D,Results_list!$D55,SSP1_Baseline!$B:$B,2025))) / (SUMIFS(SSP1_Baseline!$E:$E,SSP1_Baseline!$C:$C,Results_list!$C$235,SSP1_Baseline!$D:$D,Results_list!$D55,SSP1_Baseline!$B:$B,2025))</f>
        <v>1.169961225581208E-2</v>
      </c>
      <c r="W55" s="49">
        <f>((SUMIFS(SSP1_VSI!$F:$F,SSP1_VSI!$C:$C,Results_list!$C$235,SSP1_VSI!$D:$D,Results_list!$D55,SSP1_VSI!$B:$B,2040)) - (SUMIFS(SSP1_VSI!$F:$F,SSP1_VSI!$C:$C,Results_list!$C$235,SSP1_VSI!$D:$D,Results_list!$D55,SSP1_VSI!$B:$B,2025))) / (SUMIFS(SSP1_VSI!$F:$F,SSP1_VSI!$C:$C,Results_list!$C$235,SSP1_VSI!$D:$D,Results_list!$D55,SSP1_VSI!$B:$B,2025))</f>
        <v>1.17018772717948E-2</v>
      </c>
      <c r="X55" s="52">
        <f t="shared" si="15"/>
        <v>0</v>
      </c>
      <c r="Y55" s="48">
        <f>((SUMIFS(SSP2_Baseline!$E:$E,SSP2_Baseline!$C:$C,Results_list!$C$235,SSP2_Baseline!$D:$D,Results_list!$D55,SSP2_Baseline!$B:$B,2040)) - (SUMIFS(SSP2_Baseline!$E:$E,SSP2_Baseline!$C:$C,Results_list!$C$235,SSP2_Baseline!$D:$D,Results_list!$D55,SSP2_Baseline!$B:$B,2025))) / (SUMIFS(SSP2_Baseline!$E:$E,SSP2_Baseline!$C:$C,Results_list!$C$235,SSP2_Baseline!$D:$D,Results_list!$D55,SSP2_Baseline!$B:$B,2025))</f>
        <v>7.6765090917028465E-3</v>
      </c>
      <c r="Z55" s="49">
        <f>((SUMIFS(SSP2_VSI!$F:$F,SSP2_VSI!$C:$C,Results_list!$C$235,SSP2_VSI!$D:$D,Results_list!$D55,SSP2_VSI!$B:$B,2040)) - (SUMIFS(SSP2_VSI!$F:$F,SSP2_VSI!$C:$C,Results_list!$C$235,SSP2_VSI!$D:$D,Results_list!$D55,SSP2_VSI!$B:$B,2025))) / (SUMIFS(SSP2_VSI!$F:$F,SSP2_VSI!$C:$C,Results_list!$C$235,SSP2_VSI!$D:$D,Results_list!$D55,SSP2_VSI!$B:$B,2025))</f>
        <v>7.6769251807292356E-3</v>
      </c>
      <c r="AA55" s="52">
        <f t="shared" si="16"/>
        <v>0</v>
      </c>
      <c r="AB55" s="48">
        <f>((SUMIFS(SSP5_Baseline!$E:$E,SSP5_Baseline!$C:$C,Results_list!$C$235,SSP5_Baseline!$D:$D,Results_list!$D55,SSP5_Baseline!$B:$B,2040)) - (SUMIFS(SSP5_Baseline!$E:$E,SSP5_Baseline!$C:$C,Results_list!$C$235,SSP5_Baseline!$D:$D,Results_list!$D55,SSP5_Baseline!$B:$B,2025))) / (SUMIFS(SSP5_Baseline!$E:$E,SSP5_Baseline!$C:$C,Results_list!$C$235,SSP5_Baseline!$D:$D,Results_list!$D55,SSP5_Baseline!$B:$B,2025))</f>
        <v>3.5128609206068208E-3</v>
      </c>
      <c r="AC55" s="49">
        <f>((SUMIFS(SSP5_VSI!$F:$F,SSP5_VSI!$C:$C,Results_list!$C$235,SSP5_VSI!$D:$D,Results_list!$D55,SSP5_VSI!$B:$B,2040)) - (SUMIFS(SSP5_VSI!$F:$F,SSP5_VSI!$C:$C,Results_list!$C$235,SSP5_VSI!$D:$D,Results_list!$D55,SSP5_VSI!$B:$B,2025))) / (SUMIFS(SSP5_VSI!$F:$F,SSP5_VSI!$C:$C,Results_list!$C$235,SSP5_VSI!$D:$D,Results_list!$D55,SSP5_VSI!$B:$B,2025))</f>
        <v>3.5174154840583753E-3</v>
      </c>
      <c r="AD55" s="52">
        <f t="shared" si="17"/>
        <v>0</v>
      </c>
    </row>
    <row r="56" spans="2:30" ht="16" x14ac:dyDescent="0.4">
      <c r="B56" s="107"/>
      <c r="C56" s="103"/>
      <c r="D56" s="38" t="s">
        <v>49</v>
      </c>
      <c r="E56" s="38"/>
      <c r="F56" s="47" t="s">
        <v>97</v>
      </c>
      <c r="G56" s="48">
        <f>((SUMIFS(SSP1_Baseline!$E:$E,SSP1_Baseline!$C:$C,Results_list!$C$109,SSP1_Baseline!$D:$D,Results_list!$D161,SSP1_Baseline!$B:$B,2040)) - (SUMIFS(SSP1_Baseline!$E:$E,SSP1_Baseline!$C:$C,Results_list!$C$109,SSP1_Baseline!$D:$D,Results_list!$D161,SSP1_Baseline!$B:$B,2025))) / (SUMIFS(SSP1_Baseline!$E:$E,SSP1_Baseline!$C:$C,Results_list!$C$109,SSP1_Baseline!$D:$D,Results_list!$D161,SSP1_Baseline!$B:$B,2025))</f>
        <v>-4.816839780613774E-3</v>
      </c>
      <c r="H56" s="49">
        <f>((SUMIFS(SSP1_VSI!$F:$F,SSP1_VSI!$C:$C,Results_list!$C$109,SSP1_VSI!$D:$D,Results_list!$D161,SSP1_VSI!$B:$B,2040)) - (SUMIFS(SSP1_VSI!$F:$F,SSP1_VSI!$C:$C,Results_list!$C$109,SSP1_VSI!$D:$D,Results_list!$D161,SSP1_VSI!$B:$B,2025))) / (SUMIFS(SSP1_VSI!$F:$F,SSP1_VSI!$C:$C,Results_list!$C$109,SSP1_VSI!$D:$D,Results_list!$D161,SSP1_VSI!$B:$B,2025))</f>
        <v>-0.81181161121326972</v>
      </c>
      <c r="I56" s="52">
        <f t="shared" si="12"/>
        <v>-0.80700000000000005</v>
      </c>
      <c r="J56" s="48">
        <f>((SUMIFS(SSP2_Baseline!$E:$E,SSP2_Baseline!$C:$C,Results_list!$C$109,SSP2_Baseline!$D:$D,Results_list!$D161,SSP2_Baseline!$B:$B,2040)) - (SUMIFS(SSP2_Baseline!$E:$E,SSP2_Baseline!$C:$C,Results_list!$C$109,SSP2_Baseline!$D:$D,Results_list!$D161,SSP2_Baseline!$B:$B,2025))) / (SUMIFS(SSP2_Baseline!$E:$E,SSP2_Baseline!$C:$C,Results_list!$C$109,SSP2_Baseline!$D:$D,Results_list!$D161,SSP2_Baseline!$B:$B,2025))</f>
        <v>-2.686020537612905E-3</v>
      </c>
      <c r="K56" s="49">
        <f>((SUMIFS(SSP2_VSI!$F:$F,SSP2_VSI!$C:$C,Results_list!$C$109,SSP2_VSI!$D:$D,Results_list!$D161,SSP2_VSI!$B:$B,2040)) - (SUMIFS(SSP2_VSI!$F:$F,SSP2_VSI!$C:$C,Results_list!$C$109,SSP2_VSI!$D:$D,Results_list!$D161,SSP2_VSI!$B:$B,2025))) / (SUMIFS(SSP2_VSI!$F:$F,SSP2_VSI!$C:$C,Results_list!$C$109,SSP2_VSI!$D:$D,Results_list!$D161,SSP2_VSI!$B:$B,2025))</f>
        <v>-0.81127180415041589</v>
      </c>
      <c r="L56" s="52">
        <f t="shared" si="13"/>
        <v>-0.81</v>
      </c>
      <c r="M56" s="48">
        <f>((SUMIFS(SSP5_Baseline!$E:$E,SSP5_Baseline!$C:$C,Results_list!$C$109,SSP5_Baseline!$D:$D,Results_list!$D161,SSP5_Baseline!$B:$B,2040)) - (SUMIFS(SSP5_Baseline!$E:$E,SSP5_Baseline!$C:$C,Results_list!$C$109,SSP5_Baseline!$D:$D,Results_list!$D161,SSP5_Baseline!$B:$B,2025))) / (SUMIFS(SSP5_Baseline!$E:$E,SSP5_Baseline!$C:$C,Results_list!$C$109,SSP5_Baseline!$D:$D,Results_list!$D161,SSP5_Baseline!$B:$B,2025))</f>
        <v>-2.3401696599574485E-3</v>
      </c>
      <c r="N56" s="49">
        <f>((SUMIFS(SSP5_VSI!$F:$F,SSP5_VSI!$C:$C,Results_list!$C$109,SSP5_VSI!$D:$D,Results_list!$D161,SSP5_VSI!$B:$B,2040)) - (SUMIFS(SSP5_VSI!$F:$F,SSP5_VSI!$C:$C,Results_list!$C$109,SSP5_VSI!$D:$D,Results_list!$D161,SSP5_VSI!$B:$B,2025))) / (SUMIFS(SSP5_VSI!$F:$F,SSP5_VSI!$C:$C,Results_list!$C$109,SSP5_VSI!$D:$D,Results_list!$D161,SSP5_VSI!$B:$B,2025))</f>
        <v>-0.81086985881302198</v>
      </c>
      <c r="O56" s="52">
        <f t="shared" si="14"/>
        <v>-0.81</v>
      </c>
      <c r="P56" s="38"/>
      <c r="Q56" s="105"/>
      <c r="R56" s="106"/>
      <c r="S56" s="38" t="s">
        <v>49</v>
      </c>
      <c r="T56" s="53"/>
      <c r="U56" s="47" t="s">
        <v>97</v>
      </c>
      <c r="V56" s="48">
        <f>((SUMIFS(SSP1_Baseline!$E:$E,SSP1_Baseline!$C:$C,Results_list!$C$235,SSP1_Baseline!$D:$D,Results_list!$D56,SSP1_Baseline!$B:$B,2040)) - (SUMIFS(SSP1_Baseline!$E:$E,SSP1_Baseline!$C:$C,Results_list!$C$235,SSP1_Baseline!$D:$D,Results_list!$D56,SSP1_Baseline!$B:$B,2025))) / (SUMIFS(SSP1_Baseline!$E:$E,SSP1_Baseline!$C:$C,Results_list!$C$235,SSP1_Baseline!$D:$D,Results_list!$D56,SSP1_Baseline!$B:$B,2025))</f>
        <v>-6.6768656921389585E-2</v>
      </c>
      <c r="W56" s="49">
        <f>((SUMIFS(SSP1_VSI!$F:$F,SSP1_VSI!$C:$C,Results_list!$C$235,SSP1_VSI!$D:$D,Results_list!$D56,SSP1_VSI!$B:$B,2040)) - (SUMIFS(SSP1_VSI!$F:$F,SSP1_VSI!$C:$C,Results_list!$C$235,SSP1_VSI!$D:$D,Results_list!$D56,SSP1_VSI!$B:$B,2025))) / (SUMIFS(SSP1_VSI!$F:$F,SSP1_VSI!$C:$C,Results_list!$C$235,SSP1_VSI!$D:$D,Results_list!$D56,SSP1_VSI!$B:$B,2025))</f>
        <v>-7.9440448543478648E-2</v>
      </c>
      <c r="X56" s="52">
        <f t="shared" si="15"/>
        <v>-1.2999999999999999E-2</v>
      </c>
      <c r="Y56" s="48">
        <f>((SUMIFS(SSP2_Baseline!$E:$E,SSP2_Baseline!$C:$C,Results_list!$C$235,SSP2_Baseline!$D:$D,Results_list!$D56,SSP2_Baseline!$B:$B,2040)) - (SUMIFS(SSP2_Baseline!$E:$E,SSP2_Baseline!$C:$C,Results_list!$C$235,SSP2_Baseline!$D:$D,Results_list!$D56,SSP2_Baseline!$B:$B,2025))) / (SUMIFS(SSP2_Baseline!$E:$E,SSP2_Baseline!$C:$C,Results_list!$C$235,SSP2_Baseline!$D:$D,Results_list!$D56,SSP2_Baseline!$B:$B,2025))</f>
        <v>-5.889214274775563E-2</v>
      </c>
      <c r="Z56" s="49">
        <f>((SUMIFS(SSP2_VSI!$F:$F,SSP2_VSI!$C:$C,Results_list!$C$235,SSP2_VSI!$D:$D,Results_list!$D56,SSP2_VSI!$B:$B,2040)) - (SUMIFS(SSP2_VSI!$F:$F,SSP2_VSI!$C:$C,Results_list!$C$235,SSP2_VSI!$D:$D,Results_list!$D56,SSP2_VSI!$B:$B,2025))) / (SUMIFS(SSP2_VSI!$F:$F,SSP2_VSI!$C:$C,Results_list!$C$235,SSP2_VSI!$D:$D,Results_list!$D56,SSP2_VSI!$B:$B,2025))</f>
        <v>-7.1777650828488276E-2</v>
      </c>
      <c r="AA56" s="52">
        <f t="shared" si="16"/>
        <v>-0.01</v>
      </c>
      <c r="AB56" s="48">
        <f>((SUMIFS(SSP5_Baseline!$E:$E,SSP5_Baseline!$C:$C,Results_list!$C$235,SSP5_Baseline!$D:$D,Results_list!$D56,SSP5_Baseline!$B:$B,2040)) - (SUMIFS(SSP5_Baseline!$E:$E,SSP5_Baseline!$C:$C,Results_list!$C$235,SSP5_Baseline!$D:$D,Results_list!$D56,SSP5_Baseline!$B:$B,2025))) / (SUMIFS(SSP5_Baseline!$E:$E,SSP5_Baseline!$C:$C,Results_list!$C$235,SSP5_Baseline!$D:$D,Results_list!$D56,SSP5_Baseline!$B:$B,2025))</f>
        <v>-3.7372397022944662E-2</v>
      </c>
      <c r="AC56" s="49">
        <f>((SUMIFS(SSP5_VSI!$F:$F,SSP5_VSI!$C:$C,Results_list!$C$235,SSP5_VSI!$D:$D,Results_list!$D56,SSP5_VSI!$B:$B,2040)) - (SUMIFS(SSP5_VSI!$F:$F,SSP5_VSI!$C:$C,Results_list!$C$235,SSP5_VSI!$D:$D,Results_list!$D56,SSP5_VSI!$B:$B,2025))) / (SUMIFS(SSP5_VSI!$F:$F,SSP5_VSI!$C:$C,Results_list!$C$235,SSP5_VSI!$D:$D,Results_list!$D56,SSP5_VSI!$B:$B,2025))</f>
        <v>-5.0222915061037335E-2</v>
      </c>
      <c r="AD56" s="52">
        <f t="shared" si="17"/>
        <v>-0.01</v>
      </c>
    </row>
    <row r="57" spans="2:30" ht="14.5" hidden="1" customHeight="1" x14ac:dyDescent="0.4">
      <c r="B57" s="107"/>
      <c r="C57" s="103"/>
      <c r="D57" s="38" t="s">
        <v>50</v>
      </c>
      <c r="E57" s="38"/>
      <c r="F57" s="47" t="s">
        <v>98</v>
      </c>
      <c r="G57" s="48">
        <f>((SUMIFS(SSP1_Baseline!$E:$E,SSP1_Baseline!$C:$C,Results_list!$C$109,SSP1_Baseline!$D:$D,Results_list!$D162,SSP1_Baseline!$B:$B,2040)) - (SUMIFS(SSP1_Baseline!$E:$E,SSP1_Baseline!$C:$C,Results_list!$C$109,SSP1_Baseline!$D:$D,Results_list!$D162,SSP1_Baseline!$B:$B,2025))) / (SUMIFS(SSP1_Baseline!$E:$E,SSP1_Baseline!$C:$C,Results_list!$C$109,SSP1_Baseline!$D:$D,Results_list!$D162,SSP1_Baseline!$B:$B,2025))</f>
        <v>-2.8293614539733631E-2</v>
      </c>
      <c r="H57" s="49">
        <f>((SUMIFS(SSP1_VSI!$F:$F,SSP1_VSI!$C:$C,Results_list!$C$109,SSP1_VSI!$D:$D,Results_list!$D162,SSP1_VSI!$B:$B,2040)) - (SUMIFS(SSP1_VSI!$F:$F,SSP1_VSI!$C:$C,Results_list!$C$109,SSP1_VSI!$D:$D,Results_list!$D162,SSP1_VSI!$B:$B,2025))) / (SUMIFS(SSP1_VSI!$F:$F,SSP1_VSI!$C:$C,Results_list!$C$109,SSP1_VSI!$D:$D,Results_list!$D162,SSP1_VSI!$B:$B,2025))</f>
        <v>-2.830188184153859E-2</v>
      </c>
      <c r="I57" s="52">
        <f t="shared" si="12"/>
        <v>0</v>
      </c>
      <c r="J57" s="48">
        <f>((SUMIFS(SSP2_Baseline!$E:$E,SSP2_Baseline!$C:$C,Results_list!$C$109,SSP2_Baseline!$D:$D,Results_list!$D162,SSP2_Baseline!$B:$B,2040)) - (SUMIFS(SSP2_Baseline!$E:$E,SSP2_Baseline!$C:$C,Results_list!$C$109,SSP2_Baseline!$D:$D,Results_list!$D162,SSP2_Baseline!$B:$B,2025))) / (SUMIFS(SSP2_Baseline!$E:$E,SSP2_Baseline!$C:$C,Results_list!$C$109,SSP2_Baseline!$D:$D,Results_list!$D162,SSP2_Baseline!$B:$B,2025))</f>
        <v>4.8997777384610482E-2</v>
      </c>
      <c r="K57" s="49">
        <f>((SUMIFS(SSP2_VSI!$F:$F,SSP2_VSI!$C:$C,Results_list!$C$109,SSP2_VSI!$D:$D,Results_list!$D162,SSP2_VSI!$B:$B,2040)) - (SUMIFS(SSP2_VSI!$F:$F,SSP2_VSI!$C:$C,Results_list!$C$109,SSP2_VSI!$D:$D,Results_list!$D162,SSP2_VSI!$B:$B,2025))) / (SUMIFS(SSP2_VSI!$F:$F,SSP2_VSI!$C:$C,Results_list!$C$109,SSP2_VSI!$D:$D,Results_list!$D162,SSP2_VSI!$B:$B,2025))</f>
        <v>4.8995352455764758E-2</v>
      </c>
      <c r="L57" s="52">
        <f t="shared" si="13"/>
        <v>0</v>
      </c>
      <c r="M57" s="48">
        <f>((SUMIFS(SSP5_Baseline!$E:$E,SSP5_Baseline!$C:$C,Results_list!$C$109,SSP5_Baseline!$D:$D,Results_list!$D162,SSP5_Baseline!$B:$B,2040)) - (SUMIFS(SSP5_Baseline!$E:$E,SSP5_Baseline!$C:$C,Results_list!$C$109,SSP5_Baseline!$D:$D,Results_list!$D162,SSP5_Baseline!$B:$B,2025))) / (SUMIFS(SSP5_Baseline!$E:$E,SSP5_Baseline!$C:$C,Results_list!$C$109,SSP5_Baseline!$D:$D,Results_list!$D162,SSP5_Baseline!$B:$B,2025))</f>
        <v>7.8466452254923491E-2</v>
      </c>
      <c r="N57" s="49">
        <f>((SUMIFS(SSP5_VSI!$F:$F,SSP5_VSI!$C:$C,Results_list!$C$109,SSP5_VSI!$D:$D,Results_list!$D162,SSP5_VSI!$B:$B,2040)) - (SUMIFS(SSP5_VSI!$F:$F,SSP5_VSI!$C:$C,Results_list!$C$109,SSP5_VSI!$D:$D,Results_list!$D162,SSP5_VSI!$B:$B,2025))) / (SUMIFS(SSP5_VSI!$F:$F,SSP5_VSI!$C:$C,Results_list!$C$109,SSP5_VSI!$D:$D,Results_list!$D162,SSP5_VSI!$B:$B,2025))</f>
        <v>7.8488250545212052E-2</v>
      </c>
      <c r="O57" s="52">
        <f t="shared" si="14"/>
        <v>0</v>
      </c>
      <c r="P57" s="38"/>
      <c r="Q57" s="105"/>
      <c r="R57" s="106"/>
      <c r="S57" s="38" t="s">
        <v>50</v>
      </c>
      <c r="T57" s="53"/>
      <c r="U57" s="47" t="s">
        <v>98</v>
      </c>
      <c r="V57" s="48">
        <f>((SUMIFS(SSP1_Baseline!$E:$E,SSP1_Baseline!$C:$C,Results_list!$C$235,SSP1_Baseline!$D:$D,Results_list!$D57,SSP1_Baseline!$B:$B,2040)) - (SUMIFS(SSP1_Baseline!$E:$E,SSP1_Baseline!$C:$C,Results_list!$C$235,SSP1_Baseline!$D:$D,Results_list!$D57,SSP1_Baseline!$B:$B,2025))) / (SUMIFS(SSP1_Baseline!$E:$E,SSP1_Baseline!$C:$C,Results_list!$C$235,SSP1_Baseline!$D:$D,Results_list!$D57,SSP1_Baseline!$B:$B,2025))</f>
        <v>-5.7698722093169931E-2</v>
      </c>
      <c r="W57" s="49">
        <f>((SUMIFS(SSP1_VSI!$F:$F,SSP1_VSI!$C:$C,Results_list!$C$235,SSP1_VSI!$D:$D,Results_list!$D57,SSP1_VSI!$B:$B,2040)) - (SUMIFS(SSP1_VSI!$F:$F,SSP1_VSI!$C:$C,Results_list!$C$235,SSP1_VSI!$D:$D,Results_list!$D57,SSP1_VSI!$B:$B,2025))) / (SUMIFS(SSP1_VSI!$F:$F,SSP1_VSI!$C:$C,Results_list!$C$235,SSP1_VSI!$D:$D,Results_list!$D57,SSP1_VSI!$B:$B,2025))</f>
        <v>-5.7700510784850945E-2</v>
      </c>
      <c r="X57" s="52">
        <f t="shared" si="15"/>
        <v>0</v>
      </c>
      <c r="Y57" s="48">
        <f>((SUMIFS(SSP2_Baseline!$E:$E,SSP2_Baseline!$C:$C,Results_list!$C$235,SSP2_Baseline!$D:$D,Results_list!$D57,SSP2_Baseline!$B:$B,2040)) - (SUMIFS(SSP2_Baseline!$E:$E,SSP2_Baseline!$C:$C,Results_list!$C$235,SSP2_Baseline!$D:$D,Results_list!$D57,SSP2_Baseline!$B:$B,2025))) / (SUMIFS(SSP2_Baseline!$E:$E,SSP2_Baseline!$C:$C,Results_list!$C$235,SSP2_Baseline!$D:$D,Results_list!$D57,SSP2_Baseline!$B:$B,2025))</f>
        <v>-5.3187696781343717E-3</v>
      </c>
      <c r="Z57" s="49">
        <f>((SUMIFS(SSP2_VSI!$F:$F,SSP2_VSI!$C:$C,Results_list!$C$235,SSP2_VSI!$D:$D,Results_list!$D57,SSP2_VSI!$B:$B,2040)) - (SUMIFS(SSP2_VSI!$F:$F,SSP2_VSI!$C:$C,Results_list!$C$235,SSP2_VSI!$D:$D,Results_list!$D57,SSP2_VSI!$B:$B,2025))) / (SUMIFS(SSP2_VSI!$F:$F,SSP2_VSI!$C:$C,Results_list!$C$235,SSP2_VSI!$D:$D,Results_list!$D57,SSP2_VSI!$B:$B,2025))</f>
        <v>-5.3195768424405135E-3</v>
      </c>
      <c r="AA57" s="52">
        <f t="shared" si="16"/>
        <v>0</v>
      </c>
      <c r="AB57" s="48">
        <f>((SUMIFS(SSP5_Baseline!$E:$E,SSP5_Baseline!$C:$C,Results_list!$C$235,SSP5_Baseline!$D:$D,Results_list!$D57,SSP5_Baseline!$B:$B,2040)) - (SUMIFS(SSP5_Baseline!$E:$E,SSP5_Baseline!$C:$C,Results_list!$C$235,SSP5_Baseline!$D:$D,Results_list!$D57,SSP5_Baseline!$B:$B,2025))) / (SUMIFS(SSP5_Baseline!$E:$E,SSP5_Baseline!$C:$C,Results_list!$C$235,SSP5_Baseline!$D:$D,Results_list!$D57,SSP5_Baseline!$B:$B,2025))</f>
        <v>4.1627386220386989E-2</v>
      </c>
      <c r="AC57" s="49">
        <f>((SUMIFS(SSP5_VSI!$F:$F,SSP5_VSI!$C:$C,Results_list!$C$235,SSP5_VSI!$D:$D,Results_list!$D57,SSP5_VSI!$B:$B,2040)) - (SUMIFS(SSP5_VSI!$F:$F,SSP5_VSI!$C:$C,Results_list!$C$235,SSP5_VSI!$D:$D,Results_list!$D57,SSP5_VSI!$B:$B,2025))) / (SUMIFS(SSP5_VSI!$F:$F,SSP5_VSI!$C:$C,Results_list!$C$235,SSP5_VSI!$D:$D,Results_list!$D57,SSP5_VSI!$B:$B,2025))</f>
        <v>4.1632665564197188E-2</v>
      </c>
      <c r="AD57" s="52">
        <f t="shared" si="17"/>
        <v>0</v>
      </c>
    </row>
    <row r="58" spans="2:30" ht="14.5" hidden="1" customHeight="1" x14ac:dyDescent="0.4">
      <c r="B58" s="107"/>
      <c r="C58" s="103"/>
      <c r="D58" s="38" t="s">
        <v>51</v>
      </c>
      <c r="E58" s="38"/>
      <c r="F58" s="47" t="s">
        <v>99</v>
      </c>
      <c r="G58" s="48">
        <f>((SUMIFS(SSP1_Baseline!$E:$E,SSP1_Baseline!$C:$C,Results_list!$C$109,SSP1_Baseline!$D:$D,Results_list!$D163,SSP1_Baseline!$B:$B,2040)) - (SUMIFS(SSP1_Baseline!$E:$E,SSP1_Baseline!$C:$C,Results_list!$C$109,SSP1_Baseline!$D:$D,Results_list!$D163,SSP1_Baseline!$B:$B,2025))) / (SUMIFS(SSP1_Baseline!$E:$E,SSP1_Baseline!$C:$C,Results_list!$C$109,SSP1_Baseline!$D:$D,Results_list!$D163,SSP1_Baseline!$B:$B,2025))</f>
        <v>1.734200481548837E-3</v>
      </c>
      <c r="H58" s="49">
        <f>((SUMIFS(SSP1_VSI!$F:$F,SSP1_VSI!$C:$C,Results_list!$C$109,SSP1_VSI!$D:$D,Results_list!$D163,SSP1_VSI!$B:$B,2040)) - (SUMIFS(SSP1_VSI!$F:$F,SSP1_VSI!$C:$C,Results_list!$C$109,SSP1_VSI!$D:$D,Results_list!$D163,SSP1_VSI!$B:$B,2025))) / (SUMIFS(SSP1_VSI!$F:$F,SSP1_VSI!$C:$C,Results_list!$C$109,SSP1_VSI!$D:$D,Results_list!$D163,SSP1_VSI!$B:$B,2025))</f>
        <v>1.7327303743326858E-3</v>
      </c>
      <c r="I58" s="52">
        <f t="shared" si="12"/>
        <v>0</v>
      </c>
      <c r="J58" s="48">
        <f>((SUMIFS(SSP2_Baseline!$E:$E,SSP2_Baseline!$C:$C,Results_list!$C$109,SSP2_Baseline!$D:$D,Results_list!$D163,SSP2_Baseline!$B:$B,2040)) - (SUMIFS(SSP2_Baseline!$E:$E,SSP2_Baseline!$C:$C,Results_list!$C$109,SSP2_Baseline!$D:$D,Results_list!$D163,SSP2_Baseline!$B:$B,2025))) / (SUMIFS(SSP2_Baseline!$E:$E,SSP2_Baseline!$C:$C,Results_list!$C$109,SSP2_Baseline!$D:$D,Results_list!$D163,SSP2_Baseline!$B:$B,2025))</f>
        <v>2.2354183527902717E-3</v>
      </c>
      <c r="K58" s="49">
        <f>((SUMIFS(SSP2_VSI!$F:$F,SSP2_VSI!$C:$C,Results_list!$C$109,SSP2_VSI!$D:$D,Results_list!$D163,SSP2_VSI!$B:$B,2040)) - (SUMIFS(SSP2_VSI!$F:$F,SSP2_VSI!$C:$C,Results_list!$C$109,SSP2_VSI!$D:$D,Results_list!$D163,SSP2_VSI!$B:$B,2025))) / (SUMIFS(SSP2_VSI!$F:$F,SSP2_VSI!$C:$C,Results_list!$C$109,SSP2_VSI!$D:$D,Results_list!$D163,SSP2_VSI!$B:$B,2025))</f>
        <v>2.2239595543992905E-3</v>
      </c>
      <c r="L58" s="52">
        <f t="shared" si="13"/>
        <v>0</v>
      </c>
      <c r="M58" s="48">
        <f>((SUMIFS(SSP5_Baseline!$E:$E,SSP5_Baseline!$C:$C,Results_list!$C$109,SSP5_Baseline!$D:$D,Results_list!$D163,SSP5_Baseline!$B:$B,2040)) - (SUMIFS(SSP5_Baseline!$E:$E,SSP5_Baseline!$C:$C,Results_list!$C$109,SSP5_Baseline!$D:$D,Results_list!$D163,SSP5_Baseline!$B:$B,2025))) / (SUMIFS(SSP5_Baseline!$E:$E,SSP5_Baseline!$C:$C,Results_list!$C$109,SSP5_Baseline!$D:$D,Results_list!$D163,SSP5_Baseline!$B:$B,2025))</f>
        <v>2.5345109110463243E-4</v>
      </c>
      <c r="N58" s="49">
        <f>((SUMIFS(SSP5_VSI!$F:$F,SSP5_VSI!$C:$C,Results_list!$C$109,SSP5_VSI!$D:$D,Results_list!$D163,SSP5_VSI!$B:$B,2040)) - (SUMIFS(SSP5_VSI!$F:$F,SSP5_VSI!$C:$C,Results_list!$C$109,SSP5_VSI!$D:$D,Results_list!$D163,SSP5_VSI!$B:$B,2025))) / (SUMIFS(SSP5_VSI!$F:$F,SSP5_VSI!$C:$C,Results_list!$C$109,SSP5_VSI!$D:$D,Results_list!$D163,SSP5_VSI!$B:$B,2025))</f>
        <v>2.5760172369694535E-4</v>
      </c>
      <c r="O58" s="52">
        <f t="shared" si="14"/>
        <v>0</v>
      </c>
      <c r="P58" s="38"/>
      <c r="Q58" s="105"/>
      <c r="R58" s="106"/>
      <c r="S58" s="38" t="s">
        <v>51</v>
      </c>
      <c r="T58" s="53"/>
      <c r="U58" s="47" t="s">
        <v>99</v>
      </c>
      <c r="V58" s="48">
        <f>((SUMIFS(SSP1_Baseline!$E:$E,SSP1_Baseline!$C:$C,Results_list!$C$235,SSP1_Baseline!$D:$D,Results_list!$D58,SSP1_Baseline!$B:$B,2040)) - (SUMIFS(SSP1_Baseline!$E:$E,SSP1_Baseline!$C:$C,Results_list!$C$235,SSP1_Baseline!$D:$D,Results_list!$D58,SSP1_Baseline!$B:$B,2025))) / (SUMIFS(SSP1_Baseline!$E:$E,SSP1_Baseline!$C:$C,Results_list!$C$235,SSP1_Baseline!$D:$D,Results_list!$D58,SSP1_Baseline!$B:$B,2025))</f>
        <v>5.7404595379461527E-2</v>
      </c>
      <c r="W58" s="49">
        <f>((SUMIFS(SSP1_VSI!$F:$F,SSP1_VSI!$C:$C,Results_list!$C$235,SSP1_VSI!$D:$D,Results_list!$D58,SSP1_VSI!$B:$B,2040)) - (SUMIFS(SSP1_VSI!$F:$F,SSP1_VSI!$C:$C,Results_list!$C$235,SSP1_VSI!$D:$D,Results_list!$D58,SSP1_VSI!$B:$B,2025))) / (SUMIFS(SSP1_VSI!$F:$F,SSP1_VSI!$C:$C,Results_list!$C$235,SSP1_VSI!$D:$D,Results_list!$D58,SSP1_VSI!$B:$B,2025))</f>
        <v>5.7395064495870451E-2</v>
      </c>
      <c r="X58" s="52">
        <f t="shared" si="15"/>
        <v>0</v>
      </c>
      <c r="Y58" s="48">
        <f>((SUMIFS(SSP2_Baseline!$E:$E,SSP2_Baseline!$C:$C,Results_list!$C$235,SSP2_Baseline!$D:$D,Results_list!$D58,SSP2_Baseline!$B:$B,2040)) - (SUMIFS(SSP2_Baseline!$E:$E,SSP2_Baseline!$C:$C,Results_list!$C$235,SSP2_Baseline!$D:$D,Results_list!$D58,SSP2_Baseline!$B:$B,2025))) / (SUMIFS(SSP2_Baseline!$E:$E,SSP2_Baseline!$C:$C,Results_list!$C$235,SSP2_Baseline!$D:$D,Results_list!$D58,SSP2_Baseline!$B:$B,2025))</f>
        <v>5.1072354245055449E-2</v>
      </c>
      <c r="Z58" s="49">
        <f>((SUMIFS(SSP2_VSI!$F:$F,SSP2_VSI!$C:$C,Results_list!$C$235,SSP2_VSI!$D:$D,Results_list!$D58,SSP2_VSI!$B:$B,2040)) - (SUMIFS(SSP2_VSI!$F:$F,SSP2_VSI!$C:$C,Results_list!$C$235,SSP2_VSI!$D:$D,Results_list!$D58,SSP2_VSI!$B:$B,2025))) / (SUMIFS(SSP2_VSI!$F:$F,SSP2_VSI!$C:$C,Results_list!$C$235,SSP2_VSI!$D:$D,Results_list!$D58,SSP2_VSI!$B:$B,2025))</f>
        <v>5.1002426907591103E-2</v>
      </c>
      <c r="AA58" s="52">
        <f t="shared" si="16"/>
        <v>0</v>
      </c>
      <c r="AB58" s="48">
        <f>((SUMIFS(SSP5_Baseline!$E:$E,SSP5_Baseline!$C:$C,Results_list!$C$235,SSP5_Baseline!$D:$D,Results_list!$D58,SSP5_Baseline!$B:$B,2040)) - (SUMIFS(SSP5_Baseline!$E:$E,SSP5_Baseline!$C:$C,Results_list!$C$235,SSP5_Baseline!$D:$D,Results_list!$D58,SSP5_Baseline!$B:$B,2025))) / (SUMIFS(SSP5_Baseline!$E:$E,SSP5_Baseline!$C:$C,Results_list!$C$235,SSP5_Baseline!$D:$D,Results_list!$D58,SSP5_Baseline!$B:$B,2025))</f>
        <v>-1.5652287249435088E-2</v>
      </c>
      <c r="AC58" s="49">
        <f>((SUMIFS(SSP5_VSI!$F:$F,SSP5_VSI!$C:$C,Results_list!$C$235,SSP5_VSI!$D:$D,Results_list!$D58,SSP5_VSI!$B:$B,2040)) - (SUMIFS(SSP5_VSI!$F:$F,SSP5_VSI!$C:$C,Results_list!$C$235,SSP5_VSI!$D:$D,Results_list!$D58,SSP5_VSI!$B:$B,2025))) / (SUMIFS(SSP5_VSI!$F:$F,SSP5_VSI!$C:$C,Results_list!$C$235,SSP5_VSI!$D:$D,Results_list!$D58,SSP5_VSI!$B:$B,2025))</f>
        <v>-1.5620777079585259E-2</v>
      </c>
      <c r="AD58" s="52">
        <f t="shared" si="17"/>
        <v>0</v>
      </c>
    </row>
    <row r="59" spans="2:30" ht="14.5" hidden="1" customHeight="1" x14ac:dyDescent="0.4">
      <c r="B59" s="107"/>
      <c r="C59" s="103"/>
      <c r="D59" s="38" t="s">
        <v>52</v>
      </c>
      <c r="E59" s="38"/>
      <c r="F59" s="47" t="s">
        <v>100</v>
      </c>
      <c r="G59" s="48">
        <f>((SUMIFS(SSP1_Baseline!$E:$E,SSP1_Baseline!$C:$C,Results_list!$C$109,SSP1_Baseline!$D:$D,Results_list!$D164,SSP1_Baseline!$B:$B,2040)) - (SUMIFS(SSP1_Baseline!$E:$E,SSP1_Baseline!$C:$C,Results_list!$C$109,SSP1_Baseline!$D:$D,Results_list!$D164,SSP1_Baseline!$B:$B,2025))) / (SUMIFS(SSP1_Baseline!$E:$E,SSP1_Baseline!$C:$C,Results_list!$C$109,SSP1_Baseline!$D:$D,Results_list!$D164,SSP1_Baseline!$B:$B,2025))</f>
        <v>-4.1203551197350738E-2</v>
      </c>
      <c r="H59" s="49">
        <f>((SUMIFS(SSP1_VSI!$F:$F,SSP1_VSI!$C:$C,Results_list!$C$109,SSP1_VSI!$D:$D,Results_list!$D164,SSP1_VSI!$B:$B,2040)) - (SUMIFS(SSP1_VSI!$F:$F,SSP1_VSI!$C:$C,Results_list!$C$109,SSP1_VSI!$D:$D,Results_list!$D164,SSP1_VSI!$B:$B,2025))) / (SUMIFS(SSP1_VSI!$F:$F,SSP1_VSI!$C:$C,Results_list!$C$109,SSP1_VSI!$D:$D,Results_list!$D164,SSP1_VSI!$B:$B,2025))</f>
        <v>-4.1095892553472825E-2</v>
      </c>
      <c r="I59" s="52">
        <f t="shared" si="12"/>
        <v>0</v>
      </c>
      <c r="J59" s="48">
        <f>((SUMIFS(SSP2_Baseline!$E:$E,SSP2_Baseline!$C:$C,Results_list!$C$109,SSP2_Baseline!$D:$D,Results_list!$D164,SSP2_Baseline!$B:$B,2040)) - (SUMIFS(SSP2_Baseline!$E:$E,SSP2_Baseline!$C:$C,Results_list!$C$109,SSP2_Baseline!$D:$D,Results_list!$D164,SSP2_Baseline!$B:$B,2025))) / (SUMIFS(SSP2_Baseline!$E:$E,SSP2_Baseline!$C:$C,Results_list!$C$109,SSP2_Baseline!$D:$D,Results_list!$D164,SSP2_Baseline!$B:$B,2025))</f>
        <v>-2.3148132292357945E-2</v>
      </c>
      <c r="K59" s="49">
        <f>((SUMIFS(SSP2_VSI!$F:$F,SSP2_VSI!$C:$C,Results_list!$C$109,SSP2_VSI!$D:$D,Results_list!$D164,SSP2_VSI!$B:$B,2040)) - (SUMIFS(SSP2_VSI!$F:$F,SSP2_VSI!$C:$C,Results_list!$C$109,SSP2_VSI!$D:$D,Results_list!$D164,SSP2_VSI!$B:$B,2025))) / (SUMIFS(SSP2_VSI!$F:$F,SSP2_VSI!$C:$C,Results_list!$C$109,SSP2_VSI!$D:$D,Results_list!$D164,SSP2_VSI!$B:$B,2025))</f>
        <v>-2.2990517632733274E-2</v>
      </c>
      <c r="L59" s="52">
        <f t="shared" si="13"/>
        <v>0</v>
      </c>
      <c r="M59" s="48">
        <f>((SUMIFS(SSP5_Baseline!$E:$E,SSP5_Baseline!$C:$C,Results_list!$C$109,SSP5_Baseline!$D:$D,Results_list!$D164,SSP5_Baseline!$B:$B,2040)) - (SUMIFS(SSP5_Baseline!$E:$E,SSP5_Baseline!$C:$C,Results_list!$C$109,SSP5_Baseline!$D:$D,Results_list!$D164,SSP5_Baseline!$B:$B,2025))) / (SUMIFS(SSP5_Baseline!$E:$E,SSP5_Baseline!$C:$C,Results_list!$C$109,SSP5_Baseline!$D:$D,Results_list!$D164,SSP5_Baseline!$B:$B,2025))</f>
        <v>-3.9815535757783044E-2</v>
      </c>
      <c r="N59" s="49">
        <f>((SUMIFS(SSP5_VSI!$F:$F,SSP5_VSI!$C:$C,Results_list!$C$109,SSP5_VSI!$D:$D,Results_list!$D164,SSP5_VSI!$B:$B,2040)) - (SUMIFS(SSP5_VSI!$F:$F,SSP5_VSI!$C:$C,Results_list!$C$109,SSP5_VSI!$D:$D,Results_list!$D164,SSP5_VSI!$B:$B,2025))) / (SUMIFS(SSP5_VSI!$F:$F,SSP5_VSI!$C:$C,Results_list!$C$109,SSP5_VSI!$D:$D,Results_list!$D164,SSP5_VSI!$B:$B,2025))</f>
        <v>-3.970232713745464E-2</v>
      </c>
      <c r="O59" s="52">
        <f t="shared" si="14"/>
        <v>0</v>
      </c>
      <c r="P59" s="38"/>
      <c r="Q59" s="105"/>
      <c r="R59" s="106"/>
      <c r="S59" s="38" t="s">
        <v>52</v>
      </c>
      <c r="T59" s="53"/>
      <c r="U59" s="47" t="s">
        <v>100</v>
      </c>
      <c r="V59" s="48">
        <f>((SUMIFS(SSP1_Baseline!$E:$E,SSP1_Baseline!$C:$C,Results_list!$C$235,SSP1_Baseline!$D:$D,Results_list!$D59,SSP1_Baseline!$B:$B,2040)) - (SUMIFS(SSP1_Baseline!$E:$E,SSP1_Baseline!$C:$C,Results_list!$C$235,SSP1_Baseline!$D:$D,Results_list!$D59,SSP1_Baseline!$B:$B,2025))) / (SUMIFS(SSP1_Baseline!$E:$E,SSP1_Baseline!$C:$C,Results_list!$C$235,SSP1_Baseline!$D:$D,Results_list!$D59,SSP1_Baseline!$B:$B,2025))</f>
        <v>-0.32076134823878538</v>
      </c>
      <c r="W59" s="49">
        <f>((SUMIFS(SSP1_VSI!$F:$F,SSP1_VSI!$C:$C,Results_list!$C$235,SSP1_VSI!$D:$D,Results_list!$D59,SSP1_VSI!$B:$B,2040)) - (SUMIFS(SSP1_VSI!$F:$F,SSP1_VSI!$C:$C,Results_list!$C$235,SSP1_VSI!$D:$D,Results_list!$D59,SSP1_VSI!$B:$B,2025))) / (SUMIFS(SSP1_VSI!$F:$F,SSP1_VSI!$C:$C,Results_list!$C$235,SSP1_VSI!$D:$D,Results_list!$D59,SSP1_VSI!$B:$B,2025))</f>
        <v>-0.32069575592109251</v>
      </c>
      <c r="X59" s="52">
        <f t="shared" si="15"/>
        <v>0</v>
      </c>
      <c r="Y59" s="48">
        <f>((SUMIFS(SSP2_Baseline!$E:$E,SSP2_Baseline!$C:$C,Results_list!$C$235,SSP2_Baseline!$D:$D,Results_list!$D59,SSP2_Baseline!$B:$B,2040)) - (SUMIFS(SSP2_Baseline!$E:$E,SSP2_Baseline!$C:$C,Results_list!$C$235,SSP2_Baseline!$D:$D,Results_list!$D59,SSP2_Baseline!$B:$B,2025))) / (SUMIFS(SSP2_Baseline!$E:$E,SSP2_Baseline!$C:$C,Results_list!$C$235,SSP2_Baseline!$D:$D,Results_list!$D59,SSP2_Baseline!$B:$B,2025))</f>
        <v>-9.3444767798907855E-2</v>
      </c>
      <c r="Z59" s="49">
        <f>((SUMIFS(SSP2_VSI!$F:$F,SSP2_VSI!$C:$C,Results_list!$C$235,SSP2_VSI!$D:$D,Results_list!$D59,SSP2_VSI!$B:$B,2040)) - (SUMIFS(SSP2_VSI!$F:$F,SSP2_VSI!$C:$C,Results_list!$C$235,SSP2_VSI!$D:$D,Results_list!$D59,SSP2_VSI!$B:$B,2025))) / (SUMIFS(SSP2_VSI!$F:$F,SSP2_VSI!$C:$C,Results_list!$C$235,SSP2_VSI!$D:$D,Results_list!$D59,SSP2_VSI!$B:$B,2025))</f>
        <v>-9.3322621945446133E-2</v>
      </c>
      <c r="AA59" s="52">
        <f t="shared" si="16"/>
        <v>0</v>
      </c>
      <c r="AB59" s="48">
        <f>((SUMIFS(SSP5_Baseline!$E:$E,SSP5_Baseline!$C:$C,Results_list!$C$235,SSP5_Baseline!$D:$D,Results_list!$D59,SSP5_Baseline!$B:$B,2040)) - (SUMIFS(SSP5_Baseline!$E:$E,SSP5_Baseline!$C:$C,Results_list!$C$235,SSP5_Baseline!$D:$D,Results_list!$D59,SSP5_Baseline!$B:$B,2025))) / (SUMIFS(SSP5_Baseline!$E:$E,SSP5_Baseline!$C:$C,Results_list!$C$235,SSP5_Baseline!$D:$D,Results_list!$D59,SSP5_Baseline!$B:$B,2025))</f>
        <v>-0.2983894140622706</v>
      </c>
      <c r="AC59" s="49">
        <f>((SUMIFS(SSP5_VSI!$F:$F,SSP5_VSI!$C:$C,Results_list!$C$235,SSP5_VSI!$D:$D,Results_list!$D59,SSP5_VSI!$B:$B,2040)) - (SUMIFS(SSP5_VSI!$F:$F,SSP5_VSI!$C:$C,Results_list!$C$235,SSP5_VSI!$D:$D,Results_list!$D59,SSP5_VSI!$B:$B,2025))) / (SUMIFS(SSP5_VSI!$F:$F,SSP5_VSI!$C:$C,Results_list!$C$235,SSP5_VSI!$D:$D,Results_list!$D59,SSP5_VSI!$B:$B,2025))</f>
        <v>-0.29831279684001288</v>
      </c>
      <c r="AD59" s="52">
        <f t="shared" si="17"/>
        <v>0</v>
      </c>
    </row>
    <row r="60" spans="2:30" ht="14.5" hidden="1" customHeight="1" x14ac:dyDescent="0.4">
      <c r="B60" s="107"/>
      <c r="C60" s="103"/>
      <c r="D60" s="38" t="s">
        <v>53</v>
      </c>
      <c r="E60" s="38"/>
      <c r="F60" s="47" t="s">
        <v>101</v>
      </c>
      <c r="G60" s="48">
        <f>((SUMIFS(SSP1_Baseline!$E:$E,SSP1_Baseline!$C:$C,Results_list!$C$109,SSP1_Baseline!$D:$D,Results_list!$D165,SSP1_Baseline!$B:$B,2040)) - (SUMIFS(SSP1_Baseline!$E:$E,SSP1_Baseline!$C:$C,Results_list!$C$109,SSP1_Baseline!$D:$D,Results_list!$D165,SSP1_Baseline!$B:$B,2025))) / (SUMIFS(SSP1_Baseline!$E:$E,SSP1_Baseline!$C:$C,Results_list!$C$109,SSP1_Baseline!$D:$D,Results_list!$D165,SSP1_Baseline!$B:$B,2025))</f>
        <v>-7.7235406150677269E-3</v>
      </c>
      <c r="H60" s="49">
        <f>((SUMIFS(SSP1_VSI!$F:$F,SSP1_VSI!$C:$C,Results_list!$C$109,SSP1_VSI!$D:$D,Results_list!$D165,SSP1_VSI!$B:$B,2040)) - (SUMIFS(SSP1_VSI!$F:$F,SSP1_VSI!$C:$C,Results_list!$C$109,SSP1_VSI!$D:$D,Results_list!$D165,SSP1_VSI!$B:$B,2025))) / (SUMIFS(SSP1_VSI!$F:$F,SSP1_VSI!$C:$C,Results_list!$C$109,SSP1_VSI!$D:$D,Results_list!$D165,SSP1_VSI!$B:$B,2025))</f>
        <v>-7.7370738172453154E-3</v>
      </c>
      <c r="I60" s="52">
        <f t="shared" si="12"/>
        <v>0</v>
      </c>
      <c r="J60" s="48">
        <f>((SUMIFS(SSP2_Baseline!$E:$E,SSP2_Baseline!$C:$C,Results_list!$C$109,SSP2_Baseline!$D:$D,Results_list!$D165,SSP2_Baseline!$B:$B,2040)) - (SUMIFS(SSP2_Baseline!$E:$E,SSP2_Baseline!$C:$C,Results_list!$C$109,SSP2_Baseline!$D:$D,Results_list!$D165,SSP2_Baseline!$B:$B,2025))) / (SUMIFS(SSP2_Baseline!$E:$E,SSP2_Baseline!$C:$C,Results_list!$C$109,SSP2_Baseline!$D:$D,Results_list!$D165,SSP2_Baseline!$B:$B,2025))</f>
        <v>-4.3272594795712221E-3</v>
      </c>
      <c r="K60" s="49">
        <f>((SUMIFS(SSP2_VSI!$F:$F,SSP2_VSI!$C:$C,Results_list!$C$109,SSP2_VSI!$D:$D,Results_list!$D165,SSP2_VSI!$B:$B,2040)) - (SUMIFS(SSP2_VSI!$F:$F,SSP2_VSI!$C:$C,Results_list!$C$109,SSP2_VSI!$D:$D,Results_list!$D165,SSP2_VSI!$B:$B,2025))) / (SUMIFS(SSP2_VSI!$F:$F,SSP2_VSI!$C:$C,Results_list!$C$109,SSP2_VSI!$D:$D,Results_list!$D165,SSP2_VSI!$B:$B,2025))</f>
        <v>-4.3184226168551734E-3</v>
      </c>
      <c r="L60" s="52">
        <f t="shared" si="13"/>
        <v>0</v>
      </c>
      <c r="M60" s="48">
        <f>((SUMIFS(SSP5_Baseline!$E:$E,SSP5_Baseline!$C:$C,Results_list!$C$109,SSP5_Baseline!$D:$D,Results_list!$D165,SSP5_Baseline!$B:$B,2040)) - (SUMIFS(SSP5_Baseline!$E:$E,SSP5_Baseline!$C:$C,Results_list!$C$109,SSP5_Baseline!$D:$D,Results_list!$D165,SSP5_Baseline!$B:$B,2025))) / (SUMIFS(SSP5_Baseline!$E:$E,SSP5_Baseline!$C:$C,Results_list!$C$109,SSP5_Baseline!$D:$D,Results_list!$D165,SSP5_Baseline!$B:$B,2025))</f>
        <v>1.7002271467320411E-3</v>
      </c>
      <c r="N60" s="49">
        <f>((SUMIFS(SSP5_VSI!$F:$F,SSP5_VSI!$C:$C,Results_list!$C$109,SSP5_VSI!$D:$D,Results_list!$D165,SSP5_VSI!$B:$B,2040)) - (SUMIFS(SSP5_VSI!$F:$F,SSP5_VSI!$C:$C,Results_list!$C$109,SSP5_VSI!$D:$D,Results_list!$D165,SSP5_VSI!$B:$B,2025))) / (SUMIFS(SSP5_VSI!$F:$F,SSP5_VSI!$C:$C,Results_list!$C$109,SSP5_VSI!$D:$D,Results_list!$D165,SSP5_VSI!$B:$B,2025))</f>
        <v>1.7089065067030587E-3</v>
      </c>
      <c r="O60" s="52">
        <f t="shared" si="14"/>
        <v>0</v>
      </c>
      <c r="P60" s="38"/>
      <c r="Q60" s="105"/>
      <c r="R60" s="106"/>
      <c r="S60" s="38" t="s">
        <v>53</v>
      </c>
      <c r="T60" s="53"/>
      <c r="U60" s="47" t="s">
        <v>101</v>
      </c>
      <c r="V60" s="48">
        <f>((SUMIFS(SSP1_Baseline!$E:$E,SSP1_Baseline!$C:$C,Results_list!$C$235,SSP1_Baseline!$D:$D,Results_list!$D60,SSP1_Baseline!$B:$B,2040)) - (SUMIFS(SSP1_Baseline!$E:$E,SSP1_Baseline!$C:$C,Results_list!$C$235,SSP1_Baseline!$D:$D,Results_list!$D60,SSP1_Baseline!$B:$B,2025))) / (SUMIFS(SSP1_Baseline!$E:$E,SSP1_Baseline!$C:$C,Results_list!$C$235,SSP1_Baseline!$D:$D,Results_list!$D60,SSP1_Baseline!$B:$B,2025))</f>
        <v>-0.13818624958378314</v>
      </c>
      <c r="W60" s="49">
        <f>((SUMIFS(SSP1_VSI!$F:$F,SSP1_VSI!$C:$C,Results_list!$C$235,SSP1_VSI!$D:$D,Results_list!$D60,SSP1_VSI!$B:$B,2040)) - (SUMIFS(SSP1_VSI!$F:$F,SSP1_VSI!$C:$C,Results_list!$C$235,SSP1_VSI!$D:$D,Results_list!$D60,SSP1_VSI!$B:$B,2025))) / (SUMIFS(SSP1_VSI!$F:$F,SSP1_VSI!$C:$C,Results_list!$C$235,SSP1_VSI!$D:$D,Results_list!$D60,SSP1_VSI!$B:$B,2025))</f>
        <v>-0.13822348676642732</v>
      </c>
      <c r="X60" s="52">
        <f t="shared" si="15"/>
        <v>0</v>
      </c>
      <c r="Y60" s="48">
        <f>((SUMIFS(SSP2_Baseline!$E:$E,SSP2_Baseline!$C:$C,Results_list!$C$235,SSP2_Baseline!$D:$D,Results_list!$D60,SSP2_Baseline!$B:$B,2040)) - (SUMIFS(SSP2_Baseline!$E:$E,SSP2_Baseline!$C:$C,Results_list!$C$235,SSP2_Baseline!$D:$D,Results_list!$D60,SSP2_Baseline!$B:$B,2025))) / (SUMIFS(SSP2_Baseline!$E:$E,SSP2_Baseline!$C:$C,Results_list!$C$235,SSP2_Baseline!$D:$D,Results_list!$D60,SSP2_Baseline!$B:$B,2025))</f>
        <v>-0.14257858194263187</v>
      </c>
      <c r="Z60" s="49">
        <f>((SUMIFS(SSP2_VSI!$F:$F,SSP2_VSI!$C:$C,Results_list!$C$235,SSP2_VSI!$D:$D,Results_list!$D60,SSP2_VSI!$B:$B,2040)) - (SUMIFS(SSP2_VSI!$F:$F,SSP2_VSI!$C:$C,Results_list!$C$235,SSP2_VSI!$D:$D,Results_list!$D60,SSP2_VSI!$B:$B,2025))) / (SUMIFS(SSP2_VSI!$F:$F,SSP2_VSI!$C:$C,Results_list!$C$235,SSP2_VSI!$D:$D,Results_list!$D60,SSP2_VSI!$B:$B,2025))</f>
        <v>-0.1425686812125716</v>
      </c>
      <c r="AA60" s="52">
        <f t="shared" si="16"/>
        <v>0</v>
      </c>
      <c r="AB60" s="48">
        <f>((SUMIFS(SSP5_Baseline!$E:$E,SSP5_Baseline!$C:$C,Results_list!$C$235,SSP5_Baseline!$D:$D,Results_list!$D60,SSP5_Baseline!$B:$B,2040)) - (SUMIFS(SSP5_Baseline!$E:$E,SSP5_Baseline!$C:$C,Results_list!$C$235,SSP5_Baseline!$D:$D,Results_list!$D60,SSP5_Baseline!$B:$B,2025))) / (SUMIFS(SSP5_Baseline!$E:$E,SSP5_Baseline!$C:$C,Results_list!$C$235,SSP5_Baseline!$D:$D,Results_list!$D60,SSP5_Baseline!$B:$B,2025))</f>
        <v>3.7465584413000907E-2</v>
      </c>
      <c r="AC60" s="49">
        <f>((SUMIFS(SSP5_VSI!$F:$F,SSP5_VSI!$C:$C,Results_list!$C$235,SSP5_VSI!$D:$D,Results_list!$D60,SSP5_VSI!$B:$B,2040)) - (SUMIFS(SSP5_VSI!$F:$F,SSP5_VSI!$C:$C,Results_list!$C$235,SSP5_VSI!$D:$D,Results_list!$D60,SSP5_VSI!$B:$B,2025))) / (SUMIFS(SSP5_VSI!$F:$F,SSP5_VSI!$C:$C,Results_list!$C$235,SSP5_VSI!$D:$D,Results_list!$D60,SSP5_VSI!$B:$B,2025))</f>
        <v>3.7486471115699332E-2</v>
      </c>
      <c r="AD60" s="52">
        <f t="shared" si="17"/>
        <v>0</v>
      </c>
    </row>
    <row r="61" spans="2:30" ht="16" x14ac:dyDescent="0.4">
      <c r="B61" s="107"/>
      <c r="C61" s="103"/>
      <c r="D61" s="38" t="s">
        <v>54</v>
      </c>
      <c r="E61" s="38"/>
      <c r="F61" s="47" t="s">
        <v>102</v>
      </c>
      <c r="G61" s="48">
        <f>((SUMIFS(SSP1_Baseline!$E:$E,SSP1_Baseline!$C:$C,Results_list!$C$109,SSP1_Baseline!$D:$D,Results_list!$D166,SSP1_Baseline!$B:$B,2040)) - (SUMIFS(SSP1_Baseline!$E:$E,SSP1_Baseline!$C:$C,Results_list!$C$109,SSP1_Baseline!$D:$D,Results_list!$D166,SSP1_Baseline!$B:$B,2025))) / (SUMIFS(SSP1_Baseline!$E:$E,SSP1_Baseline!$C:$C,Results_list!$C$109,SSP1_Baseline!$D:$D,Results_list!$D166,SSP1_Baseline!$B:$B,2025))</f>
        <v>3.2908823496329156E-5</v>
      </c>
      <c r="H61" s="49">
        <f>((SUMIFS(SSP1_VSI!$F:$F,SSP1_VSI!$C:$C,Results_list!$C$109,SSP1_VSI!$D:$D,Results_list!$D166,SSP1_VSI!$B:$B,2040)) - (SUMIFS(SSP1_VSI!$F:$F,SSP1_VSI!$C:$C,Results_list!$C$109,SSP1_VSI!$D:$D,Results_list!$D166,SSP1_VSI!$B:$B,2025))) / (SUMIFS(SSP1_VSI!$F:$F,SSP1_VSI!$C:$C,Results_list!$C$109,SSP1_VSI!$D:$D,Results_list!$D166,SSP1_VSI!$B:$B,2025))</f>
        <v>-1.0950479794864358E-3</v>
      </c>
      <c r="I61" s="52">
        <f t="shared" si="12"/>
        <v>-1E-3</v>
      </c>
      <c r="J61" s="48">
        <f>((SUMIFS(SSP2_Baseline!$E:$E,SSP2_Baseline!$C:$C,Results_list!$C$109,SSP2_Baseline!$D:$D,Results_list!$D166,SSP2_Baseline!$B:$B,2040)) - (SUMIFS(SSP2_Baseline!$E:$E,SSP2_Baseline!$C:$C,Results_list!$C$109,SSP2_Baseline!$D:$D,Results_list!$D166,SSP2_Baseline!$B:$B,2025))) / (SUMIFS(SSP2_Baseline!$E:$E,SSP2_Baseline!$C:$C,Results_list!$C$109,SSP2_Baseline!$D:$D,Results_list!$D166,SSP2_Baseline!$B:$B,2025))</f>
        <v>6.1600512815514858E-5</v>
      </c>
      <c r="K61" s="49">
        <f>((SUMIFS(SSP2_VSI!$F:$F,SSP2_VSI!$C:$C,Results_list!$C$109,SSP2_VSI!$D:$D,Results_list!$D166,SSP2_VSI!$B:$B,2040)) - (SUMIFS(SSP2_VSI!$F:$F,SSP2_VSI!$C:$C,Results_list!$C$109,SSP2_VSI!$D:$D,Results_list!$D166,SSP2_VSI!$B:$B,2025))) / (SUMIFS(SSP2_VSI!$F:$F,SSP2_VSI!$C:$C,Results_list!$C$109,SSP2_VSI!$D:$D,Results_list!$D166,SSP2_VSI!$B:$B,2025))</f>
        <v>-1.0663780935351362E-3</v>
      </c>
      <c r="L61" s="52">
        <f t="shared" si="13"/>
        <v>0</v>
      </c>
      <c r="M61" s="48">
        <f>((SUMIFS(SSP5_Baseline!$E:$E,SSP5_Baseline!$C:$C,Results_list!$C$109,SSP5_Baseline!$D:$D,Results_list!$D166,SSP5_Baseline!$B:$B,2040)) - (SUMIFS(SSP5_Baseline!$E:$E,SSP5_Baseline!$C:$C,Results_list!$C$109,SSP5_Baseline!$D:$D,Results_list!$D166,SSP5_Baseline!$B:$B,2025))) / (SUMIFS(SSP5_Baseline!$E:$E,SSP5_Baseline!$C:$C,Results_list!$C$109,SSP5_Baseline!$D:$D,Results_list!$D166,SSP5_Baseline!$B:$B,2025))</f>
        <v>1.1614567210161978E-4</v>
      </c>
      <c r="N61" s="49">
        <f>((SUMIFS(SSP5_VSI!$F:$F,SSP5_VSI!$C:$C,Results_list!$C$109,SSP5_VSI!$D:$D,Results_list!$D166,SSP5_VSI!$B:$B,2040)) - (SUMIFS(SSP5_VSI!$F:$F,SSP5_VSI!$C:$C,Results_list!$C$109,SSP5_VSI!$D:$D,Results_list!$D166,SSP5_VSI!$B:$B,2025))) / (SUMIFS(SSP5_VSI!$F:$F,SSP5_VSI!$C:$C,Results_list!$C$109,SSP5_VSI!$D:$D,Results_list!$D166,SSP5_VSI!$B:$B,2025))</f>
        <v>-1.0116595130486832E-3</v>
      </c>
      <c r="O61" s="52">
        <f t="shared" si="14"/>
        <v>0</v>
      </c>
      <c r="P61" s="38"/>
      <c r="Q61" s="105"/>
      <c r="R61" s="106"/>
      <c r="S61" s="38" t="s">
        <v>54</v>
      </c>
      <c r="T61" s="53"/>
      <c r="U61" s="47" t="s">
        <v>102</v>
      </c>
      <c r="V61" s="48">
        <f>((SUMIFS(SSP1_Baseline!$E:$E,SSP1_Baseline!$C:$C,Results_list!$C$235,SSP1_Baseline!$D:$D,Results_list!$D61,SSP1_Baseline!$B:$B,2040)) - (SUMIFS(SSP1_Baseline!$E:$E,SSP1_Baseline!$C:$C,Results_list!$C$235,SSP1_Baseline!$D:$D,Results_list!$D61,SSP1_Baseline!$B:$B,2025))) / (SUMIFS(SSP1_Baseline!$E:$E,SSP1_Baseline!$C:$C,Results_list!$C$235,SSP1_Baseline!$D:$D,Results_list!$D61,SSP1_Baseline!$B:$B,2025))</f>
        <v>5.7695069491553704E-3</v>
      </c>
      <c r="W61" s="49">
        <f>((SUMIFS(SSP1_VSI!$F:$F,SSP1_VSI!$C:$C,Results_list!$C$235,SSP1_VSI!$D:$D,Results_list!$D61,SSP1_VSI!$B:$B,2040)) - (SUMIFS(SSP1_VSI!$F:$F,SSP1_VSI!$C:$C,Results_list!$C$235,SSP1_VSI!$D:$D,Results_list!$D61,SSP1_VSI!$B:$B,2025))) / (SUMIFS(SSP1_VSI!$F:$F,SSP1_VSI!$C:$C,Results_list!$C$235,SSP1_VSI!$D:$D,Results_list!$D61,SSP1_VSI!$B:$B,2025))</f>
        <v>-0.32668752142672397</v>
      </c>
      <c r="X61" s="52">
        <f t="shared" si="15"/>
        <v>-0.33200000000000002</v>
      </c>
      <c r="Y61" s="48">
        <f>((SUMIFS(SSP2_Baseline!$E:$E,SSP2_Baseline!$C:$C,Results_list!$C$235,SSP2_Baseline!$D:$D,Results_list!$D61,SSP2_Baseline!$B:$B,2040)) - (SUMIFS(SSP2_Baseline!$E:$E,SSP2_Baseline!$C:$C,Results_list!$C$235,SSP2_Baseline!$D:$D,Results_list!$D61,SSP2_Baseline!$B:$B,2025))) / (SUMIFS(SSP2_Baseline!$E:$E,SSP2_Baseline!$C:$C,Results_list!$C$235,SSP2_Baseline!$D:$D,Results_list!$D61,SSP2_Baseline!$B:$B,2025))</f>
        <v>6.5864544749981583E-3</v>
      </c>
      <c r="Z61" s="49">
        <f>((SUMIFS(SSP2_VSI!$F:$F,SSP2_VSI!$C:$C,Results_list!$C$235,SSP2_VSI!$D:$D,Results_list!$D61,SSP2_VSI!$B:$B,2040)) - (SUMIFS(SSP2_VSI!$F:$F,SSP2_VSI!$C:$C,Results_list!$C$235,SSP2_VSI!$D:$D,Results_list!$D61,SSP2_VSI!$B:$B,2025))) / (SUMIFS(SSP2_VSI!$F:$F,SSP2_VSI!$C:$C,Results_list!$C$235,SSP2_VSI!$D:$D,Results_list!$D61,SSP2_VSI!$B:$B,2025))</f>
        <v>-0.32718666889296821</v>
      </c>
      <c r="AA61" s="52">
        <f t="shared" si="16"/>
        <v>-0.33</v>
      </c>
      <c r="AB61" s="48">
        <f>((SUMIFS(SSP5_Baseline!$E:$E,SSP5_Baseline!$C:$C,Results_list!$C$235,SSP5_Baseline!$D:$D,Results_list!$D61,SSP5_Baseline!$B:$B,2040)) - (SUMIFS(SSP5_Baseline!$E:$E,SSP5_Baseline!$C:$C,Results_list!$C$235,SSP5_Baseline!$D:$D,Results_list!$D61,SSP5_Baseline!$B:$B,2025))) / (SUMIFS(SSP5_Baseline!$E:$E,SSP5_Baseline!$C:$C,Results_list!$C$235,SSP5_Baseline!$D:$D,Results_list!$D61,SSP5_Baseline!$B:$B,2025))</f>
        <v>4.7548165755908978E-2</v>
      </c>
      <c r="AC61" s="49">
        <f>((SUMIFS(SSP5_VSI!$F:$F,SSP5_VSI!$C:$C,Results_list!$C$235,SSP5_VSI!$D:$D,Results_list!$D61,SSP5_VSI!$B:$B,2040)) - (SUMIFS(SSP5_VSI!$F:$F,SSP5_VSI!$C:$C,Results_list!$C$235,SSP5_VSI!$D:$D,Results_list!$D61,SSP5_VSI!$B:$B,2025))) / (SUMIFS(SSP5_VSI!$F:$F,SSP5_VSI!$C:$C,Results_list!$C$235,SSP5_VSI!$D:$D,Results_list!$D61,SSP5_VSI!$B:$B,2025))</f>
        <v>-0.28393633792848011</v>
      </c>
      <c r="AD61" s="52">
        <f t="shared" si="17"/>
        <v>-0.33</v>
      </c>
    </row>
    <row r="62" spans="2:30" ht="16" x14ac:dyDescent="0.4">
      <c r="B62" s="107"/>
      <c r="C62" s="103"/>
      <c r="D62" s="38" t="s">
        <v>55</v>
      </c>
      <c r="E62" s="38"/>
      <c r="F62" s="71" t="s">
        <v>103</v>
      </c>
      <c r="G62" s="55">
        <f>((SUMIFS(SSP1_Baseline!$E:$E,SSP1_Baseline!$C:$C,Results_list!$C$109,SSP1_Baseline!$D:$D,Results_list!$D167,SSP1_Baseline!$B:$B,2040)) - (SUMIFS(SSP1_Baseline!$E:$E,SSP1_Baseline!$C:$C,Results_list!$C$109,SSP1_Baseline!$D:$D,Results_list!$D167,SSP1_Baseline!$B:$B,2025))) / (SUMIFS(SSP1_Baseline!$E:$E,SSP1_Baseline!$C:$C,Results_list!$C$109,SSP1_Baseline!$D:$D,Results_list!$D167,SSP1_Baseline!$B:$B,2025))</f>
        <v>2.5304989172128024E-5</v>
      </c>
      <c r="H62" s="56">
        <f>((SUMIFS(SSP1_VSI!$F:$F,SSP1_VSI!$C:$C,Results_list!$C$109,SSP1_VSI!$D:$D,Results_list!$D167,SSP1_VSI!$B:$B,2040)) - (SUMIFS(SSP1_VSI!$F:$F,SSP1_VSI!$C:$C,Results_list!$C$109,SSP1_VSI!$D:$D,Results_list!$D167,SSP1_VSI!$B:$B,2025))) / (SUMIFS(SSP1_VSI!$F:$F,SSP1_VSI!$C:$C,Results_list!$C$109,SSP1_VSI!$D:$D,Results_list!$D167,SSP1_VSI!$B:$B,2025))</f>
        <v>-0.13837088348770149</v>
      </c>
      <c r="I62" s="57">
        <f t="shared" si="12"/>
        <v>-0.13800000000000001</v>
      </c>
      <c r="J62" s="55">
        <f>((SUMIFS(SSP2_Baseline!$E:$E,SSP2_Baseline!$C:$C,Results_list!$C$109,SSP2_Baseline!$D:$D,Results_list!$D167,SSP2_Baseline!$B:$B,2040)) - (SUMIFS(SSP2_Baseline!$E:$E,SSP2_Baseline!$C:$C,Results_list!$C$109,SSP2_Baseline!$D:$D,Results_list!$D167,SSP2_Baseline!$B:$B,2025))) / (SUMIFS(SSP2_Baseline!$E:$E,SSP2_Baseline!$C:$C,Results_list!$C$109,SSP2_Baseline!$D:$D,Results_list!$D167,SSP2_Baseline!$B:$B,2025))</f>
        <v>4.7065674618190308E-5</v>
      </c>
      <c r="K62" s="56">
        <f>((SUMIFS(SSP2_VSI!$F:$F,SSP2_VSI!$C:$C,Results_list!$C$109,SSP2_VSI!$D:$D,Results_list!$D167,SSP2_VSI!$B:$B,2040)) - (SUMIFS(SSP2_VSI!$F:$F,SSP2_VSI!$C:$C,Results_list!$C$109,SSP2_VSI!$D:$D,Results_list!$D167,SSP2_VSI!$B:$B,2025))) / (SUMIFS(SSP2_VSI!$F:$F,SSP2_VSI!$C:$C,Results_list!$C$109,SSP2_VSI!$D:$D,Results_list!$D167,SSP2_VSI!$B:$B,2025))</f>
        <v>-0.13835135827173975</v>
      </c>
      <c r="L62" s="57">
        <f t="shared" si="13"/>
        <v>-0.14000000000000001</v>
      </c>
      <c r="M62" s="55">
        <f>((SUMIFS(SSP5_Baseline!$E:$E,SSP5_Baseline!$C:$C,Results_list!$C$109,SSP5_Baseline!$D:$D,Results_list!$D167,SSP5_Baseline!$B:$B,2040)) - (SUMIFS(SSP5_Baseline!$E:$E,SSP5_Baseline!$C:$C,Results_list!$C$109,SSP5_Baseline!$D:$D,Results_list!$D167,SSP5_Baseline!$B:$B,2025))) / (SUMIFS(SSP5_Baseline!$E:$E,SSP5_Baseline!$C:$C,Results_list!$C$109,SSP5_Baseline!$D:$D,Results_list!$D167,SSP5_Baseline!$B:$B,2025))</f>
        <v>9.4672479949753935E-5</v>
      </c>
      <c r="N62" s="58">
        <f>((SUMIFS(SSP5_VSI!$F:$F,SSP5_VSI!$C:$C,Results_list!$C$109,SSP5_VSI!$D:$D,Results_list!$D167,SSP5_VSI!$B:$B,2040)) - (SUMIFS(SSP5_VSI!$F:$F,SSP5_VSI!$C:$C,Results_list!$C$109,SSP5_VSI!$D:$D,Results_list!$D167,SSP5_VSI!$B:$B,2025))) / (SUMIFS(SSP5_VSI!$F:$F,SSP5_VSI!$C:$C,Results_list!$C$109,SSP5_VSI!$D:$D,Results_list!$D167,SSP5_VSI!$B:$B,2025))</f>
        <v>-0.13830261394986954</v>
      </c>
      <c r="O62" s="57">
        <f t="shared" si="14"/>
        <v>-0.14000000000000001</v>
      </c>
      <c r="P62" s="38"/>
      <c r="Q62" s="105"/>
      <c r="R62" s="106"/>
      <c r="S62" s="38" t="s">
        <v>55</v>
      </c>
      <c r="T62" s="53"/>
      <c r="U62" s="70" t="s">
        <v>103</v>
      </c>
      <c r="V62" s="55">
        <f>((SUMIFS(SSP1_Baseline!$E:$E,SSP1_Baseline!$C:$C,Results_list!$C$235,SSP1_Baseline!$D:$D,Results_list!$D62,SSP1_Baseline!$B:$B,2040)) - (SUMIFS(SSP1_Baseline!$E:$E,SSP1_Baseline!$C:$C,Results_list!$C$235,SSP1_Baseline!$D:$D,Results_list!$D62,SSP1_Baseline!$B:$B,2025))) / (SUMIFS(SSP1_Baseline!$E:$E,SSP1_Baseline!$C:$C,Results_list!$C$235,SSP1_Baseline!$D:$D,Results_list!$D62,SSP1_Baseline!$B:$B,2025))</f>
        <v>6.5752598239681688E-3</v>
      </c>
      <c r="W62" s="56">
        <f>((SUMIFS(SSP1_VSI!$F:$F,SSP1_VSI!$C:$C,Results_list!$C$235,SSP1_VSI!$D:$D,Results_list!$D62,SSP1_VSI!$B:$B,2040)) - (SUMIFS(SSP1_VSI!$F:$F,SSP1_VSI!$C:$C,Results_list!$C$235,SSP1_VSI!$D:$D,Results_list!$D62,SSP1_VSI!$B:$B,2025))) / (SUMIFS(SSP1_VSI!$F:$F,SSP1_VSI!$C:$C,Results_list!$C$235,SSP1_VSI!$D:$D,Results_list!$D62,SSP1_VSI!$B:$B,2025))</f>
        <v>-2.7164775305531425E-2</v>
      </c>
      <c r="X62" s="57">
        <f t="shared" si="15"/>
        <v>-3.4000000000000002E-2</v>
      </c>
      <c r="Y62" s="55">
        <f>((SUMIFS(SSP2_Baseline!$E:$E,SSP2_Baseline!$C:$C,Results_list!$C$235,SSP2_Baseline!$D:$D,Results_list!$D62,SSP2_Baseline!$B:$B,2040)) - (SUMIFS(SSP2_Baseline!$E:$E,SSP2_Baseline!$C:$C,Results_list!$C$235,SSP2_Baseline!$D:$D,Results_list!$D62,SSP2_Baseline!$B:$B,2025))) / (SUMIFS(SSP2_Baseline!$E:$E,SSP2_Baseline!$C:$C,Results_list!$C$235,SSP2_Baseline!$D:$D,Results_list!$D62,SSP2_Baseline!$B:$B,2025))</f>
        <v>7.1363155122067673E-3</v>
      </c>
      <c r="Z62" s="56">
        <f>((SUMIFS(SSP2_VSI!$F:$F,SSP2_VSI!$C:$C,Results_list!$C$235,SSP2_VSI!$D:$D,Results_list!$D62,SSP2_VSI!$B:$B,2040)) - (SUMIFS(SSP2_VSI!$F:$F,SSP2_VSI!$C:$C,Results_list!$C$235,SSP2_VSI!$D:$D,Results_list!$D62,SSP2_VSI!$B:$B,2025))) / (SUMIFS(SSP2_VSI!$F:$F,SSP2_VSI!$C:$C,Results_list!$C$235,SSP2_VSI!$D:$D,Results_list!$D62,SSP2_VSI!$B:$B,2025))</f>
        <v>-2.6776862944199967E-2</v>
      </c>
      <c r="AA62" s="57">
        <f t="shared" si="16"/>
        <v>-0.03</v>
      </c>
      <c r="AB62" s="55">
        <f>((SUMIFS(SSP5_Baseline!$E:$E,SSP5_Baseline!$C:$C,Results_list!$C$235,SSP5_Baseline!$D:$D,Results_list!$D62,SSP5_Baseline!$B:$B,2040)) - (SUMIFS(SSP5_Baseline!$E:$E,SSP5_Baseline!$C:$C,Results_list!$C$235,SSP5_Baseline!$D:$D,Results_list!$D62,SSP5_Baseline!$B:$B,2025))) / (SUMIFS(SSP5_Baseline!$E:$E,SSP5_Baseline!$C:$C,Results_list!$C$235,SSP5_Baseline!$D:$D,Results_list!$D62,SSP5_Baseline!$B:$B,2025))</f>
        <v>7.127888165811927E-2</v>
      </c>
      <c r="AC62" s="58">
        <f>((SUMIFS(SSP5_VSI!$F:$F,SSP5_VSI!$C:$C,Results_list!$C$235,SSP5_VSI!$D:$D,Results_list!$D62,SSP5_VSI!$B:$B,2040)) - (SUMIFS(SSP5_VSI!$F:$F,SSP5_VSI!$C:$C,Results_list!$C$235,SSP5_VSI!$D:$D,Results_list!$D62,SSP5_VSI!$B:$B,2025))) / (SUMIFS(SSP5_VSI!$F:$F,SSP5_VSI!$C:$C,Results_list!$C$235,SSP5_VSI!$D:$D,Results_list!$D62,SSP5_VSI!$B:$B,2025))</f>
        <v>3.7749518618692787E-2</v>
      </c>
      <c r="AD62" s="57">
        <f t="shared" si="17"/>
        <v>-0.03</v>
      </c>
    </row>
    <row r="63" spans="2:30" ht="14.5" hidden="1" customHeight="1" x14ac:dyDescent="0.4">
      <c r="B63" s="107"/>
      <c r="C63" s="103"/>
      <c r="D63" s="38" t="s">
        <v>56</v>
      </c>
      <c r="E63" s="38"/>
      <c r="F63" s="47" t="s">
        <v>104</v>
      </c>
      <c r="G63" s="60">
        <f>((SUMIFS(SSP1_Baseline!$E:$E,SSP1_Baseline!$C:$C,Results_list!$C$109,SSP1_Baseline!$D:$D,Results_list!$D168,SSP1_Baseline!$B:$B,2040)) - (SUMIFS(SSP1_Baseline!$E:$E,SSP1_Baseline!$C:$C,Results_list!$C$109,SSP1_Baseline!$D:$D,Results_list!$D168,SSP1_Baseline!$B:$B,2025))) / (SUMIFS(SSP1_Baseline!$E:$E,SSP1_Baseline!$C:$C,Results_list!$C$109,SSP1_Baseline!$D:$D,Results_list!$D168,SSP1_Baseline!$B:$B,2025))</f>
        <v>-1.1043854827802468E-2</v>
      </c>
      <c r="H63" s="61">
        <f>((SUMIFS(SSP1_VSI!$F:$F,SSP1_VSI!$C:$C,Results_list!$C$109,SSP1_VSI!$D:$D,Results_list!$D168,SSP1_VSI!$B:$B,2040)) - (SUMIFS(SSP1_VSI!$F:$F,SSP1_VSI!$C:$C,Results_list!$C$109,SSP1_VSI!$D:$D,Results_list!$D168,SSP1_VSI!$B:$B,2025))) / (SUMIFS(SSP1_VSI!$F:$F,SSP1_VSI!$C:$C,Results_list!$C$109,SSP1_VSI!$D:$D,Results_list!$D168,SSP1_VSI!$B:$B,2025))</f>
        <v>-1.1046014752425838E-2</v>
      </c>
      <c r="I63" s="62">
        <f t="shared" si="12"/>
        <v>0</v>
      </c>
      <c r="J63" s="60">
        <f>((SUMIFS(SSP2_Baseline!$E:$E,SSP2_Baseline!$C:$C,Results_list!$C$109,SSP2_Baseline!$D:$D,Results_list!$D168,SSP2_Baseline!$B:$B,2040)) - (SUMIFS(SSP2_Baseline!$E:$E,SSP2_Baseline!$C:$C,Results_list!$C$109,SSP2_Baseline!$D:$D,Results_list!$D168,SSP2_Baseline!$B:$B,2025))) / (SUMIFS(SSP2_Baseline!$E:$E,SSP2_Baseline!$C:$C,Results_list!$C$109,SSP2_Baseline!$D:$D,Results_list!$D168,SSP2_Baseline!$B:$B,2025))</f>
        <v>-1.3647151800600697E-2</v>
      </c>
      <c r="K63" s="61">
        <f>((SUMIFS(SSP2_VSI!$F:$F,SSP2_VSI!$C:$C,Results_list!$C$109,SSP2_VSI!$D:$D,Results_list!$D168,SSP2_VSI!$B:$B,2040)) - (SUMIFS(SSP2_VSI!$F:$F,SSP2_VSI!$C:$C,Results_list!$C$109,SSP2_VSI!$D:$D,Results_list!$D168,SSP2_VSI!$B:$B,2025))) / (SUMIFS(SSP2_VSI!$F:$F,SSP2_VSI!$C:$C,Results_list!$C$109,SSP2_VSI!$D:$D,Results_list!$D168,SSP2_VSI!$B:$B,2025))</f>
        <v>-1.3652351865198626E-2</v>
      </c>
      <c r="L63" s="62">
        <f t="shared" si="13"/>
        <v>0</v>
      </c>
      <c r="M63" s="60">
        <f>((SUMIFS(SSP5_Baseline!$E:$E,SSP5_Baseline!$C:$C,Results_list!$C$109,SSP5_Baseline!$D:$D,Results_list!$D168,SSP5_Baseline!$B:$B,2040)) - (SUMIFS(SSP5_Baseline!$E:$E,SSP5_Baseline!$C:$C,Results_list!$C$109,SSP5_Baseline!$D:$D,Results_list!$D168,SSP5_Baseline!$B:$B,2025))) / (SUMIFS(SSP5_Baseline!$E:$E,SSP5_Baseline!$C:$C,Results_list!$C$109,SSP5_Baseline!$D:$D,Results_list!$D168,SSP5_Baseline!$B:$B,2025))</f>
        <v>-5.9467991940359323E-3</v>
      </c>
      <c r="N63" s="61">
        <f>((SUMIFS(SSP5_VSI!$F:$F,SSP5_VSI!$C:$C,Results_list!$C$109,SSP5_VSI!$D:$D,Results_list!$D168,SSP5_VSI!$B:$B,2040)) - (SUMIFS(SSP5_VSI!$F:$F,SSP5_VSI!$C:$C,Results_list!$C$109,SSP5_VSI!$D:$D,Results_list!$D168,SSP5_VSI!$B:$B,2025))) / (SUMIFS(SSP5_VSI!$F:$F,SSP5_VSI!$C:$C,Results_list!$C$109,SSP5_VSI!$D:$D,Results_list!$D168,SSP5_VSI!$B:$B,2025))</f>
        <v>-5.939368189811986E-3</v>
      </c>
      <c r="O63" s="62">
        <f t="shared" si="14"/>
        <v>0</v>
      </c>
      <c r="P63" s="38"/>
      <c r="Q63" s="105"/>
      <c r="R63" s="106"/>
      <c r="S63" s="38" t="s">
        <v>56</v>
      </c>
      <c r="T63" s="53"/>
      <c r="U63" s="47" t="s">
        <v>104</v>
      </c>
      <c r="V63" s="63">
        <f>((SUMIFS(SSP1_Baseline!$E:$E,SSP1_Baseline!$C:$C,Results_list!$C$235,SSP1_Baseline!$D:$D,Results_list!$D63,SSP1_Baseline!$B:$B,2040)) - (SUMIFS(SSP1_Baseline!$E:$E,SSP1_Baseline!$C:$C,Results_list!$C$235,SSP1_Baseline!$D:$D,Results_list!$D63,SSP1_Baseline!$B:$B,2025))) / (SUMIFS(SSP1_Baseline!$E:$E,SSP1_Baseline!$C:$C,Results_list!$C$235,SSP1_Baseline!$D:$D,Results_list!$D63,SSP1_Baseline!$B:$B,2025))</f>
        <v>-5.1931012090685312E-2</v>
      </c>
      <c r="W63" s="64">
        <f>((SUMIFS(SSP1_VSI!$F:$F,SSP1_VSI!$C:$C,Results_list!$C$235,SSP1_VSI!$D:$D,Results_list!$D63,SSP1_VSI!$B:$B,2040)) - (SUMIFS(SSP1_VSI!$F:$F,SSP1_VSI!$C:$C,Results_list!$C$235,SSP1_VSI!$D:$D,Results_list!$D63,SSP1_VSI!$B:$B,2025))) / (SUMIFS(SSP1_VSI!$F:$F,SSP1_VSI!$C:$C,Results_list!$C$235,SSP1_VSI!$D:$D,Results_list!$D63,SSP1_VSI!$B:$B,2025))</f>
        <v>-5.1934620387174231E-2</v>
      </c>
      <c r="X63" s="65">
        <f t="shared" si="15"/>
        <v>0</v>
      </c>
      <c r="Y63" s="63">
        <f>((SUMIFS(SSP2_Baseline!$E:$E,SSP2_Baseline!$C:$C,Results_list!$C$235,SSP2_Baseline!$D:$D,Results_list!$D63,SSP2_Baseline!$B:$B,2040)) - (SUMIFS(SSP2_Baseline!$E:$E,SSP2_Baseline!$C:$C,Results_list!$C$235,SSP2_Baseline!$D:$D,Results_list!$D63,SSP2_Baseline!$B:$B,2025))) / (SUMIFS(SSP2_Baseline!$E:$E,SSP2_Baseline!$C:$C,Results_list!$C$235,SSP2_Baseline!$D:$D,Results_list!$D63,SSP2_Baseline!$B:$B,2025))</f>
        <v>-5.847346727847047E-2</v>
      </c>
      <c r="Z63" s="64">
        <f>((SUMIFS(SSP2_VSI!$F:$F,SSP2_VSI!$C:$C,Results_list!$C$235,SSP2_VSI!$D:$D,Results_list!$D63,SSP2_VSI!$B:$B,2040)) - (SUMIFS(SSP2_VSI!$F:$F,SSP2_VSI!$C:$C,Results_list!$C$235,SSP2_VSI!$D:$D,Results_list!$D63,SSP2_VSI!$B:$B,2025))) / (SUMIFS(SSP2_VSI!$F:$F,SSP2_VSI!$C:$C,Results_list!$C$235,SSP2_VSI!$D:$D,Results_list!$D63,SSP2_VSI!$B:$B,2025))</f>
        <v>-5.8482965533282354E-2</v>
      </c>
      <c r="AA63" s="65">
        <f t="shared" si="16"/>
        <v>0</v>
      </c>
      <c r="AB63" s="63">
        <f>((SUMIFS(SSP5_Baseline!$E:$E,SSP5_Baseline!$C:$C,Results_list!$C$235,SSP5_Baseline!$D:$D,Results_list!$D63,SSP5_Baseline!$B:$B,2040)) - (SUMIFS(SSP5_Baseline!$E:$E,SSP5_Baseline!$C:$C,Results_list!$C$235,SSP5_Baseline!$D:$D,Results_list!$D63,SSP5_Baseline!$B:$B,2025))) / (SUMIFS(SSP5_Baseline!$E:$E,SSP5_Baseline!$C:$C,Results_list!$C$235,SSP5_Baseline!$D:$D,Results_list!$D63,SSP5_Baseline!$B:$B,2025))</f>
        <v>-2.3479818295777981E-2</v>
      </c>
      <c r="AC63" s="64">
        <f>((SUMIFS(SSP5_VSI!$F:$F,SSP5_VSI!$C:$C,Results_list!$C$235,SSP5_VSI!$D:$D,Results_list!$D63,SSP5_VSI!$B:$B,2040)) - (SUMIFS(SSP5_VSI!$F:$F,SSP5_VSI!$C:$C,Results_list!$C$235,SSP5_VSI!$D:$D,Results_list!$D63,SSP5_VSI!$B:$B,2025))) / (SUMIFS(SSP5_VSI!$F:$F,SSP5_VSI!$C:$C,Results_list!$C$235,SSP5_VSI!$D:$D,Results_list!$D63,SSP5_VSI!$B:$B,2025))</f>
        <v>-2.3467439151045953E-2</v>
      </c>
      <c r="AD63" s="65">
        <f t="shared" si="17"/>
        <v>0</v>
      </c>
    </row>
    <row r="64" spans="2:30" ht="16" hidden="1" x14ac:dyDescent="0.4"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38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</row>
    <row r="65" spans="2:30" ht="16" hidden="1" x14ac:dyDescent="0.4">
      <c r="B65" s="38"/>
      <c r="C65" s="38"/>
      <c r="D65" s="38"/>
      <c r="E65" s="38"/>
      <c r="F65" s="39"/>
      <c r="G65" s="98" t="s">
        <v>3</v>
      </c>
      <c r="H65" s="99"/>
      <c r="I65" s="99"/>
      <c r="J65" s="99"/>
      <c r="K65" s="99"/>
      <c r="L65" s="99"/>
      <c r="M65" s="99"/>
      <c r="N65" s="99"/>
      <c r="O65" s="100"/>
      <c r="P65" s="38"/>
      <c r="Q65" s="38"/>
      <c r="R65" s="38"/>
      <c r="S65" s="38"/>
      <c r="T65" s="38"/>
      <c r="U65" s="39"/>
      <c r="V65" s="98" t="s">
        <v>3</v>
      </c>
      <c r="W65" s="99"/>
      <c r="X65" s="99"/>
      <c r="Y65" s="99"/>
      <c r="Z65" s="99"/>
      <c r="AA65" s="99"/>
      <c r="AB65" s="99"/>
      <c r="AC65" s="99"/>
      <c r="AD65" s="100"/>
    </row>
    <row r="66" spans="2:30" ht="48" hidden="1" x14ac:dyDescent="0.4">
      <c r="B66" s="40" t="s">
        <v>30</v>
      </c>
      <c r="C66" s="40" t="s">
        <v>30</v>
      </c>
      <c r="D66" s="41" t="s">
        <v>106</v>
      </c>
      <c r="E66" s="42" t="s">
        <v>131</v>
      </c>
      <c r="F66" s="41" t="s">
        <v>106</v>
      </c>
      <c r="G66" s="43" t="s">
        <v>0</v>
      </c>
      <c r="H66" s="44" t="s">
        <v>108</v>
      </c>
      <c r="I66" s="42" t="s">
        <v>137</v>
      </c>
      <c r="J66" s="43" t="s">
        <v>1</v>
      </c>
      <c r="K66" s="44" t="s">
        <v>109</v>
      </c>
      <c r="L66" s="42" t="s">
        <v>137</v>
      </c>
      <c r="M66" s="43" t="s">
        <v>2</v>
      </c>
      <c r="N66" s="44" t="s">
        <v>110</v>
      </c>
      <c r="O66" s="42" t="s">
        <v>137</v>
      </c>
      <c r="P66" s="38"/>
      <c r="Q66" s="40" t="s">
        <v>30</v>
      </c>
      <c r="R66" s="45" t="s">
        <v>30</v>
      </c>
      <c r="S66" s="46" t="s">
        <v>106</v>
      </c>
      <c r="T66" s="42" t="s">
        <v>131</v>
      </c>
      <c r="U66" s="41" t="s">
        <v>106</v>
      </c>
      <c r="V66" s="43" t="s">
        <v>0</v>
      </c>
      <c r="W66" s="44" t="s">
        <v>108</v>
      </c>
      <c r="X66" s="42" t="s">
        <v>137</v>
      </c>
      <c r="Y66" s="43" t="s">
        <v>1</v>
      </c>
      <c r="Z66" s="44" t="s">
        <v>109</v>
      </c>
      <c r="AA66" s="42" t="s">
        <v>137</v>
      </c>
      <c r="AB66" s="43" t="s">
        <v>2</v>
      </c>
      <c r="AC66" s="44" t="s">
        <v>110</v>
      </c>
      <c r="AD66" s="42" t="s">
        <v>137</v>
      </c>
    </row>
    <row r="67" spans="2:30" ht="14.5" customHeight="1" x14ac:dyDescent="0.4">
      <c r="B67" s="107" t="s">
        <v>115</v>
      </c>
      <c r="C67" s="103" t="s">
        <v>61</v>
      </c>
      <c r="D67" s="38" t="s">
        <v>38</v>
      </c>
      <c r="E67" s="38"/>
      <c r="F67" s="47" t="s">
        <v>87</v>
      </c>
      <c r="G67" s="48">
        <f>((SUMIFS(SSP1_Baseline!$E:$E,SSP1_Baseline!$C:$C,Results_list!$C$130,SSP1_Baseline!$D:$D,Results_list!$D172,SSP1_Baseline!$B:$B,2040))
- (SUMIFS(SSP1_Baseline!$E:$E,SSP1_Baseline!$C:$C,Results_list!$C$130,SSP1_Baseline!$D:$D,Results_list!$D172,SSP1_Baseline!$B:$B,2025)))
/ (SUMIFS(SSP1_Baseline!$E:$E,SSP1_Baseline!$C:$C,Results_list!$C$130,SSP1_Baseline!$D:$D,Results_list!$D172,SSP1_Baseline!$B:$B,2025))</f>
        <v>-6.0792318782618926E-2</v>
      </c>
      <c r="H67" s="49">
        <f>((SUMIFS(SSP1_VSI!$F:$F,SSP1_VSI!$C:$C,Results_list!$C$130,SSP1_VSI!$D:$D,Results_list!$D172,SSP1_VSI!$B:$B,2040))
- (SUMIFS(SSP1_VSI!$F:$F,SSP1_VSI!$C:$C,Results_list!$C$130,SSP1_VSI!$D:$D,Results_list!$D172,SSP1_VSI!$B:$B,2025)))
/ (SUMIFS(SSP1_VSI!$F:$F,SSP1_VSI!$C:$C,Results_list!$C$130,SSP1_VSI!$D:$D,Results_list!$D172,SSP1_VSI!$B:$B,2025))</f>
        <v>-0.1466845697604558</v>
      </c>
      <c r="I67" s="50">
        <f>ROUND(H67-G67,3)</f>
        <v>-8.5999999999999993E-2</v>
      </c>
      <c r="J67" s="48">
        <f>((SUMIFS(SSP2_Baseline!$E:$E,SSP2_Baseline!$C:$C,Results_list!$C$130,SSP2_Baseline!$D:$D,Results_list!$D172,SSP2_Baseline!$B:$B,2040))
- (SUMIFS(SSP2_Baseline!$E:$E,SSP2_Baseline!$C:$C,Results_list!$C$130,SSP2_Baseline!$D:$D,Results_list!$D172,SSP2_Baseline!$B:$B,2025)))
/ (SUMIFS(SSP2_Baseline!$E:$E,SSP2_Baseline!$C:$C,Results_list!$C$130,SSP2_Baseline!$D:$D,Results_list!$D172,SSP2_Baseline!$B:$B,2025))</f>
        <v>0.32983976204437315</v>
      </c>
      <c r="K67" s="49">
        <f>((SUMIFS(SSP2_VSI!$F:$F,SSP2_VSI!$C:$C,Results_list!$C$130,SSP2_VSI!$D:$D,Results_list!$D172,SSP2_VSI!$B:$B,2040))
- (SUMIFS(SSP2_VSI!$F:$F,SSP2_VSI!$C:$C,Results_list!$C$130,SSP2_VSI!$D:$D,Results_list!$D172,SSP2_VSI!$B:$B,2025)))
/ (SUMIFS(SSP2_VSI!$F:$F,SSP2_VSI!$C:$C,Results_list!$C$130,SSP2_VSI!$D:$D,Results_list!$D172,SSP2_VSI!$B:$B,2025))</f>
        <v>0.16561932130258133</v>
      </c>
      <c r="L67" s="50">
        <f>ROUND(K67-J67,2)</f>
        <v>-0.16</v>
      </c>
      <c r="M67" s="48">
        <f>((SUMIFS(SSP5_Baseline!$E:$E,SSP5_Baseline!$C:$C,Results_list!$C$130,SSP5_Baseline!$D:$D,Results_list!$D172,SSP5_Baseline!$B:$B,2040))
- (SUMIFS(SSP5_Baseline!$E:$E,SSP5_Baseline!$C:$C,Results_list!$C$130,SSP5_Baseline!$D:$D,Results_list!$D172,SSP5_Baseline!$B:$B,2025)))
/ (SUMIFS(SSP5_Baseline!$E:$E,SSP5_Baseline!$C:$C,Results_list!$C$130,SSP5_Baseline!$D:$D,Results_list!$D172,SSP5_Baseline!$B:$B,2025))</f>
        <v>0.53528019598641363</v>
      </c>
      <c r="N67" s="49">
        <f>((SUMIFS(SSP5_VSI!$F:$F,SSP5_VSI!$C:$C,Results_list!$C$130,SSP5_VSI!$D:$D,Results_list!$D172,SSP5_VSI!$B:$B,2040))
- (SUMIFS(SSP5_VSI!$F:$F,SSP5_VSI!$C:$C,Results_list!$C$130,SSP5_VSI!$D:$D,Results_list!$D172,SSP5_VSI!$B:$B,2025)))
/ (SUMIFS(SSP5_VSI!$F:$F,SSP5_VSI!$C:$C,Results_list!$C$130,SSP5_VSI!$D:$D,Results_list!$D172,SSP5_VSI!$B:$B,2025))</f>
        <v>0.36207163920893753</v>
      </c>
      <c r="O67" s="50">
        <f>ROUND(N67-M67,2)</f>
        <v>-0.17</v>
      </c>
      <c r="P67" s="38"/>
      <c r="Q67" s="111" t="s">
        <v>133</v>
      </c>
      <c r="R67" s="112" t="s">
        <v>80</v>
      </c>
      <c r="S67" s="67" t="s">
        <v>38</v>
      </c>
      <c r="T67" s="51" t="s">
        <v>81</v>
      </c>
      <c r="U67" s="47" t="s">
        <v>87</v>
      </c>
      <c r="V67" s="48">
        <v>-0.16165010754529283</v>
      </c>
      <c r="W67" s="49">
        <v>-0.16165058908461308</v>
      </c>
      <c r="X67" s="50">
        <f>ROUND(W67-V67,3)</f>
        <v>0</v>
      </c>
      <c r="Y67" s="48">
        <v>0.89290119670240475</v>
      </c>
      <c r="Z67" s="49">
        <v>0.89297705661602089</v>
      </c>
      <c r="AA67" s="50">
        <f>ROUND(Z67-Y67,2)</f>
        <v>0</v>
      </c>
      <c r="AB67" s="48">
        <v>1.6515409829239327</v>
      </c>
      <c r="AC67" s="49">
        <v>1.6515499228143695</v>
      </c>
      <c r="AD67" s="50">
        <f>ROUND(AC67-AB67,2)</f>
        <v>0</v>
      </c>
    </row>
    <row r="68" spans="2:30" ht="14.5" hidden="1" customHeight="1" x14ac:dyDescent="0.4">
      <c r="B68" s="107"/>
      <c r="C68" s="103"/>
      <c r="D68" s="38" t="s">
        <v>40</v>
      </c>
      <c r="E68" s="38"/>
      <c r="F68" s="47" t="s">
        <v>88</v>
      </c>
      <c r="G68" s="48">
        <f>((SUMIFS(SSP1_Baseline!$E:$E,SSP1_Baseline!$C:$C,Results_list!$C$130,SSP1_Baseline!$D:$D,Results_list!$D173,SSP1_Baseline!$B:$B,2040)) - (SUMIFS(SSP1_Baseline!$E:$E,SSP1_Baseline!$C:$C,Results_list!$C$130,SSP1_Baseline!$D:$D,Results_list!$D173,SSP1_Baseline!$B:$B,2025))) / (SUMIFS(SSP1_Baseline!$E:$E,SSP1_Baseline!$C:$C,Results_list!$C$130,SSP1_Baseline!$D:$D,Results_list!$D173,SSP1_Baseline!$B:$B,2025))</f>
        <v>2.6067838306918806E-2</v>
      </c>
      <c r="H68" s="49">
        <f>((SUMIFS(SSP1_VSI!$F:$F,SSP1_VSI!$C:$C,Results_list!$C$130,SSP1_VSI!$D:$D,Results_list!$D173,SSP1_VSI!$B:$B,2040)) - (SUMIFS(SSP1_VSI!$F:$F,SSP1_VSI!$C:$C,Results_list!$C$130,SSP1_VSI!$D:$D,Results_list!$D173,SSP1_VSI!$B:$B,2025))) / (SUMIFS(SSP1_VSI!$F:$F,SSP1_VSI!$C:$C,Results_list!$C$130,SSP1_VSI!$D:$D,Results_list!$D173,SSP1_VSI!$B:$B,2025))</f>
        <v>2.6051227524195305E-2</v>
      </c>
      <c r="I68" s="52">
        <f t="shared" ref="I68:I84" si="18">ROUND(H68-G68,3)</f>
        <v>0</v>
      </c>
      <c r="J68" s="48">
        <f>((SUMIFS(SSP2_Baseline!$E:$E,SSP2_Baseline!$C:$C,Results_list!$C$130,SSP2_Baseline!$D:$D,Results_list!$D173,SSP2_Baseline!$B:$B,2040)) - (SUMIFS(SSP2_Baseline!$E:$E,SSP2_Baseline!$C:$C,Results_list!$C$130,SSP2_Baseline!$D:$D,Results_list!$D173,SSP2_Baseline!$B:$B,2025))) / (SUMIFS(SSP2_Baseline!$E:$E,SSP2_Baseline!$C:$C,Results_list!$C$130,SSP2_Baseline!$D:$D,Results_list!$D173,SSP2_Baseline!$B:$B,2025))</f>
        <v>1.9768393578845619E-2</v>
      </c>
      <c r="K68" s="49">
        <f>((SUMIFS(SSP2_VSI!$F:$F,SSP2_VSI!$C:$C,Results_list!$C$130,SSP2_VSI!$D:$D,Results_list!$D173,SSP2_VSI!$B:$B,2040)) - (SUMIFS(SSP2_VSI!$F:$F,SSP2_VSI!$C:$C,Results_list!$C$130,SSP2_VSI!$D:$D,Results_list!$D173,SSP2_VSI!$B:$B,2025))) / (SUMIFS(SSP2_VSI!$F:$F,SSP2_VSI!$C:$C,Results_list!$C$130,SSP2_VSI!$D:$D,Results_list!$D173,SSP2_VSI!$B:$B,2025))</f>
        <v>1.9725086542484244E-2</v>
      </c>
      <c r="L68" s="52">
        <f t="shared" ref="L68:L84" si="19">ROUND(K68-J68,2)</f>
        <v>0</v>
      </c>
      <c r="M68" s="48">
        <f>((SUMIFS(SSP5_Baseline!$E:$E,SSP5_Baseline!$C:$C,Results_list!$C$130,SSP5_Baseline!$D:$D,Results_list!$D173,SSP5_Baseline!$B:$B,2040)) - (SUMIFS(SSP5_Baseline!$E:$E,SSP5_Baseline!$C:$C,Results_list!$C$130,SSP5_Baseline!$D:$D,Results_list!$D173,SSP5_Baseline!$B:$B,2025))) / (SUMIFS(SSP5_Baseline!$E:$E,SSP5_Baseline!$C:$C,Results_list!$C$130,SSP5_Baseline!$D:$D,Results_list!$D173,SSP5_Baseline!$B:$B,2025))</f>
        <v>-5.0113640557137989E-3</v>
      </c>
      <c r="N68" s="49">
        <f>((SUMIFS(SSP5_VSI!$F:$F,SSP5_VSI!$C:$C,Results_list!$C$130,SSP5_VSI!$D:$D,Results_list!$D173,SSP5_VSI!$B:$B,2040)) - (SUMIFS(SSP5_VSI!$F:$F,SSP5_VSI!$C:$C,Results_list!$C$130,SSP5_VSI!$D:$D,Results_list!$D173,SSP5_VSI!$B:$B,2025))) / (SUMIFS(SSP5_VSI!$F:$F,SSP5_VSI!$C:$C,Results_list!$C$130,SSP5_VSI!$D:$D,Results_list!$D173,SSP5_VSI!$B:$B,2025))</f>
        <v>-5.0476416936009261E-3</v>
      </c>
      <c r="O68" s="52">
        <f t="shared" ref="O68:O84" si="20">ROUND(N68-M68,2)</f>
        <v>0</v>
      </c>
      <c r="P68" s="38"/>
      <c r="Q68" s="111"/>
      <c r="R68" s="112"/>
      <c r="S68" s="67" t="s">
        <v>40</v>
      </c>
      <c r="T68" s="51" t="s">
        <v>81</v>
      </c>
      <c r="U68" s="47" t="s">
        <v>88</v>
      </c>
      <c r="V68" s="48">
        <v>-0.18033811667193181</v>
      </c>
      <c r="W68" s="49">
        <v>-0.18033585389020648</v>
      </c>
      <c r="X68" s="52">
        <f t="shared" ref="X68:X84" si="21">ROUND(W68-V68,3)</f>
        <v>0</v>
      </c>
      <c r="Y68" s="48">
        <v>-0.18355229963658801</v>
      </c>
      <c r="Z68" s="49">
        <v>-0.18356328025225932</v>
      </c>
      <c r="AA68" s="52">
        <f t="shared" ref="AA68:AA84" si="22">ROUND(Z68-Y68,2)</f>
        <v>0</v>
      </c>
      <c r="AB68" s="48">
        <v>0.1244714929310102</v>
      </c>
      <c r="AC68" s="49">
        <v>0.12447360861329498</v>
      </c>
      <c r="AD68" s="52">
        <f t="shared" ref="AD68:AD84" si="23">ROUND(AC68-AB68,2)</f>
        <v>0</v>
      </c>
    </row>
    <row r="69" spans="2:30" ht="16" x14ac:dyDescent="0.4">
      <c r="B69" s="107"/>
      <c r="C69" s="103"/>
      <c r="D69" s="38" t="s">
        <v>41</v>
      </c>
      <c r="E69" s="38"/>
      <c r="F69" s="47" t="s">
        <v>89</v>
      </c>
      <c r="G69" s="48">
        <f>((SUMIFS(SSP1_Baseline!$E:$E,SSP1_Baseline!$C:$C,Results_list!$C$130,SSP1_Baseline!$D:$D,Results_list!$D174,SSP1_Baseline!$B:$B,2040)) - (SUMIFS(SSP1_Baseline!$E:$E,SSP1_Baseline!$C:$C,Results_list!$C$130,SSP1_Baseline!$D:$D,Results_list!$D174,SSP1_Baseline!$B:$B,2025))) / (SUMIFS(SSP1_Baseline!$E:$E,SSP1_Baseline!$C:$C,Results_list!$C$130,SSP1_Baseline!$D:$D,Results_list!$D174,SSP1_Baseline!$B:$B,2025))</f>
        <v>-2.6462710717314411E-3</v>
      </c>
      <c r="H69" s="49">
        <f>((SUMIFS(SSP1_VSI!$F:$F,SSP1_VSI!$C:$C,Results_list!$C$130,SSP1_VSI!$D:$D,Results_list!$D174,SSP1_VSI!$B:$B,2040)) - (SUMIFS(SSP1_VSI!$F:$F,SSP1_VSI!$C:$C,Results_list!$C$130,SSP1_VSI!$D:$D,Results_list!$D174,SSP1_VSI!$B:$B,2025))) / (SUMIFS(SSP1_VSI!$F:$F,SSP1_VSI!$C:$C,Results_list!$C$130,SSP1_VSI!$D:$D,Results_list!$D174,SSP1_VSI!$B:$B,2025))</f>
        <v>-0.70917185677437589</v>
      </c>
      <c r="I69" s="52">
        <f t="shared" si="18"/>
        <v>-0.70699999999999996</v>
      </c>
      <c r="J69" s="48">
        <f>((SUMIFS(SSP2_Baseline!$E:$E,SSP2_Baseline!$C:$C,Results_list!$C$130,SSP2_Baseline!$D:$D,Results_list!$D174,SSP2_Baseline!$B:$B,2040)) - (SUMIFS(SSP2_Baseline!$E:$E,SSP2_Baseline!$C:$C,Results_list!$C$130,SSP2_Baseline!$D:$D,Results_list!$D174,SSP2_Baseline!$B:$B,2025))) / (SUMIFS(SSP2_Baseline!$E:$E,SSP2_Baseline!$C:$C,Results_list!$C$130,SSP2_Baseline!$D:$D,Results_list!$D174,SSP2_Baseline!$B:$B,2025))</f>
        <v>-1.5017204696393316E-3</v>
      </c>
      <c r="K69" s="49">
        <f>((SUMIFS(SSP2_VSI!$F:$F,SSP2_VSI!$C:$C,Results_list!$C$130,SSP2_VSI!$D:$D,Results_list!$D174,SSP2_VSI!$B:$B,2040)) - (SUMIFS(SSP2_VSI!$F:$F,SSP2_VSI!$C:$C,Results_list!$C$130,SSP2_VSI!$D:$D,Results_list!$D174,SSP2_VSI!$B:$B,2025))) / (SUMIFS(SSP2_VSI!$F:$F,SSP2_VSI!$C:$C,Results_list!$C$130,SSP2_VSI!$D:$D,Results_list!$D174,SSP2_VSI!$B:$B,2025))</f>
        <v>-0.70900238270475147</v>
      </c>
      <c r="L69" s="52">
        <f t="shared" si="19"/>
        <v>-0.71</v>
      </c>
      <c r="M69" s="48">
        <f>((SUMIFS(SSP5_Baseline!$E:$E,SSP5_Baseline!$C:$C,Results_list!$C$130,SSP5_Baseline!$D:$D,Results_list!$D174,SSP5_Baseline!$B:$B,2040)) - (SUMIFS(SSP5_Baseline!$E:$E,SSP5_Baseline!$C:$C,Results_list!$C$130,SSP5_Baseline!$D:$D,Results_list!$D174,SSP5_Baseline!$B:$B,2025))) / (SUMIFS(SSP5_Baseline!$E:$E,SSP5_Baseline!$C:$C,Results_list!$C$130,SSP5_Baseline!$D:$D,Results_list!$D174,SSP5_Baseline!$B:$B,2025))</f>
        <v>4.8458728905570129E-3</v>
      </c>
      <c r="N69" s="49">
        <f>((SUMIFS(SSP5_VSI!$F:$F,SSP5_VSI!$C:$C,Results_list!$C$130,SSP5_VSI!$D:$D,Results_list!$D174,SSP5_VSI!$B:$B,2040)) - (SUMIFS(SSP5_VSI!$F:$F,SSP5_VSI!$C:$C,Results_list!$C$130,SSP5_VSI!$D:$D,Results_list!$D174,SSP5_VSI!$B:$B,2025))) / (SUMIFS(SSP5_VSI!$F:$F,SSP5_VSI!$C:$C,Results_list!$C$130,SSP5_VSI!$D:$D,Results_list!$D174,SSP5_VSI!$B:$B,2025))</f>
        <v>-0.70162148949115966</v>
      </c>
      <c r="O69" s="52">
        <f t="shared" si="20"/>
        <v>-0.71</v>
      </c>
      <c r="P69" s="38"/>
      <c r="Q69" s="111"/>
      <c r="R69" s="112"/>
      <c r="S69" s="67" t="s">
        <v>41</v>
      </c>
      <c r="T69" s="51" t="s">
        <v>81</v>
      </c>
      <c r="U69" s="47" t="s">
        <v>89</v>
      </c>
      <c r="V69" s="48">
        <v>-0.24443349037017495</v>
      </c>
      <c r="W69" s="49">
        <v>-0.24443581323169872</v>
      </c>
      <c r="X69" s="52">
        <f t="shared" si="21"/>
        <v>0</v>
      </c>
      <c r="Y69" s="48">
        <v>-0.24905141569507236</v>
      </c>
      <c r="Z69" s="49">
        <v>-0.24904864661152118</v>
      </c>
      <c r="AA69" s="52">
        <f t="shared" si="22"/>
        <v>0</v>
      </c>
      <c r="AB69" s="48">
        <v>-3.5389988368293386E-2</v>
      </c>
      <c r="AC69" s="49">
        <v>-3.5389690995302502E-2</v>
      </c>
      <c r="AD69" s="52">
        <f t="shared" si="23"/>
        <v>0</v>
      </c>
    </row>
    <row r="70" spans="2:30" ht="16" x14ac:dyDescent="0.4">
      <c r="B70" s="107"/>
      <c r="C70" s="103"/>
      <c r="D70" s="38" t="s">
        <v>42</v>
      </c>
      <c r="E70" s="38"/>
      <c r="F70" s="47" t="s">
        <v>90</v>
      </c>
      <c r="G70" s="48">
        <f>((SUMIFS(SSP1_Baseline!$E:$E,SSP1_Baseline!$C:$C,Results_list!$C$130,SSP1_Baseline!$D:$D,Results_list!$D175,SSP1_Baseline!$B:$B,2040)) - (SUMIFS(SSP1_Baseline!$E:$E,SSP1_Baseline!$C:$C,Results_list!$C$130,SSP1_Baseline!$D:$D,Results_list!$D175,SSP1_Baseline!$B:$B,2025))) / (SUMIFS(SSP1_Baseline!$E:$E,SSP1_Baseline!$C:$C,Results_list!$C$130,SSP1_Baseline!$D:$D,Results_list!$D175,SSP1_Baseline!$B:$B,2025))</f>
        <v>-1.3739170229360562E-2</v>
      </c>
      <c r="H70" s="49">
        <f>((SUMIFS(SSP1_VSI!$F:$F,SSP1_VSI!$C:$C,Results_list!$C$130,SSP1_VSI!$D:$D,Results_list!$D175,SSP1_VSI!$B:$B,2040)) - (SUMIFS(SSP1_VSI!$F:$F,SSP1_VSI!$C:$C,Results_list!$C$130,SSP1_VSI!$D:$D,Results_list!$D175,SSP1_VSI!$B:$B,2025))) / (SUMIFS(SSP1_VSI!$F:$F,SSP1_VSI!$C:$C,Results_list!$C$130,SSP1_VSI!$D:$D,Results_list!$D175,SSP1_VSI!$B:$B,2025))</f>
        <v>-6.4057450063753962E-2</v>
      </c>
      <c r="I70" s="52">
        <f t="shared" si="18"/>
        <v>-0.05</v>
      </c>
      <c r="J70" s="48">
        <f>((SUMIFS(SSP2_Baseline!$E:$E,SSP2_Baseline!$C:$C,Results_list!$C$130,SSP2_Baseline!$D:$D,Results_list!$D175,SSP2_Baseline!$B:$B,2040)) - (SUMIFS(SSP2_Baseline!$E:$E,SSP2_Baseline!$C:$C,Results_list!$C$130,SSP2_Baseline!$D:$D,Results_list!$D175,SSP2_Baseline!$B:$B,2025))) / (SUMIFS(SSP2_Baseline!$E:$E,SSP2_Baseline!$C:$C,Results_list!$C$130,SSP2_Baseline!$D:$D,Results_list!$D175,SSP2_Baseline!$B:$B,2025))</f>
        <v>6.8806885354495114E-3</v>
      </c>
      <c r="K70" s="49">
        <f>((SUMIFS(SSP2_VSI!$F:$F,SSP2_VSI!$C:$C,Results_list!$C$130,SSP2_VSI!$D:$D,Results_list!$D175,SSP2_VSI!$B:$B,2040)) - (SUMIFS(SSP2_VSI!$F:$F,SSP2_VSI!$C:$C,Results_list!$C$130,SSP2_VSI!$D:$D,Results_list!$D175,SSP2_VSI!$B:$B,2025))) / (SUMIFS(SSP2_VSI!$F:$F,SSP2_VSI!$C:$C,Results_list!$C$130,SSP2_VSI!$D:$D,Results_list!$D175,SSP2_VSI!$B:$B,2025))</f>
        <v>-4.3500875894758533E-2</v>
      </c>
      <c r="L70" s="52">
        <f t="shared" si="19"/>
        <v>-0.05</v>
      </c>
      <c r="M70" s="48">
        <f>((SUMIFS(SSP5_Baseline!$E:$E,SSP5_Baseline!$C:$C,Results_list!$C$130,SSP5_Baseline!$D:$D,Results_list!$D175,SSP5_Baseline!$B:$B,2040)) - (SUMIFS(SSP5_Baseline!$E:$E,SSP5_Baseline!$C:$C,Results_list!$C$130,SSP5_Baseline!$D:$D,Results_list!$D175,SSP5_Baseline!$B:$B,2025))) / (SUMIFS(SSP5_Baseline!$E:$E,SSP5_Baseline!$C:$C,Results_list!$C$130,SSP5_Baseline!$D:$D,Results_list!$D175,SSP5_Baseline!$B:$B,2025))</f>
        <v>1.485922765910345E-2</v>
      </c>
      <c r="N70" s="49">
        <f>((SUMIFS(SSP5_VSI!$F:$F,SSP5_VSI!$C:$C,Results_list!$C$130,SSP5_VSI!$D:$D,Results_list!$D175,SSP5_VSI!$B:$B,2040)) - (SUMIFS(SSP5_VSI!$F:$F,SSP5_VSI!$C:$C,Results_list!$C$130,SSP5_VSI!$D:$D,Results_list!$D175,SSP5_VSI!$B:$B,2025))) / (SUMIFS(SSP5_VSI!$F:$F,SSP5_VSI!$C:$C,Results_list!$C$130,SSP5_VSI!$D:$D,Results_list!$D175,SSP5_VSI!$B:$B,2025))</f>
        <v>-3.5383819400636951E-2</v>
      </c>
      <c r="O70" s="52">
        <f t="shared" si="20"/>
        <v>-0.05</v>
      </c>
      <c r="P70" s="38"/>
      <c r="Q70" s="111"/>
      <c r="R70" s="112"/>
      <c r="S70" s="67" t="s">
        <v>42</v>
      </c>
      <c r="T70" s="51" t="s">
        <v>81</v>
      </c>
      <c r="U70" s="47" t="s">
        <v>90</v>
      </c>
      <c r="V70" s="48">
        <v>-0.29604628145573419</v>
      </c>
      <c r="W70" s="49">
        <v>-0.29604227168563813</v>
      </c>
      <c r="X70" s="52">
        <f t="shared" si="21"/>
        <v>0</v>
      </c>
      <c r="Y70" s="48">
        <v>-0.31872261563816645</v>
      </c>
      <c r="Z70" s="49">
        <v>-0.31871732724271773</v>
      </c>
      <c r="AA70" s="52">
        <f t="shared" si="22"/>
        <v>0</v>
      </c>
      <c r="AB70" s="48">
        <v>-0.22046911941527025</v>
      </c>
      <c r="AC70" s="49">
        <v>-0.22046760002924931</v>
      </c>
      <c r="AD70" s="52">
        <f t="shared" si="23"/>
        <v>0</v>
      </c>
    </row>
    <row r="71" spans="2:30" ht="16" x14ac:dyDescent="0.4">
      <c r="B71" s="107"/>
      <c r="C71" s="103"/>
      <c r="D71" s="38" t="s">
        <v>43</v>
      </c>
      <c r="E71" s="38"/>
      <c r="F71" s="47" t="s">
        <v>91</v>
      </c>
      <c r="G71" s="48">
        <f>((SUMIFS(SSP1_Baseline!$E:$E,SSP1_Baseline!$C:$C,Results_list!$C$130,SSP1_Baseline!$D:$D,Results_list!$D176,SSP1_Baseline!$B:$B,2040)) - (SUMIFS(SSP1_Baseline!$E:$E,SSP1_Baseline!$C:$C,Results_list!$C$130,SSP1_Baseline!$D:$D,Results_list!$D176,SSP1_Baseline!$B:$B,2025))) / (SUMIFS(SSP1_Baseline!$E:$E,SSP1_Baseline!$C:$C,Results_list!$C$130,SSP1_Baseline!$D:$D,Results_list!$D176,SSP1_Baseline!$B:$B,2025))</f>
        <v>-1.0318123096041619E-2</v>
      </c>
      <c r="H71" s="49">
        <f>((SUMIFS(SSP1_VSI!$F:$F,SSP1_VSI!$C:$C,Results_list!$C$130,SSP1_VSI!$D:$D,Results_list!$D176,SSP1_VSI!$B:$B,2040)) - (SUMIFS(SSP1_VSI!$F:$F,SSP1_VSI!$C:$C,Results_list!$C$130,SSP1_VSI!$D:$D,Results_list!$D176,SSP1_VSI!$B:$B,2025))) / (SUMIFS(SSP1_VSI!$F:$F,SSP1_VSI!$C:$C,Results_list!$C$130,SSP1_VSI!$D:$D,Results_list!$D176,SSP1_VSI!$B:$B,2025))</f>
        <v>-1.0373862657116588E-2</v>
      </c>
      <c r="I71" s="52">
        <f t="shared" si="18"/>
        <v>0</v>
      </c>
      <c r="J71" s="48">
        <f>((SUMIFS(SSP2_Baseline!$E:$E,SSP2_Baseline!$C:$C,Results_list!$C$130,SSP2_Baseline!$D:$D,Results_list!$D176,SSP2_Baseline!$B:$B,2040)) - (SUMIFS(SSP2_Baseline!$E:$E,SSP2_Baseline!$C:$C,Results_list!$C$130,SSP2_Baseline!$D:$D,Results_list!$D176,SSP2_Baseline!$B:$B,2025))) / (SUMIFS(SSP2_Baseline!$E:$E,SSP2_Baseline!$C:$C,Results_list!$C$130,SSP2_Baseline!$D:$D,Results_list!$D176,SSP2_Baseline!$B:$B,2025))</f>
        <v>3.4838983762479125E-2</v>
      </c>
      <c r="K71" s="49">
        <f>((SUMIFS(SSP2_VSI!$F:$F,SSP2_VSI!$C:$C,Results_list!$C$130,SSP2_VSI!$D:$D,Results_list!$D176,SSP2_VSI!$B:$B,2040)) - (SUMIFS(SSP2_VSI!$F:$F,SSP2_VSI!$C:$C,Results_list!$C$130,SSP2_VSI!$D:$D,Results_list!$D176,SSP2_VSI!$B:$B,2025))) / (SUMIFS(SSP2_VSI!$F:$F,SSP2_VSI!$C:$C,Results_list!$C$130,SSP2_VSI!$D:$D,Results_list!$D176,SSP2_VSI!$B:$B,2025))</f>
        <v>3.4845816043783583E-2</v>
      </c>
      <c r="L71" s="52">
        <f t="shared" si="19"/>
        <v>0</v>
      </c>
      <c r="M71" s="48">
        <f>((SUMIFS(SSP5_Baseline!$E:$E,SSP5_Baseline!$C:$C,Results_list!$C$130,SSP5_Baseline!$D:$D,Results_list!$D176,SSP5_Baseline!$B:$B,2040)) - (SUMIFS(SSP5_Baseline!$E:$E,SSP5_Baseline!$C:$C,Results_list!$C$130,SSP5_Baseline!$D:$D,Results_list!$D176,SSP5_Baseline!$B:$B,2025))) / (SUMIFS(SSP5_Baseline!$E:$E,SSP5_Baseline!$C:$C,Results_list!$C$130,SSP5_Baseline!$D:$D,Results_list!$D176,SSP5_Baseline!$B:$B,2025))</f>
        <v>5.5095015868767076E-2</v>
      </c>
      <c r="N71" s="49">
        <f>((SUMIFS(SSP5_VSI!$F:$F,SSP5_VSI!$C:$C,Results_list!$C$130,SSP5_VSI!$D:$D,Results_list!$D176,SSP5_VSI!$B:$B,2040)) - (SUMIFS(SSP5_VSI!$F:$F,SSP5_VSI!$C:$C,Results_list!$C$130,SSP5_VSI!$D:$D,Results_list!$D176,SSP5_VSI!$B:$B,2025))) / (SUMIFS(SSP5_VSI!$F:$F,SSP5_VSI!$C:$C,Results_list!$C$130,SSP5_VSI!$D:$D,Results_list!$D176,SSP5_VSI!$B:$B,2025))</f>
        <v>5.5060358173928327E-2</v>
      </c>
      <c r="O71" s="52">
        <f t="shared" si="20"/>
        <v>0</v>
      </c>
      <c r="P71" s="38"/>
      <c r="Q71" s="111"/>
      <c r="R71" s="112"/>
      <c r="S71" s="67" t="s">
        <v>43</v>
      </c>
      <c r="T71" s="51" t="s">
        <v>81</v>
      </c>
      <c r="U71" s="47" t="s">
        <v>91</v>
      </c>
      <c r="V71" s="48">
        <v>-0.26016030724921868</v>
      </c>
      <c r="W71" s="49">
        <v>-0.26016268905433398</v>
      </c>
      <c r="X71" s="52">
        <f t="shared" si="21"/>
        <v>0</v>
      </c>
      <c r="Y71" s="48">
        <v>-0.21418708021288727</v>
      </c>
      <c r="Z71" s="49">
        <v>-0.21418285689980404</v>
      </c>
      <c r="AA71" s="52">
        <f t="shared" si="22"/>
        <v>0</v>
      </c>
      <c r="AB71" s="48">
        <v>-8.9967605244001991E-2</v>
      </c>
      <c r="AC71" s="49">
        <v>-8.9965179906766293E-2</v>
      </c>
      <c r="AD71" s="52">
        <f t="shared" si="23"/>
        <v>0</v>
      </c>
    </row>
    <row r="72" spans="2:30" ht="16" x14ac:dyDescent="0.4">
      <c r="B72" s="107"/>
      <c r="C72" s="103"/>
      <c r="D72" s="38" t="s">
        <v>44</v>
      </c>
      <c r="E72" s="38"/>
      <c r="F72" s="47" t="s">
        <v>92</v>
      </c>
      <c r="G72" s="48">
        <f>((SUMIFS(SSP1_Baseline!$E:$E,SSP1_Baseline!$C:$C,Results_list!$C$130,SSP1_Baseline!$D:$D,Results_list!$D177,SSP1_Baseline!$B:$B,2040)) - (SUMIFS(SSP1_Baseline!$E:$E,SSP1_Baseline!$C:$C,Results_list!$C$130,SSP1_Baseline!$D:$D,Results_list!$D177,SSP1_Baseline!$B:$B,2025))) / (SUMIFS(SSP1_Baseline!$E:$E,SSP1_Baseline!$C:$C,Results_list!$C$130,SSP1_Baseline!$D:$D,Results_list!$D177,SSP1_Baseline!$B:$B,2025))</f>
        <v>-0.11982817040108909</v>
      </c>
      <c r="H72" s="49">
        <f>((SUMIFS(SSP1_VSI!$F:$F,SSP1_VSI!$C:$C,Results_list!$C$130,SSP1_VSI!$D:$D,Results_list!$D177,SSP1_VSI!$B:$B,2040)) - (SUMIFS(SSP1_VSI!$F:$F,SSP1_VSI!$C:$C,Results_list!$C$130,SSP1_VSI!$D:$D,Results_list!$D177,SSP1_VSI!$B:$B,2025))) / (SUMIFS(SSP1_VSI!$F:$F,SSP1_VSI!$C:$C,Results_list!$C$130,SSP1_VSI!$D:$D,Results_list!$D177,SSP1_VSI!$B:$B,2025))</f>
        <v>-0.15877197159433859</v>
      </c>
      <c r="I72" s="52">
        <f t="shared" si="18"/>
        <v>-3.9E-2</v>
      </c>
      <c r="J72" s="48">
        <f>((SUMIFS(SSP2_Baseline!$E:$E,SSP2_Baseline!$C:$C,Results_list!$C$130,SSP2_Baseline!$D:$D,Results_list!$D177,SSP2_Baseline!$B:$B,2040)) - (SUMIFS(SSP2_Baseline!$E:$E,SSP2_Baseline!$C:$C,Results_list!$C$130,SSP2_Baseline!$D:$D,Results_list!$D177,SSP2_Baseline!$B:$B,2025))) / (SUMIFS(SSP2_Baseline!$E:$E,SSP2_Baseline!$C:$C,Results_list!$C$130,SSP2_Baseline!$D:$D,Results_list!$D177,SSP2_Baseline!$B:$B,2025))</f>
        <v>-9.0955513749561206E-2</v>
      </c>
      <c r="K72" s="49">
        <f>((SUMIFS(SSP2_VSI!$F:$F,SSP2_VSI!$C:$C,Results_list!$C$130,SSP2_VSI!$D:$D,Results_list!$D177,SSP2_VSI!$B:$B,2040)) - (SUMIFS(SSP2_VSI!$F:$F,SSP2_VSI!$C:$C,Results_list!$C$130,SSP2_VSI!$D:$D,Results_list!$D177,SSP2_VSI!$B:$B,2025))) / (SUMIFS(SSP2_VSI!$F:$F,SSP2_VSI!$C:$C,Results_list!$C$130,SSP2_VSI!$D:$D,Results_list!$D177,SSP2_VSI!$B:$B,2025))</f>
        <v>-0.1298499429160534</v>
      </c>
      <c r="L72" s="52">
        <f t="shared" si="19"/>
        <v>-0.04</v>
      </c>
      <c r="M72" s="48">
        <f>((SUMIFS(SSP5_Baseline!$E:$E,SSP5_Baseline!$C:$C,Results_list!$C$130,SSP5_Baseline!$D:$D,Results_list!$D177,SSP5_Baseline!$B:$B,2040)) - (SUMIFS(SSP5_Baseline!$E:$E,SSP5_Baseline!$C:$C,Results_list!$C$130,SSP5_Baseline!$D:$D,Results_list!$D177,SSP5_Baseline!$B:$B,2025))) / (SUMIFS(SSP5_Baseline!$E:$E,SSP5_Baseline!$C:$C,Results_list!$C$130,SSP5_Baseline!$D:$D,Results_list!$D177,SSP5_Baseline!$B:$B,2025))</f>
        <v>-7.3739554203349836E-3</v>
      </c>
      <c r="N72" s="49">
        <f>((SUMIFS(SSP5_VSI!$F:$F,SSP5_VSI!$C:$C,Results_list!$C$130,SSP5_VSI!$D:$D,Results_list!$D177,SSP5_VSI!$B:$B,2040)) - (SUMIFS(SSP5_VSI!$F:$F,SSP5_VSI!$C:$C,Results_list!$C$130,SSP5_VSI!$D:$D,Results_list!$D177,SSP5_VSI!$B:$B,2025))) / (SUMIFS(SSP5_VSI!$F:$F,SSP5_VSI!$C:$C,Results_list!$C$130,SSP5_VSI!$D:$D,Results_list!$D177,SSP5_VSI!$B:$B,2025))</f>
        <v>-4.5443652199641506E-2</v>
      </c>
      <c r="O72" s="52">
        <f t="shared" si="20"/>
        <v>-0.04</v>
      </c>
      <c r="P72" s="38"/>
      <c r="Q72" s="111"/>
      <c r="R72" s="112"/>
      <c r="S72" s="67" t="s">
        <v>44</v>
      </c>
      <c r="T72" s="51" t="s">
        <v>81</v>
      </c>
      <c r="U72" s="47" t="s">
        <v>92</v>
      </c>
      <c r="V72" s="48">
        <v>-0.24071884874859059</v>
      </c>
      <c r="W72" s="49">
        <v>-0.39006097676177365</v>
      </c>
      <c r="X72" s="52">
        <f t="shared" si="21"/>
        <v>-0.14899999999999999</v>
      </c>
      <c r="Y72" s="48">
        <v>-0.23857376517528356</v>
      </c>
      <c r="Z72" s="49">
        <v>-0.38523322406932997</v>
      </c>
      <c r="AA72" s="52">
        <f t="shared" si="22"/>
        <v>-0.15</v>
      </c>
      <c r="AB72" s="48">
        <v>3.9243919493467005E-2</v>
      </c>
      <c r="AC72" s="49">
        <v>-9.8365473113037616E-2</v>
      </c>
      <c r="AD72" s="52">
        <f t="shared" si="23"/>
        <v>-0.14000000000000001</v>
      </c>
    </row>
    <row r="73" spans="2:30" ht="16" x14ac:dyDescent="0.4">
      <c r="B73" s="107"/>
      <c r="C73" s="103"/>
      <c r="D73" s="38" t="s">
        <v>45</v>
      </c>
      <c r="E73" s="38"/>
      <c r="F73" s="47" t="s">
        <v>93</v>
      </c>
      <c r="G73" s="48">
        <f>((SUMIFS(SSP1_Baseline!$E:$E,SSP1_Baseline!$C:$C,Results_list!$C$130,SSP1_Baseline!$D:$D,Results_list!$D178,SSP1_Baseline!$B:$B,2040)) - (SUMIFS(SSP1_Baseline!$E:$E,SSP1_Baseline!$C:$C,Results_list!$C$130,SSP1_Baseline!$D:$D,Results_list!$D178,SSP1_Baseline!$B:$B,2025))) / (SUMIFS(SSP1_Baseline!$E:$E,SSP1_Baseline!$C:$C,Results_list!$C$130,SSP1_Baseline!$D:$D,Results_list!$D178,SSP1_Baseline!$B:$B,2025))</f>
        <v>-8.9391548167719204E-3</v>
      </c>
      <c r="H73" s="49">
        <f>((SUMIFS(SSP1_VSI!$F:$F,SSP1_VSI!$C:$C,Results_list!$C$130,SSP1_VSI!$D:$D,Results_list!$D178,SSP1_VSI!$B:$B,2040)) - (SUMIFS(SSP1_VSI!$F:$F,SSP1_VSI!$C:$C,Results_list!$C$130,SSP1_VSI!$D:$D,Results_list!$D178,SSP1_VSI!$B:$B,2025))) / (SUMIFS(SSP1_VSI!$F:$F,SSP1_VSI!$C:$C,Results_list!$C$130,SSP1_VSI!$D:$D,Results_list!$D178,SSP1_VSI!$B:$B,2025))</f>
        <v>-0.90639117761858279</v>
      </c>
      <c r="I73" s="52">
        <f t="shared" si="18"/>
        <v>-0.89700000000000002</v>
      </c>
      <c r="J73" s="48">
        <f>((SUMIFS(SSP2_Baseline!$E:$E,SSP2_Baseline!$C:$C,Results_list!$C$130,SSP2_Baseline!$D:$D,Results_list!$D178,SSP2_Baseline!$B:$B,2040)) - (SUMIFS(SSP2_Baseline!$E:$E,SSP2_Baseline!$C:$C,Results_list!$C$130,SSP2_Baseline!$D:$D,Results_list!$D178,SSP2_Baseline!$B:$B,2025))) / (SUMIFS(SSP2_Baseline!$E:$E,SSP2_Baseline!$C:$C,Results_list!$C$130,SSP2_Baseline!$D:$D,Results_list!$D178,SSP2_Baseline!$B:$B,2025))</f>
        <v>-8.5738345648767277E-3</v>
      </c>
      <c r="K73" s="49">
        <f>((SUMIFS(SSP2_VSI!$F:$F,SSP2_VSI!$C:$C,Results_list!$C$130,SSP2_VSI!$D:$D,Results_list!$D178,SSP2_VSI!$B:$B,2040)) - (SUMIFS(SSP2_VSI!$F:$F,SSP2_VSI!$C:$C,Results_list!$C$130,SSP2_VSI!$D:$D,Results_list!$D178,SSP2_VSI!$B:$B,2025))) / (SUMIFS(SSP2_VSI!$F:$F,SSP2_VSI!$C:$C,Results_list!$C$130,SSP2_VSI!$D:$D,Results_list!$D178,SSP2_VSI!$B:$B,2025))</f>
        <v>-0.90748697942178591</v>
      </c>
      <c r="L73" s="52">
        <f t="shared" si="19"/>
        <v>-0.9</v>
      </c>
      <c r="M73" s="48">
        <f>((SUMIFS(SSP5_Baseline!$E:$E,SSP5_Baseline!$C:$C,Results_list!$C$130,SSP5_Baseline!$D:$D,Results_list!$D178,SSP5_Baseline!$B:$B,2040)) - (SUMIFS(SSP5_Baseline!$E:$E,SSP5_Baseline!$C:$C,Results_list!$C$130,SSP5_Baseline!$D:$D,Results_list!$D178,SSP5_Baseline!$B:$B,2025))) / (SUMIFS(SSP5_Baseline!$E:$E,SSP5_Baseline!$C:$C,Results_list!$C$130,SSP5_Baseline!$D:$D,Results_list!$D178,SSP5_Baseline!$B:$B,2025))</f>
        <v>-7.6689719481084582E-3</v>
      </c>
      <c r="N73" s="49">
        <f>((SUMIFS(SSP5_VSI!$F:$F,SSP5_VSI!$C:$C,Results_list!$C$130,SSP5_VSI!$D:$D,Results_list!$D178,SSP5_VSI!$B:$B,2040)) - (SUMIFS(SSP5_VSI!$F:$F,SSP5_VSI!$C:$C,Results_list!$C$130,SSP5_VSI!$D:$D,Results_list!$D178,SSP5_VSI!$B:$B,2025))) / (SUMIFS(SSP5_VSI!$F:$F,SSP5_VSI!$C:$C,Results_list!$C$130,SSP5_VSI!$D:$D,Results_list!$D178,SSP5_VSI!$B:$B,2025))</f>
        <v>-0.90668778115981552</v>
      </c>
      <c r="O73" s="52">
        <f t="shared" si="20"/>
        <v>-0.9</v>
      </c>
      <c r="P73" s="38"/>
      <c r="Q73" s="111"/>
      <c r="R73" s="112"/>
      <c r="S73" s="67" t="s">
        <v>45</v>
      </c>
      <c r="T73" s="51" t="s">
        <v>81</v>
      </c>
      <c r="U73" s="47" t="s">
        <v>93</v>
      </c>
      <c r="V73" s="48">
        <v>-0.2554161333773603</v>
      </c>
      <c r="W73" s="49">
        <v>-0.25541503191014903</v>
      </c>
      <c r="X73" s="52">
        <f t="shared" si="21"/>
        <v>0</v>
      </c>
      <c r="Y73" s="48">
        <v>-0.26736466962355271</v>
      </c>
      <c r="Z73" s="49">
        <v>-0.26736159120469832</v>
      </c>
      <c r="AA73" s="52">
        <f t="shared" si="22"/>
        <v>0</v>
      </c>
      <c r="AB73" s="48">
        <v>-0.22266427454078852</v>
      </c>
      <c r="AC73" s="49">
        <v>-0.22266340607807333</v>
      </c>
      <c r="AD73" s="52">
        <f t="shared" si="23"/>
        <v>0</v>
      </c>
    </row>
    <row r="74" spans="2:30" ht="14.5" hidden="1" customHeight="1" x14ac:dyDescent="0.4">
      <c r="B74" s="107"/>
      <c r="C74" s="103"/>
      <c r="D74" s="38" t="s">
        <v>46</v>
      </c>
      <c r="E74" s="38"/>
      <c r="F74" s="47" t="s">
        <v>94</v>
      </c>
      <c r="G74" s="48">
        <f>((SUMIFS(SSP1_Baseline!$E:$E,SSP1_Baseline!$C:$C,Results_list!$C$130,SSP1_Baseline!$D:$D,Results_list!$D179,SSP1_Baseline!$B:$B,2040)) - (SUMIFS(SSP1_Baseline!$E:$E,SSP1_Baseline!$C:$C,Results_list!$C$130,SSP1_Baseline!$D:$D,Results_list!$D179,SSP1_Baseline!$B:$B,2025))) / (SUMIFS(SSP1_Baseline!$E:$E,SSP1_Baseline!$C:$C,Results_list!$C$130,SSP1_Baseline!$D:$D,Results_list!$D179,SSP1_Baseline!$B:$B,2025))</f>
        <v>1.536069074342759</v>
      </c>
      <c r="H74" s="49">
        <f>((SUMIFS(SSP1_VSI!$F:$F,SSP1_VSI!$C:$C,Results_list!$C$130,SSP1_VSI!$D:$D,Results_list!$D179,SSP1_VSI!$B:$B,2040)) - (SUMIFS(SSP1_VSI!$F:$F,SSP1_VSI!$C:$C,Results_list!$C$130,SSP1_VSI!$D:$D,Results_list!$D179,SSP1_VSI!$B:$B,2025))) / (SUMIFS(SSP1_VSI!$F:$F,SSP1_VSI!$C:$C,Results_list!$C$130,SSP1_VSI!$D:$D,Results_list!$D179,SSP1_VSI!$B:$B,2025))</f>
        <v>1.5360192733102269</v>
      </c>
      <c r="I74" s="52">
        <f t="shared" si="18"/>
        <v>0</v>
      </c>
      <c r="J74" s="48">
        <f>((SUMIFS(SSP2_Baseline!$E:$E,SSP2_Baseline!$C:$C,Results_list!$C$130,SSP2_Baseline!$D:$D,Results_list!$D179,SSP2_Baseline!$B:$B,2040)) - (SUMIFS(SSP2_Baseline!$E:$E,SSP2_Baseline!$C:$C,Results_list!$C$130,SSP2_Baseline!$D:$D,Results_list!$D179,SSP2_Baseline!$B:$B,2025))) / (SUMIFS(SSP2_Baseline!$E:$E,SSP2_Baseline!$C:$C,Results_list!$C$130,SSP2_Baseline!$D:$D,Results_list!$D179,SSP2_Baseline!$B:$B,2025))</f>
        <v>2.3594012069588959</v>
      </c>
      <c r="K74" s="49">
        <f>((SUMIFS(SSP2_VSI!$F:$F,SSP2_VSI!$C:$C,Results_list!$C$130,SSP2_VSI!$D:$D,Results_list!$D179,SSP2_VSI!$B:$B,2040)) - (SUMIFS(SSP2_VSI!$F:$F,SSP2_VSI!$C:$C,Results_list!$C$130,SSP2_VSI!$D:$D,Results_list!$D179,SSP2_VSI!$B:$B,2025))) / (SUMIFS(SSP2_VSI!$F:$F,SSP2_VSI!$C:$C,Results_list!$C$130,SSP2_VSI!$D:$D,Results_list!$D179,SSP2_VSI!$B:$B,2025))</f>
        <v>2.3593175305385539</v>
      </c>
      <c r="L74" s="52">
        <f t="shared" si="19"/>
        <v>0</v>
      </c>
      <c r="M74" s="48">
        <f>((SUMIFS(SSP5_Baseline!$E:$E,SSP5_Baseline!$C:$C,Results_list!$C$130,SSP5_Baseline!$D:$D,Results_list!$D179,SSP5_Baseline!$B:$B,2040)) - (SUMIFS(SSP5_Baseline!$E:$E,SSP5_Baseline!$C:$C,Results_list!$C$130,SSP5_Baseline!$D:$D,Results_list!$D179,SSP5_Baseline!$B:$B,2025))) / (SUMIFS(SSP5_Baseline!$E:$E,SSP5_Baseline!$C:$C,Results_list!$C$130,SSP5_Baseline!$D:$D,Results_list!$D179,SSP5_Baseline!$B:$B,2025))</f>
        <v>0.93869987444379266</v>
      </c>
      <c r="N74" s="49">
        <f>((SUMIFS(SSP5_VSI!$F:$F,SSP5_VSI!$C:$C,Results_list!$C$130,SSP5_VSI!$D:$D,Results_list!$D179,SSP5_VSI!$B:$B,2040)) - (SUMIFS(SSP5_VSI!$F:$F,SSP5_VSI!$C:$C,Results_list!$C$130,SSP5_VSI!$D:$D,Results_list!$D179,SSP5_VSI!$B:$B,2025))) / (SUMIFS(SSP5_VSI!$F:$F,SSP5_VSI!$C:$C,Results_list!$C$130,SSP5_VSI!$D:$D,Results_list!$D179,SSP5_VSI!$B:$B,2025))</f>
        <v>0.93869941767979126</v>
      </c>
      <c r="O74" s="52">
        <f t="shared" si="20"/>
        <v>0</v>
      </c>
      <c r="P74" s="38"/>
      <c r="Q74" s="111"/>
      <c r="R74" s="112"/>
      <c r="S74" s="67" t="s">
        <v>46</v>
      </c>
      <c r="T74" s="51" t="s">
        <v>81</v>
      </c>
      <c r="U74" s="47" t="s">
        <v>94</v>
      </c>
      <c r="V74" s="48">
        <v>0.47963143503832539</v>
      </c>
      <c r="W74" s="49">
        <v>0.47962218814776614</v>
      </c>
      <c r="X74" s="52">
        <f t="shared" si="21"/>
        <v>0</v>
      </c>
      <c r="Y74" s="48">
        <v>2.0538050775241845</v>
      </c>
      <c r="Z74" s="49">
        <v>2.0538654887304588</v>
      </c>
      <c r="AA74" s="52">
        <f t="shared" si="22"/>
        <v>0</v>
      </c>
      <c r="AB74" s="48">
        <v>1.6364533849489831</v>
      </c>
      <c r="AC74" s="49">
        <v>1.636485164971579</v>
      </c>
      <c r="AD74" s="52">
        <f t="shared" si="23"/>
        <v>0</v>
      </c>
    </row>
    <row r="75" spans="2:30" ht="16" x14ac:dyDescent="0.4">
      <c r="B75" s="107"/>
      <c r="C75" s="103"/>
      <c r="D75" s="38" t="s">
        <v>47</v>
      </c>
      <c r="E75" s="38"/>
      <c r="F75" s="47" t="s">
        <v>95</v>
      </c>
      <c r="G75" s="48">
        <f>((SUMIFS(SSP1_Baseline!$E:$E,SSP1_Baseline!$C:$C,Results_list!$C$130,SSP1_Baseline!$D:$D,Results_list!$D180,SSP1_Baseline!$B:$B,2040)) - (SUMIFS(SSP1_Baseline!$E:$E,SSP1_Baseline!$C:$C,Results_list!$C$130,SSP1_Baseline!$D:$D,Results_list!$D180,SSP1_Baseline!$B:$B,2025))) / (SUMIFS(SSP1_Baseline!$E:$E,SSP1_Baseline!$C:$C,Results_list!$C$130,SSP1_Baseline!$D:$D,Results_list!$D180,SSP1_Baseline!$B:$B,2025))</f>
        <v>-2.8308014111623918E-2</v>
      </c>
      <c r="H75" s="49">
        <f>((SUMIFS(SSP1_VSI!$F:$F,SSP1_VSI!$C:$C,Results_list!$C$130,SSP1_VSI!$D:$D,Results_list!$D180,SSP1_VSI!$B:$B,2040)) - (SUMIFS(SSP1_VSI!$F:$F,SSP1_VSI!$C:$C,Results_list!$C$130,SSP1_VSI!$D:$D,Results_list!$D180,SSP1_VSI!$B:$B,2025))) / (SUMIFS(SSP1_VSI!$F:$F,SSP1_VSI!$C:$C,Results_list!$C$130,SSP1_VSI!$D:$D,Results_list!$D180,SSP1_VSI!$B:$B,2025))</f>
        <v>-2.8289279426388359E-2</v>
      </c>
      <c r="I75" s="52">
        <f t="shared" si="18"/>
        <v>0</v>
      </c>
      <c r="J75" s="48">
        <f>((SUMIFS(SSP2_Baseline!$E:$E,SSP2_Baseline!$C:$C,Results_list!$C$130,SSP2_Baseline!$D:$D,Results_list!$D180,SSP2_Baseline!$B:$B,2040)) - (SUMIFS(SSP2_Baseline!$E:$E,SSP2_Baseline!$C:$C,Results_list!$C$130,SSP2_Baseline!$D:$D,Results_list!$D180,SSP2_Baseline!$B:$B,2025))) / (SUMIFS(SSP2_Baseline!$E:$E,SSP2_Baseline!$C:$C,Results_list!$C$130,SSP2_Baseline!$D:$D,Results_list!$D180,SSP2_Baseline!$B:$B,2025))</f>
        <v>2.1507786382850575E-2</v>
      </c>
      <c r="K75" s="49">
        <f>((SUMIFS(SSP2_VSI!$F:$F,SSP2_VSI!$C:$C,Results_list!$C$130,SSP2_VSI!$D:$D,Results_list!$D180,SSP2_VSI!$B:$B,2040)) - (SUMIFS(SSP2_VSI!$F:$F,SSP2_VSI!$C:$C,Results_list!$C$130,SSP2_VSI!$D:$D,Results_list!$D180,SSP2_VSI!$B:$B,2025))) / (SUMIFS(SSP2_VSI!$F:$F,SSP2_VSI!$C:$C,Results_list!$C$130,SSP2_VSI!$D:$D,Results_list!$D180,SSP2_VSI!$B:$B,2025))</f>
        <v>2.1514189932867814E-2</v>
      </c>
      <c r="L75" s="52">
        <f t="shared" si="19"/>
        <v>0</v>
      </c>
      <c r="M75" s="48">
        <f>((SUMIFS(SSP5_Baseline!$E:$E,SSP5_Baseline!$C:$C,Results_list!$C$130,SSP5_Baseline!$D:$D,Results_list!$D180,SSP5_Baseline!$B:$B,2040)) - (SUMIFS(SSP5_Baseline!$E:$E,SSP5_Baseline!$C:$C,Results_list!$C$130,SSP5_Baseline!$D:$D,Results_list!$D180,SSP5_Baseline!$B:$B,2025))) / (SUMIFS(SSP5_Baseline!$E:$E,SSP5_Baseline!$C:$C,Results_list!$C$130,SSP5_Baseline!$D:$D,Results_list!$D180,SSP5_Baseline!$B:$B,2025))</f>
        <v>4.8251994260624063E-2</v>
      </c>
      <c r="N75" s="49">
        <f>((SUMIFS(SSP5_VSI!$F:$F,SSP5_VSI!$C:$C,Results_list!$C$130,SSP5_VSI!$D:$D,Results_list!$D180,SSP5_VSI!$B:$B,2040)) - (SUMIFS(SSP5_VSI!$F:$F,SSP5_VSI!$C:$C,Results_list!$C$130,SSP5_VSI!$D:$D,Results_list!$D180,SSP5_VSI!$B:$B,2025))) / (SUMIFS(SSP5_VSI!$F:$F,SSP5_VSI!$C:$C,Results_list!$C$130,SSP5_VSI!$D:$D,Results_list!$D180,SSP5_VSI!$B:$B,2025))</f>
        <v>4.8353471749519414E-2</v>
      </c>
      <c r="O75" s="52">
        <f t="shared" si="20"/>
        <v>0</v>
      </c>
      <c r="P75" s="38"/>
      <c r="Q75" s="111"/>
      <c r="R75" s="112"/>
      <c r="S75" s="67" t="s">
        <v>47</v>
      </c>
      <c r="T75" s="51" t="s">
        <v>81</v>
      </c>
      <c r="U75" s="47" t="s">
        <v>95</v>
      </c>
      <c r="V75" s="48">
        <v>-0.4896134686658587</v>
      </c>
      <c r="W75" s="49">
        <v>-0.48961162109421802</v>
      </c>
      <c r="X75" s="52">
        <f t="shared" si="21"/>
        <v>0</v>
      </c>
      <c r="Y75" s="48">
        <v>-0.51537326217802115</v>
      </c>
      <c r="Z75" s="49">
        <v>-0.51537250168436022</v>
      </c>
      <c r="AA75" s="52">
        <f t="shared" si="22"/>
        <v>0</v>
      </c>
      <c r="AB75" s="48">
        <v>-0.31579135220125837</v>
      </c>
      <c r="AC75" s="49">
        <v>-0.31579069919727698</v>
      </c>
      <c r="AD75" s="52">
        <f t="shared" si="23"/>
        <v>0</v>
      </c>
    </row>
    <row r="76" spans="2:30" ht="14.5" hidden="1" customHeight="1" x14ac:dyDescent="0.4">
      <c r="B76" s="107"/>
      <c r="C76" s="103"/>
      <c r="D76" s="38" t="s">
        <v>48</v>
      </c>
      <c r="E76" s="38"/>
      <c r="F76" s="47" t="s">
        <v>96</v>
      </c>
      <c r="G76" s="48">
        <f>((SUMIFS(SSP1_Baseline!$E:$E,SSP1_Baseline!$C:$C,Results_list!$C$130,SSP1_Baseline!$D:$D,Results_list!$D181,SSP1_Baseline!$B:$B,2040)) - (SUMIFS(SSP1_Baseline!$E:$E,SSP1_Baseline!$C:$C,Results_list!$C$130,SSP1_Baseline!$D:$D,Results_list!$D181,SSP1_Baseline!$B:$B,2025))) / (SUMIFS(SSP1_Baseline!$E:$E,SSP1_Baseline!$C:$C,Results_list!$C$130,SSP1_Baseline!$D:$D,Results_list!$D181,SSP1_Baseline!$B:$B,2025))</f>
        <v>4.9512707238549825E-4</v>
      </c>
      <c r="H76" s="49">
        <f>((SUMIFS(SSP1_VSI!$F:$F,SSP1_VSI!$C:$C,Results_list!$C$130,SSP1_VSI!$D:$D,Results_list!$D181,SSP1_VSI!$B:$B,2040)) - (SUMIFS(SSP1_VSI!$F:$F,SSP1_VSI!$C:$C,Results_list!$C$130,SSP1_VSI!$D:$D,Results_list!$D181,SSP1_VSI!$B:$B,2025))) / (SUMIFS(SSP1_VSI!$F:$F,SSP1_VSI!$C:$C,Results_list!$C$130,SSP1_VSI!$D:$D,Results_list!$D181,SSP1_VSI!$B:$B,2025))</f>
        <v>4.9520260450238893E-4</v>
      </c>
      <c r="I76" s="52">
        <f t="shared" si="18"/>
        <v>0</v>
      </c>
      <c r="J76" s="48">
        <f>((SUMIFS(SSP2_Baseline!$E:$E,SSP2_Baseline!$C:$C,Results_list!$C$130,SSP2_Baseline!$D:$D,Results_list!$D181,SSP2_Baseline!$B:$B,2040)) - (SUMIFS(SSP2_Baseline!$E:$E,SSP2_Baseline!$C:$C,Results_list!$C$130,SSP2_Baseline!$D:$D,Results_list!$D181,SSP2_Baseline!$B:$B,2025))) / (SUMIFS(SSP2_Baseline!$E:$E,SSP2_Baseline!$C:$C,Results_list!$C$130,SSP2_Baseline!$D:$D,Results_list!$D181,SSP2_Baseline!$B:$B,2025))</f>
        <v>4.2802739266654759E-4</v>
      </c>
      <c r="K76" s="49">
        <f>((SUMIFS(SSP2_VSI!$F:$F,SSP2_VSI!$C:$C,Results_list!$C$130,SSP2_VSI!$D:$D,Results_list!$D181,SSP2_VSI!$B:$B,2040)) - (SUMIFS(SSP2_VSI!$F:$F,SSP2_VSI!$C:$C,Results_list!$C$130,SSP2_VSI!$D:$D,Results_list!$D181,SSP2_VSI!$B:$B,2025))) / (SUMIFS(SSP2_VSI!$F:$F,SSP2_VSI!$C:$C,Results_list!$C$130,SSP2_VSI!$D:$D,Results_list!$D181,SSP2_VSI!$B:$B,2025))</f>
        <v>4.2835024497512583E-4</v>
      </c>
      <c r="L76" s="52">
        <f t="shared" si="19"/>
        <v>0</v>
      </c>
      <c r="M76" s="48">
        <f>((SUMIFS(SSP5_Baseline!$E:$E,SSP5_Baseline!$C:$C,Results_list!$C$130,SSP5_Baseline!$D:$D,Results_list!$D181,SSP5_Baseline!$B:$B,2040)) - (SUMIFS(SSP5_Baseline!$E:$E,SSP5_Baseline!$C:$C,Results_list!$C$130,SSP5_Baseline!$D:$D,Results_list!$D181,SSP5_Baseline!$B:$B,2025))) / (SUMIFS(SSP5_Baseline!$E:$E,SSP5_Baseline!$C:$C,Results_list!$C$130,SSP5_Baseline!$D:$D,Results_list!$D181,SSP5_Baseline!$B:$B,2025))</f>
        <v>1.9081705737493884E-4</v>
      </c>
      <c r="N76" s="49">
        <f>((SUMIFS(SSP5_VSI!$F:$F,SSP5_VSI!$C:$C,Results_list!$C$130,SSP5_VSI!$D:$D,Results_list!$D181,SSP5_VSI!$B:$B,2040)) - (SUMIFS(SSP5_VSI!$F:$F,SSP5_VSI!$C:$C,Results_list!$C$130,SSP5_VSI!$D:$D,Results_list!$D181,SSP5_VSI!$B:$B,2025))) / (SUMIFS(SSP5_VSI!$F:$F,SSP5_VSI!$C:$C,Results_list!$C$130,SSP5_VSI!$D:$D,Results_list!$D181,SSP5_VSI!$B:$B,2025))</f>
        <v>1.909803960342538E-4</v>
      </c>
      <c r="O76" s="52">
        <f t="shared" si="20"/>
        <v>0</v>
      </c>
      <c r="P76" s="38"/>
      <c r="Q76" s="111"/>
      <c r="R76" s="112"/>
      <c r="S76" s="67" t="s">
        <v>48</v>
      </c>
      <c r="T76" s="51" t="s">
        <v>81</v>
      </c>
      <c r="U76" s="47" t="s">
        <v>96</v>
      </c>
      <c r="V76" s="48">
        <v>5.5050332377128482E-5</v>
      </c>
      <c r="W76" s="49">
        <v>5.5055828744934569E-5</v>
      </c>
      <c r="X76" s="52">
        <f t="shared" si="21"/>
        <v>0</v>
      </c>
      <c r="Y76" s="48">
        <v>4.3724360592263402E-5</v>
      </c>
      <c r="Z76" s="49">
        <v>4.3724867968396053E-5</v>
      </c>
      <c r="AA76" s="52">
        <f t="shared" si="22"/>
        <v>0</v>
      </c>
      <c r="AB76" s="48">
        <v>4.8571019058177602E-5</v>
      </c>
      <c r="AC76" s="49">
        <v>4.8572510222573374E-5</v>
      </c>
      <c r="AD76" s="52">
        <f t="shared" si="23"/>
        <v>0</v>
      </c>
    </row>
    <row r="77" spans="2:30" ht="16" x14ac:dyDescent="0.4">
      <c r="B77" s="107"/>
      <c r="C77" s="103"/>
      <c r="D77" s="38" t="s">
        <v>49</v>
      </c>
      <c r="E77" s="38"/>
      <c r="F77" s="47" t="s">
        <v>97</v>
      </c>
      <c r="G77" s="48">
        <f>((SUMIFS(SSP1_Baseline!$E:$E,SSP1_Baseline!$C:$C,Results_list!$C$130,SSP1_Baseline!$D:$D,Results_list!$D182,SSP1_Baseline!$B:$B,2040)) - (SUMIFS(SSP1_Baseline!$E:$E,SSP1_Baseline!$C:$C,Results_list!$C$130,SSP1_Baseline!$D:$D,Results_list!$D182,SSP1_Baseline!$B:$B,2025))) / (SUMIFS(SSP1_Baseline!$E:$E,SSP1_Baseline!$C:$C,Results_list!$C$130,SSP1_Baseline!$D:$D,Results_list!$D182,SSP1_Baseline!$B:$B,2025))</f>
        <v>-2.0583599685812877E-3</v>
      </c>
      <c r="H77" s="49">
        <f>((SUMIFS(SSP1_VSI!$F:$F,SSP1_VSI!$C:$C,Results_list!$C$130,SSP1_VSI!$D:$D,Results_list!$D182,SSP1_VSI!$B:$B,2040)) - (SUMIFS(SSP1_VSI!$F:$F,SSP1_VSI!$C:$C,Results_list!$C$130,SSP1_VSI!$D:$D,Results_list!$D182,SSP1_VSI!$B:$B,2025))) / (SUMIFS(SSP1_VSI!$F:$F,SSP1_VSI!$C:$C,Results_list!$C$130,SSP1_VSI!$D:$D,Results_list!$D182,SSP1_VSI!$B:$B,2025))</f>
        <v>-0.93768194571367158</v>
      </c>
      <c r="I77" s="52">
        <f t="shared" si="18"/>
        <v>-0.93600000000000005</v>
      </c>
      <c r="J77" s="48">
        <f>((SUMIFS(SSP2_Baseline!$E:$E,SSP2_Baseline!$C:$C,Results_list!$C$130,SSP2_Baseline!$D:$D,Results_list!$D182,SSP2_Baseline!$B:$B,2040)) - (SUMIFS(SSP2_Baseline!$E:$E,SSP2_Baseline!$C:$C,Results_list!$C$130,SSP2_Baseline!$D:$D,Results_list!$D182,SSP2_Baseline!$B:$B,2025))) / (SUMIFS(SSP2_Baseline!$E:$E,SSP2_Baseline!$C:$C,Results_list!$C$130,SSP2_Baseline!$D:$D,Results_list!$D182,SSP2_Baseline!$B:$B,2025))</f>
        <v>-1.5022864340956037E-3</v>
      </c>
      <c r="K77" s="49">
        <f>((SUMIFS(SSP2_VSI!$F:$F,SSP2_VSI!$C:$C,Results_list!$C$130,SSP2_VSI!$D:$D,Results_list!$D182,SSP2_VSI!$B:$B,2040)) - (SUMIFS(SSP2_VSI!$F:$F,SSP2_VSI!$C:$C,Results_list!$C$130,SSP2_VSI!$D:$D,Results_list!$D182,SSP2_VSI!$B:$B,2025))) / (SUMIFS(SSP2_VSI!$F:$F,SSP2_VSI!$C:$C,Results_list!$C$130,SSP2_VSI!$D:$D,Results_list!$D182,SSP2_VSI!$B:$B,2025))</f>
        <v>-0.93779058050740915</v>
      </c>
      <c r="L77" s="52">
        <f t="shared" si="19"/>
        <v>-0.94</v>
      </c>
      <c r="M77" s="48">
        <f>((SUMIFS(SSP5_Baseline!$E:$E,SSP5_Baseline!$C:$C,Results_list!$C$130,SSP5_Baseline!$D:$D,Results_list!$D182,SSP5_Baseline!$B:$B,2040)) - (SUMIFS(SSP5_Baseline!$E:$E,SSP5_Baseline!$C:$C,Results_list!$C$130,SSP5_Baseline!$D:$D,Results_list!$D182,SSP5_Baseline!$B:$B,2025))) / (SUMIFS(SSP5_Baseline!$E:$E,SSP5_Baseline!$C:$C,Results_list!$C$130,SSP5_Baseline!$D:$D,Results_list!$D182,SSP5_Baseline!$B:$B,2025))</f>
        <v>-1.2181346203292971E-3</v>
      </c>
      <c r="N77" s="49">
        <f>((SUMIFS(SSP5_VSI!$F:$F,SSP5_VSI!$C:$C,Results_list!$C$130,SSP5_VSI!$D:$D,Results_list!$D182,SSP5_VSI!$B:$B,2040)) - (SUMIFS(SSP5_VSI!$F:$F,SSP5_VSI!$C:$C,Results_list!$C$130,SSP5_VSI!$D:$D,Results_list!$D182,SSP5_VSI!$B:$B,2025))) / (SUMIFS(SSP5_VSI!$F:$F,SSP5_VSI!$C:$C,Results_list!$C$130,SSP5_VSI!$D:$D,Results_list!$D182,SSP5_VSI!$B:$B,2025))</f>
        <v>-0.93726387664908972</v>
      </c>
      <c r="O77" s="52">
        <f t="shared" si="20"/>
        <v>-0.94</v>
      </c>
      <c r="P77" s="38"/>
      <c r="Q77" s="111"/>
      <c r="R77" s="112"/>
      <c r="S77" s="67" t="s">
        <v>49</v>
      </c>
      <c r="T77" s="51" t="s">
        <v>81</v>
      </c>
      <c r="U77" s="47" t="s">
        <v>97</v>
      </c>
      <c r="V77" s="48">
        <v>-0.28987125413493786</v>
      </c>
      <c r="W77" s="49">
        <v>-0.28987206180427971</v>
      </c>
      <c r="X77" s="52">
        <f t="shared" si="21"/>
        <v>0</v>
      </c>
      <c r="Y77" s="48">
        <v>-0.29320674723041412</v>
      </c>
      <c r="Z77" s="49">
        <v>-0.29320389635951405</v>
      </c>
      <c r="AA77" s="52">
        <f t="shared" si="22"/>
        <v>0</v>
      </c>
      <c r="AB77" s="48">
        <v>-0.24766584356319002</v>
      </c>
      <c r="AC77" s="49">
        <v>-0.24766556457054961</v>
      </c>
      <c r="AD77" s="52">
        <f t="shared" si="23"/>
        <v>0</v>
      </c>
    </row>
    <row r="78" spans="2:30" ht="14.5" hidden="1" customHeight="1" x14ac:dyDescent="0.4">
      <c r="B78" s="107"/>
      <c r="C78" s="103"/>
      <c r="D78" s="38" t="s">
        <v>50</v>
      </c>
      <c r="E78" s="38"/>
      <c r="F78" s="47" t="s">
        <v>98</v>
      </c>
      <c r="G78" s="48">
        <f>((SUMIFS(SSP1_Baseline!$E:$E,SSP1_Baseline!$C:$C,Results_list!$C$130,SSP1_Baseline!$D:$D,Results_list!$D183,SSP1_Baseline!$B:$B,2040)) - (SUMIFS(SSP1_Baseline!$E:$E,SSP1_Baseline!$C:$C,Results_list!$C$130,SSP1_Baseline!$D:$D,Results_list!$D183,SSP1_Baseline!$B:$B,2025))) / (SUMIFS(SSP1_Baseline!$E:$E,SSP1_Baseline!$C:$C,Results_list!$C$130,SSP1_Baseline!$D:$D,Results_list!$D183,SSP1_Baseline!$B:$B,2025))</f>
        <v>-4.8408631097272545E-2</v>
      </c>
      <c r="H78" s="49">
        <f>((SUMIFS(SSP1_VSI!$F:$F,SSP1_VSI!$C:$C,Results_list!$C$130,SSP1_VSI!$D:$D,Results_list!$D183,SSP1_VSI!$B:$B,2040)) - (SUMIFS(SSP1_VSI!$F:$F,SSP1_VSI!$C:$C,Results_list!$C$130,SSP1_VSI!$D:$D,Results_list!$D183,SSP1_VSI!$B:$B,2025))) / (SUMIFS(SSP1_VSI!$F:$F,SSP1_VSI!$C:$C,Results_list!$C$130,SSP1_VSI!$D:$D,Results_list!$D183,SSP1_VSI!$B:$B,2025))</f>
        <v>-4.8421019604524926E-2</v>
      </c>
      <c r="I78" s="52">
        <f t="shared" si="18"/>
        <v>0</v>
      </c>
      <c r="J78" s="48">
        <f>((SUMIFS(SSP2_Baseline!$E:$E,SSP2_Baseline!$C:$C,Results_list!$C$130,SSP2_Baseline!$D:$D,Results_list!$D183,SSP2_Baseline!$B:$B,2040)) - (SUMIFS(SSP2_Baseline!$E:$E,SSP2_Baseline!$C:$C,Results_list!$C$130,SSP2_Baseline!$D:$D,Results_list!$D183,SSP2_Baseline!$B:$B,2025))) / (SUMIFS(SSP2_Baseline!$E:$E,SSP2_Baseline!$C:$C,Results_list!$C$130,SSP2_Baseline!$D:$D,Results_list!$D183,SSP2_Baseline!$B:$B,2025))</f>
        <v>1.7965036416041403E-2</v>
      </c>
      <c r="K78" s="49">
        <f>((SUMIFS(SSP2_VSI!$F:$F,SSP2_VSI!$C:$C,Results_list!$C$130,SSP2_VSI!$D:$D,Results_list!$D183,SSP2_VSI!$B:$B,2040)) - (SUMIFS(SSP2_VSI!$F:$F,SSP2_VSI!$C:$C,Results_list!$C$130,SSP2_VSI!$D:$D,Results_list!$D183,SSP2_VSI!$B:$B,2025))) / (SUMIFS(SSP2_VSI!$F:$F,SSP2_VSI!$C:$C,Results_list!$C$130,SSP2_VSI!$D:$D,Results_list!$D183,SSP2_VSI!$B:$B,2025))</f>
        <v>1.7970143439059783E-2</v>
      </c>
      <c r="L78" s="52">
        <f t="shared" si="19"/>
        <v>0</v>
      </c>
      <c r="M78" s="48">
        <f>((SUMIFS(SSP5_Baseline!$E:$E,SSP5_Baseline!$C:$C,Results_list!$C$130,SSP5_Baseline!$D:$D,Results_list!$D183,SSP5_Baseline!$B:$B,2040)) - (SUMIFS(SSP5_Baseline!$E:$E,SSP5_Baseline!$C:$C,Results_list!$C$130,SSP5_Baseline!$D:$D,Results_list!$D183,SSP5_Baseline!$B:$B,2025))) / (SUMIFS(SSP5_Baseline!$E:$E,SSP5_Baseline!$C:$C,Results_list!$C$130,SSP5_Baseline!$D:$D,Results_list!$D183,SSP5_Baseline!$B:$B,2025))</f>
        <v>4.8260296432189938E-2</v>
      </c>
      <c r="N78" s="49">
        <f>((SUMIFS(SSP5_VSI!$F:$F,SSP5_VSI!$C:$C,Results_list!$C$130,SSP5_VSI!$D:$D,Results_list!$D183,SSP5_VSI!$B:$B,2040)) - (SUMIFS(SSP5_VSI!$F:$F,SSP5_VSI!$C:$C,Results_list!$C$130,SSP5_VSI!$D:$D,Results_list!$D183,SSP5_VSI!$B:$B,2025))) / (SUMIFS(SSP5_VSI!$F:$F,SSP5_VSI!$C:$C,Results_list!$C$130,SSP5_VSI!$D:$D,Results_list!$D183,SSP5_VSI!$B:$B,2025))</f>
        <v>4.8269351566582019E-2</v>
      </c>
      <c r="O78" s="52">
        <f t="shared" si="20"/>
        <v>0</v>
      </c>
      <c r="P78" s="38"/>
      <c r="Q78" s="111"/>
      <c r="R78" s="112"/>
      <c r="S78" s="67" t="s">
        <v>50</v>
      </c>
      <c r="T78" s="51" t="s">
        <v>81</v>
      </c>
      <c r="U78" s="47" t="s">
        <v>98</v>
      </c>
      <c r="V78" s="48">
        <v>-0.27751448515584376</v>
      </c>
      <c r="W78" s="49">
        <v>-0.27751234327400354</v>
      </c>
      <c r="X78" s="52">
        <f t="shared" si="21"/>
        <v>0</v>
      </c>
      <c r="Y78" s="48">
        <v>-0.13434038166522935</v>
      </c>
      <c r="Z78" s="49">
        <v>-0.13434094430164756</v>
      </c>
      <c r="AA78" s="52">
        <f t="shared" si="22"/>
        <v>0</v>
      </c>
      <c r="AB78" s="48">
        <v>0.11212343015681242</v>
      </c>
      <c r="AC78" s="49">
        <v>0.11212979486644858</v>
      </c>
      <c r="AD78" s="52">
        <f t="shared" si="23"/>
        <v>0</v>
      </c>
    </row>
    <row r="79" spans="2:30" ht="14.5" hidden="1" customHeight="1" x14ac:dyDescent="0.4">
      <c r="B79" s="107"/>
      <c r="C79" s="103"/>
      <c r="D79" s="38" t="s">
        <v>51</v>
      </c>
      <c r="E79" s="38"/>
      <c r="F79" s="47" t="s">
        <v>99</v>
      </c>
      <c r="G79" s="48">
        <f>((SUMIFS(SSP1_Baseline!$E:$E,SSP1_Baseline!$C:$C,Results_list!$C$130,SSP1_Baseline!$D:$D,Results_list!$D184,SSP1_Baseline!$B:$B,2040)) - (SUMIFS(SSP1_Baseline!$E:$E,SSP1_Baseline!$C:$C,Results_list!$C$130,SSP1_Baseline!$D:$D,Results_list!$D184,SSP1_Baseline!$B:$B,2025))) / (SUMIFS(SSP1_Baseline!$E:$E,SSP1_Baseline!$C:$C,Results_list!$C$130,SSP1_Baseline!$D:$D,Results_list!$D184,SSP1_Baseline!$B:$B,2025))</f>
        <v>6.8635431478974801E-2</v>
      </c>
      <c r="H79" s="49">
        <f>((SUMIFS(SSP1_VSI!$F:$F,SSP1_VSI!$C:$C,Results_list!$C$130,SSP1_VSI!$D:$D,Results_list!$D184,SSP1_VSI!$B:$B,2040)) - (SUMIFS(SSP1_VSI!$F:$F,SSP1_VSI!$C:$C,Results_list!$C$130,SSP1_VSI!$D:$D,Results_list!$D184,SSP1_VSI!$B:$B,2025))) / (SUMIFS(SSP1_VSI!$F:$F,SSP1_VSI!$C:$C,Results_list!$C$130,SSP1_VSI!$D:$D,Results_list!$D184,SSP1_VSI!$B:$B,2025))</f>
        <v>6.8625224803319063E-2</v>
      </c>
      <c r="I79" s="52">
        <f t="shared" si="18"/>
        <v>0</v>
      </c>
      <c r="J79" s="48">
        <f>((SUMIFS(SSP2_Baseline!$E:$E,SSP2_Baseline!$C:$C,Results_list!$C$130,SSP2_Baseline!$D:$D,Results_list!$D184,SSP2_Baseline!$B:$B,2040)) - (SUMIFS(SSP2_Baseline!$E:$E,SSP2_Baseline!$C:$C,Results_list!$C$130,SSP2_Baseline!$D:$D,Results_list!$D184,SSP2_Baseline!$B:$B,2025))) / (SUMIFS(SSP2_Baseline!$E:$E,SSP2_Baseline!$C:$C,Results_list!$C$130,SSP2_Baseline!$D:$D,Results_list!$D184,SSP2_Baseline!$B:$B,2025))</f>
        <v>7.3147433577181897E-2</v>
      </c>
      <c r="K79" s="49">
        <f>((SUMIFS(SSP2_VSI!$F:$F,SSP2_VSI!$C:$C,Results_list!$C$130,SSP2_VSI!$D:$D,Results_list!$D184,SSP2_VSI!$B:$B,2040)) - (SUMIFS(SSP2_VSI!$F:$F,SSP2_VSI!$C:$C,Results_list!$C$130,SSP2_VSI!$D:$D,Results_list!$D184,SSP2_VSI!$B:$B,2025))) / (SUMIFS(SSP2_VSI!$F:$F,SSP2_VSI!$C:$C,Results_list!$C$130,SSP2_VSI!$D:$D,Results_list!$D184,SSP2_VSI!$B:$B,2025))</f>
        <v>7.3131247995221083E-2</v>
      </c>
      <c r="L79" s="52">
        <f t="shared" si="19"/>
        <v>0</v>
      </c>
      <c r="M79" s="48">
        <f>((SUMIFS(SSP5_Baseline!$E:$E,SSP5_Baseline!$C:$C,Results_list!$C$130,SSP5_Baseline!$D:$D,Results_list!$D184,SSP5_Baseline!$B:$B,2040)) - (SUMIFS(SSP5_Baseline!$E:$E,SSP5_Baseline!$C:$C,Results_list!$C$130,SSP5_Baseline!$D:$D,Results_list!$D184,SSP5_Baseline!$B:$B,2025))) / (SUMIFS(SSP5_Baseline!$E:$E,SSP5_Baseline!$C:$C,Results_list!$C$130,SSP5_Baseline!$D:$D,Results_list!$D184,SSP5_Baseline!$B:$B,2025))</f>
        <v>9.8381972498270357E-3</v>
      </c>
      <c r="N79" s="49">
        <f>((SUMIFS(SSP5_VSI!$F:$F,SSP5_VSI!$C:$C,Results_list!$C$130,SSP5_VSI!$D:$D,Results_list!$D184,SSP5_VSI!$B:$B,2040)) - (SUMIFS(SSP5_VSI!$F:$F,SSP5_VSI!$C:$C,Results_list!$C$130,SSP5_VSI!$D:$D,Results_list!$D184,SSP5_VSI!$B:$B,2025))) / (SUMIFS(SSP5_VSI!$F:$F,SSP5_VSI!$C:$C,Results_list!$C$130,SSP5_VSI!$D:$D,Results_list!$D184,SSP5_VSI!$B:$B,2025))</f>
        <v>9.8460608279616699E-3</v>
      </c>
      <c r="O79" s="52">
        <f t="shared" si="20"/>
        <v>0</v>
      </c>
      <c r="P79" s="38"/>
      <c r="Q79" s="111"/>
      <c r="R79" s="112"/>
      <c r="S79" s="67" t="s">
        <v>51</v>
      </c>
      <c r="T79" s="51" t="s">
        <v>81</v>
      </c>
      <c r="U79" s="47" t="s">
        <v>99</v>
      </c>
      <c r="V79" s="48">
        <v>7.543606852235854E-2</v>
      </c>
      <c r="W79" s="49">
        <v>7.5428139358642482E-2</v>
      </c>
      <c r="X79" s="52">
        <f t="shared" si="21"/>
        <v>0</v>
      </c>
      <c r="Y79" s="48">
        <v>6.6995712224008477E-2</v>
      </c>
      <c r="Z79" s="49">
        <v>6.7032381008034686E-2</v>
      </c>
      <c r="AA79" s="52">
        <f t="shared" si="22"/>
        <v>0</v>
      </c>
      <c r="AB79" s="48">
        <v>-4.2385688087029586E-3</v>
      </c>
      <c r="AC79" s="49">
        <v>-4.2476709925235662E-3</v>
      </c>
      <c r="AD79" s="52">
        <f t="shared" si="23"/>
        <v>0</v>
      </c>
    </row>
    <row r="80" spans="2:30" ht="14.5" hidden="1" customHeight="1" x14ac:dyDescent="0.4">
      <c r="B80" s="107"/>
      <c r="C80" s="103"/>
      <c r="D80" s="38" t="s">
        <v>52</v>
      </c>
      <c r="E80" s="38"/>
      <c r="F80" s="47" t="s">
        <v>100</v>
      </c>
      <c r="G80" s="48">
        <f>((SUMIFS(SSP1_Baseline!$E:$E,SSP1_Baseline!$C:$C,Results_list!$C$130,SSP1_Baseline!$D:$D,Results_list!$D185,SSP1_Baseline!$B:$B,2040)) - (SUMIFS(SSP1_Baseline!$E:$E,SSP1_Baseline!$C:$C,Results_list!$C$130,SSP1_Baseline!$D:$D,Results_list!$D185,SSP1_Baseline!$B:$B,2025))) / (SUMIFS(SSP1_Baseline!$E:$E,SSP1_Baseline!$C:$C,Results_list!$C$130,SSP1_Baseline!$D:$D,Results_list!$D185,SSP1_Baseline!$B:$B,2025))</f>
        <v>-0.400377198612068</v>
      </c>
      <c r="H80" s="49">
        <f>((SUMIFS(SSP1_VSI!$F:$F,SSP1_VSI!$C:$C,Results_list!$C$130,SSP1_VSI!$D:$D,Results_list!$D185,SSP1_VSI!$B:$B,2040)) - (SUMIFS(SSP1_VSI!$F:$F,SSP1_VSI!$C:$C,Results_list!$C$130,SSP1_VSI!$D:$D,Results_list!$D185,SSP1_VSI!$B:$B,2025))) / (SUMIFS(SSP1_VSI!$F:$F,SSP1_VSI!$C:$C,Results_list!$C$130,SSP1_VSI!$D:$D,Results_list!$D185,SSP1_VSI!$B:$B,2025))</f>
        <v>-0.40029858656548711</v>
      </c>
      <c r="I80" s="52">
        <f t="shared" si="18"/>
        <v>0</v>
      </c>
      <c r="J80" s="48">
        <f>((SUMIFS(SSP2_Baseline!$E:$E,SSP2_Baseline!$C:$C,Results_list!$C$130,SSP2_Baseline!$D:$D,Results_list!$D185,SSP2_Baseline!$B:$B,2040)) - (SUMIFS(SSP2_Baseline!$E:$E,SSP2_Baseline!$C:$C,Results_list!$C$130,SSP2_Baseline!$D:$D,Results_list!$D185,SSP2_Baseline!$B:$B,2025))) / (SUMIFS(SSP2_Baseline!$E:$E,SSP2_Baseline!$C:$C,Results_list!$C$130,SSP2_Baseline!$D:$D,Results_list!$D185,SSP2_Baseline!$B:$B,2025))</f>
        <v>-0.32447485589638275</v>
      </c>
      <c r="K80" s="49">
        <f>((SUMIFS(SSP2_VSI!$F:$F,SSP2_VSI!$C:$C,Results_list!$C$130,SSP2_VSI!$D:$D,Results_list!$D185,SSP2_VSI!$B:$B,2040)) - (SUMIFS(SSP2_VSI!$F:$F,SSP2_VSI!$C:$C,Results_list!$C$130,SSP2_VSI!$D:$D,Results_list!$D185,SSP2_VSI!$B:$B,2025))) / (SUMIFS(SSP2_VSI!$F:$F,SSP2_VSI!$C:$C,Results_list!$C$130,SSP2_VSI!$D:$D,Results_list!$D185,SSP2_VSI!$B:$B,2025))</f>
        <v>-0.32427373190231129</v>
      </c>
      <c r="L80" s="52">
        <f t="shared" si="19"/>
        <v>0</v>
      </c>
      <c r="M80" s="48">
        <f>((SUMIFS(SSP5_Baseline!$E:$E,SSP5_Baseline!$C:$C,Results_list!$C$130,SSP5_Baseline!$D:$D,Results_list!$D185,SSP5_Baseline!$B:$B,2040)) - (SUMIFS(SSP5_Baseline!$E:$E,SSP5_Baseline!$C:$C,Results_list!$C$130,SSP5_Baseline!$D:$D,Results_list!$D185,SSP5_Baseline!$B:$B,2025))) / (SUMIFS(SSP5_Baseline!$E:$E,SSP5_Baseline!$C:$C,Results_list!$C$130,SSP5_Baseline!$D:$D,Results_list!$D185,SSP5_Baseline!$B:$B,2025))</f>
        <v>-0.38326402412148597</v>
      </c>
      <c r="N80" s="49">
        <f>((SUMIFS(SSP5_VSI!$F:$F,SSP5_VSI!$C:$C,Results_list!$C$130,SSP5_VSI!$D:$D,Results_list!$D185,SSP5_VSI!$B:$B,2040)) - (SUMIFS(SSP5_VSI!$F:$F,SSP5_VSI!$C:$C,Results_list!$C$130,SSP5_VSI!$D:$D,Results_list!$D185,SSP5_VSI!$B:$B,2025))) / (SUMIFS(SSP5_VSI!$F:$F,SSP5_VSI!$C:$C,Results_list!$C$130,SSP5_VSI!$D:$D,Results_list!$D185,SSP5_VSI!$B:$B,2025))</f>
        <v>-0.38312384659826099</v>
      </c>
      <c r="O80" s="52">
        <f t="shared" si="20"/>
        <v>0</v>
      </c>
      <c r="P80" s="38"/>
      <c r="Q80" s="111"/>
      <c r="R80" s="112"/>
      <c r="S80" s="67" t="s">
        <v>52</v>
      </c>
      <c r="T80" s="51" t="s">
        <v>81</v>
      </c>
      <c r="U80" s="47" t="s">
        <v>100</v>
      </c>
      <c r="V80" s="48">
        <v>-0.55082358495886674</v>
      </c>
      <c r="W80" s="49">
        <v>-0.55082303837086655</v>
      </c>
      <c r="X80" s="52">
        <f t="shared" si="21"/>
        <v>0</v>
      </c>
      <c r="Y80" s="48">
        <v>-0.58058444949330135</v>
      </c>
      <c r="Z80" s="49">
        <v>-0.58058472362530555</v>
      </c>
      <c r="AA80" s="52">
        <f t="shared" si="22"/>
        <v>0</v>
      </c>
      <c r="AB80" s="48">
        <v>-0.52903301366546451</v>
      </c>
      <c r="AC80" s="49">
        <v>-0.52903271635068938</v>
      </c>
      <c r="AD80" s="52">
        <f t="shared" si="23"/>
        <v>0</v>
      </c>
    </row>
    <row r="81" spans="2:30" ht="14.5" hidden="1" customHeight="1" x14ac:dyDescent="0.4">
      <c r="B81" s="107"/>
      <c r="C81" s="103"/>
      <c r="D81" s="38" t="s">
        <v>53</v>
      </c>
      <c r="E81" s="38"/>
      <c r="F81" s="47" t="s">
        <v>101</v>
      </c>
      <c r="G81" s="48">
        <f>((SUMIFS(SSP1_Baseline!$E:$E,SSP1_Baseline!$C:$C,Results_list!$C$130,SSP1_Baseline!$D:$D,Results_list!$D186,SSP1_Baseline!$B:$B,2040)) - (SUMIFS(SSP1_Baseline!$E:$E,SSP1_Baseline!$C:$C,Results_list!$C$130,SSP1_Baseline!$D:$D,Results_list!$D186,SSP1_Baseline!$B:$B,2025))) / (SUMIFS(SSP1_Baseline!$E:$E,SSP1_Baseline!$C:$C,Results_list!$C$130,SSP1_Baseline!$D:$D,Results_list!$D186,SSP1_Baseline!$B:$B,2025))</f>
        <v>-0.14270734741235741</v>
      </c>
      <c r="H81" s="49">
        <f>((SUMIFS(SSP1_VSI!$F:$F,SSP1_VSI!$C:$C,Results_list!$C$130,SSP1_VSI!$D:$D,Results_list!$D186,SSP1_VSI!$B:$B,2040)) - (SUMIFS(SSP1_VSI!$F:$F,SSP1_VSI!$C:$C,Results_list!$C$130,SSP1_VSI!$D:$D,Results_list!$D186,SSP1_VSI!$B:$B,2025))) / (SUMIFS(SSP1_VSI!$F:$F,SSP1_VSI!$C:$C,Results_list!$C$130,SSP1_VSI!$D:$D,Results_list!$D186,SSP1_VSI!$B:$B,2025))</f>
        <v>-0.1428053621050851</v>
      </c>
      <c r="I81" s="52">
        <f t="shared" si="18"/>
        <v>0</v>
      </c>
      <c r="J81" s="48">
        <f>((SUMIFS(SSP2_Baseline!$E:$E,SSP2_Baseline!$C:$C,Results_list!$C$130,SSP2_Baseline!$D:$D,Results_list!$D186,SSP2_Baseline!$B:$B,2040)) - (SUMIFS(SSP2_Baseline!$E:$E,SSP2_Baseline!$C:$C,Results_list!$C$130,SSP2_Baseline!$D:$D,Results_list!$D186,SSP2_Baseline!$B:$B,2025))) / (SUMIFS(SSP2_Baseline!$E:$E,SSP2_Baseline!$C:$C,Results_list!$C$130,SSP2_Baseline!$D:$D,Results_list!$D186,SSP2_Baseline!$B:$B,2025))</f>
        <v>-0.11293703287987725</v>
      </c>
      <c r="K81" s="49">
        <f>((SUMIFS(SSP2_VSI!$F:$F,SSP2_VSI!$C:$C,Results_list!$C$130,SSP2_VSI!$D:$D,Results_list!$D186,SSP2_VSI!$B:$B,2040)) - (SUMIFS(SSP2_VSI!$F:$F,SSP2_VSI!$C:$C,Results_list!$C$130,SSP2_VSI!$D:$D,Results_list!$D186,SSP2_VSI!$B:$B,2025))) / (SUMIFS(SSP2_VSI!$F:$F,SSP2_VSI!$C:$C,Results_list!$C$130,SSP2_VSI!$D:$D,Results_list!$D186,SSP2_VSI!$B:$B,2025))</f>
        <v>-0.11290487138401338</v>
      </c>
      <c r="L81" s="52">
        <f t="shared" si="19"/>
        <v>0</v>
      </c>
      <c r="M81" s="48">
        <f>((SUMIFS(SSP5_Baseline!$E:$E,SSP5_Baseline!$C:$C,Results_list!$C$130,SSP5_Baseline!$D:$D,Results_list!$D186,SSP5_Baseline!$B:$B,2040)) - (SUMIFS(SSP5_Baseline!$E:$E,SSP5_Baseline!$C:$C,Results_list!$C$130,SSP5_Baseline!$D:$D,Results_list!$D186,SSP5_Baseline!$B:$B,2025))) / (SUMIFS(SSP5_Baseline!$E:$E,SSP5_Baseline!$C:$C,Results_list!$C$130,SSP5_Baseline!$D:$D,Results_list!$D186,SSP5_Baseline!$B:$B,2025))</f>
        <v>4.0110246777034734E-3</v>
      </c>
      <c r="N81" s="49">
        <f>((SUMIFS(SSP5_VSI!$F:$F,SSP5_VSI!$C:$C,Results_list!$C$130,SSP5_VSI!$D:$D,Results_list!$D186,SSP5_VSI!$B:$B,2040)) - (SUMIFS(SSP5_VSI!$F:$F,SSP5_VSI!$C:$C,Results_list!$C$130,SSP5_VSI!$D:$D,Results_list!$D186,SSP5_VSI!$B:$B,2025))) / (SUMIFS(SSP5_VSI!$F:$F,SSP5_VSI!$C:$C,Results_list!$C$130,SSP5_VSI!$D:$D,Results_list!$D186,SSP5_VSI!$B:$B,2025))</f>
        <v>4.0476202384943719E-3</v>
      </c>
      <c r="O81" s="52">
        <f t="shared" si="20"/>
        <v>0</v>
      </c>
      <c r="P81" s="38"/>
      <c r="Q81" s="111"/>
      <c r="R81" s="112"/>
      <c r="S81" s="67" t="s">
        <v>53</v>
      </c>
      <c r="T81" s="51" t="s">
        <v>81</v>
      </c>
      <c r="U81" s="47" t="s">
        <v>101</v>
      </c>
      <c r="V81" s="48">
        <v>-0.33446312158745889</v>
      </c>
      <c r="W81" s="49">
        <v>-0.33446169804221382</v>
      </c>
      <c r="X81" s="52">
        <f t="shared" si="21"/>
        <v>0</v>
      </c>
      <c r="Y81" s="48">
        <v>-0.33068169493833161</v>
      </c>
      <c r="Z81" s="49">
        <v>-0.33068051001287296</v>
      </c>
      <c r="AA81" s="52">
        <f t="shared" si="22"/>
        <v>0</v>
      </c>
      <c r="AB81" s="48">
        <v>0.13504342892147655</v>
      </c>
      <c r="AC81" s="49">
        <v>0.13504243477106195</v>
      </c>
      <c r="AD81" s="52">
        <f t="shared" si="23"/>
        <v>0</v>
      </c>
    </row>
    <row r="82" spans="2:30" ht="16" x14ac:dyDescent="0.4">
      <c r="B82" s="107"/>
      <c r="C82" s="103"/>
      <c r="D82" s="38" t="s">
        <v>54</v>
      </c>
      <c r="E82" s="38"/>
      <c r="F82" s="47" t="s">
        <v>102</v>
      </c>
      <c r="G82" s="48">
        <f>((SUMIFS(SSP1_Baseline!$E:$E,SSP1_Baseline!$C:$C,Results_list!$C$130,SSP1_Baseline!$D:$D,Results_list!$D187,SSP1_Baseline!$B:$B,2040)) - (SUMIFS(SSP1_Baseline!$E:$E,SSP1_Baseline!$C:$C,Results_list!$C$130,SSP1_Baseline!$D:$D,Results_list!$D187,SSP1_Baseline!$B:$B,2025))) / (SUMIFS(SSP1_Baseline!$E:$E,SSP1_Baseline!$C:$C,Results_list!$C$130,SSP1_Baseline!$D:$D,Results_list!$D187,SSP1_Baseline!$B:$B,2025))</f>
        <v>6.4136248040605926E-4</v>
      </c>
      <c r="H82" s="49">
        <f>((SUMIFS(SSP1_VSI!$F:$F,SSP1_VSI!$C:$C,Results_list!$C$130,SSP1_VSI!$D:$D,Results_list!$D187,SSP1_VSI!$B:$B,2040)) - (SUMIFS(SSP1_VSI!$F:$F,SSP1_VSI!$C:$C,Results_list!$C$130,SSP1_VSI!$D:$D,Results_list!$D187,SSP1_VSI!$B:$B,2025))) / (SUMIFS(SSP1_VSI!$F:$F,SSP1_VSI!$C:$C,Results_list!$C$130,SSP1_VSI!$D:$D,Results_list!$D187,SSP1_VSI!$B:$B,2025))</f>
        <v>6.1478223074938859E-4</v>
      </c>
      <c r="I82" s="52">
        <f t="shared" si="18"/>
        <v>0</v>
      </c>
      <c r="J82" s="48">
        <f>((SUMIFS(SSP2_Baseline!$E:$E,SSP2_Baseline!$C:$C,Results_list!$C$130,SSP2_Baseline!$D:$D,Results_list!$D187,SSP2_Baseline!$B:$B,2040)) - (SUMIFS(SSP2_Baseline!$E:$E,SSP2_Baseline!$C:$C,Results_list!$C$130,SSP2_Baseline!$D:$D,Results_list!$D187,SSP2_Baseline!$B:$B,2025))) / (SUMIFS(SSP2_Baseline!$E:$E,SSP2_Baseline!$C:$C,Results_list!$C$130,SSP2_Baseline!$D:$D,Results_list!$D187,SSP2_Baseline!$B:$B,2025))</f>
        <v>2.1083268756728136E-3</v>
      </c>
      <c r="K82" s="49">
        <f>((SUMIFS(SSP2_VSI!$F:$F,SSP2_VSI!$C:$C,Results_list!$C$130,SSP2_VSI!$D:$D,Results_list!$D187,SSP2_VSI!$B:$B,2040)) - (SUMIFS(SSP2_VSI!$F:$F,SSP2_VSI!$C:$C,Results_list!$C$130,SSP2_VSI!$D:$D,Results_list!$D187,SSP2_VSI!$B:$B,2025))) / (SUMIFS(SSP2_VSI!$F:$F,SSP2_VSI!$C:$C,Results_list!$C$130,SSP2_VSI!$D:$D,Results_list!$D187,SSP2_VSI!$B:$B,2025))</f>
        <v>2.0842893249152202E-3</v>
      </c>
      <c r="L82" s="52">
        <f t="shared" si="19"/>
        <v>0</v>
      </c>
      <c r="M82" s="48">
        <f>((SUMIFS(SSP5_Baseline!$E:$E,SSP5_Baseline!$C:$C,Results_list!$C$130,SSP5_Baseline!$D:$D,Results_list!$D187,SSP5_Baseline!$B:$B,2040)) - (SUMIFS(SSP5_Baseline!$E:$E,SSP5_Baseline!$C:$C,Results_list!$C$130,SSP5_Baseline!$D:$D,Results_list!$D187,SSP5_Baseline!$B:$B,2025))) / (SUMIFS(SSP5_Baseline!$E:$E,SSP5_Baseline!$C:$C,Results_list!$C$130,SSP5_Baseline!$D:$D,Results_list!$D187,SSP5_Baseline!$B:$B,2025))</f>
        <v>1.9488070315309333E-3</v>
      </c>
      <c r="N82" s="49">
        <f>((SUMIFS(SSP5_VSI!$F:$F,SSP5_VSI!$C:$C,Results_list!$C$130,SSP5_VSI!$D:$D,Results_list!$D187,SSP5_VSI!$B:$B,2040)) - (SUMIFS(SSP5_VSI!$F:$F,SSP5_VSI!$C:$C,Results_list!$C$130,SSP5_VSI!$D:$D,Results_list!$D187,SSP5_VSI!$B:$B,2025))) / (SUMIFS(SSP5_VSI!$F:$F,SSP5_VSI!$C:$C,Results_list!$C$130,SSP5_VSI!$D:$D,Results_list!$D187,SSP5_VSI!$B:$B,2025))</f>
        <v>1.9241545125233185E-3</v>
      </c>
      <c r="O82" s="52">
        <f t="shared" si="20"/>
        <v>0</v>
      </c>
      <c r="P82" s="38"/>
      <c r="Q82" s="111"/>
      <c r="R82" s="112"/>
      <c r="S82" s="67" t="s">
        <v>54</v>
      </c>
      <c r="T82" s="51" t="s">
        <v>81</v>
      </c>
      <c r="U82" s="47" t="s">
        <v>102</v>
      </c>
      <c r="V82" s="48">
        <v>-4.9875169445021362E-3</v>
      </c>
      <c r="W82" s="49">
        <v>-4.9840386021262105E-3</v>
      </c>
      <c r="X82" s="52">
        <f t="shared" si="21"/>
        <v>0</v>
      </c>
      <c r="Y82" s="48">
        <v>-1.9919569033759904E-3</v>
      </c>
      <c r="Z82" s="49">
        <v>-1.9913318057552367E-3</v>
      </c>
      <c r="AA82" s="52">
        <f t="shared" si="22"/>
        <v>0</v>
      </c>
      <c r="AB82" s="48">
        <v>-2.0984747104601631E-2</v>
      </c>
      <c r="AC82" s="49">
        <v>-2.0983482189467967E-2</v>
      </c>
      <c r="AD82" s="52">
        <f t="shared" si="23"/>
        <v>0</v>
      </c>
    </row>
    <row r="83" spans="2:30" ht="16" x14ac:dyDescent="0.4">
      <c r="B83" s="107"/>
      <c r="C83" s="103"/>
      <c r="D83" s="38" t="s">
        <v>55</v>
      </c>
      <c r="E83" s="38"/>
      <c r="F83" s="71" t="s">
        <v>103</v>
      </c>
      <c r="G83" s="55">
        <f>((SUMIFS(SSP1_Baseline!$E:$E,SSP1_Baseline!$C:$C,Results_list!$C$130,SSP1_Baseline!$D:$D,Results_list!$D188,SSP1_Baseline!$B:$B,2040)) - (SUMIFS(SSP1_Baseline!$E:$E,SSP1_Baseline!$C:$C,Results_list!$C$130,SSP1_Baseline!$D:$D,Results_list!$D188,SSP1_Baseline!$B:$B,2025))) / (SUMIFS(SSP1_Baseline!$E:$E,SSP1_Baseline!$C:$C,Results_list!$C$130,SSP1_Baseline!$D:$D,Results_list!$D188,SSP1_Baseline!$B:$B,2025))</f>
        <v>5.5526635863593877E-4</v>
      </c>
      <c r="H83" s="56">
        <f>((SUMIFS(SSP1_VSI!$F:$F,SSP1_VSI!$C:$C,Results_list!$C$130,SSP1_VSI!$D:$D,Results_list!$D188,SSP1_VSI!$B:$B,2040)) - (SUMIFS(SSP1_VSI!$F:$F,SSP1_VSI!$C:$C,Results_list!$C$130,SSP1_VSI!$D:$D,Results_list!$D188,SSP1_VSI!$B:$B,2025))) / (SUMIFS(SSP1_VSI!$F:$F,SSP1_VSI!$C:$C,Results_list!$C$130,SSP1_VSI!$D:$D,Results_list!$D188,SSP1_VSI!$B:$B,2025))</f>
        <v>-2.5816381973073014E-3</v>
      </c>
      <c r="I83" s="57">
        <f t="shared" si="18"/>
        <v>-3.0000000000000001E-3</v>
      </c>
      <c r="J83" s="55">
        <f>((SUMIFS(SSP2_Baseline!$E:$E,SSP2_Baseline!$C:$C,Results_list!$C$130,SSP2_Baseline!$D:$D,Results_list!$D188,SSP2_Baseline!$B:$B,2040)) - (SUMIFS(SSP2_Baseline!$E:$E,SSP2_Baseline!$C:$C,Results_list!$C$130,SSP2_Baseline!$D:$D,Results_list!$D188,SSP2_Baseline!$B:$B,2025))) / (SUMIFS(SSP2_Baseline!$E:$E,SSP2_Baseline!$C:$C,Results_list!$C$130,SSP2_Baseline!$D:$D,Results_list!$D188,SSP2_Baseline!$B:$B,2025))</f>
        <v>2.0199148744182442E-3</v>
      </c>
      <c r="K83" s="56">
        <f>((SUMIFS(SSP2_VSI!$F:$F,SSP2_VSI!$C:$C,Results_list!$C$130,SSP2_VSI!$D:$D,Results_list!$D188,SSP2_VSI!$B:$B,2040)) - (SUMIFS(SSP2_VSI!$F:$F,SSP2_VSI!$C:$C,Results_list!$C$130,SSP2_VSI!$D:$D,Results_list!$D188,SSP2_VSI!$B:$B,2025))) / (SUMIFS(SSP2_VSI!$F:$F,SSP2_VSI!$C:$C,Results_list!$C$130,SSP2_VSI!$D:$D,Results_list!$D188,SSP2_VSI!$B:$B,2025))</f>
        <v>-1.1155711751818789E-3</v>
      </c>
      <c r="L83" s="57">
        <f t="shared" si="19"/>
        <v>0</v>
      </c>
      <c r="M83" s="55">
        <f>((SUMIFS(SSP5_Baseline!$E:$E,SSP5_Baseline!$C:$C,Results_list!$C$130,SSP5_Baseline!$D:$D,Results_list!$D188,SSP5_Baseline!$B:$B,2040)) - (SUMIFS(SSP5_Baseline!$E:$E,SSP5_Baseline!$C:$C,Results_list!$C$130,SSP5_Baseline!$D:$D,Results_list!$D188,SSP5_Baseline!$B:$B,2025))) / (SUMIFS(SSP5_Baseline!$E:$E,SSP5_Baseline!$C:$C,Results_list!$C$130,SSP5_Baseline!$D:$D,Results_list!$D188,SSP5_Baseline!$B:$B,2025))</f>
        <v>1.7867562916474222E-3</v>
      </c>
      <c r="N83" s="58">
        <f>((SUMIFS(SSP5_VSI!$F:$F,SSP5_VSI!$C:$C,Results_list!$C$130,SSP5_VSI!$D:$D,Results_list!$D188,SSP5_VSI!$B:$B,2040)) - (SUMIFS(SSP5_VSI!$F:$F,SSP5_VSI!$C:$C,Results_list!$C$130,SSP5_VSI!$D:$D,Results_list!$D188,SSP5_VSI!$B:$B,2025))) / (SUMIFS(SSP5_VSI!$F:$F,SSP5_VSI!$C:$C,Results_list!$C$130,SSP5_VSI!$D:$D,Results_list!$D188,SSP5_VSI!$B:$B,2025))</f>
        <v>-1.3492371228734316E-3</v>
      </c>
      <c r="O83" s="57">
        <f t="shared" si="20"/>
        <v>0</v>
      </c>
      <c r="P83" s="38"/>
      <c r="Q83" s="111"/>
      <c r="R83" s="112"/>
      <c r="S83" s="67" t="s">
        <v>55</v>
      </c>
      <c r="T83" s="51" t="s">
        <v>81</v>
      </c>
      <c r="U83" s="70" t="s">
        <v>103</v>
      </c>
      <c r="V83" s="55">
        <v>-1.2523320849357349E-2</v>
      </c>
      <c r="W83" s="56">
        <v>-1.2519943496731932E-2</v>
      </c>
      <c r="X83" s="57">
        <f t="shared" si="21"/>
        <v>0</v>
      </c>
      <c r="Y83" s="55">
        <v>-1.3164993823766003E-2</v>
      </c>
      <c r="Z83" s="56">
        <v>-1.3162387355516296E-2</v>
      </c>
      <c r="AA83" s="57">
        <f t="shared" si="22"/>
        <v>0</v>
      </c>
      <c r="AB83" s="55">
        <v>-3.3868870568491374E-2</v>
      </c>
      <c r="AC83" s="58">
        <v>-3.3867558129277178E-2</v>
      </c>
      <c r="AD83" s="57">
        <f t="shared" si="23"/>
        <v>0</v>
      </c>
    </row>
    <row r="84" spans="2:30" ht="14.5" hidden="1" customHeight="1" x14ac:dyDescent="0.4">
      <c r="B84" s="107"/>
      <c r="C84" s="103"/>
      <c r="D84" s="38" t="s">
        <v>56</v>
      </c>
      <c r="E84" s="38"/>
      <c r="F84" s="47" t="s">
        <v>104</v>
      </c>
      <c r="G84" s="60">
        <f>((SUMIFS(SSP1_Baseline!$E:$E,SSP1_Baseline!$C:$C,Results_list!$C$130,SSP1_Baseline!$D:$D,Results_list!$D189,SSP1_Baseline!$B:$B,2040)) - (SUMIFS(SSP1_Baseline!$E:$E,SSP1_Baseline!$C:$C,Results_list!$C$130,SSP1_Baseline!$D:$D,Results_list!$D189,SSP1_Baseline!$B:$B,2025))) / (SUMIFS(SSP1_Baseline!$E:$E,SSP1_Baseline!$C:$C,Results_list!$C$130,SSP1_Baseline!$D:$D,Results_list!$D189,SSP1_Baseline!$B:$B,2025))</f>
        <v>-0.16538872696401724</v>
      </c>
      <c r="H84" s="61">
        <f>((SUMIFS(SSP1_VSI!$F:$F,SSP1_VSI!$C:$C,Results_list!$C$130,SSP1_VSI!$D:$D,Results_list!$D189,SSP1_VSI!$B:$B,2040)) - (SUMIFS(SSP1_VSI!$F:$F,SSP1_VSI!$C:$C,Results_list!$C$130,SSP1_VSI!$D:$D,Results_list!$D189,SSP1_VSI!$B:$B,2025))) / (SUMIFS(SSP1_VSI!$F:$F,SSP1_VSI!$C:$C,Results_list!$C$130,SSP1_VSI!$D:$D,Results_list!$D189,SSP1_VSI!$B:$B,2025))</f>
        <v>-0.16543962069113596</v>
      </c>
      <c r="I84" s="62">
        <f t="shared" si="18"/>
        <v>0</v>
      </c>
      <c r="J84" s="60">
        <f>((SUMIFS(SSP2_Baseline!$E:$E,SSP2_Baseline!$C:$C,Results_list!$C$130,SSP2_Baseline!$D:$D,Results_list!$D189,SSP2_Baseline!$B:$B,2040)) - (SUMIFS(SSP2_Baseline!$E:$E,SSP2_Baseline!$C:$C,Results_list!$C$130,SSP2_Baseline!$D:$D,Results_list!$D189,SSP2_Baseline!$B:$B,2025))) / (SUMIFS(SSP2_Baseline!$E:$E,SSP2_Baseline!$C:$C,Results_list!$C$130,SSP2_Baseline!$D:$D,Results_list!$D189,SSP2_Baseline!$B:$B,2025))</f>
        <v>-0.22014162054549766</v>
      </c>
      <c r="K84" s="61">
        <f>((SUMIFS(SSP2_VSI!$F:$F,SSP2_VSI!$C:$C,Results_list!$C$130,SSP2_VSI!$D:$D,Results_list!$D189,SSP2_VSI!$B:$B,2040)) - (SUMIFS(SSP2_VSI!$F:$F,SSP2_VSI!$C:$C,Results_list!$C$130,SSP2_VSI!$D:$D,Results_list!$D189,SSP2_VSI!$B:$B,2025))) / (SUMIFS(SSP2_VSI!$F:$F,SSP2_VSI!$C:$C,Results_list!$C$130,SSP2_VSI!$D:$D,Results_list!$D189,SSP2_VSI!$B:$B,2025))</f>
        <v>-0.22015429045950838</v>
      </c>
      <c r="L84" s="62">
        <f t="shared" si="19"/>
        <v>0</v>
      </c>
      <c r="M84" s="60">
        <f>((SUMIFS(SSP5_Baseline!$E:$E,SSP5_Baseline!$C:$C,Results_list!$C$130,SSP5_Baseline!$D:$D,Results_list!$D189,SSP5_Baseline!$B:$B,2040)) - (SUMIFS(SSP5_Baseline!$E:$E,SSP5_Baseline!$C:$C,Results_list!$C$130,SSP5_Baseline!$D:$D,Results_list!$D189,SSP5_Baseline!$B:$B,2025))) / (SUMIFS(SSP5_Baseline!$E:$E,SSP5_Baseline!$C:$C,Results_list!$C$130,SSP5_Baseline!$D:$D,Results_list!$D189,SSP5_Baseline!$B:$B,2025))</f>
        <v>-3.4177048322427982E-2</v>
      </c>
      <c r="N84" s="61">
        <f>((SUMIFS(SSP5_VSI!$F:$F,SSP5_VSI!$C:$C,Results_list!$C$130,SSP5_VSI!$D:$D,Results_list!$D189,SSP5_VSI!$B:$B,2040)) - (SUMIFS(SSP5_VSI!$F:$F,SSP5_VSI!$C:$C,Results_list!$C$130,SSP5_VSI!$D:$D,Results_list!$D189,SSP5_VSI!$B:$B,2025))) / (SUMIFS(SSP5_VSI!$F:$F,SSP5_VSI!$C:$C,Results_list!$C$130,SSP5_VSI!$D:$D,Results_list!$D189,SSP5_VSI!$B:$B,2025))</f>
        <v>-3.417352875887069E-2</v>
      </c>
      <c r="O84" s="62">
        <f t="shared" si="20"/>
        <v>0</v>
      </c>
      <c r="P84" s="38"/>
      <c r="Q84" s="111"/>
      <c r="R84" s="112"/>
      <c r="S84" s="67" t="s">
        <v>56</v>
      </c>
      <c r="T84" s="51" t="s">
        <v>81</v>
      </c>
      <c r="U84" s="47" t="s">
        <v>104</v>
      </c>
      <c r="V84" s="63">
        <v>-0.24741138135198518</v>
      </c>
      <c r="W84" s="64">
        <v>-0.24740891712105509</v>
      </c>
      <c r="X84" s="65">
        <f t="shared" si="21"/>
        <v>0</v>
      </c>
      <c r="Y84" s="63">
        <v>-0.25702020231050188</v>
      </c>
      <c r="Z84" s="64">
        <v>-0.25701051118803697</v>
      </c>
      <c r="AA84" s="65">
        <f t="shared" si="22"/>
        <v>0</v>
      </c>
      <c r="AB84" s="63">
        <v>8.1391895201877576E-2</v>
      </c>
      <c r="AC84" s="64">
        <v>8.1390934851384419E-2</v>
      </c>
      <c r="AD84" s="65">
        <f t="shared" si="23"/>
        <v>0</v>
      </c>
    </row>
    <row r="85" spans="2:30" ht="16" hidden="1" x14ac:dyDescent="0.4"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38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</row>
    <row r="86" spans="2:30" ht="16" hidden="1" x14ac:dyDescent="0.4">
      <c r="B86" s="38"/>
      <c r="C86" s="38"/>
      <c r="D86" s="38"/>
      <c r="E86" s="38"/>
      <c r="F86" s="39"/>
      <c r="G86" s="98" t="s">
        <v>3</v>
      </c>
      <c r="H86" s="99"/>
      <c r="I86" s="99"/>
      <c r="J86" s="99"/>
      <c r="K86" s="99"/>
      <c r="L86" s="99"/>
      <c r="M86" s="99"/>
      <c r="N86" s="99"/>
      <c r="O86" s="100"/>
      <c r="P86" s="38"/>
      <c r="Q86" s="38"/>
      <c r="R86" s="38"/>
      <c r="S86" s="38"/>
      <c r="T86" s="38"/>
      <c r="U86" s="39"/>
      <c r="V86" s="108" t="s">
        <v>3</v>
      </c>
      <c r="W86" s="109"/>
      <c r="X86" s="109"/>
      <c r="Y86" s="109"/>
      <c r="Z86" s="109"/>
      <c r="AA86" s="109"/>
      <c r="AB86" s="109"/>
      <c r="AC86" s="109"/>
      <c r="AD86" s="110"/>
    </row>
    <row r="87" spans="2:30" ht="48" hidden="1" x14ac:dyDescent="0.4">
      <c r="B87" s="40" t="s">
        <v>30</v>
      </c>
      <c r="C87" s="40" t="s">
        <v>30</v>
      </c>
      <c r="D87" s="41" t="s">
        <v>106</v>
      </c>
      <c r="E87" s="42" t="s">
        <v>131</v>
      </c>
      <c r="F87" s="41" t="s">
        <v>106</v>
      </c>
      <c r="G87" s="43" t="s">
        <v>0</v>
      </c>
      <c r="H87" s="44" t="s">
        <v>108</v>
      </c>
      <c r="I87" s="42" t="s">
        <v>137</v>
      </c>
      <c r="J87" s="43" t="s">
        <v>1</v>
      </c>
      <c r="K87" s="44" t="s">
        <v>109</v>
      </c>
      <c r="L87" s="42" t="s">
        <v>137</v>
      </c>
      <c r="M87" s="43" t="s">
        <v>2</v>
      </c>
      <c r="N87" s="44" t="s">
        <v>110</v>
      </c>
      <c r="O87" s="42" t="s">
        <v>137</v>
      </c>
      <c r="P87" s="38"/>
      <c r="Q87" s="40" t="s">
        <v>30</v>
      </c>
      <c r="R87" s="45" t="s">
        <v>30</v>
      </c>
      <c r="S87" s="46" t="s">
        <v>106</v>
      </c>
      <c r="T87" s="42" t="s">
        <v>131</v>
      </c>
      <c r="U87" s="41" t="s">
        <v>106</v>
      </c>
      <c r="V87" s="43" t="s">
        <v>0</v>
      </c>
      <c r="W87" s="44" t="s">
        <v>108</v>
      </c>
      <c r="X87" s="42" t="s">
        <v>137</v>
      </c>
      <c r="Y87" s="43" t="s">
        <v>1</v>
      </c>
      <c r="Z87" s="44" t="s">
        <v>109</v>
      </c>
      <c r="AA87" s="42" t="s">
        <v>137</v>
      </c>
      <c r="AB87" s="43" t="s">
        <v>2</v>
      </c>
      <c r="AC87" s="44" t="s">
        <v>110</v>
      </c>
      <c r="AD87" s="42" t="s">
        <v>137</v>
      </c>
    </row>
    <row r="88" spans="2:30" ht="16" x14ac:dyDescent="0.4">
      <c r="B88" s="107" t="s">
        <v>117</v>
      </c>
      <c r="C88" s="103" t="s">
        <v>65</v>
      </c>
      <c r="D88" s="38" t="s">
        <v>38</v>
      </c>
      <c r="E88" s="38"/>
      <c r="F88" s="47" t="s">
        <v>87</v>
      </c>
      <c r="G88" s="48">
        <f>((SUMIFS(SSP1_Baseline!$E:$E,SSP1_Baseline!$C:$C,Results_list!$C$151,SSP1_Baseline!$D:$D,Results_list!$D193,SSP1_Baseline!$B:$B,2040))
- (SUMIFS(SSP1_Baseline!$E:$E,SSP1_Baseline!$C:$C,Results_list!$C$151,SSP1_Baseline!$D:$D,Results_list!$D193,SSP1_Baseline!$B:$B,2025)))
/ (SUMIFS(SSP1_Baseline!$E:$E,SSP1_Baseline!$C:$C,Results_list!$C$151,SSP1_Baseline!$D:$D,Results_list!$D193,SSP1_Baseline!$B:$B,2025))</f>
        <v>-2.4117525478010195E-2</v>
      </c>
      <c r="H88" s="49">
        <f>((SUMIFS(SSP1_VSI!$F:$F,SSP1_VSI!$C:$C,Results_list!$C$151,SSP1_VSI!$D:$D,Results_list!$D193,SSP1_VSI!$B:$B,2040))
- (SUMIFS(SSP1_VSI!$F:$F,SSP1_VSI!$C:$C,Results_list!$C$151,SSP1_VSI!$D:$D,Results_list!$D193,SSP1_VSI!$B:$B,2025)))
/ (SUMIFS(SSP1_VSI!$F:$F,SSP1_VSI!$C:$C,Results_list!$C$151,SSP1_VSI!$D:$D,Results_list!$D193,SSP1_VSI!$B:$B,2025))</f>
        <v>-3.0268481715841081E-2</v>
      </c>
      <c r="I88" s="50">
        <f t="shared" ref="I88:I105" si="24">ROUND(H88-G88,3)</f>
        <v>-6.0000000000000001E-3</v>
      </c>
      <c r="J88" s="48">
        <f>((SUMIFS(SSP2_Baseline!$E:$E,SSP2_Baseline!$C:$C,Results_list!$C$151,SSP2_Baseline!$D:$D,Results_list!$D193,SSP2_Baseline!$B:$B,2040))
- (SUMIFS(SSP2_Baseline!$E:$E,SSP2_Baseline!$C:$C,Results_list!$C$151,SSP2_Baseline!$D:$D,Results_list!$D193,SSP2_Baseline!$B:$B,2025)))
/ (SUMIFS(SSP2_Baseline!$E:$E,SSP2_Baseline!$C:$C,Results_list!$C$151,SSP2_Baseline!$D:$D,Results_list!$D193,SSP2_Baseline!$B:$B,2025))</f>
        <v>7.3634475856926229E-2</v>
      </c>
      <c r="K88" s="49">
        <f>((SUMIFS(SSP2_VSI!$F:$F,SSP2_VSI!$C:$C,Results_list!$C$151,SSP2_VSI!$D:$D,Results_list!$D193,SSP2_VSI!$B:$B,2040))
- (SUMIFS(SSP2_VSI!$F:$F,SSP2_VSI!$C:$C,Results_list!$C$151,SSP2_VSI!$D:$D,Results_list!$D193,SSP2_VSI!$B:$B,2025)))
/ (SUMIFS(SSP2_VSI!$F:$F,SSP2_VSI!$C:$C,Results_list!$C$151,SSP2_VSI!$D:$D,Results_list!$D193,SSP2_VSI!$B:$B,2025))</f>
        <v>6.6264283727975826E-2</v>
      </c>
      <c r="L88" s="50">
        <f t="shared" ref="L88:L105" si="25">ROUND(K88-J88,2)</f>
        <v>-0.01</v>
      </c>
      <c r="M88" s="48">
        <f>((SUMIFS(SSP5_Baseline!$E:$E,SSP5_Baseline!$C:$C,Results_list!$C$151,SSP5_Baseline!$D:$D,Results_list!$D193,SSP5_Baseline!$B:$B,2040))
- (SUMIFS(SSP5_Baseline!$E:$E,SSP5_Baseline!$C:$C,Results_list!$C$151,SSP5_Baseline!$D:$D,Results_list!$D193,SSP5_Baseline!$B:$B,2025)))
/ (SUMIFS(SSP5_Baseline!$E:$E,SSP5_Baseline!$C:$C,Results_list!$C$151,SSP5_Baseline!$D:$D,Results_list!$D193,SSP5_Baseline!$B:$B,2025))</f>
        <v>0.10950624282893597</v>
      </c>
      <c r="N88" s="49">
        <f>((SUMIFS(SSP5_VSI!$F:$F,SSP5_VSI!$C:$C,Results_list!$C$151,SSP5_VSI!$D:$D,Results_list!$D193,SSP5_VSI!$B:$B,2040))
- (SUMIFS(SSP5_VSI!$F:$F,SSP5_VSI!$C:$C,Results_list!$C$151,SSP5_VSI!$D:$D,Results_list!$D193,SSP5_VSI!$B:$B,2025)))
/ (SUMIFS(SSP5_VSI!$F:$F,SSP5_VSI!$C:$C,Results_list!$C$151,SSP5_VSI!$D:$D,Results_list!$D193,SSP5_VSI!$B:$B,2025))</f>
        <v>0.10207119948011843</v>
      </c>
      <c r="O88" s="50">
        <f t="shared" ref="O88:O105" si="26">ROUND(N88-M88,2)</f>
        <v>-0.01</v>
      </c>
      <c r="P88" s="38"/>
      <c r="Q88" s="111" t="s">
        <v>124</v>
      </c>
      <c r="R88" s="112" t="s">
        <v>83</v>
      </c>
      <c r="S88" s="38" t="s">
        <v>38</v>
      </c>
      <c r="T88" s="38"/>
      <c r="U88" s="47" t="s">
        <v>87</v>
      </c>
      <c r="V88" s="48">
        <f>((SUMIFS(SSP1_Baseline!$E:$E,SSP1_Baseline!$C:$C,Results_list!$C$361,SSP1_Baseline!$D:$D,Results_list!$D25,SSP1_Baseline!$B:$B,2040)) - (SUMIFS(SSP1_Baseline!$E:$E,SSP1_Baseline!$C:$C,Results_list!$C$361,SSP1_Baseline!$D:$D,Results_list!$D25,SSP1_Baseline!$B:$B,2025))) / (SUMIFS(SSP1_Baseline!$E:$E,SSP1_Baseline!$C:$C,Results_list!$C$361,SSP1_Baseline!$D:$D,Results_list!$D25,SSP1_Baseline!$B:$B,2025))</f>
        <v>-0.16992571195962511</v>
      </c>
      <c r="W88" s="49">
        <f>((SUMIFS(SSP1_VSI!$F:$F,SSP1_VSI!$C:$C,Results_list!$C$361,SSP1_VSI!$D:$D,Results_list!$D25,SSP1_VSI!$B:$B,2040)) - (SUMIFS(SSP1_VSI!$F:$F,SSP1_VSI!$C:$C,Results_list!$C$361,SSP1_VSI!$D:$D,Results_list!$D25,SSP1_VSI!$B:$B,2025))) / (SUMIFS(SSP1_VSI!$F:$F,SSP1_VSI!$C:$C,Results_list!$C$361,SSP1_VSI!$D:$D,Results_list!$D25,SSP1_VSI!$B:$B,2025))</f>
        <v>-0.16992469891612599</v>
      </c>
      <c r="X88" s="50">
        <f>ROUND(W88-V88,3)</f>
        <v>0</v>
      </c>
      <c r="Y88" s="48">
        <f>((SUMIFS(SSP2_Baseline!$E:$E,SSP2_Baseline!$C:$C,Results_list!$C$361,SSP2_Baseline!$D:$D,Results_list!$D25,SSP2_Baseline!$B:$B,2040)) - (SUMIFS(SSP2_Baseline!$E:$E,SSP2_Baseline!$C:$C,Results_list!$C$361,SSP2_Baseline!$D:$D,Results_list!$D25,SSP2_Baseline!$B:$B,2025))) / (SUMIFS(SSP2_Baseline!$E:$E,SSP2_Baseline!$C:$C,Results_list!$C$361,SSP2_Baseline!$D:$D,Results_list!$D25,SSP2_Baseline!$B:$B,2025))</f>
        <v>0.72349672818391653</v>
      </c>
      <c r="Z88" s="49">
        <f>((SUMIFS(SSP2_VSI!$F:$F,SSP2_VSI!$C:$C,Results_list!$C$361,SSP2_VSI!$D:$D,Results_list!$D25,SSP2_VSI!$B:$B,2040)) - (SUMIFS(SSP2_VSI!$F:$F,SSP2_VSI!$C:$C,Results_list!$C$361,SSP2_VSI!$D:$D,Results_list!$D25,SSP2_VSI!$B:$B,2025))) / (SUMIFS(SSP2_VSI!$F:$F,SSP2_VSI!$C:$C,Results_list!$C$361,SSP2_VSI!$D:$D,Results_list!$D25,SSP2_VSI!$B:$B,2025))</f>
        <v>0.72337616312750808</v>
      </c>
      <c r="AA88" s="50">
        <f>ROUND(Z88-Y88,2)</f>
        <v>0</v>
      </c>
      <c r="AB88" s="48">
        <f>((SUMIFS(SSP5_Baseline!$E:$E,SSP5_Baseline!$C:$C,Results_list!$C$361,SSP5_Baseline!$D:$D,Results_list!$D25,SSP5_Baseline!$B:$B,2040)) - (SUMIFS(SSP5_Baseline!$E:$E,SSP5_Baseline!$C:$C,Results_list!$C$361,SSP5_Baseline!$D:$D,Results_list!$D25,SSP5_Baseline!$B:$B,2025))) / (SUMIFS(SSP5_Baseline!$E:$E,SSP5_Baseline!$C:$C,Results_list!$C$361,SSP5_Baseline!$D:$D,Results_list!$D25,SSP5_Baseline!$B:$B,2025))</f>
        <v>1.2870743126930753</v>
      </c>
      <c r="AC88" s="49">
        <f>((SUMIFS(SSP5_VSI!$F:$F,SSP5_VSI!$C:$C,Results_list!$C$361,SSP5_VSI!$D:$D,Results_list!$D25,SSP5_VSI!$B:$B,2040)) - (SUMIFS(SSP5_VSI!$F:$F,SSP5_VSI!$C:$C,Results_list!$C$361,SSP5_VSI!$D:$D,Results_list!$D25,SSP5_VSI!$B:$B,2025))) / (SUMIFS(SSP5_VSI!$F:$F,SSP5_VSI!$C:$C,Results_list!$C$361,SSP5_VSI!$D:$D,Results_list!$D25,SSP5_VSI!$B:$B,2025))</f>
        <v>1.2870933222601533</v>
      </c>
      <c r="AD88" s="50">
        <f>ROUND(AC88-AB88,2)</f>
        <v>0</v>
      </c>
    </row>
    <row r="89" spans="2:30" ht="16" hidden="1" x14ac:dyDescent="0.4">
      <c r="B89" s="107"/>
      <c r="C89" s="103"/>
      <c r="D89" s="38" t="s">
        <v>40</v>
      </c>
      <c r="E89" s="38"/>
      <c r="F89" s="47" t="s">
        <v>88</v>
      </c>
      <c r="G89" s="48">
        <f>((SUMIFS(SSP1_Baseline!$E:$E,SSP1_Baseline!$C:$C,Results_list!$C$151,SSP1_Baseline!$D:$D,Results_list!$D194,SSP1_Baseline!$B:$B,2040)) - (SUMIFS(SSP1_Baseline!$E:$E,SSP1_Baseline!$C:$C,Results_list!$C$151,SSP1_Baseline!$D:$D,Results_list!$D194,SSP1_Baseline!$B:$B,2025))) / (SUMIFS(SSP1_Baseline!$E:$E,SSP1_Baseline!$C:$C,Results_list!$C$151,SSP1_Baseline!$D:$D,Results_list!$D194,SSP1_Baseline!$B:$B,2025))</f>
        <v>-3.3833372607660846E-2</v>
      </c>
      <c r="H89" s="49">
        <f>((SUMIFS(SSP1_VSI!$F:$F,SSP1_VSI!$C:$C,Results_list!$C$151,SSP1_VSI!$D:$D,Results_list!$D194,SSP1_VSI!$B:$B,2040)) - (SUMIFS(SSP1_VSI!$F:$F,SSP1_VSI!$C:$C,Results_list!$C$151,SSP1_VSI!$D:$D,Results_list!$D194,SSP1_VSI!$B:$B,2025))) / (SUMIFS(SSP1_VSI!$F:$F,SSP1_VSI!$C:$C,Results_list!$C$151,SSP1_VSI!$D:$D,Results_list!$D194,SSP1_VSI!$B:$B,2025))</f>
        <v>-3.3837084323939143E-2</v>
      </c>
      <c r="I89" s="52">
        <f t="shared" si="24"/>
        <v>0</v>
      </c>
      <c r="J89" s="48">
        <f>((SUMIFS(SSP2_Baseline!$E:$E,SSP2_Baseline!$C:$C,Results_list!$C$151,SSP2_Baseline!$D:$D,Results_list!$D194,SSP2_Baseline!$B:$B,2040)) - (SUMIFS(SSP2_Baseline!$E:$E,SSP2_Baseline!$C:$C,Results_list!$C$151,SSP2_Baseline!$D:$D,Results_list!$D194,SSP2_Baseline!$B:$B,2025))) / (SUMIFS(SSP2_Baseline!$E:$E,SSP2_Baseline!$C:$C,Results_list!$C$151,SSP2_Baseline!$D:$D,Results_list!$D194,SSP2_Baseline!$B:$B,2025))</f>
        <v>-3.668308007207878E-2</v>
      </c>
      <c r="K89" s="49">
        <f>((SUMIFS(SSP2_VSI!$F:$F,SSP2_VSI!$C:$C,Results_list!$C$151,SSP2_VSI!$D:$D,Results_list!$D194,SSP2_VSI!$B:$B,2040)) - (SUMIFS(SSP2_VSI!$F:$F,SSP2_VSI!$C:$C,Results_list!$C$151,SSP2_VSI!$D:$D,Results_list!$D194,SSP2_VSI!$B:$B,2025))) / (SUMIFS(SSP2_VSI!$F:$F,SSP2_VSI!$C:$C,Results_list!$C$151,SSP2_VSI!$D:$D,Results_list!$D194,SSP2_VSI!$B:$B,2025))</f>
        <v>-3.6691889987989182E-2</v>
      </c>
      <c r="L89" s="52">
        <f t="shared" si="25"/>
        <v>0</v>
      </c>
      <c r="M89" s="48">
        <f>((SUMIFS(SSP5_Baseline!$E:$E,SSP5_Baseline!$C:$C,Results_list!$C$151,SSP5_Baseline!$D:$D,Results_list!$D194,SSP5_Baseline!$B:$B,2040)) - (SUMIFS(SSP5_Baseline!$E:$E,SSP5_Baseline!$C:$C,Results_list!$C$151,SSP5_Baseline!$D:$D,Results_list!$D194,SSP5_Baseline!$B:$B,2025))) / (SUMIFS(SSP5_Baseline!$E:$E,SSP5_Baseline!$C:$C,Results_list!$C$151,SSP5_Baseline!$D:$D,Results_list!$D194,SSP5_Baseline!$B:$B,2025))</f>
        <v>-2.3644706154830608E-2</v>
      </c>
      <c r="N89" s="49">
        <f>((SUMIFS(SSP5_VSI!$F:$F,SSP5_VSI!$C:$C,Results_list!$C$151,SSP5_VSI!$D:$D,Results_list!$D194,SSP5_VSI!$B:$B,2040)) - (SUMIFS(SSP5_VSI!$F:$F,SSP5_VSI!$C:$C,Results_list!$C$151,SSP5_VSI!$D:$D,Results_list!$D194,SSP5_VSI!$B:$B,2025))) / (SUMIFS(SSP5_VSI!$F:$F,SSP5_VSI!$C:$C,Results_list!$C$151,SSP5_VSI!$D:$D,Results_list!$D194,SSP5_VSI!$B:$B,2025))</f>
        <v>-2.3663315136722731E-2</v>
      </c>
      <c r="O89" s="52">
        <f t="shared" si="26"/>
        <v>0</v>
      </c>
      <c r="P89" s="38"/>
      <c r="Q89" s="111"/>
      <c r="R89" s="112"/>
      <c r="S89" s="38" t="s">
        <v>40</v>
      </c>
      <c r="T89" s="38"/>
      <c r="U89" s="47" t="s">
        <v>88</v>
      </c>
      <c r="V89" s="48">
        <f>((SUMIFS(SSP1_Baseline!$E:$E,SSP1_Baseline!$C:$C,Results_list!$C$361,SSP1_Baseline!$D:$D,Results_list!$D26,SSP1_Baseline!$B:$B,2040)) - (SUMIFS(SSP1_Baseline!$E:$E,SSP1_Baseline!$C:$C,Results_list!$C$361,SSP1_Baseline!$D:$D,Results_list!$D26,SSP1_Baseline!$B:$B,2025))) / (SUMIFS(SSP1_Baseline!$E:$E,SSP1_Baseline!$C:$C,Results_list!$C$361,SSP1_Baseline!$D:$D,Results_list!$D26,SSP1_Baseline!$B:$B,2025))</f>
        <v>-0.18154729052542162</v>
      </c>
      <c r="W89" s="49">
        <f>((SUMIFS(SSP1_VSI!$F:$F,SSP1_VSI!$C:$C,Results_list!$C$361,SSP1_VSI!$D:$D,Results_list!$D26,SSP1_VSI!$B:$B,2040)) - (SUMIFS(SSP1_VSI!$F:$F,SSP1_VSI!$C:$C,Results_list!$C$361,SSP1_VSI!$D:$D,Results_list!$D26,SSP1_VSI!$B:$B,2025))) / (SUMIFS(SSP1_VSI!$F:$F,SSP1_VSI!$C:$C,Results_list!$C$361,SSP1_VSI!$D:$D,Results_list!$D26,SSP1_VSI!$B:$B,2025))</f>
        <v>-0.18154531598872142</v>
      </c>
      <c r="X89" s="52">
        <f t="shared" ref="X89:X105" si="27">ROUND(W89-V89,3)</f>
        <v>0</v>
      </c>
      <c r="Y89" s="48">
        <f>((SUMIFS(SSP2_Baseline!$E:$E,SSP2_Baseline!$C:$C,Results_list!$C$361,SSP2_Baseline!$D:$D,Results_list!$D26,SSP2_Baseline!$B:$B,2040)) - (SUMIFS(SSP2_Baseline!$E:$E,SSP2_Baseline!$C:$C,Results_list!$C$361,SSP2_Baseline!$D:$D,Results_list!$D26,SSP2_Baseline!$B:$B,2025))) / (SUMIFS(SSP2_Baseline!$E:$E,SSP2_Baseline!$C:$C,Results_list!$C$361,SSP2_Baseline!$D:$D,Results_list!$D26,SSP2_Baseline!$B:$B,2025))</f>
        <v>-0.18442878452759182</v>
      </c>
      <c r="Z89" s="49">
        <f>((SUMIFS(SSP2_VSI!$F:$F,SSP2_VSI!$C:$C,Results_list!$C$361,SSP2_VSI!$D:$D,Results_list!$D26,SSP2_VSI!$B:$B,2040)) - (SUMIFS(SSP2_VSI!$F:$F,SSP2_VSI!$C:$C,Results_list!$C$361,SSP2_VSI!$D:$D,Results_list!$D26,SSP2_VSI!$B:$B,2025))) / (SUMIFS(SSP2_VSI!$F:$F,SSP2_VSI!$C:$C,Results_list!$C$361,SSP2_VSI!$D:$D,Results_list!$D26,SSP2_VSI!$B:$B,2025))</f>
        <v>-0.18443940068321957</v>
      </c>
      <c r="AA89" s="52">
        <f t="shared" ref="AA89:AA105" si="28">ROUND(Z89-Y89,2)</f>
        <v>0</v>
      </c>
      <c r="AB89" s="48">
        <f>((SUMIFS(SSP5_Baseline!$E:$E,SSP5_Baseline!$C:$C,Results_list!$C$361,SSP5_Baseline!$D:$D,Results_list!$D26,SSP5_Baseline!$B:$B,2040)) - (SUMIFS(SSP5_Baseline!$E:$E,SSP5_Baseline!$C:$C,Results_list!$C$361,SSP5_Baseline!$D:$D,Results_list!$D26,SSP5_Baseline!$B:$B,2025))) / (SUMIFS(SSP5_Baseline!$E:$E,SSP5_Baseline!$C:$C,Results_list!$C$361,SSP5_Baseline!$D:$D,Results_list!$D26,SSP5_Baseline!$B:$B,2025))</f>
        <v>7.1155075987632779E-2</v>
      </c>
      <c r="AC89" s="49">
        <f>((SUMIFS(SSP5_VSI!$F:$F,SSP5_VSI!$C:$C,Results_list!$C$361,SSP5_VSI!$D:$D,Results_list!$D26,SSP5_VSI!$B:$B,2040)) - (SUMIFS(SSP5_VSI!$F:$F,SSP5_VSI!$C:$C,Results_list!$C$361,SSP5_VSI!$D:$D,Results_list!$D26,SSP5_VSI!$B:$B,2025))) / (SUMIFS(SSP5_VSI!$F:$F,SSP5_VSI!$C:$C,Results_list!$C$361,SSP5_VSI!$D:$D,Results_list!$D26,SSP5_VSI!$B:$B,2025))</f>
        <v>7.1123403553118456E-2</v>
      </c>
      <c r="AD89" s="52">
        <f t="shared" ref="AD89:AD105" si="29">ROUND(AC89-AB89,2)</f>
        <v>0</v>
      </c>
    </row>
    <row r="90" spans="2:30" ht="16" x14ac:dyDescent="0.4">
      <c r="B90" s="107"/>
      <c r="C90" s="103"/>
      <c r="D90" s="38" t="s">
        <v>41</v>
      </c>
      <c r="E90" s="38"/>
      <c r="F90" s="47" t="s">
        <v>89</v>
      </c>
      <c r="G90" s="48">
        <f>((SUMIFS(SSP1_Baseline!$E:$E,SSP1_Baseline!$C:$C,Results_list!$C$151,SSP1_Baseline!$D:$D,Results_list!$D195,SSP1_Baseline!$B:$B,2040)) - (SUMIFS(SSP1_Baseline!$E:$E,SSP1_Baseline!$C:$C,Results_list!$C$151,SSP1_Baseline!$D:$D,Results_list!$D195,SSP1_Baseline!$B:$B,2025))) / (SUMIFS(SSP1_Baseline!$E:$E,SSP1_Baseline!$C:$C,Results_list!$C$151,SSP1_Baseline!$D:$D,Results_list!$D195,SSP1_Baseline!$B:$B,2025))</f>
        <v>-7.5031317976352215E-3</v>
      </c>
      <c r="H90" s="49">
        <f>((SUMIFS(SSP1_VSI!$F:$F,SSP1_VSI!$C:$C,Results_list!$C$151,SSP1_VSI!$D:$D,Results_list!$D195,SSP1_VSI!$B:$B,2040)) - (SUMIFS(SSP1_VSI!$F:$F,SSP1_VSI!$C:$C,Results_list!$C$151,SSP1_VSI!$D:$D,Results_list!$D195,SSP1_VSI!$B:$B,2025))) / (SUMIFS(SSP1_VSI!$F:$F,SSP1_VSI!$C:$C,Results_list!$C$151,SSP1_VSI!$D:$D,Results_list!$D195,SSP1_VSI!$B:$B,2025))</f>
        <v>-0.44702639309807951</v>
      </c>
      <c r="I90" s="52">
        <f t="shared" si="24"/>
        <v>-0.44</v>
      </c>
      <c r="J90" s="48">
        <f>((SUMIFS(SSP2_Baseline!$E:$E,SSP2_Baseline!$C:$C,Results_list!$C$151,SSP2_Baseline!$D:$D,Results_list!$D195,SSP2_Baseline!$B:$B,2040)) - (SUMIFS(SSP2_Baseline!$E:$E,SSP2_Baseline!$C:$C,Results_list!$C$151,SSP2_Baseline!$D:$D,Results_list!$D195,SSP2_Baseline!$B:$B,2025))) / (SUMIFS(SSP2_Baseline!$E:$E,SSP2_Baseline!$C:$C,Results_list!$C$151,SSP2_Baseline!$D:$D,Results_list!$D195,SSP2_Baseline!$B:$B,2025))</f>
        <v>-6.0406738576797873E-3</v>
      </c>
      <c r="K90" s="49">
        <f>((SUMIFS(SSP2_VSI!$F:$F,SSP2_VSI!$C:$C,Results_list!$C$151,SSP2_VSI!$D:$D,Results_list!$D195,SSP2_VSI!$B:$B,2040)) - (SUMIFS(SSP2_VSI!$F:$F,SSP2_VSI!$C:$C,Results_list!$C$151,SSP2_VSI!$D:$D,Results_list!$D195,SSP2_VSI!$B:$B,2025))) / (SUMIFS(SSP2_VSI!$F:$F,SSP2_VSI!$C:$C,Results_list!$C$151,SSP2_VSI!$D:$D,Results_list!$D195,SSP2_VSI!$B:$B,2025))</f>
        <v>-0.44623412941637369</v>
      </c>
      <c r="L90" s="52">
        <f t="shared" si="25"/>
        <v>-0.44</v>
      </c>
      <c r="M90" s="48">
        <f>((SUMIFS(SSP5_Baseline!$E:$E,SSP5_Baseline!$C:$C,Results_list!$C$151,SSP5_Baseline!$D:$D,Results_list!$D195,SSP5_Baseline!$B:$B,2040)) - (SUMIFS(SSP5_Baseline!$E:$E,SSP5_Baseline!$C:$C,Results_list!$C$151,SSP5_Baseline!$D:$D,Results_list!$D195,SSP5_Baseline!$B:$B,2025))) / (SUMIFS(SSP5_Baseline!$E:$E,SSP5_Baseline!$C:$C,Results_list!$C$151,SSP5_Baseline!$D:$D,Results_list!$D195,SSP5_Baseline!$B:$B,2025))</f>
        <v>-4.2805239119990549E-3</v>
      </c>
      <c r="N90" s="49">
        <f>((SUMIFS(SSP5_VSI!$F:$F,SSP5_VSI!$C:$C,Results_list!$C$151,SSP5_VSI!$D:$D,Results_list!$D195,SSP5_VSI!$B:$B,2040)) - (SUMIFS(SSP5_VSI!$F:$F,SSP5_VSI!$C:$C,Results_list!$C$151,SSP5_VSI!$D:$D,Results_list!$D195,SSP5_VSI!$B:$B,2025))) / (SUMIFS(SSP5_VSI!$F:$F,SSP5_VSI!$C:$C,Results_list!$C$151,SSP5_VSI!$D:$D,Results_list!$D195,SSP5_VSI!$B:$B,2025))</f>
        <v>-0.44438438932201418</v>
      </c>
      <c r="O90" s="52">
        <f t="shared" si="26"/>
        <v>-0.44</v>
      </c>
      <c r="P90" s="38"/>
      <c r="Q90" s="111"/>
      <c r="R90" s="112"/>
      <c r="S90" s="38" t="s">
        <v>41</v>
      </c>
      <c r="T90" s="38"/>
      <c r="U90" s="47" t="s">
        <v>89</v>
      </c>
      <c r="V90" s="48">
        <f>((SUMIFS(SSP1_Baseline!$E:$E,SSP1_Baseline!$C:$C,Results_list!$C$361,SSP1_Baseline!$D:$D,Results_list!$D27,SSP1_Baseline!$B:$B,2040)) - (SUMIFS(SSP1_Baseline!$E:$E,SSP1_Baseline!$C:$C,Results_list!$C$361,SSP1_Baseline!$D:$D,Results_list!$D27,SSP1_Baseline!$B:$B,2025))) / (SUMIFS(SSP1_Baseline!$E:$E,SSP1_Baseline!$C:$C,Results_list!$C$361,SSP1_Baseline!$D:$D,Results_list!$D27,SSP1_Baseline!$B:$B,2025))</f>
        <v>-0.20608654813844882</v>
      </c>
      <c r="W90" s="49">
        <f>((SUMIFS(SSP1_VSI!$F:$F,SSP1_VSI!$C:$C,Results_list!$C$361,SSP1_VSI!$D:$D,Results_list!$D27,SSP1_VSI!$B:$B,2040)) - (SUMIFS(SSP1_VSI!$F:$F,SSP1_VSI!$C:$C,Results_list!$C$361,SSP1_VSI!$D:$D,Results_list!$D27,SSP1_VSI!$B:$B,2025))) / (SUMIFS(SSP1_VSI!$F:$F,SSP1_VSI!$C:$C,Results_list!$C$361,SSP1_VSI!$D:$D,Results_list!$D27,SSP1_VSI!$B:$B,2025))</f>
        <v>-0.20614398237951462</v>
      </c>
      <c r="X90" s="52">
        <f t="shared" si="27"/>
        <v>0</v>
      </c>
      <c r="Y90" s="48">
        <f>((SUMIFS(SSP2_Baseline!$E:$E,SSP2_Baseline!$C:$C,Results_list!$C$361,SSP2_Baseline!$D:$D,Results_list!$D27,SSP2_Baseline!$B:$B,2040)) - (SUMIFS(SSP2_Baseline!$E:$E,SSP2_Baseline!$C:$C,Results_list!$C$361,SSP2_Baseline!$D:$D,Results_list!$D27,SSP2_Baseline!$B:$B,2025))) / (SUMIFS(SSP2_Baseline!$E:$E,SSP2_Baseline!$C:$C,Results_list!$C$361,SSP2_Baseline!$D:$D,Results_list!$D27,SSP2_Baseline!$B:$B,2025))</f>
        <v>-0.20729409684139169</v>
      </c>
      <c r="Z90" s="49">
        <f>((SUMIFS(SSP2_VSI!$F:$F,SSP2_VSI!$C:$C,Results_list!$C$361,SSP2_VSI!$D:$D,Results_list!$D27,SSP2_VSI!$B:$B,2040)) - (SUMIFS(SSP2_VSI!$F:$F,SSP2_VSI!$C:$C,Results_list!$C$361,SSP2_VSI!$D:$D,Results_list!$D27,SSP2_VSI!$B:$B,2025))) / (SUMIFS(SSP2_VSI!$F:$F,SSP2_VSI!$C:$C,Results_list!$C$361,SSP2_VSI!$D:$D,Results_list!$D27,SSP2_VSI!$B:$B,2025))</f>
        <v>-0.20730077180574522</v>
      </c>
      <c r="AA90" s="52">
        <f t="shared" si="28"/>
        <v>0</v>
      </c>
      <c r="AB90" s="48">
        <f>((SUMIFS(SSP5_Baseline!$E:$E,SSP5_Baseline!$C:$C,Results_list!$C$361,SSP5_Baseline!$D:$D,Results_list!$D27,SSP5_Baseline!$B:$B,2040)) - (SUMIFS(SSP5_Baseline!$E:$E,SSP5_Baseline!$C:$C,Results_list!$C$361,SSP5_Baseline!$D:$D,Results_list!$D27,SSP5_Baseline!$B:$B,2025))) / (SUMIFS(SSP5_Baseline!$E:$E,SSP5_Baseline!$C:$C,Results_list!$C$361,SSP5_Baseline!$D:$D,Results_list!$D27,SSP5_Baseline!$B:$B,2025))</f>
        <v>-5.1871109038497398E-2</v>
      </c>
      <c r="AC90" s="49">
        <f>((SUMIFS(SSP5_VSI!$F:$F,SSP5_VSI!$C:$C,Results_list!$C$361,SSP5_VSI!$D:$D,Results_list!$D27,SSP5_VSI!$B:$B,2040)) - (SUMIFS(SSP5_VSI!$F:$F,SSP5_VSI!$C:$C,Results_list!$C$361,SSP5_VSI!$D:$D,Results_list!$D27,SSP5_VSI!$B:$B,2025))) / (SUMIFS(SSP5_VSI!$F:$F,SSP5_VSI!$C:$C,Results_list!$C$361,SSP5_VSI!$D:$D,Results_list!$D27,SSP5_VSI!$B:$B,2025))</f>
        <v>-5.190607764226534E-2</v>
      </c>
      <c r="AD90" s="52">
        <f t="shared" si="29"/>
        <v>0</v>
      </c>
    </row>
    <row r="91" spans="2:30" ht="16" x14ac:dyDescent="0.4">
      <c r="B91" s="107"/>
      <c r="C91" s="103"/>
      <c r="D91" s="38" t="s">
        <v>42</v>
      </c>
      <c r="E91" s="38"/>
      <c r="F91" s="47" t="s">
        <v>90</v>
      </c>
      <c r="G91" s="48">
        <f>((SUMIFS(SSP1_Baseline!$E:$E,SSP1_Baseline!$C:$C,Results_list!$C$151,SSP1_Baseline!$D:$D,Results_list!$D196,SSP1_Baseline!$B:$B,2040)) - (SUMIFS(SSP1_Baseline!$E:$E,SSP1_Baseline!$C:$C,Results_list!$C$151,SSP1_Baseline!$D:$D,Results_list!$D196,SSP1_Baseline!$B:$B,2025))) / (SUMIFS(SSP1_Baseline!$E:$E,SSP1_Baseline!$C:$C,Results_list!$C$151,SSP1_Baseline!$D:$D,Results_list!$D196,SSP1_Baseline!$B:$B,2025))</f>
        <v>-4.0082817555418919E-3</v>
      </c>
      <c r="H91" s="49">
        <f>((SUMIFS(SSP1_VSI!$F:$F,SSP1_VSI!$C:$C,Results_list!$C$151,SSP1_VSI!$D:$D,Results_list!$D196,SSP1_VSI!$B:$B,2040)) - (SUMIFS(SSP1_VSI!$F:$F,SSP1_VSI!$C:$C,Results_list!$C$151,SSP1_VSI!$D:$D,Results_list!$D196,SSP1_VSI!$B:$B,2025))) / (SUMIFS(SSP1_VSI!$F:$F,SSP1_VSI!$C:$C,Results_list!$C$151,SSP1_VSI!$D:$D,Results_list!$D196,SSP1_VSI!$B:$B,2025))</f>
        <v>-2.0879538749756409E-2</v>
      </c>
      <c r="I91" s="52">
        <f t="shared" si="24"/>
        <v>-1.7000000000000001E-2</v>
      </c>
      <c r="J91" s="48">
        <f>((SUMIFS(SSP2_Baseline!$E:$E,SSP2_Baseline!$C:$C,Results_list!$C$151,SSP2_Baseline!$D:$D,Results_list!$D196,SSP2_Baseline!$B:$B,2040)) - (SUMIFS(SSP2_Baseline!$E:$E,SSP2_Baseline!$C:$C,Results_list!$C$151,SSP2_Baseline!$D:$D,Results_list!$D196,SSP2_Baseline!$B:$B,2025))) / (SUMIFS(SSP2_Baseline!$E:$E,SSP2_Baseline!$C:$C,Results_list!$C$151,SSP2_Baseline!$D:$D,Results_list!$D196,SSP2_Baseline!$B:$B,2025))</f>
        <v>-9.883053753676819E-4</v>
      </c>
      <c r="K91" s="49">
        <f>((SUMIFS(SSP2_VSI!$F:$F,SSP2_VSI!$C:$C,Results_list!$C$151,SSP2_VSI!$D:$D,Results_list!$D196,SSP2_VSI!$B:$B,2040)) - (SUMIFS(SSP2_VSI!$F:$F,SSP2_VSI!$C:$C,Results_list!$C$151,SSP2_VSI!$D:$D,Results_list!$D196,SSP2_VSI!$B:$B,2025))) / (SUMIFS(SSP2_VSI!$F:$F,SSP2_VSI!$C:$C,Results_list!$C$151,SSP2_VSI!$D:$D,Results_list!$D196,SSP2_VSI!$B:$B,2025))</f>
        <v>-1.7892844358433246E-2</v>
      </c>
      <c r="L91" s="52">
        <f t="shared" si="25"/>
        <v>-0.02</v>
      </c>
      <c r="M91" s="48">
        <f>((SUMIFS(SSP5_Baseline!$E:$E,SSP5_Baseline!$C:$C,Results_list!$C$151,SSP5_Baseline!$D:$D,Results_list!$D196,SSP5_Baseline!$B:$B,2040)) - (SUMIFS(SSP5_Baseline!$E:$E,SSP5_Baseline!$C:$C,Results_list!$C$151,SSP5_Baseline!$D:$D,Results_list!$D196,SSP5_Baseline!$B:$B,2025))) / (SUMIFS(SSP5_Baseline!$E:$E,SSP5_Baseline!$C:$C,Results_list!$C$151,SSP5_Baseline!$D:$D,Results_list!$D196,SSP5_Baseline!$B:$B,2025))</f>
        <v>6.3629101054866214E-3</v>
      </c>
      <c r="N91" s="49">
        <f>((SUMIFS(SSP5_VSI!$F:$F,SSP5_VSI!$C:$C,Results_list!$C$151,SSP5_VSI!$D:$D,Results_list!$D196,SSP5_VSI!$B:$B,2040)) - (SUMIFS(SSP5_VSI!$F:$F,SSP5_VSI!$C:$C,Results_list!$C$151,SSP5_VSI!$D:$D,Results_list!$D196,SSP5_VSI!$B:$B,2025))) / (SUMIFS(SSP5_VSI!$F:$F,SSP5_VSI!$C:$C,Results_list!$C$151,SSP5_VSI!$D:$D,Results_list!$D196,SSP5_VSI!$B:$B,2025))</f>
        <v>-1.0497248614119537E-2</v>
      </c>
      <c r="O91" s="52">
        <f t="shared" si="26"/>
        <v>-0.02</v>
      </c>
      <c r="P91" s="38"/>
      <c r="Q91" s="111"/>
      <c r="R91" s="112"/>
      <c r="S91" s="38" t="s">
        <v>42</v>
      </c>
      <c r="T91" s="38"/>
      <c r="U91" s="47" t="s">
        <v>90</v>
      </c>
      <c r="V91" s="48">
        <f>((SUMIFS(SSP1_Baseline!$E:$E,SSP1_Baseline!$C:$C,Results_list!$C$361,SSP1_Baseline!$D:$D,Results_list!$D28,SSP1_Baseline!$B:$B,2040)) - (SUMIFS(SSP1_Baseline!$E:$E,SSP1_Baseline!$C:$C,Results_list!$C$361,SSP1_Baseline!$D:$D,Results_list!$D28,SSP1_Baseline!$B:$B,2025))) / (SUMIFS(SSP1_Baseline!$E:$E,SSP1_Baseline!$C:$C,Results_list!$C$361,SSP1_Baseline!$D:$D,Results_list!$D28,SSP1_Baseline!$B:$B,2025))</f>
        <v>-4.4899061304737399E-2</v>
      </c>
      <c r="W91" s="49">
        <f>((SUMIFS(SSP1_VSI!$F:$F,SSP1_VSI!$C:$C,Results_list!$C$361,SSP1_VSI!$D:$D,Results_list!$D28,SSP1_VSI!$B:$B,2040)) - (SUMIFS(SSP1_VSI!$F:$F,SSP1_VSI!$C:$C,Results_list!$C$361,SSP1_VSI!$D:$D,Results_list!$D28,SSP1_VSI!$B:$B,2025))) / (SUMIFS(SSP1_VSI!$F:$F,SSP1_VSI!$C:$C,Results_list!$C$361,SSP1_VSI!$D:$D,Results_list!$D28,SSP1_VSI!$B:$B,2025))</f>
        <v>-0.72100377034395069</v>
      </c>
      <c r="X91" s="52">
        <f t="shared" si="27"/>
        <v>-0.67600000000000005</v>
      </c>
      <c r="Y91" s="48">
        <f>((SUMIFS(SSP2_Baseline!$E:$E,SSP2_Baseline!$C:$C,Results_list!$C$361,SSP2_Baseline!$D:$D,Results_list!$D28,SSP2_Baseline!$B:$B,2040)) - (SUMIFS(SSP2_Baseline!$E:$E,SSP2_Baseline!$C:$C,Results_list!$C$361,SSP2_Baseline!$D:$D,Results_list!$D28,SSP2_Baseline!$B:$B,2025))) / (SUMIFS(SSP2_Baseline!$E:$E,SSP2_Baseline!$C:$C,Results_list!$C$361,SSP2_Baseline!$D:$D,Results_list!$D28,SSP2_Baseline!$B:$B,2025))</f>
        <v>-4.8307071932440132E-2</v>
      </c>
      <c r="Z91" s="49">
        <f>((SUMIFS(SSP2_VSI!$F:$F,SSP2_VSI!$C:$C,Results_list!$C$361,SSP2_VSI!$D:$D,Results_list!$D28,SSP2_VSI!$B:$B,2040)) - (SUMIFS(SSP2_VSI!$F:$F,SSP2_VSI!$C:$C,Results_list!$C$361,SSP2_VSI!$D:$D,Results_list!$D28,SSP2_VSI!$B:$B,2025))) / (SUMIFS(SSP2_VSI!$F:$F,SSP2_VSI!$C:$C,Results_list!$C$361,SSP2_VSI!$D:$D,Results_list!$D28,SSP2_VSI!$B:$B,2025))</f>
        <v>-0.72293751637591663</v>
      </c>
      <c r="AA91" s="52">
        <f t="shared" si="28"/>
        <v>-0.67</v>
      </c>
      <c r="AB91" s="48">
        <f>((SUMIFS(SSP5_Baseline!$E:$E,SSP5_Baseline!$C:$C,Results_list!$C$361,SSP5_Baseline!$D:$D,Results_list!$D28,SSP5_Baseline!$B:$B,2040)) - (SUMIFS(SSP5_Baseline!$E:$E,SSP5_Baseline!$C:$C,Results_list!$C$361,SSP5_Baseline!$D:$D,Results_list!$D28,SSP5_Baseline!$B:$B,2025))) / (SUMIFS(SSP5_Baseline!$E:$E,SSP5_Baseline!$C:$C,Results_list!$C$361,SSP5_Baseline!$D:$D,Results_list!$D28,SSP5_Baseline!$B:$B,2025))</f>
        <v>-2.1489115167716379E-2</v>
      </c>
      <c r="AC91" s="49">
        <f>((SUMIFS(SSP5_VSI!$F:$F,SSP5_VSI!$C:$C,Results_list!$C$361,SSP5_VSI!$D:$D,Results_list!$D28,SSP5_VSI!$B:$B,2040)) - (SUMIFS(SSP5_VSI!$F:$F,SSP5_VSI!$C:$C,Results_list!$C$361,SSP5_VSI!$D:$D,Results_list!$D28,SSP5_VSI!$B:$B,2025))) / (SUMIFS(SSP5_VSI!$F:$F,SSP5_VSI!$C:$C,Results_list!$C$361,SSP5_VSI!$D:$D,Results_list!$D28,SSP5_VSI!$B:$B,2025))</f>
        <v>-0.69264142250924299</v>
      </c>
      <c r="AD91" s="52">
        <f t="shared" si="29"/>
        <v>-0.67</v>
      </c>
    </row>
    <row r="92" spans="2:30" ht="16" x14ac:dyDescent="0.4">
      <c r="B92" s="107"/>
      <c r="C92" s="103"/>
      <c r="D92" s="38" t="s">
        <v>43</v>
      </c>
      <c r="E92" s="38"/>
      <c r="F92" s="47" t="s">
        <v>91</v>
      </c>
      <c r="G92" s="48">
        <f>((SUMIFS(SSP1_Baseline!$E:$E,SSP1_Baseline!$C:$C,Results_list!$C$151,SSP1_Baseline!$D:$D,Results_list!$D197,SSP1_Baseline!$B:$B,2040)) - (SUMIFS(SSP1_Baseline!$E:$E,SSP1_Baseline!$C:$C,Results_list!$C$151,SSP1_Baseline!$D:$D,Results_list!$D197,SSP1_Baseline!$B:$B,2025))) / (SUMIFS(SSP1_Baseline!$E:$E,SSP1_Baseline!$C:$C,Results_list!$C$151,SSP1_Baseline!$D:$D,Results_list!$D197,SSP1_Baseline!$B:$B,2025))</f>
        <v>-1.4076227680998801E-2</v>
      </c>
      <c r="H92" s="49">
        <f>((SUMIFS(SSP1_VSI!$F:$F,SSP1_VSI!$C:$C,Results_list!$C$151,SSP1_VSI!$D:$D,Results_list!$D197,SSP1_VSI!$B:$B,2040)) - (SUMIFS(SSP1_VSI!$F:$F,SSP1_VSI!$C:$C,Results_list!$C$151,SSP1_VSI!$D:$D,Results_list!$D197,SSP1_VSI!$B:$B,2025))) / (SUMIFS(SSP1_VSI!$F:$F,SSP1_VSI!$C:$C,Results_list!$C$151,SSP1_VSI!$D:$D,Results_list!$D197,SSP1_VSI!$B:$B,2025))</f>
        <v>-0.43435231274485381</v>
      </c>
      <c r="I92" s="52">
        <f t="shared" si="24"/>
        <v>-0.42</v>
      </c>
      <c r="J92" s="48">
        <f>((SUMIFS(SSP2_Baseline!$E:$E,SSP2_Baseline!$C:$C,Results_list!$C$151,SSP2_Baseline!$D:$D,Results_list!$D197,SSP2_Baseline!$B:$B,2040)) - (SUMIFS(SSP2_Baseline!$E:$E,SSP2_Baseline!$C:$C,Results_list!$C$151,SSP2_Baseline!$D:$D,Results_list!$D197,SSP2_Baseline!$B:$B,2025))) / (SUMIFS(SSP2_Baseline!$E:$E,SSP2_Baseline!$C:$C,Results_list!$C$151,SSP2_Baseline!$D:$D,Results_list!$D197,SSP2_Baseline!$B:$B,2025))</f>
        <v>1.0773397520492488E-2</v>
      </c>
      <c r="K92" s="49">
        <f>((SUMIFS(SSP2_VSI!$F:$F,SSP2_VSI!$C:$C,Results_list!$C$151,SSP2_VSI!$D:$D,Results_list!$D197,SSP2_VSI!$B:$B,2040)) - (SUMIFS(SSP2_VSI!$F:$F,SSP2_VSI!$C:$C,Results_list!$C$151,SSP2_VSI!$D:$D,Results_list!$D197,SSP2_VSI!$B:$B,2025))) / (SUMIFS(SSP2_VSI!$F:$F,SSP2_VSI!$C:$C,Results_list!$C$151,SSP2_VSI!$D:$D,Results_list!$D197,SSP2_VSI!$B:$B,2025))</f>
        <v>-0.42781388358449673</v>
      </c>
      <c r="L92" s="52">
        <f t="shared" si="25"/>
        <v>-0.44</v>
      </c>
      <c r="M92" s="48">
        <f>((SUMIFS(SSP5_Baseline!$E:$E,SSP5_Baseline!$C:$C,Results_list!$C$151,SSP5_Baseline!$D:$D,Results_list!$D197,SSP5_Baseline!$B:$B,2040)) - (SUMIFS(SSP5_Baseline!$E:$E,SSP5_Baseline!$C:$C,Results_list!$C$151,SSP5_Baseline!$D:$D,Results_list!$D197,SSP5_Baseline!$B:$B,2025))) / (SUMIFS(SSP5_Baseline!$E:$E,SSP5_Baseline!$C:$C,Results_list!$C$151,SSP5_Baseline!$D:$D,Results_list!$D197,SSP5_Baseline!$B:$B,2025))</f>
        <v>2.0796274555421379E-2</v>
      </c>
      <c r="N92" s="49">
        <f>((SUMIFS(SSP5_VSI!$F:$F,SSP5_VSI!$C:$C,Results_list!$C$151,SSP5_VSI!$D:$D,Results_list!$D197,SSP5_VSI!$B:$B,2040)) - (SUMIFS(SSP5_VSI!$F:$F,SSP5_VSI!$C:$C,Results_list!$C$151,SSP5_VSI!$D:$D,Results_list!$D197,SSP5_VSI!$B:$B,2025))) / (SUMIFS(SSP5_VSI!$F:$F,SSP5_VSI!$C:$C,Results_list!$C$151,SSP5_VSI!$D:$D,Results_list!$D197,SSP5_VSI!$B:$B,2025))</f>
        <v>-0.41865710937730249</v>
      </c>
      <c r="O92" s="52">
        <f t="shared" si="26"/>
        <v>-0.44</v>
      </c>
      <c r="P92" s="38"/>
      <c r="Q92" s="111"/>
      <c r="R92" s="112"/>
      <c r="S92" s="38" t="s">
        <v>43</v>
      </c>
      <c r="T92" s="38"/>
      <c r="U92" s="47" t="s">
        <v>91</v>
      </c>
      <c r="V92" s="48">
        <f>((SUMIFS(SSP1_Baseline!$E:$E,SSP1_Baseline!$C:$C,Results_list!$C$361,SSP1_Baseline!$D:$D,Results_list!$D29,SSP1_Baseline!$B:$B,2040)) - (SUMIFS(SSP1_Baseline!$E:$E,SSP1_Baseline!$C:$C,Results_list!$C$361,SSP1_Baseline!$D:$D,Results_list!$D29,SSP1_Baseline!$B:$B,2025))) / (SUMIFS(SSP1_Baseline!$E:$E,SSP1_Baseline!$C:$C,Results_list!$C$361,SSP1_Baseline!$D:$D,Results_list!$D29,SSP1_Baseline!$B:$B,2025))</f>
        <v>-0.23864951148287619</v>
      </c>
      <c r="W92" s="49">
        <f>((SUMIFS(SSP1_VSI!$F:$F,SSP1_VSI!$C:$C,Results_list!$C$361,SSP1_VSI!$D:$D,Results_list!$D29,SSP1_VSI!$B:$B,2040)) - (SUMIFS(SSP1_VSI!$F:$F,SSP1_VSI!$C:$C,Results_list!$C$361,SSP1_VSI!$D:$D,Results_list!$D29,SSP1_VSI!$B:$B,2025))) / (SUMIFS(SSP1_VSI!$F:$F,SSP1_VSI!$C:$C,Results_list!$C$361,SSP1_VSI!$D:$D,Results_list!$D29,SSP1_VSI!$B:$B,2025))</f>
        <v>-0.23867225524211319</v>
      </c>
      <c r="X92" s="52">
        <f t="shared" si="27"/>
        <v>0</v>
      </c>
      <c r="Y92" s="48">
        <f>((SUMIFS(SSP2_Baseline!$E:$E,SSP2_Baseline!$C:$C,Results_list!$C$361,SSP2_Baseline!$D:$D,Results_list!$D29,SSP2_Baseline!$B:$B,2040)) - (SUMIFS(SSP2_Baseline!$E:$E,SSP2_Baseline!$C:$C,Results_list!$C$361,SSP2_Baseline!$D:$D,Results_list!$D29,SSP2_Baseline!$B:$B,2025))) / (SUMIFS(SSP2_Baseline!$E:$E,SSP2_Baseline!$C:$C,Results_list!$C$361,SSP2_Baseline!$D:$D,Results_list!$D29,SSP2_Baseline!$B:$B,2025))</f>
        <v>-0.17067084416223446</v>
      </c>
      <c r="Z92" s="49">
        <f>((SUMIFS(SSP2_VSI!$F:$F,SSP2_VSI!$C:$C,Results_list!$C$361,SSP2_VSI!$D:$D,Results_list!$D29,SSP2_VSI!$B:$B,2040)) - (SUMIFS(SSP2_VSI!$F:$F,SSP2_VSI!$C:$C,Results_list!$C$361,SSP2_VSI!$D:$D,Results_list!$D29,SSP2_VSI!$B:$B,2025))) / (SUMIFS(SSP2_VSI!$F:$F,SSP2_VSI!$C:$C,Results_list!$C$361,SSP2_VSI!$D:$D,Results_list!$D29,SSP2_VSI!$B:$B,2025))</f>
        <v>-0.17066248252430133</v>
      </c>
      <c r="AA92" s="52">
        <f t="shared" si="28"/>
        <v>0</v>
      </c>
      <c r="AB92" s="48">
        <f>((SUMIFS(SSP5_Baseline!$E:$E,SSP5_Baseline!$C:$C,Results_list!$C$361,SSP5_Baseline!$D:$D,Results_list!$D29,SSP5_Baseline!$B:$B,2040)) - (SUMIFS(SSP5_Baseline!$E:$E,SSP5_Baseline!$C:$C,Results_list!$C$361,SSP5_Baseline!$D:$D,Results_list!$D29,SSP5_Baseline!$B:$B,2025))) / (SUMIFS(SSP5_Baseline!$E:$E,SSP5_Baseline!$C:$C,Results_list!$C$361,SSP5_Baseline!$D:$D,Results_list!$D29,SSP5_Baseline!$B:$B,2025))</f>
        <v>-4.7543430367219405E-2</v>
      </c>
      <c r="AC92" s="49">
        <f>((SUMIFS(SSP5_VSI!$F:$F,SSP5_VSI!$C:$C,Results_list!$C$361,SSP5_VSI!$D:$D,Results_list!$D29,SSP5_VSI!$B:$B,2040)) - (SUMIFS(SSP5_VSI!$F:$F,SSP5_VSI!$C:$C,Results_list!$C$361,SSP5_VSI!$D:$D,Results_list!$D29,SSP5_VSI!$B:$B,2025))) / (SUMIFS(SSP5_VSI!$F:$F,SSP5_VSI!$C:$C,Results_list!$C$361,SSP5_VSI!$D:$D,Results_list!$D29,SSP5_VSI!$B:$B,2025))</f>
        <v>-4.7554171062339452E-2</v>
      </c>
      <c r="AD92" s="52">
        <f t="shared" si="29"/>
        <v>0</v>
      </c>
    </row>
    <row r="93" spans="2:30" ht="16" x14ac:dyDescent="0.4">
      <c r="B93" s="107"/>
      <c r="C93" s="103"/>
      <c r="D93" s="38" t="s">
        <v>44</v>
      </c>
      <c r="E93" s="38"/>
      <c r="F93" s="47" t="s">
        <v>92</v>
      </c>
      <c r="G93" s="48">
        <f>((SUMIFS(SSP1_Baseline!$E:$E,SSP1_Baseline!$C:$C,Results_list!$C$151,SSP1_Baseline!$D:$D,Results_list!$D198,SSP1_Baseline!$B:$B,2040)) - (SUMIFS(SSP1_Baseline!$E:$E,SSP1_Baseline!$C:$C,Results_list!$C$151,SSP1_Baseline!$D:$D,Results_list!$D198,SSP1_Baseline!$B:$B,2025))) / (SUMIFS(SSP1_Baseline!$E:$E,SSP1_Baseline!$C:$C,Results_list!$C$151,SSP1_Baseline!$D:$D,Results_list!$D198,SSP1_Baseline!$B:$B,2025))</f>
        <v>-2.4760071818799856E-2</v>
      </c>
      <c r="H93" s="49">
        <f>((SUMIFS(SSP1_VSI!$F:$F,SSP1_VSI!$C:$C,Results_list!$C$151,SSP1_VSI!$D:$D,Results_list!$D198,SSP1_VSI!$B:$B,2040)) - (SUMIFS(SSP1_VSI!$F:$F,SSP1_VSI!$C:$C,Results_list!$C$151,SSP1_VSI!$D:$D,Results_list!$D198,SSP1_VSI!$B:$B,2025))) / (SUMIFS(SSP1_VSI!$F:$F,SSP1_VSI!$C:$C,Results_list!$C$151,SSP1_VSI!$D:$D,Results_list!$D198,SSP1_VSI!$B:$B,2025))</f>
        <v>-0.2627982153250818</v>
      </c>
      <c r="I93" s="52">
        <f t="shared" si="24"/>
        <v>-0.23799999999999999</v>
      </c>
      <c r="J93" s="48">
        <f>((SUMIFS(SSP2_Baseline!$E:$E,SSP2_Baseline!$C:$C,Results_list!$C$151,SSP2_Baseline!$D:$D,Results_list!$D198,SSP2_Baseline!$B:$B,2040)) - (SUMIFS(SSP2_Baseline!$E:$E,SSP2_Baseline!$C:$C,Results_list!$C$151,SSP2_Baseline!$D:$D,Results_list!$D198,SSP2_Baseline!$B:$B,2025))) / (SUMIFS(SSP2_Baseline!$E:$E,SSP2_Baseline!$C:$C,Results_list!$C$151,SSP2_Baseline!$D:$D,Results_list!$D198,SSP2_Baseline!$B:$B,2025))</f>
        <v>-1.6711535173790173E-2</v>
      </c>
      <c r="K93" s="49">
        <f>((SUMIFS(SSP2_VSI!$F:$F,SSP2_VSI!$C:$C,Results_list!$C$151,SSP2_VSI!$D:$D,Results_list!$D198,SSP2_VSI!$B:$B,2040)) - (SUMIFS(SSP2_VSI!$F:$F,SSP2_VSI!$C:$C,Results_list!$C$151,SSP2_VSI!$D:$D,Results_list!$D198,SSP2_VSI!$B:$B,2025))) / (SUMIFS(SSP2_VSI!$F:$F,SSP2_VSI!$C:$C,Results_list!$C$151,SSP2_VSI!$D:$D,Results_list!$D198,SSP2_VSI!$B:$B,2025))</f>
        <v>-0.25447434454687407</v>
      </c>
      <c r="L93" s="52">
        <f t="shared" si="25"/>
        <v>-0.24</v>
      </c>
      <c r="M93" s="48">
        <f>((SUMIFS(SSP5_Baseline!$E:$E,SSP5_Baseline!$C:$C,Results_list!$C$151,SSP5_Baseline!$D:$D,Results_list!$D198,SSP5_Baseline!$B:$B,2040)) - (SUMIFS(SSP5_Baseline!$E:$E,SSP5_Baseline!$C:$C,Results_list!$C$151,SSP5_Baseline!$D:$D,Results_list!$D198,SSP5_Baseline!$B:$B,2025))) / (SUMIFS(SSP5_Baseline!$E:$E,SSP5_Baseline!$C:$C,Results_list!$C$151,SSP5_Baseline!$D:$D,Results_list!$D198,SSP5_Baseline!$B:$B,2025))</f>
        <v>-5.4548344515732991E-3</v>
      </c>
      <c r="N93" s="49">
        <f>((SUMIFS(SSP5_VSI!$F:$F,SSP5_VSI!$C:$C,Results_list!$C$151,SSP5_VSI!$D:$D,Results_list!$D198,SSP5_VSI!$B:$B,2040)) - (SUMIFS(SSP5_VSI!$F:$F,SSP5_VSI!$C:$C,Results_list!$C$151,SSP5_VSI!$D:$D,Results_list!$D198,SSP5_VSI!$B:$B,2025))) / (SUMIFS(SSP5_VSI!$F:$F,SSP5_VSI!$C:$C,Results_list!$C$151,SSP5_VSI!$D:$D,Results_list!$D198,SSP5_VSI!$B:$B,2025))</f>
        <v>-0.24252375938482271</v>
      </c>
      <c r="O93" s="52">
        <f t="shared" si="26"/>
        <v>-0.24</v>
      </c>
      <c r="P93" s="38"/>
      <c r="Q93" s="111"/>
      <c r="R93" s="112"/>
      <c r="S93" s="38" t="s">
        <v>44</v>
      </c>
      <c r="T93" s="38"/>
      <c r="U93" s="47" t="s">
        <v>92</v>
      </c>
      <c r="V93" s="48">
        <f>((SUMIFS(SSP1_Baseline!$E:$E,SSP1_Baseline!$C:$C,Results_list!$C$361,SSP1_Baseline!$D:$D,Results_list!$D30,SSP1_Baseline!$B:$B,2040)) - (SUMIFS(SSP1_Baseline!$E:$E,SSP1_Baseline!$C:$C,Results_list!$C$361,SSP1_Baseline!$D:$D,Results_list!$D30,SSP1_Baseline!$B:$B,2025))) / (SUMIFS(SSP1_Baseline!$E:$E,SSP1_Baseline!$C:$C,Results_list!$C$361,SSP1_Baseline!$D:$D,Results_list!$D30,SSP1_Baseline!$B:$B,2025))</f>
        <v>-0.24825084893022539</v>
      </c>
      <c r="W93" s="49">
        <f>((SUMIFS(SSP1_VSI!$F:$F,SSP1_VSI!$C:$C,Results_list!$C$361,SSP1_VSI!$D:$D,Results_list!$D30,SSP1_VSI!$B:$B,2040)) - (SUMIFS(SSP1_VSI!$F:$F,SSP1_VSI!$C:$C,Results_list!$C$361,SSP1_VSI!$D:$D,Results_list!$D30,SSP1_VSI!$B:$B,2025))) / (SUMIFS(SSP1_VSI!$F:$F,SSP1_VSI!$C:$C,Results_list!$C$361,SSP1_VSI!$D:$D,Results_list!$D30,SSP1_VSI!$B:$B,2025))</f>
        <v>-0.25425595066056139</v>
      </c>
      <c r="X93" s="52">
        <f t="shared" si="27"/>
        <v>-6.0000000000000001E-3</v>
      </c>
      <c r="Y93" s="48">
        <f>((SUMIFS(SSP2_Baseline!$E:$E,SSP2_Baseline!$C:$C,Results_list!$C$361,SSP2_Baseline!$D:$D,Results_list!$D30,SSP2_Baseline!$B:$B,2040)) - (SUMIFS(SSP2_Baseline!$E:$E,SSP2_Baseline!$C:$C,Results_list!$C$361,SSP2_Baseline!$D:$D,Results_list!$D30,SSP2_Baseline!$B:$B,2025))) / (SUMIFS(SSP2_Baseline!$E:$E,SSP2_Baseline!$C:$C,Results_list!$C$361,SSP2_Baseline!$D:$D,Results_list!$D30,SSP2_Baseline!$B:$B,2025))</f>
        <v>-0.24521094337295121</v>
      </c>
      <c r="Z93" s="49">
        <f>((SUMIFS(SSP2_VSI!$F:$F,SSP2_VSI!$C:$C,Results_list!$C$361,SSP2_VSI!$D:$D,Results_list!$D30,SSP2_VSI!$B:$B,2040)) - (SUMIFS(SSP2_VSI!$F:$F,SSP2_VSI!$C:$C,Results_list!$C$361,SSP2_VSI!$D:$D,Results_list!$D30,SSP2_VSI!$B:$B,2025))) / (SUMIFS(SSP2_VSI!$F:$F,SSP2_VSI!$C:$C,Results_list!$C$361,SSP2_VSI!$D:$D,Results_list!$D30,SSP2_VSI!$B:$B,2025))</f>
        <v>-0.25105761106007024</v>
      </c>
      <c r="AA93" s="52">
        <f t="shared" si="28"/>
        <v>-0.01</v>
      </c>
      <c r="AB93" s="48">
        <f>((SUMIFS(SSP5_Baseline!$E:$E,SSP5_Baseline!$C:$C,Results_list!$C$361,SSP5_Baseline!$D:$D,Results_list!$D30,SSP5_Baseline!$B:$B,2040)) - (SUMIFS(SSP5_Baseline!$E:$E,SSP5_Baseline!$C:$C,Results_list!$C$361,SSP5_Baseline!$D:$D,Results_list!$D30,SSP5_Baseline!$B:$B,2025))) / (SUMIFS(SSP5_Baseline!$E:$E,SSP5_Baseline!$C:$C,Results_list!$C$361,SSP5_Baseline!$D:$D,Results_list!$D30,SSP5_Baseline!$B:$B,2025))</f>
        <v>2.5926787767482924E-2</v>
      </c>
      <c r="AC93" s="49">
        <f>((SUMIFS(SSP5_VSI!$F:$F,SSP5_VSI!$C:$C,Results_list!$C$361,SSP5_VSI!$D:$D,Results_list!$D30,SSP5_VSI!$B:$B,2040)) - (SUMIFS(SSP5_VSI!$F:$F,SSP5_VSI!$C:$C,Results_list!$C$361,SSP5_VSI!$D:$D,Results_list!$D30,SSP5_VSI!$B:$B,2025))) / (SUMIFS(SSP5_VSI!$F:$F,SSP5_VSI!$C:$C,Results_list!$C$361,SSP5_VSI!$D:$D,Results_list!$D30,SSP5_VSI!$B:$B,2025))</f>
        <v>2.0454479375394005E-2</v>
      </c>
      <c r="AD93" s="52">
        <f t="shared" si="29"/>
        <v>-0.01</v>
      </c>
    </row>
    <row r="94" spans="2:30" ht="16" x14ac:dyDescent="0.4">
      <c r="B94" s="107"/>
      <c r="C94" s="103"/>
      <c r="D94" s="38" t="s">
        <v>45</v>
      </c>
      <c r="E94" s="38"/>
      <c r="F94" s="47" t="s">
        <v>93</v>
      </c>
      <c r="G94" s="48">
        <f>((SUMIFS(SSP1_Baseline!$E:$E,SSP1_Baseline!$C:$C,Results_list!$C$151,SSP1_Baseline!$D:$D,Results_list!$D199,SSP1_Baseline!$B:$B,2040)) - (SUMIFS(SSP1_Baseline!$E:$E,SSP1_Baseline!$C:$C,Results_list!$C$151,SSP1_Baseline!$D:$D,Results_list!$D199,SSP1_Baseline!$B:$B,2025))) / (SUMIFS(SSP1_Baseline!$E:$E,SSP1_Baseline!$C:$C,Results_list!$C$151,SSP1_Baseline!$D:$D,Results_list!$D199,SSP1_Baseline!$B:$B,2025))</f>
        <v>-3.7590875957735984E-2</v>
      </c>
      <c r="H94" s="49">
        <f>((SUMIFS(SSP1_VSI!$F:$F,SSP1_VSI!$C:$C,Results_list!$C$151,SSP1_VSI!$D:$D,Results_list!$D199,SSP1_VSI!$B:$B,2040)) - (SUMIFS(SSP1_VSI!$F:$F,SSP1_VSI!$C:$C,Results_list!$C$151,SSP1_VSI!$D:$D,Results_list!$D199,SSP1_VSI!$B:$B,2025))) / (SUMIFS(SSP1_VSI!$F:$F,SSP1_VSI!$C:$C,Results_list!$C$151,SSP1_VSI!$D:$D,Results_list!$D199,SSP1_VSI!$B:$B,2025))</f>
        <v>-0.48570748237807426</v>
      </c>
      <c r="I94" s="52">
        <f t="shared" si="24"/>
        <v>-0.44800000000000001</v>
      </c>
      <c r="J94" s="48">
        <f>((SUMIFS(SSP2_Baseline!$E:$E,SSP2_Baseline!$C:$C,Results_list!$C$151,SSP2_Baseline!$D:$D,Results_list!$D199,SSP2_Baseline!$B:$B,2040)) - (SUMIFS(SSP2_Baseline!$E:$E,SSP2_Baseline!$C:$C,Results_list!$C$151,SSP2_Baseline!$D:$D,Results_list!$D199,SSP2_Baseline!$B:$B,2025))) / (SUMIFS(SSP2_Baseline!$E:$E,SSP2_Baseline!$C:$C,Results_list!$C$151,SSP2_Baseline!$D:$D,Results_list!$D199,SSP2_Baseline!$B:$B,2025))</f>
        <v>-3.2941579968920012E-2</v>
      </c>
      <c r="K94" s="49">
        <f>((SUMIFS(SSP2_VSI!$F:$F,SSP2_VSI!$C:$C,Results_list!$C$151,SSP2_VSI!$D:$D,Results_list!$D199,SSP2_VSI!$B:$B,2040)) - (SUMIFS(SSP2_VSI!$F:$F,SSP2_VSI!$C:$C,Results_list!$C$151,SSP2_VSI!$D:$D,Results_list!$D199,SSP2_VSI!$B:$B,2025))) / (SUMIFS(SSP2_VSI!$F:$F,SSP2_VSI!$C:$C,Results_list!$C$151,SSP2_VSI!$D:$D,Results_list!$D199,SSP2_VSI!$B:$B,2025))</f>
        <v>-0.48441560015902446</v>
      </c>
      <c r="L94" s="52">
        <f t="shared" si="25"/>
        <v>-0.45</v>
      </c>
      <c r="M94" s="48">
        <f>((SUMIFS(SSP5_Baseline!$E:$E,SSP5_Baseline!$C:$C,Results_list!$C$151,SSP5_Baseline!$D:$D,Results_list!$D199,SSP5_Baseline!$B:$B,2040)) - (SUMIFS(SSP5_Baseline!$E:$E,SSP5_Baseline!$C:$C,Results_list!$C$151,SSP5_Baseline!$D:$D,Results_list!$D199,SSP5_Baseline!$B:$B,2025))) / (SUMIFS(SSP5_Baseline!$E:$E,SSP5_Baseline!$C:$C,Results_list!$C$151,SSP5_Baseline!$D:$D,Results_list!$D199,SSP5_Baseline!$B:$B,2025))</f>
        <v>-3.0742387269323497E-2</v>
      </c>
      <c r="N94" s="49">
        <f>((SUMIFS(SSP5_VSI!$F:$F,SSP5_VSI!$C:$C,Results_list!$C$151,SSP5_VSI!$D:$D,Results_list!$D199,SSP5_VSI!$B:$B,2040)) - (SUMIFS(SSP5_VSI!$F:$F,SSP5_VSI!$C:$C,Results_list!$C$151,SSP5_VSI!$D:$D,Results_list!$D199,SSP5_VSI!$B:$B,2025))) / (SUMIFS(SSP5_VSI!$F:$F,SSP5_VSI!$C:$C,Results_list!$C$151,SSP5_VSI!$D:$D,Results_list!$D199,SSP5_VSI!$B:$B,2025))</f>
        <v>-0.48277886895413058</v>
      </c>
      <c r="O94" s="52">
        <f t="shared" si="26"/>
        <v>-0.45</v>
      </c>
      <c r="P94" s="38"/>
      <c r="Q94" s="111"/>
      <c r="R94" s="112"/>
      <c r="S94" s="38" t="s">
        <v>45</v>
      </c>
      <c r="T94" s="38"/>
      <c r="U94" s="47" t="s">
        <v>93</v>
      </c>
      <c r="V94" s="48">
        <f>((SUMIFS(SSP1_Baseline!$E:$E,SSP1_Baseline!$C:$C,Results_list!$C$361,SSP1_Baseline!$D:$D,Results_list!$D31,SSP1_Baseline!$B:$B,2040)) - (SUMIFS(SSP1_Baseline!$E:$E,SSP1_Baseline!$C:$C,Results_list!$C$361,SSP1_Baseline!$D:$D,Results_list!$D31,SSP1_Baseline!$B:$B,2025))) / (SUMIFS(SSP1_Baseline!$E:$E,SSP1_Baseline!$C:$C,Results_list!$C$361,SSP1_Baseline!$D:$D,Results_list!$D31,SSP1_Baseline!$B:$B,2025))</f>
        <v>-0.19904272294879613</v>
      </c>
      <c r="W94" s="49">
        <f>((SUMIFS(SSP1_VSI!$F:$F,SSP1_VSI!$C:$C,Results_list!$C$361,SSP1_VSI!$D:$D,Results_list!$D31,SSP1_VSI!$B:$B,2040)) - (SUMIFS(SSP1_VSI!$F:$F,SSP1_VSI!$C:$C,Results_list!$C$361,SSP1_VSI!$D:$D,Results_list!$D31,SSP1_VSI!$B:$B,2025))) / (SUMIFS(SSP1_VSI!$F:$F,SSP1_VSI!$C:$C,Results_list!$C$361,SSP1_VSI!$D:$D,Results_list!$D31,SSP1_VSI!$B:$B,2025))</f>
        <v>-0.1990330154819597</v>
      </c>
      <c r="X94" s="52">
        <f t="shared" si="27"/>
        <v>0</v>
      </c>
      <c r="Y94" s="48">
        <f>((SUMIFS(SSP2_Baseline!$E:$E,SSP2_Baseline!$C:$C,Results_list!$C$361,SSP2_Baseline!$D:$D,Results_list!$D31,SSP2_Baseline!$B:$B,2040)) - (SUMIFS(SSP2_Baseline!$E:$E,SSP2_Baseline!$C:$C,Results_list!$C$361,SSP2_Baseline!$D:$D,Results_list!$D31,SSP2_Baseline!$B:$B,2025))) / (SUMIFS(SSP2_Baseline!$E:$E,SSP2_Baseline!$C:$C,Results_list!$C$361,SSP2_Baseline!$D:$D,Results_list!$D31,SSP2_Baseline!$B:$B,2025))</f>
        <v>-0.20387825174717067</v>
      </c>
      <c r="Z94" s="49">
        <f>((SUMIFS(SSP2_VSI!$F:$F,SSP2_VSI!$C:$C,Results_list!$C$361,SSP2_VSI!$D:$D,Results_list!$D31,SSP2_VSI!$B:$B,2040)) - (SUMIFS(SSP2_VSI!$F:$F,SSP2_VSI!$C:$C,Results_list!$C$361,SSP2_VSI!$D:$D,Results_list!$D31,SSP2_VSI!$B:$B,2025))) / (SUMIFS(SSP2_VSI!$F:$F,SSP2_VSI!$C:$C,Results_list!$C$361,SSP2_VSI!$D:$D,Results_list!$D31,SSP2_VSI!$B:$B,2025))</f>
        <v>-0.2037819764323249</v>
      </c>
      <c r="AA94" s="52">
        <f t="shared" si="28"/>
        <v>0</v>
      </c>
      <c r="AB94" s="48">
        <f>((SUMIFS(SSP5_Baseline!$E:$E,SSP5_Baseline!$C:$C,Results_list!$C$361,SSP5_Baseline!$D:$D,Results_list!$D31,SSP5_Baseline!$B:$B,2040)) - (SUMIFS(SSP5_Baseline!$E:$E,SSP5_Baseline!$C:$C,Results_list!$C$361,SSP5_Baseline!$D:$D,Results_list!$D31,SSP5_Baseline!$B:$B,2025))) / (SUMIFS(SSP5_Baseline!$E:$E,SSP5_Baseline!$C:$C,Results_list!$C$361,SSP5_Baseline!$D:$D,Results_list!$D31,SSP5_Baseline!$B:$B,2025))</f>
        <v>-0.17295975010242368</v>
      </c>
      <c r="AC94" s="49">
        <f>((SUMIFS(SSP5_VSI!$F:$F,SSP5_VSI!$C:$C,Results_list!$C$361,SSP5_VSI!$D:$D,Results_list!$D31,SSP5_VSI!$B:$B,2040)) - (SUMIFS(SSP5_VSI!$F:$F,SSP5_VSI!$C:$C,Results_list!$C$361,SSP5_VSI!$D:$D,Results_list!$D31,SSP5_VSI!$B:$B,2025))) / (SUMIFS(SSP5_VSI!$F:$F,SSP5_VSI!$C:$C,Results_list!$C$361,SSP5_VSI!$D:$D,Results_list!$D31,SSP5_VSI!$B:$B,2025))</f>
        <v>-0.17296060862979992</v>
      </c>
      <c r="AD94" s="52">
        <f t="shared" si="29"/>
        <v>0</v>
      </c>
    </row>
    <row r="95" spans="2:30" ht="16" hidden="1" x14ac:dyDescent="0.4">
      <c r="B95" s="107"/>
      <c r="C95" s="103"/>
      <c r="D95" s="38" t="s">
        <v>46</v>
      </c>
      <c r="E95" s="38"/>
      <c r="F95" s="47" t="s">
        <v>94</v>
      </c>
      <c r="G95" s="48">
        <f>((SUMIFS(SSP1_Baseline!$E:$E,SSP1_Baseline!$C:$C,Results_list!$C$151,SSP1_Baseline!$D:$D,Results_list!$D200,SSP1_Baseline!$B:$B,2040)) - (SUMIFS(SSP1_Baseline!$E:$E,SSP1_Baseline!$C:$C,Results_list!$C$151,SSP1_Baseline!$D:$D,Results_list!$D200,SSP1_Baseline!$B:$B,2025))) / (SUMIFS(SSP1_Baseline!$E:$E,SSP1_Baseline!$C:$C,Results_list!$C$151,SSP1_Baseline!$D:$D,Results_list!$D200,SSP1_Baseline!$B:$B,2025))</f>
        <v>0.48536778325484536</v>
      </c>
      <c r="H95" s="49">
        <f>((SUMIFS(SSP1_VSI!$F:$F,SSP1_VSI!$C:$C,Results_list!$C$151,SSP1_VSI!$D:$D,Results_list!$D200,SSP1_VSI!$B:$B,2040)) - (SUMIFS(SSP1_VSI!$F:$F,SSP1_VSI!$C:$C,Results_list!$C$151,SSP1_VSI!$D:$D,Results_list!$D200,SSP1_VSI!$B:$B,2025))) / (SUMIFS(SSP1_VSI!$F:$F,SSP1_VSI!$C:$C,Results_list!$C$151,SSP1_VSI!$D:$D,Results_list!$D200,SSP1_VSI!$B:$B,2025))</f>
        <v>0.48538490391771472</v>
      </c>
      <c r="I95" s="52">
        <f t="shared" si="24"/>
        <v>0</v>
      </c>
      <c r="J95" s="48">
        <f>((SUMIFS(SSP2_Baseline!$E:$E,SSP2_Baseline!$C:$C,Results_list!$C$151,SSP2_Baseline!$D:$D,Results_list!$D200,SSP2_Baseline!$B:$B,2040)) - (SUMIFS(SSP2_Baseline!$E:$E,SSP2_Baseline!$C:$C,Results_list!$C$151,SSP2_Baseline!$D:$D,Results_list!$D200,SSP2_Baseline!$B:$B,2025))) / (SUMIFS(SSP2_Baseline!$E:$E,SSP2_Baseline!$C:$C,Results_list!$C$151,SSP2_Baseline!$D:$D,Results_list!$D200,SSP2_Baseline!$B:$B,2025))</f>
        <v>1.0819458357092164</v>
      </c>
      <c r="K95" s="49">
        <f>((SUMIFS(SSP2_VSI!$F:$F,SSP2_VSI!$C:$C,Results_list!$C$151,SSP2_VSI!$D:$D,Results_list!$D200,SSP2_VSI!$B:$B,2040)) - (SUMIFS(SSP2_VSI!$F:$F,SSP2_VSI!$C:$C,Results_list!$C$151,SSP2_VSI!$D:$D,Results_list!$D200,SSP2_VSI!$B:$B,2025))) / (SUMIFS(SSP2_VSI!$F:$F,SSP2_VSI!$C:$C,Results_list!$C$151,SSP2_VSI!$D:$D,Results_list!$D200,SSP2_VSI!$B:$B,2025))</f>
        <v>1.0818256479654256</v>
      </c>
      <c r="L95" s="52">
        <f t="shared" si="25"/>
        <v>0</v>
      </c>
      <c r="M95" s="48">
        <f>((SUMIFS(SSP5_Baseline!$E:$E,SSP5_Baseline!$C:$C,Results_list!$C$151,SSP5_Baseline!$D:$D,Results_list!$D200,SSP5_Baseline!$B:$B,2040)) - (SUMIFS(SSP5_Baseline!$E:$E,SSP5_Baseline!$C:$C,Results_list!$C$151,SSP5_Baseline!$D:$D,Results_list!$D200,SSP5_Baseline!$B:$B,2025))) / (SUMIFS(SSP5_Baseline!$E:$E,SSP5_Baseline!$C:$C,Results_list!$C$151,SSP5_Baseline!$D:$D,Results_list!$D200,SSP5_Baseline!$B:$B,2025))</f>
        <v>1.0486988662893415</v>
      </c>
      <c r="N95" s="49">
        <f>((SUMIFS(SSP5_VSI!$F:$F,SSP5_VSI!$C:$C,Results_list!$C$151,SSP5_VSI!$D:$D,Results_list!$D200,SSP5_VSI!$B:$B,2040)) - (SUMIFS(SSP5_VSI!$F:$F,SSP5_VSI!$C:$C,Results_list!$C$151,SSP5_VSI!$D:$D,Results_list!$D200,SSP5_VSI!$B:$B,2025))) / (SUMIFS(SSP5_VSI!$F:$F,SSP5_VSI!$C:$C,Results_list!$C$151,SSP5_VSI!$D:$D,Results_list!$D200,SSP5_VSI!$B:$B,2025))</f>
        <v>1.0487089286638174</v>
      </c>
      <c r="O95" s="52">
        <f t="shared" si="26"/>
        <v>0</v>
      </c>
      <c r="P95" s="38"/>
      <c r="Q95" s="111"/>
      <c r="R95" s="112"/>
      <c r="S95" s="38" t="s">
        <v>46</v>
      </c>
      <c r="T95" s="38"/>
      <c r="U95" s="47" t="s">
        <v>94</v>
      </c>
      <c r="V95" s="48">
        <f>((SUMIFS(SSP1_Baseline!$E:$E,SSP1_Baseline!$C:$C,Results_list!$C$361,SSP1_Baseline!$D:$D,Results_list!$D32,SSP1_Baseline!$B:$B,2040)) - (SUMIFS(SSP1_Baseline!$E:$E,SSP1_Baseline!$C:$C,Results_list!$C$361,SSP1_Baseline!$D:$D,Results_list!$D32,SSP1_Baseline!$B:$B,2025))) / (SUMIFS(SSP1_Baseline!$E:$E,SSP1_Baseline!$C:$C,Results_list!$C$361,SSP1_Baseline!$D:$D,Results_list!$D32,SSP1_Baseline!$B:$B,2025))</f>
        <v>0.39452183436003613</v>
      </c>
      <c r="W95" s="49">
        <f>((SUMIFS(SSP1_VSI!$F:$F,SSP1_VSI!$C:$C,Results_list!$C$361,SSP1_VSI!$D:$D,Results_list!$D32,SSP1_VSI!$B:$B,2040)) - (SUMIFS(SSP1_VSI!$F:$F,SSP1_VSI!$C:$C,Results_list!$C$361,SSP1_VSI!$D:$D,Results_list!$D32,SSP1_VSI!$B:$B,2025))) / (SUMIFS(SSP1_VSI!$F:$F,SSP1_VSI!$C:$C,Results_list!$C$361,SSP1_VSI!$D:$D,Results_list!$D32,SSP1_VSI!$B:$B,2025))</f>
        <v>0.39452868800508878</v>
      </c>
      <c r="X95" s="52">
        <f t="shared" si="27"/>
        <v>0</v>
      </c>
      <c r="Y95" s="48">
        <f>((SUMIFS(SSP2_Baseline!$E:$E,SSP2_Baseline!$C:$C,Results_list!$C$361,SSP2_Baseline!$D:$D,Results_list!$D32,SSP2_Baseline!$B:$B,2040)) - (SUMIFS(SSP2_Baseline!$E:$E,SSP2_Baseline!$C:$C,Results_list!$C$361,SSP2_Baseline!$D:$D,Results_list!$D32,SSP2_Baseline!$B:$B,2025))) / (SUMIFS(SSP2_Baseline!$E:$E,SSP2_Baseline!$C:$C,Results_list!$C$361,SSP2_Baseline!$D:$D,Results_list!$D32,SSP2_Baseline!$B:$B,2025))</f>
        <v>1.7917799865565396</v>
      </c>
      <c r="Z95" s="49">
        <f>((SUMIFS(SSP2_VSI!$F:$F,SSP2_VSI!$C:$C,Results_list!$C$361,SSP2_VSI!$D:$D,Results_list!$D32,SSP2_VSI!$B:$B,2040)) - (SUMIFS(SSP2_VSI!$F:$F,SSP2_VSI!$C:$C,Results_list!$C$361,SSP2_VSI!$D:$D,Results_list!$D32,SSP2_VSI!$B:$B,2025))) / (SUMIFS(SSP2_VSI!$F:$F,SSP2_VSI!$C:$C,Results_list!$C$361,SSP2_VSI!$D:$D,Results_list!$D32,SSP2_VSI!$B:$B,2025))</f>
        <v>1.7916344799590447</v>
      </c>
      <c r="AA95" s="52">
        <f t="shared" si="28"/>
        <v>0</v>
      </c>
      <c r="AB95" s="48">
        <f>((SUMIFS(SSP5_Baseline!$E:$E,SSP5_Baseline!$C:$C,Results_list!$C$361,SSP5_Baseline!$D:$D,Results_list!$D32,SSP5_Baseline!$B:$B,2040)) - (SUMIFS(SSP5_Baseline!$E:$E,SSP5_Baseline!$C:$C,Results_list!$C$361,SSP5_Baseline!$D:$D,Results_list!$D32,SSP5_Baseline!$B:$B,2025))) / (SUMIFS(SSP5_Baseline!$E:$E,SSP5_Baseline!$C:$C,Results_list!$C$361,SSP5_Baseline!$D:$D,Results_list!$D32,SSP5_Baseline!$B:$B,2025))</f>
        <v>1.5889778157983008</v>
      </c>
      <c r="AC95" s="49">
        <f>((SUMIFS(SSP5_VSI!$F:$F,SSP5_VSI!$C:$C,Results_list!$C$361,SSP5_VSI!$D:$D,Results_list!$D32,SSP5_VSI!$B:$B,2040)) - (SUMIFS(SSP5_VSI!$F:$F,SSP5_VSI!$C:$C,Results_list!$C$361,SSP5_VSI!$D:$D,Results_list!$D32,SSP5_VSI!$B:$B,2025))) / (SUMIFS(SSP5_VSI!$F:$F,SSP5_VSI!$C:$C,Results_list!$C$361,SSP5_VSI!$D:$D,Results_list!$D32,SSP5_VSI!$B:$B,2025))</f>
        <v>1.5889653633700946</v>
      </c>
      <c r="AD95" s="52">
        <f t="shared" si="29"/>
        <v>0</v>
      </c>
    </row>
    <row r="96" spans="2:30" ht="16" x14ac:dyDescent="0.4">
      <c r="B96" s="107"/>
      <c r="C96" s="103"/>
      <c r="D96" s="38" t="s">
        <v>47</v>
      </c>
      <c r="E96" s="38"/>
      <c r="F96" s="47" t="s">
        <v>95</v>
      </c>
      <c r="G96" s="48">
        <f>((SUMIFS(SSP1_Baseline!$E:$E,SSP1_Baseline!$C:$C,Results_list!$C$151,SSP1_Baseline!$D:$D,Results_list!$D201,SSP1_Baseline!$B:$B,2040)) - (SUMIFS(SSP1_Baseline!$E:$E,SSP1_Baseline!$C:$C,Results_list!$C$151,SSP1_Baseline!$D:$D,Results_list!$D201,SSP1_Baseline!$B:$B,2025))) / (SUMIFS(SSP1_Baseline!$E:$E,SSP1_Baseline!$C:$C,Results_list!$C$151,SSP1_Baseline!$D:$D,Results_list!$D201,SSP1_Baseline!$B:$B,2025))</f>
        <v>-3.9075528945815945E-3</v>
      </c>
      <c r="H96" s="49">
        <f>((SUMIFS(SSP1_VSI!$F:$F,SSP1_VSI!$C:$C,Results_list!$C$151,SSP1_VSI!$D:$D,Results_list!$D201,SSP1_VSI!$B:$B,2040)) - (SUMIFS(SSP1_VSI!$F:$F,SSP1_VSI!$C:$C,Results_list!$C$151,SSP1_VSI!$D:$D,Results_list!$D201,SSP1_VSI!$B:$B,2025))) / (SUMIFS(SSP1_VSI!$F:$F,SSP1_VSI!$C:$C,Results_list!$C$151,SSP1_VSI!$D:$D,Results_list!$D201,SSP1_VSI!$B:$B,2025))</f>
        <v>-3.8995916044577499E-3</v>
      </c>
      <c r="I96" s="52">
        <f t="shared" si="24"/>
        <v>0</v>
      </c>
      <c r="J96" s="48">
        <f>((SUMIFS(SSP2_Baseline!$E:$E,SSP2_Baseline!$C:$C,Results_list!$C$151,SSP2_Baseline!$D:$D,Results_list!$D201,SSP2_Baseline!$B:$B,2040)) - (SUMIFS(SSP2_Baseline!$E:$E,SSP2_Baseline!$C:$C,Results_list!$C$151,SSP2_Baseline!$D:$D,Results_list!$D201,SSP2_Baseline!$B:$B,2025))) / (SUMIFS(SSP2_Baseline!$E:$E,SSP2_Baseline!$C:$C,Results_list!$C$151,SSP2_Baseline!$D:$D,Results_list!$D201,SSP2_Baseline!$B:$B,2025))</f>
        <v>1.0788614553919774E-3</v>
      </c>
      <c r="K96" s="49">
        <f>((SUMIFS(SSP2_VSI!$F:$F,SSP2_VSI!$C:$C,Results_list!$C$151,SSP2_VSI!$D:$D,Results_list!$D201,SSP2_VSI!$B:$B,2040)) - (SUMIFS(SSP2_VSI!$F:$F,SSP2_VSI!$C:$C,Results_list!$C$151,SSP2_VSI!$D:$D,Results_list!$D201,SSP2_VSI!$B:$B,2025))) / (SUMIFS(SSP2_VSI!$F:$F,SSP2_VSI!$C:$C,Results_list!$C$151,SSP2_VSI!$D:$D,Results_list!$D201,SSP2_VSI!$B:$B,2025))</f>
        <v>1.080522331680836E-3</v>
      </c>
      <c r="L96" s="52">
        <f t="shared" si="25"/>
        <v>0</v>
      </c>
      <c r="M96" s="48">
        <f>((SUMIFS(SSP5_Baseline!$E:$E,SSP5_Baseline!$C:$C,Results_list!$C$151,SSP5_Baseline!$D:$D,Results_list!$D201,SSP5_Baseline!$B:$B,2040)) - (SUMIFS(SSP5_Baseline!$E:$E,SSP5_Baseline!$C:$C,Results_list!$C$151,SSP5_Baseline!$D:$D,Results_list!$D201,SSP5_Baseline!$B:$B,2025))) / (SUMIFS(SSP5_Baseline!$E:$E,SSP5_Baseline!$C:$C,Results_list!$C$151,SSP5_Baseline!$D:$D,Results_list!$D201,SSP5_Baseline!$B:$B,2025))</f>
        <v>2.0321154885512581E-2</v>
      </c>
      <c r="N96" s="49">
        <f>((SUMIFS(SSP5_VSI!$F:$F,SSP5_VSI!$C:$C,Results_list!$C$151,SSP5_VSI!$D:$D,Results_list!$D201,SSP5_VSI!$B:$B,2040)) - (SUMIFS(SSP5_VSI!$F:$F,SSP5_VSI!$C:$C,Results_list!$C$151,SSP5_VSI!$D:$D,Results_list!$D201,SSP5_VSI!$B:$B,2025))) / (SUMIFS(SSP5_VSI!$F:$F,SSP5_VSI!$C:$C,Results_list!$C$151,SSP5_VSI!$D:$D,Results_list!$D201,SSP5_VSI!$B:$B,2025))</f>
        <v>2.0362333891365672E-2</v>
      </c>
      <c r="O96" s="52">
        <f t="shared" si="26"/>
        <v>0</v>
      </c>
      <c r="P96" s="38"/>
      <c r="Q96" s="111"/>
      <c r="R96" s="112"/>
      <c r="S96" s="38" t="s">
        <v>47</v>
      </c>
      <c r="T96" s="38"/>
      <c r="U96" s="47" t="s">
        <v>95</v>
      </c>
      <c r="V96" s="48">
        <f>((SUMIFS(SSP1_Baseline!$E:$E,SSP1_Baseline!$C:$C,Results_list!$C$361,SSP1_Baseline!$D:$D,Results_list!$D33,SSP1_Baseline!$B:$B,2040)) - (SUMIFS(SSP1_Baseline!$E:$E,SSP1_Baseline!$C:$C,Results_list!$C$361,SSP1_Baseline!$D:$D,Results_list!$D33,SSP1_Baseline!$B:$B,2025))) / (SUMIFS(SSP1_Baseline!$E:$E,SSP1_Baseline!$C:$C,Results_list!$C$361,SSP1_Baseline!$D:$D,Results_list!$D33,SSP1_Baseline!$B:$B,2025))</f>
        <v>-0.37688726438458059</v>
      </c>
      <c r="W96" s="49">
        <f>((SUMIFS(SSP1_VSI!$F:$F,SSP1_VSI!$C:$C,Results_list!$C$361,SSP1_VSI!$D:$D,Results_list!$D33,SSP1_VSI!$B:$B,2040)) - (SUMIFS(SSP1_VSI!$F:$F,SSP1_VSI!$C:$C,Results_list!$C$361,SSP1_VSI!$D:$D,Results_list!$D33,SSP1_VSI!$B:$B,2025))) / (SUMIFS(SSP1_VSI!$F:$F,SSP1_VSI!$C:$C,Results_list!$C$361,SSP1_VSI!$D:$D,Results_list!$D33,SSP1_VSI!$B:$B,2025))</f>
        <v>-0.37683970117559557</v>
      </c>
      <c r="X96" s="52">
        <f t="shared" si="27"/>
        <v>0</v>
      </c>
      <c r="Y96" s="48">
        <f>((SUMIFS(SSP2_Baseline!$E:$E,SSP2_Baseline!$C:$C,Results_list!$C$361,SSP2_Baseline!$D:$D,Results_list!$D33,SSP2_Baseline!$B:$B,2040)) - (SUMIFS(SSP2_Baseline!$E:$E,SSP2_Baseline!$C:$C,Results_list!$C$361,SSP2_Baseline!$D:$D,Results_list!$D33,SSP2_Baseline!$B:$B,2025))) / (SUMIFS(SSP2_Baseline!$E:$E,SSP2_Baseline!$C:$C,Results_list!$C$361,SSP2_Baseline!$D:$D,Results_list!$D33,SSP2_Baseline!$B:$B,2025))</f>
        <v>-0.40183208700762751</v>
      </c>
      <c r="Z96" s="49">
        <f>((SUMIFS(SSP2_VSI!$F:$F,SSP2_VSI!$C:$C,Results_list!$C$361,SSP2_VSI!$D:$D,Results_list!$D33,SSP2_VSI!$B:$B,2040)) - (SUMIFS(SSP2_VSI!$F:$F,SSP2_VSI!$C:$C,Results_list!$C$361,SSP2_VSI!$D:$D,Results_list!$D33,SSP2_VSI!$B:$B,2025))) / (SUMIFS(SSP2_VSI!$F:$F,SSP2_VSI!$C:$C,Results_list!$C$361,SSP2_VSI!$D:$D,Results_list!$D33,SSP2_VSI!$B:$B,2025))</f>
        <v>-0.40181188478023161</v>
      </c>
      <c r="AA96" s="52">
        <f t="shared" si="28"/>
        <v>0</v>
      </c>
      <c r="AB96" s="48">
        <f>((SUMIFS(SSP5_Baseline!$E:$E,SSP5_Baseline!$C:$C,Results_list!$C$361,SSP5_Baseline!$D:$D,Results_list!$D33,SSP5_Baseline!$B:$B,2040)) - (SUMIFS(SSP5_Baseline!$E:$E,SSP5_Baseline!$C:$C,Results_list!$C$361,SSP5_Baseline!$D:$D,Results_list!$D33,SSP5_Baseline!$B:$B,2025))) / (SUMIFS(SSP5_Baseline!$E:$E,SSP5_Baseline!$C:$C,Results_list!$C$361,SSP5_Baseline!$D:$D,Results_list!$D33,SSP5_Baseline!$B:$B,2025))</f>
        <v>-0.12561442418890997</v>
      </c>
      <c r="AC96" s="49">
        <f>((SUMIFS(SSP5_VSI!$F:$F,SSP5_VSI!$C:$C,Results_list!$C$361,SSP5_VSI!$D:$D,Results_list!$D33,SSP5_VSI!$B:$B,2040)) - (SUMIFS(SSP5_VSI!$F:$F,SSP5_VSI!$C:$C,Results_list!$C$361,SSP5_VSI!$D:$D,Results_list!$D33,SSP5_VSI!$B:$B,2025))) / (SUMIFS(SSP5_VSI!$F:$F,SSP5_VSI!$C:$C,Results_list!$C$361,SSP5_VSI!$D:$D,Results_list!$D33,SSP5_VSI!$B:$B,2025))</f>
        <v>-0.12543457361173371</v>
      </c>
      <c r="AD96" s="52">
        <f t="shared" si="29"/>
        <v>0</v>
      </c>
    </row>
    <row r="97" spans="2:30" ht="16" hidden="1" x14ac:dyDescent="0.4">
      <c r="B97" s="107"/>
      <c r="C97" s="103"/>
      <c r="D97" s="38" t="s">
        <v>48</v>
      </c>
      <c r="E97" s="38"/>
      <c r="F97" s="47" t="s">
        <v>96</v>
      </c>
      <c r="G97" s="48">
        <f>((SUMIFS(SSP1_Baseline!$E:$E,SSP1_Baseline!$C:$C,Results_list!$C$151,SSP1_Baseline!$D:$D,Results_list!$D202,SSP1_Baseline!$B:$B,2040)) - (SUMIFS(SSP1_Baseline!$E:$E,SSP1_Baseline!$C:$C,Results_list!$C$151,SSP1_Baseline!$D:$D,Results_list!$D202,SSP1_Baseline!$B:$B,2025))) / (SUMIFS(SSP1_Baseline!$E:$E,SSP1_Baseline!$C:$C,Results_list!$C$151,SSP1_Baseline!$D:$D,Results_list!$D202,SSP1_Baseline!$B:$B,2025))</f>
        <v>-8.1823351016027061E-4</v>
      </c>
      <c r="H97" s="49">
        <f>((SUMIFS(SSP1_VSI!$F:$F,SSP1_VSI!$C:$C,Results_list!$C$151,SSP1_VSI!$D:$D,Results_list!$D202,SSP1_VSI!$B:$B,2040)) - (SUMIFS(SSP1_VSI!$F:$F,SSP1_VSI!$C:$C,Results_list!$C$151,SSP1_VSI!$D:$D,Results_list!$D202,SSP1_VSI!$B:$B,2025))) / (SUMIFS(SSP1_VSI!$F:$F,SSP1_VSI!$C:$C,Results_list!$C$151,SSP1_VSI!$D:$D,Results_list!$D202,SSP1_VSI!$B:$B,2025))</f>
        <v>-8.1763159369306864E-4</v>
      </c>
      <c r="I97" s="52">
        <f t="shared" si="24"/>
        <v>0</v>
      </c>
      <c r="J97" s="48">
        <f>((SUMIFS(SSP2_Baseline!$E:$E,SSP2_Baseline!$C:$C,Results_list!$C$151,SSP2_Baseline!$D:$D,Results_list!$D202,SSP2_Baseline!$B:$B,2040)) - (SUMIFS(SSP2_Baseline!$E:$E,SSP2_Baseline!$C:$C,Results_list!$C$151,SSP2_Baseline!$D:$D,Results_list!$D202,SSP2_Baseline!$B:$B,2025))) / (SUMIFS(SSP2_Baseline!$E:$E,SSP2_Baseline!$C:$C,Results_list!$C$151,SSP2_Baseline!$D:$D,Results_list!$D202,SSP2_Baseline!$B:$B,2025))</f>
        <v>-9.4883178192099813E-4</v>
      </c>
      <c r="K97" s="49">
        <f>((SUMIFS(SSP2_VSI!$F:$F,SSP2_VSI!$C:$C,Results_list!$C$151,SSP2_VSI!$D:$D,Results_list!$D202,SSP2_VSI!$B:$B,2040)) - (SUMIFS(SSP2_VSI!$F:$F,SSP2_VSI!$C:$C,Results_list!$C$151,SSP2_VSI!$D:$D,Results_list!$D202,SSP2_VSI!$B:$B,2025))) / (SUMIFS(SSP2_VSI!$F:$F,SSP2_VSI!$C:$C,Results_list!$C$151,SSP2_VSI!$D:$D,Results_list!$D202,SSP2_VSI!$B:$B,2025))</f>
        <v>-9.490628219396166E-4</v>
      </c>
      <c r="L97" s="52">
        <f t="shared" si="25"/>
        <v>0</v>
      </c>
      <c r="M97" s="48">
        <f>((SUMIFS(SSP5_Baseline!$E:$E,SSP5_Baseline!$C:$C,Results_list!$C$151,SSP5_Baseline!$D:$D,Results_list!$D202,SSP5_Baseline!$B:$B,2040)) - (SUMIFS(SSP5_Baseline!$E:$E,SSP5_Baseline!$C:$C,Results_list!$C$151,SSP5_Baseline!$D:$D,Results_list!$D202,SSP5_Baseline!$B:$B,2025))) / (SUMIFS(SSP5_Baseline!$E:$E,SSP5_Baseline!$C:$C,Results_list!$C$151,SSP5_Baseline!$D:$D,Results_list!$D202,SSP5_Baseline!$B:$B,2025))</f>
        <v>-4.5357398059346724E-4</v>
      </c>
      <c r="N97" s="49">
        <f>((SUMIFS(SSP5_VSI!$F:$F,SSP5_VSI!$C:$C,Results_list!$C$151,SSP5_VSI!$D:$D,Results_list!$D202,SSP5_VSI!$B:$B,2040)) - (SUMIFS(SSP5_VSI!$F:$F,SSP5_VSI!$C:$C,Results_list!$C$151,SSP5_VSI!$D:$D,Results_list!$D202,SSP5_VSI!$B:$B,2025))) / (SUMIFS(SSP5_VSI!$F:$F,SSP5_VSI!$C:$C,Results_list!$C$151,SSP5_VSI!$D:$D,Results_list!$D202,SSP5_VSI!$B:$B,2025))</f>
        <v>-4.526131837207825E-4</v>
      </c>
      <c r="O97" s="52">
        <f t="shared" si="26"/>
        <v>0</v>
      </c>
      <c r="P97" s="38"/>
      <c r="Q97" s="111"/>
      <c r="R97" s="112"/>
      <c r="S97" s="38" t="s">
        <v>48</v>
      </c>
      <c r="T97" s="38"/>
      <c r="U97" s="47" t="s">
        <v>96</v>
      </c>
      <c r="V97" s="48">
        <f>((SUMIFS(SSP1_Baseline!$E:$E,SSP1_Baseline!$C:$C,Results_list!$C$361,SSP1_Baseline!$D:$D,Results_list!$D34,SSP1_Baseline!$B:$B,2040)) - (SUMIFS(SSP1_Baseline!$E:$E,SSP1_Baseline!$C:$C,Results_list!$C$361,SSP1_Baseline!$D:$D,Results_list!$D34,SSP1_Baseline!$B:$B,2025))) / (SUMIFS(SSP1_Baseline!$E:$E,SSP1_Baseline!$C:$C,Results_list!$C$361,SSP1_Baseline!$D:$D,Results_list!$D34,SSP1_Baseline!$B:$B,2025))</f>
        <v>7.7864734876496988E-5</v>
      </c>
      <c r="W97" s="49">
        <f>((SUMIFS(SSP1_VSI!$F:$F,SSP1_VSI!$C:$C,Results_list!$C$361,SSP1_VSI!$D:$D,Results_list!$D34,SSP1_VSI!$B:$B,2040)) - (SUMIFS(SSP1_VSI!$F:$F,SSP1_VSI!$C:$C,Results_list!$C$361,SSP1_VSI!$D:$D,Results_list!$D34,SSP1_VSI!$B:$B,2025))) / (SUMIFS(SSP1_VSI!$F:$F,SSP1_VSI!$C:$C,Results_list!$C$361,SSP1_VSI!$D:$D,Results_list!$D34,SSP1_VSI!$B:$B,2025))</f>
        <v>7.7873417388016203E-5</v>
      </c>
      <c r="X97" s="52">
        <f t="shared" si="27"/>
        <v>0</v>
      </c>
      <c r="Y97" s="48">
        <f>((SUMIFS(SSP2_Baseline!$E:$E,SSP2_Baseline!$C:$C,Results_list!$C$361,SSP2_Baseline!$D:$D,Results_list!$D34,SSP2_Baseline!$B:$B,2040)) - (SUMIFS(SSP2_Baseline!$E:$E,SSP2_Baseline!$C:$C,Results_list!$C$361,SSP2_Baseline!$D:$D,Results_list!$D34,SSP2_Baseline!$B:$B,2025))) / (SUMIFS(SSP2_Baseline!$E:$E,SSP2_Baseline!$C:$C,Results_list!$C$361,SSP2_Baseline!$D:$D,Results_list!$D34,SSP2_Baseline!$B:$B,2025))</f>
        <v>6.2349827321167678E-5</v>
      </c>
      <c r="Z97" s="49">
        <f>((SUMIFS(SSP2_VSI!$F:$F,SSP2_VSI!$C:$C,Results_list!$C$361,SSP2_VSI!$D:$D,Results_list!$D34,SSP2_VSI!$B:$B,2040)) - (SUMIFS(SSP2_VSI!$F:$F,SSP2_VSI!$C:$C,Results_list!$C$361,SSP2_VSI!$D:$D,Results_list!$D34,SSP2_VSI!$B:$B,2025))) / (SUMIFS(SSP2_VSI!$F:$F,SSP2_VSI!$C:$C,Results_list!$C$361,SSP2_VSI!$D:$D,Results_list!$D34,SSP2_VSI!$B:$B,2025))</f>
        <v>6.2352353914006E-5</v>
      </c>
      <c r="AA97" s="52">
        <f t="shared" si="28"/>
        <v>0</v>
      </c>
      <c r="AB97" s="48">
        <f>((SUMIFS(SSP5_Baseline!$E:$E,SSP5_Baseline!$C:$C,Results_list!$C$361,SSP5_Baseline!$D:$D,Results_list!$D34,SSP5_Baseline!$B:$B,2040)) - (SUMIFS(SSP5_Baseline!$E:$E,SSP5_Baseline!$C:$C,Results_list!$C$361,SSP5_Baseline!$D:$D,Results_list!$D34,SSP5_Baseline!$B:$B,2025))) / (SUMIFS(SSP5_Baseline!$E:$E,SSP5_Baseline!$C:$C,Results_list!$C$361,SSP5_Baseline!$D:$D,Results_list!$D34,SSP5_Baseline!$B:$B,2025))</f>
        <v>6.8474267668428121E-5</v>
      </c>
      <c r="AC97" s="49">
        <f>((SUMIFS(SSP5_VSI!$F:$F,SSP5_VSI!$C:$C,Results_list!$C$361,SSP5_VSI!$D:$D,Results_list!$D34,SSP5_VSI!$B:$B,2040)) - (SUMIFS(SSP5_VSI!$F:$F,SSP5_VSI!$C:$C,Results_list!$C$361,SSP5_VSI!$D:$D,Results_list!$D34,SSP5_VSI!$B:$B,2025))) / (SUMIFS(SSP5_VSI!$F:$F,SSP5_VSI!$C:$C,Results_list!$C$361,SSP5_VSI!$D:$D,Results_list!$D34,SSP5_VSI!$B:$B,2025))</f>
        <v>6.84886451784547E-5</v>
      </c>
      <c r="AD97" s="52">
        <f t="shared" si="29"/>
        <v>0</v>
      </c>
    </row>
    <row r="98" spans="2:30" ht="16" x14ac:dyDescent="0.4">
      <c r="B98" s="107"/>
      <c r="C98" s="103"/>
      <c r="D98" s="38" t="s">
        <v>49</v>
      </c>
      <c r="E98" s="38"/>
      <c r="F98" s="47" t="s">
        <v>97</v>
      </c>
      <c r="G98" s="48">
        <f>((SUMIFS(SSP1_Baseline!$E:$E,SSP1_Baseline!$C:$C,Results_list!$C$151,SSP1_Baseline!$D:$D,Results_list!$D203,SSP1_Baseline!$B:$B,2040)) - (SUMIFS(SSP1_Baseline!$E:$E,SSP1_Baseline!$C:$C,Results_list!$C$151,SSP1_Baseline!$D:$D,Results_list!$D203,SSP1_Baseline!$B:$B,2025))) / (SUMIFS(SSP1_Baseline!$E:$E,SSP1_Baseline!$C:$C,Results_list!$C$151,SSP1_Baseline!$D:$D,Results_list!$D203,SSP1_Baseline!$B:$B,2025))</f>
        <v>-1.363554635718328E-2</v>
      </c>
      <c r="H98" s="49">
        <f>((SUMIFS(SSP1_VSI!$F:$F,SSP1_VSI!$C:$C,Results_list!$C$151,SSP1_VSI!$D:$D,Results_list!$D203,SSP1_VSI!$B:$B,2040)) - (SUMIFS(SSP1_VSI!$F:$F,SSP1_VSI!$C:$C,Results_list!$C$151,SSP1_VSI!$D:$D,Results_list!$D203,SSP1_VSI!$B:$B,2025))) / (SUMIFS(SSP1_VSI!$F:$F,SSP1_VSI!$C:$C,Results_list!$C$151,SSP1_VSI!$D:$D,Results_list!$D203,SSP1_VSI!$B:$B,2025))</f>
        <v>-0.5152841723791558</v>
      </c>
      <c r="I98" s="52">
        <f t="shared" si="24"/>
        <v>-0.502</v>
      </c>
      <c r="J98" s="48">
        <f>((SUMIFS(SSP2_Baseline!$E:$E,SSP2_Baseline!$C:$C,Results_list!$C$151,SSP2_Baseline!$D:$D,Results_list!$D203,SSP2_Baseline!$B:$B,2040)) - (SUMIFS(SSP2_Baseline!$E:$E,SSP2_Baseline!$C:$C,Results_list!$C$151,SSP2_Baseline!$D:$D,Results_list!$D203,SSP2_Baseline!$B:$B,2025))) / (SUMIFS(SSP2_Baseline!$E:$E,SSP2_Baseline!$C:$C,Results_list!$C$151,SSP2_Baseline!$D:$D,Results_list!$D203,SSP2_Baseline!$B:$B,2025))</f>
        <v>-3.6015377104757509E-3</v>
      </c>
      <c r="K98" s="49">
        <f>((SUMIFS(SSP2_VSI!$F:$F,SSP2_VSI!$C:$C,Results_list!$C$151,SSP2_VSI!$D:$D,Results_list!$D203,SSP2_VSI!$B:$B,2040)) - (SUMIFS(SSP2_VSI!$F:$F,SSP2_VSI!$C:$C,Results_list!$C$151,SSP2_VSI!$D:$D,Results_list!$D203,SSP2_VSI!$B:$B,2025))) / (SUMIFS(SSP2_VSI!$F:$F,SSP2_VSI!$C:$C,Results_list!$C$151,SSP2_VSI!$D:$D,Results_list!$D203,SSP2_VSI!$B:$B,2025))</f>
        <v>-0.51203694564185975</v>
      </c>
      <c r="L98" s="52">
        <f t="shared" si="25"/>
        <v>-0.51</v>
      </c>
      <c r="M98" s="48">
        <f>((SUMIFS(SSP5_Baseline!$E:$E,SSP5_Baseline!$C:$C,Results_list!$C$151,SSP5_Baseline!$D:$D,Results_list!$D203,SSP5_Baseline!$B:$B,2040)) - (SUMIFS(SSP5_Baseline!$E:$E,SSP5_Baseline!$C:$C,Results_list!$C$151,SSP5_Baseline!$D:$D,Results_list!$D203,SSP5_Baseline!$B:$B,2025))) / (SUMIFS(SSP5_Baseline!$E:$E,SSP5_Baseline!$C:$C,Results_list!$C$151,SSP5_Baseline!$D:$D,Results_list!$D203,SSP5_Baseline!$B:$B,2025))</f>
        <v>-9.3363778660912351E-4</v>
      </c>
      <c r="N98" s="49">
        <f>((SUMIFS(SSP5_VSI!$F:$F,SSP5_VSI!$C:$C,Results_list!$C$151,SSP5_VSI!$D:$D,Results_list!$D203,SSP5_VSI!$B:$B,2040)) - (SUMIFS(SSP5_VSI!$F:$F,SSP5_VSI!$C:$C,Results_list!$C$151,SSP5_VSI!$D:$D,Results_list!$D203,SSP5_VSI!$B:$B,2025))) / (SUMIFS(SSP5_VSI!$F:$F,SSP5_VSI!$C:$C,Results_list!$C$151,SSP5_VSI!$D:$D,Results_list!$D203,SSP5_VSI!$B:$B,2025))</f>
        <v>-0.50972079852905416</v>
      </c>
      <c r="O98" s="52">
        <f t="shared" si="26"/>
        <v>-0.51</v>
      </c>
      <c r="P98" s="38"/>
      <c r="Q98" s="111"/>
      <c r="R98" s="112"/>
      <c r="S98" s="38" t="s">
        <v>49</v>
      </c>
      <c r="T98" s="38"/>
      <c r="U98" s="47" t="s">
        <v>97</v>
      </c>
      <c r="V98" s="48">
        <f>((SUMIFS(SSP1_Baseline!$E:$E,SSP1_Baseline!$C:$C,Results_list!$C$361,SSP1_Baseline!$D:$D,Results_list!$D35,SSP1_Baseline!$B:$B,2040)) - (SUMIFS(SSP1_Baseline!$E:$E,SSP1_Baseline!$C:$C,Results_list!$C$361,SSP1_Baseline!$D:$D,Results_list!$D35,SSP1_Baseline!$B:$B,2025))) / (SUMIFS(SSP1_Baseline!$E:$E,SSP1_Baseline!$C:$C,Results_list!$C$361,SSP1_Baseline!$D:$D,Results_list!$D35,SSP1_Baseline!$B:$B,2025))</f>
        <v>-0.15951500946134409</v>
      </c>
      <c r="W98" s="49">
        <f>((SUMIFS(SSP1_VSI!$F:$F,SSP1_VSI!$C:$C,Results_list!$C$361,SSP1_VSI!$D:$D,Results_list!$D35,SSP1_VSI!$B:$B,2040)) - (SUMIFS(SSP1_VSI!$F:$F,SSP1_VSI!$C:$C,Results_list!$C$361,SSP1_VSI!$D:$D,Results_list!$D35,SSP1_VSI!$B:$B,2025))) / (SUMIFS(SSP1_VSI!$F:$F,SSP1_VSI!$C:$C,Results_list!$C$361,SSP1_VSI!$D:$D,Results_list!$D35,SSP1_VSI!$B:$B,2025))</f>
        <v>-0.15959139435556571</v>
      </c>
      <c r="X98" s="52">
        <f t="shared" si="27"/>
        <v>0</v>
      </c>
      <c r="Y98" s="48">
        <f>((SUMIFS(SSP2_Baseline!$E:$E,SSP2_Baseline!$C:$C,Results_list!$C$361,SSP2_Baseline!$D:$D,Results_list!$D35,SSP2_Baseline!$B:$B,2040)) - (SUMIFS(SSP2_Baseline!$E:$E,SSP2_Baseline!$C:$C,Results_list!$C$361,SSP2_Baseline!$D:$D,Results_list!$D35,SSP2_Baseline!$B:$B,2025))) / (SUMIFS(SSP2_Baseline!$E:$E,SSP2_Baseline!$C:$C,Results_list!$C$361,SSP2_Baseline!$D:$D,Results_list!$D35,SSP2_Baseline!$B:$B,2025))</f>
        <v>-0.15281339229522206</v>
      </c>
      <c r="Z98" s="49">
        <f>((SUMIFS(SSP2_VSI!$F:$F,SSP2_VSI!$C:$C,Results_list!$C$361,SSP2_VSI!$D:$D,Results_list!$D35,SSP2_VSI!$B:$B,2040)) - (SUMIFS(SSP2_VSI!$F:$F,SSP2_VSI!$C:$C,Results_list!$C$361,SSP2_VSI!$D:$D,Results_list!$D35,SSP2_VSI!$B:$B,2025))) / (SUMIFS(SSP2_VSI!$F:$F,SSP2_VSI!$C:$C,Results_list!$C$361,SSP2_VSI!$D:$D,Results_list!$D35,SSP2_VSI!$B:$B,2025))</f>
        <v>-0.15280876321382883</v>
      </c>
      <c r="AA98" s="52">
        <f t="shared" si="28"/>
        <v>0</v>
      </c>
      <c r="AB98" s="48">
        <f>((SUMIFS(SSP5_Baseline!$E:$E,SSP5_Baseline!$C:$C,Results_list!$C$361,SSP5_Baseline!$D:$D,Results_list!$D35,SSP5_Baseline!$B:$B,2040)) - (SUMIFS(SSP5_Baseline!$E:$E,SSP5_Baseline!$C:$C,Results_list!$C$361,SSP5_Baseline!$D:$D,Results_list!$D35,SSP5_Baseline!$B:$B,2025))) / (SUMIFS(SSP5_Baseline!$E:$E,SSP5_Baseline!$C:$C,Results_list!$C$361,SSP5_Baseline!$D:$D,Results_list!$D35,SSP5_Baseline!$B:$B,2025))</f>
        <v>-0.12526968698576069</v>
      </c>
      <c r="AC98" s="49">
        <f>((SUMIFS(SSP5_VSI!$F:$F,SSP5_VSI!$C:$C,Results_list!$C$361,SSP5_VSI!$D:$D,Results_list!$D35,SSP5_VSI!$B:$B,2040)) - (SUMIFS(SSP5_VSI!$F:$F,SSP5_VSI!$C:$C,Results_list!$C$361,SSP5_VSI!$D:$D,Results_list!$D35,SSP5_VSI!$B:$B,2025))) / (SUMIFS(SSP5_VSI!$F:$F,SSP5_VSI!$C:$C,Results_list!$C$361,SSP5_VSI!$D:$D,Results_list!$D35,SSP5_VSI!$B:$B,2025))</f>
        <v>-0.12532749215155611</v>
      </c>
      <c r="AD98" s="52">
        <f t="shared" si="29"/>
        <v>0</v>
      </c>
    </row>
    <row r="99" spans="2:30" ht="16" hidden="1" x14ac:dyDescent="0.4">
      <c r="B99" s="107"/>
      <c r="C99" s="103"/>
      <c r="D99" s="38" t="s">
        <v>50</v>
      </c>
      <c r="E99" s="38"/>
      <c r="F99" s="47" t="s">
        <v>98</v>
      </c>
      <c r="G99" s="48">
        <f>((SUMIFS(SSP1_Baseline!$E:$E,SSP1_Baseline!$C:$C,Results_list!$C$151,SSP1_Baseline!$D:$D,Results_list!$D204,SSP1_Baseline!$B:$B,2040)) - (SUMIFS(SSP1_Baseline!$E:$E,SSP1_Baseline!$C:$C,Results_list!$C$151,SSP1_Baseline!$D:$D,Results_list!$D204,SSP1_Baseline!$B:$B,2025))) / (SUMIFS(SSP1_Baseline!$E:$E,SSP1_Baseline!$C:$C,Results_list!$C$151,SSP1_Baseline!$D:$D,Results_list!$D204,SSP1_Baseline!$B:$B,2025))</f>
        <v>-7.7046563485249922E-2</v>
      </c>
      <c r="H99" s="49">
        <f>((SUMIFS(SSP1_VSI!$F:$F,SSP1_VSI!$C:$C,Results_list!$C$151,SSP1_VSI!$D:$D,Results_list!$D204,SSP1_VSI!$B:$B,2040)) - (SUMIFS(SSP1_VSI!$F:$F,SSP1_VSI!$C:$C,Results_list!$C$151,SSP1_VSI!$D:$D,Results_list!$D204,SSP1_VSI!$B:$B,2025))) / (SUMIFS(SSP1_VSI!$F:$F,SSP1_VSI!$C:$C,Results_list!$C$151,SSP1_VSI!$D:$D,Results_list!$D204,SSP1_VSI!$B:$B,2025))</f>
        <v>-7.7047840571968715E-2</v>
      </c>
      <c r="I99" s="52">
        <f t="shared" si="24"/>
        <v>0</v>
      </c>
      <c r="J99" s="48">
        <f>((SUMIFS(SSP2_Baseline!$E:$E,SSP2_Baseline!$C:$C,Results_list!$C$151,SSP2_Baseline!$D:$D,Results_list!$D204,SSP2_Baseline!$B:$B,2040)) - (SUMIFS(SSP2_Baseline!$E:$E,SSP2_Baseline!$C:$C,Results_list!$C$151,SSP2_Baseline!$D:$D,Results_list!$D204,SSP2_Baseline!$B:$B,2025))) / (SUMIFS(SSP2_Baseline!$E:$E,SSP2_Baseline!$C:$C,Results_list!$C$151,SSP2_Baseline!$D:$D,Results_list!$D204,SSP2_Baseline!$B:$B,2025))</f>
        <v>0.33318964933088224</v>
      </c>
      <c r="K99" s="49">
        <f>((SUMIFS(SSP2_VSI!$F:$F,SSP2_VSI!$C:$C,Results_list!$C$151,SSP2_VSI!$D:$D,Results_list!$D204,SSP2_VSI!$B:$B,2040)) - (SUMIFS(SSP2_VSI!$F:$F,SSP2_VSI!$C:$C,Results_list!$C$151,SSP2_VSI!$D:$D,Results_list!$D204,SSP2_VSI!$B:$B,2025))) / (SUMIFS(SSP2_VSI!$F:$F,SSP2_VSI!$C:$C,Results_list!$C$151,SSP2_VSI!$D:$D,Results_list!$D204,SSP2_VSI!$B:$B,2025))</f>
        <v>0.33318579456078434</v>
      </c>
      <c r="L99" s="52">
        <f t="shared" si="25"/>
        <v>0</v>
      </c>
      <c r="M99" s="48">
        <f>((SUMIFS(SSP5_Baseline!$E:$E,SSP5_Baseline!$C:$C,Results_list!$C$151,SSP5_Baseline!$D:$D,Results_list!$D204,SSP5_Baseline!$B:$B,2040)) - (SUMIFS(SSP5_Baseline!$E:$E,SSP5_Baseline!$C:$C,Results_list!$C$151,SSP5_Baseline!$D:$D,Results_list!$D204,SSP5_Baseline!$B:$B,2025))) / (SUMIFS(SSP5_Baseline!$E:$E,SSP5_Baseline!$C:$C,Results_list!$C$151,SSP5_Baseline!$D:$D,Results_list!$D204,SSP5_Baseline!$B:$B,2025))</f>
        <v>0.5167109763056098</v>
      </c>
      <c r="N99" s="49">
        <f>((SUMIFS(SSP5_VSI!$F:$F,SSP5_VSI!$C:$C,Results_list!$C$151,SSP5_VSI!$D:$D,Results_list!$D204,SSP5_VSI!$B:$B,2040)) - (SUMIFS(SSP5_VSI!$F:$F,SSP5_VSI!$C:$C,Results_list!$C$151,SSP5_VSI!$D:$D,Results_list!$D204,SSP5_VSI!$B:$B,2025))) / (SUMIFS(SSP5_VSI!$F:$F,SSP5_VSI!$C:$C,Results_list!$C$151,SSP5_VSI!$D:$D,Results_list!$D204,SSP5_VSI!$B:$B,2025))</f>
        <v>0.51672723045198676</v>
      </c>
      <c r="O99" s="52">
        <f t="shared" si="26"/>
        <v>0</v>
      </c>
      <c r="P99" s="38"/>
      <c r="Q99" s="111"/>
      <c r="R99" s="112"/>
      <c r="S99" s="38" t="s">
        <v>50</v>
      </c>
      <c r="T99" s="38"/>
      <c r="U99" s="47" t="s">
        <v>98</v>
      </c>
      <c r="V99" s="48">
        <f>((SUMIFS(SSP1_Baseline!$E:$E,SSP1_Baseline!$C:$C,Results_list!$C$361,SSP1_Baseline!$D:$D,Results_list!$D36,SSP1_Baseline!$B:$B,2040)) - (SUMIFS(SSP1_Baseline!$E:$E,SSP1_Baseline!$C:$C,Results_list!$C$361,SSP1_Baseline!$D:$D,Results_list!$D36,SSP1_Baseline!$B:$B,2025))) / (SUMIFS(SSP1_Baseline!$E:$E,SSP1_Baseline!$C:$C,Results_list!$C$361,SSP1_Baseline!$D:$D,Results_list!$D36,SSP1_Baseline!$B:$B,2025))</f>
        <v>-0.24114437111394704</v>
      </c>
      <c r="W99" s="49">
        <f>((SUMIFS(SSP1_VSI!$F:$F,SSP1_VSI!$C:$C,Results_list!$C$361,SSP1_VSI!$D:$D,Results_list!$D36,SSP1_VSI!$B:$B,2040)) - (SUMIFS(SSP1_VSI!$F:$F,SSP1_VSI!$C:$C,Results_list!$C$361,SSP1_VSI!$D:$D,Results_list!$D36,SSP1_VSI!$B:$B,2025))) / (SUMIFS(SSP1_VSI!$F:$F,SSP1_VSI!$C:$C,Results_list!$C$361,SSP1_VSI!$D:$D,Results_list!$D36,SSP1_VSI!$B:$B,2025))</f>
        <v>-0.24115007095993754</v>
      </c>
      <c r="X99" s="52">
        <f t="shared" si="27"/>
        <v>0</v>
      </c>
      <c r="Y99" s="48">
        <f>((SUMIFS(SSP2_Baseline!$E:$E,SSP2_Baseline!$C:$C,Results_list!$C$361,SSP2_Baseline!$D:$D,Results_list!$D36,SSP2_Baseline!$B:$B,2040)) - (SUMIFS(SSP2_Baseline!$E:$E,SSP2_Baseline!$C:$C,Results_list!$C$361,SSP2_Baseline!$D:$D,Results_list!$D36,SSP2_Baseline!$B:$B,2025))) / (SUMIFS(SSP2_Baseline!$E:$E,SSP2_Baseline!$C:$C,Results_list!$C$361,SSP2_Baseline!$D:$D,Results_list!$D36,SSP2_Baseline!$B:$B,2025))</f>
        <v>-3.9514505792817067E-2</v>
      </c>
      <c r="Z99" s="49">
        <f>((SUMIFS(SSP2_VSI!$F:$F,SSP2_VSI!$C:$C,Results_list!$C$361,SSP2_VSI!$D:$D,Results_list!$D36,SSP2_VSI!$B:$B,2040)) - (SUMIFS(SSP2_VSI!$F:$F,SSP2_VSI!$C:$C,Results_list!$C$361,SSP2_VSI!$D:$D,Results_list!$D36,SSP2_VSI!$B:$B,2025))) / (SUMIFS(SSP2_VSI!$F:$F,SSP2_VSI!$C:$C,Results_list!$C$361,SSP2_VSI!$D:$D,Results_list!$D36,SSP2_VSI!$B:$B,2025))</f>
        <v>-3.9515902171545103E-2</v>
      </c>
      <c r="AA99" s="52">
        <f t="shared" si="28"/>
        <v>0</v>
      </c>
      <c r="AB99" s="48">
        <f>((SUMIFS(SSP5_Baseline!$E:$E,SSP5_Baseline!$C:$C,Results_list!$C$361,SSP5_Baseline!$D:$D,Results_list!$D36,SSP5_Baseline!$B:$B,2040)) - (SUMIFS(SSP5_Baseline!$E:$E,SSP5_Baseline!$C:$C,Results_list!$C$361,SSP5_Baseline!$D:$D,Results_list!$D36,SSP5_Baseline!$B:$B,2025))) / (SUMIFS(SSP5_Baseline!$E:$E,SSP5_Baseline!$C:$C,Results_list!$C$361,SSP5_Baseline!$D:$D,Results_list!$D36,SSP5_Baseline!$B:$B,2025))</f>
        <v>0.19076333583258789</v>
      </c>
      <c r="AC99" s="49">
        <f>((SUMIFS(SSP5_VSI!$F:$F,SSP5_VSI!$C:$C,Results_list!$C$361,SSP5_VSI!$D:$D,Results_list!$D36,SSP5_VSI!$B:$B,2040)) - (SUMIFS(SSP5_VSI!$F:$F,SSP5_VSI!$C:$C,Results_list!$C$361,SSP5_VSI!$D:$D,Results_list!$D36,SSP5_VSI!$B:$B,2025))) / (SUMIFS(SSP5_VSI!$F:$F,SSP5_VSI!$C:$C,Results_list!$C$361,SSP5_VSI!$D:$D,Results_list!$D36,SSP5_VSI!$B:$B,2025))</f>
        <v>0.19077580806031932</v>
      </c>
      <c r="AD99" s="52">
        <f t="shared" si="29"/>
        <v>0</v>
      </c>
    </row>
    <row r="100" spans="2:30" ht="16" hidden="1" x14ac:dyDescent="0.4">
      <c r="B100" s="107"/>
      <c r="C100" s="103"/>
      <c r="D100" s="38" t="s">
        <v>51</v>
      </c>
      <c r="E100" s="38"/>
      <c r="F100" s="47" t="s">
        <v>99</v>
      </c>
      <c r="G100" s="48">
        <f>((SUMIFS(SSP1_Baseline!$E:$E,SSP1_Baseline!$C:$C,Results_list!$C$151,SSP1_Baseline!$D:$D,Results_list!$D205,SSP1_Baseline!$B:$B,2040)) - (SUMIFS(SSP1_Baseline!$E:$E,SSP1_Baseline!$C:$C,Results_list!$C$151,SSP1_Baseline!$D:$D,Results_list!$D205,SSP1_Baseline!$B:$B,2025))) / (SUMIFS(SSP1_Baseline!$E:$E,SSP1_Baseline!$C:$C,Results_list!$C$151,SSP1_Baseline!$D:$D,Results_list!$D205,SSP1_Baseline!$B:$B,2025))</f>
        <v>9.8704874080630641E-4</v>
      </c>
      <c r="H100" s="49">
        <f>((SUMIFS(SSP1_VSI!$F:$F,SSP1_VSI!$C:$C,Results_list!$C$151,SSP1_VSI!$D:$D,Results_list!$D205,SSP1_VSI!$B:$B,2040)) - (SUMIFS(SSP1_VSI!$F:$F,SSP1_VSI!$C:$C,Results_list!$C$151,SSP1_VSI!$D:$D,Results_list!$D205,SSP1_VSI!$B:$B,2025))) / (SUMIFS(SSP1_VSI!$F:$F,SSP1_VSI!$C:$C,Results_list!$C$151,SSP1_VSI!$D:$D,Results_list!$D205,SSP1_VSI!$B:$B,2025))</f>
        <v>9.8350251844153431E-4</v>
      </c>
      <c r="I100" s="52">
        <f t="shared" si="24"/>
        <v>0</v>
      </c>
      <c r="J100" s="48">
        <f>((SUMIFS(SSP2_Baseline!$E:$E,SSP2_Baseline!$C:$C,Results_list!$C$151,SSP2_Baseline!$D:$D,Results_list!$D205,SSP2_Baseline!$B:$B,2040)) - (SUMIFS(SSP2_Baseline!$E:$E,SSP2_Baseline!$C:$C,Results_list!$C$151,SSP2_Baseline!$D:$D,Results_list!$D205,SSP2_Baseline!$B:$B,2025))) / (SUMIFS(SSP2_Baseline!$E:$E,SSP2_Baseline!$C:$C,Results_list!$C$151,SSP2_Baseline!$D:$D,Results_list!$D205,SSP2_Baseline!$B:$B,2025))</f>
        <v>4.3959630494294667E-3</v>
      </c>
      <c r="K100" s="49">
        <f>((SUMIFS(SSP2_VSI!$F:$F,SSP2_VSI!$C:$C,Results_list!$C$151,SSP2_VSI!$D:$D,Results_list!$D205,SSP2_VSI!$B:$B,2040)) - (SUMIFS(SSP2_VSI!$F:$F,SSP2_VSI!$C:$C,Results_list!$C$151,SSP2_VSI!$D:$D,Results_list!$D205,SSP2_VSI!$B:$B,2025))) / (SUMIFS(SSP2_VSI!$F:$F,SSP2_VSI!$C:$C,Results_list!$C$151,SSP2_VSI!$D:$D,Results_list!$D205,SSP2_VSI!$B:$B,2025))</f>
        <v>4.3521285653914006E-3</v>
      </c>
      <c r="L100" s="52">
        <f t="shared" si="25"/>
        <v>0</v>
      </c>
      <c r="M100" s="48">
        <f>((SUMIFS(SSP5_Baseline!$E:$E,SSP5_Baseline!$C:$C,Results_list!$C$151,SSP5_Baseline!$D:$D,Results_list!$D205,SSP5_Baseline!$B:$B,2040)) - (SUMIFS(SSP5_Baseline!$E:$E,SSP5_Baseline!$C:$C,Results_list!$C$151,SSP5_Baseline!$D:$D,Results_list!$D205,SSP5_Baseline!$B:$B,2025))) / (SUMIFS(SSP5_Baseline!$E:$E,SSP5_Baseline!$C:$C,Results_list!$C$151,SSP5_Baseline!$D:$D,Results_list!$D205,SSP5_Baseline!$B:$B,2025))</f>
        <v>-4.3757435105389458E-3</v>
      </c>
      <c r="N100" s="49">
        <f>((SUMIFS(SSP5_VSI!$F:$F,SSP5_VSI!$C:$C,Results_list!$C$151,SSP5_VSI!$D:$D,Results_list!$D205,SSP5_VSI!$B:$B,2040)) - (SUMIFS(SSP5_VSI!$F:$F,SSP5_VSI!$C:$C,Results_list!$C$151,SSP5_VSI!$D:$D,Results_list!$D205,SSP5_VSI!$B:$B,2025))) / (SUMIFS(SSP5_VSI!$F:$F,SSP5_VSI!$C:$C,Results_list!$C$151,SSP5_VSI!$D:$D,Results_list!$D205,SSP5_VSI!$B:$B,2025))</f>
        <v>-4.3602262791357467E-3</v>
      </c>
      <c r="O100" s="52">
        <f t="shared" si="26"/>
        <v>0</v>
      </c>
      <c r="P100" s="38"/>
      <c r="Q100" s="111"/>
      <c r="R100" s="112"/>
      <c r="S100" s="38" t="s">
        <v>51</v>
      </c>
      <c r="T100" s="38"/>
      <c r="U100" s="47" t="s">
        <v>99</v>
      </c>
      <c r="V100" s="48">
        <f>((SUMIFS(SSP1_Baseline!$E:$E,SSP1_Baseline!$C:$C,Results_list!$C$361,SSP1_Baseline!$D:$D,Results_list!$D37,SSP1_Baseline!$B:$B,2040)) - (SUMIFS(SSP1_Baseline!$E:$E,SSP1_Baseline!$C:$C,Results_list!$C$361,SSP1_Baseline!$D:$D,Results_list!$D37,SSP1_Baseline!$B:$B,2025))) / (SUMIFS(SSP1_Baseline!$E:$E,SSP1_Baseline!$C:$C,Results_list!$C$361,SSP1_Baseline!$D:$D,Results_list!$D37,SSP1_Baseline!$B:$B,2025))</f>
        <v>6.8320870605760531E-2</v>
      </c>
      <c r="W100" s="49">
        <f>((SUMIFS(SSP1_VSI!$F:$F,SSP1_VSI!$C:$C,Results_list!$C$361,SSP1_VSI!$D:$D,Results_list!$D37,SSP1_VSI!$B:$B,2040)) - (SUMIFS(SSP1_VSI!$F:$F,SSP1_VSI!$C:$C,Results_list!$C$361,SSP1_VSI!$D:$D,Results_list!$D37,SSP1_VSI!$B:$B,2025))) / (SUMIFS(SSP1_VSI!$F:$F,SSP1_VSI!$C:$C,Results_list!$C$361,SSP1_VSI!$D:$D,Results_list!$D37,SSP1_VSI!$B:$B,2025))</f>
        <v>6.8313562057748065E-2</v>
      </c>
      <c r="X100" s="52">
        <f t="shared" si="27"/>
        <v>0</v>
      </c>
      <c r="Y100" s="48">
        <f>((SUMIFS(SSP2_Baseline!$E:$E,SSP2_Baseline!$C:$C,Results_list!$C$361,SSP2_Baseline!$D:$D,Results_list!$D37,SSP2_Baseline!$B:$B,2040)) - (SUMIFS(SSP2_Baseline!$E:$E,SSP2_Baseline!$C:$C,Results_list!$C$361,SSP2_Baseline!$D:$D,Results_list!$D37,SSP2_Baseline!$B:$B,2025))) / (SUMIFS(SSP2_Baseline!$E:$E,SSP2_Baseline!$C:$C,Results_list!$C$361,SSP2_Baseline!$D:$D,Results_list!$D37,SSP2_Baseline!$B:$B,2025))</f>
        <v>6.1923345332926705E-2</v>
      </c>
      <c r="Z100" s="49">
        <f>((SUMIFS(SSP2_VSI!$F:$F,SSP2_VSI!$C:$C,Results_list!$C$361,SSP2_VSI!$D:$D,Results_list!$D37,SSP2_VSI!$B:$B,2040)) - (SUMIFS(SSP2_VSI!$F:$F,SSP2_VSI!$C:$C,Results_list!$C$361,SSP2_VSI!$D:$D,Results_list!$D37,SSP2_VSI!$B:$B,2025))) / (SUMIFS(SSP2_VSI!$F:$F,SSP2_VSI!$C:$C,Results_list!$C$361,SSP2_VSI!$D:$D,Results_list!$D37,SSP2_VSI!$B:$B,2025))</f>
        <v>6.1873632234036982E-2</v>
      </c>
      <c r="AA100" s="52">
        <f t="shared" si="28"/>
        <v>0</v>
      </c>
      <c r="AB100" s="48">
        <f>((SUMIFS(SSP5_Baseline!$E:$E,SSP5_Baseline!$C:$C,Results_list!$C$361,SSP5_Baseline!$D:$D,Results_list!$D37,SSP5_Baseline!$B:$B,2040)) - (SUMIFS(SSP5_Baseline!$E:$E,SSP5_Baseline!$C:$C,Results_list!$C$361,SSP5_Baseline!$D:$D,Results_list!$D37,SSP5_Baseline!$B:$B,2025))) / (SUMIFS(SSP5_Baseline!$E:$E,SSP5_Baseline!$C:$C,Results_list!$C$361,SSP5_Baseline!$D:$D,Results_list!$D37,SSP5_Baseline!$B:$B,2025))</f>
        <v>-4.7575382924413137E-3</v>
      </c>
      <c r="AC100" s="49">
        <f>((SUMIFS(SSP5_VSI!$F:$F,SSP5_VSI!$C:$C,Results_list!$C$361,SSP5_VSI!$D:$D,Results_list!$D37,SSP5_VSI!$B:$B,2040)) - (SUMIFS(SSP5_VSI!$F:$F,SSP5_VSI!$C:$C,Results_list!$C$361,SSP5_VSI!$D:$D,Results_list!$D37,SSP5_VSI!$B:$B,2025))) / (SUMIFS(SSP5_VSI!$F:$F,SSP5_VSI!$C:$C,Results_list!$C$361,SSP5_VSI!$D:$D,Results_list!$D37,SSP5_VSI!$B:$B,2025))</f>
        <v>-4.7384765864737196E-3</v>
      </c>
      <c r="AD100" s="52">
        <f t="shared" si="29"/>
        <v>0</v>
      </c>
    </row>
    <row r="101" spans="2:30" ht="16" hidden="1" x14ac:dyDescent="0.4">
      <c r="B101" s="107"/>
      <c r="C101" s="103"/>
      <c r="D101" s="38" t="s">
        <v>52</v>
      </c>
      <c r="E101" s="38"/>
      <c r="F101" s="47" t="s">
        <v>100</v>
      </c>
      <c r="G101" s="48">
        <f>((SUMIFS(SSP1_Baseline!$E:$E,SSP1_Baseline!$C:$C,Results_list!$C$151,SSP1_Baseline!$D:$D,Results_list!$D206,SSP1_Baseline!$B:$B,2040)) - (SUMIFS(SSP1_Baseline!$E:$E,SSP1_Baseline!$C:$C,Results_list!$C$151,SSP1_Baseline!$D:$D,Results_list!$D206,SSP1_Baseline!$B:$B,2025))) / (SUMIFS(SSP1_Baseline!$E:$E,SSP1_Baseline!$C:$C,Results_list!$C$151,SSP1_Baseline!$D:$D,Results_list!$D206,SSP1_Baseline!$B:$B,2025))</f>
        <v>-0.20629906013926108</v>
      </c>
      <c r="H101" s="49">
        <f>((SUMIFS(SSP1_VSI!$F:$F,SSP1_VSI!$C:$C,Results_list!$C$151,SSP1_VSI!$D:$D,Results_list!$D206,SSP1_VSI!$B:$B,2040)) - (SUMIFS(SSP1_VSI!$F:$F,SSP1_VSI!$C:$C,Results_list!$C$151,SSP1_VSI!$D:$D,Results_list!$D206,SSP1_VSI!$B:$B,2025))) / (SUMIFS(SSP1_VSI!$F:$F,SSP1_VSI!$C:$C,Results_list!$C$151,SSP1_VSI!$D:$D,Results_list!$D206,SSP1_VSI!$B:$B,2025))</f>
        <v>-0.20612809914185495</v>
      </c>
      <c r="I101" s="52">
        <f t="shared" si="24"/>
        <v>0</v>
      </c>
      <c r="J101" s="48">
        <f>((SUMIFS(SSP2_Baseline!$E:$E,SSP2_Baseline!$C:$C,Results_list!$C$151,SSP2_Baseline!$D:$D,Results_list!$D206,SSP2_Baseline!$B:$B,2040)) - (SUMIFS(SSP2_Baseline!$E:$E,SSP2_Baseline!$C:$C,Results_list!$C$151,SSP2_Baseline!$D:$D,Results_list!$D206,SSP2_Baseline!$B:$B,2025))) / (SUMIFS(SSP2_Baseline!$E:$E,SSP2_Baseline!$C:$C,Results_list!$C$151,SSP2_Baseline!$D:$D,Results_list!$D206,SSP2_Baseline!$B:$B,2025))</f>
        <v>-0.14772476474322421</v>
      </c>
      <c r="K101" s="49">
        <f>((SUMIFS(SSP2_VSI!$F:$F,SSP2_VSI!$C:$C,Results_list!$C$151,SSP2_VSI!$D:$D,Results_list!$D206,SSP2_VSI!$B:$B,2040)) - (SUMIFS(SSP2_VSI!$F:$F,SSP2_VSI!$C:$C,Results_list!$C$151,SSP2_VSI!$D:$D,Results_list!$D206,SSP2_VSI!$B:$B,2025))) / (SUMIFS(SSP2_VSI!$F:$F,SSP2_VSI!$C:$C,Results_list!$C$151,SSP2_VSI!$D:$D,Results_list!$D206,SSP2_VSI!$B:$B,2025))</f>
        <v>-0.14744918836268159</v>
      </c>
      <c r="L101" s="52">
        <f t="shared" si="25"/>
        <v>0</v>
      </c>
      <c r="M101" s="48">
        <f>((SUMIFS(SSP5_Baseline!$E:$E,SSP5_Baseline!$C:$C,Results_list!$C$151,SSP5_Baseline!$D:$D,Results_list!$D206,SSP5_Baseline!$B:$B,2040)) - (SUMIFS(SSP5_Baseline!$E:$E,SSP5_Baseline!$C:$C,Results_list!$C$151,SSP5_Baseline!$D:$D,Results_list!$D206,SSP5_Baseline!$B:$B,2025))) / (SUMIFS(SSP5_Baseline!$E:$E,SSP5_Baseline!$C:$C,Results_list!$C$151,SSP5_Baseline!$D:$D,Results_list!$D206,SSP5_Baseline!$B:$B,2025))</f>
        <v>-0.18686595152043717</v>
      </c>
      <c r="N101" s="49">
        <f>((SUMIFS(SSP5_VSI!$F:$F,SSP5_VSI!$C:$C,Results_list!$C$151,SSP5_VSI!$D:$D,Results_list!$D206,SSP5_VSI!$B:$B,2040)) - (SUMIFS(SSP5_VSI!$F:$F,SSP5_VSI!$C:$C,Results_list!$C$151,SSP5_VSI!$D:$D,Results_list!$D206,SSP5_VSI!$B:$B,2025))) / (SUMIFS(SSP5_VSI!$F:$F,SSP5_VSI!$C:$C,Results_list!$C$151,SSP5_VSI!$D:$D,Results_list!$D206,SSP5_VSI!$B:$B,2025))</f>
        <v>-0.18666727844981226</v>
      </c>
      <c r="O101" s="52">
        <f t="shared" si="26"/>
        <v>0</v>
      </c>
      <c r="P101" s="38"/>
      <c r="Q101" s="111"/>
      <c r="R101" s="112"/>
      <c r="S101" s="38" t="s">
        <v>52</v>
      </c>
      <c r="T101" s="38"/>
      <c r="U101" s="47" t="s">
        <v>100</v>
      </c>
      <c r="V101" s="48">
        <f>((SUMIFS(SSP1_Baseline!$E:$E,SSP1_Baseline!$C:$C,Results_list!$C$361,SSP1_Baseline!$D:$D,Results_list!$D38,SSP1_Baseline!$B:$B,2040)) - (SUMIFS(SSP1_Baseline!$E:$E,SSP1_Baseline!$C:$C,Results_list!$C$361,SSP1_Baseline!$D:$D,Results_list!$D38,SSP1_Baseline!$B:$B,2025))) / (SUMIFS(SSP1_Baseline!$E:$E,SSP1_Baseline!$C:$C,Results_list!$C$361,SSP1_Baseline!$D:$D,Results_list!$D38,SSP1_Baseline!$B:$B,2025))</f>
        <v>-0.53462441183251908</v>
      </c>
      <c r="W101" s="49">
        <f>((SUMIFS(SSP1_VSI!$F:$F,SSP1_VSI!$C:$C,Results_list!$C$361,SSP1_VSI!$D:$D,Results_list!$D38,SSP1_VSI!$B:$B,2040)) - (SUMIFS(SSP1_VSI!$F:$F,SSP1_VSI!$C:$C,Results_list!$C$361,SSP1_VSI!$D:$D,Results_list!$D38,SSP1_VSI!$B:$B,2025))) / (SUMIFS(SSP1_VSI!$F:$F,SSP1_VSI!$C:$C,Results_list!$C$361,SSP1_VSI!$D:$D,Results_list!$D38,SSP1_VSI!$B:$B,2025))</f>
        <v>-0.53461664575850898</v>
      </c>
      <c r="X101" s="52">
        <f t="shared" si="27"/>
        <v>0</v>
      </c>
      <c r="Y101" s="48">
        <f>((SUMIFS(SSP2_Baseline!$E:$E,SSP2_Baseline!$C:$C,Results_list!$C$361,SSP2_Baseline!$D:$D,Results_list!$D38,SSP2_Baseline!$B:$B,2040)) - (SUMIFS(SSP2_Baseline!$E:$E,SSP2_Baseline!$C:$C,Results_list!$C$361,SSP2_Baseline!$D:$D,Results_list!$D38,SSP2_Baseline!$B:$B,2025))) / (SUMIFS(SSP2_Baseline!$E:$E,SSP2_Baseline!$C:$C,Results_list!$C$361,SSP2_Baseline!$D:$D,Results_list!$D38,SSP2_Baseline!$B:$B,2025))</f>
        <v>-0.54687829302566338</v>
      </c>
      <c r="Z101" s="49">
        <f>((SUMIFS(SSP2_VSI!$F:$F,SSP2_VSI!$C:$C,Results_list!$C$361,SSP2_VSI!$D:$D,Results_list!$D38,SSP2_VSI!$B:$B,2040)) - (SUMIFS(SSP2_VSI!$F:$F,SSP2_VSI!$C:$C,Results_list!$C$361,SSP2_VSI!$D:$D,Results_list!$D38,SSP2_VSI!$B:$B,2025))) / (SUMIFS(SSP2_VSI!$F:$F,SSP2_VSI!$C:$C,Results_list!$C$361,SSP2_VSI!$D:$D,Results_list!$D38,SSP2_VSI!$B:$B,2025))</f>
        <v>-0.54685572753807399</v>
      </c>
      <c r="AA101" s="52">
        <f t="shared" si="28"/>
        <v>0</v>
      </c>
      <c r="AB101" s="48">
        <f>((SUMIFS(SSP5_Baseline!$E:$E,SSP5_Baseline!$C:$C,Results_list!$C$361,SSP5_Baseline!$D:$D,Results_list!$D38,SSP5_Baseline!$B:$B,2040)) - (SUMIFS(SSP5_Baseline!$E:$E,SSP5_Baseline!$C:$C,Results_list!$C$361,SSP5_Baseline!$D:$D,Results_list!$D38,SSP5_Baseline!$B:$B,2025))) / (SUMIFS(SSP5_Baseline!$E:$E,SSP5_Baseline!$C:$C,Results_list!$C$361,SSP5_Baseline!$D:$D,Results_list!$D38,SSP5_Baseline!$B:$B,2025))</f>
        <v>-0.5111063810071993</v>
      </c>
      <c r="AC101" s="49">
        <f>((SUMIFS(SSP5_VSI!$F:$F,SSP5_VSI!$C:$C,Results_list!$C$361,SSP5_VSI!$D:$D,Results_list!$D38,SSP5_VSI!$B:$B,2040)) - (SUMIFS(SSP5_VSI!$F:$F,SSP5_VSI!$C:$C,Results_list!$C$361,SSP5_VSI!$D:$D,Results_list!$D38,SSP5_VSI!$B:$B,2025))) / (SUMIFS(SSP5_VSI!$F:$F,SSP5_VSI!$C:$C,Results_list!$C$361,SSP5_VSI!$D:$D,Results_list!$D38,SSP5_VSI!$B:$B,2025))</f>
        <v>-0.51108721742075147</v>
      </c>
      <c r="AD101" s="52">
        <f t="shared" si="29"/>
        <v>0</v>
      </c>
    </row>
    <row r="102" spans="2:30" ht="16" hidden="1" x14ac:dyDescent="0.4">
      <c r="B102" s="107"/>
      <c r="C102" s="103"/>
      <c r="D102" s="38" t="s">
        <v>53</v>
      </c>
      <c r="E102" s="38"/>
      <c r="F102" s="47" t="s">
        <v>101</v>
      </c>
      <c r="G102" s="48">
        <f>((SUMIFS(SSP1_Baseline!$E:$E,SSP1_Baseline!$C:$C,Results_list!$C$151,SSP1_Baseline!$D:$D,Results_list!$D207,SSP1_Baseline!$B:$B,2040)) - (SUMIFS(SSP1_Baseline!$E:$E,SSP1_Baseline!$C:$C,Results_list!$C$151,SSP1_Baseline!$D:$D,Results_list!$D207,SSP1_Baseline!$B:$B,2025))) / (SUMIFS(SSP1_Baseline!$E:$E,SSP1_Baseline!$C:$C,Results_list!$C$151,SSP1_Baseline!$D:$D,Results_list!$D207,SSP1_Baseline!$B:$B,2025))</f>
        <v>-4.0689028752644824E-2</v>
      </c>
      <c r="H102" s="49">
        <f>((SUMIFS(SSP1_VSI!$F:$F,SSP1_VSI!$C:$C,Results_list!$C$151,SSP1_VSI!$D:$D,Results_list!$D207,SSP1_VSI!$B:$B,2040)) - (SUMIFS(SSP1_VSI!$F:$F,SSP1_VSI!$C:$C,Results_list!$C$151,SSP1_VSI!$D:$D,Results_list!$D207,SSP1_VSI!$B:$B,2025))) / (SUMIFS(SSP1_VSI!$F:$F,SSP1_VSI!$C:$C,Results_list!$C$151,SSP1_VSI!$D:$D,Results_list!$D207,SSP1_VSI!$B:$B,2025))</f>
        <v>-4.0712614712473387E-2</v>
      </c>
      <c r="I102" s="52">
        <f t="shared" si="24"/>
        <v>0</v>
      </c>
      <c r="J102" s="48">
        <f>((SUMIFS(SSP2_Baseline!$E:$E,SSP2_Baseline!$C:$C,Results_list!$C$151,SSP2_Baseline!$D:$D,Results_list!$D207,SSP2_Baseline!$B:$B,2040)) - (SUMIFS(SSP2_Baseline!$E:$E,SSP2_Baseline!$C:$C,Results_list!$C$151,SSP2_Baseline!$D:$D,Results_list!$D207,SSP2_Baseline!$B:$B,2025))) / (SUMIFS(SSP2_Baseline!$E:$E,SSP2_Baseline!$C:$C,Results_list!$C$151,SSP2_Baseline!$D:$D,Results_list!$D207,SSP2_Baseline!$B:$B,2025))</f>
        <v>-3.179523720607276E-2</v>
      </c>
      <c r="K102" s="49">
        <f>((SUMIFS(SSP2_VSI!$F:$F,SSP2_VSI!$C:$C,Results_list!$C$151,SSP2_VSI!$D:$D,Results_list!$D207,SSP2_VSI!$B:$B,2040)) - (SUMIFS(SSP2_VSI!$F:$F,SSP2_VSI!$C:$C,Results_list!$C$151,SSP2_VSI!$D:$D,Results_list!$D207,SSP2_VSI!$B:$B,2025))) / (SUMIFS(SSP2_VSI!$F:$F,SSP2_VSI!$C:$C,Results_list!$C$151,SSP2_VSI!$D:$D,Results_list!$D207,SSP2_VSI!$B:$B,2025))</f>
        <v>-3.1781952284600463E-2</v>
      </c>
      <c r="L102" s="52">
        <f t="shared" si="25"/>
        <v>0</v>
      </c>
      <c r="M102" s="48">
        <f>((SUMIFS(SSP5_Baseline!$E:$E,SSP5_Baseline!$C:$C,Results_list!$C$151,SSP5_Baseline!$D:$D,Results_list!$D207,SSP5_Baseline!$B:$B,2040)) - (SUMIFS(SSP5_Baseline!$E:$E,SSP5_Baseline!$C:$C,Results_list!$C$151,SSP5_Baseline!$D:$D,Results_list!$D207,SSP5_Baseline!$B:$B,2025))) / (SUMIFS(SSP5_Baseline!$E:$E,SSP5_Baseline!$C:$C,Results_list!$C$151,SSP5_Baseline!$D:$D,Results_list!$D207,SSP5_Baseline!$B:$B,2025))</f>
        <v>-1.2707416662019739E-2</v>
      </c>
      <c r="N102" s="49">
        <f>((SUMIFS(SSP5_VSI!$F:$F,SSP5_VSI!$C:$C,Results_list!$C$151,SSP5_VSI!$D:$D,Results_list!$D207,SSP5_VSI!$B:$B,2040)) - (SUMIFS(SSP5_VSI!$F:$F,SSP5_VSI!$C:$C,Results_list!$C$151,SSP5_VSI!$D:$D,Results_list!$D207,SSP5_VSI!$B:$B,2025))) / (SUMIFS(SSP5_VSI!$F:$F,SSP5_VSI!$C:$C,Results_list!$C$151,SSP5_VSI!$D:$D,Results_list!$D207,SSP5_VSI!$B:$B,2025))</f>
        <v>-1.2691050864607744E-2</v>
      </c>
      <c r="O102" s="52">
        <f t="shared" si="26"/>
        <v>0</v>
      </c>
      <c r="P102" s="38"/>
      <c r="Q102" s="111"/>
      <c r="R102" s="112"/>
      <c r="S102" s="38" t="s">
        <v>53</v>
      </c>
      <c r="T102" s="38"/>
      <c r="U102" s="47" t="s">
        <v>101</v>
      </c>
      <c r="V102" s="48">
        <f>((SUMIFS(SSP1_Baseline!$E:$E,SSP1_Baseline!$C:$C,Results_list!$C$361,SSP1_Baseline!$D:$D,Results_list!$D39,SSP1_Baseline!$B:$B,2040)) - (SUMIFS(SSP1_Baseline!$E:$E,SSP1_Baseline!$C:$C,Results_list!$C$361,SSP1_Baseline!$D:$D,Results_list!$D39,SSP1_Baseline!$B:$B,2025))) / (SUMIFS(SSP1_Baseline!$E:$E,SSP1_Baseline!$C:$C,Results_list!$C$361,SSP1_Baseline!$D:$D,Results_list!$D39,SSP1_Baseline!$B:$B,2025))</f>
        <v>-0.29647713107561291</v>
      </c>
      <c r="W102" s="49">
        <f>((SUMIFS(SSP1_VSI!$F:$F,SSP1_VSI!$C:$C,Results_list!$C$361,SSP1_VSI!$D:$D,Results_list!$D39,SSP1_VSI!$B:$B,2040)) - (SUMIFS(SSP1_VSI!$F:$F,SSP1_VSI!$C:$C,Results_list!$C$361,SSP1_VSI!$D:$D,Results_list!$D39,SSP1_VSI!$B:$B,2025))) / (SUMIFS(SSP1_VSI!$F:$F,SSP1_VSI!$C:$C,Results_list!$C$361,SSP1_VSI!$D:$D,Results_list!$D39,SSP1_VSI!$B:$B,2025))</f>
        <v>-0.29653291923634428</v>
      </c>
      <c r="X102" s="52">
        <f t="shared" si="27"/>
        <v>0</v>
      </c>
      <c r="Y102" s="48">
        <f>((SUMIFS(SSP2_Baseline!$E:$E,SSP2_Baseline!$C:$C,Results_list!$C$361,SSP2_Baseline!$D:$D,Results_list!$D39,SSP2_Baseline!$B:$B,2040)) - (SUMIFS(SSP2_Baseline!$E:$E,SSP2_Baseline!$C:$C,Results_list!$C$361,SSP2_Baseline!$D:$D,Results_list!$D39,SSP2_Baseline!$B:$B,2025))) / (SUMIFS(SSP2_Baseline!$E:$E,SSP2_Baseline!$C:$C,Results_list!$C$361,SSP2_Baseline!$D:$D,Results_list!$D39,SSP2_Baseline!$B:$B,2025))</f>
        <v>-0.29231841532990122</v>
      </c>
      <c r="Z102" s="49">
        <f>((SUMIFS(SSP2_VSI!$F:$F,SSP2_VSI!$C:$C,Results_list!$C$361,SSP2_VSI!$D:$D,Results_list!$D39,SSP2_VSI!$B:$B,2040)) - (SUMIFS(SSP2_VSI!$F:$F,SSP2_VSI!$C:$C,Results_list!$C$361,SSP2_VSI!$D:$D,Results_list!$D39,SSP2_VSI!$B:$B,2025))) / (SUMIFS(SSP2_VSI!$F:$F,SSP2_VSI!$C:$C,Results_list!$C$361,SSP2_VSI!$D:$D,Results_list!$D39,SSP2_VSI!$B:$B,2025))</f>
        <v>-0.29231970408750502</v>
      </c>
      <c r="AA102" s="52">
        <f t="shared" si="28"/>
        <v>0</v>
      </c>
      <c r="AB102" s="48">
        <f>((SUMIFS(SSP5_Baseline!$E:$E,SSP5_Baseline!$C:$C,Results_list!$C$361,SSP5_Baseline!$D:$D,Results_list!$D39,SSP5_Baseline!$B:$B,2040)) - (SUMIFS(SSP5_Baseline!$E:$E,SSP5_Baseline!$C:$C,Results_list!$C$361,SSP5_Baseline!$D:$D,Results_list!$D39,SSP5_Baseline!$B:$B,2025))) / (SUMIFS(SSP5_Baseline!$E:$E,SSP5_Baseline!$C:$C,Results_list!$C$361,SSP5_Baseline!$D:$D,Results_list!$D39,SSP5_Baseline!$B:$B,2025))</f>
        <v>9.7409446403383448E-2</v>
      </c>
      <c r="AC102" s="49">
        <f>((SUMIFS(SSP5_VSI!$F:$F,SSP5_VSI!$C:$C,Results_list!$C$361,SSP5_VSI!$D:$D,Results_list!$D39,SSP5_VSI!$B:$B,2040)) - (SUMIFS(SSP5_VSI!$F:$F,SSP5_VSI!$C:$C,Results_list!$C$361,SSP5_VSI!$D:$D,Results_list!$D39,SSP5_VSI!$B:$B,2025))) / (SUMIFS(SSP5_VSI!$F:$F,SSP5_VSI!$C:$C,Results_list!$C$361,SSP5_VSI!$D:$D,Results_list!$D39,SSP5_VSI!$B:$B,2025))</f>
        <v>9.743431841453655E-2</v>
      </c>
      <c r="AD102" s="52">
        <f t="shared" si="29"/>
        <v>0</v>
      </c>
    </row>
    <row r="103" spans="2:30" ht="16" x14ac:dyDescent="0.4">
      <c r="B103" s="107"/>
      <c r="C103" s="103"/>
      <c r="D103" s="38" t="s">
        <v>54</v>
      </c>
      <c r="E103" s="38"/>
      <c r="F103" s="47" t="s">
        <v>102</v>
      </c>
      <c r="G103" s="48">
        <f>((SUMIFS(SSP1_Baseline!$E:$E,SSP1_Baseline!$C:$C,Results_list!$C$151,SSP1_Baseline!$D:$D,Results_list!$D208,SSP1_Baseline!$B:$B,2040)) - (SUMIFS(SSP1_Baseline!$E:$E,SSP1_Baseline!$C:$C,Results_list!$C$151,SSP1_Baseline!$D:$D,Results_list!$D208,SSP1_Baseline!$B:$B,2025))) / (SUMIFS(SSP1_Baseline!$E:$E,SSP1_Baseline!$C:$C,Results_list!$C$151,SSP1_Baseline!$D:$D,Results_list!$D208,SSP1_Baseline!$B:$B,2025))</f>
        <v>5.1829416749454718E-4</v>
      </c>
      <c r="H103" s="49">
        <f>((SUMIFS(SSP1_VSI!$F:$F,SSP1_VSI!$C:$C,Results_list!$C$151,SSP1_VSI!$D:$D,Results_list!$D208,SSP1_VSI!$B:$B,2040)) - (SUMIFS(SSP1_VSI!$F:$F,SSP1_VSI!$C:$C,Results_list!$C$151,SSP1_VSI!$D:$D,Results_list!$D208,SSP1_VSI!$B:$B,2025))) / (SUMIFS(SSP1_VSI!$F:$F,SSP1_VSI!$C:$C,Results_list!$C$151,SSP1_VSI!$D:$D,Results_list!$D208,SSP1_VSI!$B:$B,2025))</f>
        <v>5.1031206429343317E-4</v>
      </c>
      <c r="I103" s="52">
        <f t="shared" si="24"/>
        <v>0</v>
      </c>
      <c r="J103" s="48">
        <f>((SUMIFS(SSP2_Baseline!$E:$E,SSP2_Baseline!$C:$C,Results_list!$C$151,SSP2_Baseline!$D:$D,Results_list!$D208,SSP2_Baseline!$B:$B,2040)) - (SUMIFS(SSP2_Baseline!$E:$E,SSP2_Baseline!$C:$C,Results_list!$C$151,SSP2_Baseline!$D:$D,Results_list!$D208,SSP2_Baseline!$B:$B,2025))) / (SUMIFS(SSP2_Baseline!$E:$E,SSP2_Baseline!$C:$C,Results_list!$C$151,SSP2_Baseline!$D:$D,Results_list!$D208,SSP2_Baseline!$B:$B,2025))</f>
        <v>8.7881833595597231E-4</v>
      </c>
      <c r="K103" s="49">
        <f>((SUMIFS(SSP2_VSI!$F:$F,SSP2_VSI!$C:$C,Results_list!$C$151,SSP2_VSI!$D:$D,Results_list!$D208,SSP2_VSI!$B:$B,2040)) - (SUMIFS(SSP2_VSI!$F:$F,SSP2_VSI!$C:$C,Results_list!$C$151,SSP2_VSI!$D:$D,Results_list!$D208,SSP2_VSI!$B:$B,2025))) / (SUMIFS(SSP2_VSI!$F:$F,SSP2_VSI!$C:$C,Results_list!$C$151,SSP2_VSI!$D:$D,Results_list!$D208,SSP2_VSI!$B:$B,2025))</f>
        <v>8.7074239870069169E-4</v>
      </c>
      <c r="L103" s="52">
        <f t="shared" si="25"/>
        <v>0</v>
      </c>
      <c r="M103" s="48">
        <f>((SUMIFS(SSP5_Baseline!$E:$E,SSP5_Baseline!$C:$C,Results_list!$C$151,SSP5_Baseline!$D:$D,Results_list!$D208,SSP5_Baseline!$B:$B,2040)) - (SUMIFS(SSP5_Baseline!$E:$E,SSP5_Baseline!$C:$C,Results_list!$C$151,SSP5_Baseline!$D:$D,Results_list!$D208,SSP5_Baseline!$B:$B,2025))) / (SUMIFS(SSP5_Baseline!$E:$E,SSP5_Baseline!$C:$C,Results_list!$C$151,SSP5_Baseline!$D:$D,Results_list!$D208,SSP5_Baseline!$B:$B,2025))</f>
        <v>1.1842178578238235E-3</v>
      </c>
      <c r="N103" s="49">
        <f>((SUMIFS(SSP5_VSI!$F:$F,SSP5_VSI!$C:$C,Results_list!$C$151,SSP5_VSI!$D:$D,Results_list!$D208,SSP5_VSI!$B:$B,2040)) - (SUMIFS(SSP5_VSI!$F:$F,SSP5_VSI!$C:$C,Results_list!$C$151,SSP5_VSI!$D:$D,Results_list!$D208,SSP5_VSI!$B:$B,2025))) / (SUMIFS(SSP5_VSI!$F:$F,SSP5_VSI!$C:$C,Results_list!$C$151,SSP5_VSI!$D:$D,Results_list!$D208,SSP5_VSI!$B:$B,2025))</f>
        <v>1.1769556513403457E-3</v>
      </c>
      <c r="O103" s="52">
        <f t="shared" si="26"/>
        <v>0</v>
      </c>
      <c r="P103" s="38"/>
      <c r="Q103" s="111"/>
      <c r="R103" s="112"/>
      <c r="S103" s="38" t="s">
        <v>54</v>
      </c>
      <c r="T103" s="38"/>
      <c r="U103" s="47" t="s">
        <v>102</v>
      </c>
      <c r="V103" s="48">
        <f>((SUMIFS(SSP1_Baseline!$E:$E,SSP1_Baseline!$C:$C,Results_list!$C$361,SSP1_Baseline!$D:$D,Results_list!$D40,SSP1_Baseline!$B:$B,2040)) - (SUMIFS(SSP1_Baseline!$E:$E,SSP1_Baseline!$C:$C,Results_list!$C$361,SSP1_Baseline!$D:$D,Results_list!$D40,SSP1_Baseline!$B:$B,2025))) / (SUMIFS(SSP1_Baseline!$E:$E,SSP1_Baseline!$C:$C,Results_list!$C$361,SSP1_Baseline!$D:$D,Results_list!$D40,SSP1_Baseline!$B:$B,2025))</f>
        <v>2.8790118559467565E-3</v>
      </c>
      <c r="W103" s="49">
        <f>((SUMIFS(SSP1_VSI!$F:$F,SSP1_VSI!$C:$C,Results_list!$C$361,SSP1_VSI!$D:$D,Results_list!$D40,SSP1_VSI!$B:$B,2040)) - (SUMIFS(SSP1_VSI!$F:$F,SSP1_VSI!$C:$C,Results_list!$C$361,SSP1_VSI!$D:$D,Results_list!$D40,SSP1_VSI!$B:$B,2025))) / (SUMIFS(SSP1_VSI!$F:$F,SSP1_VSI!$C:$C,Results_list!$C$361,SSP1_VSI!$D:$D,Results_list!$D40,SSP1_VSI!$B:$B,2025))</f>
        <v>-4.8657691710907211E-2</v>
      </c>
      <c r="X103" s="52">
        <f t="shared" si="27"/>
        <v>-5.1999999999999998E-2</v>
      </c>
      <c r="Y103" s="48">
        <f>((SUMIFS(SSP2_Baseline!$E:$E,SSP2_Baseline!$C:$C,Results_list!$C$361,SSP2_Baseline!$D:$D,Results_list!$D40,SSP2_Baseline!$B:$B,2040)) - (SUMIFS(SSP2_Baseline!$E:$E,SSP2_Baseline!$C:$C,Results_list!$C$361,SSP2_Baseline!$D:$D,Results_list!$D40,SSP2_Baseline!$B:$B,2025))) / (SUMIFS(SSP2_Baseline!$E:$E,SSP2_Baseline!$C:$C,Results_list!$C$361,SSP2_Baseline!$D:$D,Results_list!$D40,SSP2_Baseline!$B:$B,2025))</f>
        <v>5.4718784731419574E-3</v>
      </c>
      <c r="Z103" s="49">
        <f>((SUMIFS(SSP2_VSI!$F:$F,SSP2_VSI!$C:$C,Results_list!$C$361,SSP2_VSI!$D:$D,Results_list!$D40,SSP2_VSI!$B:$B,2040)) - (SUMIFS(SSP2_VSI!$F:$F,SSP2_VSI!$C:$C,Results_list!$C$361,SSP2_VSI!$D:$D,Results_list!$D40,SSP2_VSI!$B:$B,2025))) / (SUMIFS(SSP2_VSI!$F:$F,SSP2_VSI!$C:$C,Results_list!$C$361,SSP2_VSI!$D:$D,Results_list!$D40,SSP2_VSI!$B:$B,2025))</f>
        <v>-4.6254495961893523E-2</v>
      </c>
      <c r="AA103" s="52">
        <f t="shared" si="28"/>
        <v>-0.05</v>
      </c>
      <c r="AB103" s="48">
        <f>((SUMIFS(SSP5_Baseline!$E:$E,SSP5_Baseline!$C:$C,Results_list!$C$361,SSP5_Baseline!$D:$D,Results_list!$D40,SSP5_Baseline!$B:$B,2040)) - (SUMIFS(SSP5_Baseline!$E:$E,SSP5_Baseline!$C:$C,Results_list!$C$361,SSP5_Baseline!$D:$D,Results_list!$D40,SSP5_Baseline!$B:$B,2025))) / (SUMIFS(SSP5_Baseline!$E:$E,SSP5_Baseline!$C:$C,Results_list!$C$361,SSP5_Baseline!$D:$D,Results_list!$D40,SSP5_Baseline!$B:$B,2025))</f>
        <v>9.4991782266154751E-3</v>
      </c>
      <c r="AC103" s="49">
        <f>((SUMIFS(SSP5_VSI!$F:$F,SSP5_VSI!$C:$C,Results_list!$C$361,SSP5_VSI!$D:$D,Results_list!$D40,SSP5_VSI!$B:$B,2040)) - (SUMIFS(SSP5_VSI!$F:$F,SSP5_VSI!$C:$C,Results_list!$C$361,SSP5_VSI!$D:$D,Results_list!$D40,SSP5_VSI!$B:$B,2025))) / (SUMIFS(SSP5_VSI!$F:$F,SSP5_VSI!$C:$C,Results_list!$C$361,SSP5_VSI!$D:$D,Results_list!$D40,SSP5_VSI!$B:$B,2025))</f>
        <v>-4.2270306197787079E-2</v>
      </c>
      <c r="AD103" s="52">
        <f t="shared" si="29"/>
        <v>-0.05</v>
      </c>
    </row>
    <row r="104" spans="2:30" ht="16" x14ac:dyDescent="0.4">
      <c r="B104" s="107"/>
      <c r="C104" s="103"/>
      <c r="D104" s="38" t="s">
        <v>55</v>
      </c>
      <c r="E104" s="38"/>
      <c r="F104" s="71" t="s">
        <v>103</v>
      </c>
      <c r="G104" s="55">
        <f>((SUMIFS(SSP1_Baseline!$E:$E,SSP1_Baseline!$C:$C,Results_list!$C$151,SSP1_Baseline!$D:$D,Results_list!$D209,SSP1_Baseline!$B:$B,2040)) - (SUMIFS(SSP1_Baseline!$E:$E,SSP1_Baseline!$C:$C,Results_list!$C$151,SSP1_Baseline!$D:$D,Results_list!$D209,SSP1_Baseline!$B:$B,2025))) / (SUMIFS(SSP1_Baseline!$E:$E,SSP1_Baseline!$C:$C,Results_list!$C$151,SSP1_Baseline!$D:$D,Results_list!$D209,SSP1_Baseline!$B:$B,2025))</f>
        <v>3.8250576858492248E-4</v>
      </c>
      <c r="H104" s="56">
        <f>((SUMIFS(SSP1_VSI!$F:$F,SSP1_VSI!$C:$C,Results_list!$C$151,SSP1_VSI!$D:$D,Results_list!$D209,SSP1_VSI!$B:$B,2040)) - (SUMIFS(SSP1_VSI!$F:$F,SSP1_VSI!$C:$C,Results_list!$C$151,SSP1_VSI!$D:$D,Results_list!$D209,SSP1_VSI!$B:$B,2025))) / (SUMIFS(SSP1_VSI!$F:$F,SSP1_VSI!$C:$C,Results_list!$C$151,SSP1_VSI!$D:$D,Results_list!$D209,SSP1_VSI!$B:$B,2025))</f>
        <v>-3.9008146631841636E-4</v>
      </c>
      <c r="I104" s="57">
        <f t="shared" si="24"/>
        <v>-1E-3</v>
      </c>
      <c r="J104" s="55">
        <f>((SUMIFS(SSP2_Baseline!$E:$E,SSP2_Baseline!$C:$C,Results_list!$C$151,SSP2_Baseline!$D:$D,Results_list!$D209,SSP2_Baseline!$B:$B,2040)) - (SUMIFS(SSP2_Baseline!$E:$E,SSP2_Baseline!$C:$C,Results_list!$C$151,SSP2_Baseline!$D:$D,Results_list!$D209,SSP2_Baseline!$B:$B,2025))) / (SUMIFS(SSP2_Baseline!$E:$E,SSP2_Baseline!$C:$C,Results_list!$C$151,SSP2_Baseline!$D:$D,Results_list!$D209,SSP2_Baseline!$B:$B,2025))</f>
        <v>6.3705776424625874E-4</v>
      </c>
      <c r="K104" s="56">
        <f>((SUMIFS(SSP2_VSI!$F:$F,SSP2_VSI!$C:$C,Results_list!$C$151,SSP2_VSI!$D:$D,Results_list!$D209,SSP2_VSI!$B:$B,2040)) - (SUMIFS(SSP2_VSI!$F:$F,SSP2_VSI!$C:$C,Results_list!$C$151,SSP2_VSI!$D:$D,Results_list!$D209,SSP2_VSI!$B:$B,2025))) / (SUMIFS(SSP2_VSI!$F:$F,SSP2_VSI!$C:$C,Results_list!$C$151,SSP2_VSI!$D:$D,Results_list!$D209,SSP2_VSI!$B:$B,2025))</f>
        <v>-1.359828899868111E-4</v>
      </c>
      <c r="L104" s="57">
        <f t="shared" si="25"/>
        <v>0</v>
      </c>
      <c r="M104" s="55">
        <f>((SUMIFS(SSP5_Baseline!$E:$E,SSP5_Baseline!$C:$C,Results_list!$C$151,SSP5_Baseline!$D:$D,Results_list!$D209,SSP5_Baseline!$B:$B,2040)) - (SUMIFS(SSP5_Baseline!$E:$E,SSP5_Baseline!$C:$C,Results_list!$C$151,SSP5_Baseline!$D:$D,Results_list!$D209,SSP5_Baseline!$B:$B,2025))) / (SUMIFS(SSP5_Baseline!$E:$E,SSP5_Baseline!$C:$C,Results_list!$C$151,SSP5_Baseline!$D:$D,Results_list!$D209,SSP5_Baseline!$B:$B,2025))</f>
        <v>8.8888661165258869E-4</v>
      </c>
      <c r="N104" s="58">
        <f>((SUMIFS(SSP5_VSI!$F:$F,SSP5_VSI!$C:$C,Results_list!$C$151,SSP5_VSI!$D:$D,Results_list!$D209,SSP5_VSI!$B:$B,2040)) - (SUMIFS(SSP5_VSI!$F:$F,SSP5_VSI!$C:$C,Results_list!$C$151,SSP5_VSI!$D:$D,Results_list!$D209,SSP5_VSI!$B:$B,2025))) / (SUMIFS(SSP5_VSI!$F:$F,SSP5_VSI!$C:$C,Results_list!$C$151,SSP5_VSI!$D:$D,Results_list!$D209,SSP5_VSI!$B:$B,2025))</f>
        <v>1.168388440630714E-4</v>
      </c>
      <c r="O104" s="57">
        <f t="shared" si="26"/>
        <v>0</v>
      </c>
      <c r="P104" s="38"/>
      <c r="Q104" s="111"/>
      <c r="R104" s="112"/>
      <c r="S104" s="38" t="s">
        <v>55</v>
      </c>
      <c r="T104" s="38"/>
      <c r="U104" s="71" t="s">
        <v>103</v>
      </c>
      <c r="V104" s="55">
        <f>((SUMIFS(SSP1_Baseline!$E:$E,SSP1_Baseline!$C:$C,Results_list!$C$361,SSP1_Baseline!$D:$D,Results_list!$D41,SSP1_Baseline!$B:$B,2040)) - (SUMIFS(SSP1_Baseline!$E:$E,SSP1_Baseline!$C:$C,Results_list!$C$361,SSP1_Baseline!$D:$D,Results_list!$D41,SSP1_Baseline!$B:$B,2025))) / (SUMIFS(SSP1_Baseline!$E:$E,SSP1_Baseline!$C:$C,Results_list!$C$361,SSP1_Baseline!$D:$D,Results_list!$D41,SSP1_Baseline!$B:$B,2025))</f>
        <v>-4.7461571247464076E-4</v>
      </c>
      <c r="W104" s="56">
        <f>((SUMIFS(SSP1_VSI!$F:$F,SSP1_VSI!$C:$C,Results_list!$C$361,SSP1_VSI!$D:$D,Results_list!$D41,SSP1_VSI!$B:$B,2040)) - (SUMIFS(SSP1_VSI!$F:$F,SSP1_VSI!$C:$C,Results_list!$C$361,SSP1_VSI!$D:$D,Results_list!$D41,SSP1_VSI!$B:$B,2025))) / (SUMIFS(SSP1_VSI!$F:$F,SSP1_VSI!$C:$C,Results_list!$C$361,SSP1_VSI!$D:$D,Results_list!$D41,SSP1_VSI!$B:$B,2025))</f>
        <v>-7.775468426186162E-2</v>
      </c>
      <c r="X104" s="57">
        <f t="shared" si="27"/>
        <v>-7.6999999999999999E-2</v>
      </c>
      <c r="Y104" s="55">
        <f>((SUMIFS(SSP2_Baseline!$E:$E,SSP2_Baseline!$C:$C,Results_list!$C$361,SSP2_Baseline!$D:$D,Results_list!$D41,SSP2_Baseline!$B:$B,2040)) - (SUMIFS(SSP2_Baseline!$E:$E,SSP2_Baseline!$C:$C,Results_list!$C$361,SSP2_Baseline!$D:$D,Results_list!$D41,SSP2_Baseline!$B:$B,2025))) / (SUMIFS(SSP2_Baseline!$E:$E,SSP2_Baseline!$C:$C,Results_list!$C$361,SSP2_Baseline!$D:$D,Results_list!$D41,SSP2_Baseline!$B:$B,2025))</f>
        <v>2.9006067221260917E-4</v>
      </c>
      <c r="Z104" s="56">
        <f>((SUMIFS(SSP2_VSI!$F:$F,SSP2_VSI!$C:$C,Results_list!$C$361,SSP2_VSI!$D:$D,Results_list!$D41,SSP2_VSI!$B:$B,2040)) - (SUMIFS(SSP2_VSI!$F:$F,SSP2_VSI!$C:$C,Results_list!$C$361,SSP2_VSI!$D:$D,Results_list!$D41,SSP2_VSI!$B:$B,2025))) / (SUMIFS(SSP2_VSI!$F:$F,SSP2_VSI!$C:$C,Results_list!$C$361,SSP2_VSI!$D:$D,Results_list!$D41,SSP2_VSI!$B:$B,2025))</f>
        <v>-7.7104638935279496E-2</v>
      </c>
      <c r="AA104" s="57">
        <f t="shared" si="28"/>
        <v>-0.08</v>
      </c>
      <c r="AB104" s="55">
        <f>((SUMIFS(SSP5_Baseline!$E:$E,SSP5_Baseline!$C:$C,Results_list!$C$361,SSP5_Baseline!$D:$D,Results_list!$D41,SSP5_Baseline!$B:$B,2040)) - (SUMIFS(SSP5_Baseline!$E:$E,SSP5_Baseline!$C:$C,Results_list!$C$361,SSP5_Baseline!$D:$D,Results_list!$D41,SSP5_Baseline!$B:$B,2025))) / (SUMIFS(SSP5_Baseline!$E:$E,SSP5_Baseline!$C:$C,Results_list!$C$361,SSP5_Baseline!$D:$D,Results_list!$D41,SSP5_Baseline!$B:$B,2025))</f>
        <v>3.5866470378264886E-3</v>
      </c>
      <c r="AC104" s="58">
        <f>((SUMIFS(SSP5_VSI!$F:$F,SSP5_VSI!$C:$C,Results_list!$C$361,SSP5_VSI!$D:$D,Results_list!$D41,SSP5_VSI!$B:$B,2040)) - (SUMIFS(SSP5_VSI!$F:$F,SSP5_VSI!$C:$C,Results_list!$C$361,SSP5_VSI!$D:$D,Results_list!$D41,SSP5_VSI!$B:$B,2025))) / (SUMIFS(SSP5_VSI!$F:$F,SSP5_VSI!$C:$C,Results_list!$C$361,SSP5_VSI!$D:$D,Results_list!$D41,SSP5_VSI!$B:$B,2025))</f>
        <v>-7.3871370765530575E-2</v>
      </c>
      <c r="AD104" s="57">
        <f t="shared" si="29"/>
        <v>-0.08</v>
      </c>
    </row>
    <row r="105" spans="2:30" ht="16" hidden="1" x14ac:dyDescent="0.4">
      <c r="B105" s="107"/>
      <c r="C105" s="103"/>
      <c r="D105" s="38" t="s">
        <v>56</v>
      </c>
      <c r="E105" s="38"/>
      <c r="F105" s="47" t="s">
        <v>104</v>
      </c>
      <c r="G105" s="60">
        <f>((SUMIFS(SSP1_Baseline!$E:$E,SSP1_Baseline!$C:$C,Results_list!$C$151,SSP1_Baseline!$D:$D,Results_list!$D210,SSP1_Baseline!$B:$B,2040)) - (SUMIFS(SSP1_Baseline!$E:$E,SSP1_Baseline!$C:$C,Results_list!$C$151,SSP1_Baseline!$D:$D,Results_list!$D210,SSP1_Baseline!$B:$B,2025))) / (SUMIFS(SSP1_Baseline!$E:$E,SSP1_Baseline!$C:$C,Results_list!$C$151,SSP1_Baseline!$D:$D,Results_list!$D210,SSP1_Baseline!$B:$B,2025))</f>
        <v>-0.14606688008691288</v>
      </c>
      <c r="H105" s="61">
        <f>((SUMIFS(SSP1_VSI!$F:$F,SSP1_VSI!$C:$C,Results_list!$C$151,SSP1_VSI!$D:$D,Results_list!$D210,SSP1_VSI!$B:$B,2040)) - (SUMIFS(SSP1_VSI!$F:$F,SSP1_VSI!$C:$C,Results_list!$C$151,SSP1_VSI!$D:$D,Results_list!$D210,SSP1_VSI!$B:$B,2025))) / (SUMIFS(SSP1_VSI!$F:$F,SSP1_VSI!$C:$C,Results_list!$C$151,SSP1_VSI!$D:$D,Results_list!$D210,SSP1_VSI!$B:$B,2025))</f>
        <v>-0.14607208424990148</v>
      </c>
      <c r="I105" s="62">
        <f t="shared" si="24"/>
        <v>0</v>
      </c>
      <c r="J105" s="60">
        <f>((SUMIFS(SSP2_Baseline!$E:$E,SSP2_Baseline!$C:$C,Results_list!$C$151,SSP2_Baseline!$D:$D,Results_list!$D210,SSP2_Baseline!$B:$B,2040)) - (SUMIFS(SSP2_Baseline!$E:$E,SSP2_Baseline!$C:$C,Results_list!$C$151,SSP2_Baseline!$D:$D,Results_list!$D210,SSP2_Baseline!$B:$B,2025))) / (SUMIFS(SSP2_Baseline!$E:$E,SSP2_Baseline!$C:$C,Results_list!$C$151,SSP2_Baseline!$D:$D,Results_list!$D210,SSP2_Baseline!$B:$B,2025))</f>
        <v>-0.1548211993282442</v>
      </c>
      <c r="K105" s="61">
        <f>((SUMIFS(SSP2_VSI!$F:$F,SSP2_VSI!$C:$C,Results_list!$C$151,SSP2_VSI!$D:$D,Results_list!$D210,SSP2_VSI!$B:$B,2040)) - (SUMIFS(SSP2_VSI!$F:$F,SSP2_VSI!$C:$C,Results_list!$C$151,SSP2_VSI!$D:$D,Results_list!$D210,SSP2_VSI!$B:$B,2025))) / (SUMIFS(SSP2_VSI!$F:$F,SSP2_VSI!$C:$C,Results_list!$C$151,SSP2_VSI!$D:$D,Results_list!$D210,SSP2_VSI!$B:$B,2025))</f>
        <v>-0.15484157920456229</v>
      </c>
      <c r="L105" s="62">
        <f t="shared" si="25"/>
        <v>0</v>
      </c>
      <c r="M105" s="60">
        <f>((SUMIFS(SSP5_Baseline!$E:$E,SSP5_Baseline!$C:$C,Results_list!$C$151,SSP5_Baseline!$D:$D,Results_list!$D210,SSP5_Baseline!$B:$B,2040)) - (SUMIFS(SSP5_Baseline!$E:$E,SSP5_Baseline!$C:$C,Results_list!$C$151,SSP5_Baseline!$D:$D,Results_list!$D210,SSP5_Baseline!$B:$B,2025))) / (SUMIFS(SSP5_Baseline!$E:$E,SSP5_Baseline!$C:$C,Results_list!$C$151,SSP5_Baseline!$D:$D,Results_list!$D210,SSP5_Baseline!$B:$B,2025))</f>
        <v>-0.13140317033180526</v>
      </c>
      <c r="N105" s="61">
        <f>((SUMIFS(SSP5_VSI!$F:$F,SSP5_VSI!$C:$C,Results_list!$C$151,SSP5_VSI!$D:$D,Results_list!$D210,SSP5_VSI!$B:$B,2040)) - (SUMIFS(SSP5_VSI!$F:$F,SSP5_VSI!$C:$C,Results_list!$C$151,SSP5_VSI!$D:$D,Results_list!$D210,SSP5_VSI!$B:$B,2025))) / (SUMIFS(SSP5_VSI!$F:$F,SSP5_VSI!$C:$C,Results_list!$C$151,SSP5_VSI!$D:$D,Results_list!$D210,SSP5_VSI!$B:$B,2025))</f>
        <v>-0.1313897446458519</v>
      </c>
      <c r="O105" s="62">
        <f t="shared" si="26"/>
        <v>0</v>
      </c>
      <c r="P105" s="38"/>
      <c r="Q105" s="111"/>
      <c r="R105" s="113"/>
      <c r="S105" s="59" t="s">
        <v>56</v>
      </c>
      <c r="T105" s="59"/>
      <c r="U105" s="54" t="s">
        <v>104</v>
      </c>
      <c r="V105" s="60">
        <f>((SUMIFS(SSP1_Baseline!$E:$E,SSP1_Baseline!$C:$C,Results_list!$C$361,SSP1_Baseline!$D:$D,Results_list!$D42,SSP1_Baseline!$B:$B,2040)) - (SUMIFS(SSP1_Baseline!$E:$E,SSP1_Baseline!$C:$C,Results_list!$C$361,SSP1_Baseline!$D:$D,Results_list!$D42,SSP1_Baseline!$B:$B,2025))) / (SUMIFS(SSP1_Baseline!$E:$E,SSP1_Baseline!$C:$C,Results_list!$C$361,SSP1_Baseline!$D:$D,Results_list!$D42,SSP1_Baseline!$B:$B,2025))</f>
        <v>-0.23119314437710625</v>
      </c>
      <c r="W105" s="61">
        <f>((SUMIFS(SSP1_VSI!$F:$F,SSP1_VSI!$C:$C,Results_list!$C$361,SSP1_VSI!$D:$D,Results_list!$D42,SSP1_VSI!$B:$B,2040)) - (SUMIFS(SSP1_VSI!$F:$F,SSP1_VSI!$C:$C,Results_list!$C$361,SSP1_VSI!$D:$D,Results_list!$D42,SSP1_VSI!$B:$B,2025))) / (SUMIFS(SSP1_VSI!$F:$F,SSP1_VSI!$C:$C,Results_list!$C$361,SSP1_VSI!$D:$D,Results_list!$D42,SSP1_VSI!$B:$B,2025))</f>
        <v>-0.23121189527308639</v>
      </c>
      <c r="X105" s="62">
        <f t="shared" si="27"/>
        <v>0</v>
      </c>
      <c r="Y105" s="60">
        <f>((SUMIFS(SSP2_Baseline!$E:$E,SSP2_Baseline!$C:$C,Results_list!$C$361,SSP2_Baseline!$D:$D,Results_list!$D42,SSP2_Baseline!$B:$B,2040)) - (SUMIFS(SSP2_Baseline!$E:$E,SSP2_Baseline!$C:$C,Results_list!$C$361,SSP2_Baseline!$D:$D,Results_list!$D42,SSP2_Baseline!$B:$B,2025))) / (SUMIFS(SSP2_Baseline!$E:$E,SSP2_Baseline!$C:$C,Results_list!$C$361,SSP2_Baseline!$D:$D,Results_list!$D42,SSP2_Baseline!$B:$B,2025))</f>
        <v>-0.2420494007634689</v>
      </c>
      <c r="Z105" s="61">
        <f>((SUMIFS(SSP2_VSI!$F:$F,SSP2_VSI!$C:$C,Results_list!$C$361,SSP2_VSI!$D:$D,Results_list!$D42,SSP2_VSI!$B:$B,2040)) - (SUMIFS(SSP2_VSI!$F:$F,SSP2_VSI!$C:$C,Results_list!$C$361,SSP2_VSI!$D:$D,Results_list!$D42,SSP2_VSI!$B:$B,2025))) / (SUMIFS(SSP2_VSI!$F:$F,SSP2_VSI!$C:$C,Results_list!$C$361,SSP2_VSI!$D:$D,Results_list!$D42,SSP2_VSI!$B:$B,2025))</f>
        <v>-0.242071910517206</v>
      </c>
      <c r="AA105" s="62">
        <f t="shared" si="28"/>
        <v>0</v>
      </c>
      <c r="AB105" s="60">
        <f>((SUMIFS(SSP5_Baseline!$E:$E,SSP5_Baseline!$C:$C,Results_list!$C$361,SSP5_Baseline!$D:$D,Results_list!$D42,SSP5_Baseline!$B:$B,2040)) - (SUMIFS(SSP5_Baseline!$E:$E,SSP5_Baseline!$C:$C,Results_list!$C$361,SSP5_Baseline!$D:$D,Results_list!$D42,SSP5_Baseline!$B:$B,2025))) / (SUMIFS(SSP5_Baseline!$E:$E,SSP5_Baseline!$C:$C,Results_list!$C$361,SSP5_Baseline!$D:$D,Results_list!$D42,SSP5_Baseline!$B:$B,2025))</f>
        <v>1.9784326194770933E-2</v>
      </c>
      <c r="AC105" s="61">
        <f>((SUMIFS(SSP5_VSI!$F:$F,SSP5_VSI!$C:$C,Results_list!$C$361,SSP5_VSI!$D:$D,Results_list!$D42,SSP5_VSI!$B:$B,2040)) - (SUMIFS(SSP5_VSI!$F:$F,SSP5_VSI!$C:$C,Results_list!$C$361,SSP5_VSI!$D:$D,Results_list!$D42,SSP5_VSI!$B:$B,2025))) / (SUMIFS(SSP5_VSI!$F:$F,SSP5_VSI!$C:$C,Results_list!$C$361,SSP5_VSI!$D:$D,Results_list!$D42,SSP5_VSI!$B:$B,2025))</f>
        <v>1.9802547298469524E-2</v>
      </c>
      <c r="AD105" s="62">
        <f t="shared" si="29"/>
        <v>0</v>
      </c>
    </row>
    <row r="106" spans="2:30" ht="16" hidden="1" x14ac:dyDescent="0.4"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38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</row>
    <row r="107" spans="2:30" ht="16" hidden="1" x14ac:dyDescent="0.4">
      <c r="B107" s="38"/>
      <c r="C107" s="38"/>
      <c r="D107" s="38"/>
      <c r="E107" s="38"/>
      <c r="F107" s="39"/>
      <c r="G107" s="98" t="s">
        <v>3</v>
      </c>
      <c r="H107" s="99"/>
      <c r="I107" s="99"/>
      <c r="J107" s="99"/>
      <c r="K107" s="99"/>
      <c r="L107" s="99"/>
      <c r="M107" s="99"/>
      <c r="N107" s="99"/>
      <c r="O107" s="100"/>
      <c r="P107" s="38"/>
      <c r="Q107" s="38"/>
      <c r="R107" s="38"/>
      <c r="S107" s="38"/>
      <c r="T107" s="38"/>
      <c r="U107" s="39"/>
      <c r="V107" s="108" t="s">
        <v>3</v>
      </c>
      <c r="W107" s="109"/>
      <c r="X107" s="109"/>
      <c r="Y107" s="109"/>
      <c r="Z107" s="109"/>
      <c r="AA107" s="109"/>
      <c r="AB107" s="109"/>
      <c r="AC107" s="109"/>
      <c r="AD107" s="110"/>
    </row>
    <row r="108" spans="2:30" ht="48" hidden="1" x14ac:dyDescent="0.4">
      <c r="B108" s="40" t="s">
        <v>30</v>
      </c>
      <c r="C108" s="40" t="s">
        <v>30</v>
      </c>
      <c r="D108" s="41" t="s">
        <v>106</v>
      </c>
      <c r="E108" s="42" t="s">
        <v>131</v>
      </c>
      <c r="F108" s="41" t="s">
        <v>106</v>
      </c>
      <c r="G108" s="43" t="s">
        <v>0</v>
      </c>
      <c r="H108" s="44" t="s">
        <v>108</v>
      </c>
      <c r="I108" s="42" t="s">
        <v>137</v>
      </c>
      <c r="J108" s="43" t="s">
        <v>1</v>
      </c>
      <c r="K108" s="44" t="s">
        <v>109</v>
      </c>
      <c r="L108" s="42" t="s">
        <v>137</v>
      </c>
      <c r="M108" s="43" t="s">
        <v>2</v>
      </c>
      <c r="N108" s="44" t="s">
        <v>110</v>
      </c>
      <c r="O108" s="42" t="s">
        <v>137</v>
      </c>
      <c r="P108" s="38"/>
      <c r="Q108" s="40" t="s">
        <v>30</v>
      </c>
      <c r="R108" s="45" t="s">
        <v>30</v>
      </c>
      <c r="S108" s="46" t="s">
        <v>106</v>
      </c>
      <c r="T108" s="42" t="s">
        <v>131</v>
      </c>
      <c r="U108" s="41" t="s">
        <v>106</v>
      </c>
      <c r="V108" s="43" t="s">
        <v>0</v>
      </c>
      <c r="W108" s="44" t="s">
        <v>108</v>
      </c>
      <c r="X108" s="42" t="s">
        <v>137</v>
      </c>
      <c r="Y108" s="43" t="s">
        <v>1</v>
      </c>
      <c r="Z108" s="44" t="s">
        <v>109</v>
      </c>
      <c r="AA108" s="42" t="s">
        <v>137</v>
      </c>
      <c r="AB108" s="43" t="s">
        <v>2</v>
      </c>
      <c r="AC108" s="44" t="s">
        <v>110</v>
      </c>
      <c r="AD108" s="42" t="s">
        <v>137</v>
      </c>
    </row>
    <row r="109" spans="2:30" ht="16" x14ac:dyDescent="0.4">
      <c r="B109" s="107" t="s">
        <v>111</v>
      </c>
      <c r="C109" s="103" t="s">
        <v>67</v>
      </c>
      <c r="D109" s="38" t="s">
        <v>38</v>
      </c>
      <c r="E109" s="38"/>
      <c r="F109" s="47" t="s">
        <v>87</v>
      </c>
      <c r="G109" s="48">
        <f>((SUMIFS(SSP1_Baseline!$E:$E,SSP1_Baseline!$C:$C,Results_list!$C$172,SSP1_Baseline!$D:$D,Results_list!$D214,SSP1_Baseline!$B:$B,2040))
- (SUMIFS(SSP1_Baseline!$E:$E,SSP1_Baseline!$C:$C,Results_list!$C$172,SSP1_Baseline!$D:$D,Results_list!$D214,SSP1_Baseline!$B:$B,2025)))
/ (SUMIFS(SSP1_Baseline!$E:$E,SSP1_Baseline!$C:$C,Results_list!$C$172,SSP1_Baseline!$D:$D,Results_list!$D214,SSP1_Baseline!$B:$B,2025))</f>
        <v>-2.9815760675074715E-2</v>
      </c>
      <c r="H109" s="49">
        <f>((SUMIFS(SSP1_VSI!$F:$F,SSP1_VSI!$C:$C,Results_list!$C$172,SSP1_VSI!$D:$D,Results_list!$D214,SSP1_VSI!$B:$B,2040))
- (SUMIFS(SSP1_VSI!$F:$F,SSP1_VSI!$C:$C,Results_list!$C$172,SSP1_VSI!$D:$D,Results_list!$D214,SSP1_VSI!$B:$B,2025)))
/ (SUMIFS(SSP1_VSI!$F:$F,SSP1_VSI!$C:$C,Results_list!$C$172,SSP1_VSI!$D:$D,Results_list!$D214,SSP1_VSI!$B:$B,2025))</f>
        <v>-0.4525173576271968</v>
      </c>
      <c r="I109" s="50">
        <f t="shared" ref="I109:I126" si="30">ROUND(H109-G109,3)</f>
        <v>-0.42299999999999999</v>
      </c>
      <c r="J109" s="48">
        <f>((SUMIFS(SSP2_Baseline!$E:$E,SSP2_Baseline!$C:$C,Results_list!$C$172,SSP2_Baseline!$D:$D,Results_list!$D214,SSP2_Baseline!$B:$B,2040))
- (SUMIFS(SSP2_Baseline!$E:$E,SSP2_Baseline!$C:$C,Results_list!$C$172,SSP2_Baseline!$D:$D,Results_list!$D214,SSP2_Baseline!$B:$B,2025)))
/ (SUMIFS(SSP2_Baseline!$E:$E,SSP2_Baseline!$C:$C,Results_list!$C$172,SSP2_Baseline!$D:$D,Results_list!$D214,SSP2_Baseline!$B:$B,2025))</f>
        <v>0.21024329970996894</v>
      </c>
      <c r="K109" s="49">
        <f>((SUMIFS(SSP2_VSI!$F:$F,SSP2_VSI!$C:$C,Results_list!$C$172,SSP2_VSI!$D:$D,Results_list!$D214,SSP2_VSI!$B:$B,2040))
- (SUMIFS(SSP2_VSI!$F:$F,SSP2_VSI!$C:$C,Results_list!$C$172,SSP2_VSI!$D:$D,Results_list!$D214,SSP2_VSI!$B:$B,2025)))
/ (SUMIFS(SSP2_VSI!$F:$F,SSP2_VSI!$C:$C,Results_list!$C$172,SSP2_VSI!$D:$D,Results_list!$D214,SSP2_VSI!$B:$B,2025))</f>
        <v>-0.44407422433544147</v>
      </c>
      <c r="L109" s="50">
        <f t="shared" ref="L109:L126" si="31">ROUND(K109-J109,2)</f>
        <v>-0.65</v>
      </c>
      <c r="M109" s="48">
        <f>((SUMIFS(SSP5_Baseline!$E:$E,SSP5_Baseline!$C:$C,Results_list!$C$172,SSP5_Baseline!$D:$D,Results_list!$D214,SSP5_Baseline!$B:$B,2040))
- (SUMIFS(SSP5_Baseline!$E:$E,SSP5_Baseline!$C:$C,Results_list!$C$172,SSP5_Baseline!$D:$D,Results_list!$D214,SSP5_Baseline!$B:$B,2025)))
/ (SUMIFS(SSP5_Baseline!$E:$E,SSP5_Baseline!$C:$C,Results_list!$C$172,SSP5_Baseline!$D:$D,Results_list!$D214,SSP5_Baseline!$B:$B,2025))</f>
        <v>0.32932003188652886</v>
      </c>
      <c r="N109" s="49">
        <f>((SUMIFS(SSP5_VSI!$F:$F,SSP5_VSI!$C:$C,Results_list!$C$172,SSP5_VSI!$D:$D,Results_list!$D214,SSP5_VSI!$B:$B,2040))
- (SUMIFS(SSP5_VSI!$F:$F,SSP5_VSI!$C:$C,Results_list!$C$172,SSP5_VSI!$D:$D,Results_list!$D214,SSP5_VSI!$B:$B,2025)))
/ (SUMIFS(SSP5_VSI!$F:$F,SSP5_VSI!$C:$C,Results_list!$C$172,SSP5_VSI!$D:$D,Results_list!$D214,SSP5_VSI!$B:$B,2025))</f>
        <v>-0.34664111165029798</v>
      </c>
      <c r="O109" s="50">
        <f t="shared" ref="O109:O126" si="32">ROUND(N109-M109,2)</f>
        <v>-0.68</v>
      </c>
      <c r="P109" s="38"/>
      <c r="Q109" s="111" t="s">
        <v>134</v>
      </c>
      <c r="R109" s="112" t="s">
        <v>85</v>
      </c>
      <c r="S109" s="38" t="s">
        <v>38</v>
      </c>
      <c r="T109" s="38"/>
      <c r="U109" s="47" t="s">
        <v>87</v>
      </c>
      <c r="V109" s="48">
        <f>((SUMIFS(SSP1_Baseline!$E:$E,SSP1_Baseline!$C:$C,Results_list!$C$382,SSP1_Baseline!$D:$D,Results_list!$D46,SSP1_Baseline!$B:$B,2040)) - (SUMIFS(SSP1_Baseline!$E:$E,SSP1_Baseline!$C:$C,Results_list!$C$382,SSP1_Baseline!$D:$D,Results_list!$D46,SSP1_Baseline!$B:$B,2025))) / (SUMIFS(SSP1_Baseline!$E:$E,SSP1_Baseline!$C:$C,Results_list!$C$382,SSP1_Baseline!$D:$D,Results_list!$D46,SSP1_Baseline!$B:$B,2025))</f>
        <v>-0.14167372880678325</v>
      </c>
      <c r="W109" s="49">
        <f>((SUMIFS(SSP1_VSI!$F:$F,SSP1_VSI!$C:$C,Results_list!$C$382,SSP1_VSI!$D:$D,Results_list!$D46,SSP1_VSI!$B:$B,2040)) - (SUMIFS(SSP1_VSI!$F:$F,SSP1_VSI!$C:$C,Results_list!$C$382,SSP1_VSI!$D:$D,Results_list!$D46,SSP1_VSI!$B:$B,2025))) / (SUMIFS(SSP1_VSI!$F:$F,SSP1_VSI!$C:$C,Results_list!$C$382,SSP1_VSI!$D:$D,Results_list!$D46,SSP1_VSI!$B:$B,2025))</f>
        <v>-0.14166047784162109</v>
      </c>
      <c r="X109" s="50">
        <f>ROUND(W109-V109,3)</f>
        <v>0</v>
      </c>
      <c r="Y109" s="48">
        <f>((SUMIFS(SSP2_Baseline!$E:$E,SSP2_Baseline!$C:$C,Results_list!$C$382,SSP2_Baseline!$D:$D,Results_list!$D46,SSP2_Baseline!$B:$B,2040)) - (SUMIFS(SSP2_Baseline!$E:$E,SSP2_Baseline!$C:$C,Results_list!$C$382,SSP2_Baseline!$D:$D,Results_list!$D46,SSP2_Baseline!$B:$B,2025))) / (SUMIFS(SSP2_Baseline!$E:$E,SSP2_Baseline!$C:$C,Results_list!$C$382,SSP2_Baseline!$D:$D,Results_list!$D46,SSP2_Baseline!$B:$B,2025))</f>
        <v>0.72242675522709932</v>
      </c>
      <c r="Z109" s="49">
        <f>((SUMIFS(SSP2_VSI!$F:$F,SSP2_VSI!$C:$C,Results_list!$C$382,SSP2_VSI!$D:$D,Results_list!$D46,SSP2_VSI!$B:$B,2040)) - (SUMIFS(SSP2_VSI!$F:$F,SSP2_VSI!$C:$C,Results_list!$C$382,SSP2_VSI!$D:$D,Results_list!$D46,SSP2_VSI!$B:$B,2025))) / (SUMIFS(SSP2_VSI!$F:$F,SSP2_VSI!$C:$C,Results_list!$C$382,SSP2_VSI!$D:$D,Results_list!$D46,SSP2_VSI!$B:$B,2025))</f>
        <v>0.72226382418404733</v>
      </c>
      <c r="AA109" s="50">
        <f>ROUND(Z109-Y109,2)</f>
        <v>0</v>
      </c>
      <c r="AB109" s="48">
        <f>((SUMIFS(SSP5_Baseline!$E:$E,SSP5_Baseline!$C:$C,Results_list!$C$382,SSP5_Baseline!$D:$D,Results_list!$D46,SSP5_Baseline!$B:$B,2040)) - (SUMIFS(SSP5_Baseline!$E:$E,SSP5_Baseline!$C:$C,Results_list!$C$382,SSP5_Baseline!$D:$D,Results_list!$D46,SSP5_Baseline!$B:$B,2025))) / (SUMIFS(SSP5_Baseline!$E:$E,SSP5_Baseline!$C:$C,Results_list!$C$382,SSP5_Baseline!$D:$D,Results_list!$D46,SSP5_Baseline!$B:$B,2025))</f>
        <v>1.2643975564273702</v>
      </c>
      <c r="AC109" s="49">
        <f>((SUMIFS(SSP5_VSI!$F:$F,SSP5_VSI!$C:$C,Results_list!$C$382,SSP5_VSI!$D:$D,Results_list!$D46,SSP5_VSI!$B:$B,2040)) - (SUMIFS(SSP5_VSI!$F:$F,SSP5_VSI!$C:$C,Results_list!$C$382,SSP5_VSI!$D:$D,Results_list!$D46,SSP5_VSI!$B:$B,2025))) / (SUMIFS(SSP5_VSI!$F:$F,SSP5_VSI!$C:$C,Results_list!$C$382,SSP5_VSI!$D:$D,Results_list!$D46,SSP5_VSI!$B:$B,2025))</f>
        <v>1.2644720736343766</v>
      </c>
      <c r="AD109" s="50">
        <f>ROUND(AC109-AB109,2)</f>
        <v>0</v>
      </c>
    </row>
    <row r="110" spans="2:30" ht="16" hidden="1" x14ac:dyDescent="0.4">
      <c r="B110" s="107"/>
      <c r="C110" s="103"/>
      <c r="D110" s="38" t="s">
        <v>40</v>
      </c>
      <c r="E110" s="38"/>
      <c r="F110" s="47" t="s">
        <v>88</v>
      </c>
      <c r="G110" s="48">
        <f>((SUMIFS(SSP1_Baseline!$E:$E,SSP1_Baseline!$C:$C,Results_list!$C$172,SSP1_Baseline!$D:$D,Results_list!$D215,SSP1_Baseline!$B:$B,2040)) - (SUMIFS(SSP1_Baseline!$E:$E,SSP1_Baseline!$C:$C,Results_list!$C$172,SSP1_Baseline!$D:$D,Results_list!$D215,SSP1_Baseline!$B:$B,2025))) / (SUMIFS(SSP1_Baseline!$E:$E,SSP1_Baseline!$C:$C,Results_list!$C$172,SSP1_Baseline!$D:$D,Results_list!$D215,SSP1_Baseline!$B:$B,2025))</f>
        <v>-9.6336160342578164E-2</v>
      </c>
      <c r="H110" s="49">
        <f>((SUMIFS(SSP1_VSI!$F:$F,SSP1_VSI!$C:$C,Results_list!$C$172,SSP1_VSI!$D:$D,Results_list!$D215,SSP1_VSI!$B:$B,2040)) - (SUMIFS(SSP1_VSI!$F:$F,SSP1_VSI!$C:$C,Results_list!$C$172,SSP1_VSI!$D:$D,Results_list!$D215,SSP1_VSI!$B:$B,2025))) / (SUMIFS(SSP1_VSI!$F:$F,SSP1_VSI!$C:$C,Results_list!$C$172,SSP1_VSI!$D:$D,Results_list!$D215,SSP1_VSI!$B:$B,2025))</f>
        <v>-9.6350106620325685E-2</v>
      </c>
      <c r="I110" s="52">
        <f t="shared" si="30"/>
        <v>0</v>
      </c>
      <c r="J110" s="48">
        <f>((SUMIFS(SSP2_Baseline!$E:$E,SSP2_Baseline!$C:$C,Results_list!$C$172,SSP2_Baseline!$D:$D,Results_list!$D215,SSP2_Baseline!$B:$B,2040)) - (SUMIFS(SSP2_Baseline!$E:$E,SSP2_Baseline!$C:$C,Results_list!$C$172,SSP2_Baseline!$D:$D,Results_list!$D215,SSP2_Baseline!$B:$B,2025))) / (SUMIFS(SSP2_Baseline!$E:$E,SSP2_Baseline!$C:$C,Results_list!$C$172,SSP2_Baseline!$D:$D,Results_list!$D215,SSP2_Baseline!$B:$B,2025))</f>
        <v>-0.10670232891461931</v>
      </c>
      <c r="K110" s="49">
        <f>((SUMIFS(SSP2_VSI!$F:$F,SSP2_VSI!$C:$C,Results_list!$C$172,SSP2_VSI!$D:$D,Results_list!$D215,SSP2_VSI!$B:$B,2040)) - (SUMIFS(SSP2_VSI!$F:$F,SSP2_VSI!$C:$C,Results_list!$C$172,SSP2_VSI!$D:$D,Results_list!$D215,SSP2_VSI!$B:$B,2025))) / (SUMIFS(SSP2_VSI!$F:$F,SSP2_VSI!$C:$C,Results_list!$C$172,SSP2_VSI!$D:$D,Results_list!$D215,SSP2_VSI!$B:$B,2025))</f>
        <v>-0.10678150883846443</v>
      </c>
      <c r="L110" s="52">
        <f t="shared" si="31"/>
        <v>0</v>
      </c>
      <c r="M110" s="48">
        <f>((SUMIFS(SSP5_Baseline!$E:$E,SSP5_Baseline!$C:$C,Results_list!$C$172,SSP5_Baseline!$D:$D,Results_list!$D215,SSP5_Baseline!$B:$B,2040)) - (SUMIFS(SSP5_Baseline!$E:$E,SSP5_Baseline!$C:$C,Results_list!$C$172,SSP5_Baseline!$D:$D,Results_list!$D215,SSP5_Baseline!$B:$B,2025))) / (SUMIFS(SSP5_Baseline!$E:$E,SSP5_Baseline!$C:$C,Results_list!$C$172,SSP5_Baseline!$D:$D,Results_list!$D215,SSP5_Baseline!$B:$B,2025))</f>
        <v>-6.438938606392583E-2</v>
      </c>
      <c r="N110" s="49">
        <f>((SUMIFS(SSP5_VSI!$F:$F,SSP5_VSI!$C:$C,Results_list!$C$172,SSP5_VSI!$D:$D,Results_list!$D215,SSP5_VSI!$B:$B,2040)) - (SUMIFS(SSP5_VSI!$F:$F,SSP5_VSI!$C:$C,Results_list!$C$172,SSP5_VSI!$D:$D,Results_list!$D215,SSP5_VSI!$B:$B,2025))) / (SUMIFS(SSP5_VSI!$F:$F,SSP5_VSI!$C:$C,Results_list!$C$172,SSP5_VSI!$D:$D,Results_list!$D215,SSP5_VSI!$B:$B,2025))</f>
        <v>-6.4498618136919358E-2</v>
      </c>
      <c r="O110" s="52">
        <f t="shared" si="32"/>
        <v>0</v>
      </c>
      <c r="P110" s="38"/>
      <c r="Q110" s="111"/>
      <c r="R110" s="112"/>
      <c r="S110" s="38" t="s">
        <v>40</v>
      </c>
      <c r="T110" s="38"/>
      <c r="U110" s="47" t="s">
        <v>88</v>
      </c>
      <c r="V110" s="48">
        <f>((SUMIFS(SSP1_Baseline!$E:$E,SSP1_Baseline!$C:$C,Results_list!$C$382,SSP1_Baseline!$D:$D,Results_list!$D47,SSP1_Baseline!$B:$B,2040)) - (SUMIFS(SSP1_Baseline!$E:$E,SSP1_Baseline!$C:$C,Results_list!$C$382,SSP1_Baseline!$D:$D,Results_list!$D47,SSP1_Baseline!$B:$B,2025))) / (SUMIFS(SSP1_Baseline!$E:$E,SSP1_Baseline!$C:$C,Results_list!$C$382,SSP1_Baseline!$D:$D,Results_list!$D47,SSP1_Baseline!$B:$B,2025))</f>
        <v>-0.12574758790249432</v>
      </c>
      <c r="W110" s="49">
        <f>((SUMIFS(SSP1_VSI!$F:$F,SSP1_VSI!$C:$C,Results_list!$C$382,SSP1_VSI!$D:$D,Results_list!$D47,SSP1_VSI!$B:$B,2040)) - (SUMIFS(SSP1_VSI!$F:$F,SSP1_VSI!$C:$C,Results_list!$C$382,SSP1_VSI!$D:$D,Results_list!$D47,SSP1_VSI!$B:$B,2025))) / (SUMIFS(SSP1_VSI!$F:$F,SSP1_VSI!$C:$C,Results_list!$C$382,SSP1_VSI!$D:$D,Results_list!$D47,SSP1_VSI!$B:$B,2025))</f>
        <v>-0.12574972812119975</v>
      </c>
      <c r="X110" s="52">
        <f t="shared" ref="X110:X126" si="33">ROUND(W110-V110,3)</f>
        <v>0</v>
      </c>
      <c r="Y110" s="48">
        <f>((SUMIFS(SSP2_Baseline!$E:$E,SSP2_Baseline!$C:$C,Results_list!$C$382,SSP2_Baseline!$D:$D,Results_list!$D47,SSP2_Baseline!$B:$B,2040)) - (SUMIFS(SSP2_Baseline!$E:$E,SSP2_Baseline!$C:$C,Results_list!$C$382,SSP2_Baseline!$D:$D,Results_list!$D47,SSP2_Baseline!$B:$B,2025))) / (SUMIFS(SSP2_Baseline!$E:$E,SSP2_Baseline!$C:$C,Results_list!$C$382,SSP2_Baseline!$D:$D,Results_list!$D47,SSP2_Baseline!$B:$B,2025))</f>
        <v>-0.12621025899286836</v>
      </c>
      <c r="Z110" s="49">
        <f>((SUMIFS(SSP2_VSI!$F:$F,SSP2_VSI!$C:$C,Results_list!$C$382,SSP2_VSI!$D:$D,Results_list!$D47,SSP2_VSI!$B:$B,2040)) - (SUMIFS(SSP2_VSI!$F:$F,SSP2_VSI!$C:$C,Results_list!$C$382,SSP2_VSI!$D:$D,Results_list!$D47,SSP2_VSI!$B:$B,2025))) / (SUMIFS(SSP2_VSI!$F:$F,SSP2_VSI!$C:$C,Results_list!$C$382,SSP2_VSI!$D:$D,Results_list!$D47,SSP2_VSI!$B:$B,2025))</f>
        <v>-0.12623099778929189</v>
      </c>
      <c r="AA110" s="52">
        <f t="shared" ref="AA110:AA126" si="34">ROUND(Z110-Y110,2)</f>
        <v>0</v>
      </c>
      <c r="AB110" s="48">
        <f>((SUMIFS(SSP5_Baseline!$E:$E,SSP5_Baseline!$C:$C,Results_list!$C$382,SSP5_Baseline!$D:$D,Results_list!$D47,SSP5_Baseline!$B:$B,2040)) - (SUMIFS(SSP5_Baseline!$E:$E,SSP5_Baseline!$C:$C,Results_list!$C$382,SSP5_Baseline!$D:$D,Results_list!$D47,SSP5_Baseline!$B:$B,2025))) / (SUMIFS(SSP5_Baseline!$E:$E,SSP5_Baseline!$C:$C,Results_list!$C$382,SSP5_Baseline!$D:$D,Results_list!$D47,SSP5_Baseline!$B:$B,2025))</f>
        <v>-2.6555038844162993E-2</v>
      </c>
      <c r="AC110" s="49">
        <f>((SUMIFS(SSP5_VSI!$F:$F,SSP5_VSI!$C:$C,Results_list!$C$382,SSP5_VSI!$D:$D,Results_list!$D47,SSP5_VSI!$B:$B,2040)) - (SUMIFS(SSP5_VSI!$F:$F,SSP5_VSI!$C:$C,Results_list!$C$382,SSP5_VSI!$D:$D,Results_list!$D47,SSP5_VSI!$B:$B,2025))) / (SUMIFS(SSP5_VSI!$F:$F,SSP5_VSI!$C:$C,Results_list!$C$382,SSP5_VSI!$D:$D,Results_list!$D47,SSP5_VSI!$B:$B,2025))</f>
        <v>-2.6595988561472987E-2</v>
      </c>
      <c r="AD110" s="52">
        <f t="shared" ref="AD110:AD126" si="35">ROUND(AC110-AB110,2)</f>
        <v>0</v>
      </c>
    </row>
    <row r="111" spans="2:30" ht="16" x14ac:dyDescent="0.4">
      <c r="B111" s="107"/>
      <c r="C111" s="103"/>
      <c r="D111" s="38" t="s">
        <v>41</v>
      </c>
      <c r="E111" s="38"/>
      <c r="F111" s="47" t="s">
        <v>89</v>
      </c>
      <c r="G111" s="48">
        <f>((SUMIFS(SSP1_Baseline!$E:$E,SSP1_Baseline!$C:$C,Results_list!$C$172,SSP1_Baseline!$D:$D,Results_list!$D216,SSP1_Baseline!$B:$B,2040)) - (SUMIFS(SSP1_Baseline!$E:$E,SSP1_Baseline!$C:$C,Results_list!$C$172,SSP1_Baseline!$D:$D,Results_list!$D216,SSP1_Baseline!$B:$B,2025))) / (SUMIFS(SSP1_Baseline!$E:$E,SSP1_Baseline!$C:$C,Results_list!$C$172,SSP1_Baseline!$D:$D,Results_list!$D216,SSP1_Baseline!$B:$B,2025))</f>
        <v>-6.144733126899353E-2</v>
      </c>
      <c r="H111" s="49">
        <f>((SUMIFS(SSP1_VSI!$F:$F,SSP1_VSI!$C:$C,Results_list!$C$172,SSP1_VSI!$D:$D,Results_list!$D216,SSP1_VSI!$B:$B,2040)) - (SUMIFS(SSP1_VSI!$F:$F,SSP1_VSI!$C:$C,Results_list!$C$172,SSP1_VSI!$D:$D,Results_list!$D216,SSP1_VSI!$B:$B,2025))) / (SUMIFS(SSP1_VSI!$F:$F,SSP1_VSI!$C:$C,Results_list!$C$172,SSP1_VSI!$D:$D,Results_list!$D216,SSP1_VSI!$B:$B,2025))</f>
        <v>-0.17150136700261673</v>
      </c>
      <c r="I111" s="52">
        <f t="shared" si="30"/>
        <v>-0.11</v>
      </c>
      <c r="J111" s="48">
        <f>((SUMIFS(SSP2_Baseline!$E:$E,SSP2_Baseline!$C:$C,Results_list!$C$172,SSP2_Baseline!$D:$D,Results_list!$D216,SSP2_Baseline!$B:$B,2040)) - (SUMIFS(SSP2_Baseline!$E:$E,SSP2_Baseline!$C:$C,Results_list!$C$172,SSP2_Baseline!$D:$D,Results_list!$D216,SSP2_Baseline!$B:$B,2025))) / (SUMIFS(SSP2_Baseline!$E:$E,SSP2_Baseline!$C:$C,Results_list!$C$172,SSP2_Baseline!$D:$D,Results_list!$D216,SSP2_Baseline!$B:$B,2025))</f>
        <v>-5.7366747504736471E-2</v>
      </c>
      <c r="K111" s="49">
        <f>((SUMIFS(SSP2_VSI!$F:$F,SSP2_VSI!$C:$C,Results_list!$C$172,SSP2_VSI!$D:$D,Results_list!$D216,SSP2_VSI!$B:$B,2040)) - (SUMIFS(SSP2_VSI!$F:$F,SSP2_VSI!$C:$C,Results_list!$C$172,SSP2_VSI!$D:$D,Results_list!$D216,SSP2_VSI!$B:$B,2025))) / (SUMIFS(SSP2_VSI!$F:$F,SSP2_VSI!$C:$C,Results_list!$C$172,SSP2_VSI!$D:$D,Results_list!$D216,SSP2_VSI!$B:$B,2025))</f>
        <v>-0.16819810083773332</v>
      </c>
      <c r="L111" s="52">
        <f t="shared" si="31"/>
        <v>-0.11</v>
      </c>
      <c r="M111" s="48">
        <f>((SUMIFS(SSP5_Baseline!$E:$E,SSP5_Baseline!$C:$C,Results_list!$C$172,SSP5_Baseline!$D:$D,Results_list!$D216,SSP5_Baseline!$B:$B,2040)) - (SUMIFS(SSP5_Baseline!$E:$E,SSP5_Baseline!$C:$C,Results_list!$C$172,SSP5_Baseline!$D:$D,Results_list!$D216,SSP5_Baseline!$B:$B,2025))) / (SUMIFS(SSP5_Baseline!$E:$E,SSP5_Baseline!$C:$C,Results_list!$C$172,SSP5_Baseline!$D:$D,Results_list!$D216,SSP5_Baseline!$B:$B,2025))</f>
        <v>-3.8784823882947808E-2</v>
      </c>
      <c r="N111" s="49">
        <f>((SUMIFS(SSP5_VSI!$F:$F,SSP5_VSI!$C:$C,Results_list!$C$172,SSP5_VSI!$D:$D,Results_list!$D216,SSP5_VSI!$B:$B,2040)) - (SUMIFS(SSP5_VSI!$F:$F,SSP5_VSI!$C:$C,Results_list!$C$172,SSP5_VSI!$D:$D,Results_list!$D216,SSP5_VSI!$B:$B,2025))) / (SUMIFS(SSP5_VSI!$F:$F,SSP5_VSI!$C:$C,Results_list!$C$172,SSP5_VSI!$D:$D,Results_list!$D216,SSP5_VSI!$B:$B,2025))</f>
        <v>-0.14941585004329597</v>
      </c>
      <c r="O111" s="52">
        <f t="shared" si="32"/>
        <v>-0.11</v>
      </c>
      <c r="P111" s="38"/>
      <c r="Q111" s="111"/>
      <c r="R111" s="112"/>
      <c r="S111" s="38" t="s">
        <v>41</v>
      </c>
      <c r="T111" s="38"/>
      <c r="U111" s="47" t="s">
        <v>89</v>
      </c>
      <c r="V111" s="48">
        <f>((SUMIFS(SSP1_Baseline!$E:$E,SSP1_Baseline!$C:$C,Results_list!$C$382,SSP1_Baseline!$D:$D,Results_list!$D48,SSP1_Baseline!$B:$B,2040)) - (SUMIFS(SSP1_Baseline!$E:$E,SSP1_Baseline!$C:$C,Results_list!$C$382,SSP1_Baseline!$D:$D,Results_list!$D48,SSP1_Baseline!$B:$B,2025))) / (SUMIFS(SSP1_Baseline!$E:$E,SSP1_Baseline!$C:$C,Results_list!$C$382,SSP1_Baseline!$D:$D,Results_list!$D48,SSP1_Baseline!$B:$B,2025))</f>
        <v>-9.5979063696623262E-2</v>
      </c>
      <c r="W111" s="49">
        <f>((SUMIFS(SSP1_VSI!$F:$F,SSP1_VSI!$C:$C,Results_list!$C$382,SSP1_VSI!$D:$D,Results_list!$D48,SSP1_VSI!$B:$B,2040)) - (SUMIFS(SSP1_VSI!$F:$F,SSP1_VSI!$C:$C,Results_list!$C$382,SSP1_VSI!$D:$D,Results_list!$D48,SSP1_VSI!$B:$B,2025))) / (SUMIFS(SSP1_VSI!$F:$F,SSP1_VSI!$C:$C,Results_list!$C$382,SSP1_VSI!$D:$D,Results_list!$D48,SSP1_VSI!$B:$B,2025))</f>
        <v>-0.11306039052626449</v>
      </c>
      <c r="X111" s="52">
        <f t="shared" si="33"/>
        <v>-1.7000000000000001E-2</v>
      </c>
      <c r="Y111" s="48">
        <f>((SUMIFS(SSP2_Baseline!$E:$E,SSP2_Baseline!$C:$C,Results_list!$C$382,SSP2_Baseline!$D:$D,Results_list!$D48,SSP2_Baseline!$B:$B,2040)) - (SUMIFS(SSP2_Baseline!$E:$E,SSP2_Baseline!$C:$C,Results_list!$C$382,SSP2_Baseline!$D:$D,Results_list!$D48,SSP2_Baseline!$B:$B,2025))) / (SUMIFS(SSP2_Baseline!$E:$E,SSP2_Baseline!$C:$C,Results_list!$C$382,SSP2_Baseline!$D:$D,Results_list!$D48,SSP2_Baseline!$B:$B,2025))</f>
        <v>-9.4376633735546819E-2</v>
      </c>
      <c r="Z111" s="49">
        <f>((SUMIFS(SSP2_VSI!$F:$F,SSP2_VSI!$C:$C,Results_list!$C$382,SSP2_VSI!$D:$D,Results_list!$D48,SSP2_VSI!$B:$B,2040)) - (SUMIFS(SSP2_VSI!$F:$F,SSP2_VSI!$C:$C,Results_list!$C$382,SSP2_VSI!$D:$D,Results_list!$D48,SSP2_VSI!$B:$B,2025))) / (SUMIFS(SSP2_VSI!$F:$F,SSP2_VSI!$C:$C,Results_list!$C$382,SSP2_VSI!$D:$D,Results_list!$D48,SSP2_VSI!$B:$B,2025))</f>
        <v>-0.11155256263427873</v>
      </c>
      <c r="AA111" s="52">
        <f t="shared" si="34"/>
        <v>-0.02</v>
      </c>
      <c r="AB111" s="48">
        <f>((SUMIFS(SSP5_Baseline!$E:$E,SSP5_Baseline!$C:$C,Results_list!$C$382,SSP5_Baseline!$D:$D,Results_list!$D48,SSP5_Baseline!$B:$B,2040)) - (SUMIFS(SSP5_Baseline!$E:$E,SSP5_Baseline!$C:$C,Results_list!$C$382,SSP5_Baseline!$D:$D,Results_list!$D48,SSP5_Baseline!$B:$B,2025))) / (SUMIFS(SSP5_Baseline!$E:$E,SSP5_Baseline!$C:$C,Results_list!$C$382,SSP5_Baseline!$D:$D,Results_list!$D48,SSP5_Baseline!$B:$B,2025))</f>
        <v>-5.1496724450282465E-2</v>
      </c>
      <c r="AC111" s="49">
        <f>((SUMIFS(SSP5_VSI!$F:$F,SSP5_VSI!$C:$C,Results_list!$C$382,SSP5_VSI!$D:$D,Results_list!$D48,SSP5_VSI!$B:$B,2040)) - (SUMIFS(SSP5_VSI!$F:$F,SSP5_VSI!$C:$C,Results_list!$C$382,SSP5_VSI!$D:$D,Results_list!$D48,SSP5_VSI!$B:$B,2025))) / (SUMIFS(SSP5_VSI!$F:$F,SSP5_VSI!$C:$C,Results_list!$C$382,SSP5_VSI!$D:$D,Results_list!$D48,SSP5_VSI!$B:$B,2025))</f>
        <v>-6.8518416653801623E-2</v>
      </c>
      <c r="AD111" s="52">
        <f t="shared" si="35"/>
        <v>-0.02</v>
      </c>
    </row>
    <row r="112" spans="2:30" ht="16" x14ac:dyDescent="0.4">
      <c r="B112" s="107"/>
      <c r="C112" s="103"/>
      <c r="D112" s="38" t="s">
        <v>42</v>
      </c>
      <c r="E112" s="38"/>
      <c r="F112" s="47" t="s">
        <v>90</v>
      </c>
      <c r="G112" s="48">
        <f>((SUMIFS(SSP1_Baseline!$E:$E,SSP1_Baseline!$C:$C,Results_list!$C$172,SSP1_Baseline!$D:$D,Results_list!$D217,SSP1_Baseline!$B:$B,2040)) - (SUMIFS(SSP1_Baseline!$E:$E,SSP1_Baseline!$C:$C,Results_list!$C$172,SSP1_Baseline!$D:$D,Results_list!$D217,SSP1_Baseline!$B:$B,2025))) / (SUMIFS(SSP1_Baseline!$E:$E,SSP1_Baseline!$C:$C,Results_list!$C$172,SSP1_Baseline!$D:$D,Results_list!$D217,SSP1_Baseline!$B:$B,2025))</f>
        <v>-7.6204879288303681E-3</v>
      </c>
      <c r="H112" s="49">
        <f>((SUMIFS(SSP1_VSI!$F:$F,SSP1_VSI!$C:$C,Results_list!$C$172,SSP1_VSI!$D:$D,Results_list!$D217,SSP1_VSI!$B:$B,2040)) - (SUMIFS(SSP1_VSI!$F:$F,SSP1_VSI!$C:$C,Results_list!$C$172,SSP1_VSI!$D:$D,Results_list!$D217,SSP1_VSI!$B:$B,2025))) / (SUMIFS(SSP1_VSI!$F:$F,SSP1_VSI!$C:$C,Results_list!$C$172,SSP1_VSI!$D:$D,Results_list!$D217,SSP1_VSI!$B:$B,2025))</f>
        <v>-0.19500893734608241</v>
      </c>
      <c r="I112" s="52">
        <f t="shared" si="30"/>
        <v>-0.187</v>
      </c>
      <c r="J112" s="48">
        <f>((SUMIFS(SSP2_Baseline!$E:$E,SSP2_Baseline!$C:$C,Results_list!$C$172,SSP2_Baseline!$D:$D,Results_list!$D217,SSP2_Baseline!$B:$B,2040)) - (SUMIFS(SSP2_Baseline!$E:$E,SSP2_Baseline!$C:$C,Results_list!$C$172,SSP2_Baseline!$D:$D,Results_list!$D217,SSP2_Baseline!$B:$B,2025))) / (SUMIFS(SSP2_Baseline!$E:$E,SSP2_Baseline!$C:$C,Results_list!$C$172,SSP2_Baseline!$D:$D,Results_list!$D217,SSP2_Baseline!$B:$B,2025))</f>
        <v>6.3941726864954129E-4</v>
      </c>
      <c r="K112" s="49">
        <f>((SUMIFS(SSP2_VSI!$F:$F,SSP2_VSI!$C:$C,Results_list!$C$172,SSP2_VSI!$D:$D,Results_list!$D217,SSP2_VSI!$B:$B,2040)) - (SUMIFS(SSP2_VSI!$F:$F,SSP2_VSI!$C:$C,Results_list!$C$172,SSP2_VSI!$D:$D,Results_list!$D217,SSP2_VSI!$B:$B,2025))) / (SUMIFS(SSP2_VSI!$F:$F,SSP2_VSI!$C:$C,Results_list!$C$172,SSP2_VSI!$D:$D,Results_list!$D217,SSP2_VSI!$B:$B,2025))</f>
        <v>-0.18739845468444274</v>
      </c>
      <c r="L112" s="52">
        <f t="shared" si="31"/>
        <v>-0.19</v>
      </c>
      <c r="M112" s="48">
        <f>((SUMIFS(SSP5_Baseline!$E:$E,SSP5_Baseline!$C:$C,Results_list!$C$172,SSP5_Baseline!$D:$D,Results_list!$D217,SSP5_Baseline!$B:$B,2040)) - (SUMIFS(SSP5_Baseline!$E:$E,SSP5_Baseline!$C:$C,Results_list!$C$172,SSP5_Baseline!$D:$D,Results_list!$D217,SSP5_Baseline!$B:$B,2025))) / (SUMIFS(SSP5_Baseline!$E:$E,SSP5_Baseline!$C:$C,Results_list!$C$172,SSP5_Baseline!$D:$D,Results_list!$D217,SSP5_Baseline!$B:$B,2025))</f>
        <v>9.194927848234084E-3</v>
      </c>
      <c r="N112" s="49">
        <f>((SUMIFS(SSP5_VSI!$F:$F,SSP5_VSI!$C:$C,Results_list!$C$172,SSP5_VSI!$D:$D,Results_list!$D217,SSP5_VSI!$B:$B,2040)) - (SUMIFS(SSP5_VSI!$F:$F,SSP5_VSI!$C:$C,Results_list!$C$172,SSP5_VSI!$D:$D,Results_list!$D217,SSP5_VSI!$B:$B,2025))) / (SUMIFS(SSP5_VSI!$F:$F,SSP5_VSI!$C:$C,Results_list!$C$172,SSP5_VSI!$D:$D,Results_list!$D217,SSP5_VSI!$B:$B,2025))</f>
        <v>-0.17855671039545323</v>
      </c>
      <c r="O112" s="52">
        <f t="shared" si="32"/>
        <v>-0.19</v>
      </c>
      <c r="P112" s="38"/>
      <c r="Q112" s="111"/>
      <c r="R112" s="112"/>
      <c r="S112" s="38" t="s">
        <v>42</v>
      </c>
      <c r="T112" s="38"/>
      <c r="U112" s="47" t="s">
        <v>90</v>
      </c>
      <c r="V112" s="48">
        <f>((SUMIFS(SSP1_Baseline!$E:$E,SSP1_Baseline!$C:$C,Results_list!$C$382,SSP1_Baseline!$D:$D,Results_list!$D49,SSP1_Baseline!$B:$B,2040)) - (SUMIFS(SSP1_Baseline!$E:$E,SSP1_Baseline!$C:$C,Results_list!$C$382,SSP1_Baseline!$D:$D,Results_list!$D49,SSP1_Baseline!$B:$B,2025))) / (SUMIFS(SSP1_Baseline!$E:$E,SSP1_Baseline!$C:$C,Results_list!$C$382,SSP1_Baseline!$D:$D,Results_list!$D49,SSP1_Baseline!$B:$B,2025))</f>
        <v>-3.3168771387051287E-2</v>
      </c>
      <c r="W112" s="49">
        <f>((SUMIFS(SSP1_VSI!$F:$F,SSP1_VSI!$C:$C,Results_list!$C$382,SSP1_VSI!$D:$D,Results_list!$D49,SSP1_VSI!$B:$B,2040)) - (SUMIFS(SSP1_VSI!$F:$F,SSP1_VSI!$C:$C,Results_list!$C$382,SSP1_VSI!$D:$D,Results_list!$D49,SSP1_VSI!$B:$B,2025))) / (SUMIFS(SSP1_VSI!$F:$F,SSP1_VSI!$C:$C,Results_list!$C$382,SSP1_VSI!$D:$D,Results_list!$D49,SSP1_VSI!$B:$B,2025))</f>
        <v>-0.75514703341663469</v>
      </c>
      <c r="X112" s="52">
        <f t="shared" si="33"/>
        <v>-0.72199999999999998</v>
      </c>
      <c r="Y112" s="48">
        <f>((SUMIFS(SSP2_Baseline!$E:$E,SSP2_Baseline!$C:$C,Results_list!$C$382,SSP2_Baseline!$D:$D,Results_list!$D49,SSP2_Baseline!$B:$B,2040)) - (SUMIFS(SSP2_Baseline!$E:$E,SSP2_Baseline!$C:$C,Results_list!$C$382,SSP2_Baseline!$D:$D,Results_list!$D49,SSP2_Baseline!$B:$B,2025))) / (SUMIFS(SSP2_Baseline!$E:$E,SSP2_Baseline!$C:$C,Results_list!$C$382,SSP2_Baseline!$D:$D,Results_list!$D49,SSP2_Baseline!$B:$B,2025))</f>
        <v>-3.3559783390086452E-2</v>
      </c>
      <c r="Z112" s="49">
        <f>((SUMIFS(SSP2_VSI!$F:$F,SSP2_VSI!$C:$C,Results_list!$C$382,SSP2_VSI!$D:$D,Results_list!$D49,SSP2_VSI!$B:$B,2040)) - (SUMIFS(SSP2_VSI!$F:$F,SSP2_VSI!$C:$C,Results_list!$C$382,SSP2_VSI!$D:$D,Results_list!$D49,SSP2_VSI!$B:$B,2025))) / (SUMIFS(SSP2_VSI!$F:$F,SSP2_VSI!$C:$C,Results_list!$C$382,SSP2_VSI!$D:$D,Results_list!$D49,SSP2_VSI!$B:$B,2025))</f>
        <v>-0.75874566540796085</v>
      </c>
      <c r="AA112" s="52">
        <f t="shared" si="34"/>
        <v>-0.73</v>
      </c>
      <c r="AB112" s="48">
        <f>((SUMIFS(SSP5_Baseline!$E:$E,SSP5_Baseline!$C:$C,Results_list!$C$382,SSP5_Baseline!$D:$D,Results_list!$D49,SSP5_Baseline!$B:$B,2040)) - (SUMIFS(SSP5_Baseline!$E:$E,SSP5_Baseline!$C:$C,Results_list!$C$382,SSP5_Baseline!$D:$D,Results_list!$D49,SSP5_Baseline!$B:$B,2025))) / (SUMIFS(SSP5_Baseline!$E:$E,SSP5_Baseline!$C:$C,Results_list!$C$382,SSP5_Baseline!$D:$D,Results_list!$D49,SSP5_Baseline!$B:$B,2025))</f>
        <v>2.1252534394157082E-2</v>
      </c>
      <c r="AC112" s="49">
        <f>((SUMIFS(SSP5_VSI!$F:$F,SSP5_VSI!$C:$C,Results_list!$C$382,SSP5_VSI!$D:$D,Results_list!$D49,SSP5_VSI!$B:$B,2040)) - (SUMIFS(SSP5_VSI!$F:$F,SSP5_VSI!$C:$C,Results_list!$C$382,SSP5_VSI!$D:$D,Results_list!$D49,SSP5_VSI!$B:$B,2025))) / (SUMIFS(SSP5_VSI!$F:$F,SSP5_VSI!$C:$C,Results_list!$C$382,SSP5_VSI!$D:$D,Results_list!$D49,SSP5_VSI!$B:$B,2025))</f>
        <v>-0.69574627357275942</v>
      </c>
      <c r="AD112" s="52">
        <f t="shared" si="35"/>
        <v>-0.72</v>
      </c>
    </row>
    <row r="113" spans="2:30" ht="16" x14ac:dyDescent="0.4">
      <c r="B113" s="107"/>
      <c r="C113" s="103"/>
      <c r="D113" s="38" t="s">
        <v>43</v>
      </c>
      <c r="E113" s="38"/>
      <c r="F113" s="47" t="s">
        <v>91</v>
      </c>
      <c r="G113" s="48">
        <f>((SUMIFS(SSP1_Baseline!$E:$E,SSP1_Baseline!$C:$C,Results_list!$C$172,SSP1_Baseline!$D:$D,Results_list!$D218,SSP1_Baseline!$B:$B,2040)) - (SUMIFS(SSP1_Baseline!$E:$E,SSP1_Baseline!$C:$C,Results_list!$C$172,SSP1_Baseline!$D:$D,Results_list!$D218,SSP1_Baseline!$B:$B,2025))) / (SUMIFS(SSP1_Baseline!$E:$E,SSP1_Baseline!$C:$C,Results_list!$C$172,SSP1_Baseline!$D:$D,Results_list!$D218,SSP1_Baseline!$B:$B,2025))</f>
        <v>-5.5168274330635883E-2</v>
      </c>
      <c r="H113" s="49">
        <f>((SUMIFS(SSP1_VSI!$F:$F,SSP1_VSI!$C:$C,Results_list!$C$172,SSP1_VSI!$D:$D,Results_list!$D218,SSP1_VSI!$B:$B,2040)) - (SUMIFS(SSP1_VSI!$F:$F,SSP1_VSI!$C:$C,Results_list!$C$172,SSP1_VSI!$D:$D,Results_list!$D218,SSP1_VSI!$B:$B,2025))) / (SUMIFS(SSP1_VSI!$F:$F,SSP1_VSI!$C:$C,Results_list!$C$172,SSP1_VSI!$D:$D,Results_list!$D218,SSP1_VSI!$B:$B,2025))</f>
        <v>-0.12465136523574492</v>
      </c>
      <c r="I113" s="52">
        <f t="shared" si="30"/>
        <v>-6.9000000000000006E-2</v>
      </c>
      <c r="J113" s="48">
        <f>((SUMIFS(SSP2_Baseline!$E:$E,SSP2_Baseline!$C:$C,Results_list!$C$172,SSP2_Baseline!$D:$D,Results_list!$D218,SSP2_Baseline!$B:$B,2040)) - (SUMIFS(SSP2_Baseline!$E:$E,SSP2_Baseline!$C:$C,Results_list!$C$172,SSP2_Baseline!$D:$D,Results_list!$D218,SSP2_Baseline!$B:$B,2025))) / (SUMIFS(SSP2_Baseline!$E:$E,SSP2_Baseline!$C:$C,Results_list!$C$172,SSP2_Baseline!$D:$D,Results_list!$D218,SSP2_Baseline!$B:$B,2025))</f>
        <v>9.1156131480888761E-3</v>
      </c>
      <c r="K113" s="49">
        <f>((SUMIFS(SSP2_VSI!$F:$F,SSP2_VSI!$C:$C,Results_list!$C$172,SSP2_VSI!$D:$D,Results_list!$D218,SSP2_VSI!$B:$B,2040)) - (SUMIFS(SSP2_VSI!$F:$F,SSP2_VSI!$C:$C,Results_list!$C$172,SSP2_VSI!$D:$D,Results_list!$D218,SSP2_VSI!$B:$B,2025))) / (SUMIFS(SSP2_VSI!$F:$F,SSP2_VSI!$C:$C,Results_list!$C$172,SSP2_VSI!$D:$D,Results_list!$D218,SSP2_VSI!$B:$B,2025))</f>
        <v>-6.8195764006980353E-2</v>
      </c>
      <c r="L113" s="52">
        <f t="shared" si="31"/>
        <v>-0.08</v>
      </c>
      <c r="M113" s="48">
        <f>((SUMIFS(SSP5_Baseline!$E:$E,SSP5_Baseline!$C:$C,Results_list!$C$172,SSP5_Baseline!$D:$D,Results_list!$D218,SSP5_Baseline!$B:$B,2040)) - (SUMIFS(SSP5_Baseline!$E:$E,SSP5_Baseline!$C:$C,Results_list!$C$172,SSP5_Baseline!$D:$D,Results_list!$D218,SSP5_Baseline!$B:$B,2025))) / (SUMIFS(SSP5_Baseline!$E:$E,SSP5_Baseline!$C:$C,Results_list!$C$172,SSP5_Baseline!$D:$D,Results_list!$D218,SSP5_Baseline!$B:$B,2025))</f>
        <v>3.2415181074940853E-2</v>
      </c>
      <c r="N113" s="49">
        <f>((SUMIFS(SSP5_VSI!$F:$F,SSP5_VSI!$C:$C,Results_list!$C$172,SSP5_VSI!$D:$D,Results_list!$D218,SSP5_VSI!$B:$B,2040)) - (SUMIFS(SSP5_VSI!$F:$F,SSP5_VSI!$C:$C,Results_list!$C$172,SSP5_VSI!$D:$D,Results_list!$D218,SSP5_VSI!$B:$B,2025))) / (SUMIFS(SSP5_VSI!$F:$F,SSP5_VSI!$C:$C,Results_list!$C$172,SSP5_VSI!$D:$D,Results_list!$D218,SSP5_VSI!$B:$B,2025))</f>
        <v>-4.5452141211525764E-2</v>
      </c>
      <c r="O113" s="52">
        <f t="shared" si="32"/>
        <v>-0.08</v>
      </c>
      <c r="P113" s="38"/>
      <c r="Q113" s="111"/>
      <c r="R113" s="112"/>
      <c r="S113" s="38" t="s">
        <v>43</v>
      </c>
      <c r="T113" s="38"/>
      <c r="U113" s="47" t="s">
        <v>91</v>
      </c>
      <c r="V113" s="48">
        <f>((SUMIFS(SSP1_Baseline!$E:$E,SSP1_Baseline!$C:$C,Results_list!$C$382,SSP1_Baseline!$D:$D,Results_list!$D50,SSP1_Baseline!$B:$B,2040)) - (SUMIFS(SSP1_Baseline!$E:$E,SSP1_Baseline!$C:$C,Results_list!$C$382,SSP1_Baseline!$D:$D,Results_list!$D50,SSP1_Baseline!$B:$B,2025))) / (SUMIFS(SSP1_Baseline!$E:$E,SSP1_Baseline!$C:$C,Results_list!$C$382,SSP1_Baseline!$D:$D,Results_list!$D50,SSP1_Baseline!$B:$B,2025))</f>
        <v>-0.19805613170218592</v>
      </c>
      <c r="W113" s="49">
        <f>((SUMIFS(SSP1_VSI!$F:$F,SSP1_VSI!$C:$C,Results_list!$C$382,SSP1_VSI!$D:$D,Results_list!$D50,SSP1_VSI!$B:$B,2040)) - (SUMIFS(SSP1_VSI!$F:$F,SSP1_VSI!$C:$C,Results_list!$C$382,SSP1_VSI!$D:$D,Results_list!$D50,SSP1_VSI!$B:$B,2025))) / (SUMIFS(SSP1_VSI!$F:$F,SSP1_VSI!$C:$C,Results_list!$C$382,SSP1_VSI!$D:$D,Results_list!$D50,SSP1_VSI!$B:$B,2025))</f>
        <v>-0.19808989495501578</v>
      </c>
      <c r="X113" s="52">
        <f t="shared" si="33"/>
        <v>0</v>
      </c>
      <c r="Y113" s="48">
        <f>((SUMIFS(SSP2_Baseline!$E:$E,SSP2_Baseline!$C:$C,Results_list!$C$382,SSP2_Baseline!$D:$D,Results_list!$D50,SSP2_Baseline!$B:$B,2040)) - (SUMIFS(SSP2_Baseline!$E:$E,SSP2_Baseline!$C:$C,Results_list!$C$382,SSP2_Baseline!$D:$D,Results_list!$D50,SSP2_Baseline!$B:$B,2025))) / (SUMIFS(SSP2_Baseline!$E:$E,SSP2_Baseline!$C:$C,Results_list!$C$382,SSP2_Baseline!$D:$D,Results_list!$D50,SSP2_Baseline!$B:$B,2025))</f>
        <v>-0.13593253806354055</v>
      </c>
      <c r="Z113" s="49">
        <f>((SUMIFS(SSP2_VSI!$F:$F,SSP2_VSI!$C:$C,Results_list!$C$382,SSP2_VSI!$D:$D,Results_list!$D50,SSP2_VSI!$B:$B,2040)) - (SUMIFS(SSP2_VSI!$F:$F,SSP2_VSI!$C:$C,Results_list!$C$382,SSP2_VSI!$D:$D,Results_list!$D50,SSP2_VSI!$B:$B,2025))) / (SUMIFS(SSP2_VSI!$F:$F,SSP2_VSI!$C:$C,Results_list!$C$382,SSP2_VSI!$D:$D,Results_list!$D50,SSP2_VSI!$B:$B,2025))</f>
        <v>-0.13591424382618938</v>
      </c>
      <c r="AA113" s="52">
        <f t="shared" si="34"/>
        <v>0</v>
      </c>
      <c r="AB113" s="48">
        <f>((SUMIFS(SSP5_Baseline!$E:$E,SSP5_Baseline!$C:$C,Results_list!$C$382,SSP5_Baseline!$D:$D,Results_list!$D50,SSP5_Baseline!$B:$B,2040)) - (SUMIFS(SSP5_Baseline!$E:$E,SSP5_Baseline!$C:$C,Results_list!$C$382,SSP5_Baseline!$D:$D,Results_list!$D50,SSP5_Baseline!$B:$B,2025))) / (SUMIFS(SSP5_Baseline!$E:$E,SSP5_Baseline!$C:$C,Results_list!$C$382,SSP5_Baseline!$D:$D,Results_list!$D50,SSP5_Baseline!$B:$B,2025))</f>
        <v>-1.5588267191318927E-2</v>
      </c>
      <c r="AC113" s="49">
        <f>((SUMIFS(SSP5_VSI!$F:$F,SSP5_VSI!$C:$C,Results_list!$C$382,SSP5_VSI!$D:$D,Results_list!$D50,SSP5_VSI!$B:$B,2040)) - (SUMIFS(SSP5_VSI!$F:$F,SSP5_VSI!$C:$C,Results_list!$C$382,SSP5_VSI!$D:$D,Results_list!$D50,SSP5_VSI!$B:$B,2025))) / (SUMIFS(SSP5_VSI!$F:$F,SSP5_VSI!$C:$C,Results_list!$C$382,SSP5_VSI!$D:$D,Results_list!$D50,SSP5_VSI!$B:$B,2025))</f>
        <v>-1.5602190146727849E-2</v>
      </c>
      <c r="AD113" s="52">
        <f t="shared" si="35"/>
        <v>0</v>
      </c>
    </row>
    <row r="114" spans="2:30" ht="16" x14ac:dyDescent="0.4">
      <c r="B114" s="107"/>
      <c r="C114" s="103"/>
      <c r="D114" s="38" t="s">
        <v>44</v>
      </c>
      <c r="E114" s="38"/>
      <c r="F114" s="47" t="s">
        <v>92</v>
      </c>
      <c r="G114" s="48">
        <f>((SUMIFS(SSP1_Baseline!$E:$E,SSP1_Baseline!$C:$C,Results_list!$C$172,SSP1_Baseline!$D:$D,Results_list!$D219,SSP1_Baseline!$B:$B,2040)) - (SUMIFS(SSP1_Baseline!$E:$E,SSP1_Baseline!$C:$C,Results_list!$C$172,SSP1_Baseline!$D:$D,Results_list!$D219,SSP1_Baseline!$B:$B,2025))) / (SUMIFS(SSP1_Baseline!$E:$E,SSP1_Baseline!$C:$C,Results_list!$C$172,SSP1_Baseline!$D:$D,Results_list!$D219,SSP1_Baseline!$B:$B,2025))</f>
        <v>-6.638824105949398E-2</v>
      </c>
      <c r="H114" s="49">
        <f>((SUMIFS(SSP1_VSI!$F:$F,SSP1_VSI!$C:$C,Results_list!$C$172,SSP1_VSI!$D:$D,Results_list!$D219,SSP1_VSI!$B:$B,2040)) - (SUMIFS(SSP1_VSI!$F:$F,SSP1_VSI!$C:$C,Results_list!$C$172,SSP1_VSI!$D:$D,Results_list!$D219,SSP1_VSI!$B:$B,2025))) / (SUMIFS(SSP1_VSI!$F:$F,SSP1_VSI!$C:$C,Results_list!$C$172,SSP1_VSI!$D:$D,Results_list!$D219,SSP1_VSI!$B:$B,2025))</f>
        <v>-9.2776614502722954E-2</v>
      </c>
      <c r="I114" s="52">
        <f t="shared" si="30"/>
        <v>-2.5999999999999999E-2</v>
      </c>
      <c r="J114" s="48">
        <f>((SUMIFS(SSP2_Baseline!$E:$E,SSP2_Baseline!$C:$C,Results_list!$C$172,SSP2_Baseline!$D:$D,Results_list!$D219,SSP2_Baseline!$B:$B,2040)) - (SUMIFS(SSP2_Baseline!$E:$E,SSP2_Baseline!$C:$C,Results_list!$C$172,SSP2_Baseline!$D:$D,Results_list!$D219,SSP2_Baseline!$B:$B,2025))) / (SUMIFS(SSP2_Baseline!$E:$E,SSP2_Baseline!$C:$C,Results_list!$C$172,SSP2_Baseline!$D:$D,Results_list!$D219,SSP2_Baseline!$B:$B,2025))</f>
        <v>-4.507845917382397E-2</v>
      </c>
      <c r="K114" s="49">
        <f>((SUMIFS(SSP2_VSI!$F:$F,SSP2_VSI!$C:$C,Results_list!$C$172,SSP2_VSI!$D:$D,Results_list!$D219,SSP2_VSI!$B:$B,2040)) - (SUMIFS(SSP2_VSI!$F:$F,SSP2_VSI!$C:$C,Results_list!$C$172,SSP2_VSI!$D:$D,Results_list!$D219,SSP2_VSI!$B:$B,2025))) / (SUMIFS(SSP2_VSI!$F:$F,SSP2_VSI!$C:$C,Results_list!$C$172,SSP2_VSI!$D:$D,Results_list!$D219,SSP2_VSI!$B:$B,2025))</f>
        <v>-7.2585412689497503E-2</v>
      </c>
      <c r="L114" s="52">
        <f t="shared" si="31"/>
        <v>-0.03</v>
      </c>
      <c r="M114" s="48">
        <f>((SUMIFS(SSP5_Baseline!$E:$E,SSP5_Baseline!$C:$C,Results_list!$C$172,SSP5_Baseline!$D:$D,Results_list!$D219,SSP5_Baseline!$B:$B,2040)) - (SUMIFS(SSP5_Baseline!$E:$E,SSP5_Baseline!$C:$C,Results_list!$C$172,SSP5_Baseline!$D:$D,Results_list!$D219,SSP5_Baseline!$B:$B,2025))) / (SUMIFS(SSP5_Baseline!$E:$E,SSP5_Baseline!$C:$C,Results_list!$C$172,SSP5_Baseline!$D:$D,Results_list!$D219,SSP5_Baseline!$B:$B,2025))</f>
        <v>-1.3749476524180199E-2</v>
      </c>
      <c r="N114" s="49">
        <f>((SUMIFS(SSP5_VSI!$F:$F,SSP5_VSI!$C:$C,Results_list!$C$172,SSP5_VSI!$D:$D,Results_list!$D219,SSP5_VSI!$B:$B,2040)) - (SUMIFS(SSP5_VSI!$F:$F,SSP5_VSI!$C:$C,Results_list!$C$172,SSP5_VSI!$D:$D,Results_list!$D219,SSP5_VSI!$B:$B,2025))) / (SUMIFS(SSP5_VSI!$F:$F,SSP5_VSI!$C:$C,Results_list!$C$172,SSP5_VSI!$D:$D,Results_list!$D219,SSP5_VSI!$B:$B,2025))</f>
        <v>-4.1406904696464256E-2</v>
      </c>
      <c r="O114" s="52">
        <f t="shared" si="32"/>
        <v>-0.03</v>
      </c>
      <c r="P114" s="38"/>
      <c r="Q114" s="111"/>
      <c r="R114" s="112"/>
      <c r="S114" s="38" t="s">
        <v>44</v>
      </c>
      <c r="T114" s="38"/>
      <c r="U114" s="47" t="s">
        <v>92</v>
      </c>
      <c r="V114" s="48">
        <f>((SUMIFS(SSP1_Baseline!$E:$E,SSP1_Baseline!$C:$C,Results_list!$C$382,SSP1_Baseline!$D:$D,Results_list!$D51,SSP1_Baseline!$B:$B,2040)) - (SUMIFS(SSP1_Baseline!$E:$E,SSP1_Baseline!$C:$C,Results_list!$C$382,SSP1_Baseline!$D:$D,Results_list!$D51,SSP1_Baseline!$B:$B,2025))) / (SUMIFS(SSP1_Baseline!$E:$E,SSP1_Baseline!$C:$C,Results_list!$C$382,SSP1_Baseline!$D:$D,Results_list!$D51,SSP1_Baseline!$B:$B,2025))</f>
        <v>-0.28142828852548096</v>
      </c>
      <c r="W114" s="49">
        <f>((SUMIFS(SSP1_VSI!$F:$F,SSP1_VSI!$C:$C,Results_list!$C$382,SSP1_VSI!$D:$D,Results_list!$D51,SSP1_VSI!$B:$B,2040)) - (SUMIFS(SSP1_VSI!$F:$F,SSP1_VSI!$C:$C,Results_list!$C$382,SSP1_VSI!$D:$D,Results_list!$D51,SSP1_VSI!$B:$B,2025))) / (SUMIFS(SSP1_VSI!$F:$F,SSP1_VSI!$C:$C,Results_list!$C$382,SSP1_VSI!$D:$D,Results_list!$D51,SSP1_VSI!$B:$B,2025))</f>
        <v>-0.28151863919348513</v>
      </c>
      <c r="X114" s="52">
        <f t="shared" si="33"/>
        <v>0</v>
      </c>
      <c r="Y114" s="48">
        <f>((SUMIFS(SSP2_Baseline!$E:$E,SSP2_Baseline!$C:$C,Results_list!$C$382,SSP2_Baseline!$D:$D,Results_list!$D51,SSP2_Baseline!$B:$B,2040)) - (SUMIFS(SSP2_Baseline!$E:$E,SSP2_Baseline!$C:$C,Results_list!$C$382,SSP2_Baseline!$D:$D,Results_list!$D51,SSP2_Baseline!$B:$B,2025))) / (SUMIFS(SSP2_Baseline!$E:$E,SSP2_Baseline!$C:$C,Results_list!$C$382,SSP2_Baseline!$D:$D,Results_list!$D51,SSP2_Baseline!$B:$B,2025))</f>
        <v>-0.2759727948787169</v>
      </c>
      <c r="Z114" s="49">
        <f>((SUMIFS(SSP2_VSI!$F:$F,SSP2_VSI!$C:$C,Results_list!$C$382,SSP2_VSI!$D:$D,Results_list!$D51,SSP2_VSI!$B:$B,2040)) - (SUMIFS(SSP2_VSI!$F:$F,SSP2_VSI!$C:$C,Results_list!$C$382,SSP2_VSI!$D:$D,Results_list!$D51,SSP2_VSI!$B:$B,2025))) / (SUMIFS(SSP2_VSI!$F:$F,SSP2_VSI!$C:$C,Results_list!$C$382,SSP2_VSI!$D:$D,Results_list!$D51,SSP2_VSI!$B:$B,2025))</f>
        <v>-0.27597372155187172</v>
      </c>
      <c r="AA114" s="52">
        <f t="shared" si="34"/>
        <v>0</v>
      </c>
      <c r="AB114" s="48">
        <f>((SUMIFS(SSP5_Baseline!$E:$E,SSP5_Baseline!$C:$C,Results_list!$C$382,SSP5_Baseline!$D:$D,Results_list!$D51,SSP5_Baseline!$B:$B,2040)) - (SUMIFS(SSP5_Baseline!$E:$E,SSP5_Baseline!$C:$C,Results_list!$C$382,SSP5_Baseline!$D:$D,Results_list!$D51,SSP5_Baseline!$B:$B,2025))) / (SUMIFS(SSP5_Baseline!$E:$E,SSP5_Baseline!$C:$C,Results_list!$C$382,SSP5_Baseline!$D:$D,Results_list!$D51,SSP5_Baseline!$B:$B,2025))</f>
        <v>3.097892382809529E-3</v>
      </c>
      <c r="AC114" s="49">
        <f>((SUMIFS(SSP5_VSI!$F:$F,SSP5_VSI!$C:$C,Results_list!$C$382,SSP5_VSI!$D:$D,Results_list!$D51,SSP5_VSI!$B:$B,2040)) - (SUMIFS(SSP5_VSI!$F:$F,SSP5_VSI!$C:$C,Results_list!$C$382,SSP5_VSI!$D:$D,Results_list!$D51,SSP5_VSI!$B:$B,2025))) / (SUMIFS(SSP5_VSI!$F:$F,SSP5_VSI!$C:$C,Results_list!$C$382,SSP5_VSI!$D:$D,Results_list!$D51,SSP5_VSI!$B:$B,2025))</f>
        <v>3.1343221322977068E-3</v>
      </c>
      <c r="AD114" s="52">
        <f t="shared" si="35"/>
        <v>0</v>
      </c>
    </row>
    <row r="115" spans="2:30" ht="16" x14ac:dyDescent="0.4">
      <c r="B115" s="107"/>
      <c r="C115" s="103"/>
      <c r="D115" s="38" t="s">
        <v>45</v>
      </c>
      <c r="E115" s="38"/>
      <c r="F115" s="47" t="s">
        <v>93</v>
      </c>
      <c r="G115" s="48">
        <f>((SUMIFS(SSP1_Baseline!$E:$E,SSP1_Baseline!$C:$C,Results_list!$C$172,SSP1_Baseline!$D:$D,Results_list!$D220,SSP1_Baseline!$B:$B,2040)) - (SUMIFS(SSP1_Baseline!$E:$E,SSP1_Baseline!$C:$C,Results_list!$C$172,SSP1_Baseline!$D:$D,Results_list!$D220,SSP1_Baseline!$B:$B,2025))) / (SUMIFS(SSP1_Baseline!$E:$E,SSP1_Baseline!$C:$C,Results_list!$C$172,SSP1_Baseline!$D:$D,Results_list!$D220,SSP1_Baseline!$B:$B,2025))</f>
        <v>-5.7606986861813148E-2</v>
      </c>
      <c r="H115" s="49">
        <f>((SUMIFS(SSP1_VSI!$F:$F,SSP1_VSI!$C:$C,Results_list!$C$172,SSP1_VSI!$D:$D,Results_list!$D220,SSP1_VSI!$B:$B,2040)) - (SUMIFS(SSP1_VSI!$F:$F,SSP1_VSI!$C:$C,Results_list!$C$172,SSP1_VSI!$D:$D,Results_list!$D220,SSP1_VSI!$B:$B,2025))) / (SUMIFS(SSP1_VSI!$F:$F,SSP1_VSI!$C:$C,Results_list!$C$172,SSP1_VSI!$D:$D,Results_list!$D220,SSP1_VSI!$B:$B,2025))</f>
        <v>-0.45089685120395839</v>
      </c>
      <c r="I115" s="52">
        <f t="shared" si="30"/>
        <v>-0.39300000000000002</v>
      </c>
      <c r="J115" s="48">
        <f>((SUMIFS(SSP2_Baseline!$E:$E,SSP2_Baseline!$C:$C,Results_list!$C$172,SSP2_Baseline!$D:$D,Results_list!$D220,SSP2_Baseline!$B:$B,2040)) - (SUMIFS(SSP2_Baseline!$E:$E,SSP2_Baseline!$C:$C,Results_list!$C$172,SSP2_Baseline!$D:$D,Results_list!$D220,SSP2_Baseline!$B:$B,2025))) / (SUMIFS(SSP2_Baseline!$E:$E,SSP2_Baseline!$C:$C,Results_list!$C$172,SSP2_Baseline!$D:$D,Results_list!$D220,SSP2_Baseline!$B:$B,2025))</f>
        <v>-5.1482598058036073E-2</v>
      </c>
      <c r="K115" s="49">
        <f>((SUMIFS(SSP2_VSI!$F:$F,SSP2_VSI!$C:$C,Results_list!$C$172,SSP2_VSI!$D:$D,Results_list!$D220,SSP2_VSI!$B:$B,2040)) - (SUMIFS(SSP2_VSI!$F:$F,SSP2_VSI!$C:$C,Results_list!$C$172,SSP2_VSI!$D:$D,Results_list!$D220,SSP2_VSI!$B:$B,2025))) / (SUMIFS(SSP2_VSI!$F:$F,SSP2_VSI!$C:$C,Results_list!$C$172,SSP2_VSI!$D:$D,Results_list!$D220,SSP2_VSI!$B:$B,2025))</f>
        <v>-0.45047974573683808</v>
      </c>
      <c r="L115" s="52">
        <f t="shared" si="31"/>
        <v>-0.4</v>
      </c>
      <c r="M115" s="48">
        <f>((SUMIFS(SSP5_Baseline!$E:$E,SSP5_Baseline!$C:$C,Results_list!$C$172,SSP5_Baseline!$D:$D,Results_list!$D220,SSP5_Baseline!$B:$B,2040)) - (SUMIFS(SSP5_Baseline!$E:$E,SSP5_Baseline!$C:$C,Results_list!$C$172,SSP5_Baseline!$D:$D,Results_list!$D220,SSP5_Baseline!$B:$B,2025))) / (SUMIFS(SSP5_Baseline!$E:$E,SSP5_Baseline!$C:$C,Results_list!$C$172,SSP5_Baseline!$D:$D,Results_list!$D220,SSP5_Baseline!$B:$B,2025))</f>
        <v>-4.7496337754158076E-2</v>
      </c>
      <c r="N115" s="49">
        <f>((SUMIFS(SSP5_VSI!$F:$F,SSP5_VSI!$C:$C,Results_list!$C$172,SSP5_VSI!$D:$D,Results_list!$D220,SSP5_VSI!$B:$B,2040)) - (SUMIFS(SSP5_VSI!$F:$F,SSP5_VSI!$C:$C,Results_list!$C$172,SSP5_VSI!$D:$D,Results_list!$D220,SSP5_VSI!$B:$B,2025))) / (SUMIFS(SSP5_VSI!$F:$F,SSP5_VSI!$C:$C,Results_list!$C$172,SSP5_VSI!$D:$D,Results_list!$D220,SSP5_VSI!$B:$B,2025))</f>
        <v>-0.44806225337001016</v>
      </c>
      <c r="O115" s="52">
        <f t="shared" si="32"/>
        <v>-0.4</v>
      </c>
      <c r="P115" s="38"/>
      <c r="Q115" s="111"/>
      <c r="R115" s="112"/>
      <c r="S115" s="38" t="s">
        <v>45</v>
      </c>
      <c r="T115" s="38"/>
      <c r="U115" s="47" t="s">
        <v>93</v>
      </c>
      <c r="V115" s="48">
        <f>((SUMIFS(SSP1_Baseline!$E:$E,SSP1_Baseline!$C:$C,Results_list!$C$382,SSP1_Baseline!$D:$D,Results_list!$D52,SSP1_Baseline!$B:$B,2040)) - (SUMIFS(SSP1_Baseline!$E:$E,SSP1_Baseline!$C:$C,Results_list!$C$382,SSP1_Baseline!$D:$D,Results_list!$D52,SSP1_Baseline!$B:$B,2025))) / (SUMIFS(SSP1_Baseline!$E:$E,SSP1_Baseline!$C:$C,Results_list!$C$382,SSP1_Baseline!$D:$D,Results_list!$D52,SSP1_Baseline!$B:$B,2025))</f>
        <v>-8.0017114688759008E-2</v>
      </c>
      <c r="W115" s="49">
        <f>((SUMIFS(SSP1_VSI!$F:$F,SSP1_VSI!$C:$C,Results_list!$C$382,SSP1_VSI!$D:$D,Results_list!$D52,SSP1_VSI!$B:$B,2040)) - (SUMIFS(SSP1_VSI!$F:$F,SSP1_VSI!$C:$C,Results_list!$C$382,SSP1_VSI!$D:$D,Results_list!$D52,SSP1_VSI!$B:$B,2025))) / (SUMIFS(SSP1_VSI!$F:$F,SSP1_VSI!$C:$C,Results_list!$C$382,SSP1_VSI!$D:$D,Results_list!$D52,SSP1_VSI!$B:$B,2025))</f>
        <v>-0.11045109676891839</v>
      </c>
      <c r="X115" s="52">
        <f t="shared" si="33"/>
        <v>-0.03</v>
      </c>
      <c r="Y115" s="48">
        <f>((SUMIFS(SSP2_Baseline!$E:$E,SSP2_Baseline!$C:$C,Results_list!$C$382,SSP2_Baseline!$D:$D,Results_list!$D52,SSP2_Baseline!$B:$B,2040)) - (SUMIFS(SSP2_Baseline!$E:$E,SSP2_Baseline!$C:$C,Results_list!$C$382,SSP2_Baseline!$D:$D,Results_list!$D52,SSP2_Baseline!$B:$B,2025))) / (SUMIFS(SSP2_Baseline!$E:$E,SSP2_Baseline!$C:$C,Results_list!$C$382,SSP2_Baseline!$D:$D,Results_list!$D52,SSP2_Baseline!$B:$B,2025))</f>
        <v>-8.0146039461532426E-2</v>
      </c>
      <c r="Z115" s="49">
        <f>((SUMIFS(SSP2_VSI!$F:$F,SSP2_VSI!$C:$C,Results_list!$C$382,SSP2_VSI!$D:$D,Results_list!$D52,SSP2_VSI!$B:$B,2040)) - (SUMIFS(SSP2_VSI!$F:$F,SSP2_VSI!$C:$C,Results_list!$C$382,SSP2_VSI!$D:$D,Results_list!$D52,SSP2_VSI!$B:$B,2025))) / (SUMIFS(SSP2_VSI!$F:$F,SSP2_VSI!$C:$C,Results_list!$C$382,SSP2_VSI!$D:$D,Results_list!$D52,SSP2_VSI!$B:$B,2025))</f>
        <v>-0.11093692227141555</v>
      </c>
      <c r="AA115" s="52">
        <f t="shared" si="34"/>
        <v>-0.03</v>
      </c>
      <c r="AB115" s="48">
        <f>((SUMIFS(SSP5_Baseline!$E:$E,SSP5_Baseline!$C:$C,Results_list!$C$382,SSP5_Baseline!$D:$D,Results_list!$D52,SSP5_Baseline!$B:$B,2040)) - (SUMIFS(SSP5_Baseline!$E:$E,SSP5_Baseline!$C:$C,Results_list!$C$382,SSP5_Baseline!$D:$D,Results_list!$D52,SSP5_Baseline!$B:$B,2025))) / (SUMIFS(SSP5_Baseline!$E:$E,SSP5_Baseline!$C:$C,Results_list!$C$382,SSP5_Baseline!$D:$D,Results_list!$D52,SSP5_Baseline!$B:$B,2025))</f>
        <v>-7.0322590678579516E-2</v>
      </c>
      <c r="AC115" s="49">
        <f>((SUMIFS(SSP5_VSI!$F:$F,SSP5_VSI!$C:$C,Results_list!$C$382,SSP5_VSI!$D:$D,Results_list!$D52,SSP5_VSI!$B:$B,2040)) - (SUMIFS(SSP5_VSI!$F:$F,SSP5_VSI!$C:$C,Results_list!$C$382,SSP5_VSI!$D:$D,Results_list!$D52,SSP5_VSI!$B:$B,2025))) / (SUMIFS(SSP5_VSI!$F:$F,SSP5_VSI!$C:$C,Results_list!$C$382,SSP5_VSI!$D:$D,Results_list!$D52,SSP5_VSI!$B:$B,2025))</f>
        <v>-0.10117479054391432</v>
      </c>
      <c r="AD115" s="52">
        <f t="shared" si="35"/>
        <v>-0.03</v>
      </c>
    </row>
    <row r="116" spans="2:30" ht="16" hidden="1" x14ac:dyDescent="0.4">
      <c r="B116" s="107"/>
      <c r="C116" s="103"/>
      <c r="D116" s="38" t="s">
        <v>46</v>
      </c>
      <c r="E116" s="38"/>
      <c r="F116" s="47" t="s">
        <v>94</v>
      </c>
      <c r="G116" s="48">
        <f>((SUMIFS(SSP1_Baseline!$E:$E,SSP1_Baseline!$C:$C,Results_list!$C$172,SSP1_Baseline!$D:$D,Results_list!$D221,SSP1_Baseline!$B:$B,2040)) - (SUMIFS(SSP1_Baseline!$E:$E,SSP1_Baseline!$C:$C,Results_list!$C$172,SSP1_Baseline!$D:$D,Results_list!$D221,SSP1_Baseline!$B:$B,2025))) / (SUMIFS(SSP1_Baseline!$E:$E,SSP1_Baseline!$C:$C,Results_list!$C$172,SSP1_Baseline!$D:$D,Results_list!$D221,SSP1_Baseline!$B:$B,2025))</f>
        <v>0.95850305199430796</v>
      </c>
      <c r="H116" s="49">
        <f>((SUMIFS(SSP1_VSI!$F:$F,SSP1_VSI!$C:$C,Results_list!$C$172,SSP1_VSI!$D:$D,Results_list!$D221,SSP1_VSI!$B:$B,2040)) - (SUMIFS(SSP1_VSI!$F:$F,SSP1_VSI!$C:$C,Results_list!$C$172,SSP1_VSI!$D:$D,Results_list!$D221,SSP1_VSI!$B:$B,2025))) / (SUMIFS(SSP1_VSI!$F:$F,SSP1_VSI!$C:$C,Results_list!$C$172,SSP1_VSI!$D:$D,Results_list!$D221,SSP1_VSI!$B:$B,2025))</f>
        <v>0.95846016113658483</v>
      </c>
      <c r="I116" s="52">
        <f t="shared" si="30"/>
        <v>0</v>
      </c>
      <c r="J116" s="48">
        <f>((SUMIFS(SSP2_Baseline!$E:$E,SSP2_Baseline!$C:$C,Results_list!$C$172,SSP2_Baseline!$D:$D,Results_list!$D221,SSP2_Baseline!$B:$B,2040)) - (SUMIFS(SSP2_Baseline!$E:$E,SSP2_Baseline!$C:$C,Results_list!$C$172,SSP2_Baseline!$D:$D,Results_list!$D221,SSP2_Baseline!$B:$B,2025))) / (SUMIFS(SSP2_Baseline!$E:$E,SSP2_Baseline!$C:$C,Results_list!$C$172,SSP2_Baseline!$D:$D,Results_list!$D221,SSP2_Baseline!$B:$B,2025))</f>
        <v>2.9843560695753721</v>
      </c>
      <c r="K116" s="49">
        <f>((SUMIFS(SSP2_VSI!$F:$F,SSP2_VSI!$C:$C,Results_list!$C$172,SSP2_VSI!$D:$D,Results_list!$D221,SSP2_VSI!$B:$B,2040)) - (SUMIFS(SSP2_VSI!$F:$F,SSP2_VSI!$C:$C,Results_list!$C$172,SSP2_VSI!$D:$D,Results_list!$D221,SSP2_VSI!$B:$B,2025))) / (SUMIFS(SSP2_VSI!$F:$F,SSP2_VSI!$C:$C,Results_list!$C$172,SSP2_VSI!$D:$D,Results_list!$D221,SSP2_VSI!$B:$B,2025))</f>
        <v>2.9835997689963185</v>
      </c>
      <c r="L116" s="52">
        <f t="shared" si="31"/>
        <v>0</v>
      </c>
      <c r="M116" s="48">
        <f>((SUMIFS(SSP5_Baseline!$E:$E,SSP5_Baseline!$C:$C,Results_list!$C$172,SSP5_Baseline!$D:$D,Results_list!$D221,SSP5_Baseline!$B:$B,2040)) - (SUMIFS(SSP5_Baseline!$E:$E,SSP5_Baseline!$C:$C,Results_list!$C$172,SSP5_Baseline!$D:$D,Results_list!$D221,SSP5_Baseline!$B:$B,2025))) / (SUMIFS(SSP5_Baseline!$E:$E,SSP5_Baseline!$C:$C,Results_list!$C$172,SSP5_Baseline!$D:$D,Results_list!$D221,SSP5_Baseline!$B:$B,2025))</f>
        <v>2.9222859875020615</v>
      </c>
      <c r="N116" s="49">
        <f>((SUMIFS(SSP5_VSI!$F:$F,SSP5_VSI!$C:$C,Results_list!$C$172,SSP5_VSI!$D:$D,Results_list!$D221,SSP5_VSI!$B:$B,2040)) - (SUMIFS(SSP5_VSI!$F:$F,SSP5_VSI!$C:$C,Results_list!$C$172,SSP5_VSI!$D:$D,Results_list!$D221,SSP5_VSI!$B:$B,2025))) / (SUMIFS(SSP5_VSI!$F:$F,SSP5_VSI!$C:$C,Results_list!$C$172,SSP5_VSI!$D:$D,Results_list!$D221,SSP5_VSI!$B:$B,2025))</f>
        <v>2.921698524353705</v>
      </c>
      <c r="O116" s="52">
        <f t="shared" si="32"/>
        <v>0</v>
      </c>
      <c r="P116" s="38"/>
      <c r="Q116" s="111"/>
      <c r="R116" s="112"/>
      <c r="S116" s="38" t="s">
        <v>46</v>
      </c>
      <c r="T116" s="38"/>
      <c r="U116" s="47" t="s">
        <v>94</v>
      </c>
      <c r="V116" s="48">
        <f>((SUMIFS(SSP1_Baseline!$E:$E,SSP1_Baseline!$C:$C,Results_list!$C$382,SSP1_Baseline!$D:$D,Results_list!$D53,SSP1_Baseline!$B:$B,2040)) - (SUMIFS(SSP1_Baseline!$E:$E,SSP1_Baseline!$C:$C,Results_list!$C$382,SSP1_Baseline!$D:$D,Results_list!$D53,SSP1_Baseline!$B:$B,2025))) / (SUMIFS(SSP1_Baseline!$E:$E,SSP1_Baseline!$C:$C,Results_list!$C$382,SSP1_Baseline!$D:$D,Results_list!$D53,SSP1_Baseline!$B:$B,2025))</f>
        <v>0.37069104187403046</v>
      </c>
      <c r="W116" s="49">
        <f>((SUMIFS(SSP1_VSI!$F:$F,SSP1_VSI!$C:$C,Results_list!$C$382,SSP1_VSI!$D:$D,Results_list!$D53,SSP1_VSI!$B:$B,2040)) - (SUMIFS(SSP1_VSI!$F:$F,SSP1_VSI!$C:$C,Results_list!$C$382,SSP1_VSI!$D:$D,Results_list!$D53,SSP1_VSI!$B:$B,2025))) / (SUMIFS(SSP1_VSI!$F:$F,SSP1_VSI!$C:$C,Results_list!$C$382,SSP1_VSI!$D:$D,Results_list!$D53,SSP1_VSI!$B:$B,2025))</f>
        <v>0.37069946877836235</v>
      </c>
      <c r="X116" s="52">
        <f t="shared" si="33"/>
        <v>0</v>
      </c>
      <c r="Y116" s="48">
        <f>((SUMIFS(SSP2_Baseline!$E:$E,SSP2_Baseline!$C:$C,Results_list!$C$382,SSP2_Baseline!$D:$D,Results_list!$D53,SSP2_Baseline!$B:$B,2040)) - (SUMIFS(SSP2_Baseline!$E:$E,SSP2_Baseline!$C:$C,Results_list!$C$382,SSP2_Baseline!$D:$D,Results_list!$D53,SSP2_Baseline!$B:$B,2025))) / (SUMIFS(SSP2_Baseline!$E:$E,SSP2_Baseline!$C:$C,Results_list!$C$382,SSP2_Baseline!$D:$D,Results_list!$D53,SSP2_Baseline!$B:$B,2025))</f>
        <v>0.95537120398128506</v>
      </c>
      <c r="Z116" s="49">
        <f>((SUMIFS(SSP2_VSI!$F:$F,SSP2_VSI!$C:$C,Results_list!$C$382,SSP2_VSI!$D:$D,Results_list!$D53,SSP2_VSI!$B:$B,2040)) - (SUMIFS(SSP2_VSI!$F:$F,SSP2_VSI!$C:$C,Results_list!$C$382,SSP2_VSI!$D:$D,Results_list!$D53,SSP2_VSI!$B:$B,2025))) / (SUMIFS(SSP2_VSI!$F:$F,SSP2_VSI!$C:$C,Results_list!$C$382,SSP2_VSI!$D:$D,Results_list!$D53,SSP2_VSI!$B:$B,2025))</f>
        <v>0.95525592344242205</v>
      </c>
      <c r="AA116" s="52">
        <f t="shared" si="34"/>
        <v>0</v>
      </c>
      <c r="AB116" s="48">
        <f>((SUMIFS(SSP5_Baseline!$E:$E,SSP5_Baseline!$C:$C,Results_list!$C$382,SSP5_Baseline!$D:$D,Results_list!$D53,SSP5_Baseline!$B:$B,2040)) - (SUMIFS(SSP5_Baseline!$E:$E,SSP5_Baseline!$C:$C,Results_list!$C$382,SSP5_Baseline!$D:$D,Results_list!$D53,SSP5_Baseline!$B:$B,2025))) / (SUMIFS(SSP5_Baseline!$E:$E,SSP5_Baseline!$C:$C,Results_list!$C$382,SSP5_Baseline!$D:$D,Results_list!$D53,SSP5_Baseline!$B:$B,2025))</f>
        <v>0.86531580434171895</v>
      </c>
      <c r="AC116" s="49">
        <f>((SUMIFS(SSP5_VSI!$F:$F,SSP5_VSI!$C:$C,Results_list!$C$382,SSP5_VSI!$D:$D,Results_list!$D53,SSP5_VSI!$B:$B,2040)) - (SUMIFS(SSP5_VSI!$F:$F,SSP5_VSI!$C:$C,Results_list!$C$382,SSP5_VSI!$D:$D,Results_list!$D53,SSP5_VSI!$B:$B,2025))) / (SUMIFS(SSP5_VSI!$F:$F,SSP5_VSI!$C:$C,Results_list!$C$382,SSP5_VSI!$D:$D,Results_list!$D53,SSP5_VSI!$B:$B,2025))</f>
        <v>0.86533165196513273</v>
      </c>
      <c r="AD116" s="52">
        <f t="shared" si="35"/>
        <v>0</v>
      </c>
    </row>
    <row r="117" spans="2:30" ht="16" x14ac:dyDescent="0.4">
      <c r="B117" s="107"/>
      <c r="C117" s="103"/>
      <c r="D117" s="38" t="s">
        <v>47</v>
      </c>
      <c r="E117" s="38"/>
      <c r="F117" s="47" t="s">
        <v>95</v>
      </c>
      <c r="G117" s="48">
        <f>((SUMIFS(SSP1_Baseline!$E:$E,SSP1_Baseline!$C:$C,Results_list!$C$172,SSP1_Baseline!$D:$D,Results_list!$D222,SSP1_Baseline!$B:$B,2040)) - (SUMIFS(SSP1_Baseline!$E:$E,SSP1_Baseline!$C:$C,Results_list!$C$172,SSP1_Baseline!$D:$D,Results_list!$D222,SSP1_Baseline!$B:$B,2025))) / (SUMIFS(SSP1_Baseline!$E:$E,SSP1_Baseline!$C:$C,Results_list!$C$172,SSP1_Baseline!$D:$D,Results_list!$D222,SSP1_Baseline!$B:$B,2025))</f>
        <v>-4.5145642683800585E-2</v>
      </c>
      <c r="H117" s="49">
        <f>((SUMIFS(SSP1_VSI!$F:$F,SSP1_VSI!$C:$C,Results_list!$C$172,SSP1_VSI!$D:$D,Results_list!$D222,SSP1_VSI!$B:$B,2040)) - (SUMIFS(SSP1_VSI!$F:$F,SSP1_VSI!$C:$C,Results_list!$C$172,SSP1_VSI!$D:$D,Results_list!$D222,SSP1_VSI!$B:$B,2025))) / (SUMIFS(SSP1_VSI!$F:$F,SSP1_VSI!$C:$C,Results_list!$C$172,SSP1_VSI!$D:$D,Results_list!$D222,SSP1_VSI!$B:$B,2025))</f>
        <v>-4.4968652030637893E-2</v>
      </c>
      <c r="I117" s="52">
        <f t="shared" si="30"/>
        <v>0</v>
      </c>
      <c r="J117" s="48">
        <f>((SUMIFS(SSP2_Baseline!$E:$E,SSP2_Baseline!$C:$C,Results_list!$C$172,SSP2_Baseline!$D:$D,Results_list!$D222,SSP2_Baseline!$B:$B,2040)) - (SUMIFS(SSP2_Baseline!$E:$E,SSP2_Baseline!$C:$C,Results_list!$C$172,SSP2_Baseline!$D:$D,Results_list!$D222,SSP2_Baseline!$B:$B,2025))) / (SUMIFS(SSP2_Baseline!$E:$E,SSP2_Baseline!$C:$C,Results_list!$C$172,SSP2_Baseline!$D:$D,Results_list!$D222,SSP2_Baseline!$B:$B,2025))</f>
        <v>3.5216483275399436E-3</v>
      </c>
      <c r="K117" s="49">
        <f>((SUMIFS(SSP2_VSI!$F:$F,SSP2_VSI!$C:$C,Results_list!$C$172,SSP2_VSI!$D:$D,Results_list!$D222,SSP2_VSI!$B:$B,2040)) - (SUMIFS(SSP2_VSI!$F:$F,SSP2_VSI!$C:$C,Results_list!$C$172,SSP2_VSI!$D:$D,Results_list!$D222,SSP2_VSI!$B:$B,2025))) / (SUMIFS(SSP2_VSI!$F:$F,SSP2_VSI!$C:$C,Results_list!$C$172,SSP2_VSI!$D:$D,Results_list!$D222,SSP2_VSI!$B:$B,2025))</f>
        <v>3.573768775252513E-3</v>
      </c>
      <c r="L117" s="52">
        <f t="shared" si="31"/>
        <v>0</v>
      </c>
      <c r="M117" s="48">
        <f>((SUMIFS(SSP5_Baseline!$E:$E,SSP5_Baseline!$C:$C,Results_list!$C$172,SSP5_Baseline!$D:$D,Results_list!$D222,SSP5_Baseline!$B:$B,2040)) - (SUMIFS(SSP5_Baseline!$E:$E,SSP5_Baseline!$C:$C,Results_list!$C$172,SSP5_Baseline!$D:$D,Results_list!$D222,SSP5_Baseline!$B:$B,2025))) / (SUMIFS(SSP5_Baseline!$E:$E,SSP5_Baseline!$C:$C,Results_list!$C$172,SSP5_Baseline!$D:$D,Results_list!$D222,SSP5_Baseline!$B:$B,2025))</f>
        <v>7.5419184167166392E-2</v>
      </c>
      <c r="N117" s="49">
        <f>((SUMIFS(SSP5_VSI!$F:$F,SSP5_VSI!$C:$C,Results_list!$C$172,SSP5_VSI!$D:$D,Results_list!$D222,SSP5_VSI!$B:$B,2040)) - (SUMIFS(SSP5_VSI!$F:$F,SSP5_VSI!$C:$C,Results_list!$C$172,SSP5_VSI!$D:$D,Results_list!$D222,SSP5_VSI!$B:$B,2025))) / (SUMIFS(SSP5_VSI!$F:$F,SSP5_VSI!$C:$C,Results_list!$C$172,SSP5_VSI!$D:$D,Results_list!$D222,SSP5_VSI!$B:$B,2025))</f>
        <v>7.6261162618247044E-2</v>
      </c>
      <c r="O117" s="52">
        <f t="shared" si="32"/>
        <v>0</v>
      </c>
      <c r="P117" s="38"/>
      <c r="Q117" s="111"/>
      <c r="R117" s="112"/>
      <c r="S117" s="38" t="s">
        <v>47</v>
      </c>
      <c r="T117" s="38"/>
      <c r="U117" s="47" t="s">
        <v>95</v>
      </c>
      <c r="V117" s="48">
        <f>((SUMIFS(SSP1_Baseline!$E:$E,SSP1_Baseline!$C:$C,Results_list!$C$382,SSP1_Baseline!$D:$D,Results_list!$D54,SSP1_Baseline!$B:$B,2040)) - (SUMIFS(SSP1_Baseline!$E:$E,SSP1_Baseline!$C:$C,Results_list!$C$382,SSP1_Baseline!$D:$D,Results_list!$D54,SSP1_Baseline!$B:$B,2025))) / (SUMIFS(SSP1_Baseline!$E:$E,SSP1_Baseline!$C:$C,Results_list!$C$382,SSP1_Baseline!$D:$D,Results_list!$D54,SSP1_Baseline!$B:$B,2025))</f>
        <v>-0.32752601900314793</v>
      </c>
      <c r="W117" s="49">
        <f>((SUMIFS(SSP1_VSI!$F:$F,SSP1_VSI!$C:$C,Results_list!$C$382,SSP1_VSI!$D:$D,Results_list!$D54,SSP1_VSI!$B:$B,2040)) - (SUMIFS(SSP1_VSI!$F:$F,SSP1_VSI!$C:$C,Results_list!$C$382,SSP1_VSI!$D:$D,Results_list!$D54,SSP1_VSI!$B:$B,2025))) / (SUMIFS(SSP1_VSI!$F:$F,SSP1_VSI!$C:$C,Results_list!$C$382,SSP1_VSI!$D:$D,Results_list!$D54,SSP1_VSI!$B:$B,2025))</f>
        <v>-0.32744385520582125</v>
      </c>
      <c r="X117" s="52">
        <f t="shared" si="33"/>
        <v>0</v>
      </c>
      <c r="Y117" s="48">
        <f>((SUMIFS(SSP2_Baseline!$E:$E,SSP2_Baseline!$C:$C,Results_list!$C$382,SSP2_Baseline!$D:$D,Results_list!$D54,SSP2_Baseline!$B:$B,2040)) - (SUMIFS(SSP2_Baseline!$E:$E,SSP2_Baseline!$C:$C,Results_list!$C$382,SSP2_Baseline!$D:$D,Results_list!$D54,SSP2_Baseline!$B:$B,2025))) / (SUMIFS(SSP2_Baseline!$E:$E,SSP2_Baseline!$C:$C,Results_list!$C$382,SSP2_Baseline!$D:$D,Results_list!$D54,SSP2_Baseline!$B:$B,2025))</f>
        <v>-0.35312201100633789</v>
      </c>
      <c r="Z117" s="49">
        <f>((SUMIFS(SSP2_VSI!$F:$F,SSP2_VSI!$C:$C,Results_list!$C$382,SSP2_VSI!$D:$D,Results_list!$D54,SSP2_VSI!$B:$B,2040)) - (SUMIFS(SSP2_VSI!$F:$F,SSP2_VSI!$C:$C,Results_list!$C$382,SSP2_VSI!$D:$D,Results_list!$D54,SSP2_VSI!$B:$B,2025))) / (SUMIFS(SSP2_VSI!$F:$F,SSP2_VSI!$C:$C,Results_list!$C$382,SSP2_VSI!$D:$D,Results_list!$D54,SSP2_VSI!$B:$B,2025))</f>
        <v>-0.35308453562361752</v>
      </c>
      <c r="AA117" s="52">
        <f t="shared" si="34"/>
        <v>0</v>
      </c>
      <c r="AB117" s="48">
        <f>((SUMIFS(SSP5_Baseline!$E:$E,SSP5_Baseline!$C:$C,Results_list!$C$382,SSP5_Baseline!$D:$D,Results_list!$D54,SSP5_Baseline!$B:$B,2040)) - (SUMIFS(SSP5_Baseline!$E:$E,SSP5_Baseline!$C:$C,Results_list!$C$382,SSP5_Baseline!$D:$D,Results_list!$D54,SSP5_Baseline!$B:$B,2025))) / (SUMIFS(SSP5_Baseline!$E:$E,SSP5_Baseline!$C:$C,Results_list!$C$382,SSP5_Baseline!$D:$D,Results_list!$D54,SSP5_Baseline!$B:$B,2025))</f>
        <v>0.28964319412178036</v>
      </c>
      <c r="AC117" s="49">
        <f>((SUMIFS(SSP5_VSI!$F:$F,SSP5_VSI!$C:$C,Results_list!$C$382,SSP5_VSI!$D:$D,Results_list!$D54,SSP5_VSI!$B:$B,2040)) - (SUMIFS(SSP5_VSI!$F:$F,SSP5_VSI!$C:$C,Results_list!$C$382,SSP5_VSI!$D:$D,Results_list!$D54,SSP5_VSI!$B:$B,2025))) / (SUMIFS(SSP5_VSI!$F:$F,SSP5_VSI!$C:$C,Results_list!$C$382,SSP5_VSI!$D:$D,Results_list!$D54,SSP5_VSI!$B:$B,2025))</f>
        <v>0.2899131087172882</v>
      </c>
      <c r="AD117" s="52">
        <f t="shared" si="35"/>
        <v>0</v>
      </c>
    </row>
    <row r="118" spans="2:30" ht="16" hidden="1" x14ac:dyDescent="0.4">
      <c r="B118" s="107"/>
      <c r="C118" s="103"/>
      <c r="D118" s="38" t="s">
        <v>48</v>
      </c>
      <c r="E118" s="38"/>
      <c r="F118" s="47" t="s">
        <v>96</v>
      </c>
      <c r="G118" s="48">
        <f>((SUMIFS(SSP1_Baseline!$E:$E,SSP1_Baseline!$C:$C,Results_list!$C$172,SSP1_Baseline!$D:$D,Results_list!$D223,SSP1_Baseline!$B:$B,2040)) - (SUMIFS(SSP1_Baseline!$E:$E,SSP1_Baseline!$C:$C,Results_list!$C$172,SSP1_Baseline!$D:$D,Results_list!$D223,SSP1_Baseline!$B:$B,2025))) / (SUMIFS(SSP1_Baseline!$E:$E,SSP1_Baseline!$C:$C,Results_list!$C$172,SSP1_Baseline!$D:$D,Results_list!$D223,SSP1_Baseline!$B:$B,2025))</f>
        <v>1.2947058784967266E-5</v>
      </c>
      <c r="H118" s="49">
        <f>((SUMIFS(SSP1_VSI!$F:$F,SSP1_VSI!$C:$C,Results_list!$C$172,SSP1_VSI!$D:$D,Results_list!$D223,SSP1_VSI!$B:$B,2040)) - (SUMIFS(SSP1_VSI!$F:$F,SSP1_VSI!$C:$C,Results_list!$C$172,SSP1_VSI!$D:$D,Results_list!$D223,SSP1_VSI!$B:$B,2025))) / (SUMIFS(SSP1_VSI!$F:$F,SSP1_VSI!$C:$C,Results_list!$C$172,SSP1_VSI!$D:$D,Results_list!$D223,SSP1_VSI!$B:$B,2025))</f>
        <v>1.3132578607183546E-5</v>
      </c>
      <c r="I118" s="52">
        <f t="shared" si="30"/>
        <v>0</v>
      </c>
      <c r="J118" s="48">
        <f>((SUMIFS(SSP2_Baseline!$E:$E,SSP2_Baseline!$C:$C,Results_list!$C$172,SSP2_Baseline!$D:$D,Results_list!$D223,SSP2_Baseline!$B:$B,2040)) - (SUMIFS(SSP2_Baseline!$E:$E,SSP2_Baseline!$C:$C,Results_list!$C$172,SSP2_Baseline!$D:$D,Results_list!$D223,SSP2_Baseline!$B:$B,2025))) / (SUMIFS(SSP2_Baseline!$E:$E,SSP2_Baseline!$C:$C,Results_list!$C$172,SSP2_Baseline!$D:$D,Results_list!$D223,SSP2_Baseline!$B:$B,2025))</f>
        <v>-2.6929412615464803E-4</v>
      </c>
      <c r="K118" s="49">
        <f>((SUMIFS(SSP2_VSI!$F:$F,SSP2_VSI!$C:$C,Results_list!$C$172,SSP2_VSI!$D:$D,Results_list!$D223,SSP2_VSI!$B:$B,2040)) - (SUMIFS(SSP2_VSI!$F:$F,SSP2_VSI!$C:$C,Results_list!$C$172,SSP2_VSI!$D:$D,Results_list!$D223,SSP2_VSI!$B:$B,2025))) / (SUMIFS(SSP2_VSI!$F:$F,SSP2_VSI!$C:$C,Results_list!$C$172,SSP2_VSI!$D:$D,Results_list!$D223,SSP2_VSI!$B:$B,2025))</f>
        <v>-2.6901060613996019E-4</v>
      </c>
      <c r="L118" s="52">
        <f t="shared" si="31"/>
        <v>0</v>
      </c>
      <c r="M118" s="48">
        <f>((SUMIFS(SSP5_Baseline!$E:$E,SSP5_Baseline!$C:$C,Results_list!$C$172,SSP5_Baseline!$D:$D,Results_list!$D223,SSP5_Baseline!$B:$B,2040)) - (SUMIFS(SSP5_Baseline!$E:$E,SSP5_Baseline!$C:$C,Results_list!$C$172,SSP5_Baseline!$D:$D,Results_list!$D223,SSP5_Baseline!$B:$B,2025))) / (SUMIFS(SSP5_Baseline!$E:$E,SSP5_Baseline!$C:$C,Results_list!$C$172,SSP5_Baseline!$D:$D,Results_list!$D223,SSP5_Baseline!$B:$B,2025))</f>
        <v>-4.1486148848421157E-6</v>
      </c>
      <c r="N118" s="49">
        <f>((SUMIFS(SSP5_VSI!$F:$F,SSP5_VSI!$C:$C,Results_list!$C$172,SSP5_VSI!$D:$D,Results_list!$D223,SSP5_VSI!$B:$B,2040)) - (SUMIFS(SSP5_VSI!$F:$F,SSP5_VSI!$C:$C,Results_list!$C$172,SSP5_VSI!$D:$D,Results_list!$D223,SSP5_VSI!$B:$B,2025))) / (SUMIFS(SSP5_VSI!$F:$F,SSP5_VSI!$C:$C,Results_list!$C$172,SSP5_VSI!$D:$D,Results_list!$D223,SSP5_VSI!$B:$B,2025))</f>
        <v>-3.8624118597618735E-6</v>
      </c>
      <c r="O118" s="52">
        <f t="shared" si="32"/>
        <v>0</v>
      </c>
      <c r="P118" s="38"/>
      <c r="Q118" s="111"/>
      <c r="R118" s="112"/>
      <c r="S118" s="38" t="s">
        <v>48</v>
      </c>
      <c r="T118" s="38"/>
      <c r="U118" s="47" t="s">
        <v>96</v>
      </c>
      <c r="V118" s="48">
        <f>((SUMIFS(SSP1_Baseline!$E:$E,SSP1_Baseline!$C:$C,Results_list!$C$382,SSP1_Baseline!$D:$D,Results_list!$D55,SSP1_Baseline!$B:$B,2040)) - (SUMIFS(SSP1_Baseline!$E:$E,SSP1_Baseline!$C:$C,Results_list!$C$382,SSP1_Baseline!$D:$D,Results_list!$D55,SSP1_Baseline!$B:$B,2025))) / (SUMIFS(SSP1_Baseline!$E:$E,SSP1_Baseline!$C:$C,Results_list!$C$382,SSP1_Baseline!$D:$D,Results_list!$D55,SSP1_Baseline!$B:$B,2025))</f>
        <v>3.7047831879296181E-5</v>
      </c>
      <c r="W118" s="49">
        <f>((SUMIFS(SSP1_VSI!$F:$F,SSP1_VSI!$C:$C,Results_list!$C$382,SSP1_VSI!$D:$D,Results_list!$D55,SSP1_VSI!$B:$B,2040)) - (SUMIFS(SSP1_VSI!$F:$F,SSP1_VSI!$C:$C,Results_list!$C$382,SSP1_VSI!$D:$D,Results_list!$D55,SSP1_VSI!$B:$B,2025))) / (SUMIFS(SSP1_VSI!$F:$F,SSP1_VSI!$C:$C,Results_list!$C$382,SSP1_VSI!$D:$D,Results_list!$D55,SSP1_VSI!$B:$B,2025))</f>
        <v>3.7056418189168433E-5</v>
      </c>
      <c r="X118" s="52">
        <f t="shared" si="33"/>
        <v>0</v>
      </c>
      <c r="Y118" s="48">
        <f>((SUMIFS(SSP2_Baseline!$E:$E,SSP2_Baseline!$C:$C,Results_list!$C$382,SSP2_Baseline!$D:$D,Results_list!$D55,SSP2_Baseline!$B:$B,2040)) - (SUMIFS(SSP2_Baseline!$E:$E,SSP2_Baseline!$C:$C,Results_list!$C$382,SSP2_Baseline!$D:$D,Results_list!$D55,SSP2_Baseline!$B:$B,2025))) / (SUMIFS(SSP2_Baseline!$E:$E,SSP2_Baseline!$C:$C,Results_list!$C$382,SSP2_Baseline!$D:$D,Results_list!$D55,SSP2_Baseline!$B:$B,2025))</f>
        <v>1.3368294292278457E-5</v>
      </c>
      <c r="Z118" s="49">
        <f>((SUMIFS(SSP2_VSI!$F:$F,SSP2_VSI!$C:$C,Results_list!$C$382,SSP2_VSI!$D:$D,Results_list!$D55,SSP2_VSI!$B:$B,2040)) - (SUMIFS(SSP2_VSI!$F:$F,SSP2_VSI!$C:$C,Results_list!$C$382,SSP2_VSI!$D:$D,Results_list!$D55,SSP2_VSI!$B:$B,2025))) / (SUMIFS(SSP2_VSI!$F:$F,SSP2_VSI!$C:$C,Results_list!$C$382,SSP2_VSI!$D:$D,Results_list!$D55,SSP2_VSI!$B:$B,2025))</f>
        <v>1.3373084010197071E-5</v>
      </c>
      <c r="AA118" s="52">
        <f t="shared" si="34"/>
        <v>0</v>
      </c>
      <c r="AB118" s="48">
        <f>((SUMIFS(SSP5_Baseline!$E:$E,SSP5_Baseline!$C:$C,Results_list!$C$382,SSP5_Baseline!$D:$D,Results_list!$D55,SSP5_Baseline!$B:$B,2040)) - (SUMIFS(SSP5_Baseline!$E:$E,SSP5_Baseline!$C:$C,Results_list!$C$382,SSP5_Baseline!$D:$D,Results_list!$D55,SSP5_Baseline!$B:$B,2025))) / (SUMIFS(SSP5_Baseline!$E:$E,SSP5_Baseline!$C:$C,Results_list!$C$382,SSP5_Baseline!$D:$D,Results_list!$D55,SSP5_Baseline!$B:$B,2025))</f>
        <v>1.9168220472102987E-5</v>
      </c>
      <c r="AC118" s="49">
        <f>((SUMIFS(SSP5_VSI!$F:$F,SSP5_VSI!$C:$C,Results_list!$C$382,SSP5_VSI!$D:$D,Results_list!$D55,SSP5_VSI!$B:$B,2040)) - (SUMIFS(SSP5_VSI!$F:$F,SSP5_VSI!$C:$C,Results_list!$C$382,SSP5_VSI!$D:$D,Results_list!$D55,SSP5_VSI!$B:$B,2025))) / (SUMIFS(SSP5_VSI!$F:$F,SSP5_VSI!$C:$C,Results_list!$C$382,SSP5_VSI!$D:$D,Results_list!$D55,SSP5_VSI!$B:$B,2025))</f>
        <v>1.9183432636341742E-5</v>
      </c>
      <c r="AD118" s="52">
        <f t="shared" si="35"/>
        <v>0</v>
      </c>
    </row>
    <row r="119" spans="2:30" ht="16" x14ac:dyDescent="0.4">
      <c r="B119" s="107"/>
      <c r="C119" s="103"/>
      <c r="D119" s="38" t="s">
        <v>49</v>
      </c>
      <c r="E119" s="38"/>
      <c r="F119" s="47" t="s">
        <v>97</v>
      </c>
      <c r="G119" s="48">
        <f>((SUMIFS(SSP1_Baseline!$E:$E,SSP1_Baseline!$C:$C,Results_list!$C$172,SSP1_Baseline!$D:$D,Results_list!$D224,SSP1_Baseline!$B:$B,2040)) - (SUMIFS(SSP1_Baseline!$E:$E,SSP1_Baseline!$C:$C,Results_list!$C$172,SSP1_Baseline!$D:$D,Results_list!$D224,SSP1_Baseline!$B:$B,2025))) / (SUMIFS(SSP1_Baseline!$E:$E,SSP1_Baseline!$C:$C,Results_list!$C$172,SSP1_Baseline!$D:$D,Results_list!$D224,SSP1_Baseline!$B:$B,2025))</f>
        <v>-3.1397744619394631E-2</v>
      </c>
      <c r="H119" s="49">
        <f>((SUMIFS(SSP1_VSI!$F:$F,SSP1_VSI!$C:$C,Results_list!$C$172,SSP1_VSI!$D:$D,Results_list!$D224,SSP1_VSI!$B:$B,2040)) - (SUMIFS(SSP1_VSI!$F:$F,SSP1_VSI!$C:$C,Results_list!$C$172,SSP1_VSI!$D:$D,Results_list!$D224,SSP1_VSI!$B:$B,2025))) / (SUMIFS(SSP1_VSI!$F:$F,SSP1_VSI!$C:$C,Results_list!$C$172,SSP1_VSI!$D:$D,Results_list!$D224,SSP1_VSI!$B:$B,2025))</f>
        <v>-0.48047229701415534</v>
      </c>
      <c r="I119" s="52">
        <f t="shared" si="30"/>
        <v>-0.44900000000000001</v>
      </c>
      <c r="J119" s="48">
        <f>((SUMIFS(SSP2_Baseline!$E:$E,SSP2_Baseline!$C:$C,Results_list!$C$172,SSP2_Baseline!$D:$D,Results_list!$D224,SSP2_Baseline!$B:$B,2040)) - (SUMIFS(SSP2_Baseline!$E:$E,SSP2_Baseline!$C:$C,Results_list!$C$172,SSP2_Baseline!$D:$D,Results_list!$D224,SSP2_Baseline!$B:$B,2025))) / (SUMIFS(SSP2_Baseline!$E:$E,SSP2_Baseline!$C:$C,Results_list!$C$172,SSP2_Baseline!$D:$D,Results_list!$D224,SSP2_Baseline!$B:$B,2025))</f>
        <v>-1.6683638835694646E-2</v>
      </c>
      <c r="K119" s="49">
        <f>((SUMIFS(SSP2_VSI!$F:$F,SSP2_VSI!$C:$C,Results_list!$C$172,SSP2_VSI!$D:$D,Results_list!$D224,SSP2_VSI!$B:$B,2040)) - (SUMIFS(SSP2_VSI!$F:$F,SSP2_VSI!$C:$C,Results_list!$C$172,SSP2_VSI!$D:$D,Results_list!$D224,SSP2_VSI!$B:$B,2025))) / (SUMIFS(SSP2_VSI!$F:$F,SSP2_VSI!$C:$C,Results_list!$C$172,SSP2_VSI!$D:$D,Results_list!$D224,SSP2_VSI!$B:$B,2025))</f>
        <v>-0.47451647870417313</v>
      </c>
      <c r="L119" s="52">
        <f t="shared" si="31"/>
        <v>-0.46</v>
      </c>
      <c r="M119" s="48">
        <f>((SUMIFS(SSP5_Baseline!$E:$E,SSP5_Baseline!$C:$C,Results_list!$C$172,SSP5_Baseline!$D:$D,Results_list!$D224,SSP5_Baseline!$B:$B,2040)) - (SUMIFS(SSP5_Baseline!$E:$E,SSP5_Baseline!$C:$C,Results_list!$C$172,SSP5_Baseline!$D:$D,Results_list!$D224,SSP5_Baseline!$B:$B,2025))) / (SUMIFS(SSP5_Baseline!$E:$E,SSP5_Baseline!$C:$C,Results_list!$C$172,SSP5_Baseline!$D:$D,Results_list!$D224,SSP5_Baseline!$B:$B,2025))</f>
        <v>-1.4674948786830096E-2</v>
      </c>
      <c r="N119" s="49">
        <f>((SUMIFS(SSP5_VSI!$F:$F,SSP5_VSI!$C:$C,Results_list!$C$172,SSP5_VSI!$D:$D,Results_list!$D224,SSP5_VSI!$B:$B,2040)) - (SUMIFS(SSP5_VSI!$F:$F,SSP5_VSI!$C:$C,Results_list!$C$172,SSP5_VSI!$D:$D,Results_list!$D224,SSP5_VSI!$B:$B,2025))) / (SUMIFS(SSP5_VSI!$F:$F,SSP5_VSI!$C:$C,Results_list!$C$172,SSP5_VSI!$D:$D,Results_list!$D224,SSP5_VSI!$B:$B,2025))</f>
        <v>-0.47287088510552694</v>
      </c>
      <c r="O119" s="52">
        <f t="shared" si="32"/>
        <v>-0.46</v>
      </c>
      <c r="P119" s="38"/>
      <c r="Q119" s="111"/>
      <c r="R119" s="112"/>
      <c r="S119" s="38" t="s">
        <v>49</v>
      </c>
      <c r="T119" s="38"/>
      <c r="U119" s="47" t="s">
        <v>97</v>
      </c>
      <c r="V119" s="48">
        <f>((SUMIFS(SSP1_Baseline!$E:$E,SSP1_Baseline!$C:$C,Results_list!$C$382,SSP1_Baseline!$D:$D,Results_list!$D56,SSP1_Baseline!$B:$B,2040)) - (SUMIFS(SSP1_Baseline!$E:$E,SSP1_Baseline!$C:$C,Results_list!$C$382,SSP1_Baseline!$D:$D,Results_list!$D56,SSP1_Baseline!$B:$B,2025))) / (SUMIFS(SSP1_Baseline!$E:$E,SSP1_Baseline!$C:$C,Results_list!$C$382,SSP1_Baseline!$D:$D,Results_list!$D56,SSP1_Baseline!$B:$B,2025))</f>
        <v>-2.5949899919659548E-2</v>
      </c>
      <c r="W119" s="49">
        <f>((SUMIFS(SSP1_VSI!$F:$F,SSP1_VSI!$C:$C,Results_list!$C$382,SSP1_VSI!$D:$D,Results_list!$D56,SSP1_VSI!$B:$B,2040)) - (SUMIFS(SSP1_VSI!$F:$F,SSP1_VSI!$C:$C,Results_list!$C$382,SSP1_VSI!$D:$D,Results_list!$D56,SSP1_VSI!$B:$B,2025))) / (SUMIFS(SSP1_VSI!$F:$F,SSP1_VSI!$C:$C,Results_list!$C$382,SSP1_VSI!$D:$D,Results_list!$D56,SSP1_VSI!$B:$B,2025))</f>
        <v>-6.238415432174782E-2</v>
      </c>
      <c r="X119" s="52">
        <f t="shared" si="33"/>
        <v>-3.5999999999999997E-2</v>
      </c>
      <c r="Y119" s="48">
        <f>((SUMIFS(SSP2_Baseline!$E:$E,SSP2_Baseline!$C:$C,Results_list!$C$382,SSP2_Baseline!$D:$D,Results_list!$D56,SSP2_Baseline!$B:$B,2040)) - (SUMIFS(SSP2_Baseline!$E:$E,SSP2_Baseline!$C:$C,Results_list!$C$382,SSP2_Baseline!$D:$D,Results_list!$D56,SSP2_Baseline!$B:$B,2025))) / (SUMIFS(SSP2_Baseline!$E:$E,SSP2_Baseline!$C:$C,Results_list!$C$382,SSP2_Baseline!$D:$D,Results_list!$D56,SSP2_Baseline!$B:$B,2025))</f>
        <v>-2.3440911129362699E-2</v>
      </c>
      <c r="Z119" s="49">
        <f>((SUMIFS(SSP2_VSI!$F:$F,SSP2_VSI!$C:$C,Results_list!$C$382,SSP2_VSI!$D:$D,Results_list!$D56,SSP2_VSI!$B:$B,2040)) - (SUMIFS(SSP2_VSI!$F:$F,SSP2_VSI!$C:$C,Results_list!$C$382,SSP2_VSI!$D:$D,Results_list!$D56,SSP2_VSI!$B:$B,2025))) / (SUMIFS(SSP2_VSI!$F:$F,SSP2_VSI!$C:$C,Results_list!$C$382,SSP2_VSI!$D:$D,Results_list!$D56,SSP2_VSI!$B:$B,2025))</f>
        <v>-6.0102255100860896E-2</v>
      </c>
      <c r="AA119" s="52">
        <f t="shared" si="34"/>
        <v>-0.04</v>
      </c>
      <c r="AB119" s="48">
        <f>((SUMIFS(SSP5_Baseline!$E:$E,SSP5_Baseline!$C:$C,Results_list!$C$382,SSP5_Baseline!$D:$D,Results_list!$D56,SSP5_Baseline!$B:$B,2040)) - (SUMIFS(SSP5_Baseline!$E:$E,SSP5_Baseline!$C:$C,Results_list!$C$382,SSP5_Baseline!$D:$D,Results_list!$D56,SSP5_Baseline!$B:$B,2025))) / (SUMIFS(SSP5_Baseline!$E:$E,SSP5_Baseline!$C:$C,Results_list!$C$382,SSP5_Baseline!$D:$D,Results_list!$D56,SSP5_Baseline!$B:$B,2025))</f>
        <v>-1.8267704965769512E-2</v>
      </c>
      <c r="AC119" s="49">
        <f>((SUMIFS(SSP5_VSI!$F:$F,SSP5_VSI!$C:$C,Results_list!$C$382,SSP5_VSI!$D:$D,Results_list!$D56,SSP5_VSI!$B:$B,2040)) - (SUMIFS(SSP5_VSI!$F:$F,SSP5_VSI!$C:$C,Results_list!$C$382,SSP5_VSI!$D:$D,Results_list!$D56,SSP5_VSI!$B:$B,2025))) / (SUMIFS(SSP5_VSI!$F:$F,SSP5_VSI!$C:$C,Results_list!$C$382,SSP5_VSI!$D:$D,Results_list!$D56,SSP5_VSI!$B:$B,2025))</f>
        <v>-5.4841338025980846E-2</v>
      </c>
      <c r="AD119" s="52">
        <f t="shared" si="35"/>
        <v>-0.04</v>
      </c>
    </row>
    <row r="120" spans="2:30" ht="16" hidden="1" x14ac:dyDescent="0.4">
      <c r="B120" s="107"/>
      <c r="C120" s="103"/>
      <c r="D120" s="38" t="s">
        <v>50</v>
      </c>
      <c r="E120" s="38"/>
      <c r="F120" s="47" t="s">
        <v>98</v>
      </c>
      <c r="G120" s="48">
        <f>((SUMIFS(SSP1_Baseline!$E:$E,SSP1_Baseline!$C:$C,Results_list!$C$172,SSP1_Baseline!$D:$D,Results_list!$D225,SSP1_Baseline!$B:$B,2040)) - (SUMIFS(SSP1_Baseline!$E:$E,SSP1_Baseline!$C:$C,Results_list!$C$172,SSP1_Baseline!$D:$D,Results_list!$D225,SSP1_Baseline!$B:$B,2025))) / (SUMIFS(SSP1_Baseline!$E:$E,SSP1_Baseline!$C:$C,Results_list!$C$172,SSP1_Baseline!$D:$D,Results_list!$D225,SSP1_Baseline!$B:$B,2025))</f>
        <v>-3.2687592755484593E-2</v>
      </c>
      <c r="H120" s="49">
        <f>((SUMIFS(SSP1_VSI!$F:$F,SSP1_VSI!$C:$C,Results_list!$C$172,SSP1_VSI!$D:$D,Results_list!$D225,SSP1_VSI!$B:$B,2040)) - (SUMIFS(SSP1_VSI!$F:$F,SSP1_VSI!$C:$C,Results_list!$C$172,SSP1_VSI!$D:$D,Results_list!$D225,SSP1_VSI!$B:$B,2025))) / (SUMIFS(SSP1_VSI!$F:$F,SSP1_VSI!$C:$C,Results_list!$C$172,SSP1_VSI!$D:$D,Results_list!$D225,SSP1_VSI!$B:$B,2025))</f>
        <v>-3.270139334931918E-2</v>
      </c>
      <c r="I120" s="52">
        <f t="shared" si="30"/>
        <v>0</v>
      </c>
      <c r="J120" s="48">
        <f>((SUMIFS(SSP2_Baseline!$E:$E,SSP2_Baseline!$C:$C,Results_list!$C$172,SSP2_Baseline!$D:$D,Results_list!$D225,SSP2_Baseline!$B:$B,2040)) - (SUMIFS(SSP2_Baseline!$E:$E,SSP2_Baseline!$C:$C,Results_list!$C$172,SSP2_Baseline!$D:$D,Results_list!$D225,SSP2_Baseline!$B:$B,2025))) / (SUMIFS(SSP2_Baseline!$E:$E,SSP2_Baseline!$C:$C,Results_list!$C$172,SSP2_Baseline!$D:$D,Results_list!$D225,SSP2_Baseline!$B:$B,2025))</f>
        <v>4.1162228414321919E-2</v>
      </c>
      <c r="K120" s="49">
        <f>((SUMIFS(SSP2_VSI!$F:$F,SSP2_VSI!$C:$C,Results_list!$C$172,SSP2_VSI!$D:$D,Results_list!$D225,SSP2_VSI!$B:$B,2040)) - (SUMIFS(SSP2_VSI!$F:$F,SSP2_VSI!$C:$C,Results_list!$C$172,SSP2_VSI!$D:$D,Results_list!$D225,SSP2_VSI!$B:$B,2025))) / (SUMIFS(SSP2_VSI!$F:$F,SSP2_VSI!$C:$C,Results_list!$C$172,SSP2_VSI!$D:$D,Results_list!$D225,SSP2_VSI!$B:$B,2025))</f>
        <v>4.1167355799086536E-2</v>
      </c>
      <c r="L120" s="52">
        <f t="shared" si="31"/>
        <v>0</v>
      </c>
      <c r="M120" s="48">
        <f>((SUMIFS(SSP5_Baseline!$E:$E,SSP5_Baseline!$C:$C,Results_list!$C$172,SSP5_Baseline!$D:$D,Results_list!$D225,SSP5_Baseline!$B:$B,2040)) - (SUMIFS(SSP5_Baseline!$E:$E,SSP5_Baseline!$C:$C,Results_list!$C$172,SSP5_Baseline!$D:$D,Results_list!$D225,SSP5_Baseline!$B:$B,2025))) / (SUMIFS(SSP5_Baseline!$E:$E,SSP5_Baseline!$C:$C,Results_list!$C$172,SSP5_Baseline!$D:$D,Results_list!$D225,SSP5_Baseline!$B:$B,2025))</f>
        <v>6.3962571452112177E-2</v>
      </c>
      <c r="N120" s="49">
        <f>((SUMIFS(SSP5_VSI!$F:$F,SSP5_VSI!$C:$C,Results_list!$C$172,SSP5_VSI!$D:$D,Results_list!$D225,SSP5_VSI!$B:$B,2040)) - (SUMIFS(SSP5_VSI!$F:$F,SSP5_VSI!$C:$C,Results_list!$C$172,SSP5_VSI!$D:$D,Results_list!$D225,SSP5_VSI!$B:$B,2025))) / (SUMIFS(SSP5_VSI!$F:$F,SSP5_VSI!$C:$C,Results_list!$C$172,SSP5_VSI!$D:$D,Results_list!$D225,SSP5_VSI!$B:$B,2025))</f>
        <v>6.3976532620449986E-2</v>
      </c>
      <c r="O120" s="52">
        <f t="shared" si="32"/>
        <v>0</v>
      </c>
      <c r="P120" s="38"/>
      <c r="Q120" s="111"/>
      <c r="R120" s="112"/>
      <c r="S120" s="38" t="s">
        <v>50</v>
      </c>
      <c r="T120" s="38"/>
      <c r="U120" s="47" t="s">
        <v>98</v>
      </c>
      <c r="V120" s="48">
        <f>((SUMIFS(SSP1_Baseline!$E:$E,SSP1_Baseline!$C:$C,Results_list!$C$382,SSP1_Baseline!$D:$D,Results_list!$D57,SSP1_Baseline!$B:$B,2040)) - (SUMIFS(SSP1_Baseline!$E:$E,SSP1_Baseline!$C:$C,Results_list!$C$382,SSP1_Baseline!$D:$D,Results_list!$D57,SSP1_Baseline!$B:$B,2025))) / (SUMIFS(SSP1_Baseline!$E:$E,SSP1_Baseline!$C:$C,Results_list!$C$382,SSP1_Baseline!$D:$D,Results_list!$D57,SSP1_Baseline!$B:$B,2025))</f>
        <v>-0.14760250819869281</v>
      </c>
      <c r="W120" s="49">
        <f>((SUMIFS(SSP1_VSI!$F:$F,SSP1_VSI!$C:$C,Results_list!$C$382,SSP1_VSI!$D:$D,Results_list!$D57,SSP1_VSI!$B:$B,2040)) - (SUMIFS(SSP1_VSI!$F:$F,SSP1_VSI!$C:$C,Results_list!$C$382,SSP1_VSI!$D:$D,Results_list!$D57,SSP1_VSI!$B:$B,2025))) / (SUMIFS(SSP1_VSI!$F:$F,SSP1_VSI!$C:$C,Results_list!$C$382,SSP1_VSI!$D:$D,Results_list!$D57,SSP1_VSI!$B:$B,2025))</f>
        <v>-0.14761070236350107</v>
      </c>
      <c r="X120" s="52">
        <f t="shared" si="33"/>
        <v>0</v>
      </c>
      <c r="Y120" s="48">
        <f>((SUMIFS(SSP2_Baseline!$E:$E,SSP2_Baseline!$C:$C,Results_list!$C$382,SSP2_Baseline!$D:$D,Results_list!$D57,SSP2_Baseline!$B:$B,2040)) - (SUMIFS(SSP2_Baseline!$E:$E,SSP2_Baseline!$C:$C,Results_list!$C$382,SSP2_Baseline!$D:$D,Results_list!$D57,SSP2_Baseline!$B:$B,2025))) / (SUMIFS(SSP2_Baseline!$E:$E,SSP2_Baseline!$C:$C,Results_list!$C$382,SSP2_Baseline!$D:$D,Results_list!$D57,SSP2_Baseline!$B:$B,2025))</f>
        <v>9.4349516063729905E-3</v>
      </c>
      <c r="Z120" s="49">
        <f>((SUMIFS(SSP2_VSI!$F:$F,SSP2_VSI!$C:$C,Results_list!$C$382,SSP2_VSI!$D:$D,Results_list!$D57,SSP2_VSI!$B:$B,2040)) - (SUMIFS(SSP2_VSI!$F:$F,SSP2_VSI!$C:$C,Results_list!$C$382,SSP2_VSI!$D:$D,Results_list!$D57,SSP2_VSI!$B:$B,2025))) / (SUMIFS(SSP2_VSI!$F:$F,SSP2_VSI!$C:$C,Results_list!$C$382,SSP2_VSI!$D:$D,Results_list!$D57,SSP2_VSI!$B:$B,2025))</f>
        <v>9.4349913308959376E-3</v>
      </c>
      <c r="AA120" s="52">
        <f t="shared" si="34"/>
        <v>0</v>
      </c>
      <c r="AB120" s="48">
        <f>((SUMIFS(SSP5_Baseline!$E:$E,SSP5_Baseline!$C:$C,Results_list!$C$382,SSP5_Baseline!$D:$D,Results_list!$D57,SSP5_Baseline!$B:$B,2040)) - (SUMIFS(SSP5_Baseline!$E:$E,SSP5_Baseline!$C:$C,Results_list!$C$382,SSP5_Baseline!$D:$D,Results_list!$D57,SSP5_Baseline!$B:$B,2025))) / (SUMIFS(SSP5_Baseline!$E:$E,SSP5_Baseline!$C:$C,Results_list!$C$382,SSP5_Baseline!$D:$D,Results_list!$D57,SSP5_Baseline!$B:$B,2025))</f>
        <v>0.1379251483749446</v>
      </c>
      <c r="AC120" s="49">
        <f>((SUMIFS(SSP5_VSI!$F:$F,SSP5_VSI!$C:$C,Results_list!$C$382,SSP5_VSI!$D:$D,Results_list!$D57,SSP5_VSI!$B:$B,2040)) - (SUMIFS(SSP5_VSI!$F:$F,SSP5_VSI!$C:$C,Results_list!$C$382,SSP5_VSI!$D:$D,Results_list!$D57,SSP5_VSI!$B:$B,2025))) / (SUMIFS(SSP5_VSI!$F:$F,SSP5_VSI!$C:$C,Results_list!$C$382,SSP5_VSI!$D:$D,Results_list!$D57,SSP5_VSI!$B:$B,2025))</f>
        <v>0.13794029023609675</v>
      </c>
      <c r="AD120" s="52">
        <f t="shared" si="35"/>
        <v>0</v>
      </c>
    </row>
    <row r="121" spans="2:30" ht="16" hidden="1" x14ac:dyDescent="0.4">
      <c r="B121" s="107"/>
      <c r="C121" s="103"/>
      <c r="D121" s="38" t="s">
        <v>51</v>
      </c>
      <c r="E121" s="38"/>
      <c r="F121" s="47" t="s">
        <v>99</v>
      </c>
      <c r="G121" s="48">
        <f>((SUMIFS(SSP1_Baseline!$E:$E,SSP1_Baseline!$C:$C,Results_list!$C$172,SSP1_Baseline!$D:$D,Results_list!$D226,SSP1_Baseline!$B:$B,2040)) - (SUMIFS(SSP1_Baseline!$E:$E,SSP1_Baseline!$C:$C,Results_list!$C$172,SSP1_Baseline!$D:$D,Results_list!$D226,SSP1_Baseline!$B:$B,2025))) / (SUMIFS(SSP1_Baseline!$E:$E,SSP1_Baseline!$C:$C,Results_list!$C$172,SSP1_Baseline!$D:$D,Results_list!$D226,SSP1_Baseline!$B:$B,2025))</f>
        <v>2.630024004132489E-2</v>
      </c>
      <c r="H121" s="49">
        <f>((SUMIFS(SSP1_VSI!$F:$F,SSP1_VSI!$C:$C,Results_list!$C$172,SSP1_VSI!$D:$D,Results_list!$D226,SSP1_VSI!$B:$B,2040)) - (SUMIFS(SSP1_VSI!$F:$F,SSP1_VSI!$C:$C,Results_list!$C$172,SSP1_VSI!$D:$D,Results_list!$D226,SSP1_VSI!$B:$B,2025))) / (SUMIFS(SSP1_VSI!$F:$F,SSP1_VSI!$C:$C,Results_list!$C$172,SSP1_VSI!$D:$D,Results_list!$D226,SSP1_VSI!$B:$B,2025))</f>
        <v>2.6261337790366636E-2</v>
      </c>
      <c r="I121" s="52">
        <f t="shared" si="30"/>
        <v>0</v>
      </c>
      <c r="J121" s="48">
        <f>((SUMIFS(SSP2_Baseline!$E:$E,SSP2_Baseline!$C:$C,Results_list!$C$172,SSP2_Baseline!$D:$D,Results_list!$D226,SSP2_Baseline!$B:$B,2040)) - (SUMIFS(SSP2_Baseline!$E:$E,SSP2_Baseline!$C:$C,Results_list!$C$172,SSP2_Baseline!$D:$D,Results_list!$D226,SSP2_Baseline!$B:$B,2025))) / (SUMIFS(SSP2_Baseline!$E:$E,SSP2_Baseline!$C:$C,Results_list!$C$172,SSP2_Baseline!$D:$D,Results_list!$D226,SSP2_Baseline!$B:$B,2025))</f>
        <v>3.3083819821434879E-2</v>
      </c>
      <c r="K121" s="49">
        <f>((SUMIFS(SSP2_VSI!$F:$F,SSP2_VSI!$C:$C,Results_list!$C$172,SSP2_VSI!$D:$D,Results_list!$D226,SSP2_VSI!$B:$B,2040)) - (SUMIFS(SSP2_VSI!$F:$F,SSP2_VSI!$C:$C,Results_list!$C$172,SSP2_VSI!$D:$D,Results_list!$D226,SSP2_VSI!$B:$B,2025))) / (SUMIFS(SSP2_VSI!$F:$F,SSP2_VSI!$C:$C,Results_list!$C$172,SSP2_VSI!$D:$D,Results_list!$D226,SSP2_VSI!$B:$B,2025))</f>
        <v>3.2958893373805163E-2</v>
      </c>
      <c r="L121" s="52">
        <f t="shared" si="31"/>
        <v>0</v>
      </c>
      <c r="M121" s="48">
        <f>((SUMIFS(SSP5_Baseline!$E:$E,SSP5_Baseline!$C:$C,Results_list!$C$172,SSP5_Baseline!$D:$D,Results_list!$D226,SSP5_Baseline!$B:$B,2040)) - (SUMIFS(SSP5_Baseline!$E:$E,SSP5_Baseline!$C:$C,Results_list!$C$172,SSP5_Baseline!$D:$D,Results_list!$D226,SSP5_Baseline!$B:$B,2025))) / (SUMIFS(SSP5_Baseline!$E:$E,SSP5_Baseline!$C:$C,Results_list!$C$172,SSP5_Baseline!$D:$D,Results_list!$D226,SSP5_Baseline!$B:$B,2025))</f>
        <v>-1.664888317315914E-3</v>
      </c>
      <c r="N121" s="49">
        <f>((SUMIFS(SSP5_VSI!$F:$F,SSP5_VSI!$C:$C,Results_list!$C$172,SSP5_VSI!$D:$D,Results_list!$D226,SSP5_VSI!$B:$B,2040)) - (SUMIFS(SSP5_VSI!$F:$F,SSP5_VSI!$C:$C,Results_list!$C$172,SSP5_VSI!$D:$D,Results_list!$D226,SSP5_VSI!$B:$B,2025))) / (SUMIFS(SSP5_VSI!$F:$F,SSP5_VSI!$C:$C,Results_list!$C$172,SSP5_VSI!$D:$D,Results_list!$D226,SSP5_VSI!$B:$B,2025))</f>
        <v>-1.6152325012559778E-3</v>
      </c>
      <c r="O121" s="52">
        <f t="shared" si="32"/>
        <v>0</v>
      </c>
      <c r="P121" s="38"/>
      <c r="Q121" s="111"/>
      <c r="R121" s="112"/>
      <c r="S121" s="38" t="s">
        <v>51</v>
      </c>
      <c r="T121" s="38"/>
      <c r="U121" s="47" t="s">
        <v>99</v>
      </c>
      <c r="V121" s="48">
        <f>((SUMIFS(SSP1_Baseline!$E:$E,SSP1_Baseline!$C:$C,Results_list!$C$382,SSP1_Baseline!$D:$D,Results_list!$D58,SSP1_Baseline!$B:$B,2040)) - (SUMIFS(SSP1_Baseline!$E:$E,SSP1_Baseline!$C:$C,Results_list!$C$382,SSP1_Baseline!$D:$D,Results_list!$D58,SSP1_Baseline!$B:$B,2025))) / (SUMIFS(SSP1_Baseline!$E:$E,SSP1_Baseline!$C:$C,Results_list!$C$382,SSP1_Baseline!$D:$D,Results_list!$D58,SSP1_Baseline!$B:$B,2025))</f>
        <v>4.3181200217626496E-2</v>
      </c>
      <c r="W121" s="49">
        <f>((SUMIFS(SSP1_VSI!$F:$F,SSP1_VSI!$C:$C,Results_list!$C$382,SSP1_VSI!$D:$D,Results_list!$D58,SSP1_VSI!$B:$B,2040)) - (SUMIFS(SSP1_VSI!$F:$F,SSP1_VSI!$C:$C,Results_list!$C$382,SSP1_VSI!$D:$D,Results_list!$D58,SSP1_VSI!$B:$B,2025))) / (SUMIFS(SSP1_VSI!$F:$F,SSP1_VSI!$C:$C,Results_list!$C$382,SSP1_VSI!$D:$D,Results_list!$D58,SSP1_VSI!$B:$B,2025))</f>
        <v>4.3171925097718486E-2</v>
      </c>
      <c r="X121" s="52">
        <f t="shared" si="33"/>
        <v>0</v>
      </c>
      <c r="Y121" s="48">
        <f>((SUMIFS(SSP2_Baseline!$E:$E,SSP2_Baseline!$C:$C,Results_list!$C$382,SSP2_Baseline!$D:$D,Results_list!$D58,SSP2_Baseline!$B:$B,2040)) - (SUMIFS(SSP2_Baseline!$E:$E,SSP2_Baseline!$C:$C,Results_list!$C$382,SSP2_Baseline!$D:$D,Results_list!$D58,SSP2_Baseline!$B:$B,2025))) / (SUMIFS(SSP2_Baseline!$E:$E,SSP2_Baseline!$C:$C,Results_list!$C$382,SSP2_Baseline!$D:$D,Results_list!$D58,SSP2_Baseline!$B:$B,2025))</f>
        <v>3.8639018752020769E-2</v>
      </c>
      <c r="Z121" s="49">
        <f>((SUMIFS(SSP2_VSI!$F:$F,SSP2_VSI!$C:$C,Results_list!$C$382,SSP2_VSI!$D:$D,Results_list!$D58,SSP2_VSI!$B:$B,2040)) - (SUMIFS(SSP2_VSI!$F:$F,SSP2_VSI!$C:$C,Results_list!$C$382,SSP2_VSI!$D:$D,Results_list!$D58,SSP2_VSI!$B:$B,2025))) / (SUMIFS(SSP2_VSI!$F:$F,SSP2_VSI!$C:$C,Results_list!$C$382,SSP2_VSI!$D:$D,Results_list!$D58,SSP2_VSI!$B:$B,2025))</f>
        <v>3.8585103429026553E-2</v>
      </c>
      <c r="AA121" s="52">
        <f t="shared" si="34"/>
        <v>0</v>
      </c>
      <c r="AB121" s="48">
        <f>((SUMIFS(SSP5_Baseline!$E:$E,SSP5_Baseline!$C:$C,Results_list!$C$382,SSP5_Baseline!$D:$D,Results_list!$D58,SSP5_Baseline!$B:$B,2040)) - (SUMIFS(SSP5_Baseline!$E:$E,SSP5_Baseline!$C:$C,Results_list!$C$382,SSP5_Baseline!$D:$D,Results_list!$D58,SSP5_Baseline!$B:$B,2025))) / (SUMIFS(SSP5_Baseline!$E:$E,SSP5_Baseline!$C:$C,Results_list!$C$382,SSP5_Baseline!$D:$D,Results_list!$D58,SSP5_Baseline!$B:$B,2025))</f>
        <v>2.6802039954503332E-3</v>
      </c>
      <c r="AC121" s="49">
        <f>((SUMIFS(SSP5_VSI!$F:$F,SSP5_VSI!$C:$C,Results_list!$C$382,SSP5_VSI!$D:$D,Results_list!$D58,SSP5_VSI!$B:$B,2040)) - (SUMIFS(SSP5_VSI!$F:$F,SSP5_VSI!$C:$C,Results_list!$C$382,SSP5_VSI!$D:$D,Results_list!$D58,SSP5_VSI!$B:$B,2025))) / (SUMIFS(SSP5_VSI!$F:$F,SSP5_VSI!$C:$C,Results_list!$C$382,SSP5_VSI!$D:$D,Results_list!$D58,SSP5_VSI!$B:$B,2025))</f>
        <v>2.7020846444032573E-3</v>
      </c>
      <c r="AD121" s="52">
        <f t="shared" si="35"/>
        <v>0</v>
      </c>
    </row>
    <row r="122" spans="2:30" ht="16" hidden="1" x14ac:dyDescent="0.4">
      <c r="B122" s="107"/>
      <c r="C122" s="103"/>
      <c r="D122" s="38" t="s">
        <v>52</v>
      </c>
      <c r="E122" s="38"/>
      <c r="F122" s="47" t="s">
        <v>100</v>
      </c>
      <c r="G122" s="48">
        <f>((SUMIFS(SSP1_Baseline!$E:$E,SSP1_Baseline!$C:$C,Results_list!$C$172,SSP1_Baseline!$D:$D,Results_list!$D227,SSP1_Baseline!$B:$B,2040)) - (SUMIFS(SSP1_Baseline!$E:$E,SSP1_Baseline!$C:$C,Results_list!$C$172,SSP1_Baseline!$D:$D,Results_list!$D227,SSP1_Baseline!$B:$B,2025))) / (SUMIFS(SSP1_Baseline!$E:$E,SSP1_Baseline!$C:$C,Results_list!$C$172,SSP1_Baseline!$D:$D,Results_list!$D227,SSP1_Baseline!$B:$B,2025))</f>
        <v>-2.8771972023571526E-2</v>
      </c>
      <c r="H122" s="49">
        <f>((SUMIFS(SSP1_VSI!$F:$F,SSP1_VSI!$C:$C,Results_list!$C$172,SSP1_VSI!$D:$D,Results_list!$D227,SSP1_VSI!$B:$B,2040)) - (SUMIFS(SSP1_VSI!$F:$F,SSP1_VSI!$C:$C,Results_list!$C$172,SSP1_VSI!$D:$D,Results_list!$D227,SSP1_VSI!$B:$B,2025))) / (SUMIFS(SSP1_VSI!$F:$F,SSP1_VSI!$C:$C,Results_list!$C$172,SSP1_VSI!$D:$D,Results_list!$D227,SSP1_VSI!$B:$B,2025))</f>
        <v>-2.8715410318225675E-2</v>
      </c>
      <c r="I122" s="52">
        <f t="shared" si="30"/>
        <v>0</v>
      </c>
      <c r="J122" s="48">
        <f>((SUMIFS(SSP2_Baseline!$E:$E,SSP2_Baseline!$C:$C,Results_list!$C$172,SSP2_Baseline!$D:$D,Results_list!$D227,SSP2_Baseline!$B:$B,2040)) - (SUMIFS(SSP2_Baseline!$E:$E,SSP2_Baseline!$C:$C,Results_list!$C$172,SSP2_Baseline!$D:$D,Results_list!$D227,SSP2_Baseline!$B:$B,2025))) / (SUMIFS(SSP2_Baseline!$E:$E,SSP2_Baseline!$C:$C,Results_list!$C$172,SSP2_Baseline!$D:$D,Results_list!$D227,SSP2_Baseline!$B:$B,2025))</f>
        <v>-2.6210603987261525E-2</v>
      </c>
      <c r="K122" s="49">
        <f>((SUMIFS(SSP2_VSI!$F:$F,SSP2_VSI!$C:$C,Results_list!$C$172,SSP2_VSI!$D:$D,Results_list!$D227,SSP2_VSI!$B:$B,2040)) - (SUMIFS(SSP2_VSI!$F:$F,SSP2_VSI!$C:$C,Results_list!$C$172,SSP2_VSI!$D:$D,Results_list!$D227,SSP2_VSI!$B:$B,2025))) / (SUMIFS(SSP2_VSI!$F:$F,SSP2_VSI!$C:$C,Results_list!$C$172,SSP2_VSI!$D:$D,Results_list!$D227,SSP2_VSI!$B:$B,2025))</f>
        <v>-2.6126373745802903E-2</v>
      </c>
      <c r="L122" s="52">
        <f t="shared" si="31"/>
        <v>0</v>
      </c>
      <c r="M122" s="48">
        <f>((SUMIFS(SSP5_Baseline!$E:$E,SSP5_Baseline!$C:$C,Results_list!$C$172,SSP5_Baseline!$D:$D,Results_list!$D227,SSP5_Baseline!$B:$B,2040)) - (SUMIFS(SSP5_Baseline!$E:$E,SSP5_Baseline!$C:$C,Results_list!$C$172,SSP5_Baseline!$D:$D,Results_list!$D227,SSP5_Baseline!$B:$B,2025))) / (SUMIFS(SSP5_Baseline!$E:$E,SSP5_Baseline!$C:$C,Results_list!$C$172,SSP5_Baseline!$D:$D,Results_list!$D227,SSP5_Baseline!$B:$B,2025))</f>
        <v>-2.6838670077501077E-2</v>
      </c>
      <c r="N122" s="49">
        <f>((SUMIFS(SSP5_VSI!$F:$F,SSP5_VSI!$C:$C,Results_list!$C$172,SSP5_VSI!$D:$D,Results_list!$D227,SSP5_VSI!$B:$B,2040)) - (SUMIFS(SSP5_VSI!$F:$F,SSP5_VSI!$C:$C,Results_list!$C$172,SSP5_VSI!$D:$D,Results_list!$D227,SSP5_VSI!$B:$B,2025))) / (SUMIFS(SSP5_VSI!$F:$F,SSP5_VSI!$C:$C,Results_list!$C$172,SSP5_VSI!$D:$D,Results_list!$D227,SSP5_VSI!$B:$B,2025))</f>
        <v>-2.6778450995559228E-2</v>
      </c>
      <c r="O122" s="52">
        <f t="shared" si="32"/>
        <v>0</v>
      </c>
      <c r="P122" s="38"/>
      <c r="Q122" s="111"/>
      <c r="R122" s="112"/>
      <c r="S122" s="38" t="s">
        <v>52</v>
      </c>
      <c r="T122" s="38"/>
      <c r="U122" s="47" t="s">
        <v>100</v>
      </c>
      <c r="V122" s="48">
        <f>((SUMIFS(SSP1_Baseline!$E:$E,SSP1_Baseline!$C:$C,Results_list!$C$382,SSP1_Baseline!$D:$D,Results_list!$D59,SSP1_Baseline!$B:$B,2040)) - (SUMIFS(SSP1_Baseline!$E:$E,SSP1_Baseline!$C:$C,Results_list!$C$382,SSP1_Baseline!$D:$D,Results_list!$D59,SSP1_Baseline!$B:$B,2025))) / (SUMIFS(SSP1_Baseline!$E:$E,SSP1_Baseline!$C:$C,Results_list!$C$382,SSP1_Baseline!$D:$D,Results_list!$D59,SSP1_Baseline!$B:$B,2025))</f>
        <v>-0.42564888001747625</v>
      </c>
      <c r="W122" s="49">
        <f>((SUMIFS(SSP1_VSI!$F:$F,SSP1_VSI!$C:$C,Results_list!$C$382,SSP1_VSI!$D:$D,Results_list!$D59,SSP1_VSI!$B:$B,2040)) - (SUMIFS(SSP1_VSI!$F:$F,SSP1_VSI!$C:$C,Results_list!$C$382,SSP1_VSI!$D:$D,Results_list!$D59,SSP1_VSI!$B:$B,2025))) / (SUMIFS(SSP1_VSI!$F:$F,SSP1_VSI!$C:$C,Results_list!$C$382,SSP1_VSI!$D:$D,Results_list!$D59,SSP1_VSI!$B:$B,2025))</f>
        <v>-0.42561147849749836</v>
      </c>
      <c r="X122" s="52">
        <f t="shared" si="33"/>
        <v>0</v>
      </c>
      <c r="Y122" s="48">
        <f>((SUMIFS(SSP2_Baseline!$E:$E,SSP2_Baseline!$C:$C,Results_list!$C$382,SSP2_Baseline!$D:$D,Results_list!$D59,SSP2_Baseline!$B:$B,2040)) - (SUMIFS(SSP2_Baseline!$E:$E,SSP2_Baseline!$C:$C,Results_list!$C$382,SSP2_Baseline!$D:$D,Results_list!$D59,SSP2_Baseline!$B:$B,2025))) / (SUMIFS(SSP2_Baseline!$E:$E,SSP2_Baseline!$C:$C,Results_list!$C$382,SSP2_Baseline!$D:$D,Results_list!$D59,SSP2_Baseline!$B:$B,2025))</f>
        <v>-0.34632965768517965</v>
      </c>
      <c r="Z122" s="49">
        <f>((SUMIFS(SSP2_VSI!$F:$F,SSP2_VSI!$C:$C,Results_list!$C$382,SSP2_VSI!$D:$D,Results_list!$D59,SSP2_VSI!$B:$B,2040)) - (SUMIFS(SSP2_VSI!$F:$F,SSP2_VSI!$C:$C,Results_list!$C$382,SSP2_VSI!$D:$D,Results_list!$D59,SSP2_VSI!$B:$B,2025))) / (SUMIFS(SSP2_VSI!$F:$F,SSP2_VSI!$C:$C,Results_list!$C$382,SSP2_VSI!$D:$D,Results_list!$D59,SSP2_VSI!$B:$B,2025))</f>
        <v>-0.34623976409600604</v>
      </c>
      <c r="AA122" s="52">
        <f t="shared" si="34"/>
        <v>0</v>
      </c>
      <c r="AB122" s="48">
        <f>((SUMIFS(SSP5_Baseline!$E:$E,SSP5_Baseline!$C:$C,Results_list!$C$382,SSP5_Baseline!$D:$D,Results_list!$D59,SSP5_Baseline!$B:$B,2040)) - (SUMIFS(SSP5_Baseline!$E:$E,SSP5_Baseline!$C:$C,Results_list!$C$382,SSP5_Baseline!$D:$D,Results_list!$D59,SSP5_Baseline!$B:$B,2025))) / (SUMIFS(SSP5_Baseline!$E:$E,SSP5_Baseline!$C:$C,Results_list!$C$382,SSP5_Baseline!$D:$D,Results_list!$D59,SSP5_Baseline!$B:$B,2025))</f>
        <v>-0.40535520345795173</v>
      </c>
      <c r="AC122" s="49">
        <f>((SUMIFS(SSP5_VSI!$F:$F,SSP5_VSI!$C:$C,Results_list!$C$382,SSP5_VSI!$D:$D,Results_list!$D59,SSP5_VSI!$B:$B,2040)) - (SUMIFS(SSP5_VSI!$F:$F,SSP5_VSI!$C:$C,Results_list!$C$382,SSP5_VSI!$D:$D,Results_list!$D59,SSP5_VSI!$B:$B,2025))) / (SUMIFS(SSP5_VSI!$F:$F,SSP5_VSI!$C:$C,Results_list!$C$382,SSP5_VSI!$D:$D,Results_list!$D59,SSP5_VSI!$B:$B,2025))</f>
        <v>-0.40529047384786043</v>
      </c>
      <c r="AD122" s="52">
        <f t="shared" si="35"/>
        <v>0</v>
      </c>
    </row>
    <row r="123" spans="2:30" ht="16" hidden="1" x14ac:dyDescent="0.4">
      <c r="B123" s="107"/>
      <c r="C123" s="103"/>
      <c r="D123" s="38" t="s">
        <v>53</v>
      </c>
      <c r="E123" s="38"/>
      <c r="F123" s="47" t="s">
        <v>101</v>
      </c>
      <c r="G123" s="48">
        <f>((SUMIFS(SSP1_Baseline!$E:$E,SSP1_Baseline!$C:$C,Results_list!$C$172,SSP1_Baseline!$D:$D,Results_list!$D228,SSP1_Baseline!$B:$B,2040)) - (SUMIFS(SSP1_Baseline!$E:$E,SSP1_Baseline!$C:$C,Results_list!$C$172,SSP1_Baseline!$D:$D,Results_list!$D228,SSP1_Baseline!$B:$B,2025))) / (SUMIFS(SSP1_Baseline!$E:$E,SSP1_Baseline!$C:$C,Results_list!$C$172,SSP1_Baseline!$D:$D,Results_list!$D228,SSP1_Baseline!$B:$B,2025))</f>
        <v>-7.2328050335532995E-2</v>
      </c>
      <c r="H123" s="49">
        <f>((SUMIFS(SSP1_VSI!$F:$F,SSP1_VSI!$C:$C,Results_list!$C$172,SSP1_VSI!$D:$D,Results_list!$D228,SSP1_VSI!$B:$B,2040)) - (SUMIFS(SSP1_VSI!$F:$F,SSP1_VSI!$C:$C,Results_list!$C$172,SSP1_VSI!$D:$D,Results_list!$D228,SSP1_VSI!$B:$B,2025))) / (SUMIFS(SSP1_VSI!$F:$F,SSP1_VSI!$C:$C,Results_list!$C$172,SSP1_VSI!$D:$D,Results_list!$D228,SSP1_VSI!$B:$B,2025))</f>
        <v>-7.2467331689571896E-2</v>
      </c>
      <c r="I123" s="52">
        <f t="shared" si="30"/>
        <v>0</v>
      </c>
      <c r="J123" s="48">
        <f>((SUMIFS(SSP2_Baseline!$E:$E,SSP2_Baseline!$C:$C,Results_list!$C$172,SSP2_Baseline!$D:$D,Results_list!$D228,SSP2_Baseline!$B:$B,2040)) - (SUMIFS(SSP2_Baseline!$E:$E,SSP2_Baseline!$C:$C,Results_list!$C$172,SSP2_Baseline!$D:$D,Results_list!$D228,SSP2_Baseline!$B:$B,2025))) / (SUMIFS(SSP2_Baseline!$E:$E,SSP2_Baseline!$C:$C,Results_list!$C$172,SSP2_Baseline!$D:$D,Results_list!$D228,SSP2_Baseline!$B:$B,2025))</f>
        <v>-7.2405368368018475E-2</v>
      </c>
      <c r="K123" s="49">
        <f>((SUMIFS(SSP2_VSI!$F:$F,SSP2_VSI!$C:$C,Results_list!$C$172,SSP2_VSI!$D:$D,Results_list!$D228,SSP2_VSI!$B:$B,2040)) - (SUMIFS(SSP2_VSI!$F:$F,SSP2_VSI!$C:$C,Results_list!$C$172,SSP2_VSI!$D:$D,Results_list!$D228,SSP2_VSI!$B:$B,2025))) / (SUMIFS(SSP2_VSI!$F:$F,SSP2_VSI!$C:$C,Results_list!$C$172,SSP2_VSI!$D:$D,Results_list!$D228,SSP2_VSI!$B:$B,2025))</f>
        <v>-7.2340625029323299E-2</v>
      </c>
      <c r="L123" s="52">
        <f t="shared" si="31"/>
        <v>0</v>
      </c>
      <c r="M123" s="48">
        <f>((SUMIFS(SSP5_Baseline!$E:$E,SSP5_Baseline!$C:$C,Results_list!$C$172,SSP5_Baseline!$D:$D,Results_list!$D228,SSP5_Baseline!$B:$B,2040)) - (SUMIFS(SSP5_Baseline!$E:$E,SSP5_Baseline!$C:$C,Results_list!$C$172,SSP5_Baseline!$D:$D,Results_list!$D228,SSP5_Baseline!$B:$B,2025))) / (SUMIFS(SSP5_Baseline!$E:$E,SSP5_Baseline!$C:$C,Results_list!$C$172,SSP5_Baseline!$D:$D,Results_list!$D228,SSP5_Baseline!$B:$B,2025))</f>
        <v>-2.0715359123670309E-2</v>
      </c>
      <c r="N123" s="49">
        <f>((SUMIFS(SSP5_VSI!$F:$F,SSP5_VSI!$C:$C,Results_list!$C$172,SSP5_VSI!$D:$D,Results_list!$D228,SSP5_VSI!$B:$B,2040)) - (SUMIFS(SSP5_VSI!$F:$F,SSP5_VSI!$C:$C,Results_list!$C$172,SSP5_VSI!$D:$D,Results_list!$D228,SSP5_VSI!$B:$B,2025))) / (SUMIFS(SSP5_VSI!$F:$F,SSP5_VSI!$C:$C,Results_list!$C$172,SSP5_VSI!$D:$D,Results_list!$D228,SSP5_VSI!$B:$B,2025))</f>
        <v>-2.0651024627104931E-2</v>
      </c>
      <c r="O123" s="52">
        <f t="shared" si="32"/>
        <v>0</v>
      </c>
      <c r="P123" s="38"/>
      <c r="Q123" s="111"/>
      <c r="R123" s="112"/>
      <c r="S123" s="38" t="s">
        <v>53</v>
      </c>
      <c r="T123" s="38"/>
      <c r="U123" s="47" t="s">
        <v>101</v>
      </c>
      <c r="V123" s="48">
        <f>((SUMIFS(SSP1_Baseline!$E:$E,SSP1_Baseline!$C:$C,Results_list!$C$382,SSP1_Baseline!$D:$D,Results_list!$D60,SSP1_Baseline!$B:$B,2040)) - (SUMIFS(SSP1_Baseline!$E:$E,SSP1_Baseline!$C:$C,Results_list!$C$382,SSP1_Baseline!$D:$D,Results_list!$D60,SSP1_Baseline!$B:$B,2025))) / (SUMIFS(SSP1_Baseline!$E:$E,SSP1_Baseline!$C:$C,Results_list!$C$382,SSP1_Baseline!$D:$D,Results_list!$D60,SSP1_Baseline!$B:$B,2025))</f>
        <v>-0.19233532486327495</v>
      </c>
      <c r="W123" s="49">
        <f>((SUMIFS(SSP1_VSI!$F:$F,SSP1_VSI!$C:$C,Results_list!$C$382,SSP1_VSI!$D:$D,Results_list!$D60,SSP1_VSI!$B:$B,2040)) - (SUMIFS(SSP1_VSI!$F:$F,SSP1_VSI!$C:$C,Results_list!$C$382,SSP1_VSI!$D:$D,Results_list!$D60,SSP1_VSI!$B:$B,2025))) / (SUMIFS(SSP1_VSI!$F:$F,SSP1_VSI!$C:$C,Results_list!$C$382,SSP1_VSI!$D:$D,Results_list!$D60,SSP1_VSI!$B:$B,2025))</f>
        <v>-0.19240018868879502</v>
      </c>
      <c r="X123" s="52">
        <f t="shared" si="33"/>
        <v>0</v>
      </c>
      <c r="Y123" s="48">
        <f>((SUMIFS(SSP2_Baseline!$E:$E,SSP2_Baseline!$C:$C,Results_list!$C$382,SSP2_Baseline!$D:$D,Results_list!$D60,SSP2_Baseline!$B:$B,2040)) - (SUMIFS(SSP2_Baseline!$E:$E,SSP2_Baseline!$C:$C,Results_list!$C$382,SSP2_Baseline!$D:$D,Results_list!$D60,SSP2_Baseline!$B:$B,2025))) / (SUMIFS(SSP2_Baseline!$E:$E,SSP2_Baseline!$C:$C,Results_list!$C$382,SSP2_Baseline!$D:$D,Results_list!$D60,SSP2_Baseline!$B:$B,2025))</f>
        <v>-0.1901688804933408</v>
      </c>
      <c r="Z123" s="49">
        <f>((SUMIFS(SSP2_VSI!$F:$F,SSP2_VSI!$C:$C,Results_list!$C$382,SSP2_VSI!$D:$D,Results_list!$D60,SSP2_VSI!$B:$B,2040)) - (SUMIFS(SSP2_VSI!$F:$F,SSP2_VSI!$C:$C,Results_list!$C$382,SSP2_VSI!$D:$D,Results_list!$D60,SSP2_VSI!$B:$B,2025))) / (SUMIFS(SSP2_VSI!$F:$F,SSP2_VSI!$C:$C,Results_list!$C$382,SSP2_VSI!$D:$D,Results_list!$D60,SSP2_VSI!$B:$B,2025))</f>
        <v>-0.19015836896540259</v>
      </c>
      <c r="AA123" s="52">
        <f t="shared" si="34"/>
        <v>0</v>
      </c>
      <c r="AB123" s="48">
        <f>((SUMIFS(SSP5_Baseline!$E:$E,SSP5_Baseline!$C:$C,Results_list!$C$382,SSP5_Baseline!$D:$D,Results_list!$D60,SSP5_Baseline!$B:$B,2040)) - (SUMIFS(SSP5_Baseline!$E:$E,SSP5_Baseline!$C:$C,Results_list!$C$382,SSP5_Baseline!$D:$D,Results_list!$D60,SSP5_Baseline!$B:$B,2025))) / (SUMIFS(SSP5_Baseline!$E:$E,SSP5_Baseline!$C:$C,Results_list!$C$382,SSP5_Baseline!$D:$D,Results_list!$D60,SSP5_Baseline!$B:$B,2025))</f>
        <v>2.2559458399237259E-2</v>
      </c>
      <c r="AC123" s="49">
        <f>((SUMIFS(SSP5_VSI!$F:$F,SSP5_VSI!$C:$C,Results_list!$C$382,SSP5_VSI!$D:$D,Results_list!$D60,SSP5_VSI!$B:$B,2040)) - (SUMIFS(SSP5_VSI!$F:$F,SSP5_VSI!$C:$C,Results_list!$C$382,SSP5_VSI!$D:$D,Results_list!$D60,SSP5_VSI!$B:$B,2025))) / (SUMIFS(SSP5_VSI!$F:$F,SSP5_VSI!$C:$C,Results_list!$C$382,SSP5_VSI!$D:$D,Results_list!$D60,SSP5_VSI!$B:$B,2025))</f>
        <v>2.2589389671941851E-2</v>
      </c>
      <c r="AD123" s="52">
        <f t="shared" si="35"/>
        <v>0</v>
      </c>
    </row>
    <row r="124" spans="2:30" ht="16" x14ac:dyDescent="0.4">
      <c r="B124" s="107"/>
      <c r="C124" s="103"/>
      <c r="D124" s="38" t="s">
        <v>54</v>
      </c>
      <c r="E124" s="38"/>
      <c r="F124" s="47" t="s">
        <v>102</v>
      </c>
      <c r="G124" s="48">
        <f>((SUMIFS(SSP1_Baseline!$E:$E,SSP1_Baseline!$C:$C,Results_list!$C$172,SSP1_Baseline!$D:$D,Results_list!$D229,SSP1_Baseline!$B:$B,2040)) - (SUMIFS(SSP1_Baseline!$E:$E,SSP1_Baseline!$C:$C,Results_list!$C$172,SSP1_Baseline!$D:$D,Results_list!$D229,SSP1_Baseline!$B:$B,2025))) / (SUMIFS(SSP1_Baseline!$E:$E,SSP1_Baseline!$C:$C,Results_list!$C$172,SSP1_Baseline!$D:$D,Results_list!$D229,SSP1_Baseline!$B:$B,2025))</f>
        <v>4.9017537678486614E-3</v>
      </c>
      <c r="H124" s="49">
        <f>((SUMIFS(SSP1_VSI!$F:$F,SSP1_VSI!$C:$C,Results_list!$C$172,SSP1_VSI!$D:$D,Results_list!$D229,SSP1_VSI!$B:$B,2040)) - (SUMIFS(SSP1_VSI!$F:$F,SSP1_VSI!$C:$C,Results_list!$C$172,SSP1_VSI!$D:$D,Results_list!$D229,SSP1_VSI!$B:$B,2025))) / (SUMIFS(SSP1_VSI!$F:$F,SSP1_VSI!$C:$C,Results_list!$C$172,SSP1_VSI!$D:$D,Results_list!$D229,SSP1_VSI!$B:$B,2025))</f>
        <v>3.7164262716314978E-3</v>
      </c>
      <c r="I124" s="52">
        <f t="shared" si="30"/>
        <v>-1E-3</v>
      </c>
      <c r="J124" s="48">
        <f>((SUMIFS(SSP2_Baseline!$E:$E,SSP2_Baseline!$C:$C,Results_list!$C$172,SSP2_Baseline!$D:$D,Results_list!$D229,SSP2_Baseline!$B:$B,2040)) - (SUMIFS(SSP2_Baseline!$E:$E,SSP2_Baseline!$C:$C,Results_list!$C$172,SSP2_Baseline!$D:$D,Results_list!$D229,SSP2_Baseline!$B:$B,2025))) / (SUMIFS(SSP2_Baseline!$E:$E,SSP2_Baseline!$C:$C,Results_list!$C$172,SSP2_Baseline!$D:$D,Results_list!$D229,SSP2_Baseline!$B:$B,2025))</f>
        <v>8.0789517703038858E-3</v>
      </c>
      <c r="K124" s="49">
        <f>((SUMIFS(SSP2_VSI!$F:$F,SSP2_VSI!$C:$C,Results_list!$C$172,SSP2_VSI!$D:$D,Results_list!$D229,SSP2_VSI!$B:$B,2040)) - (SUMIFS(SSP2_VSI!$F:$F,SSP2_VSI!$C:$C,Results_list!$C$172,SSP2_VSI!$D:$D,Results_list!$D229,SSP2_VSI!$B:$B,2025))) / (SUMIFS(SSP2_VSI!$F:$F,SSP2_VSI!$C:$C,Results_list!$C$172,SSP2_VSI!$D:$D,Results_list!$D229,SSP2_VSI!$B:$B,2025))</f>
        <v>6.9005230807644754E-3</v>
      </c>
      <c r="L124" s="52">
        <f t="shared" si="31"/>
        <v>0</v>
      </c>
      <c r="M124" s="48">
        <f>((SUMIFS(SSP5_Baseline!$E:$E,SSP5_Baseline!$C:$C,Results_list!$C$172,SSP5_Baseline!$D:$D,Results_list!$D229,SSP5_Baseline!$B:$B,2040)) - (SUMIFS(SSP5_Baseline!$E:$E,SSP5_Baseline!$C:$C,Results_list!$C$172,SSP5_Baseline!$D:$D,Results_list!$D229,SSP5_Baseline!$B:$B,2025))) / (SUMIFS(SSP5_Baseline!$E:$E,SSP5_Baseline!$C:$C,Results_list!$C$172,SSP5_Baseline!$D:$D,Results_list!$D229,SSP5_Baseline!$B:$B,2025))</f>
        <v>8.5080006647160686E-3</v>
      </c>
      <c r="N124" s="49">
        <f>((SUMIFS(SSP5_VSI!$F:$F,SSP5_VSI!$C:$C,Results_list!$C$172,SSP5_VSI!$D:$D,Results_list!$D229,SSP5_VSI!$B:$B,2040)) - (SUMIFS(SSP5_VSI!$F:$F,SSP5_VSI!$C:$C,Results_list!$C$172,SSP5_VSI!$D:$D,Results_list!$D229,SSP5_VSI!$B:$B,2025))) / (SUMIFS(SSP5_VSI!$F:$F,SSP5_VSI!$C:$C,Results_list!$C$172,SSP5_VSI!$D:$D,Results_list!$D229,SSP5_VSI!$B:$B,2025))</f>
        <v>7.3402653834331302E-3</v>
      </c>
      <c r="O124" s="52">
        <f t="shared" si="32"/>
        <v>0</v>
      </c>
      <c r="P124" s="38"/>
      <c r="Q124" s="111"/>
      <c r="R124" s="112"/>
      <c r="S124" s="38" t="s">
        <v>54</v>
      </c>
      <c r="T124" s="38"/>
      <c r="U124" s="47" t="s">
        <v>102</v>
      </c>
      <c r="V124" s="48">
        <f>((SUMIFS(SSP1_Baseline!$E:$E,SSP1_Baseline!$C:$C,Results_list!$C$382,SSP1_Baseline!$D:$D,Results_list!$D61,SSP1_Baseline!$B:$B,2040)) - (SUMIFS(SSP1_Baseline!$E:$E,SSP1_Baseline!$C:$C,Results_list!$C$382,SSP1_Baseline!$D:$D,Results_list!$D61,SSP1_Baseline!$B:$B,2025))) / (SUMIFS(SSP1_Baseline!$E:$E,SSP1_Baseline!$C:$C,Results_list!$C$382,SSP1_Baseline!$D:$D,Results_list!$D61,SSP1_Baseline!$B:$B,2025))</f>
        <v>1.7746962137281922E-4</v>
      </c>
      <c r="W124" s="49">
        <f>((SUMIFS(SSP1_VSI!$F:$F,SSP1_VSI!$C:$C,Results_list!$C$382,SSP1_VSI!$D:$D,Results_list!$D61,SSP1_VSI!$B:$B,2040)) - (SUMIFS(SSP1_VSI!$F:$F,SSP1_VSI!$C:$C,Results_list!$C$382,SSP1_VSI!$D:$D,Results_list!$D61,SSP1_VSI!$B:$B,2025))) / (SUMIFS(SSP1_VSI!$F:$F,SSP1_VSI!$C:$C,Results_list!$C$382,SSP1_VSI!$D:$D,Results_list!$D61,SSP1_VSI!$B:$B,2025))</f>
        <v>-0.14679707832884814</v>
      </c>
      <c r="X124" s="52">
        <f t="shared" si="33"/>
        <v>-0.14699999999999999</v>
      </c>
      <c r="Y124" s="48">
        <f>((SUMIFS(SSP2_Baseline!$E:$E,SSP2_Baseline!$C:$C,Results_list!$C$382,SSP2_Baseline!$D:$D,Results_list!$D61,SSP2_Baseline!$B:$B,2040)) - (SUMIFS(SSP2_Baseline!$E:$E,SSP2_Baseline!$C:$C,Results_list!$C$382,SSP2_Baseline!$D:$D,Results_list!$D61,SSP2_Baseline!$B:$B,2025))) / (SUMIFS(SSP2_Baseline!$E:$E,SSP2_Baseline!$C:$C,Results_list!$C$382,SSP2_Baseline!$D:$D,Results_list!$D61,SSP2_Baseline!$B:$B,2025))</f>
        <v>1.6105120493471515E-3</v>
      </c>
      <c r="Z124" s="49">
        <f>((SUMIFS(SSP2_VSI!$F:$F,SSP2_VSI!$C:$C,Results_list!$C$382,SSP2_VSI!$D:$D,Results_list!$D61,SSP2_VSI!$B:$B,2040)) - (SUMIFS(SSP2_VSI!$F:$F,SSP2_VSI!$C:$C,Results_list!$C$382,SSP2_VSI!$D:$D,Results_list!$D61,SSP2_VSI!$B:$B,2025))) / (SUMIFS(SSP2_VSI!$F:$F,SSP2_VSI!$C:$C,Results_list!$C$382,SSP2_VSI!$D:$D,Results_list!$D61,SSP2_VSI!$B:$B,2025))</f>
        <v>-0.14682224397881927</v>
      </c>
      <c r="AA124" s="52">
        <f t="shared" si="34"/>
        <v>-0.15</v>
      </c>
      <c r="AB124" s="48">
        <f>((SUMIFS(SSP5_Baseline!$E:$E,SSP5_Baseline!$C:$C,Results_list!$C$382,SSP5_Baseline!$D:$D,Results_list!$D61,SSP5_Baseline!$B:$B,2040)) - (SUMIFS(SSP5_Baseline!$E:$E,SSP5_Baseline!$C:$C,Results_list!$C$382,SSP5_Baseline!$D:$D,Results_list!$D61,SSP5_Baseline!$B:$B,2025))) / (SUMIFS(SSP5_Baseline!$E:$E,SSP5_Baseline!$C:$C,Results_list!$C$382,SSP5_Baseline!$D:$D,Results_list!$D61,SSP5_Baseline!$B:$B,2025))</f>
        <v>4.3796522701138485E-2</v>
      </c>
      <c r="AC124" s="49">
        <f>((SUMIFS(SSP5_VSI!$F:$F,SSP5_VSI!$C:$C,Results_list!$C$382,SSP5_VSI!$D:$D,Results_list!$D61,SSP5_VSI!$B:$B,2040)) - (SUMIFS(SSP5_VSI!$F:$F,SSP5_VSI!$C:$C,Results_list!$C$382,SSP5_VSI!$D:$D,Results_list!$D61,SSP5_VSI!$B:$B,2025))) / (SUMIFS(SSP5_VSI!$F:$F,SSP5_VSI!$C:$C,Results_list!$C$382,SSP5_VSI!$D:$D,Results_list!$D61,SSP5_VSI!$B:$B,2025))</f>
        <v>-0.10379062127485239</v>
      </c>
      <c r="AD124" s="52">
        <f t="shared" si="35"/>
        <v>-0.15</v>
      </c>
    </row>
    <row r="125" spans="2:30" ht="16" x14ac:dyDescent="0.4">
      <c r="B125" s="107"/>
      <c r="C125" s="103"/>
      <c r="D125" s="38" t="s">
        <v>55</v>
      </c>
      <c r="E125" s="38"/>
      <c r="F125" s="47" t="s">
        <v>103</v>
      </c>
      <c r="G125" s="55">
        <f>((SUMIFS(SSP1_Baseline!$E:$E,SSP1_Baseline!$C:$C,Results_list!$C$172,SSP1_Baseline!$D:$D,Results_list!$D230,SSP1_Baseline!$B:$B,2040)) - (SUMIFS(SSP1_Baseline!$E:$E,SSP1_Baseline!$C:$C,Results_list!$C$172,SSP1_Baseline!$D:$D,Results_list!$D230,SSP1_Baseline!$B:$B,2025))) / (SUMIFS(SSP1_Baseline!$E:$E,SSP1_Baseline!$C:$C,Results_list!$C$172,SSP1_Baseline!$D:$D,Results_list!$D230,SSP1_Baseline!$B:$B,2025))</f>
        <v>4.415485896994917E-3</v>
      </c>
      <c r="H125" s="56">
        <f>((SUMIFS(SSP1_VSI!$F:$F,SSP1_VSI!$C:$C,Results_list!$C$172,SSP1_VSI!$D:$D,Results_list!$D230,SSP1_VSI!$B:$B,2040)) - (SUMIFS(SSP1_VSI!$F:$F,SSP1_VSI!$C:$C,Results_list!$C$172,SSP1_VSI!$D:$D,Results_list!$D230,SSP1_VSI!$B:$B,2025))) / (SUMIFS(SSP1_VSI!$F:$F,SSP1_VSI!$C:$C,Results_list!$C$172,SSP1_VSI!$D:$D,Results_list!$D230,SSP1_VSI!$B:$B,2025))</f>
        <v>-5.4050474623325247E-2</v>
      </c>
      <c r="I125" s="57">
        <f t="shared" si="30"/>
        <v>-5.8000000000000003E-2</v>
      </c>
      <c r="J125" s="55">
        <f>((SUMIFS(SSP2_Baseline!$E:$E,SSP2_Baseline!$C:$C,Results_list!$C$172,SSP2_Baseline!$D:$D,Results_list!$D230,SSP2_Baseline!$B:$B,2040)) - (SUMIFS(SSP2_Baseline!$E:$E,SSP2_Baseline!$C:$C,Results_list!$C$172,SSP2_Baseline!$D:$D,Results_list!$D230,SSP2_Baseline!$B:$B,2025))) / (SUMIFS(SSP2_Baseline!$E:$E,SSP2_Baseline!$C:$C,Results_list!$C$172,SSP2_Baseline!$D:$D,Results_list!$D230,SSP2_Baseline!$B:$B,2025))</f>
        <v>7.3373827214629171E-3</v>
      </c>
      <c r="K125" s="56">
        <f>((SUMIFS(SSP2_VSI!$F:$F,SSP2_VSI!$C:$C,Results_list!$C$172,SSP2_VSI!$D:$D,Results_list!$D230,SSP2_VSI!$B:$B,2040)) - (SUMIFS(SSP2_VSI!$F:$F,SSP2_VSI!$C:$C,Results_list!$C$172,SSP2_VSI!$D:$D,Results_list!$D230,SSP2_VSI!$B:$B,2025))) / (SUMIFS(SSP2_VSI!$F:$F,SSP2_VSI!$C:$C,Results_list!$C$172,SSP2_VSI!$D:$D,Results_list!$D230,SSP2_VSI!$B:$B,2025))</f>
        <v>-5.1278635592388266E-2</v>
      </c>
      <c r="L125" s="57">
        <f t="shared" si="31"/>
        <v>-0.06</v>
      </c>
      <c r="M125" s="55">
        <f>((SUMIFS(SSP5_Baseline!$E:$E,SSP5_Baseline!$C:$C,Results_list!$C$172,SSP5_Baseline!$D:$D,Results_list!$D230,SSP5_Baseline!$B:$B,2040)) - (SUMIFS(SSP5_Baseline!$E:$E,SSP5_Baseline!$C:$C,Results_list!$C$172,SSP5_Baseline!$D:$D,Results_list!$D230,SSP5_Baseline!$B:$B,2025))) / (SUMIFS(SSP5_Baseline!$E:$E,SSP5_Baseline!$C:$C,Results_list!$C$172,SSP5_Baseline!$D:$D,Results_list!$D230,SSP5_Baseline!$B:$B,2025))</f>
        <v>7.4677395359472676E-3</v>
      </c>
      <c r="N125" s="58">
        <f>((SUMIFS(SSP5_VSI!$F:$F,SSP5_VSI!$C:$C,Results_list!$C$172,SSP5_VSI!$D:$D,Results_list!$D230,SSP5_VSI!$B:$B,2040)) - (SUMIFS(SSP5_VSI!$F:$F,SSP5_VSI!$C:$C,Results_list!$C$172,SSP5_VSI!$D:$D,Results_list!$D230,SSP5_VSI!$B:$B,2025))) / (SUMIFS(SSP5_VSI!$F:$F,SSP5_VSI!$C:$C,Results_list!$C$172,SSP5_VSI!$D:$D,Results_list!$D230,SSP5_VSI!$B:$B,2025))</f>
        <v>-5.1168794466019289E-2</v>
      </c>
      <c r="O125" s="57">
        <f t="shared" si="32"/>
        <v>-0.06</v>
      </c>
      <c r="P125" s="38"/>
      <c r="Q125" s="111"/>
      <c r="R125" s="112"/>
      <c r="S125" s="38" t="s">
        <v>55</v>
      </c>
      <c r="T125" s="38"/>
      <c r="U125" s="47" t="s">
        <v>103</v>
      </c>
      <c r="V125" s="55">
        <f>((SUMIFS(SSP1_Baseline!$E:$E,SSP1_Baseline!$C:$C,Results_list!$C$382,SSP1_Baseline!$D:$D,Results_list!$D62,SSP1_Baseline!$B:$B,2040)) - (SUMIFS(SSP1_Baseline!$E:$E,SSP1_Baseline!$C:$C,Results_list!$C$382,SSP1_Baseline!$D:$D,Results_list!$D62,SSP1_Baseline!$B:$B,2025))) / (SUMIFS(SSP1_Baseline!$E:$E,SSP1_Baseline!$C:$C,Results_list!$C$382,SSP1_Baseline!$D:$D,Results_list!$D62,SSP1_Baseline!$B:$B,2025))</f>
        <v>-2.4671731629592681E-3</v>
      </c>
      <c r="W125" s="56">
        <f>((SUMIFS(SSP1_VSI!$F:$F,SSP1_VSI!$C:$C,Results_list!$C$382,SSP1_VSI!$D:$D,Results_list!$D62,SSP1_VSI!$B:$B,2040)) - (SUMIFS(SSP1_VSI!$F:$F,SSP1_VSI!$C:$C,Results_list!$C$382,SSP1_VSI!$D:$D,Results_list!$D62,SSP1_VSI!$B:$B,2025))) / (SUMIFS(SSP1_VSI!$F:$F,SSP1_VSI!$C:$C,Results_list!$C$382,SSP1_VSI!$D:$D,Results_list!$D62,SSP1_VSI!$B:$B,2025))</f>
        <v>-0.15890316674967894</v>
      </c>
      <c r="X125" s="57">
        <f t="shared" si="33"/>
        <v>-0.156</v>
      </c>
      <c r="Y125" s="55">
        <f>((SUMIFS(SSP2_Baseline!$E:$E,SSP2_Baseline!$C:$C,Results_list!$C$382,SSP2_Baseline!$D:$D,Results_list!$D62,SSP2_Baseline!$B:$B,2040)) - (SUMIFS(SSP2_Baseline!$E:$E,SSP2_Baseline!$C:$C,Results_list!$C$382,SSP2_Baseline!$D:$D,Results_list!$D62,SSP2_Baseline!$B:$B,2025))) / (SUMIFS(SSP2_Baseline!$E:$E,SSP2_Baseline!$C:$C,Results_list!$C$382,SSP2_Baseline!$D:$D,Results_list!$D62,SSP2_Baseline!$B:$B,2025))</f>
        <v>-2.275445944955498E-3</v>
      </c>
      <c r="Z125" s="56">
        <f>((SUMIFS(SSP2_VSI!$F:$F,SSP2_VSI!$C:$C,Results_list!$C$382,SSP2_VSI!$D:$D,Results_list!$D62,SSP2_VSI!$B:$B,2040)) - (SUMIFS(SSP2_VSI!$F:$F,SSP2_VSI!$C:$C,Results_list!$C$382,SSP2_VSI!$D:$D,Results_list!$D62,SSP2_VSI!$B:$B,2025))) / (SUMIFS(SSP2_VSI!$F:$F,SSP2_VSI!$C:$C,Results_list!$C$382,SSP2_VSI!$D:$D,Results_list!$D62,SSP2_VSI!$B:$B,2025))</f>
        <v>-0.16002563713243201</v>
      </c>
      <c r="AA125" s="57">
        <f t="shared" si="34"/>
        <v>-0.16</v>
      </c>
      <c r="AB125" s="55">
        <f>((SUMIFS(SSP5_Baseline!$E:$E,SSP5_Baseline!$C:$C,Results_list!$C$382,SSP5_Baseline!$D:$D,Results_list!$D62,SSP5_Baseline!$B:$B,2040)) - (SUMIFS(SSP5_Baseline!$E:$E,SSP5_Baseline!$C:$C,Results_list!$C$382,SSP5_Baseline!$D:$D,Results_list!$D62,SSP5_Baseline!$B:$B,2025))) / (SUMIFS(SSP5_Baseline!$E:$E,SSP5_Baseline!$C:$C,Results_list!$C$382,SSP5_Baseline!$D:$D,Results_list!$D62,SSP5_Baseline!$B:$B,2025))</f>
        <v>3.9837714773587031E-2</v>
      </c>
      <c r="AC125" s="58">
        <f>((SUMIFS(SSP5_VSI!$F:$F,SSP5_VSI!$C:$C,Results_list!$C$382,SSP5_VSI!$D:$D,Results_list!$D62,SSP5_VSI!$B:$B,2040)) - (SUMIFS(SSP5_VSI!$F:$F,SSP5_VSI!$C:$C,Results_list!$C$382,SSP5_VSI!$D:$D,Results_list!$D62,SSP5_VSI!$B:$B,2025))) / (SUMIFS(SSP5_VSI!$F:$F,SSP5_VSI!$C:$C,Results_list!$C$382,SSP5_VSI!$D:$D,Results_list!$D62,SSP5_VSI!$B:$B,2025))</f>
        <v>-0.1169822665807682</v>
      </c>
      <c r="AD125" s="57">
        <f t="shared" si="35"/>
        <v>-0.16</v>
      </c>
    </row>
    <row r="126" spans="2:30" ht="16" hidden="1" x14ac:dyDescent="0.4">
      <c r="B126" s="107"/>
      <c r="C126" s="103"/>
      <c r="D126" s="38" t="s">
        <v>56</v>
      </c>
      <c r="E126" s="38"/>
      <c r="F126" s="47" t="s">
        <v>104</v>
      </c>
      <c r="G126" s="60">
        <f>((SUMIFS(SSP1_Baseline!$E:$E,SSP1_Baseline!$C:$C,Results_list!$C$172,SSP1_Baseline!$D:$D,Results_list!$D231,SSP1_Baseline!$B:$B,2040)) - (SUMIFS(SSP1_Baseline!$E:$E,SSP1_Baseline!$C:$C,Results_list!$C$172,SSP1_Baseline!$D:$D,Results_list!$D231,SSP1_Baseline!$B:$B,2025))) / (SUMIFS(SSP1_Baseline!$E:$E,SSP1_Baseline!$C:$C,Results_list!$C$172,SSP1_Baseline!$D:$D,Results_list!$D231,SSP1_Baseline!$B:$B,2025))</f>
        <v>-9.2782362716901517E-2</v>
      </c>
      <c r="H126" s="61">
        <f>((SUMIFS(SSP1_VSI!$F:$F,SSP1_VSI!$C:$C,Results_list!$C$172,SSP1_VSI!$D:$D,Results_list!$D231,SSP1_VSI!$B:$B,2040)) - (SUMIFS(SSP1_VSI!$F:$F,SSP1_VSI!$C:$C,Results_list!$C$172,SSP1_VSI!$D:$D,Results_list!$D231,SSP1_VSI!$B:$B,2025))) / (SUMIFS(SSP1_VSI!$F:$F,SSP1_VSI!$C:$C,Results_list!$C$172,SSP1_VSI!$D:$D,Results_list!$D231,SSP1_VSI!$B:$B,2025))</f>
        <v>-9.282944227706634E-2</v>
      </c>
      <c r="I126" s="62">
        <f t="shared" si="30"/>
        <v>0</v>
      </c>
      <c r="J126" s="60">
        <f>((SUMIFS(SSP2_Baseline!$E:$E,SSP2_Baseline!$C:$C,Results_list!$C$172,SSP2_Baseline!$D:$D,Results_list!$D231,SSP2_Baseline!$B:$B,2040)) - (SUMIFS(SSP2_Baseline!$E:$E,SSP2_Baseline!$C:$C,Results_list!$C$172,SSP2_Baseline!$D:$D,Results_list!$D231,SSP2_Baseline!$B:$B,2025))) / (SUMIFS(SSP2_Baseline!$E:$E,SSP2_Baseline!$C:$C,Results_list!$C$172,SSP2_Baseline!$D:$D,Results_list!$D231,SSP2_Baseline!$B:$B,2025))</f>
        <v>-0.11155840089941758</v>
      </c>
      <c r="K126" s="61">
        <f>((SUMIFS(SSP2_VSI!$F:$F,SSP2_VSI!$C:$C,Results_list!$C$172,SSP2_VSI!$D:$D,Results_list!$D231,SSP2_VSI!$B:$B,2040)) - (SUMIFS(SSP2_VSI!$F:$F,SSP2_VSI!$C:$C,Results_list!$C$172,SSP2_VSI!$D:$D,Results_list!$D231,SSP2_VSI!$B:$B,2025))) / (SUMIFS(SSP2_VSI!$F:$F,SSP2_VSI!$C:$C,Results_list!$C$172,SSP2_VSI!$D:$D,Results_list!$D231,SSP2_VSI!$B:$B,2025))</f>
        <v>-0.11157001350916999</v>
      </c>
      <c r="L126" s="62">
        <f t="shared" si="31"/>
        <v>0</v>
      </c>
      <c r="M126" s="60">
        <f>((SUMIFS(SSP5_Baseline!$E:$E,SSP5_Baseline!$C:$C,Results_list!$C$172,SSP5_Baseline!$D:$D,Results_list!$D231,SSP5_Baseline!$B:$B,2040)) - (SUMIFS(SSP5_Baseline!$E:$E,SSP5_Baseline!$C:$C,Results_list!$C$172,SSP5_Baseline!$D:$D,Results_list!$D231,SSP5_Baseline!$B:$B,2025))) / (SUMIFS(SSP5_Baseline!$E:$E,SSP5_Baseline!$C:$C,Results_list!$C$172,SSP5_Baseline!$D:$D,Results_list!$D231,SSP5_Baseline!$B:$B,2025))</f>
        <v>-5.3723508569788442E-2</v>
      </c>
      <c r="N126" s="61">
        <f>((SUMIFS(SSP5_VSI!$F:$F,SSP5_VSI!$C:$C,Results_list!$C$172,SSP5_VSI!$D:$D,Results_list!$D231,SSP5_VSI!$B:$B,2040)) - (SUMIFS(SSP5_VSI!$F:$F,SSP5_VSI!$C:$C,Results_list!$C$172,SSP5_VSI!$D:$D,Results_list!$D231,SSP5_VSI!$B:$B,2025))) / (SUMIFS(SSP5_VSI!$F:$F,SSP5_VSI!$C:$C,Results_list!$C$172,SSP5_VSI!$D:$D,Results_list!$D231,SSP5_VSI!$B:$B,2025))</f>
        <v>-5.3710639782228932E-2</v>
      </c>
      <c r="O126" s="62">
        <f t="shared" si="32"/>
        <v>0</v>
      </c>
      <c r="P126" s="38"/>
      <c r="Q126" s="111"/>
      <c r="R126" s="113"/>
      <c r="S126" s="59" t="s">
        <v>56</v>
      </c>
      <c r="T126" s="59"/>
      <c r="U126" s="54" t="s">
        <v>104</v>
      </c>
      <c r="V126" s="60">
        <f>((SUMIFS(SSP1_Baseline!$E:$E,SSP1_Baseline!$C:$C,Results_list!$C$382,SSP1_Baseline!$D:$D,Results_list!$D63,SSP1_Baseline!$B:$B,2040)) - (SUMIFS(SSP1_Baseline!$E:$E,SSP1_Baseline!$C:$C,Results_list!$C$382,SSP1_Baseline!$D:$D,Results_list!$D63,SSP1_Baseline!$B:$B,2025))) / (SUMIFS(SSP1_Baseline!$E:$E,SSP1_Baseline!$C:$C,Results_list!$C$382,SSP1_Baseline!$D:$D,Results_list!$D63,SSP1_Baseline!$B:$B,2025))</f>
        <v>-0.18097253892135315</v>
      </c>
      <c r="W126" s="61">
        <f>((SUMIFS(SSP1_VSI!$F:$F,SSP1_VSI!$C:$C,Results_list!$C$382,SSP1_VSI!$D:$D,Results_list!$D63,SSP1_VSI!$B:$B,2040)) - (SUMIFS(SSP1_VSI!$F:$F,SSP1_VSI!$C:$C,Results_list!$C$382,SSP1_VSI!$D:$D,Results_list!$D63,SSP1_VSI!$B:$B,2025))) / (SUMIFS(SSP1_VSI!$F:$F,SSP1_VSI!$C:$C,Results_list!$C$382,SSP1_VSI!$D:$D,Results_list!$D63,SSP1_VSI!$B:$B,2025))</f>
        <v>-0.18100321888839657</v>
      </c>
      <c r="X126" s="62">
        <f t="shared" si="33"/>
        <v>0</v>
      </c>
      <c r="Y126" s="60">
        <f>((SUMIFS(SSP2_Baseline!$E:$E,SSP2_Baseline!$C:$C,Results_list!$C$382,SSP2_Baseline!$D:$D,Results_list!$D63,SSP2_Baseline!$B:$B,2040)) - (SUMIFS(SSP2_Baseline!$E:$E,SSP2_Baseline!$C:$C,Results_list!$C$382,SSP2_Baseline!$D:$D,Results_list!$D63,SSP2_Baseline!$B:$B,2025))) / (SUMIFS(SSP2_Baseline!$E:$E,SSP2_Baseline!$C:$C,Results_list!$C$382,SSP2_Baseline!$D:$D,Results_list!$D63,SSP2_Baseline!$B:$B,2025))</f>
        <v>-0.19368382236893517</v>
      </c>
      <c r="Z126" s="61">
        <f>((SUMIFS(SSP2_VSI!$F:$F,SSP2_VSI!$C:$C,Results_list!$C$382,SSP2_VSI!$D:$D,Results_list!$D63,SSP2_VSI!$B:$B,2040)) - (SUMIFS(SSP2_VSI!$F:$F,SSP2_VSI!$C:$C,Results_list!$C$382,SSP2_VSI!$D:$D,Results_list!$D63,SSP2_VSI!$B:$B,2025))) / (SUMIFS(SSP2_VSI!$F:$F,SSP2_VSI!$C:$C,Results_list!$C$382,SSP2_VSI!$D:$D,Results_list!$D63,SSP2_VSI!$B:$B,2025))</f>
        <v>-0.19371568520896831</v>
      </c>
      <c r="AA126" s="62">
        <f t="shared" si="34"/>
        <v>0</v>
      </c>
      <c r="AB126" s="60">
        <f>((SUMIFS(SSP5_Baseline!$E:$E,SSP5_Baseline!$C:$C,Results_list!$C$382,SSP5_Baseline!$D:$D,Results_list!$D63,SSP5_Baseline!$B:$B,2040)) - (SUMIFS(SSP5_Baseline!$E:$E,SSP5_Baseline!$C:$C,Results_list!$C$382,SSP5_Baseline!$D:$D,Results_list!$D63,SSP5_Baseline!$B:$B,2025))) / (SUMIFS(SSP5_Baseline!$E:$E,SSP5_Baseline!$C:$C,Results_list!$C$382,SSP5_Baseline!$D:$D,Results_list!$D63,SSP5_Baseline!$B:$B,2025))</f>
        <v>-3.3911982915262449E-2</v>
      </c>
      <c r="AC126" s="61">
        <f>((SUMIFS(SSP5_VSI!$F:$F,SSP5_VSI!$C:$C,Results_list!$C$382,SSP5_VSI!$D:$D,Results_list!$D63,SSP5_VSI!$B:$B,2040)) - (SUMIFS(SSP5_VSI!$F:$F,SSP5_VSI!$C:$C,Results_list!$C$382,SSP5_VSI!$D:$D,Results_list!$D63,SSP5_VSI!$B:$B,2025))) / (SUMIFS(SSP5_VSI!$F:$F,SSP5_VSI!$C:$C,Results_list!$C$382,SSP5_VSI!$D:$D,Results_list!$D63,SSP5_VSI!$B:$B,2025))</f>
        <v>-3.3887555283958197E-2</v>
      </c>
      <c r="AD126" s="62">
        <f t="shared" si="35"/>
        <v>0</v>
      </c>
    </row>
    <row r="127" spans="2:30" x14ac:dyDescent="0.3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</sheetData>
  <mergeCells count="36">
    <mergeCell ref="B109:B126"/>
    <mergeCell ref="C109:C126"/>
    <mergeCell ref="Q109:Q126"/>
    <mergeCell ref="R109:R126"/>
    <mergeCell ref="R88:R105"/>
    <mergeCell ref="G107:O107"/>
    <mergeCell ref="V107:AD107"/>
    <mergeCell ref="B67:B84"/>
    <mergeCell ref="C67:C84"/>
    <mergeCell ref="R67:R84"/>
    <mergeCell ref="B46:B63"/>
    <mergeCell ref="C46:C63"/>
    <mergeCell ref="B88:B105"/>
    <mergeCell ref="C88:C105"/>
    <mergeCell ref="Q88:Q105"/>
    <mergeCell ref="Q67:Q84"/>
    <mergeCell ref="G65:O65"/>
    <mergeCell ref="V65:AD65"/>
    <mergeCell ref="Q25:Q42"/>
    <mergeCell ref="R25:R42"/>
    <mergeCell ref="G44:O44"/>
    <mergeCell ref="G86:O86"/>
    <mergeCell ref="V86:AD86"/>
    <mergeCell ref="Q46:Q63"/>
    <mergeCell ref="R46:R63"/>
    <mergeCell ref="G2:O2"/>
    <mergeCell ref="V2:AD2"/>
    <mergeCell ref="V44:AD44"/>
    <mergeCell ref="B4:B21"/>
    <mergeCell ref="C4:C21"/>
    <mergeCell ref="Q4:Q21"/>
    <mergeCell ref="R4:R21"/>
    <mergeCell ref="B25:B42"/>
    <mergeCell ref="C25:C42"/>
    <mergeCell ref="G23:O23"/>
    <mergeCell ref="V23:AD23"/>
  </mergeCells>
  <conditionalFormatting sqref="I1:I21">
    <cfRule type="colorScale" priority="19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1">
      <colorScale>
        <cfvo type="min"/>
        <cfvo type="max"/>
        <color rgb="FF63BE7B"/>
        <color rgb="FFFCFCFF"/>
      </colorScale>
    </cfRule>
  </conditionalFormatting>
  <conditionalFormatting sqref="I4:I21 O4:O21 L4:L21">
    <cfRule type="colorScale" priority="19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9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9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4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5">
      <colorScale>
        <cfvo type="min"/>
        <cfvo type="max"/>
        <color rgb="FF63BE7B"/>
        <color rgb="FFFCFCFF"/>
      </colorScale>
    </cfRule>
  </conditionalFormatting>
  <conditionalFormatting sqref="I25:I41 O25:O41 L25:L41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5:I41">
    <cfRule type="colorScale" priority="5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6">
      <colorScale>
        <cfvo type="min"/>
        <cfvo type="max"/>
        <color rgb="FF63BE7B"/>
        <color rgb="FFFCFCFF"/>
      </colorScale>
    </cfRule>
  </conditionalFormatting>
  <conditionalFormatting sqref="I42 I23">
    <cfRule type="colorScale" priority="18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5">
      <colorScale>
        <cfvo type="min"/>
        <cfvo type="max"/>
        <color rgb="FF63BE7B"/>
        <color rgb="FFFCFCFF"/>
      </colorScale>
    </cfRule>
  </conditionalFormatting>
  <conditionalFormatting sqref="I45">
    <cfRule type="colorScale" priority="113">
      <colorScale>
        <cfvo type="min"/>
        <cfvo type="max"/>
        <color rgb="FF63BE7B"/>
        <color rgb="FFFCFCFF"/>
      </colorScale>
    </cfRule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46:I62 O46:O62 L46:L62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46:I62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8">
      <colorScale>
        <cfvo type="min"/>
        <cfvo type="max"/>
        <color rgb="FF63BE7B"/>
        <color rgb="FFFCFCFF"/>
      </colorScale>
    </cfRule>
  </conditionalFormatting>
  <conditionalFormatting sqref="I63 O63 L63">
    <cfRule type="colorScale" priority="18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8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8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66">
    <cfRule type="colorScale" priority="91">
      <colorScale>
        <cfvo type="min"/>
        <cfvo type="max"/>
        <color rgb="FF63BE7B"/>
        <color rgb="FFFCFCFF"/>
      </colorScale>
    </cfRule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67:I83 O67:O83 L67:L83">
    <cfRule type="colorScale" priority="3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67:I83">
    <cfRule type="colorScale" priority="32">
      <colorScale>
        <cfvo type="min"/>
        <cfvo type="max"/>
        <color rgb="FF63BE7B"/>
        <color rgb="FFFCFCFF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87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5">
      <colorScale>
        <cfvo type="min"/>
        <cfvo type="max"/>
        <color rgb="FF63BE7B"/>
        <color rgb="FFFCFCFF"/>
      </colorScale>
    </cfRule>
  </conditionalFormatting>
  <conditionalFormatting sqref="I88:I104 O88:O104 L88:L104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88:I104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max"/>
        <color rgb="FF63BE7B"/>
        <color rgb="FFFCFCFF"/>
      </colorScale>
    </cfRule>
  </conditionalFormatting>
  <conditionalFormatting sqref="I105 O105 L105">
    <cfRule type="colorScale" priority="17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7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7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108">
    <cfRule type="colorScale" priority="79">
      <colorScale>
        <cfvo type="min"/>
        <cfvo type="max"/>
        <color rgb="FF63BE7B"/>
        <color rgb="FFFCFCFF"/>
      </colorScale>
    </cfRule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09:I125 O109:O125 L109:L125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109:I125">
    <cfRule type="colorScale" priority="8">
      <colorScale>
        <cfvo type="min"/>
        <cfvo type="max"/>
        <color rgb="FF63BE7B"/>
        <color rgb="FFFCFCFF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:L2 O1:O2 L4:L21 O4:O21">
    <cfRule type="colorScale" priority="190">
      <colorScale>
        <cfvo type="min"/>
        <cfvo type="max"/>
        <color rgb="FF63BE7B"/>
        <color rgb="FFFCFCFF"/>
      </colorScale>
    </cfRule>
  </conditionalFormatting>
  <conditionalFormatting sqref="L3">
    <cfRule type="colorScale" priority="13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3">
      <colorScale>
        <cfvo type="min"/>
        <cfvo type="max"/>
        <color rgb="FF63BE7B"/>
        <color rgb="FFFCFCFF"/>
      </colorScale>
    </cfRule>
  </conditionalFormatting>
  <conditionalFormatting sqref="L24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7">
      <colorScale>
        <cfvo type="min"/>
        <cfvo type="max"/>
        <color rgb="FF63BE7B"/>
        <color rgb="FFFCFCFF"/>
      </colorScale>
    </cfRule>
  </conditionalFormatting>
  <conditionalFormatting sqref="L25:L41 O25:O41">
    <cfRule type="colorScale" priority="55">
      <colorScale>
        <cfvo type="min"/>
        <cfvo type="max"/>
        <color rgb="FF63BE7B"/>
        <color rgb="FFFCFCFF"/>
      </colorScale>
    </cfRule>
  </conditionalFormatting>
  <conditionalFormatting sqref="L44 I44 O44 O65 L65 I65 X43 I86 AA43 L86 AD43 O86 I63 L63 O63 I84 L84 O84 O105:O107 L105:L107 I105:I107 I126:I127 L126:L127 O126:O127">
    <cfRule type="colorScale" priority="171">
      <colorScale>
        <cfvo type="min"/>
        <cfvo type="max"/>
        <color rgb="FF63BE7B"/>
        <color rgb="FFFCFCFF"/>
      </colorScale>
    </cfRule>
  </conditionalFormatting>
  <conditionalFormatting sqref="L45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1">
      <colorScale>
        <cfvo type="min"/>
        <cfvo type="max"/>
        <color rgb="FF63BE7B"/>
        <color rgb="FFFCFCFF"/>
      </colorScale>
    </cfRule>
  </conditionalFormatting>
  <conditionalFormatting sqref="L46:L62 O46:O62">
    <cfRule type="colorScale" priority="37">
      <colorScale>
        <cfvo type="min"/>
        <cfvo type="max"/>
        <color rgb="FF63BE7B"/>
        <color rgb="FFFCFCFF"/>
      </colorScale>
    </cfRule>
  </conditionalFormatting>
  <conditionalFormatting sqref="L66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3">
      <colorScale>
        <cfvo type="min"/>
        <cfvo type="max"/>
        <color rgb="FF63BE7B"/>
        <color rgb="FFFCFCFF"/>
      </colorScale>
    </cfRule>
  </conditionalFormatting>
  <conditionalFormatting sqref="L67:L83 O67:O83">
    <cfRule type="colorScale" priority="31">
      <colorScale>
        <cfvo type="min"/>
        <cfvo type="max"/>
        <color rgb="FF63BE7B"/>
        <color rgb="FFFCFCFF"/>
      </colorScale>
    </cfRule>
  </conditionalFormatting>
  <conditionalFormatting sqref="L8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7">
      <colorScale>
        <cfvo type="min"/>
        <cfvo type="max"/>
        <color rgb="FF63BE7B"/>
        <color rgb="FFFCFCFF"/>
      </colorScale>
    </cfRule>
  </conditionalFormatting>
  <conditionalFormatting sqref="L88:L104 O88:O104">
    <cfRule type="colorScale" priority="13">
      <colorScale>
        <cfvo type="min"/>
        <cfvo type="max"/>
        <color rgb="FF63BE7B"/>
        <color rgb="FFFCFCFF"/>
      </colorScale>
    </cfRule>
  </conditionalFormatting>
  <conditionalFormatting sqref="L108">
    <cfRule type="colorScale" priority="81">
      <colorScale>
        <cfvo type="min"/>
        <cfvo type="max"/>
        <color rgb="FF63BE7B"/>
        <color rgb="FFFCFCFF"/>
      </colorScale>
    </cfRule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09:L125 O109:O125">
    <cfRule type="colorScale" priority="7">
      <colorScale>
        <cfvo type="min"/>
        <cfvo type="max"/>
        <color rgb="FF63BE7B"/>
        <color rgb="FFFCFCFF"/>
      </colorScale>
    </cfRule>
  </conditionalFormatting>
  <conditionalFormatting sqref="O3">
    <cfRule type="colorScale" priority="1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1">
      <colorScale>
        <cfvo type="min"/>
        <cfvo type="max"/>
        <color rgb="FF63BE7B"/>
        <color rgb="FFFCFCFF"/>
      </colorScale>
    </cfRule>
  </conditionalFormatting>
  <conditionalFormatting sqref="O23 L23 O42 L42">
    <cfRule type="colorScale" priority="184">
      <colorScale>
        <cfvo type="min"/>
        <cfvo type="max"/>
        <color rgb="FF63BE7B"/>
        <color rgb="FFFCFCFF"/>
      </colorScale>
    </cfRule>
  </conditionalFormatting>
  <conditionalFormatting sqref="O24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9">
      <colorScale>
        <cfvo type="min"/>
        <cfvo type="max"/>
        <color rgb="FF63BE7B"/>
        <color rgb="FFFCFCFF"/>
      </colorScale>
    </cfRule>
  </conditionalFormatting>
  <conditionalFormatting sqref="O42 I42 L42">
    <cfRule type="colorScale" priority="18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8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8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45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9">
      <colorScale>
        <cfvo type="min"/>
        <cfvo type="max"/>
        <color rgb="FF63BE7B"/>
        <color rgb="FFFCFCFF"/>
      </colorScale>
    </cfRule>
  </conditionalFormatting>
  <conditionalFormatting sqref="O66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5">
      <colorScale>
        <cfvo type="min"/>
        <cfvo type="max"/>
        <color rgb="FF63BE7B"/>
        <color rgb="FFFCFCFF"/>
      </colorScale>
    </cfRule>
  </conditionalFormatting>
  <conditionalFormatting sqref="O84 I84 L84">
    <cfRule type="colorScale" priority="18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7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7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87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9">
      <colorScale>
        <cfvo type="min"/>
        <cfvo type="max"/>
        <color rgb="FF63BE7B"/>
        <color rgb="FFFCFCFF"/>
      </colorScale>
    </cfRule>
  </conditionalFormatting>
  <conditionalFormatting sqref="O108">
    <cfRule type="colorScale" priority="83">
      <colorScale>
        <cfvo type="min"/>
        <cfvo type="max"/>
        <color rgb="FF63BE7B"/>
        <color rgb="FFFCFCFF"/>
      </colorScale>
    </cfRule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126 I126 L126">
    <cfRule type="colorScale" priority="17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7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7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T4:T21">
    <cfRule type="colorScale" priority="17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6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6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T25:T42">
    <cfRule type="colorScale" priority="14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3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T46:T63">
    <cfRule type="colorScale" priority="13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3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T67:T84">
    <cfRule type="colorScale" priority="15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5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3">
    <cfRule type="colorScale" priority="129">
      <colorScale>
        <cfvo type="min"/>
        <cfvo type="max"/>
        <color rgb="FF63BE7B"/>
        <color rgb="FFFCFCFF"/>
      </colorScale>
    </cfRule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X4:X20 AD4:AD20 AA4:AA20">
    <cfRule type="colorScale" priority="6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4:X20"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2">
      <colorScale>
        <cfvo type="min"/>
        <cfvo type="max"/>
        <color rgb="FF63BE7B"/>
        <color rgb="FFFCFCFF"/>
      </colorScale>
    </cfRule>
  </conditionalFormatting>
  <conditionalFormatting sqref="X24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1">
      <colorScale>
        <cfvo type="min"/>
        <cfvo type="max"/>
        <color rgb="FF63BE7B"/>
        <color rgb="FFFCFCFF"/>
      </colorScale>
    </cfRule>
  </conditionalFormatting>
  <conditionalFormatting sqref="X25:X41 AD25:AD41 AA25:AA41">
    <cfRule type="colorScale" priority="5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25:X41">
    <cfRule type="colorScale" priority="5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0">
      <colorScale>
        <cfvo type="min"/>
        <cfvo type="max"/>
        <color rgb="FF63BE7B"/>
        <color rgb="FFFCFCFF"/>
      </colorScale>
    </cfRule>
  </conditionalFormatting>
  <conditionalFormatting sqref="X45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7">
      <colorScale>
        <cfvo type="min"/>
        <cfvo type="max"/>
        <color rgb="FF63BE7B"/>
        <color rgb="FFFCFCFF"/>
      </colorScale>
    </cfRule>
  </conditionalFormatting>
  <conditionalFormatting sqref="X46:X62 AD46:AD62 AA46:AA62">
    <cfRule type="colorScale" priority="4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46:X62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4">
      <colorScale>
        <cfvo type="min"/>
        <cfvo type="max"/>
        <color rgb="FF63BE7B"/>
        <color rgb="FFFCFCFF"/>
      </colorScale>
    </cfRule>
  </conditionalFormatting>
  <conditionalFormatting sqref="X66">
    <cfRule type="colorScale" priority="97">
      <colorScale>
        <cfvo type="min"/>
        <cfvo type="max"/>
        <color rgb="FF63BE7B"/>
        <color rgb="FFFCFCFF"/>
      </colorScale>
    </cfRule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X67:X83 AD67:AD83 AA67:AA83">
    <cfRule type="colorScale" priority="2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67:X83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max"/>
        <color rgb="FF63BE7B"/>
        <color rgb="FFFCFCFF"/>
      </colorScale>
    </cfRule>
  </conditionalFormatting>
  <conditionalFormatting sqref="X84 AD84 AA84">
    <cfRule type="colorScale" priority="15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5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4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87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3">
      <colorScale>
        <cfvo type="min"/>
        <cfvo type="max"/>
        <color rgb="FF63BE7B"/>
        <color rgb="FFFCFCFF"/>
      </colorScale>
    </cfRule>
  </conditionalFormatting>
  <conditionalFormatting sqref="X88:X104 AD88:AD104 AA88:AA104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88:X104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">
      <colorScale>
        <cfvo type="min"/>
        <cfvo type="max"/>
        <color rgb="FF63BE7B"/>
        <color rgb="FFFCFCFF"/>
      </colorScale>
    </cfRule>
  </conditionalFormatting>
  <conditionalFormatting sqref="X105 AD105 AA105">
    <cfRule type="colorScale" priority="14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4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4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108">
    <cfRule type="colorScale" priority="67">
      <colorScale>
        <cfvo type="min"/>
        <cfvo type="max"/>
        <color rgb="FF63BE7B"/>
        <color rgb="FFFCFCFF"/>
      </colorScale>
    </cfRule>
    <cfRule type="colorScale" priority="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X109:X125 AD109:AD125 AA109:AA125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109:X125">
    <cfRule type="colorScale" priority="2">
      <colorScale>
        <cfvo type="min"/>
        <cfvo type="max"/>
        <color rgb="FF63BE7B"/>
        <color rgb="FFFCFCFF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A4:AA20 AD4:AD20">
    <cfRule type="colorScale" priority="61">
      <colorScale>
        <cfvo type="min"/>
        <cfvo type="max"/>
        <color rgb="FF63BE7B"/>
        <color rgb="FFFCFCFF"/>
      </colorScale>
    </cfRule>
  </conditionalFormatting>
  <conditionalFormatting sqref="AA24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3">
      <colorScale>
        <cfvo type="min"/>
        <cfvo type="max"/>
        <color rgb="FF63BE7B"/>
        <color rgb="FFFCFCFF"/>
      </colorScale>
    </cfRule>
  </conditionalFormatting>
  <conditionalFormatting sqref="AA25:AA41 AD25:AD41">
    <cfRule type="colorScale" priority="49">
      <colorScale>
        <cfvo type="min"/>
        <cfvo type="max"/>
        <color rgb="FF63BE7B"/>
        <color rgb="FFFCFCFF"/>
      </colorScale>
    </cfRule>
  </conditionalFormatting>
  <conditionalFormatting sqref="AA45">
    <cfRule type="colorScale" priority="105">
      <colorScale>
        <cfvo type="min"/>
        <cfvo type="max"/>
        <color rgb="FF63BE7B"/>
        <color rgb="FFFCFCFF"/>
      </colorScale>
    </cfRule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A46:AA62 AD46:AD62">
    <cfRule type="colorScale" priority="43">
      <colorScale>
        <cfvo type="min"/>
        <cfvo type="max"/>
        <color rgb="FF63BE7B"/>
        <color rgb="FFFCFCFF"/>
      </colorScale>
    </cfRule>
  </conditionalFormatting>
  <conditionalFormatting sqref="AA65 X65 AD65 AD84:AD86 AA84:AA86 X84:X86 X105:X107 AA105:AA107 AD105:AD107 AD126:AD127 AA126:AA127 X126:X127">
    <cfRule type="colorScale" priority="142">
      <colorScale>
        <cfvo type="min"/>
        <cfvo type="max"/>
        <color rgb="FF63BE7B"/>
        <color rgb="FFFCFCFF"/>
      </colorScale>
    </cfRule>
  </conditionalFormatting>
  <conditionalFormatting sqref="AA66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9">
      <colorScale>
        <cfvo type="min"/>
        <cfvo type="max"/>
        <color rgb="FF63BE7B"/>
        <color rgb="FFFCFCFF"/>
      </colorScale>
    </cfRule>
  </conditionalFormatting>
  <conditionalFormatting sqref="AA67:AA83 AD67:AD83">
    <cfRule type="colorScale" priority="25">
      <colorScale>
        <cfvo type="min"/>
        <cfvo type="max"/>
        <color rgb="FF63BE7B"/>
        <color rgb="FFFCFCFF"/>
      </colorScale>
    </cfRule>
  </conditionalFormatting>
  <conditionalFormatting sqref="AA87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5">
      <colorScale>
        <cfvo type="min"/>
        <cfvo type="max"/>
        <color rgb="FF63BE7B"/>
        <color rgb="FFFCFCFF"/>
      </colorScale>
    </cfRule>
  </conditionalFormatting>
  <conditionalFormatting sqref="AA88:AA104 AD88:AD104">
    <cfRule type="colorScale" priority="19">
      <colorScale>
        <cfvo type="min"/>
        <cfvo type="max"/>
        <color rgb="FF63BE7B"/>
        <color rgb="FFFCFCFF"/>
      </colorScale>
    </cfRule>
  </conditionalFormatting>
  <conditionalFormatting sqref="AA108">
    <cfRule type="colorScale" priority="69">
      <colorScale>
        <cfvo type="min"/>
        <cfvo type="max"/>
        <color rgb="FF63BE7B"/>
        <color rgb="FFFCFCFF"/>
      </colorScale>
    </cfRule>
    <cfRule type="colorScale" priority="7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A109:AA125 AD109:AD125">
    <cfRule type="colorScale" priority="1">
      <colorScale>
        <cfvo type="min"/>
        <cfvo type="max"/>
        <color rgb="FF63BE7B"/>
        <color rgb="FFFCFCFF"/>
      </colorScale>
    </cfRule>
  </conditionalFormatting>
  <conditionalFormatting sqref="AD3">
    <cfRule type="colorScale" priority="1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7">
      <colorScale>
        <cfvo type="min"/>
        <cfvo type="max"/>
        <color rgb="FF63BE7B"/>
        <color rgb="FFFCFCFF"/>
      </colorScale>
    </cfRule>
  </conditionalFormatting>
  <conditionalFormatting sqref="AD21 X21 AA21">
    <cfRule type="colorScale" priority="15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6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24">
    <cfRule type="colorScale" priority="125">
      <colorScale>
        <cfvo type="min"/>
        <cfvo type="max"/>
        <color rgb="FF63BE7B"/>
        <color rgb="FFFCFCFF"/>
      </colorScale>
    </cfRule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D42 X42 AA42">
    <cfRule type="colorScale" priority="15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5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45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3">
      <colorScale>
        <cfvo type="min"/>
        <cfvo type="max"/>
        <color rgb="FF63BE7B"/>
        <color rgb="FFFCFCFF"/>
      </colorScale>
    </cfRule>
  </conditionalFormatting>
  <conditionalFormatting sqref="AD63 X63 AA63">
    <cfRule type="colorScale" priority="16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6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6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66">
    <cfRule type="colorScale" priority="101">
      <colorScale>
        <cfvo type="min"/>
        <cfvo type="max"/>
        <color rgb="FF63BE7B"/>
        <color rgb="FFFCFCFF"/>
      </colorScale>
    </cfRule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D87">
    <cfRule type="colorScale" priority="77">
      <colorScale>
        <cfvo type="min"/>
        <cfvo type="max"/>
        <color rgb="FF63BE7B"/>
        <color rgb="FFFCFCFF"/>
      </colorScale>
    </cfRule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D108">
    <cfRule type="colorScale" priority="71">
      <colorScale>
        <cfvo type="min"/>
        <cfvo type="max"/>
        <color rgb="FF63BE7B"/>
        <color rgb="FFFCFCFF"/>
      </colorScale>
    </cfRule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D126 X126 AA126">
    <cfRule type="colorScale" priority="14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4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M1 X2 X44 AA2:AA3 AP1 AA44 AD2 AS1 AD44 X21:X23 AD21:AD23 AD42 AA42 X42 X63 AA63 AD63 AA21:AA23">
    <cfRule type="colorScale" priority="155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34AE-B95D-4B4C-B85A-710BFAEADC5D}">
  <dimension ref="A1:F32"/>
  <sheetViews>
    <sheetView showGridLines="0" zoomScaleNormal="100" workbookViewId="0">
      <selection activeCell="P9" sqref="P9"/>
    </sheetView>
  </sheetViews>
  <sheetFormatPr defaultRowHeight="14.5" x14ac:dyDescent="0.35"/>
  <cols>
    <col min="3" max="6" width="10.81640625" customWidth="1"/>
  </cols>
  <sheetData>
    <row r="1" spans="1:6" x14ac:dyDescent="0.35">
      <c r="C1" s="33">
        <v>2025</v>
      </c>
      <c r="D1" s="33">
        <v>2030</v>
      </c>
      <c r="E1" s="33">
        <v>2035</v>
      </c>
      <c r="F1" s="33">
        <v>2040</v>
      </c>
    </row>
    <row r="2" spans="1:6" ht="29" x14ac:dyDescent="0.35">
      <c r="A2" s="33" t="s">
        <v>135</v>
      </c>
      <c r="B2" s="33" t="s">
        <v>106</v>
      </c>
      <c r="C2" s="34" t="s">
        <v>138</v>
      </c>
      <c r="D2" s="34" t="s">
        <v>139</v>
      </c>
      <c r="E2" s="34" t="s">
        <v>140</v>
      </c>
      <c r="F2" s="33" t="s">
        <v>141</v>
      </c>
    </row>
    <row r="3" spans="1:6" s="3" customFormat="1" ht="23" customHeight="1" x14ac:dyDescent="0.35">
      <c r="A3" s="114" t="s">
        <v>0</v>
      </c>
      <c r="B3" s="29" t="s">
        <v>102</v>
      </c>
      <c r="C3" s="35">
        <v>-6.3760830816646877E-6</v>
      </c>
      <c r="D3" s="35">
        <v>-4.5409559714208242E-3</v>
      </c>
      <c r="E3" s="35">
        <v>-1.7465764199002469E-2</v>
      </c>
      <c r="F3" s="36">
        <v>-2.3111426369494203E-2</v>
      </c>
    </row>
    <row r="4" spans="1:6" s="3" customFormat="1" ht="23" customHeight="1" x14ac:dyDescent="0.35">
      <c r="A4" s="114"/>
      <c r="B4" s="30" t="s">
        <v>92</v>
      </c>
      <c r="C4" s="16">
        <v>-5.0184400736485808E-6</v>
      </c>
      <c r="D4" s="16">
        <v>-3.6479380804954289E-4</v>
      </c>
      <c r="E4" s="16">
        <v>-1.9166202328508414E-3</v>
      </c>
      <c r="F4" s="37">
        <v>-2.5621139531638369E-3</v>
      </c>
    </row>
    <row r="5" spans="1:6" s="3" customFormat="1" ht="23" customHeight="1" x14ac:dyDescent="0.35">
      <c r="A5" s="114"/>
      <c r="B5" s="30" t="s">
        <v>95</v>
      </c>
      <c r="C5" s="16">
        <v>1.2595294696763371E-4</v>
      </c>
      <c r="D5" s="16">
        <v>-1.2323788730475991E-2</v>
      </c>
      <c r="E5" s="16">
        <v>-4.6492249613246002E-2</v>
      </c>
      <c r="F5" s="37">
        <v>-6.1784391740372258E-2</v>
      </c>
    </row>
    <row r="6" spans="1:6" s="3" customFormat="1" ht="23" customHeight="1" x14ac:dyDescent="0.35">
      <c r="A6" s="114"/>
      <c r="B6" s="30" t="s">
        <v>90</v>
      </c>
      <c r="C6" s="16">
        <v>3.1563701620982066E-5</v>
      </c>
      <c r="D6" s="16">
        <v>-1.119809758408733E-3</v>
      </c>
      <c r="E6" s="16">
        <v>-4.236795689488506E-3</v>
      </c>
      <c r="F6" s="37">
        <v>-2.7439296127351923E-2</v>
      </c>
    </row>
    <row r="7" spans="1:6" s="3" customFormat="1" ht="23" customHeight="1" x14ac:dyDescent="0.35">
      <c r="A7" s="114"/>
      <c r="B7" s="30" t="s">
        <v>103</v>
      </c>
      <c r="C7" s="16">
        <v>-4.6571672861540111E-6</v>
      </c>
      <c r="D7" s="16">
        <v>-1.1953835303124567E-3</v>
      </c>
      <c r="E7" s="16">
        <v>-4.682312640833991E-3</v>
      </c>
      <c r="F7" s="37">
        <v>-7.1494340598544604E-3</v>
      </c>
    </row>
    <row r="8" spans="1:6" s="3" customFormat="1" ht="23" customHeight="1" x14ac:dyDescent="0.35">
      <c r="A8" s="114"/>
      <c r="B8" s="30" t="s">
        <v>91</v>
      </c>
      <c r="C8" s="16">
        <v>7.7939500943390177E-5</v>
      </c>
      <c r="D8" s="16">
        <v>-2.9701055161147863E-2</v>
      </c>
      <c r="E8" s="16">
        <v>-0.10761114030402226</v>
      </c>
      <c r="F8" s="37">
        <v>-0.14398897125193205</v>
      </c>
    </row>
    <row r="9" spans="1:6" s="3" customFormat="1" ht="23" customHeight="1" x14ac:dyDescent="0.35">
      <c r="A9" s="114"/>
      <c r="B9" s="30" t="s">
        <v>93</v>
      </c>
      <c r="C9" s="16">
        <v>-3.7087420546896094E-5</v>
      </c>
      <c r="D9" s="16">
        <v>-2.4967943021985569E-2</v>
      </c>
      <c r="E9" s="16">
        <v>-8.8162260797068459E-2</v>
      </c>
      <c r="F9" s="37">
        <v>-0.12032787659875654</v>
      </c>
    </row>
    <row r="10" spans="1:6" s="3" customFormat="1" ht="23" customHeight="1" x14ac:dyDescent="0.35">
      <c r="A10" s="114"/>
      <c r="B10" s="30" t="s">
        <v>89</v>
      </c>
      <c r="C10" s="16">
        <v>5.432437135104581E-5</v>
      </c>
      <c r="D10" s="16">
        <v>-7.902640772873136E-3</v>
      </c>
      <c r="E10" s="16">
        <v>-2.8347346337752426E-2</v>
      </c>
      <c r="F10" s="37">
        <v>-3.8710922702026203E-2</v>
      </c>
    </row>
    <row r="11" spans="1:6" s="3" customFormat="1" ht="23" customHeight="1" x14ac:dyDescent="0.35">
      <c r="A11" s="114"/>
      <c r="B11" s="30" t="s">
        <v>97</v>
      </c>
      <c r="C11" s="16">
        <v>2.0510433952471434E-4</v>
      </c>
      <c r="D11" s="16">
        <v>-2.6649209240415118E-2</v>
      </c>
      <c r="E11" s="16">
        <v>-9.4932105083496768E-2</v>
      </c>
      <c r="F11" s="37">
        <v>-0.1273572743149689</v>
      </c>
    </row>
    <row r="12" spans="1:6" s="3" customFormat="1" ht="23" customHeight="1" x14ac:dyDescent="0.35">
      <c r="A12" s="115"/>
      <c r="B12" s="31" t="s">
        <v>87</v>
      </c>
      <c r="C12" s="17">
        <v>-3.7031328558752896E-5</v>
      </c>
      <c r="D12" s="17">
        <v>-1.5705336752574364E-3</v>
      </c>
      <c r="E12" s="17">
        <v>-6.0120847996725704E-3</v>
      </c>
      <c r="F12" s="32">
        <v>-8.0510339630978211E-3</v>
      </c>
    </row>
    <row r="13" spans="1:6" s="3" customFormat="1" ht="23" customHeight="1" x14ac:dyDescent="0.35">
      <c r="A13" s="114" t="s">
        <v>1</v>
      </c>
      <c r="B13" s="29" t="s">
        <v>102</v>
      </c>
      <c r="C13" s="35">
        <v>-2.2522550010140241E-5</v>
      </c>
      <c r="D13" s="35">
        <v>-4.5635638022264412E-3</v>
      </c>
      <c r="E13" s="35">
        <v>-1.7572462251396043E-2</v>
      </c>
      <c r="F13" s="36">
        <v>-2.3174052436291833E-2</v>
      </c>
    </row>
    <row r="14" spans="1:6" s="3" customFormat="1" ht="23" customHeight="1" x14ac:dyDescent="0.35">
      <c r="A14" s="114"/>
      <c r="B14" s="30" t="s">
        <v>92</v>
      </c>
      <c r="C14" s="16">
        <v>-1.3973050202026273E-4</v>
      </c>
      <c r="D14" s="16">
        <v>-2.9808521137087118E-4</v>
      </c>
      <c r="E14" s="16">
        <v>-1.9956232622964261E-3</v>
      </c>
      <c r="F14" s="37">
        <v>-2.5332365393095557E-3</v>
      </c>
    </row>
    <row r="15" spans="1:6" s="3" customFormat="1" ht="23" customHeight="1" x14ac:dyDescent="0.35">
      <c r="A15" s="114"/>
      <c r="B15" s="30" t="s">
        <v>95</v>
      </c>
      <c r="C15" s="16">
        <v>1.0748205039816963E-4</v>
      </c>
      <c r="D15" s="16">
        <v>-1.2844329267317997E-2</v>
      </c>
      <c r="E15" s="16">
        <v>-4.8054607847008074E-2</v>
      </c>
      <c r="F15" s="37">
        <v>-6.2955734274677891E-2</v>
      </c>
    </row>
    <row r="16" spans="1:6" s="3" customFormat="1" ht="23" customHeight="1" x14ac:dyDescent="0.35">
      <c r="A16" s="114"/>
      <c r="B16" s="30" t="s">
        <v>90</v>
      </c>
      <c r="C16" s="16">
        <v>2.0081571765080821E-5</v>
      </c>
      <c r="D16" s="16">
        <v>-1.134013734585196E-3</v>
      </c>
      <c r="E16" s="16">
        <v>-4.2864218900359611E-3</v>
      </c>
      <c r="F16" s="37">
        <v>-2.757473712902701E-2</v>
      </c>
    </row>
    <row r="17" spans="1:6" s="3" customFormat="1" ht="23" customHeight="1" x14ac:dyDescent="0.35">
      <c r="A17" s="114"/>
      <c r="B17" s="30" t="s">
        <v>103</v>
      </c>
      <c r="C17" s="16">
        <v>-1.7971927863753541E-5</v>
      </c>
      <c r="D17" s="16">
        <v>-1.1988762600784661E-3</v>
      </c>
      <c r="E17" s="16">
        <v>-4.7131314306811346E-3</v>
      </c>
      <c r="F17" s="37">
        <v>-7.1753987874139018E-3</v>
      </c>
    </row>
    <row r="18" spans="1:6" s="3" customFormat="1" ht="23" customHeight="1" x14ac:dyDescent="0.35">
      <c r="A18" s="114"/>
      <c r="B18" s="30" t="s">
        <v>91</v>
      </c>
      <c r="C18" s="16">
        <v>-1.9034661802308838E-5</v>
      </c>
      <c r="D18" s="16">
        <v>-3.1908737285766708E-2</v>
      </c>
      <c r="E18" s="16">
        <v>-0.11737822831592243</v>
      </c>
      <c r="F18" s="37">
        <v>-0.14981612529880484</v>
      </c>
    </row>
    <row r="19" spans="1:6" s="3" customFormat="1" ht="23" customHeight="1" x14ac:dyDescent="0.35">
      <c r="A19" s="114"/>
      <c r="B19" s="30" t="s">
        <v>93</v>
      </c>
      <c r="C19" s="16">
        <v>-2.4081234891303594E-4</v>
      </c>
      <c r="D19" s="16">
        <v>-2.5500311246232362E-2</v>
      </c>
      <c r="E19" s="16">
        <v>-9.0056334639821295E-2</v>
      </c>
      <c r="F19" s="37">
        <v>-0.12226838552095998</v>
      </c>
    </row>
    <row r="20" spans="1:6" s="3" customFormat="1" ht="23" customHeight="1" x14ac:dyDescent="0.35">
      <c r="A20" s="114"/>
      <c r="B20" s="30" t="s">
        <v>89</v>
      </c>
      <c r="C20" s="16">
        <v>-1.0961320475492997E-4</v>
      </c>
      <c r="D20" s="16">
        <v>-7.9794837494997235E-3</v>
      </c>
      <c r="E20" s="16">
        <v>-2.8846735692297346E-2</v>
      </c>
      <c r="F20" s="37">
        <v>-3.9129937091113794E-2</v>
      </c>
    </row>
    <row r="21" spans="1:6" s="3" customFormat="1" ht="23" customHeight="1" x14ac:dyDescent="0.35">
      <c r="A21" s="114"/>
      <c r="B21" s="30" t="s">
        <v>97</v>
      </c>
      <c r="C21" s="16">
        <v>3.2062932131013156E-5</v>
      </c>
      <c r="D21" s="16">
        <v>-2.7066636458247414E-2</v>
      </c>
      <c r="E21" s="16">
        <v>-9.6822727109720841E-2</v>
      </c>
      <c r="F21" s="37">
        <v>-0.12839986518234808</v>
      </c>
    </row>
    <row r="22" spans="1:6" s="3" customFormat="1" ht="23" customHeight="1" x14ac:dyDescent="0.35">
      <c r="A22" s="115"/>
      <c r="B22" s="31" t="s">
        <v>87</v>
      </c>
      <c r="C22" s="17">
        <v>2.3476370978160404E-6</v>
      </c>
      <c r="D22" s="17">
        <v>-2.3873528196404585E-3</v>
      </c>
      <c r="E22" s="17">
        <v>-9.9473750921683663E-3</v>
      </c>
      <c r="F22" s="32">
        <v>-1.0349704518134889E-2</v>
      </c>
    </row>
    <row r="23" spans="1:6" s="3" customFormat="1" ht="23" customHeight="1" x14ac:dyDescent="0.35">
      <c r="A23" s="114" t="s">
        <v>2</v>
      </c>
      <c r="B23" s="29" t="s">
        <v>102</v>
      </c>
      <c r="C23" s="35">
        <v>2.3028524012269595E-6</v>
      </c>
      <c r="D23" s="35">
        <v>-4.4258633695950043E-3</v>
      </c>
      <c r="E23" s="35">
        <v>-1.7269776823746537E-2</v>
      </c>
      <c r="F23" s="36">
        <v>-2.2382303675038514E-2</v>
      </c>
    </row>
    <row r="24" spans="1:6" s="3" customFormat="1" ht="23" customHeight="1" x14ac:dyDescent="0.35">
      <c r="A24" s="114"/>
      <c r="B24" s="30" t="s">
        <v>92</v>
      </c>
      <c r="C24" s="16">
        <v>6.7820665998743064E-5</v>
      </c>
      <c r="D24" s="16">
        <v>-1.5499761838995153E-4</v>
      </c>
      <c r="E24" s="16">
        <v>-1.6638416032268451E-3</v>
      </c>
      <c r="F24" s="37">
        <v>-1.8322245949015941E-3</v>
      </c>
    </row>
    <row r="25" spans="1:6" s="3" customFormat="1" ht="23" customHeight="1" x14ac:dyDescent="0.35">
      <c r="A25" s="114"/>
      <c r="B25" s="30" t="s">
        <v>95</v>
      </c>
      <c r="C25" s="16">
        <v>2.5358907011441593E-4</v>
      </c>
      <c r="D25" s="16">
        <v>-7.09593655331172E-3</v>
      </c>
      <c r="E25" s="16">
        <v>-3.3680213122878888E-2</v>
      </c>
      <c r="F25" s="37">
        <v>-3.1883870472217427E-2</v>
      </c>
    </row>
    <row r="26" spans="1:6" s="3" customFormat="1" ht="23" customHeight="1" x14ac:dyDescent="0.35">
      <c r="A26" s="114"/>
      <c r="B26" s="30" t="s">
        <v>90</v>
      </c>
      <c r="C26" s="16">
        <v>6.2523154652657987E-5</v>
      </c>
      <c r="D26" s="16">
        <v>-9.1935657628250574E-4</v>
      </c>
      <c r="E26" s="16">
        <v>-3.9115930717119598E-3</v>
      </c>
      <c r="F26" s="37">
        <v>-2.345589799913007E-2</v>
      </c>
    </row>
    <row r="27" spans="1:6" s="3" customFormat="1" ht="23" customHeight="1" x14ac:dyDescent="0.35">
      <c r="A27" s="114"/>
      <c r="B27" s="30" t="s">
        <v>103</v>
      </c>
      <c r="C27" s="16">
        <v>4.7717493668776508E-6</v>
      </c>
      <c r="D27" s="16">
        <v>-1.1471551658663543E-3</v>
      </c>
      <c r="E27" s="16">
        <v>-4.6103929212246725E-3</v>
      </c>
      <c r="F27" s="37">
        <v>-6.8838174574515016E-3</v>
      </c>
    </row>
    <row r="28" spans="1:6" s="3" customFormat="1" ht="23" customHeight="1" x14ac:dyDescent="0.35">
      <c r="A28" s="114"/>
      <c r="B28" s="30" t="s">
        <v>91</v>
      </c>
      <c r="C28" s="16">
        <v>1.1191067375441809E-4</v>
      </c>
      <c r="D28" s="16">
        <v>-2.940223689647066E-2</v>
      </c>
      <c r="E28" s="16">
        <v>-0.11179133401428686</v>
      </c>
      <c r="F28" s="37">
        <v>-0.13969777138668546</v>
      </c>
    </row>
    <row r="29" spans="1:6" s="3" customFormat="1" ht="23" customHeight="1" x14ac:dyDescent="0.35">
      <c r="A29" s="114"/>
      <c r="B29" s="30" t="s">
        <v>93</v>
      </c>
      <c r="C29" s="16">
        <v>5.6347115870963231E-6</v>
      </c>
      <c r="D29" s="16">
        <v>-2.5123321675790865E-2</v>
      </c>
      <c r="E29" s="16">
        <v>-8.952370566850637E-2</v>
      </c>
      <c r="F29" s="37">
        <v>-0.12051072534772519</v>
      </c>
    </row>
    <row r="30" spans="1:6" s="3" customFormat="1" ht="23" customHeight="1" x14ac:dyDescent="0.35">
      <c r="A30" s="114"/>
      <c r="B30" s="30" t="s">
        <v>89</v>
      </c>
      <c r="C30" s="16">
        <v>9.212891778673498E-5</v>
      </c>
      <c r="D30" s="16">
        <v>-7.6065236288765581E-3</v>
      </c>
      <c r="E30" s="16">
        <v>-2.8097132111425484E-2</v>
      </c>
      <c r="F30" s="37">
        <v>-3.7100357806472396E-2</v>
      </c>
    </row>
    <row r="31" spans="1:6" s="3" customFormat="1" ht="23" customHeight="1" x14ac:dyDescent="0.35">
      <c r="A31" s="114"/>
      <c r="B31" s="30" t="s">
        <v>97</v>
      </c>
      <c r="C31" s="16">
        <v>2.2343960257415881E-4</v>
      </c>
      <c r="D31" s="16">
        <v>-2.6534182967965978E-2</v>
      </c>
      <c r="E31" s="16">
        <v>-9.5706145542904755E-2</v>
      </c>
      <c r="F31" s="37">
        <v>-0.12616519210601115</v>
      </c>
    </row>
    <row r="32" spans="1:6" s="3" customFormat="1" ht="23" customHeight="1" x14ac:dyDescent="0.35">
      <c r="A32" s="115"/>
      <c r="B32" s="31" t="s">
        <v>87</v>
      </c>
      <c r="C32" s="17">
        <v>-2.3268829598974306E-5</v>
      </c>
      <c r="D32" s="17">
        <v>-1.9289069801665295E-3</v>
      </c>
      <c r="E32" s="17">
        <v>-8.3564098414654255E-3</v>
      </c>
      <c r="F32" s="32">
        <v>-9.5495661550576288E-3</v>
      </c>
    </row>
  </sheetData>
  <mergeCells count="3">
    <mergeCell ref="A13:A22"/>
    <mergeCell ref="A23:A32"/>
    <mergeCell ref="A3:A12"/>
  </mergeCells>
  <conditionalFormatting sqref="C3:F12">
    <cfRule type="colorScale" priority="238">
      <colorScale>
        <cfvo type="min"/>
        <cfvo type="max"/>
        <color rgb="FF63BE7B"/>
        <color rgb="FFFCFCFF"/>
      </colorScale>
    </cfRule>
  </conditionalFormatting>
  <conditionalFormatting sqref="C13:F22">
    <cfRule type="colorScale" priority="239">
      <colorScale>
        <cfvo type="min"/>
        <cfvo type="max"/>
        <color rgb="FF63BE7B"/>
        <color rgb="FFFCFCFF"/>
      </colorScale>
    </cfRule>
  </conditionalFormatting>
  <conditionalFormatting sqref="C23:F32">
    <cfRule type="colorScale" priority="240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BB186-D341-4874-928F-E6ED7D4D0B85}">
  <sheetPr>
    <tabColor theme="3" tint="0.89999084444715716"/>
  </sheetPr>
  <dimension ref="A1:N1369"/>
  <sheetViews>
    <sheetView zoomScale="85" zoomScaleNormal="85" workbookViewId="0">
      <selection activeCell="D7" sqref="D7"/>
    </sheetView>
  </sheetViews>
  <sheetFormatPr defaultRowHeight="14.5" x14ac:dyDescent="0.35"/>
  <cols>
    <col min="1" max="1" width="39.81640625" bestFit="1" customWidth="1"/>
    <col min="3" max="3" width="61.54296875" bestFit="1" customWidth="1"/>
    <col min="4" max="4" width="57.54296875" bestFit="1" customWidth="1"/>
    <col min="5" max="5" width="11.81640625" bestFit="1" customWidth="1"/>
    <col min="6" max="6" width="8.7265625" customWidth="1"/>
  </cols>
  <sheetData>
    <row r="1" spans="1:9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x14ac:dyDescent="0.35">
      <c r="A2" t="s">
        <v>4</v>
      </c>
      <c r="B2">
        <v>2025</v>
      </c>
      <c r="C2" t="s">
        <v>69</v>
      </c>
      <c r="D2" t="s">
        <v>38</v>
      </c>
      <c r="E2" s="1">
        <v>1.29988793145608E-5</v>
      </c>
      <c r="F2" s="1">
        <v>1.29988793145608E-5</v>
      </c>
      <c r="G2">
        <v>0</v>
      </c>
      <c r="H2">
        <v>0</v>
      </c>
      <c r="I2" t="s">
        <v>71</v>
      </c>
    </row>
    <row r="3" spans="1:9" x14ac:dyDescent="0.35">
      <c r="A3" t="s">
        <v>4</v>
      </c>
      <c r="B3">
        <v>2025</v>
      </c>
      <c r="C3" t="s">
        <v>69</v>
      </c>
      <c r="D3" t="s">
        <v>40</v>
      </c>
      <c r="E3" s="1">
        <v>3.5005369593530498E-5</v>
      </c>
      <c r="F3" s="1">
        <v>3.5005369593530498E-5</v>
      </c>
      <c r="G3">
        <v>0</v>
      </c>
      <c r="H3">
        <v>0</v>
      </c>
      <c r="I3" t="s">
        <v>71</v>
      </c>
    </row>
    <row r="4" spans="1:9" x14ac:dyDescent="0.35">
      <c r="A4" t="s">
        <v>4</v>
      </c>
      <c r="B4">
        <v>2025</v>
      </c>
      <c r="C4" t="s">
        <v>69</v>
      </c>
      <c r="D4" t="s">
        <v>41</v>
      </c>
      <c r="E4">
        <v>2.1063068739628099E-4</v>
      </c>
      <c r="F4">
        <v>2.1063068739628099E-4</v>
      </c>
      <c r="G4">
        <v>0</v>
      </c>
      <c r="H4">
        <v>0</v>
      </c>
      <c r="I4" t="s">
        <v>71</v>
      </c>
    </row>
    <row r="5" spans="1:9" x14ac:dyDescent="0.35">
      <c r="A5" t="s">
        <v>4</v>
      </c>
      <c r="B5">
        <v>2025</v>
      </c>
      <c r="C5" t="s">
        <v>69</v>
      </c>
      <c r="D5" t="s">
        <v>42</v>
      </c>
      <c r="E5">
        <v>1.02547563934776E-2</v>
      </c>
      <c r="F5">
        <v>1.02547563934776E-2</v>
      </c>
      <c r="G5">
        <v>0</v>
      </c>
      <c r="H5">
        <v>0</v>
      </c>
      <c r="I5" t="s">
        <v>71</v>
      </c>
    </row>
    <row r="6" spans="1:9" x14ac:dyDescent="0.35">
      <c r="A6" t="s">
        <v>4</v>
      </c>
      <c r="B6">
        <v>2025</v>
      </c>
      <c r="C6" t="s">
        <v>69</v>
      </c>
      <c r="D6" t="s">
        <v>43</v>
      </c>
      <c r="E6" s="1">
        <v>7.3601774220988795E-5</v>
      </c>
      <c r="F6" s="1">
        <v>7.3601774220988795E-5</v>
      </c>
      <c r="G6">
        <v>0</v>
      </c>
      <c r="H6">
        <v>0</v>
      </c>
      <c r="I6" t="s">
        <v>71</v>
      </c>
    </row>
    <row r="7" spans="1:9" x14ac:dyDescent="0.35">
      <c r="A7" t="s">
        <v>4</v>
      </c>
      <c r="B7">
        <v>2025</v>
      </c>
      <c r="C7" t="s">
        <v>69</v>
      </c>
      <c r="D7" t="s">
        <v>136</v>
      </c>
      <c r="E7">
        <v>2.9758622497846599E-2</v>
      </c>
      <c r="F7">
        <v>2.9758622497846599E-2</v>
      </c>
      <c r="G7">
        <v>0</v>
      </c>
      <c r="H7">
        <v>0</v>
      </c>
      <c r="I7" t="s">
        <v>71</v>
      </c>
    </row>
    <row r="8" spans="1:9" x14ac:dyDescent="0.35">
      <c r="A8" t="s">
        <v>4</v>
      </c>
      <c r="B8">
        <v>2025</v>
      </c>
      <c r="C8" t="s">
        <v>69</v>
      </c>
      <c r="D8" t="s">
        <v>45</v>
      </c>
      <c r="E8">
        <v>1.5460441041339401E-3</v>
      </c>
      <c r="F8">
        <v>1.5460441041339401E-3</v>
      </c>
      <c r="G8">
        <v>0</v>
      </c>
      <c r="H8">
        <v>0</v>
      </c>
      <c r="I8" t="s">
        <v>71</v>
      </c>
    </row>
    <row r="9" spans="1:9" x14ac:dyDescent="0.35">
      <c r="A9" t="s">
        <v>4</v>
      </c>
      <c r="B9">
        <v>2025</v>
      </c>
      <c r="C9" t="s">
        <v>69</v>
      </c>
      <c r="D9" t="s">
        <v>46</v>
      </c>
      <c r="E9">
        <v>9.13132754373476E-4</v>
      </c>
      <c r="F9">
        <v>9.13132754373476E-4</v>
      </c>
      <c r="G9">
        <v>0</v>
      </c>
      <c r="H9">
        <v>0</v>
      </c>
      <c r="I9" t="s">
        <v>71</v>
      </c>
    </row>
    <row r="10" spans="1:9" x14ac:dyDescent="0.35">
      <c r="A10" t="s">
        <v>4</v>
      </c>
      <c r="B10">
        <v>2025</v>
      </c>
      <c r="C10" t="s">
        <v>69</v>
      </c>
      <c r="D10" t="s">
        <v>47</v>
      </c>
      <c r="E10" s="1">
        <v>1.1152554373713299E-5</v>
      </c>
      <c r="F10" s="1">
        <v>1.1152554373713299E-5</v>
      </c>
      <c r="G10">
        <v>0</v>
      </c>
      <c r="H10">
        <v>0</v>
      </c>
      <c r="I10" t="s">
        <v>71</v>
      </c>
    </row>
    <row r="11" spans="1:9" x14ac:dyDescent="0.35">
      <c r="A11" t="s">
        <v>4</v>
      </c>
      <c r="B11">
        <v>2025</v>
      </c>
      <c r="C11" t="s">
        <v>69</v>
      </c>
      <c r="D11" t="s">
        <v>48</v>
      </c>
      <c r="E11">
        <v>1.70213908639987E-3</v>
      </c>
      <c r="F11">
        <v>1.70213908639987E-3</v>
      </c>
      <c r="G11">
        <v>0</v>
      </c>
      <c r="H11">
        <v>0</v>
      </c>
      <c r="I11" t="s">
        <v>71</v>
      </c>
    </row>
    <row r="12" spans="1:9" x14ac:dyDescent="0.35">
      <c r="A12" t="s">
        <v>4</v>
      </c>
      <c r="B12">
        <v>2025</v>
      </c>
      <c r="C12" t="s">
        <v>69</v>
      </c>
      <c r="D12" t="s">
        <v>49</v>
      </c>
      <c r="E12">
        <v>2.1005755886932499E-4</v>
      </c>
      <c r="F12">
        <v>2.1005755886932499E-4</v>
      </c>
      <c r="G12">
        <v>0</v>
      </c>
      <c r="H12">
        <v>0</v>
      </c>
      <c r="I12" t="s">
        <v>71</v>
      </c>
    </row>
    <row r="13" spans="1:9" x14ac:dyDescent="0.35">
      <c r="A13" t="s">
        <v>4</v>
      </c>
      <c r="B13">
        <v>2025</v>
      </c>
      <c r="C13" t="s">
        <v>69</v>
      </c>
      <c r="D13" t="s">
        <v>50</v>
      </c>
      <c r="E13">
        <v>5.4352375746955102E-4</v>
      </c>
      <c r="F13">
        <v>5.4352375746955102E-4</v>
      </c>
      <c r="G13">
        <v>0</v>
      </c>
      <c r="H13">
        <v>0</v>
      </c>
      <c r="I13" t="s">
        <v>71</v>
      </c>
    </row>
    <row r="14" spans="1:9" x14ac:dyDescent="0.35">
      <c r="A14" t="s">
        <v>4</v>
      </c>
      <c r="B14">
        <v>2025</v>
      </c>
      <c r="C14" t="s">
        <v>69</v>
      </c>
      <c r="D14" t="s">
        <v>51</v>
      </c>
      <c r="E14">
        <v>9.6225377361350197E-3</v>
      </c>
      <c r="F14">
        <v>9.6225377361350197E-3</v>
      </c>
      <c r="G14">
        <v>0</v>
      </c>
      <c r="H14">
        <v>0</v>
      </c>
      <c r="I14" t="s">
        <v>71</v>
      </c>
    </row>
    <row r="15" spans="1:9" x14ac:dyDescent="0.35">
      <c r="A15" t="s">
        <v>4</v>
      </c>
      <c r="B15">
        <v>2025</v>
      </c>
      <c r="C15" t="s">
        <v>69</v>
      </c>
      <c r="D15" t="s">
        <v>52</v>
      </c>
      <c r="E15">
        <v>3.23372378323477E-3</v>
      </c>
      <c r="F15">
        <v>3.23372378323477E-3</v>
      </c>
      <c r="G15">
        <v>0</v>
      </c>
      <c r="H15">
        <v>0</v>
      </c>
      <c r="I15" t="s">
        <v>71</v>
      </c>
    </row>
    <row r="16" spans="1:9" x14ac:dyDescent="0.35">
      <c r="A16" t="s">
        <v>4</v>
      </c>
      <c r="B16">
        <v>2025</v>
      </c>
      <c r="C16" t="s">
        <v>69</v>
      </c>
      <c r="D16" t="s">
        <v>53</v>
      </c>
      <c r="E16">
        <v>7.5698671553792998E-3</v>
      </c>
      <c r="F16">
        <v>7.5698671553792998E-3</v>
      </c>
      <c r="G16">
        <v>0</v>
      </c>
      <c r="H16">
        <v>0</v>
      </c>
      <c r="I16" t="s">
        <v>71</v>
      </c>
    </row>
    <row r="17" spans="1:9" x14ac:dyDescent="0.35">
      <c r="A17" t="s">
        <v>4</v>
      </c>
      <c r="B17">
        <v>2025</v>
      </c>
      <c r="C17" t="s">
        <v>69</v>
      </c>
      <c r="D17" t="s">
        <v>54</v>
      </c>
      <c r="E17">
        <v>5.6837889732805E-4</v>
      </c>
      <c r="F17">
        <v>5.6837889732805E-4</v>
      </c>
      <c r="G17">
        <v>0</v>
      </c>
      <c r="H17">
        <v>0</v>
      </c>
      <c r="I17" t="s">
        <v>71</v>
      </c>
    </row>
    <row r="18" spans="1:9" x14ac:dyDescent="0.35">
      <c r="A18" t="s">
        <v>4</v>
      </c>
      <c r="B18">
        <v>2025</v>
      </c>
      <c r="C18" t="s">
        <v>69</v>
      </c>
      <c r="D18" t="s">
        <v>55</v>
      </c>
      <c r="E18">
        <v>5.2124309767904596E-4</v>
      </c>
      <c r="F18">
        <v>5.2124309767904596E-4</v>
      </c>
      <c r="G18">
        <v>0</v>
      </c>
      <c r="H18">
        <v>0</v>
      </c>
      <c r="I18" t="s">
        <v>71</v>
      </c>
    </row>
    <row r="19" spans="1:9" x14ac:dyDescent="0.35">
      <c r="A19" t="s">
        <v>4</v>
      </c>
      <c r="B19">
        <v>2025</v>
      </c>
      <c r="C19" t="s">
        <v>69</v>
      </c>
      <c r="D19" t="s">
        <v>56</v>
      </c>
      <c r="E19" s="1">
        <v>1.29996860739047E-9</v>
      </c>
      <c r="F19" s="1">
        <v>1.29996860739047E-9</v>
      </c>
      <c r="G19">
        <v>0</v>
      </c>
      <c r="H19">
        <v>0</v>
      </c>
      <c r="I19" t="s">
        <v>71</v>
      </c>
    </row>
    <row r="20" spans="1:9" x14ac:dyDescent="0.35">
      <c r="A20" t="s">
        <v>6</v>
      </c>
      <c r="B20">
        <v>2030</v>
      </c>
      <c r="C20" t="s">
        <v>69</v>
      </c>
      <c r="D20" t="s">
        <v>38</v>
      </c>
      <c r="E20" s="1">
        <v>1.5393894342176102E-5</v>
      </c>
      <c r="F20" s="1">
        <v>1.5393894342176102E-5</v>
      </c>
      <c r="G20">
        <v>0</v>
      </c>
      <c r="H20">
        <v>0</v>
      </c>
      <c r="I20" t="s">
        <v>71</v>
      </c>
    </row>
    <row r="21" spans="1:9" x14ac:dyDescent="0.35">
      <c r="A21" t="s">
        <v>6</v>
      </c>
      <c r="B21">
        <v>2030</v>
      </c>
      <c r="C21" t="s">
        <v>69</v>
      </c>
      <c r="D21" t="s">
        <v>40</v>
      </c>
      <c r="E21" s="1">
        <v>3.4418841321312003E-5</v>
      </c>
      <c r="F21" s="1">
        <v>3.4418841321312003E-5</v>
      </c>
      <c r="G21">
        <v>0</v>
      </c>
      <c r="H21">
        <v>0</v>
      </c>
      <c r="I21" t="s">
        <v>71</v>
      </c>
    </row>
    <row r="22" spans="1:9" x14ac:dyDescent="0.35">
      <c r="A22" t="s">
        <v>6</v>
      </c>
      <c r="B22">
        <v>2030</v>
      </c>
      <c r="C22" t="s">
        <v>69</v>
      </c>
      <c r="D22" t="s">
        <v>41</v>
      </c>
      <c r="E22">
        <v>2.03475389429065E-4</v>
      </c>
      <c r="F22">
        <v>2.03475389429065E-4</v>
      </c>
      <c r="G22">
        <v>0</v>
      </c>
      <c r="H22">
        <v>0</v>
      </c>
      <c r="I22" t="s">
        <v>71</v>
      </c>
    </row>
    <row r="23" spans="1:9" x14ac:dyDescent="0.35">
      <c r="A23" t="s">
        <v>6</v>
      </c>
      <c r="B23">
        <v>2030</v>
      </c>
      <c r="C23" t="s">
        <v>69</v>
      </c>
      <c r="D23" t="s">
        <v>42</v>
      </c>
      <c r="E23">
        <v>9.0141579210687595E-3</v>
      </c>
      <c r="F23">
        <v>9.0141579210687595E-3</v>
      </c>
      <c r="G23">
        <v>0</v>
      </c>
      <c r="H23">
        <v>0</v>
      </c>
      <c r="I23" t="s">
        <v>71</v>
      </c>
    </row>
    <row r="24" spans="1:9" x14ac:dyDescent="0.35">
      <c r="A24" t="s">
        <v>6</v>
      </c>
      <c r="B24">
        <v>2030</v>
      </c>
      <c r="C24" t="s">
        <v>69</v>
      </c>
      <c r="D24" t="s">
        <v>43</v>
      </c>
      <c r="E24" s="1">
        <v>7.1074250056537994E-5</v>
      </c>
      <c r="F24" s="1">
        <v>7.1074250056537994E-5</v>
      </c>
      <c r="G24">
        <v>0</v>
      </c>
      <c r="H24">
        <v>0</v>
      </c>
      <c r="I24" t="s">
        <v>71</v>
      </c>
    </row>
    <row r="25" spans="1:9" x14ac:dyDescent="0.35">
      <c r="A25" t="s">
        <v>6</v>
      </c>
      <c r="B25">
        <v>2030</v>
      </c>
      <c r="C25" t="s">
        <v>69</v>
      </c>
      <c r="D25" t="s">
        <v>136</v>
      </c>
      <c r="E25">
        <v>2.6149223502042601E-2</v>
      </c>
      <c r="F25">
        <v>2.6149223502042601E-2</v>
      </c>
      <c r="G25">
        <v>0</v>
      </c>
      <c r="H25">
        <v>0</v>
      </c>
      <c r="I25" t="s">
        <v>71</v>
      </c>
    </row>
    <row r="26" spans="1:9" x14ac:dyDescent="0.35">
      <c r="A26" t="s">
        <v>6</v>
      </c>
      <c r="B26">
        <v>2030</v>
      </c>
      <c r="C26" t="s">
        <v>69</v>
      </c>
      <c r="D26" t="s">
        <v>45</v>
      </c>
      <c r="E26">
        <v>1.5357905090839299E-3</v>
      </c>
      <c r="F26">
        <v>1.5357905090839299E-3</v>
      </c>
      <c r="G26">
        <v>0</v>
      </c>
      <c r="H26">
        <v>0</v>
      </c>
      <c r="I26" t="s">
        <v>71</v>
      </c>
    </row>
    <row r="27" spans="1:9" x14ac:dyDescent="0.35">
      <c r="A27" t="s">
        <v>6</v>
      </c>
      <c r="B27">
        <v>2030</v>
      </c>
      <c r="C27" t="s">
        <v>69</v>
      </c>
      <c r="D27" t="s">
        <v>46</v>
      </c>
      <c r="E27">
        <v>1.0923091203866699E-3</v>
      </c>
      <c r="F27">
        <v>1.0923091203866699E-3</v>
      </c>
      <c r="G27">
        <v>0</v>
      </c>
      <c r="H27">
        <v>0</v>
      </c>
      <c r="I27" t="s">
        <v>71</v>
      </c>
    </row>
    <row r="28" spans="1:9" x14ac:dyDescent="0.35">
      <c r="A28" t="s">
        <v>6</v>
      </c>
      <c r="B28">
        <v>2030</v>
      </c>
      <c r="C28" t="s">
        <v>69</v>
      </c>
      <c r="D28" t="s">
        <v>47</v>
      </c>
      <c r="E28" s="1">
        <v>9.3254711670935997E-6</v>
      </c>
      <c r="F28" s="1">
        <v>9.3254711670935997E-6</v>
      </c>
      <c r="G28">
        <v>0</v>
      </c>
      <c r="H28">
        <v>0</v>
      </c>
      <c r="I28" t="s">
        <v>71</v>
      </c>
    </row>
    <row r="29" spans="1:9" x14ac:dyDescent="0.35">
      <c r="A29" t="s">
        <v>6</v>
      </c>
      <c r="B29">
        <v>2030</v>
      </c>
      <c r="C29" t="s">
        <v>69</v>
      </c>
      <c r="D29" t="s">
        <v>48</v>
      </c>
      <c r="E29">
        <v>1.7291003510480399E-3</v>
      </c>
      <c r="F29">
        <v>1.7291003510480399E-3</v>
      </c>
      <c r="G29">
        <v>0</v>
      </c>
      <c r="H29">
        <v>0</v>
      </c>
      <c r="I29" t="s">
        <v>71</v>
      </c>
    </row>
    <row r="30" spans="1:9" x14ac:dyDescent="0.35">
      <c r="A30" t="s">
        <v>6</v>
      </c>
      <c r="B30">
        <v>2030</v>
      </c>
      <c r="C30" t="s">
        <v>69</v>
      </c>
      <c r="D30" t="s">
        <v>49</v>
      </c>
      <c r="E30">
        <v>1.96836736491101E-4</v>
      </c>
      <c r="F30">
        <v>1.96836736491101E-4</v>
      </c>
      <c r="G30">
        <v>0</v>
      </c>
      <c r="H30">
        <v>0</v>
      </c>
      <c r="I30" t="s">
        <v>71</v>
      </c>
    </row>
    <row r="31" spans="1:9" x14ac:dyDescent="0.35">
      <c r="A31" t="s">
        <v>6</v>
      </c>
      <c r="B31">
        <v>2030</v>
      </c>
      <c r="C31" t="s">
        <v>69</v>
      </c>
      <c r="D31" t="s">
        <v>50</v>
      </c>
      <c r="E31">
        <v>5.3047548550554699E-4</v>
      </c>
      <c r="F31">
        <v>5.3047548550554699E-4</v>
      </c>
      <c r="G31">
        <v>0</v>
      </c>
      <c r="H31">
        <v>0</v>
      </c>
      <c r="I31" t="s">
        <v>71</v>
      </c>
    </row>
    <row r="32" spans="1:9" x14ac:dyDescent="0.35">
      <c r="A32" t="s">
        <v>6</v>
      </c>
      <c r="B32">
        <v>2030</v>
      </c>
      <c r="C32" t="s">
        <v>69</v>
      </c>
      <c r="D32" t="s">
        <v>51</v>
      </c>
      <c r="E32">
        <v>9.6522299349084406E-3</v>
      </c>
      <c r="F32">
        <v>9.6522299349084406E-3</v>
      </c>
      <c r="G32">
        <v>0</v>
      </c>
      <c r="H32">
        <v>0</v>
      </c>
      <c r="I32" t="s">
        <v>71</v>
      </c>
    </row>
    <row r="33" spans="1:9" x14ac:dyDescent="0.35">
      <c r="A33" t="s">
        <v>6</v>
      </c>
      <c r="B33">
        <v>2030</v>
      </c>
      <c r="C33" t="s">
        <v>69</v>
      </c>
      <c r="D33" t="s">
        <v>52</v>
      </c>
      <c r="E33">
        <v>2.7251440137948898E-3</v>
      </c>
      <c r="F33">
        <v>2.7251440137948898E-3</v>
      </c>
      <c r="G33">
        <v>0</v>
      </c>
      <c r="H33">
        <v>0</v>
      </c>
      <c r="I33" t="s">
        <v>71</v>
      </c>
    </row>
    <row r="34" spans="1:9" x14ac:dyDescent="0.35">
      <c r="A34" t="s">
        <v>6</v>
      </c>
      <c r="B34">
        <v>2030</v>
      </c>
      <c r="C34" t="s">
        <v>69</v>
      </c>
      <c r="D34" t="s">
        <v>53</v>
      </c>
      <c r="E34">
        <v>6.6732596907211599E-3</v>
      </c>
      <c r="F34">
        <v>6.6732596907211599E-3</v>
      </c>
      <c r="G34">
        <v>0</v>
      </c>
      <c r="H34">
        <v>0</v>
      </c>
      <c r="I34" t="s">
        <v>71</v>
      </c>
    </row>
    <row r="35" spans="1:9" x14ac:dyDescent="0.35">
      <c r="A35" t="s">
        <v>6</v>
      </c>
      <c r="B35">
        <v>2030</v>
      </c>
      <c r="C35" t="s">
        <v>69</v>
      </c>
      <c r="D35" t="s">
        <v>54</v>
      </c>
      <c r="E35">
        <v>5.66348430863414E-4</v>
      </c>
      <c r="F35">
        <v>5.66348430863414E-4</v>
      </c>
      <c r="G35">
        <v>0</v>
      </c>
      <c r="H35">
        <v>0</v>
      </c>
      <c r="I35" t="s">
        <v>71</v>
      </c>
    </row>
    <row r="36" spans="1:9" x14ac:dyDescent="0.35">
      <c r="A36" t="s">
        <v>6</v>
      </c>
      <c r="B36">
        <v>2030</v>
      </c>
      <c r="C36" t="s">
        <v>69</v>
      </c>
      <c r="D36" t="s">
        <v>55</v>
      </c>
      <c r="E36">
        <v>5.1667978363616196E-4</v>
      </c>
      <c r="F36">
        <v>5.1667978363616196E-4</v>
      </c>
      <c r="G36">
        <v>0</v>
      </c>
      <c r="H36">
        <v>0</v>
      </c>
      <c r="I36" t="s">
        <v>71</v>
      </c>
    </row>
    <row r="37" spans="1:9" x14ac:dyDescent="0.35">
      <c r="A37" t="s">
        <v>6</v>
      </c>
      <c r="B37">
        <v>2030</v>
      </c>
      <c r="C37" t="s">
        <v>69</v>
      </c>
      <c r="D37" t="s">
        <v>56</v>
      </c>
      <c r="E37" s="1">
        <v>1.1991019486592901E-9</v>
      </c>
      <c r="F37" s="1">
        <v>1.1991019486592901E-9</v>
      </c>
      <c r="G37">
        <v>0</v>
      </c>
      <c r="H37">
        <v>0</v>
      </c>
      <c r="I37" t="s">
        <v>71</v>
      </c>
    </row>
    <row r="38" spans="1:9" x14ac:dyDescent="0.35">
      <c r="A38" t="s">
        <v>8</v>
      </c>
      <c r="B38">
        <v>2035</v>
      </c>
      <c r="C38" t="s">
        <v>69</v>
      </c>
      <c r="D38" t="s">
        <v>38</v>
      </c>
      <c r="E38" s="1">
        <v>1.65782000501021E-5</v>
      </c>
      <c r="F38" s="1">
        <v>1.65782000501021E-5</v>
      </c>
      <c r="G38">
        <v>0</v>
      </c>
      <c r="H38">
        <v>0</v>
      </c>
      <c r="I38" t="s">
        <v>71</v>
      </c>
    </row>
    <row r="39" spans="1:9" x14ac:dyDescent="0.35">
      <c r="A39" t="s">
        <v>8</v>
      </c>
      <c r="B39">
        <v>2035</v>
      </c>
      <c r="C39" t="s">
        <v>69</v>
      </c>
      <c r="D39" t="s">
        <v>40</v>
      </c>
      <c r="E39" s="1">
        <v>3.3846427342841799E-5</v>
      </c>
      <c r="F39" s="1">
        <v>3.3846427342841799E-5</v>
      </c>
      <c r="G39">
        <v>0</v>
      </c>
      <c r="H39">
        <v>0</v>
      </c>
      <c r="I39" t="s">
        <v>71</v>
      </c>
    </row>
    <row r="40" spans="1:9" x14ac:dyDescent="0.35">
      <c r="A40" t="s">
        <v>8</v>
      </c>
      <c r="B40">
        <v>2035</v>
      </c>
      <c r="C40" t="s">
        <v>69</v>
      </c>
      <c r="D40" t="s">
        <v>41</v>
      </c>
      <c r="E40">
        <v>1.9877507086969799E-4</v>
      </c>
      <c r="F40">
        <v>1.9877507086969799E-4</v>
      </c>
      <c r="G40">
        <v>0</v>
      </c>
      <c r="H40">
        <v>0</v>
      </c>
      <c r="I40" t="s">
        <v>71</v>
      </c>
    </row>
    <row r="41" spans="1:9" x14ac:dyDescent="0.35">
      <c r="A41" t="s">
        <v>8</v>
      </c>
      <c r="B41">
        <v>2035</v>
      </c>
      <c r="C41" t="s">
        <v>69</v>
      </c>
      <c r="D41" t="s">
        <v>42</v>
      </c>
      <c r="E41">
        <v>8.2351989257966295E-3</v>
      </c>
      <c r="F41">
        <v>8.2351989257966295E-3</v>
      </c>
      <c r="G41">
        <v>0</v>
      </c>
      <c r="H41">
        <v>0</v>
      </c>
      <c r="I41" t="s">
        <v>71</v>
      </c>
    </row>
    <row r="42" spans="1:9" x14ac:dyDescent="0.35">
      <c r="A42" t="s">
        <v>8</v>
      </c>
      <c r="B42">
        <v>2035</v>
      </c>
      <c r="C42" t="s">
        <v>69</v>
      </c>
      <c r="D42" t="s">
        <v>43</v>
      </c>
      <c r="E42" s="1">
        <v>6.9344579403213605E-5</v>
      </c>
      <c r="F42" s="1">
        <v>6.9344579403213605E-5</v>
      </c>
      <c r="G42">
        <v>0</v>
      </c>
      <c r="H42">
        <v>0</v>
      </c>
      <c r="I42" t="s">
        <v>71</v>
      </c>
    </row>
    <row r="43" spans="1:9" x14ac:dyDescent="0.35">
      <c r="A43" t="s">
        <v>8</v>
      </c>
      <c r="B43">
        <v>2035</v>
      </c>
      <c r="C43" t="s">
        <v>69</v>
      </c>
      <c r="D43" t="s">
        <v>136</v>
      </c>
      <c r="E43">
        <v>2.3320437452536199E-2</v>
      </c>
      <c r="F43">
        <v>2.3320437452536199E-2</v>
      </c>
      <c r="G43">
        <v>0</v>
      </c>
      <c r="H43">
        <v>0</v>
      </c>
      <c r="I43" t="s">
        <v>71</v>
      </c>
    </row>
    <row r="44" spans="1:9" x14ac:dyDescent="0.35">
      <c r="A44" t="s">
        <v>8</v>
      </c>
      <c r="B44">
        <v>2035</v>
      </c>
      <c r="C44" t="s">
        <v>69</v>
      </c>
      <c r="D44" t="s">
        <v>45</v>
      </c>
      <c r="E44">
        <v>1.5287825415222301E-3</v>
      </c>
      <c r="F44">
        <v>1.5287825415222301E-3</v>
      </c>
      <c r="G44">
        <v>0</v>
      </c>
      <c r="H44">
        <v>0</v>
      </c>
      <c r="I44" t="s">
        <v>71</v>
      </c>
    </row>
    <row r="45" spans="1:9" x14ac:dyDescent="0.35">
      <c r="A45" t="s">
        <v>8</v>
      </c>
      <c r="B45">
        <v>2035</v>
      </c>
      <c r="C45" t="s">
        <v>69</v>
      </c>
      <c r="D45" t="s">
        <v>46</v>
      </c>
      <c r="E45">
        <v>1.59348575329864E-3</v>
      </c>
      <c r="F45">
        <v>1.59348575329864E-3</v>
      </c>
      <c r="G45">
        <v>0</v>
      </c>
      <c r="H45">
        <v>0</v>
      </c>
      <c r="I45" t="s">
        <v>71</v>
      </c>
    </row>
    <row r="46" spans="1:9" x14ac:dyDescent="0.35">
      <c r="A46" t="s">
        <v>8</v>
      </c>
      <c r="B46">
        <v>2035</v>
      </c>
      <c r="C46" t="s">
        <v>69</v>
      </c>
      <c r="D46" t="s">
        <v>47</v>
      </c>
      <c r="E46" s="1">
        <v>8.1932631439136104E-6</v>
      </c>
      <c r="F46" s="1">
        <v>8.1932631439136104E-6</v>
      </c>
      <c r="G46">
        <v>0</v>
      </c>
      <c r="H46">
        <v>0</v>
      </c>
      <c r="I46" t="s">
        <v>71</v>
      </c>
    </row>
    <row r="47" spans="1:9" x14ac:dyDescent="0.35">
      <c r="A47" t="s">
        <v>8</v>
      </c>
      <c r="B47">
        <v>2035</v>
      </c>
      <c r="C47" t="s">
        <v>69</v>
      </c>
      <c r="D47" t="s">
        <v>48</v>
      </c>
      <c r="E47">
        <v>1.74443281961216E-3</v>
      </c>
      <c r="F47">
        <v>1.74443281961216E-3</v>
      </c>
      <c r="G47">
        <v>0</v>
      </c>
      <c r="H47">
        <v>0</v>
      </c>
      <c r="I47" t="s">
        <v>71</v>
      </c>
    </row>
    <row r="48" spans="1:9" x14ac:dyDescent="0.35">
      <c r="A48" t="s">
        <v>8</v>
      </c>
      <c r="B48">
        <v>2035</v>
      </c>
      <c r="C48" t="s">
        <v>69</v>
      </c>
      <c r="D48" t="s">
        <v>49</v>
      </c>
      <c r="E48">
        <v>1.8948193726501801E-4</v>
      </c>
      <c r="F48">
        <v>1.8948193726501801E-4</v>
      </c>
      <c r="G48">
        <v>0</v>
      </c>
      <c r="H48">
        <v>0</v>
      </c>
      <c r="I48" t="s">
        <v>71</v>
      </c>
    </row>
    <row r="49" spans="1:9" x14ac:dyDescent="0.35">
      <c r="A49" t="s">
        <v>8</v>
      </c>
      <c r="B49">
        <v>2035</v>
      </c>
      <c r="C49" t="s">
        <v>69</v>
      </c>
      <c r="D49" t="s">
        <v>50</v>
      </c>
      <c r="E49">
        <v>5.1760658712176298E-4</v>
      </c>
      <c r="F49">
        <v>5.1760658712176298E-4</v>
      </c>
      <c r="G49">
        <v>0</v>
      </c>
      <c r="H49">
        <v>0</v>
      </c>
      <c r="I49" t="s">
        <v>71</v>
      </c>
    </row>
    <row r="50" spans="1:9" x14ac:dyDescent="0.35">
      <c r="A50" t="s">
        <v>8</v>
      </c>
      <c r="B50">
        <v>2035</v>
      </c>
      <c r="C50" t="s">
        <v>69</v>
      </c>
      <c r="D50" t="s">
        <v>51</v>
      </c>
      <c r="E50">
        <v>9.6932947575263401E-3</v>
      </c>
      <c r="F50">
        <v>9.6932947575263401E-3</v>
      </c>
      <c r="G50">
        <v>0</v>
      </c>
      <c r="H50">
        <v>0</v>
      </c>
      <c r="I50" t="s">
        <v>71</v>
      </c>
    </row>
    <row r="51" spans="1:9" x14ac:dyDescent="0.35">
      <c r="A51" t="s">
        <v>8</v>
      </c>
      <c r="B51">
        <v>2035</v>
      </c>
      <c r="C51" t="s">
        <v>69</v>
      </c>
      <c r="D51" t="s">
        <v>52</v>
      </c>
      <c r="E51">
        <v>2.17303977313392E-3</v>
      </c>
      <c r="F51">
        <v>2.17303977313392E-3</v>
      </c>
      <c r="G51">
        <v>0</v>
      </c>
      <c r="H51">
        <v>0</v>
      </c>
      <c r="I51" t="s">
        <v>71</v>
      </c>
    </row>
    <row r="52" spans="1:9" x14ac:dyDescent="0.35">
      <c r="A52" t="s">
        <v>8</v>
      </c>
      <c r="B52">
        <v>2035</v>
      </c>
      <c r="C52" t="s">
        <v>69</v>
      </c>
      <c r="D52" t="s">
        <v>53</v>
      </c>
      <c r="E52">
        <v>5.9367877964236404E-3</v>
      </c>
      <c r="F52">
        <v>5.9367877964236404E-3</v>
      </c>
      <c r="G52">
        <v>0</v>
      </c>
      <c r="H52">
        <v>0</v>
      </c>
      <c r="I52" t="s">
        <v>71</v>
      </c>
    </row>
    <row r="53" spans="1:9" x14ac:dyDescent="0.35">
      <c r="A53" t="s">
        <v>8</v>
      </c>
      <c r="B53">
        <v>2035</v>
      </c>
      <c r="C53" t="s">
        <v>69</v>
      </c>
      <c r="D53" t="s">
        <v>54</v>
      </c>
      <c r="E53">
        <v>5.6653984591798899E-4</v>
      </c>
      <c r="F53">
        <v>5.6653984591798899E-4</v>
      </c>
      <c r="G53">
        <v>0</v>
      </c>
      <c r="H53">
        <v>0</v>
      </c>
      <c r="I53" t="s">
        <v>71</v>
      </c>
    </row>
    <row r="54" spans="1:9" x14ac:dyDescent="0.35">
      <c r="A54" t="s">
        <v>8</v>
      </c>
      <c r="B54">
        <v>2035</v>
      </c>
      <c r="C54" t="s">
        <v>69</v>
      </c>
      <c r="D54" t="s">
        <v>55</v>
      </c>
      <c r="E54">
        <v>5.15648933318823E-4</v>
      </c>
      <c r="F54">
        <v>5.15648933318823E-4</v>
      </c>
      <c r="G54">
        <v>0</v>
      </c>
      <c r="H54">
        <v>0</v>
      </c>
      <c r="I54" t="s">
        <v>71</v>
      </c>
    </row>
    <row r="55" spans="1:9" x14ac:dyDescent="0.35">
      <c r="A55" t="s">
        <v>8</v>
      </c>
      <c r="B55">
        <v>2035</v>
      </c>
      <c r="C55" t="s">
        <v>69</v>
      </c>
      <c r="D55" t="s">
        <v>56</v>
      </c>
      <c r="E55" s="1">
        <v>1.10177101898326E-9</v>
      </c>
      <c r="F55" s="1">
        <v>1.10177101898326E-9</v>
      </c>
      <c r="G55">
        <v>0</v>
      </c>
      <c r="H55">
        <v>0</v>
      </c>
      <c r="I55" t="s">
        <v>71</v>
      </c>
    </row>
    <row r="56" spans="1:9" x14ac:dyDescent="0.35">
      <c r="A56" t="s">
        <v>10</v>
      </c>
      <c r="B56">
        <v>2040</v>
      </c>
      <c r="C56" t="s">
        <v>69</v>
      </c>
      <c r="D56" t="s">
        <v>38</v>
      </c>
      <c r="E56" s="1">
        <v>1.47331982849555E-5</v>
      </c>
      <c r="F56" s="1">
        <v>1.47331982849555E-5</v>
      </c>
      <c r="G56">
        <v>0</v>
      </c>
      <c r="H56">
        <v>0</v>
      </c>
      <c r="I56" t="s">
        <v>71</v>
      </c>
    </row>
    <row r="57" spans="1:9" x14ac:dyDescent="0.35">
      <c r="A57" t="s">
        <v>10</v>
      </c>
      <c r="B57">
        <v>2040</v>
      </c>
      <c r="C57" t="s">
        <v>69</v>
      </c>
      <c r="D57" t="s">
        <v>40</v>
      </c>
      <c r="E57" s="1">
        <v>3.3384849263877902E-5</v>
      </c>
      <c r="F57" s="1">
        <v>3.3384849263877902E-5</v>
      </c>
      <c r="G57">
        <v>0</v>
      </c>
      <c r="H57">
        <v>0</v>
      </c>
      <c r="I57" t="s">
        <v>71</v>
      </c>
    </row>
    <row r="58" spans="1:9" x14ac:dyDescent="0.35">
      <c r="A58" t="s">
        <v>10</v>
      </c>
      <c r="B58">
        <v>2040</v>
      </c>
      <c r="C58" t="s">
        <v>69</v>
      </c>
      <c r="D58" t="s">
        <v>41</v>
      </c>
      <c r="E58">
        <v>1.95560229204151E-4</v>
      </c>
      <c r="F58">
        <v>1.95560229204151E-4</v>
      </c>
      <c r="G58">
        <v>0</v>
      </c>
      <c r="H58">
        <v>0</v>
      </c>
      <c r="I58" t="s">
        <v>71</v>
      </c>
    </row>
    <row r="59" spans="1:9" x14ac:dyDescent="0.35">
      <c r="A59" t="s">
        <v>10</v>
      </c>
      <c r="B59">
        <v>2040</v>
      </c>
      <c r="C59" t="s">
        <v>69</v>
      </c>
      <c r="D59" t="s">
        <v>42</v>
      </c>
      <c r="E59">
        <v>7.6254033504673403E-3</v>
      </c>
      <c r="F59">
        <v>7.6254033504673403E-3</v>
      </c>
      <c r="G59">
        <v>0</v>
      </c>
      <c r="H59">
        <v>0</v>
      </c>
      <c r="I59" t="s">
        <v>71</v>
      </c>
    </row>
    <row r="60" spans="1:9" x14ac:dyDescent="0.35">
      <c r="A60" t="s">
        <v>10</v>
      </c>
      <c r="B60">
        <v>2040</v>
      </c>
      <c r="C60" t="s">
        <v>69</v>
      </c>
      <c r="D60" t="s">
        <v>43</v>
      </c>
      <c r="E60" s="1">
        <v>6.7883559656452895E-5</v>
      </c>
      <c r="F60" s="1">
        <v>6.7883559656452895E-5</v>
      </c>
      <c r="G60">
        <v>0</v>
      </c>
      <c r="H60">
        <v>0</v>
      </c>
      <c r="I60" t="s">
        <v>71</v>
      </c>
    </row>
    <row r="61" spans="1:9" x14ac:dyDescent="0.35">
      <c r="A61" t="s">
        <v>10</v>
      </c>
      <c r="B61">
        <v>2040</v>
      </c>
      <c r="C61" t="s">
        <v>69</v>
      </c>
      <c r="D61" t="s">
        <v>136</v>
      </c>
      <c r="E61">
        <v>2.1230804737927499E-2</v>
      </c>
      <c r="F61">
        <v>2.1230804737927499E-2</v>
      </c>
      <c r="G61">
        <v>0</v>
      </c>
      <c r="H61">
        <v>0</v>
      </c>
      <c r="I61" t="s">
        <v>71</v>
      </c>
    </row>
    <row r="62" spans="1:9" x14ac:dyDescent="0.35">
      <c r="A62" t="s">
        <v>10</v>
      </c>
      <c r="B62">
        <v>2040</v>
      </c>
      <c r="C62" t="s">
        <v>69</v>
      </c>
      <c r="D62" t="s">
        <v>45</v>
      </c>
      <c r="E62">
        <v>1.5248071951139599E-3</v>
      </c>
      <c r="F62">
        <v>1.4709223324989499E-4</v>
      </c>
      <c r="G62">
        <v>-1.3777149618640599E-3</v>
      </c>
      <c r="H62">
        <v>-90.3533880400595</v>
      </c>
      <c r="I62" t="s">
        <v>71</v>
      </c>
    </row>
    <row r="63" spans="1:9" x14ac:dyDescent="0.35">
      <c r="A63" t="s">
        <v>10</v>
      </c>
      <c r="B63">
        <v>2040</v>
      </c>
      <c r="C63" t="s">
        <v>69</v>
      </c>
      <c r="D63" t="s">
        <v>46</v>
      </c>
      <c r="E63">
        <v>2.4507557641734201E-3</v>
      </c>
      <c r="F63">
        <v>2.4507557641734201E-3</v>
      </c>
      <c r="G63">
        <v>0</v>
      </c>
      <c r="H63">
        <v>0</v>
      </c>
      <c r="I63" t="s">
        <v>71</v>
      </c>
    </row>
    <row r="64" spans="1:9" x14ac:dyDescent="0.35">
      <c r="A64" t="s">
        <v>10</v>
      </c>
      <c r="B64">
        <v>2040</v>
      </c>
      <c r="C64" t="s">
        <v>69</v>
      </c>
      <c r="D64" t="s">
        <v>47</v>
      </c>
      <c r="E64" s="1">
        <v>7.2927819903015403E-6</v>
      </c>
      <c r="F64" s="1">
        <v>7.2927819903015403E-6</v>
      </c>
      <c r="G64">
        <v>0</v>
      </c>
      <c r="H64">
        <v>0</v>
      </c>
      <c r="I64" t="s">
        <v>71</v>
      </c>
    </row>
    <row r="65" spans="1:9" x14ac:dyDescent="0.35">
      <c r="A65" t="s">
        <v>10</v>
      </c>
      <c r="B65">
        <v>2040</v>
      </c>
      <c r="C65" t="s">
        <v>69</v>
      </c>
      <c r="D65" t="s">
        <v>48</v>
      </c>
      <c r="E65">
        <v>1.7500931276923401E-3</v>
      </c>
      <c r="F65">
        <v>1.7500931276923401E-3</v>
      </c>
      <c r="G65">
        <v>0</v>
      </c>
      <c r="H65">
        <v>0</v>
      </c>
      <c r="I65" t="s">
        <v>71</v>
      </c>
    </row>
    <row r="66" spans="1:9" x14ac:dyDescent="0.35">
      <c r="A66" t="s">
        <v>10</v>
      </c>
      <c r="B66">
        <v>2040</v>
      </c>
      <c r="C66" t="s">
        <v>69</v>
      </c>
      <c r="D66" t="s">
        <v>49</v>
      </c>
      <c r="E66">
        <v>1.8490316398688501E-4</v>
      </c>
      <c r="F66">
        <v>1.8490316398688501E-4</v>
      </c>
      <c r="G66">
        <v>0</v>
      </c>
      <c r="H66">
        <v>0</v>
      </c>
      <c r="I66" t="s">
        <v>71</v>
      </c>
    </row>
    <row r="67" spans="1:9" x14ac:dyDescent="0.35">
      <c r="A67" t="s">
        <v>10</v>
      </c>
      <c r="B67">
        <v>2040</v>
      </c>
      <c r="C67" t="s">
        <v>69</v>
      </c>
      <c r="D67" t="s">
        <v>50</v>
      </c>
      <c r="E67">
        <v>5.0437577639133202E-4</v>
      </c>
      <c r="F67">
        <v>5.0437577639133202E-4</v>
      </c>
      <c r="G67">
        <v>0</v>
      </c>
      <c r="H67">
        <v>0</v>
      </c>
      <c r="I67" t="s">
        <v>71</v>
      </c>
    </row>
    <row r="68" spans="1:9" x14ac:dyDescent="0.35">
      <c r="A68" t="s">
        <v>10</v>
      </c>
      <c r="B68">
        <v>2040</v>
      </c>
      <c r="C68" t="s">
        <v>69</v>
      </c>
      <c r="D68" t="s">
        <v>51</v>
      </c>
      <c r="E68">
        <v>9.7288935486535694E-3</v>
      </c>
      <c r="F68">
        <v>9.7288935486535694E-3</v>
      </c>
      <c r="G68">
        <v>0</v>
      </c>
      <c r="H68">
        <v>0</v>
      </c>
      <c r="I68" t="s">
        <v>71</v>
      </c>
    </row>
    <row r="69" spans="1:9" x14ac:dyDescent="0.35">
      <c r="A69" t="s">
        <v>10</v>
      </c>
      <c r="B69">
        <v>2040</v>
      </c>
      <c r="C69" t="s">
        <v>69</v>
      </c>
      <c r="D69" t="s">
        <v>52</v>
      </c>
      <c r="E69">
        <v>1.68825139855267E-3</v>
      </c>
      <c r="F69">
        <v>1.68825139855267E-3</v>
      </c>
      <c r="G69">
        <v>0</v>
      </c>
      <c r="H69">
        <v>0</v>
      </c>
      <c r="I69" t="s">
        <v>71</v>
      </c>
    </row>
    <row r="70" spans="1:9" x14ac:dyDescent="0.35">
      <c r="A70" t="s">
        <v>10</v>
      </c>
      <c r="B70">
        <v>2040</v>
      </c>
      <c r="C70" t="s">
        <v>69</v>
      </c>
      <c r="D70" t="s">
        <v>53</v>
      </c>
      <c r="E70">
        <v>5.3486377485000899E-3</v>
      </c>
      <c r="F70">
        <v>5.3486377485000899E-3</v>
      </c>
      <c r="G70">
        <v>0</v>
      </c>
      <c r="H70">
        <v>0</v>
      </c>
      <c r="I70" t="s">
        <v>71</v>
      </c>
    </row>
    <row r="71" spans="1:9" x14ac:dyDescent="0.35">
      <c r="A71" t="s">
        <v>10</v>
      </c>
      <c r="B71">
        <v>2040</v>
      </c>
      <c r="C71" t="s">
        <v>69</v>
      </c>
      <c r="D71" t="s">
        <v>54</v>
      </c>
      <c r="E71">
        <v>5.6030220046891202E-4</v>
      </c>
      <c r="F71">
        <v>5.6030220046891202E-4</v>
      </c>
      <c r="G71">
        <v>0</v>
      </c>
      <c r="H71">
        <v>0</v>
      </c>
      <c r="I71" t="s">
        <v>71</v>
      </c>
    </row>
    <row r="72" spans="1:9" x14ac:dyDescent="0.35">
      <c r="A72" t="s">
        <v>10</v>
      </c>
      <c r="B72">
        <v>2040</v>
      </c>
      <c r="C72" t="s">
        <v>69</v>
      </c>
      <c r="D72" t="s">
        <v>55</v>
      </c>
      <c r="E72">
        <v>5.0982967821843904E-4</v>
      </c>
      <c r="F72">
        <v>5.0982967821843904E-4</v>
      </c>
      <c r="G72">
        <v>0</v>
      </c>
      <c r="H72">
        <v>0</v>
      </c>
      <c r="I72" t="s">
        <v>71</v>
      </c>
    </row>
    <row r="73" spans="1:9" x14ac:dyDescent="0.35">
      <c r="A73" t="s">
        <v>10</v>
      </c>
      <c r="B73">
        <v>2040</v>
      </c>
      <c r="C73" t="s">
        <v>69</v>
      </c>
      <c r="D73" t="s">
        <v>56</v>
      </c>
      <c r="E73" s="1">
        <v>1.01543539865042E-9</v>
      </c>
      <c r="F73" s="1">
        <v>1.01543539865042E-9</v>
      </c>
      <c r="G73">
        <v>0</v>
      </c>
      <c r="H73">
        <v>0</v>
      </c>
      <c r="I73" t="s">
        <v>71</v>
      </c>
    </row>
    <row r="74" spans="1:9" x14ac:dyDescent="0.35">
      <c r="A74" t="s">
        <v>4</v>
      </c>
      <c r="B74">
        <v>2025</v>
      </c>
      <c r="C74" t="s">
        <v>69</v>
      </c>
      <c r="D74" t="s">
        <v>38</v>
      </c>
      <c r="E74" s="1">
        <v>6.5553434937399797E-6</v>
      </c>
      <c r="F74" s="1">
        <v>6.5553434937399797E-6</v>
      </c>
      <c r="G74">
        <v>0</v>
      </c>
      <c r="H74">
        <v>0</v>
      </c>
      <c r="I74" t="s">
        <v>70</v>
      </c>
    </row>
    <row r="75" spans="1:9" x14ac:dyDescent="0.35">
      <c r="A75" t="s">
        <v>4</v>
      </c>
      <c r="B75">
        <v>2025</v>
      </c>
      <c r="C75" t="s">
        <v>69</v>
      </c>
      <c r="D75" t="s">
        <v>40</v>
      </c>
      <c r="E75" s="1">
        <v>3.71657951619353E-5</v>
      </c>
      <c r="F75" s="1">
        <v>3.71657951619353E-5</v>
      </c>
      <c r="G75">
        <v>0</v>
      </c>
      <c r="H75">
        <v>0</v>
      </c>
      <c r="I75" t="s">
        <v>70</v>
      </c>
    </row>
    <row r="76" spans="1:9" x14ac:dyDescent="0.35">
      <c r="A76" t="s">
        <v>4</v>
      </c>
      <c r="B76">
        <v>2025</v>
      </c>
      <c r="C76" t="s">
        <v>69</v>
      </c>
      <c r="D76" t="s">
        <v>41</v>
      </c>
      <c r="E76">
        <v>2.04920671070383E-4</v>
      </c>
      <c r="F76">
        <v>2.04920671070383E-4</v>
      </c>
      <c r="G76">
        <v>0</v>
      </c>
      <c r="H76">
        <v>0</v>
      </c>
      <c r="I76" t="s">
        <v>70</v>
      </c>
    </row>
    <row r="77" spans="1:9" x14ac:dyDescent="0.35">
      <c r="A77" t="s">
        <v>4</v>
      </c>
      <c r="B77">
        <v>2025</v>
      </c>
      <c r="C77" t="s">
        <v>69</v>
      </c>
      <c r="D77" t="s">
        <v>42</v>
      </c>
      <c r="E77">
        <v>1.2961448255978499E-2</v>
      </c>
      <c r="F77">
        <v>1.2961448255978499E-2</v>
      </c>
      <c r="G77">
        <v>0</v>
      </c>
      <c r="H77">
        <v>0</v>
      </c>
      <c r="I77" t="s">
        <v>70</v>
      </c>
    </row>
    <row r="78" spans="1:9" x14ac:dyDescent="0.35">
      <c r="A78" t="s">
        <v>4</v>
      </c>
      <c r="B78">
        <v>2025</v>
      </c>
      <c r="C78" t="s">
        <v>69</v>
      </c>
      <c r="D78" t="s">
        <v>43</v>
      </c>
      <c r="E78" s="1">
        <v>7.1222806240491297E-5</v>
      </c>
      <c r="F78" s="1">
        <v>7.1222806240491297E-5</v>
      </c>
      <c r="G78">
        <v>0</v>
      </c>
      <c r="H78">
        <v>0</v>
      </c>
      <c r="I78" t="s">
        <v>70</v>
      </c>
    </row>
    <row r="79" spans="1:9" x14ac:dyDescent="0.35">
      <c r="A79" t="s">
        <v>4</v>
      </c>
      <c r="B79">
        <v>2025</v>
      </c>
      <c r="C79" t="s">
        <v>69</v>
      </c>
      <c r="D79" t="s">
        <v>136</v>
      </c>
      <c r="E79">
        <v>2.3722417043231799E-2</v>
      </c>
      <c r="F79">
        <v>2.3722417043231799E-2</v>
      </c>
      <c r="G79">
        <v>0</v>
      </c>
      <c r="H79">
        <v>0</v>
      </c>
      <c r="I79" t="s">
        <v>70</v>
      </c>
    </row>
    <row r="80" spans="1:9" x14ac:dyDescent="0.35">
      <c r="A80" t="s">
        <v>4</v>
      </c>
      <c r="B80">
        <v>2025</v>
      </c>
      <c r="C80" t="s">
        <v>69</v>
      </c>
      <c r="D80" t="s">
        <v>45</v>
      </c>
      <c r="E80">
        <v>1.52968754007559E-3</v>
      </c>
      <c r="F80">
        <v>1.52968754007559E-3</v>
      </c>
      <c r="G80">
        <v>0</v>
      </c>
      <c r="H80">
        <v>0</v>
      </c>
      <c r="I80" t="s">
        <v>70</v>
      </c>
    </row>
    <row r="81" spans="1:14" x14ac:dyDescent="0.35">
      <c r="A81" t="s">
        <v>4</v>
      </c>
      <c r="B81">
        <v>2025</v>
      </c>
      <c r="C81" t="s">
        <v>69</v>
      </c>
      <c r="D81" t="s">
        <v>46</v>
      </c>
      <c r="E81">
        <v>6.2781466316226705E-4</v>
      </c>
      <c r="F81">
        <v>6.2781466316226705E-4</v>
      </c>
      <c r="G81">
        <v>0</v>
      </c>
      <c r="H81">
        <v>0</v>
      </c>
      <c r="I81" t="s">
        <v>70</v>
      </c>
      <c r="N81" s="4"/>
    </row>
    <row r="82" spans="1:14" x14ac:dyDescent="0.35">
      <c r="A82" t="s">
        <v>4</v>
      </c>
      <c r="B82">
        <v>2025</v>
      </c>
      <c r="C82" t="s">
        <v>69</v>
      </c>
      <c r="D82" t="s">
        <v>47</v>
      </c>
      <c r="E82" s="1">
        <v>1.5593337235340799E-5</v>
      </c>
      <c r="F82" s="1">
        <v>1.5593337235340799E-5</v>
      </c>
      <c r="G82">
        <v>0</v>
      </c>
      <c r="H82">
        <v>0</v>
      </c>
      <c r="I82" t="s">
        <v>70</v>
      </c>
    </row>
    <row r="83" spans="1:14" x14ac:dyDescent="0.35">
      <c r="A83" t="s">
        <v>4</v>
      </c>
      <c r="B83">
        <v>2025</v>
      </c>
      <c r="C83" t="s">
        <v>69</v>
      </c>
      <c r="D83" t="s">
        <v>48</v>
      </c>
      <c r="E83">
        <v>1.57534239152897E-3</v>
      </c>
      <c r="F83">
        <v>1.57534239152897E-3</v>
      </c>
      <c r="G83">
        <v>0</v>
      </c>
      <c r="H83">
        <v>0</v>
      </c>
      <c r="I83" t="s">
        <v>70</v>
      </c>
    </row>
    <row r="84" spans="1:14" x14ac:dyDescent="0.35">
      <c r="A84" t="s">
        <v>4</v>
      </c>
      <c r="B84">
        <v>2025</v>
      </c>
      <c r="C84" t="s">
        <v>69</v>
      </c>
      <c r="D84" t="s">
        <v>49</v>
      </c>
      <c r="E84">
        <v>2.1435467842390499E-4</v>
      </c>
      <c r="F84">
        <v>2.1435467842390499E-4</v>
      </c>
      <c r="G84">
        <v>0</v>
      </c>
      <c r="H84">
        <v>0</v>
      </c>
      <c r="I84" t="s">
        <v>70</v>
      </c>
    </row>
    <row r="85" spans="1:14" x14ac:dyDescent="0.35">
      <c r="A85" t="s">
        <v>4</v>
      </c>
      <c r="B85">
        <v>2025</v>
      </c>
      <c r="C85" t="s">
        <v>69</v>
      </c>
      <c r="D85" t="s">
        <v>50</v>
      </c>
      <c r="E85">
        <v>5.48939345331306E-4</v>
      </c>
      <c r="F85">
        <v>5.48939345331306E-4</v>
      </c>
      <c r="G85">
        <v>0</v>
      </c>
      <c r="H85">
        <v>0</v>
      </c>
      <c r="I85" t="s">
        <v>70</v>
      </c>
    </row>
    <row r="86" spans="1:14" x14ac:dyDescent="0.35">
      <c r="A86" t="s">
        <v>4</v>
      </c>
      <c r="B86">
        <v>2025</v>
      </c>
      <c r="C86" t="s">
        <v>69</v>
      </c>
      <c r="D86" t="s">
        <v>51</v>
      </c>
      <c r="E86">
        <v>9.5007766571438296E-3</v>
      </c>
      <c r="F86">
        <v>9.5007766571438296E-3</v>
      </c>
      <c r="G86">
        <v>0</v>
      </c>
      <c r="H86">
        <v>0</v>
      </c>
      <c r="I86" t="s">
        <v>70</v>
      </c>
    </row>
    <row r="87" spans="1:14" x14ac:dyDescent="0.35">
      <c r="A87" t="s">
        <v>4</v>
      </c>
      <c r="B87">
        <v>2025</v>
      </c>
      <c r="C87" t="s">
        <v>69</v>
      </c>
      <c r="D87" t="s">
        <v>52</v>
      </c>
      <c r="E87">
        <v>4.7011320400546499E-3</v>
      </c>
      <c r="F87">
        <v>4.7011320400546499E-3</v>
      </c>
      <c r="G87">
        <v>0</v>
      </c>
      <c r="H87">
        <v>0</v>
      </c>
      <c r="I87" t="s">
        <v>70</v>
      </c>
    </row>
    <row r="88" spans="1:14" x14ac:dyDescent="0.35">
      <c r="A88" t="s">
        <v>4</v>
      </c>
      <c r="B88">
        <v>2025</v>
      </c>
      <c r="C88" t="s">
        <v>69</v>
      </c>
      <c r="D88" t="s">
        <v>53</v>
      </c>
      <c r="E88">
        <v>6.1079480285994997E-3</v>
      </c>
      <c r="F88">
        <v>6.1079480285994997E-3</v>
      </c>
      <c r="G88">
        <v>0</v>
      </c>
      <c r="H88">
        <v>0</v>
      </c>
      <c r="I88" t="s">
        <v>70</v>
      </c>
    </row>
    <row r="89" spans="1:14" x14ac:dyDescent="0.35">
      <c r="A89" t="s">
        <v>4</v>
      </c>
      <c r="B89">
        <v>2025</v>
      </c>
      <c r="C89" t="s">
        <v>69</v>
      </c>
      <c r="D89" t="s">
        <v>54</v>
      </c>
      <c r="E89">
        <v>4.5860645551242999E-4</v>
      </c>
      <c r="F89">
        <v>4.5860645551242999E-4</v>
      </c>
      <c r="G89">
        <v>0</v>
      </c>
      <c r="H89">
        <v>0</v>
      </c>
      <c r="I89" t="s">
        <v>70</v>
      </c>
    </row>
    <row r="90" spans="1:14" x14ac:dyDescent="0.35">
      <c r="A90" t="s">
        <v>4</v>
      </c>
      <c r="B90">
        <v>2025</v>
      </c>
      <c r="C90" t="s">
        <v>69</v>
      </c>
      <c r="D90" t="s">
        <v>55</v>
      </c>
      <c r="E90">
        <v>4.3345471487087902E-4</v>
      </c>
      <c r="F90">
        <v>4.3345471487087902E-4</v>
      </c>
      <c r="G90">
        <v>0</v>
      </c>
      <c r="H90">
        <v>0</v>
      </c>
      <c r="I90" t="s">
        <v>70</v>
      </c>
    </row>
    <row r="91" spans="1:14" x14ac:dyDescent="0.35">
      <c r="A91" t="s">
        <v>4</v>
      </c>
      <c r="B91">
        <v>2025</v>
      </c>
      <c r="C91" t="s">
        <v>69</v>
      </c>
      <c r="D91" t="s">
        <v>56</v>
      </c>
      <c r="E91" s="1">
        <v>1.1592905726688901E-9</v>
      </c>
      <c r="F91" s="1">
        <v>1.1592905726688901E-9</v>
      </c>
      <c r="G91">
        <v>0</v>
      </c>
      <c r="H91">
        <v>0</v>
      </c>
      <c r="I91" t="s">
        <v>70</v>
      </c>
    </row>
    <row r="92" spans="1:14" x14ac:dyDescent="0.35">
      <c r="A92" t="s">
        <v>6</v>
      </c>
      <c r="B92">
        <v>2030</v>
      </c>
      <c r="C92" t="s">
        <v>69</v>
      </c>
      <c r="D92" t="s">
        <v>38</v>
      </c>
      <c r="E92" s="1">
        <v>7.5463032154302E-6</v>
      </c>
      <c r="F92" s="1">
        <v>7.5463032154302E-6</v>
      </c>
      <c r="G92">
        <v>0</v>
      </c>
      <c r="H92">
        <v>0</v>
      </c>
      <c r="I92" t="s">
        <v>70</v>
      </c>
    </row>
    <row r="93" spans="1:14" x14ac:dyDescent="0.35">
      <c r="A93" t="s">
        <v>6</v>
      </c>
      <c r="B93">
        <v>2030</v>
      </c>
      <c r="C93" t="s">
        <v>69</v>
      </c>
      <c r="D93" t="s">
        <v>40</v>
      </c>
      <c r="E93" s="1">
        <v>3.7271592344894302E-5</v>
      </c>
      <c r="F93" s="1">
        <v>3.7271592344894302E-5</v>
      </c>
      <c r="G93">
        <v>0</v>
      </c>
      <c r="H93">
        <v>0</v>
      </c>
      <c r="I93" t="s">
        <v>70</v>
      </c>
    </row>
    <row r="94" spans="1:14" x14ac:dyDescent="0.35">
      <c r="A94" t="s">
        <v>6</v>
      </c>
      <c r="B94">
        <v>2030</v>
      </c>
      <c r="C94" t="s">
        <v>69</v>
      </c>
      <c r="D94" t="s">
        <v>41</v>
      </c>
      <c r="E94">
        <v>2.0511970667630401E-4</v>
      </c>
      <c r="F94">
        <v>2.0511970667630401E-4</v>
      </c>
      <c r="G94">
        <v>0</v>
      </c>
      <c r="H94">
        <v>0</v>
      </c>
      <c r="I94" t="s">
        <v>70</v>
      </c>
    </row>
    <row r="95" spans="1:14" x14ac:dyDescent="0.35">
      <c r="A95" t="s">
        <v>6</v>
      </c>
      <c r="B95">
        <v>2030</v>
      </c>
      <c r="C95" t="s">
        <v>69</v>
      </c>
      <c r="D95" t="s">
        <v>42</v>
      </c>
      <c r="E95">
        <v>1.11862186732288E-2</v>
      </c>
      <c r="F95">
        <v>1.11862186732288E-2</v>
      </c>
      <c r="G95">
        <v>0</v>
      </c>
      <c r="H95">
        <v>0</v>
      </c>
      <c r="I95" t="s">
        <v>70</v>
      </c>
    </row>
    <row r="96" spans="1:14" x14ac:dyDescent="0.35">
      <c r="A96" t="s">
        <v>6</v>
      </c>
      <c r="B96">
        <v>2030</v>
      </c>
      <c r="C96" t="s">
        <v>69</v>
      </c>
      <c r="D96" t="s">
        <v>43</v>
      </c>
      <c r="E96" s="1">
        <v>7.0930354580488194E-5</v>
      </c>
      <c r="F96" s="1">
        <v>7.0930354580488194E-5</v>
      </c>
      <c r="G96">
        <v>0</v>
      </c>
      <c r="H96">
        <v>0</v>
      </c>
      <c r="I96" t="s">
        <v>70</v>
      </c>
    </row>
    <row r="97" spans="1:9" x14ac:dyDescent="0.35">
      <c r="A97" t="s">
        <v>6</v>
      </c>
      <c r="B97">
        <v>2030</v>
      </c>
      <c r="C97" t="s">
        <v>69</v>
      </c>
      <c r="D97" t="s">
        <v>136</v>
      </c>
      <c r="E97">
        <v>2.1995397328657601E-2</v>
      </c>
      <c r="F97">
        <v>2.1995397328657601E-2</v>
      </c>
      <c r="G97">
        <v>0</v>
      </c>
      <c r="H97">
        <v>0</v>
      </c>
      <c r="I97" t="s">
        <v>70</v>
      </c>
    </row>
    <row r="98" spans="1:9" x14ac:dyDescent="0.35">
      <c r="A98" t="s">
        <v>6</v>
      </c>
      <c r="B98">
        <v>2030</v>
      </c>
      <c r="C98" t="s">
        <v>69</v>
      </c>
      <c r="D98" t="s">
        <v>45</v>
      </c>
      <c r="E98">
        <v>1.5281609967912699E-3</v>
      </c>
      <c r="F98">
        <v>1.5281609967912699E-3</v>
      </c>
      <c r="G98">
        <v>0</v>
      </c>
      <c r="H98">
        <v>0</v>
      </c>
      <c r="I98" t="s">
        <v>70</v>
      </c>
    </row>
    <row r="99" spans="1:9" x14ac:dyDescent="0.35">
      <c r="A99" t="s">
        <v>6</v>
      </c>
      <c r="B99">
        <v>2030</v>
      </c>
      <c r="C99" t="s">
        <v>69</v>
      </c>
      <c r="D99" t="s">
        <v>46</v>
      </c>
      <c r="E99">
        <v>8.8849636900437904E-4</v>
      </c>
      <c r="F99">
        <v>8.8849636900437904E-4</v>
      </c>
      <c r="G99">
        <v>0</v>
      </c>
      <c r="H99">
        <v>0</v>
      </c>
      <c r="I99" t="s">
        <v>70</v>
      </c>
    </row>
    <row r="100" spans="1:9" x14ac:dyDescent="0.35">
      <c r="A100" t="s">
        <v>6</v>
      </c>
      <c r="B100">
        <v>2030</v>
      </c>
      <c r="C100" t="s">
        <v>69</v>
      </c>
      <c r="D100" t="s">
        <v>47</v>
      </c>
      <c r="E100" s="1">
        <v>1.2663444595044E-5</v>
      </c>
      <c r="F100" s="1">
        <v>1.2663444595044E-5</v>
      </c>
      <c r="G100">
        <v>0</v>
      </c>
      <c r="H100">
        <v>0</v>
      </c>
      <c r="I100" t="s">
        <v>70</v>
      </c>
    </row>
    <row r="101" spans="1:9" x14ac:dyDescent="0.35">
      <c r="A101" t="s">
        <v>6</v>
      </c>
      <c r="B101">
        <v>2030</v>
      </c>
      <c r="C101" t="s">
        <v>69</v>
      </c>
      <c r="D101" t="s">
        <v>48</v>
      </c>
      <c r="E101">
        <v>1.5792144955763499E-3</v>
      </c>
      <c r="F101">
        <v>1.5792144955763499E-3</v>
      </c>
      <c r="G101">
        <v>0</v>
      </c>
      <c r="H101">
        <v>0</v>
      </c>
      <c r="I101" t="s">
        <v>70</v>
      </c>
    </row>
    <row r="102" spans="1:9" x14ac:dyDescent="0.35">
      <c r="A102" t="s">
        <v>6</v>
      </c>
      <c r="B102">
        <v>2030</v>
      </c>
      <c r="C102" t="s">
        <v>69</v>
      </c>
      <c r="D102" t="s">
        <v>49</v>
      </c>
      <c r="E102">
        <v>2.09542035364109E-4</v>
      </c>
      <c r="F102">
        <v>2.09542035364109E-4</v>
      </c>
      <c r="G102">
        <v>0</v>
      </c>
      <c r="H102">
        <v>0</v>
      </c>
      <c r="I102" t="s">
        <v>70</v>
      </c>
    </row>
    <row r="103" spans="1:9" x14ac:dyDescent="0.35">
      <c r="A103" t="s">
        <v>6</v>
      </c>
      <c r="B103">
        <v>2030</v>
      </c>
      <c r="C103" t="s">
        <v>69</v>
      </c>
      <c r="D103" t="s">
        <v>50</v>
      </c>
      <c r="E103">
        <v>5.3287733528657505E-4</v>
      </c>
      <c r="F103">
        <v>5.3287733528657505E-4</v>
      </c>
      <c r="G103">
        <v>0</v>
      </c>
      <c r="H103">
        <v>0</v>
      </c>
      <c r="I103" t="s">
        <v>70</v>
      </c>
    </row>
    <row r="104" spans="1:9" x14ac:dyDescent="0.35">
      <c r="A104" t="s">
        <v>6</v>
      </c>
      <c r="B104">
        <v>2030</v>
      </c>
      <c r="C104" t="s">
        <v>69</v>
      </c>
      <c r="D104" t="s">
        <v>51</v>
      </c>
      <c r="E104">
        <v>9.5283857638735897E-3</v>
      </c>
      <c r="F104">
        <v>9.5283857638735897E-3</v>
      </c>
      <c r="G104">
        <v>0</v>
      </c>
      <c r="H104">
        <v>0</v>
      </c>
      <c r="I104" t="s">
        <v>70</v>
      </c>
    </row>
    <row r="105" spans="1:9" x14ac:dyDescent="0.35">
      <c r="A105" t="s">
        <v>6</v>
      </c>
      <c r="B105">
        <v>2030</v>
      </c>
      <c r="C105" t="s">
        <v>69</v>
      </c>
      <c r="D105" t="s">
        <v>52</v>
      </c>
      <c r="E105">
        <v>4.0391987146085901E-3</v>
      </c>
      <c r="F105">
        <v>4.0391987146085901E-3</v>
      </c>
      <c r="G105">
        <v>0</v>
      </c>
      <c r="H105">
        <v>0</v>
      </c>
      <c r="I105" t="s">
        <v>70</v>
      </c>
    </row>
    <row r="106" spans="1:9" x14ac:dyDescent="0.35">
      <c r="A106" t="s">
        <v>6</v>
      </c>
      <c r="B106">
        <v>2030</v>
      </c>
      <c r="C106" t="s">
        <v>69</v>
      </c>
      <c r="D106" t="s">
        <v>53</v>
      </c>
      <c r="E106">
        <v>5.5648994005272198E-3</v>
      </c>
      <c r="F106">
        <v>5.5648994005272198E-3</v>
      </c>
      <c r="G106">
        <v>0</v>
      </c>
      <c r="H106">
        <v>0</v>
      </c>
      <c r="I106" t="s">
        <v>70</v>
      </c>
    </row>
    <row r="107" spans="1:9" x14ac:dyDescent="0.35">
      <c r="A107" t="s">
        <v>6</v>
      </c>
      <c r="B107">
        <v>2030</v>
      </c>
      <c r="C107" t="s">
        <v>69</v>
      </c>
      <c r="D107" t="s">
        <v>54</v>
      </c>
      <c r="E107">
        <v>4.2227315377411001E-4</v>
      </c>
      <c r="F107">
        <v>4.2227315377411001E-4</v>
      </c>
      <c r="G107">
        <v>0</v>
      </c>
      <c r="H107">
        <v>0</v>
      </c>
      <c r="I107" t="s">
        <v>70</v>
      </c>
    </row>
    <row r="108" spans="1:9" x14ac:dyDescent="0.35">
      <c r="A108" t="s">
        <v>6</v>
      </c>
      <c r="B108">
        <v>2030</v>
      </c>
      <c r="C108" t="s">
        <v>69</v>
      </c>
      <c r="D108" t="s">
        <v>55</v>
      </c>
      <c r="E108">
        <v>3.9781240199529203E-4</v>
      </c>
      <c r="F108">
        <v>3.9781240199529203E-4</v>
      </c>
      <c r="G108">
        <v>0</v>
      </c>
      <c r="H108">
        <v>0</v>
      </c>
      <c r="I108" t="s">
        <v>70</v>
      </c>
    </row>
    <row r="109" spans="1:9" x14ac:dyDescent="0.35">
      <c r="A109" t="s">
        <v>6</v>
      </c>
      <c r="B109">
        <v>2030</v>
      </c>
      <c r="C109" t="s">
        <v>69</v>
      </c>
      <c r="D109" t="s">
        <v>56</v>
      </c>
      <c r="E109" s="1">
        <v>1.0613983360824599E-9</v>
      </c>
      <c r="F109" s="1">
        <v>1.0613983360824599E-9</v>
      </c>
      <c r="G109">
        <v>0</v>
      </c>
      <c r="H109">
        <v>0</v>
      </c>
      <c r="I109" t="s">
        <v>70</v>
      </c>
    </row>
    <row r="110" spans="1:9" x14ac:dyDescent="0.35">
      <c r="A110" t="s">
        <v>8</v>
      </c>
      <c r="B110">
        <v>2035</v>
      </c>
      <c r="C110" t="s">
        <v>69</v>
      </c>
      <c r="D110" t="s">
        <v>38</v>
      </c>
      <c r="E110" s="1">
        <v>8.1075820450056007E-6</v>
      </c>
      <c r="F110" s="1">
        <v>8.1075820450056007E-6</v>
      </c>
      <c r="G110">
        <v>0</v>
      </c>
      <c r="H110">
        <v>0</v>
      </c>
      <c r="I110" t="s">
        <v>70</v>
      </c>
    </row>
    <row r="111" spans="1:9" x14ac:dyDescent="0.35">
      <c r="A111" t="s">
        <v>8</v>
      </c>
      <c r="B111">
        <v>2035</v>
      </c>
      <c r="C111" t="s">
        <v>69</v>
      </c>
      <c r="D111" t="s">
        <v>40</v>
      </c>
      <c r="E111" s="1">
        <v>3.7635902320450503E-5</v>
      </c>
      <c r="F111" s="1">
        <v>3.7635902320450503E-5</v>
      </c>
      <c r="G111">
        <v>0</v>
      </c>
      <c r="H111">
        <v>0</v>
      </c>
      <c r="I111" t="s">
        <v>70</v>
      </c>
    </row>
    <row r="112" spans="1:9" x14ac:dyDescent="0.35">
      <c r="A112" t="s">
        <v>8</v>
      </c>
      <c r="B112">
        <v>2035</v>
      </c>
      <c r="C112" t="s">
        <v>69</v>
      </c>
      <c r="D112" t="s">
        <v>41</v>
      </c>
      <c r="E112">
        <v>1.9987817751062801E-4</v>
      </c>
      <c r="F112">
        <v>1.9987817751062801E-4</v>
      </c>
      <c r="G112">
        <v>0</v>
      </c>
      <c r="H112">
        <v>0</v>
      </c>
      <c r="I112" t="s">
        <v>70</v>
      </c>
    </row>
    <row r="113" spans="1:9" x14ac:dyDescent="0.35">
      <c r="A113" t="s">
        <v>8</v>
      </c>
      <c r="B113">
        <v>2035</v>
      </c>
      <c r="C113" t="s">
        <v>69</v>
      </c>
      <c r="D113" t="s">
        <v>42</v>
      </c>
      <c r="E113">
        <v>8.3749622327640803E-3</v>
      </c>
      <c r="F113">
        <v>8.3749622327640803E-3</v>
      </c>
      <c r="G113">
        <v>0</v>
      </c>
      <c r="H113">
        <v>0</v>
      </c>
      <c r="I113" t="s">
        <v>70</v>
      </c>
    </row>
    <row r="114" spans="1:9" x14ac:dyDescent="0.35">
      <c r="A114" t="s">
        <v>8</v>
      </c>
      <c r="B114">
        <v>2035</v>
      </c>
      <c r="C114" t="s">
        <v>69</v>
      </c>
      <c r="D114" t="s">
        <v>43</v>
      </c>
      <c r="E114" s="1">
        <v>6.8277673990581306E-5</v>
      </c>
      <c r="F114" s="1">
        <v>6.8277673990581306E-5</v>
      </c>
      <c r="G114">
        <v>0</v>
      </c>
      <c r="H114">
        <v>0</v>
      </c>
      <c r="I114" t="s">
        <v>70</v>
      </c>
    </row>
    <row r="115" spans="1:9" x14ac:dyDescent="0.35">
      <c r="A115" t="s">
        <v>8</v>
      </c>
      <c r="B115">
        <v>2035</v>
      </c>
      <c r="C115" t="s">
        <v>69</v>
      </c>
      <c r="D115" t="s">
        <v>136</v>
      </c>
      <c r="E115">
        <v>1.94899152853374E-2</v>
      </c>
      <c r="F115">
        <v>1.94899152853374E-2</v>
      </c>
      <c r="G115">
        <v>0</v>
      </c>
      <c r="H115">
        <v>0</v>
      </c>
      <c r="I115" t="s">
        <v>70</v>
      </c>
    </row>
    <row r="116" spans="1:9" x14ac:dyDescent="0.35">
      <c r="A116" t="s">
        <v>8</v>
      </c>
      <c r="B116">
        <v>2035</v>
      </c>
      <c r="C116" t="s">
        <v>69</v>
      </c>
      <c r="D116" t="s">
        <v>45</v>
      </c>
      <c r="E116">
        <v>1.5250915272195301E-3</v>
      </c>
      <c r="F116">
        <v>1.5250915272195301E-3</v>
      </c>
      <c r="G116">
        <v>0</v>
      </c>
      <c r="H116">
        <v>0</v>
      </c>
      <c r="I116" t="s">
        <v>70</v>
      </c>
    </row>
    <row r="117" spans="1:9" x14ac:dyDescent="0.35">
      <c r="A117" t="s">
        <v>8</v>
      </c>
      <c r="B117">
        <v>2035</v>
      </c>
      <c r="C117" t="s">
        <v>69</v>
      </c>
      <c r="D117" t="s">
        <v>46</v>
      </c>
      <c r="E117">
        <v>1.53239423039269E-3</v>
      </c>
      <c r="F117">
        <v>1.53239423039269E-3</v>
      </c>
      <c r="G117">
        <v>0</v>
      </c>
      <c r="H117">
        <v>0</v>
      </c>
      <c r="I117" t="s">
        <v>70</v>
      </c>
    </row>
    <row r="118" spans="1:9" x14ac:dyDescent="0.35">
      <c r="A118" t="s">
        <v>8</v>
      </c>
      <c r="B118">
        <v>2035</v>
      </c>
      <c r="C118" t="s">
        <v>69</v>
      </c>
      <c r="D118" t="s">
        <v>47</v>
      </c>
      <c r="E118" s="1">
        <v>7.9602177212730494E-6</v>
      </c>
      <c r="F118" s="1">
        <v>7.9602177212730494E-6</v>
      </c>
      <c r="G118">
        <v>0</v>
      </c>
      <c r="H118">
        <v>0</v>
      </c>
      <c r="I118" t="s">
        <v>70</v>
      </c>
    </row>
    <row r="119" spans="1:9" x14ac:dyDescent="0.35">
      <c r="A119" t="s">
        <v>8</v>
      </c>
      <c r="B119">
        <v>2035</v>
      </c>
      <c r="C119" t="s">
        <v>69</v>
      </c>
      <c r="D119" t="s">
        <v>48</v>
      </c>
      <c r="E119">
        <v>1.5803058877779501E-3</v>
      </c>
      <c r="F119">
        <v>1.5803058877779501E-3</v>
      </c>
      <c r="G119">
        <v>0</v>
      </c>
      <c r="H119">
        <v>0</v>
      </c>
      <c r="I119" t="s">
        <v>70</v>
      </c>
    </row>
    <row r="120" spans="1:9" x14ac:dyDescent="0.35">
      <c r="A120" t="s">
        <v>8</v>
      </c>
      <c r="B120">
        <v>2035</v>
      </c>
      <c r="C120" t="s">
        <v>69</v>
      </c>
      <c r="D120" t="s">
        <v>49</v>
      </c>
      <c r="E120">
        <v>1.9945102977030001E-4</v>
      </c>
      <c r="F120">
        <v>1.9945102977030001E-4</v>
      </c>
      <c r="G120">
        <v>0</v>
      </c>
      <c r="H120">
        <v>0</v>
      </c>
      <c r="I120" t="s">
        <v>70</v>
      </c>
    </row>
    <row r="121" spans="1:9" x14ac:dyDescent="0.35">
      <c r="A121" t="s">
        <v>8</v>
      </c>
      <c r="B121">
        <v>2035</v>
      </c>
      <c r="C121" t="s">
        <v>69</v>
      </c>
      <c r="D121" t="s">
        <v>50</v>
      </c>
      <c r="E121">
        <v>5.1191215340479104E-4</v>
      </c>
      <c r="F121">
        <v>5.1191215340479104E-4</v>
      </c>
      <c r="G121">
        <v>0</v>
      </c>
      <c r="H121">
        <v>0</v>
      </c>
      <c r="I121" t="s">
        <v>70</v>
      </c>
    </row>
    <row r="122" spans="1:9" x14ac:dyDescent="0.35">
      <c r="A122" t="s">
        <v>8</v>
      </c>
      <c r="B122">
        <v>2035</v>
      </c>
      <c r="C122" t="s">
        <v>69</v>
      </c>
      <c r="D122" t="s">
        <v>51</v>
      </c>
      <c r="E122">
        <v>9.5734871683607198E-3</v>
      </c>
      <c r="F122">
        <v>9.5734871683607198E-3</v>
      </c>
      <c r="G122">
        <v>0</v>
      </c>
      <c r="H122">
        <v>0</v>
      </c>
      <c r="I122" t="s">
        <v>70</v>
      </c>
    </row>
    <row r="123" spans="1:9" x14ac:dyDescent="0.35">
      <c r="A123" t="s">
        <v>8</v>
      </c>
      <c r="B123">
        <v>2035</v>
      </c>
      <c r="C123" t="s">
        <v>69</v>
      </c>
      <c r="D123" t="s">
        <v>52</v>
      </c>
      <c r="E123">
        <v>3.39028926247431E-3</v>
      </c>
      <c r="F123">
        <v>3.39028926247431E-3</v>
      </c>
      <c r="G123">
        <v>0</v>
      </c>
      <c r="H123">
        <v>0</v>
      </c>
      <c r="I123" t="s">
        <v>70</v>
      </c>
    </row>
    <row r="124" spans="1:9" x14ac:dyDescent="0.35">
      <c r="A124" t="s">
        <v>8</v>
      </c>
      <c r="B124">
        <v>2035</v>
      </c>
      <c r="C124" t="s">
        <v>69</v>
      </c>
      <c r="D124" t="s">
        <v>53</v>
      </c>
      <c r="E124">
        <v>4.7908646769803101E-3</v>
      </c>
      <c r="F124">
        <v>4.7908646769803101E-3</v>
      </c>
      <c r="G124">
        <v>0</v>
      </c>
      <c r="H124">
        <v>0</v>
      </c>
      <c r="I124" t="s">
        <v>70</v>
      </c>
    </row>
    <row r="125" spans="1:9" x14ac:dyDescent="0.35">
      <c r="A125" t="s">
        <v>8</v>
      </c>
      <c r="B125">
        <v>2035</v>
      </c>
      <c r="C125" t="s">
        <v>69</v>
      </c>
      <c r="D125" t="s">
        <v>54</v>
      </c>
      <c r="E125">
        <v>3.5963747597922202E-4</v>
      </c>
      <c r="F125">
        <v>3.5963747597922202E-4</v>
      </c>
      <c r="G125">
        <v>0</v>
      </c>
      <c r="H125">
        <v>0</v>
      </c>
      <c r="I125" t="s">
        <v>70</v>
      </c>
    </row>
    <row r="126" spans="1:9" x14ac:dyDescent="0.35">
      <c r="A126" t="s">
        <v>8</v>
      </c>
      <c r="B126">
        <v>2035</v>
      </c>
      <c r="C126" t="s">
        <v>69</v>
      </c>
      <c r="D126" t="s">
        <v>55</v>
      </c>
      <c r="E126">
        <v>3.3737757959714202E-4</v>
      </c>
      <c r="F126">
        <v>3.3737757959714202E-4</v>
      </c>
      <c r="G126">
        <v>0</v>
      </c>
      <c r="H126">
        <v>0</v>
      </c>
      <c r="I126" t="s">
        <v>70</v>
      </c>
    </row>
    <row r="127" spans="1:9" x14ac:dyDescent="0.35">
      <c r="A127" t="s">
        <v>8</v>
      </c>
      <c r="B127">
        <v>2035</v>
      </c>
      <c r="C127" t="s">
        <v>69</v>
      </c>
      <c r="D127" t="s">
        <v>56</v>
      </c>
      <c r="E127" s="1">
        <v>9.5824104307321407E-10</v>
      </c>
      <c r="F127" s="1">
        <v>9.5824104307321407E-10</v>
      </c>
      <c r="G127">
        <v>0</v>
      </c>
      <c r="H127">
        <v>0</v>
      </c>
      <c r="I127" t="s">
        <v>70</v>
      </c>
    </row>
    <row r="128" spans="1:9" x14ac:dyDescent="0.35">
      <c r="A128" t="s">
        <v>10</v>
      </c>
      <c r="B128">
        <v>2040</v>
      </c>
      <c r="C128" t="s">
        <v>69</v>
      </c>
      <c r="D128" t="s">
        <v>38</v>
      </c>
      <c r="E128" s="1">
        <v>7.39613524142278E-6</v>
      </c>
      <c r="F128" s="1">
        <v>7.39613524142278E-6</v>
      </c>
      <c r="G128">
        <v>0</v>
      </c>
      <c r="H128">
        <v>0</v>
      </c>
      <c r="I128" t="s">
        <v>70</v>
      </c>
    </row>
    <row r="129" spans="1:9" x14ac:dyDescent="0.35">
      <c r="A129" t="s">
        <v>10</v>
      </c>
      <c r="B129">
        <v>2040</v>
      </c>
      <c r="C129" t="s">
        <v>69</v>
      </c>
      <c r="D129" t="s">
        <v>40</v>
      </c>
      <c r="E129" s="1">
        <v>3.7963644275053401E-5</v>
      </c>
      <c r="F129" s="1">
        <v>3.7963644275053401E-5</v>
      </c>
      <c r="G129">
        <v>0</v>
      </c>
      <c r="H129">
        <v>0</v>
      </c>
      <c r="I129" t="s">
        <v>70</v>
      </c>
    </row>
    <row r="130" spans="1:9" x14ac:dyDescent="0.35">
      <c r="A130" t="s">
        <v>10</v>
      </c>
      <c r="B130">
        <v>2040</v>
      </c>
      <c r="C130" t="s">
        <v>69</v>
      </c>
      <c r="D130" t="s">
        <v>41</v>
      </c>
      <c r="E130">
        <v>1.9812224696276099E-4</v>
      </c>
      <c r="F130">
        <v>1.9812224696276099E-4</v>
      </c>
      <c r="G130">
        <v>0</v>
      </c>
      <c r="H130">
        <v>0</v>
      </c>
      <c r="I130" t="s">
        <v>70</v>
      </c>
    </row>
    <row r="131" spans="1:9" x14ac:dyDescent="0.35">
      <c r="A131" t="s">
        <v>10</v>
      </c>
      <c r="B131">
        <v>2040</v>
      </c>
      <c r="C131" t="s">
        <v>69</v>
      </c>
      <c r="D131" t="s">
        <v>42</v>
      </c>
      <c r="E131">
        <v>7.9136188249449794E-3</v>
      </c>
      <c r="F131">
        <v>7.9136188249449794E-3</v>
      </c>
      <c r="G131">
        <v>0</v>
      </c>
      <c r="H131">
        <v>0</v>
      </c>
      <c r="I131" t="s">
        <v>70</v>
      </c>
    </row>
    <row r="132" spans="1:9" x14ac:dyDescent="0.35">
      <c r="A132" t="s">
        <v>10</v>
      </c>
      <c r="B132">
        <v>2040</v>
      </c>
      <c r="C132" t="s">
        <v>69</v>
      </c>
      <c r="D132" t="s">
        <v>43</v>
      </c>
      <c r="E132" s="1">
        <v>6.7459669781902296E-5</v>
      </c>
      <c r="F132" s="1">
        <v>6.7459669781902296E-5</v>
      </c>
      <c r="G132">
        <v>0</v>
      </c>
      <c r="H132">
        <v>0</v>
      </c>
      <c r="I132" t="s">
        <v>70</v>
      </c>
    </row>
    <row r="133" spans="1:9" x14ac:dyDescent="0.35">
      <c r="A133" t="s">
        <v>10</v>
      </c>
      <c r="B133">
        <v>2040</v>
      </c>
      <c r="C133" t="s">
        <v>69</v>
      </c>
      <c r="D133" t="s">
        <v>136</v>
      </c>
      <c r="E133">
        <v>1.85261771541585E-2</v>
      </c>
      <c r="F133">
        <v>1.85261771541585E-2</v>
      </c>
      <c r="G133">
        <v>0</v>
      </c>
      <c r="H133">
        <v>0</v>
      </c>
      <c r="I133" t="s">
        <v>70</v>
      </c>
    </row>
    <row r="134" spans="1:9" x14ac:dyDescent="0.35">
      <c r="A134" t="s">
        <v>10</v>
      </c>
      <c r="B134">
        <v>2040</v>
      </c>
      <c r="C134" t="s">
        <v>69</v>
      </c>
      <c r="D134" t="s">
        <v>45</v>
      </c>
      <c r="E134">
        <v>1.52416193497775E-3</v>
      </c>
      <c r="F134">
        <v>1.4644695234490801E-4</v>
      </c>
      <c r="G134">
        <v>-1.37771498263284E-3</v>
      </c>
      <c r="H134">
        <v>-90.391640875938407</v>
      </c>
      <c r="I134" t="s">
        <v>70</v>
      </c>
    </row>
    <row r="135" spans="1:9" x14ac:dyDescent="0.35">
      <c r="A135" t="s">
        <v>10</v>
      </c>
      <c r="B135">
        <v>2040</v>
      </c>
      <c r="C135" t="s">
        <v>69</v>
      </c>
      <c r="D135" t="s">
        <v>46</v>
      </c>
      <c r="E135">
        <v>2.4956632996079699E-3</v>
      </c>
      <c r="F135">
        <v>2.4956632996079699E-3</v>
      </c>
      <c r="G135">
        <v>0</v>
      </c>
      <c r="H135">
        <v>0</v>
      </c>
      <c r="I135" t="s">
        <v>70</v>
      </c>
    </row>
    <row r="136" spans="1:9" x14ac:dyDescent="0.35">
      <c r="A136" t="s">
        <v>10</v>
      </c>
      <c r="B136">
        <v>2040</v>
      </c>
      <c r="C136" t="s">
        <v>69</v>
      </c>
      <c r="D136" t="s">
        <v>47</v>
      </c>
      <c r="E136" s="1">
        <v>7.1730041495999097E-6</v>
      </c>
      <c r="F136" s="1">
        <v>7.1730041495999097E-6</v>
      </c>
      <c r="G136">
        <v>0</v>
      </c>
      <c r="H136">
        <v>0</v>
      </c>
      <c r="I136" t="s">
        <v>70</v>
      </c>
    </row>
    <row r="137" spans="1:9" x14ac:dyDescent="0.35">
      <c r="A137" t="s">
        <v>10</v>
      </c>
      <c r="B137">
        <v>2040</v>
      </c>
      <c r="C137" t="s">
        <v>69</v>
      </c>
      <c r="D137" t="s">
        <v>48</v>
      </c>
      <c r="E137">
        <v>1.5783735344566099E-3</v>
      </c>
      <c r="F137">
        <v>1.5783735344566099E-3</v>
      </c>
      <c r="G137">
        <v>0</v>
      </c>
      <c r="H137">
        <v>0</v>
      </c>
      <c r="I137" t="s">
        <v>70</v>
      </c>
    </row>
    <row r="138" spans="1:9" x14ac:dyDescent="0.35">
      <c r="A138" t="s">
        <v>10</v>
      </c>
      <c r="B138">
        <v>2040</v>
      </c>
      <c r="C138" t="s">
        <v>69</v>
      </c>
      <c r="D138" t="s">
        <v>49</v>
      </c>
      <c r="E138">
        <v>1.96656871189608E-4</v>
      </c>
      <c r="F138">
        <v>1.96656871189608E-4</v>
      </c>
      <c r="G138">
        <v>0</v>
      </c>
      <c r="H138">
        <v>0</v>
      </c>
      <c r="I138" t="s">
        <v>70</v>
      </c>
    </row>
    <row r="139" spans="1:9" x14ac:dyDescent="0.35">
      <c r="A139" t="s">
        <v>10</v>
      </c>
      <c r="B139">
        <v>2040</v>
      </c>
      <c r="C139" t="s">
        <v>69</v>
      </c>
      <c r="D139" t="s">
        <v>50</v>
      </c>
      <c r="E139">
        <v>4.9685752003591197E-4</v>
      </c>
      <c r="F139">
        <v>4.9685752003591197E-4</v>
      </c>
      <c r="G139">
        <v>0</v>
      </c>
      <c r="H139">
        <v>0</v>
      </c>
      <c r="I139" t="s">
        <v>70</v>
      </c>
    </row>
    <row r="140" spans="1:9" x14ac:dyDescent="0.35">
      <c r="A140" t="s">
        <v>10</v>
      </c>
      <c r="B140">
        <v>2040</v>
      </c>
      <c r="C140" t="s">
        <v>69</v>
      </c>
      <c r="D140" t="s">
        <v>51</v>
      </c>
      <c r="E140">
        <v>9.6299373740504606E-3</v>
      </c>
      <c r="F140">
        <v>9.6299373740504606E-3</v>
      </c>
      <c r="G140">
        <v>0</v>
      </c>
      <c r="H140">
        <v>0</v>
      </c>
      <c r="I140" t="s">
        <v>70</v>
      </c>
    </row>
    <row r="141" spans="1:9" x14ac:dyDescent="0.35">
      <c r="A141" t="s">
        <v>10</v>
      </c>
      <c r="B141">
        <v>2040</v>
      </c>
      <c r="C141" t="s">
        <v>69</v>
      </c>
      <c r="D141" t="s">
        <v>52</v>
      </c>
      <c r="E141">
        <v>2.6483235444535701E-3</v>
      </c>
      <c r="F141">
        <v>2.6483235444535701E-3</v>
      </c>
      <c r="G141">
        <v>0</v>
      </c>
      <c r="H141">
        <v>0</v>
      </c>
      <c r="I141" t="s">
        <v>70</v>
      </c>
    </row>
    <row r="142" spans="1:9" x14ac:dyDescent="0.35">
      <c r="A142" t="s">
        <v>10</v>
      </c>
      <c r="B142">
        <v>2040</v>
      </c>
      <c r="C142" t="s">
        <v>69</v>
      </c>
      <c r="D142" t="s">
        <v>53</v>
      </c>
      <c r="E142">
        <v>4.4096473176388797E-3</v>
      </c>
      <c r="F142">
        <v>4.4096473176388797E-3</v>
      </c>
      <c r="G142">
        <v>0</v>
      </c>
      <c r="H142">
        <v>0</v>
      </c>
      <c r="I142" t="s">
        <v>70</v>
      </c>
    </row>
    <row r="143" spans="1:9" x14ac:dyDescent="0.35">
      <c r="A143" t="s">
        <v>10</v>
      </c>
      <c r="B143">
        <v>2040</v>
      </c>
      <c r="C143" t="s">
        <v>69</v>
      </c>
      <c r="D143" t="s">
        <v>54</v>
      </c>
      <c r="E143">
        <v>3.5174107594803901E-4</v>
      </c>
      <c r="F143">
        <v>3.5174107594803901E-4</v>
      </c>
      <c r="G143">
        <v>0</v>
      </c>
      <c r="H143">
        <v>0</v>
      </c>
      <c r="I143" t="s">
        <v>70</v>
      </c>
    </row>
    <row r="144" spans="1:9" x14ac:dyDescent="0.35">
      <c r="A144" t="s">
        <v>10</v>
      </c>
      <c r="B144">
        <v>2040</v>
      </c>
      <c r="C144" t="s">
        <v>69</v>
      </c>
      <c r="D144" t="s">
        <v>55</v>
      </c>
      <c r="E144">
        <v>3.30009517111351E-4</v>
      </c>
      <c r="F144">
        <v>3.30009517111351E-4</v>
      </c>
      <c r="G144">
        <v>0</v>
      </c>
      <c r="H144">
        <v>0</v>
      </c>
      <c r="I144" t="s">
        <v>70</v>
      </c>
    </row>
    <row r="145" spans="1:9" x14ac:dyDescent="0.35">
      <c r="A145" t="s">
        <v>10</v>
      </c>
      <c r="B145">
        <v>2040</v>
      </c>
      <c r="C145" t="s">
        <v>69</v>
      </c>
      <c r="D145" t="s">
        <v>56</v>
      </c>
      <c r="E145" s="1">
        <v>8.5090211996990103E-10</v>
      </c>
      <c r="F145" s="1">
        <v>8.5090211996990103E-10</v>
      </c>
      <c r="G145">
        <v>0</v>
      </c>
      <c r="H145">
        <v>0</v>
      </c>
      <c r="I145" t="s">
        <v>70</v>
      </c>
    </row>
    <row r="146" spans="1:9" x14ac:dyDescent="0.35">
      <c r="A146" t="s">
        <v>4</v>
      </c>
      <c r="B146">
        <v>2025</v>
      </c>
      <c r="C146" t="s">
        <v>80</v>
      </c>
      <c r="D146" t="s">
        <v>38</v>
      </c>
      <c r="E146">
        <v>1.20477719604699E-3</v>
      </c>
      <c r="F146">
        <v>1.20477719604699E-3</v>
      </c>
      <c r="G146">
        <v>0</v>
      </c>
      <c r="H146">
        <v>0</v>
      </c>
      <c r="I146" t="s">
        <v>82</v>
      </c>
    </row>
    <row r="147" spans="1:9" x14ac:dyDescent="0.35">
      <c r="A147" t="s">
        <v>4</v>
      </c>
      <c r="B147">
        <v>2025</v>
      </c>
      <c r="C147" t="s">
        <v>80</v>
      </c>
      <c r="D147" t="s">
        <v>40</v>
      </c>
      <c r="E147">
        <v>4.5481624572771203E-4</v>
      </c>
      <c r="F147">
        <v>4.5481624572771203E-4</v>
      </c>
      <c r="G147">
        <v>0</v>
      </c>
      <c r="H147">
        <v>0</v>
      </c>
      <c r="I147" t="s">
        <v>82</v>
      </c>
    </row>
    <row r="148" spans="1:9" x14ac:dyDescent="0.35">
      <c r="A148" t="s">
        <v>4</v>
      </c>
      <c r="B148">
        <v>2025</v>
      </c>
      <c r="C148" t="s">
        <v>80</v>
      </c>
      <c r="D148" t="s">
        <v>41</v>
      </c>
      <c r="E148">
        <v>4.2466211166021497E-3</v>
      </c>
      <c r="F148">
        <v>4.2466211166021497E-3</v>
      </c>
      <c r="G148">
        <v>0</v>
      </c>
      <c r="H148">
        <v>0</v>
      </c>
      <c r="I148" t="s">
        <v>82</v>
      </c>
    </row>
    <row r="149" spans="1:9" x14ac:dyDescent="0.35">
      <c r="A149" t="s">
        <v>4</v>
      </c>
      <c r="B149">
        <v>2025</v>
      </c>
      <c r="C149" t="s">
        <v>80</v>
      </c>
      <c r="D149" t="s">
        <v>42</v>
      </c>
      <c r="E149">
        <v>0.68353579349201299</v>
      </c>
      <c r="F149">
        <v>0.68353579349201299</v>
      </c>
      <c r="G149">
        <v>0</v>
      </c>
      <c r="H149">
        <v>0</v>
      </c>
      <c r="I149" t="s">
        <v>82</v>
      </c>
    </row>
    <row r="150" spans="1:9" x14ac:dyDescent="0.35">
      <c r="A150" t="s">
        <v>4</v>
      </c>
      <c r="B150">
        <v>2025</v>
      </c>
      <c r="C150" t="s">
        <v>80</v>
      </c>
      <c r="D150" t="s">
        <v>43</v>
      </c>
      <c r="E150">
        <v>1.65903735168151E-3</v>
      </c>
      <c r="F150">
        <v>1.65903735168151E-3</v>
      </c>
      <c r="G150">
        <v>0</v>
      </c>
      <c r="H150">
        <v>0</v>
      </c>
      <c r="I150" t="s">
        <v>82</v>
      </c>
    </row>
    <row r="151" spans="1:9" x14ac:dyDescent="0.35">
      <c r="A151" t="s">
        <v>4</v>
      </c>
      <c r="B151">
        <v>2025</v>
      </c>
      <c r="C151" t="s">
        <v>80</v>
      </c>
      <c r="D151" t="s">
        <v>136</v>
      </c>
      <c r="E151">
        <v>2.1398822731696798</v>
      </c>
      <c r="F151">
        <v>2.1398822731696798</v>
      </c>
      <c r="G151">
        <v>0</v>
      </c>
      <c r="H151">
        <v>0</v>
      </c>
      <c r="I151" t="s">
        <v>82</v>
      </c>
    </row>
    <row r="152" spans="1:9" x14ac:dyDescent="0.35">
      <c r="A152" t="s">
        <v>4</v>
      </c>
      <c r="B152">
        <v>2025</v>
      </c>
      <c r="C152" t="s">
        <v>80</v>
      </c>
      <c r="D152" t="s">
        <v>45</v>
      </c>
      <c r="E152">
        <v>3.43387831865052E-3</v>
      </c>
      <c r="F152">
        <v>3.43387831865052E-3</v>
      </c>
      <c r="G152">
        <v>0</v>
      </c>
      <c r="H152">
        <v>0</v>
      </c>
      <c r="I152" t="s">
        <v>82</v>
      </c>
    </row>
    <row r="153" spans="1:9" x14ac:dyDescent="0.35">
      <c r="A153" t="s">
        <v>4</v>
      </c>
      <c r="B153">
        <v>2025</v>
      </c>
      <c r="C153" t="s">
        <v>80</v>
      </c>
      <c r="D153" t="s">
        <v>46</v>
      </c>
      <c r="E153">
        <v>7.77709507262309E-2</v>
      </c>
      <c r="F153">
        <v>7.77709507262309E-2</v>
      </c>
      <c r="G153">
        <v>0</v>
      </c>
      <c r="H153">
        <v>0</v>
      </c>
      <c r="I153" t="s">
        <v>82</v>
      </c>
    </row>
    <row r="154" spans="1:9" x14ac:dyDescent="0.35">
      <c r="A154" t="s">
        <v>4</v>
      </c>
      <c r="B154">
        <v>2025</v>
      </c>
      <c r="C154" t="s">
        <v>80</v>
      </c>
      <c r="D154" t="s">
        <v>47</v>
      </c>
      <c r="E154">
        <v>6.2671880553997995E-4</v>
      </c>
      <c r="F154">
        <v>6.2671880553997995E-4</v>
      </c>
      <c r="G154">
        <v>0</v>
      </c>
      <c r="H154">
        <v>0</v>
      </c>
      <c r="I154" t="s">
        <v>82</v>
      </c>
    </row>
    <row r="155" spans="1:9" x14ac:dyDescent="0.35">
      <c r="A155" t="s">
        <v>4</v>
      </c>
      <c r="B155">
        <v>2025</v>
      </c>
      <c r="C155" t="s">
        <v>80</v>
      </c>
      <c r="D155" t="s">
        <v>48</v>
      </c>
      <c r="E155">
        <v>80.554184105807707</v>
      </c>
      <c r="F155">
        <v>80.554184105807707</v>
      </c>
      <c r="G155">
        <v>0</v>
      </c>
      <c r="H155">
        <v>0</v>
      </c>
      <c r="I155" t="s">
        <v>82</v>
      </c>
    </row>
    <row r="156" spans="1:9" x14ac:dyDescent="0.35">
      <c r="A156" t="s">
        <v>4</v>
      </c>
      <c r="B156">
        <v>2025</v>
      </c>
      <c r="C156" t="s">
        <v>80</v>
      </c>
      <c r="D156" t="s">
        <v>49</v>
      </c>
      <c r="E156">
        <v>5.31427589189479E-3</v>
      </c>
      <c r="F156">
        <v>5.31427589189479E-3</v>
      </c>
      <c r="G156">
        <v>0</v>
      </c>
      <c r="H156">
        <v>0</v>
      </c>
      <c r="I156" t="s">
        <v>82</v>
      </c>
    </row>
    <row r="157" spans="1:9" x14ac:dyDescent="0.35">
      <c r="A157" t="s">
        <v>4</v>
      </c>
      <c r="B157">
        <v>2025</v>
      </c>
      <c r="C157" t="s">
        <v>80</v>
      </c>
      <c r="D157" t="s">
        <v>50</v>
      </c>
      <c r="E157">
        <v>1.1625128216759499E-2</v>
      </c>
      <c r="F157">
        <v>1.1625128216759499E-2</v>
      </c>
      <c r="G157">
        <v>0</v>
      </c>
      <c r="H157">
        <v>0</v>
      </c>
      <c r="I157" t="s">
        <v>82</v>
      </c>
    </row>
    <row r="158" spans="1:9" x14ac:dyDescent="0.35">
      <c r="A158" t="s">
        <v>4</v>
      </c>
      <c r="B158">
        <v>2025</v>
      </c>
      <c r="C158" t="s">
        <v>80</v>
      </c>
      <c r="D158" t="s">
        <v>51</v>
      </c>
      <c r="E158">
        <v>6.66707850901853E-2</v>
      </c>
      <c r="F158">
        <v>6.66707850901853E-2</v>
      </c>
      <c r="G158">
        <v>0</v>
      </c>
      <c r="H158">
        <v>0</v>
      </c>
      <c r="I158" t="s">
        <v>82</v>
      </c>
    </row>
    <row r="159" spans="1:9" x14ac:dyDescent="0.35">
      <c r="A159" t="s">
        <v>4</v>
      </c>
      <c r="B159">
        <v>2025</v>
      </c>
      <c r="C159" t="s">
        <v>80</v>
      </c>
      <c r="D159" t="s">
        <v>52</v>
      </c>
      <c r="E159">
        <v>0.157479594218803</v>
      </c>
      <c r="F159">
        <v>0.157479594218803</v>
      </c>
      <c r="G159">
        <v>0</v>
      </c>
      <c r="H159">
        <v>0</v>
      </c>
      <c r="I159" t="s">
        <v>82</v>
      </c>
    </row>
    <row r="160" spans="1:9" x14ac:dyDescent="0.35">
      <c r="A160" t="s">
        <v>4</v>
      </c>
      <c r="B160">
        <v>2025</v>
      </c>
      <c r="C160" t="s">
        <v>80</v>
      </c>
      <c r="D160" t="s">
        <v>53</v>
      </c>
      <c r="E160">
        <v>0.43178647450483698</v>
      </c>
      <c r="F160">
        <v>0.43178647450483698</v>
      </c>
      <c r="G160">
        <v>0</v>
      </c>
      <c r="H160">
        <v>0</v>
      </c>
      <c r="I160" t="s">
        <v>82</v>
      </c>
    </row>
    <row r="161" spans="1:9" x14ac:dyDescent="0.35">
      <c r="A161" t="s">
        <v>4</v>
      </c>
      <c r="B161">
        <v>2025</v>
      </c>
      <c r="C161" t="s">
        <v>80</v>
      </c>
      <c r="D161" t="s">
        <v>54</v>
      </c>
      <c r="E161">
        <v>5.11294315465253E-2</v>
      </c>
      <c r="F161">
        <v>5.11294315465253E-2</v>
      </c>
      <c r="G161">
        <v>0</v>
      </c>
      <c r="H161">
        <v>0</v>
      </c>
      <c r="I161" t="s">
        <v>82</v>
      </c>
    </row>
    <row r="162" spans="1:9" x14ac:dyDescent="0.35">
      <c r="A162" t="s">
        <v>4</v>
      </c>
      <c r="B162">
        <v>2025</v>
      </c>
      <c r="C162" t="s">
        <v>80</v>
      </c>
      <c r="D162" t="s">
        <v>55</v>
      </c>
      <c r="E162">
        <v>4.7276039367630598E-2</v>
      </c>
      <c r="F162">
        <v>4.7276039367630598E-2</v>
      </c>
      <c r="G162">
        <v>0</v>
      </c>
      <c r="H162">
        <v>0</v>
      </c>
      <c r="I162" t="s">
        <v>82</v>
      </c>
    </row>
    <row r="163" spans="1:9" x14ac:dyDescent="0.35">
      <c r="A163" t="s">
        <v>4</v>
      </c>
      <c r="B163">
        <v>2025</v>
      </c>
      <c r="C163" t="s">
        <v>80</v>
      </c>
      <c r="D163" t="s">
        <v>56</v>
      </c>
      <c r="E163" s="1">
        <v>7.4969419699688601E-8</v>
      </c>
      <c r="F163" s="1">
        <v>7.4969419699688601E-8</v>
      </c>
      <c r="G163">
        <v>0</v>
      </c>
      <c r="H163">
        <v>0</v>
      </c>
      <c r="I163" t="s">
        <v>82</v>
      </c>
    </row>
    <row r="164" spans="1:9" x14ac:dyDescent="0.35">
      <c r="A164" t="s">
        <v>6</v>
      </c>
      <c r="B164">
        <v>2030</v>
      </c>
      <c r="C164" t="s">
        <v>80</v>
      </c>
      <c r="D164" t="s">
        <v>38</v>
      </c>
      <c r="E164">
        <v>1.20224989235331E-3</v>
      </c>
      <c r="F164">
        <v>1.20224989235331E-3</v>
      </c>
      <c r="G164">
        <v>0</v>
      </c>
      <c r="H164">
        <v>0</v>
      </c>
      <c r="I164" t="s">
        <v>82</v>
      </c>
    </row>
    <row r="165" spans="1:9" x14ac:dyDescent="0.35">
      <c r="A165" t="s">
        <v>6</v>
      </c>
      <c r="B165">
        <v>2030</v>
      </c>
      <c r="C165" t="s">
        <v>80</v>
      </c>
      <c r="D165" t="s">
        <v>40</v>
      </c>
      <c r="E165">
        <v>4.1213615030119701E-4</v>
      </c>
      <c r="F165">
        <v>4.1213615030119701E-4</v>
      </c>
      <c r="G165">
        <v>0</v>
      </c>
      <c r="H165">
        <v>0</v>
      </c>
      <c r="I165" t="s">
        <v>82</v>
      </c>
    </row>
    <row r="166" spans="1:9" x14ac:dyDescent="0.35">
      <c r="A166" t="s">
        <v>6</v>
      </c>
      <c r="B166">
        <v>2030</v>
      </c>
      <c r="C166" t="s">
        <v>80</v>
      </c>
      <c r="D166" t="s">
        <v>41</v>
      </c>
      <c r="E166">
        <v>3.7276448131347301E-3</v>
      </c>
      <c r="F166">
        <v>3.7276448131347301E-3</v>
      </c>
      <c r="G166">
        <v>0</v>
      </c>
      <c r="H166">
        <v>0</v>
      </c>
      <c r="I166" t="s">
        <v>82</v>
      </c>
    </row>
    <row r="167" spans="1:9" x14ac:dyDescent="0.35">
      <c r="A167" t="s">
        <v>6</v>
      </c>
      <c r="B167">
        <v>2030</v>
      </c>
      <c r="C167" t="s">
        <v>80</v>
      </c>
      <c r="D167" t="s">
        <v>42</v>
      </c>
      <c r="E167">
        <v>0.59399395686609702</v>
      </c>
      <c r="F167">
        <v>0.59399395686609702</v>
      </c>
      <c r="G167">
        <v>0</v>
      </c>
      <c r="H167">
        <v>0</v>
      </c>
      <c r="I167" t="s">
        <v>82</v>
      </c>
    </row>
    <row r="168" spans="1:9" x14ac:dyDescent="0.35">
      <c r="A168" t="s">
        <v>6</v>
      </c>
      <c r="B168">
        <v>2030</v>
      </c>
      <c r="C168" t="s">
        <v>80</v>
      </c>
      <c r="D168" t="s">
        <v>43</v>
      </c>
      <c r="E168">
        <v>1.46269874047879E-3</v>
      </c>
      <c r="F168">
        <v>1.46269874047879E-3</v>
      </c>
      <c r="G168">
        <v>0</v>
      </c>
      <c r="H168">
        <v>0</v>
      </c>
      <c r="I168" t="s">
        <v>82</v>
      </c>
    </row>
    <row r="169" spans="1:9" x14ac:dyDescent="0.35">
      <c r="A169" t="s">
        <v>6</v>
      </c>
      <c r="B169">
        <v>2030</v>
      </c>
      <c r="C169" t="s">
        <v>80</v>
      </c>
      <c r="D169" t="s">
        <v>136</v>
      </c>
      <c r="E169">
        <v>1.8729346951841299</v>
      </c>
      <c r="F169">
        <v>1.8729346951841299</v>
      </c>
      <c r="G169">
        <v>0</v>
      </c>
      <c r="H169">
        <v>0</v>
      </c>
      <c r="I169" t="s">
        <v>82</v>
      </c>
    </row>
    <row r="170" spans="1:9" x14ac:dyDescent="0.35">
      <c r="A170" t="s">
        <v>6</v>
      </c>
      <c r="B170">
        <v>2030</v>
      </c>
      <c r="C170" t="s">
        <v>80</v>
      </c>
      <c r="D170" t="s">
        <v>45</v>
      </c>
      <c r="E170">
        <v>2.71950223938229E-3</v>
      </c>
      <c r="F170">
        <v>2.71950223938229E-3</v>
      </c>
      <c r="G170">
        <v>0</v>
      </c>
      <c r="H170">
        <v>0</v>
      </c>
      <c r="I170" t="s">
        <v>82</v>
      </c>
    </row>
    <row r="171" spans="1:9" x14ac:dyDescent="0.35">
      <c r="A171" t="s">
        <v>6</v>
      </c>
      <c r="B171">
        <v>2030</v>
      </c>
      <c r="C171" t="s">
        <v>80</v>
      </c>
      <c r="D171" t="s">
        <v>46</v>
      </c>
      <c r="E171">
        <v>7.9757268877724996E-2</v>
      </c>
      <c r="F171">
        <v>7.9757268877724996E-2</v>
      </c>
      <c r="G171">
        <v>0</v>
      </c>
      <c r="H171">
        <v>0</v>
      </c>
      <c r="I171" t="s">
        <v>82</v>
      </c>
    </row>
    <row r="172" spans="1:9" x14ac:dyDescent="0.35">
      <c r="A172" t="s">
        <v>6</v>
      </c>
      <c r="B172">
        <v>2030</v>
      </c>
      <c r="C172" t="s">
        <v>80</v>
      </c>
      <c r="D172" t="s">
        <v>47</v>
      </c>
      <c r="E172">
        <v>5.0066639554662202E-4</v>
      </c>
      <c r="F172">
        <v>5.0066639554662202E-4</v>
      </c>
      <c r="G172">
        <v>0</v>
      </c>
      <c r="H172">
        <v>0</v>
      </c>
      <c r="I172" t="s">
        <v>82</v>
      </c>
    </row>
    <row r="173" spans="1:9" x14ac:dyDescent="0.35">
      <c r="A173" t="s">
        <v>6</v>
      </c>
      <c r="B173">
        <v>2030</v>
      </c>
      <c r="C173" t="s">
        <v>80</v>
      </c>
      <c r="D173" t="s">
        <v>48</v>
      </c>
      <c r="E173">
        <v>80.555819991592301</v>
      </c>
      <c r="F173">
        <v>80.555819991592301</v>
      </c>
      <c r="G173">
        <v>0</v>
      </c>
      <c r="H173">
        <v>0</v>
      </c>
      <c r="I173" t="s">
        <v>82</v>
      </c>
    </row>
    <row r="174" spans="1:9" x14ac:dyDescent="0.35">
      <c r="A174" t="s">
        <v>6</v>
      </c>
      <c r="B174">
        <v>2030</v>
      </c>
      <c r="C174" t="s">
        <v>80</v>
      </c>
      <c r="D174" t="s">
        <v>49</v>
      </c>
      <c r="E174">
        <v>4.5306251487553699E-3</v>
      </c>
      <c r="F174">
        <v>4.5306251487553699E-3</v>
      </c>
      <c r="G174">
        <v>0</v>
      </c>
      <c r="H174">
        <v>0</v>
      </c>
      <c r="I174" t="s">
        <v>82</v>
      </c>
    </row>
    <row r="175" spans="1:9" x14ac:dyDescent="0.35">
      <c r="A175" t="s">
        <v>6</v>
      </c>
      <c r="B175">
        <v>2030</v>
      </c>
      <c r="C175" t="s">
        <v>80</v>
      </c>
      <c r="D175" t="s">
        <v>50</v>
      </c>
      <c r="E175">
        <v>1.0657760557970001E-2</v>
      </c>
      <c r="F175">
        <v>1.0657760557970001E-2</v>
      </c>
      <c r="G175">
        <v>0</v>
      </c>
      <c r="H175">
        <v>0</v>
      </c>
      <c r="I175" t="s">
        <v>82</v>
      </c>
    </row>
    <row r="176" spans="1:9" x14ac:dyDescent="0.35">
      <c r="A176" t="s">
        <v>6</v>
      </c>
      <c r="B176">
        <v>2030</v>
      </c>
      <c r="C176" t="s">
        <v>80</v>
      </c>
      <c r="D176" t="s">
        <v>51</v>
      </c>
      <c r="E176">
        <v>6.8199268114356698E-2</v>
      </c>
      <c r="F176">
        <v>6.8199268114356698E-2</v>
      </c>
      <c r="G176">
        <v>0</v>
      </c>
      <c r="H176">
        <v>0</v>
      </c>
      <c r="I176" t="s">
        <v>82</v>
      </c>
    </row>
    <row r="177" spans="1:9" x14ac:dyDescent="0.35">
      <c r="A177" t="s">
        <v>6</v>
      </c>
      <c r="B177">
        <v>2030</v>
      </c>
      <c r="C177" t="s">
        <v>80</v>
      </c>
      <c r="D177" t="s">
        <v>52</v>
      </c>
      <c r="E177">
        <v>0.13362705399764699</v>
      </c>
      <c r="F177">
        <v>0.13362705399764699</v>
      </c>
      <c r="G177">
        <v>0</v>
      </c>
      <c r="H177">
        <v>0</v>
      </c>
      <c r="I177" t="s">
        <v>82</v>
      </c>
    </row>
    <row r="178" spans="1:9" x14ac:dyDescent="0.35">
      <c r="A178" t="s">
        <v>6</v>
      </c>
      <c r="B178">
        <v>2030</v>
      </c>
      <c r="C178" t="s">
        <v>80</v>
      </c>
      <c r="D178" t="s">
        <v>53</v>
      </c>
      <c r="E178">
        <v>0.36682930132493702</v>
      </c>
      <c r="F178">
        <v>0.36682930132493702</v>
      </c>
      <c r="G178">
        <v>0</v>
      </c>
      <c r="H178">
        <v>0</v>
      </c>
      <c r="I178" t="s">
        <v>82</v>
      </c>
    </row>
    <row r="179" spans="1:9" x14ac:dyDescent="0.35">
      <c r="A179" t="s">
        <v>6</v>
      </c>
      <c r="B179">
        <v>2030</v>
      </c>
      <c r="C179" t="s">
        <v>80</v>
      </c>
      <c r="D179" t="s">
        <v>54</v>
      </c>
      <c r="E179">
        <v>5.1023109700460201E-2</v>
      </c>
      <c r="F179">
        <v>5.1023109700460201E-2</v>
      </c>
      <c r="G179">
        <v>0</v>
      </c>
      <c r="H179">
        <v>0</v>
      </c>
      <c r="I179" t="s">
        <v>82</v>
      </c>
    </row>
    <row r="180" spans="1:9" x14ac:dyDescent="0.35">
      <c r="A180" t="s">
        <v>6</v>
      </c>
      <c r="B180">
        <v>2030</v>
      </c>
      <c r="C180" t="s">
        <v>80</v>
      </c>
      <c r="D180" t="s">
        <v>55</v>
      </c>
      <c r="E180">
        <v>4.6948115605105499E-2</v>
      </c>
      <c r="F180">
        <v>4.6948115605105499E-2</v>
      </c>
      <c r="G180">
        <v>0</v>
      </c>
      <c r="H180">
        <v>0</v>
      </c>
      <c r="I180" t="s">
        <v>82</v>
      </c>
    </row>
    <row r="181" spans="1:9" x14ac:dyDescent="0.35">
      <c r="A181" t="s">
        <v>6</v>
      </c>
      <c r="B181">
        <v>2030</v>
      </c>
      <c r="C181" t="s">
        <v>80</v>
      </c>
      <c r="D181" t="s">
        <v>56</v>
      </c>
      <c r="E181" s="1">
        <v>6.5657871517113402E-8</v>
      </c>
      <c r="F181" s="1">
        <v>6.5657871517113402E-8</v>
      </c>
      <c r="G181">
        <v>0</v>
      </c>
      <c r="H181">
        <v>0</v>
      </c>
      <c r="I181" t="s">
        <v>82</v>
      </c>
    </row>
    <row r="182" spans="1:9" x14ac:dyDescent="0.35">
      <c r="A182" t="s">
        <v>8</v>
      </c>
      <c r="B182">
        <v>2035</v>
      </c>
      <c r="C182" t="s">
        <v>80</v>
      </c>
      <c r="D182" t="s">
        <v>38</v>
      </c>
      <c r="E182">
        <v>1.1627631336131E-3</v>
      </c>
      <c r="F182">
        <v>1.1627631336131E-3</v>
      </c>
      <c r="G182">
        <v>0</v>
      </c>
      <c r="H182">
        <v>0</v>
      </c>
      <c r="I182" t="s">
        <v>82</v>
      </c>
    </row>
    <row r="183" spans="1:9" x14ac:dyDescent="0.35">
      <c r="A183" t="s">
        <v>8</v>
      </c>
      <c r="B183">
        <v>2035</v>
      </c>
      <c r="C183" t="s">
        <v>80</v>
      </c>
      <c r="D183" t="s">
        <v>40</v>
      </c>
      <c r="E183">
        <v>3.7406029242181501E-4</v>
      </c>
      <c r="F183">
        <v>3.7406029242181501E-4</v>
      </c>
      <c r="G183">
        <v>0</v>
      </c>
      <c r="H183">
        <v>0</v>
      </c>
      <c r="I183" t="s">
        <v>82</v>
      </c>
    </row>
    <row r="184" spans="1:9" x14ac:dyDescent="0.35">
      <c r="A184" t="s">
        <v>8</v>
      </c>
      <c r="B184">
        <v>2035</v>
      </c>
      <c r="C184" t="s">
        <v>80</v>
      </c>
      <c r="D184" t="s">
        <v>41</v>
      </c>
      <c r="E184">
        <v>3.3755275773267699E-3</v>
      </c>
      <c r="F184">
        <v>3.3755275773267699E-3</v>
      </c>
      <c r="G184">
        <v>0</v>
      </c>
      <c r="H184">
        <v>0</v>
      </c>
      <c r="I184" t="s">
        <v>82</v>
      </c>
    </row>
    <row r="185" spans="1:9" x14ac:dyDescent="0.35">
      <c r="A185" t="s">
        <v>8</v>
      </c>
      <c r="B185">
        <v>2035</v>
      </c>
      <c r="C185" t="s">
        <v>80</v>
      </c>
      <c r="D185" t="s">
        <v>42</v>
      </c>
      <c r="E185">
        <v>0.53676939305592897</v>
      </c>
      <c r="F185">
        <v>0.53676939305592897</v>
      </c>
      <c r="G185">
        <v>0</v>
      </c>
      <c r="H185">
        <v>0</v>
      </c>
      <c r="I185" t="s">
        <v>82</v>
      </c>
    </row>
    <row r="186" spans="1:9" x14ac:dyDescent="0.35">
      <c r="A186" t="s">
        <v>8</v>
      </c>
      <c r="B186">
        <v>2035</v>
      </c>
      <c r="C186" t="s">
        <v>80</v>
      </c>
      <c r="D186" t="s">
        <v>43</v>
      </c>
      <c r="E186">
        <v>1.32297595796275E-3</v>
      </c>
      <c r="F186">
        <v>1.32297595796275E-3</v>
      </c>
      <c r="G186">
        <v>0</v>
      </c>
      <c r="H186">
        <v>0</v>
      </c>
      <c r="I186" t="s">
        <v>82</v>
      </c>
    </row>
    <row r="187" spans="1:9" x14ac:dyDescent="0.35">
      <c r="A187" t="s">
        <v>8</v>
      </c>
      <c r="B187">
        <v>2035</v>
      </c>
      <c r="C187" t="s">
        <v>80</v>
      </c>
      <c r="D187" t="s">
        <v>136</v>
      </c>
      <c r="E187">
        <v>1.67218872348681</v>
      </c>
      <c r="F187">
        <v>1.67218872348681</v>
      </c>
      <c r="G187">
        <v>0</v>
      </c>
      <c r="H187">
        <v>0</v>
      </c>
      <c r="I187" t="s">
        <v>82</v>
      </c>
    </row>
    <row r="188" spans="1:9" x14ac:dyDescent="0.35">
      <c r="A188" t="s">
        <v>8</v>
      </c>
      <c r="B188">
        <v>2035</v>
      </c>
      <c r="C188" t="s">
        <v>80</v>
      </c>
      <c r="D188" t="s">
        <v>45</v>
      </c>
      <c r="E188">
        <v>2.2698081678872999E-3</v>
      </c>
      <c r="F188">
        <v>2.2698081678872999E-3</v>
      </c>
      <c r="G188">
        <v>0</v>
      </c>
      <c r="H188">
        <v>0</v>
      </c>
      <c r="I188" t="s">
        <v>82</v>
      </c>
    </row>
    <row r="189" spans="1:9" x14ac:dyDescent="0.35">
      <c r="A189" t="s">
        <v>8</v>
      </c>
      <c r="B189">
        <v>2035</v>
      </c>
      <c r="C189" t="s">
        <v>80</v>
      </c>
      <c r="D189" t="s">
        <v>46</v>
      </c>
      <c r="E189">
        <v>9.0657131561563395E-2</v>
      </c>
      <c r="F189">
        <v>9.0657131561563395E-2</v>
      </c>
      <c r="G189">
        <v>0</v>
      </c>
      <c r="H189">
        <v>0</v>
      </c>
      <c r="I189" t="s">
        <v>82</v>
      </c>
    </row>
    <row r="190" spans="1:9" x14ac:dyDescent="0.35">
      <c r="A190" t="s">
        <v>8</v>
      </c>
      <c r="B190">
        <v>2035</v>
      </c>
      <c r="C190" t="s">
        <v>80</v>
      </c>
      <c r="D190" t="s">
        <v>47</v>
      </c>
      <c r="E190">
        <v>4.1739628042355802E-4</v>
      </c>
      <c r="F190">
        <v>4.1739628042355802E-4</v>
      </c>
      <c r="G190">
        <v>0</v>
      </c>
      <c r="H190">
        <v>0</v>
      </c>
      <c r="I190" t="s">
        <v>82</v>
      </c>
    </row>
    <row r="191" spans="1:9" x14ac:dyDescent="0.35">
      <c r="A191" t="s">
        <v>8</v>
      </c>
      <c r="B191">
        <v>2035</v>
      </c>
      <c r="C191" t="s">
        <v>80</v>
      </c>
      <c r="D191" t="s">
        <v>48</v>
      </c>
      <c r="E191">
        <v>80.557582447708498</v>
      </c>
      <c r="F191">
        <v>80.557582447708498</v>
      </c>
      <c r="G191">
        <v>0</v>
      </c>
      <c r="H191">
        <v>0</v>
      </c>
      <c r="I191" t="s">
        <v>82</v>
      </c>
    </row>
    <row r="192" spans="1:9" x14ac:dyDescent="0.35">
      <c r="A192" t="s">
        <v>8</v>
      </c>
      <c r="B192">
        <v>2035</v>
      </c>
      <c r="C192" t="s">
        <v>80</v>
      </c>
      <c r="D192" t="s">
        <v>49</v>
      </c>
      <c r="E192">
        <v>3.9954227367386E-3</v>
      </c>
      <c r="F192">
        <v>3.9954227367386E-3</v>
      </c>
      <c r="G192">
        <v>0</v>
      </c>
      <c r="H192">
        <v>0</v>
      </c>
      <c r="I192" t="s">
        <v>82</v>
      </c>
    </row>
    <row r="193" spans="1:9" x14ac:dyDescent="0.35">
      <c r="A193" t="s">
        <v>8</v>
      </c>
      <c r="B193">
        <v>2035</v>
      </c>
      <c r="C193" t="s">
        <v>80</v>
      </c>
      <c r="D193" t="s">
        <v>50</v>
      </c>
      <c r="E193">
        <v>9.7366762843038197E-3</v>
      </c>
      <c r="F193">
        <v>9.7366762843038197E-3</v>
      </c>
      <c r="G193">
        <v>0</v>
      </c>
      <c r="H193">
        <v>0</v>
      </c>
      <c r="I193" t="s">
        <v>82</v>
      </c>
    </row>
    <row r="194" spans="1:9" x14ac:dyDescent="0.35">
      <c r="A194" t="s">
        <v>8</v>
      </c>
      <c r="B194">
        <v>2035</v>
      </c>
      <c r="C194" t="s">
        <v>80</v>
      </c>
      <c r="D194" t="s">
        <v>51</v>
      </c>
      <c r="E194">
        <v>7.0576694715896393E-2</v>
      </c>
      <c r="F194">
        <v>7.0576694715896393E-2</v>
      </c>
      <c r="G194">
        <v>0</v>
      </c>
      <c r="H194">
        <v>0</v>
      </c>
      <c r="I194" t="s">
        <v>82</v>
      </c>
    </row>
    <row r="195" spans="1:9" x14ac:dyDescent="0.35">
      <c r="A195" t="s">
        <v>8</v>
      </c>
      <c r="B195">
        <v>2035</v>
      </c>
      <c r="C195" t="s">
        <v>80</v>
      </c>
      <c r="D195" t="s">
        <v>52</v>
      </c>
      <c r="E195">
        <v>0.10761534993779399</v>
      </c>
      <c r="F195">
        <v>0.10761534993779399</v>
      </c>
      <c r="G195">
        <v>0</v>
      </c>
      <c r="H195">
        <v>0</v>
      </c>
      <c r="I195" t="s">
        <v>82</v>
      </c>
    </row>
    <row r="196" spans="1:9" x14ac:dyDescent="0.35">
      <c r="A196" t="s">
        <v>8</v>
      </c>
      <c r="B196">
        <v>2035</v>
      </c>
      <c r="C196" t="s">
        <v>80</v>
      </c>
      <c r="D196" t="s">
        <v>53</v>
      </c>
      <c r="E196">
        <v>0.31704787915919502</v>
      </c>
      <c r="F196">
        <v>0.31704787915919502</v>
      </c>
      <c r="G196">
        <v>0</v>
      </c>
      <c r="H196">
        <v>0</v>
      </c>
      <c r="I196" t="s">
        <v>82</v>
      </c>
    </row>
    <row r="197" spans="1:9" x14ac:dyDescent="0.35">
      <c r="A197" t="s">
        <v>8</v>
      </c>
      <c r="B197">
        <v>2035</v>
      </c>
      <c r="C197" t="s">
        <v>80</v>
      </c>
      <c r="D197" t="s">
        <v>54</v>
      </c>
      <c r="E197">
        <v>5.0990144704046503E-2</v>
      </c>
      <c r="F197">
        <v>5.0990144704046503E-2</v>
      </c>
      <c r="G197">
        <v>0</v>
      </c>
      <c r="H197">
        <v>0</v>
      </c>
      <c r="I197" t="s">
        <v>82</v>
      </c>
    </row>
    <row r="198" spans="1:9" x14ac:dyDescent="0.35">
      <c r="A198" t="s">
        <v>8</v>
      </c>
      <c r="B198">
        <v>2035</v>
      </c>
      <c r="C198" t="s">
        <v>80</v>
      </c>
      <c r="D198" t="s">
        <v>55</v>
      </c>
      <c r="E198">
        <v>4.6825123535379598E-2</v>
      </c>
      <c r="F198">
        <v>4.6825123535379598E-2</v>
      </c>
      <c r="G198">
        <v>0</v>
      </c>
      <c r="H198">
        <v>0</v>
      </c>
      <c r="I198" t="s">
        <v>82</v>
      </c>
    </row>
    <row r="199" spans="1:9" x14ac:dyDescent="0.35">
      <c r="A199" t="s">
        <v>8</v>
      </c>
      <c r="B199">
        <v>2035</v>
      </c>
      <c r="C199" t="s">
        <v>80</v>
      </c>
      <c r="D199" t="s">
        <v>56</v>
      </c>
      <c r="E199" s="1">
        <v>5.9973859194428005E-8</v>
      </c>
      <c r="F199" s="1">
        <v>5.9973859194428005E-8</v>
      </c>
      <c r="G199">
        <v>0</v>
      </c>
      <c r="H199">
        <v>0</v>
      </c>
      <c r="I199" t="s">
        <v>82</v>
      </c>
    </row>
    <row r="200" spans="1:9" x14ac:dyDescent="0.35">
      <c r="A200" t="s">
        <v>10</v>
      </c>
      <c r="B200">
        <v>2040</v>
      </c>
      <c r="C200" t="s">
        <v>80</v>
      </c>
      <c r="D200" t="s">
        <v>38</v>
      </c>
      <c r="E200">
        <v>1.0105559531397501E-3</v>
      </c>
      <c r="F200">
        <v>1.0105559531397501E-3</v>
      </c>
      <c r="G200">
        <v>0</v>
      </c>
      <c r="H200">
        <v>0</v>
      </c>
      <c r="I200" t="s">
        <v>82</v>
      </c>
    </row>
    <row r="201" spans="1:9" x14ac:dyDescent="0.35">
      <c r="A201" t="s">
        <v>10</v>
      </c>
      <c r="B201">
        <v>2040</v>
      </c>
      <c r="C201" t="s">
        <v>80</v>
      </c>
      <c r="D201" t="s">
        <v>40</v>
      </c>
      <c r="E201">
        <v>3.4550350255156199E-4</v>
      </c>
      <c r="F201">
        <v>3.4550350255156199E-4</v>
      </c>
      <c r="G201">
        <v>0</v>
      </c>
      <c r="H201">
        <v>0</v>
      </c>
      <c r="I201" t="s">
        <v>82</v>
      </c>
    </row>
    <row r="202" spans="1:9" x14ac:dyDescent="0.35">
      <c r="A202" t="s">
        <v>10</v>
      </c>
      <c r="B202">
        <v>2040</v>
      </c>
      <c r="C202" t="s">
        <v>80</v>
      </c>
      <c r="D202" t="s">
        <v>41</v>
      </c>
      <c r="E202">
        <v>3.1461819037788999E-3</v>
      </c>
      <c r="F202">
        <v>3.1461819037788999E-3</v>
      </c>
      <c r="G202">
        <v>0</v>
      </c>
      <c r="H202">
        <v>0</v>
      </c>
      <c r="I202" t="s">
        <v>82</v>
      </c>
    </row>
    <row r="203" spans="1:9" x14ac:dyDescent="0.35">
      <c r="A203" t="s">
        <v>10</v>
      </c>
      <c r="B203">
        <v>2040</v>
      </c>
      <c r="C203" t="s">
        <v>80</v>
      </c>
      <c r="D203" t="s">
        <v>42</v>
      </c>
      <c r="E203">
        <v>0.49916167707695203</v>
      </c>
      <c r="F203">
        <v>0.49916167707695203</v>
      </c>
      <c r="G203">
        <v>0</v>
      </c>
      <c r="H203">
        <v>0</v>
      </c>
      <c r="I203" t="s">
        <v>82</v>
      </c>
    </row>
    <row r="204" spans="1:9" x14ac:dyDescent="0.35">
      <c r="A204" t="s">
        <v>10</v>
      </c>
      <c r="B204">
        <v>2040</v>
      </c>
      <c r="C204" t="s">
        <v>80</v>
      </c>
      <c r="D204" t="s">
        <v>43</v>
      </c>
      <c r="E204">
        <v>1.2080529592352601E-3</v>
      </c>
      <c r="F204">
        <v>1.2080529592352601E-3</v>
      </c>
      <c r="G204">
        <v>0</v>
      </c>
      <c r="H204">
        <v>0</v>
      </c>
      <c r="I204" t="s">
        <v>82</v>
      </c>
    </row>
    <row r="205" spans="1:9" x14ac:dyDescent="0.35">
      <c r="A205" t="s">
        <v>10</v>
      </c>
      <c r="B205">
        <v>2040</v>
      </c>
      <c r="C205" t="s">
        <v>80</v>
      </c>
      <c r="D205" t="s">
        <v>136</v>
      </c>
      <c r="E205">
        <v>1.53842767380496</v>
      </c>
      <c r="F205">
        <v>1.29878439111652</v>
      </c>
      <c r="G205">
        <v>-0.23964328268843901</v>
      </c>
      <c r="H205">
        <v>-15.577156259529101</v>
      </c>
      <c r="I205" t="s">
        <v>82</v>
      </c>
    </row>
    <row r="206" spans="1:9" x14ac:dyDescent="0.35">
      <c r="A206" t="s">
        <v>10</v>
      </c>
      <c r="B206">
        <v>2040</v>
      </c>
      <c r="C206" t="s">
        <v>80</v>
      </c>
      <c r="D206" t="s">
        <v>45</v>
      </c>
      <c r="E206">
        <v>1.9765195894584598E-3</v>
      </c>
      <c r="F206">
        <v>1.9765195894584598E-3</v>
      </c>
      <c r="G206">
        <v>0</v>
      </c>
      <c r="H206">
        <v>0</v>
      </c>
      <c r="I206" t="s">
        <v>82</v>
      </c>
    </row>
    <row r="207" spans="1:9" x14ac:dyDescent="0.35">
      <c r="A207" t="s">
        <v>10</v>
      </c>
      <c r="B207">
        <v>2040</v>
      </c>
      <c r="C207" t="s">
        <v>80</v>
      </c>
      <c r="D207" t="s">
        <v>46</v>
      </c>
      <c r="E207">
        <v>0.10571969507483001</v>
      </c>
      <c r="F207">
        <v>0.10571969507483001</v>
      </c>
      <c r="G207">
        <v>0</v>
      </c>
      <c r="H207">
        <v>0</v>
      </c>
      <c r="I207" t="s">
        <v>82</v>
      </c>
    </row>
    <row r="208" spans="1:9" x14ac:dyDescent="0.35">
      <c r="A208" t="s">
        <v>10</v>
      </c>
      <c r="B208">
        <v>2040</v>
      </c>
      <c r="C208" t="s">
        <v>80</v>
      </c>
      <c r="D208" t="s">
        <v>47</v>
      </c>
      <c r="E208">
        <v>3.6133646212067498E-4</v>
      </c>
      <c r="F208">
        <v>3.6133646212067498E-4</v>
      </c>
      <c r="G208">
        <v>0</v>
      </c>
      <c r="H208">
        <v>0</v>
      </c>
      <c r="I208" t="s">
        <v>82</v>
      </c>
    </row>
    <row r="209" spans="1:9" x14ac:dyDescent="0.35">
      <c r="A209" t="s">
        <v>10</v>
      </c>
      <c r="B209">
        <v>2040</v>
      </c>
      <c r="C209" t="s">
        <v>80</v>
      </c>
      <c r="D209" t="s">
        <v>48</v>
      </c>
      <c r="E209">
        <v>80.559350998932501</v>
      </c>
      <c r="F209">
        <v>80.559350998932501</v>
      </c>
      <c r="G209">
        <v>0</v>
      </c>
      <c r="H209">
        <v>0</v>
      </c>
      <c r="I209" t="s">
        <v>82</v>
      </c>
    </row>
    <row r="210" spans="1:9" x14ac:dyDescent="0.35">
      <c r="A210" t="s">
        <v>10</v>
      </c>
      <c r="B210">
        <v>2040</v>
      </c>
      <c r="C210" t="s">
        <v>80</v>
      </c>
      <c r="D210" t="s">
        <v>49</v>
      </c>
      <c r="E210">
        <v>3.6292007664010602E-3</v>
      </c>
      <c r="F210">
        <v>3.6292007664010602E-3</v>
      </c>
      <c r="G210">
        <v>0</v>
      </c>
      <c r="H210">
        <v>0</v>
      </c>
      <c r="I210" t="s">
        <v>82</v>
      </c>
    </row>
    <row r="211" spans="1:9" x14ac:dyDescent="0.35">
      <c r="A211" t="s">
        <v>10</v>
      </c>
      <c r="B211">
        <v>2040</v>
      </c>
      <c r="C211" t="s">
        <v>80</v>
      </c>
      <c r="D211" t="s">
        <v>50</v>
      </c>
      <c r="E211">
        <v>8.6951679870226999E-3</v>
      </c>
      <c r="F211">
        <v>8.6951679870226999E-3</v>
      </c>
      <c r="G211">
        <v>0</v>
      </c>
      <c r="H211">
        <v>0</v>
      </c>
      <c r="I211" t="s">
        <v>82</v>
      </c>
    </row>
    <row r="212" spans="1:9" x14ac:dyDescent="0.35">
      <c r="A212" t="s">
        <v>10</v>
      </c>
      <c r="B212">
        <v>2040</v>
      </c>
      <c r="C212" t="s">
        <v>80</v>
      </c>
      <c r="D212" t="s">
        <v>51</v>
      </c>
      <c r="E212">
        <v>7.2572303398350496E-2</v>
      </c>
      <c r="F212">
        <v>7.2572303398350496E-2</v>
      </c>
      <c r="G212">
        <v>0</v>
      </c>
      <c r="H212">
        <v>0</v>
      </c>
      <c r="I212" t="s">
        <v>82</v>
      </c>
    </row>
    <row r="213" spans="1:9" x14ac:dyDescent="0.35">
      <c r="A213" t="s">
        <v>10</v>
      </c>
      <c r="B213">
        <v>2040</v>
      </c>
      <c r="C213" t="s">
        <v>80</v>
      </c>
      <c r="D213" t="s">
        <v>52</v>
      </c>
      <c r="E213">
        <v>8.5304343272701505E-2</v>
      </c>
      <c r="F213">
        <v>8.5304343272701505E-2</v>
      </c>
      <c r="G213">
        <v>0</v>
      </c>
      <c r="H213">
        <v>0</v>
      </c>
      <c r="I213" t="s">
        <v>82</v>
      </c>
    </row>
    <row r="214" spans="1:9" x14ac:dyDescent="0.35">
      <c r="A214" t="s">
        <v>10</v>
      </c>
      <c r="B214">
        <v>2040</v>
      </c>
      <c r="C214" t="s">
        <v>80</v>
      </c>
      <c r="D214" t="s">
        <v>53</v>
      </c>
      <c r="E214">
        <v>0.28165431662566398</v>
      </c>
      <c r="F214">
        <v>0.28165431662566398</v>
      </c>
      <c r="G214">
        <v>0</v>
      </c>
      <c r="H214">
        <v>0</v>
      </c>
      <c r="I214" t="s">
        <v>82</v>
      </c>
    </row>
    <row r="215" spans="1:9" x14ac:dyDescent="0.35">
      <c r="A215" t="s">
        <v>10</v>
      </c>
      <c r="B215">
        <v>2040</v>
      </c>
      <c r="C215" t="s">
        <v>80</v>
      </c>
      <c r="D215" t="s">
        <v>54</v>
      </c>
      <c r="E215">
        <v>5.0759209053506303E-2</v>
      </c>
      <c r="F215">
        <v>5.0759209053506303E-2</v>
      </c>
      <c r="G215">
        <v>0</v>
      </c>
      <c r="H215">
        <v>0</v>
      </c>
      <c r="I215" t="s">
        <v>82</v>
      </c>
    </row>
    <row r="216" spans="1:9" x14ac:dyDescent="0.35">
      <c r="A216" t="s">
        <v>10</v>
      </c>
      <c r="B216">
        <v>2040</v>
      </c>
      <c r="C216" t="s">
        <v>80</v>
      </c>
      <c r="D216" t="s">
        <v>55</v>
      </c>
      <c r="E216">
        <v>4.6589662175130199E-2</v>
      </c>
      <c r="F216">
        <v>4.6589662175130199E-2</v>
      </c>
      <c r="G216">
        <v>0</v>
      </c>
      <c r="H216">
        <v>0</v>
      </c>
      <c r="I216" t="s">
        <v>82</v>
      </c>
    </row>
    <row r="217" spans="1:9" x14ac:dyDescent="0.35">
      <c r="A217" t="s">
        <v>10</v>
      </c>
      <c r="B217">
        <v>2040</v>
      </c>
      <c r="C217" t="s">
        <v>80</v>
      </c>
      <c r="D217" t="s">
        <v>56</v>
      </c>
      <c r="E217" s="1">
        <v>5.6679096486871201E-8</v>
      </c>
      <c r="F217" s="1">
        <v>5.6679096486871201E-8</v>
      </c>
      <c r="G217">
        <v>0</v>
      </c>
      <c r="H217">
        <v>0</v>
      </c>
      <c r="I217" t="s">
        <v>82</v>
      </c>
    </row>
    <row r="218" spans="1:9" x14ac:dyDescent="0.35">
      <c r="A218" t="s">
        <v>4</v>
      </c>
      <c r="B218">
        <v>2025</v>
      </c>
      <c r="C218" t="s">
        <v>65</v>
      </c>
      <c r="D218" t="s">
        <v>38</v>
      </c>
      <c r="E218">
        <v>7.7508223196562698E-2</v>
      </c>
      <c r="F218">
        <v>7.7508223196562698E-2</v>
      </c>
      <c r="G218">
        <v>0</v>
      </c>
      <c r="H218">
        <v>0</v>
      </c>
      <c r="I218" t="s">
        <v>66</v>
      </c>
    </row>
    <row r="219" spans="1:9" x14ac:dyDescent="0.35">
      <c r="A219" t="s">
        <v>4</v>
      </c>
      <c r="B219">
        <v>2025</v>
      </c>
      <c r="C219" t="s">
        <v>65</v>
      </c>
      <c r="D219" t="s">
        <v>40</v>
      </c>
      <c r="E219">
        <v>9.6528259570498997E-3</v>
      </c>
      <c r="F219">
        <v>9.6528259570498997E-3</v>
      </c>
      <c r="G219">
        <v>0</v>
      </c>
      <c r="H219">
        <v>0</v>
      </c>
      <c r="I219" t="s">
        <v>66</v>
      </c>
    </row>
    <row r="220" spans="1:9" x14ac:dyDescent="0.35">
      <c r="A220" t="s">
        <v>4</v>
      </c>
      <c r="B220">
        <v>2025</v>
      </c>
      <c r="C220" t="s">
        <v>65</v>
      </c>
      <c r="D220" t="s">
        <v>41</v>
      </c>
      <c r="E220">
        <v>0.30661923612938502</v>
      </c>
      <c r="F220">
        <v>0.30661923612938502</v>
      </c>
      <c r="G220">
        <v>0</v>
      </c>
      <c r="H220">
        <v>0</v>
      </c>
      <c r="I220" t="s">
        <v>66</v>
      </c>
    </row>
    <row r="221" spans="1:9" x14ac:dyDescent="0.35">
      <c r="A221" t="s">
        <v>4</v>
      </c>
      <c r="B221">
        <v>2025</v>
      </c>
      <c r="C221" t="s">
        <v>65</v>
      </c>
      <c r="D221" t="s">
        <v>42</v>
      </c>
      <c r="E221">
        <v>52.811310846830501</v>
      </c>
      <c r="F221">
        <v>52.811310846830501</v>
      </c>
      <c r="G221">
        <v>0</v>
      </c>
      <c r="H221">
        <v>0</v>
      </c>
      <c r="I221" t="s">
        <v>66</v>
      </c>
    </row>
    <row r="222" spans="1:9" x14ac:dyDescent="0.35">
      <c r="A222" t="s">
        <v>4</v>
      </c>
      <c r="B222">
        <v>2025</v>
      </c>
      <c r="C222" t="s">
        <v>65</v>
      </c>
      <c r="D222" t="s">
        <v>43</v>
      </c>
      <c r="E222">
        <v>7.5620727821750805E-2</v>
      </c>
      <c r="F222">
        <v>7.5620727821750805E-2</v>
      </c>
      <c r="G222">
        <v>0</v>
      </c>
      <c r="H222">
        <v>0</v>
      </c>
      <c r="I222" t="s">
        <v>66</v>
      </c>
    </row>
    <row r="223" spans="1:9" x14ac:dyDescent="0.35">
      <c r="A223" t="s">
        <v>4</v>
      </c>
      <c r="B223">
        <v>2025</v>
      </c>
      <c r="C223" t="s">
        <v>65</v>
      </c>
      <c r="D223" t="s">
        <v>136</v>
      </c>
      <c r="E223">
        <v>44.614435569119003</v>
      </c>
      <c r="F223">
        <v>44.614435569119003</v>
      </c>
      <c r="G223">
        <v>0</v>
      </c>
      <c r="H223">
        <v>0</v>
      </c>
      <c r="I223" t="s">
        <v>66</v>
      </c>
    </row>
    <row r="224" spans="1:9" x14ac:dyDescent="0.35">
      <c r="A224" t="s">
        <v>4</v>
      </c>
      <c r="B224">
        <v>2025</v>
      </c>
      <c r="C224" t="s">
        <v>65</v>
      </c>
      <c r="D224" t="s">
        <v>45</v>
      </c>
      <c r="E224">
        <v>8.60503183560615E-2</v>
      </c>
      <c r="F224">
        <v>8.60503183560615E-2</v>
      </c>
      <c r="G224">
        <v>0</v>
      </c>
      <c r="H224">
        <v>0</v>
      </c>
      <c r="I224" t="s">
        <v>66</v>
      </c>
    </row>
    <row r="225" spans="1:9" x14ac:dyDescent="0.35">
      <c r="A225" t="s">
        <v>4</v>
      </c>
      <c r="B225">
        <v>2025</v>
      </c>
      <c r="C225" t="s">
        <v>65</v>
      </c>
      <c r="D225" t="s">
        <v>46</v>
      </c>
      <c r="E225">
        <v>1.2543750054920899</v>
      </c>
      <c r="F225">
        <v>1.2543750054920899</v>
      </c>
      <c r="G225">
        <v>0</v>
      </c>
      <c r="H225">
        <v>0</v>
      </c>
      <c r="I225" t="s">
        <v>66</v>
      </c>
    </row>
    <row r="226" spans="1:9" x14ac:dyDescent="0.35">
      <c r="A226" t="s">
        <v>4</v>
      </c>
      <c r="B226">
        <v>2025</v>
      </c>
      <c r="C226" t="s">
        <v>65</v>
      </c>
      <c r="D226" t="s">
        <v>47</v>
      </c>
      <c r="E226">
        <v>3.7082414617682503E-2</v>
      </c>
      <c r="F226">
        <v>3.7082414617682503E-2</v>
      </c>
      <c r="G226">
        <v>0</v>
      </c>
      <c r="H226">
        <v>0</v>
      </c>
      <c r="I226" t="s">
        <v>66</v>
      </c>
    </row>
    <row r="227" spans="1:9" x14ac:dyDescent="0.35">
      <c r="A227" t="s">
        <v>4</v>
      </c>
      <c r="B227">
        <v>2025</v>
      </c>
      <c r="C227" t="s">
        <v>65</v>
      </c>
      <c r="D227" t="s">
        <v>48</v>
      </c>
      <c r="E227">
        <v>15.338280510830399</v>
      </c>
      <c r="F227">
        <v>15.338280510830399</v>
      </c>
      <c r="G227">
        <v>0</v>
      </c>
      <c r="H227">
        <v>0</v>
      </c>
      <c r="I227" t="s">
        <v>66</v>
      </c>
    </row>
    <row r="228" spans="1:9" x14ac:dyDescent="0.35">
      <c r="A228" t="s">
        <v>4</v>
      </c>
      <c r="B228">
        <v>2025</v>
      </c>
      <c r="C228" t="s">
        <v>65</v>
      </c>
      <c r="D228" t="s">
        <v>49</v>
      </c>
      <c r="E228">
        <v>0.21057980084797701</v>
      </c>
      <c r="F228">
        <v>0.21057980084797701</v>
      </c>
      <c r="G228">
        <v>0</v>
      </c>
      <c r="H228">
        <v>0</v>
      </c>
      <c r="I228" t="s">
        <v>66</v>
      </c>
    </row>
    <row r="229" spans="1:9" x14ac:dyDescent="0.35">
      <c r="A229" t="s">
        <v>4</v>
      </c>
      <c r="B229">
        <v>2025</v>
      </c>
      <c r="C229" t="s">
        <v>65</v>
      </c>
      <c r="D229" t="s">
        <v>50</v>
      </c>
      <c r="E229">
        <v>0.109825073947937</v>
      </c>
      <c r="F229">
        <v>0.109825073947937</v>
      </c>
      <c r="G229">
        <v>0</v>
      </c>
      <c r="H229">
        <v>0</v>
      </c>
      <c r="I229" t="s">
        <v>66</v>
      </c>
    </row>
    <row r="230" spans="1:9" x14ac:dyDescent="0.35">
      <c r="A230" t="s">
        <v>4</v>
      </c>
      <c r="B230">
        <v>2025</v>
      </c>
      <c r="C230" t="s">
        <v>65</v>
      </c>
      <c r="D230" t="s">
        <v>51</v>
      </c>
      <c r="E230">
        <v>1.2358703194368299</v>
      </c>
      <c r="F230">
        <v>1.2358703194368299</v>
      </c>
      <c r="G230">
        <v>0</v>
      </c>
      <c r="H230">
        <v>0</v>
      </c>
      <c r="I230" t="s">
        <v>66</v>
      </c>
    </row>
    <row r="231" spans="1:9" x14ac:dyDescent="0.35">
      <c r="A231" t="s">
        <v>4</v>
      </c>
      <c r="B231">
        <v>2025</v>
      </c>
      <c r="C231" t="s">
        <v>65</v>
      </c>
      <c r="D231" t="s">
        <v>52</v>
      </c>
      <c r="E231">
        <v>0.643848735541102</v>
      </c>
      <c r="F231">
        <v>0.643848735541102</v>
      </c>
      <c r="G231">
        <v>0</v>
      </c>
      <c r="H231">
        <v>0</v>
      </c>
      <c r="I231" t="s">
        <v>66</v>
      </c>
    </row>
    <row r="232" spans="1:9" x14ac:dyDescent="0.35">
      <c r="A232" t="s">
        <v>4</v>
      </c>
      <c r="B232">
        <v>2025</v>
      </c>
      <c r="C232" t="s">
        <v>65</v>
      </c>
      <c r="D232" t="s">
        <v>53</v>
      </c>
      <c r="E232">
        <v>8.8142034771903397</v>
      </c>
      <c r="F232">
        <v>8.8142034771903397</v>
      </c>
      <c r="G232">
        <v>0</v>
      </c>
      <c r="H232">
        <v>0</v>
      </c>
      <c r="I232" t="s">
        <v>66</v>
      </c>
    </row>
    <row r="233" spans="1:9" x14ac:dyDescent="0.35">
      <c r="A233" t="s">
        <v>4</v>
      </c>
      <c r="B233">
        <v>2025</v>
      </c>
      <c r="C233" t="s">
        <v>65</v>
      </c>
      <c r="D233" t="s">
        <v>54</v>
      </c>
      <c r="E233">
        <v>22.795171233186501</v>
      </c>
      <c r="F233">
        <v>22.795171233186501</v>
      </c>
      <c r="G233">
        <v>0</v>
      </c>
      <c r="H233">
        <v>0</v>
      </c>
      <c r="I233" t="s">
        <v>66</v>
      </c>
    </row>
    <row r="234" spans="1:9" x14ac:dyDescent="0.35">
      <c r="A234" t="s">
        <v>4</v>
      </c>
      <c r="B234">
        <v>2025</v>
      </c>
      <c r="C234" t="s">
        <v>65</v>
      </c>
      <c r="D234" t="s">
        <v>55</v>
      </c>
      <c r="E234">
        <v>24.4572263051341</v>
      </c>
      <c r="F234">
        <v>24.4572263051341</v>
      </c>
      <c r="G234">
        <v>0</v>
      </c>
      <c r="H234">
        <v>0</v>
      </c>
      <c r="I234" t="s">
        <v>66</v>
      </c>
    </row>
    <row r="235" spans="1:9" x14ac:dyDescent="0.35">
      <c r="A235" t="s">
        <v>4</v>
      </c>
      <c r="B235">
        <v>2025</v>
      </c>
      <c r="C235" t="s">
        <v>65</v>
      </c>
      <c r="D235" t="s">
        <v>56</v>
      </c>
      <c r="E235" s="1">
        <v>2.2080643038408198E-6</v>
      </c>
      <c r="F235" s="1">
        <v>2.2080643038408198E-6</v>
      </c>
      <c r="G235">
        <v>0</v>
      </c>
      <c r="H235">
        <v>0</v>
      </c>
      <c r="I235" t="s">
        <v>66</v>
      </c>
    </row>
    <row r="236" spans="1:9" x14ac:dyDescent="0.35">
      <c r="A236" t="s">
        <v>6</v>
      </c>
      <c r="B236">
        <v>2030</v>
      </c>
      <c r="C236" t="s">
        <v>65</v>
      </c>
      <c r="D236" t="s">
        <v>38</v>
      </c>
      <c r="E236">
        <v>7.7419738000919697E-2</v>
      </c>
      <c r="F236">
        <v>7.7419738000919697E-2</v>
      </c>
      <c r="G236">
        <v>0</v>
      </c>
      <c r="H236">
        <v>0</v>
      </c>
      <c r="I236" t="s">
        <v>66</v>
      </c>
    </row>
    <row r="237" spans="1:9" x14ac:dyDescent="0.35">
      <c r="A237" t="s">
        <v>6</v>
      </c>
      <c r="B237">
        <v>2030</v>
      </c>
      <c r="C237" t="s">
        <v>65</v>
      </c>
      <c r="D237" t="s">
        <v>40</v>
      </c>
      <c r="E237">
        <v>9.5147281358683704E-3</v>
      </c>
      <c r="F237">
        <v>9.5147281358683704E-3</v>
      </c>
      <c r="G237">
        <v>0</v>
      </c>
      <c r="H237">
        <v>0</v>
      </c>
      <c r="I237" t="s">
        <v>66</v>
      </c>
    </row>
    <row r="238" spans="1:9" x14ac:dyDescent="0.35">
      <c r="A238" t="s">
        <v>6</v>
      </c>
      <c r="B238">
        <v>2030</v>
      </c>
      <c r="C238" t="s">
        <v>65</v>
      </c>
      <c r="D238" t="s">
        <v>41</v>
      </c>
      <c r="E238">
        <v>0.30528311102322597</v>
      </c>
      <c r="F238">
        <v>0.30528311102322597</v>
      </c>
      <c r="G238">
        <v>0</v>
      </c>
      <c r="H238">
        <v>0</v>
      </c>
      <c r="I238" t="s">
        <v>66</v>
      </c>
    </row>
    <row r="239" spans="1:9" x14ac:dyDescent="0.35">
      <c r="A239" t="s">
        <v>6</v>
      </c>
      <c r="B239">
        <v>2030</v>
      </c>
      <c r="C239" t="s">
        <v>65</v>
      </c>
      <c r="D239" t="s">
        <v>42</v>
      </c>
      <c r="E239">
        <v>52.647007235116398</v>
      </c>
      <c r="F239">
        <v>52.647007235116398</v>
      </c>
      <c r="G239">
        <v>0</v>
      </c>
      <c r="H239">
        <v>0</v>
      </c>
      <c r="I239" t="s">
        <v>66</v>
      </c>
    </row>
    <row r="240" spans="1:9" x14ac:dyDescent="0.35">
      <c r="A240" t="s">
        <v>6</v>
      </c>
      <c r="B240">
        <v>2030</v>
      </c>
      <c r="C240" t="s">
        <v>65</v>
      </c>
      <c r="D240" t="s">
        <v>43</v>
      </c>
      <c r="E240">
        <v>7.5243434503746695E-2</v>
      </c>
      <c r="F240">
        <v>7.5243434503746695E-2</v>
      </c>
      <c r="G240">
        <v>0</v>
      </c>
      <c r="H240">
        <v>0</v>
      </c>
      <c r="I240" t="s">
        <v>66</v>
      </c>
    </row>
    <row r="241" spans="1:9" x14ac:dyDescent="0.35">
      <c r="A241" t="s">
        <v>6</v>
      </c>
      <c r="B241">
        <v>2030</v>
      </c>
      <c r="C241" t="s">
        <v>65</v>
      </c>
      <c r="D241" t="s">
        <v>136</v>
      </c>
      <c r="E241">
        <v>44.094070684105702</v>
      </c>
      <c r="F241">
        <v>44.094070684105702</v>
      </c>
      <c r="G241">
        <v>0</v>
      </c>
      <c r="H241">
        <v>0</v>
      </c>
      <c r="I241" t="s">
        <v>66</v>
      </c>
    </row>
    <row r="242" spans="1:9" x14ac:dyDescent="0.35">
      <c r="A242" t="s">
        <v>6</v>
      </c>
      <c r="B242">
        <v>2030</v>
      </c>
      <c r="C242" t="s">
        <v>65</v>
      </c>
      <c r="D242" t="s">
        <v>45</v>
      </c>
      <c r="E242">
        <v>8.4229803289372795E-2</v>
      </c>
      <c r="F242">
        <v>8.4229803289372795E-2</v>
      </c>
      <c r="G242">
        <v>0</v>
      </c>
      <c r="H242">
        <v>0</v>
      </c>
      <c r="I242" t="s">
        <v>66</v>
      </c>
    </row>
    <row r="243" spans="1:9" x14ac:dyDescent="0.35">
      <c r="A243" t="s">
        <v>6</v>
      </c>
      <c r="B243">
        <v>2030</v>
      </c>
      <c r="C243" t="s">
        <v>65</v>
      </c>
      <c r="D243" t="s">
        <v>46</v>
      </c>
      <c r="E243">
        <v>1.33682896721057</v>
      </c>
      <c r="F243">
        <v>1.33682896721057</v>
      </c>
      <c r="G243">
        <v>0</v>
      </c>
      <c r="H243">
        <v>0</v>
      </c>
      <c r="I243" t="s">
        <v>66</v>
      </c>
    </row>
    <row r="244" spans="1:9" x14ac:dyDescent="0.35">
      <c r="A244" t="s">
        <v>6</v>
      </c>
      <c r="B244">
        <v>2030</v>
      </c>
      <c r="C244" t="s">
        <v>65</v>
      </c>
      <c r="D244" t="s">
        <v>47</v>
      </c>
      <c r="E244">
        <v>3.6993644030037499E-2</v>
      </c>
      <c r="F244">
        <v>3.6993644030037499E-2</v>
      </c>
      <c r="G244">
        <v>0</v>
      </c>
      <c r="H244">
        <v>0</v>
      </c>
      <c r="I244" t="s">
        <v>66</v>
      </c>
    </row>
    <row r="245" spans="1:9" x14ac:dyDescent="0.35">
      <c r="A245" t="s">
        <v>6</v>
      </c>
      <c r="B245">
        <v>2030</v>
      </c>
      <c r="C245" t="s">
        <v>65</v>
      </c>
      <c r="D245" t="s">
        <v>48</v>
      </c>
      <c r="E245">
        <v>15.327635428710501</v>
      </c>
      <c r="F245">
        <v>15.327635428710501</v>
      </c>
      <c r="G245">
        <v>0</v>
      </c>
      <c r="H245">
        <v>0</v>
      </c>
      <c r="I245" t="s">
        <v>66</v>
      </c>
    </row>
    <row r="246" spans="1:9" x14ac:dyDescent="0.35">
      <c r="A246" t="s">
        <v>6</v>
      </c>
      <c r="B246">
        <v>2030</v>
      </c>
      <c r="C246" t="s">
        <v>65</v>
      </c>
      <c r="D246" t="s">
        <v>49</v>
      </c>
      <c r="E246">
        <v>0.20924899585149301</v>
      </c>
      <c r="F246">
        <v>0.20924899585149301</v>
      </c>
      <c r="G246">
        <v>0</v>
      </c>
      <c r="H246">
        <v>0</v>
      </c>
      <c r="I246" t="s">
        <v>66</v>
      </c>
    </row>
    <row r="247" spans="1:9" x14ac:dyDescent="0.35">
      <c r="A247" t="s">
        <v>6</v>
      </c>
      <c r="B247">
        <v>2030</v>
      </c>
      <c r="C247" t="s">
        <v>65</v>
      </c>
      <c r="D247" t="s">
        <v>50</v>
      </c>
      <c r="E247">
        <v>0.10912370722793301</v>
      </c>
      <c r="F247">
        <v>0.10912370722793301</v>
      </c>
      <c r="G247">
        <v>0</v>
      </c>
      <c r="H247">
        <v>0</v>
      </c>
      <c r="I247" t="s">
        <v>66</v>
      </c>
    </row>
    <row r="248" spans="1:9" x14ac:dyDescent="0.35">
      <c r="A248" t="s">
        <v>6</v>
      </c>
      <c r="B248">
        <v>2030</v>
      </c>
      <c r="C248" t="s">
        <v>65</v>
      </c>
      <c r="D248" t="s">
        <v>51</v>
      </c>
      <c r="E248">
        <v>1.23205317170782</v>
      </c>
      <c r="F248">
        <v>1.23205317170782</v>
      </c>
      <c r="G248">
        <v>0</v>
      </c>
      <c r="H248">
        <v>0</v>
      </c>
      <c r="I248" t="s">
        <v>66</v>
      </c>
    </row>
    <row r="249" spans="1:9" x14ac:dyDescent="0.35">
      <c r="A249" t="s">
        <v>6</v>
      </c>
      <c r="B249">
        <v>2030</v>
      </c>
      <c r="C249" t="s">
        <v>65</v>
      </c>
      <c r="D249" t="s">
        <v>52</v>
      </c>
      <c r="E249">
        <v>0.59307347385637399</v>
      </c>
      <c r="F249">
        <v>0.59307347385637399</v>
      </c>
      <c r="G249">
        <v>0</v>
      </c>
      <c r="H249">
        <v>0</v>
      </c>
      <c r="I249" t="s">
        <v>66</v>
      </c>
    </row>
    <row r="250" spans="1:9" x14ac:dyDescent="0.35">
      <c r="A250" t="s">
        <v>6</v>
      </c>
      <c r="B250">
        <v>2030</v>
      </c>
      <c r="C250" t="s">
        <v>65</v>
      </c>
      <c r="D250" t="s">
        <v>53</v>
      </c>
      <c r="E250">
        <v>8.64332237109174</v>
      </c>
      <c r="F250">
        <v>8.64332237109174</v>
      </c>
      <c r="G250">
        <v>0</v>
      </c>
      <c r="H250">
        <v>0</v>
      </c>
      <c r="I250" t="s">
        <v>66</v>
      </c>
    </row>
    <row r="251" spans="1:9" x14ac:dyDescent="0.35">
      <c r="A251" t="s">
        <v>6</v>
      </c>
      <c r="B251">
        <v>2030</v>
      </c>
      <c r="C251" t="s">
        <v>65</v>
      </c>
      <c r="D251" t="s">
        <v>54</v>
      </c>
      <c r="E251">
        <v>22.799953826993502</v>
      </c>
      <c r="F251">
        <v>22.799953826993502</v>
      </c>
      <c r="G251">
        <v>0</v>
      </c>
      <c r="H251">
        <v>0</v>
      </c>
      <c r="I251" t="s">
        <v>66</v>
      </c>
    </row>
    <row r="252" spans="1:9" x14ac:dyDescent="0.35">
      <c r="A252" t="s">
        <v>6</v>
      </c>
      <c r="B252">
        <v>2030</v>
      </c>
      <c r="C252" t="s">
        <v>65</v>
      </c>
      <c r="D252" t="s">
        <v>55</v>
      </c>
      <c r="E252">
        <v>24.459929215235402</v>
      </c>
      <c r="F252">
        <v>24.459929215235402</v>
      </c>
      <c r="G252">
        <v>0</v>
      </c>
      <c r="H252">
        <v>0</v>
      </c>
      <c r="I252" t="s">
        <v>66</v>
      </c>
    </row>
    <row r="253" spans="1:9" x14ac:dyDescent="0.35">
      <c r="A253" t="s">
        <v>6</v>
      </c>
      <c r="B253">
        <v>2030</v>
      </c>
      <c r="C253" t="s">
        <v>65</v>
      </c>
      <c r="D253" t="s">
        <v>56</v>
      </c>
      <c r="E253" s="1">
        <v>2.0139099284039601E-6</v>
      </c>
      <c r="F253" s="1">
        <v>2.0139099284039601E-6</v>
      </c>
      <c r="G253">
        <v>0</v>
      </c>
      <c r="H253">
        <v>0</v>
      </c>
      <c r="I253" t="s">
        <v>66</v>
      </c>
    </row>
    <row r="254" spans="1:9" x14ac:dyDescent="0.35">
      <c r="A254" t="s">
        <v>8</v>
      </c>
      <c r="B254">
        <v>2035</v>
      </c>
      <c r="C254" t="s">
        <v>65</v>
      </c>
      <c r="D254" t="s">
        <v>38</v>
      </c>
      <c r="E254">
        <v>7.7438805956762294E-2</v>
      </c>
      <c r="F254">
        <v>7.7438805956762294E-2</v>
      </c>
      <c r="G254">
        <v>0</v>
      </c>
      <c r="H254">
        <v>0</v>
      </c>
      <c r="I254" t="s">
        <v>66</v>
      </c>
    </row>
    <row r="255" spans="1:9" x14ac:dyDescent="0.35">
      <c r="A255" t="s">
        <v>8</v>
      </c>
      <c r="B255">
        <v>2035</v>
      </c>
      <c r="C255" t="s">
        <v>65</v>
      </c>
      <c r="D255" t="s">
        <v>40</v>
      </c>
      <c r="E255">
        <v>9.4156600140020402E-3</v>
      </c>
      <c r="F255">
        <v>9.4156600140020402E-3</v>
      </c>
      <c r="G255">
        <v>0</v>
      </c>
      <c r="H255">
        <v>0</v>
      </c>
      <c r="I255" t="s">
        <v>66</v>
      </c>
    </row>
    <row r="256" spans="1:9" x14ac:dyDescent="0.35">
      <c r="A256" t="s">
        <v>8</v>
      </c>
      <c r="B256">
        <v>2035</v>
      </c>
      <c r="C256" t="s">
        <v>65</v>
      </c>
      <c r="D256" t="s">
        <v>41</v>
      </c>
      <c r="E256">
        <v>0.30467307173661701</v>
      </c>
      <c r="F256">
        <v>0.30467307173661701</v>
      </c>
      <c r="G256">
        <v>0</v>
      </c>
      <c r="H256">
        <v>0</v>
      </c>
      <c r="I256" t="s">
        <v>66</v>
      </c>
    </row>
    <row r="257" spans="1:9" x14ac:dyDescent="0.35">
      <c r="A257" t="s">
        <v>8</v>
      </c>
      <c r="B257">
        <v>2035</v>
      </c>
      <c r="C257" t="s">
        <v>65</v>
      </c>
      <c r="D257" t="s">
        <v>42</v>
      </c>
      <c r="E257">
        <v>52.6067952014347</v>
      </c>
      <c r="F257">
        <v>52.6067952014347</v>
      </c>
      <c r="G257">
        <v>0</v>
      </c>
      <c r="H257">
        <v>0</v>
      </c>
      <c r="I257" t="s">
        <v>66</v>
      </c>
    </row>
    <row r="258" spans="1:9" x14ac:dyDescent="0.35">
      <c r="A258" t="s">
        <v>8</v>
      </c>
      <c r="B258">
        <v>2035</v>
      </c>
      <c r="C258" t="s">
        <v>65</v>
      </c>
      <c r="D258" t="s">
        <v>43</v>
      </c>
      <c r="E258">
        <v>7.5073171248798906E-2</v>
      </c>
      <c r="F258">
        <v>7.5073171248798906E-2</v>
      </c>
      <c r="G258">
        <v>0</v>
      </c>
      <c r="H258">
        <v>0</v>
      </c>
      <c r="I258" t="s">
        <v>66</v>
      </c>
    </row>
    <row r="259" spans="1:9" x14ac:dyDescent="0.35">
      <c r="A259" t="s">
        <v>8</v>
      </c>
      <c r="B259">
        <v>2035</v>
      </c>
      <c r="C259" t="s">
        <v>65</v>
      </c>
      <c r="D259" t="s">
        <v>136</v>
      </c>
      <c r="E259">
        <v>43.761800735535999</v>
      </c>
      <c r="F259">
        <v>43.761800735535999</v>
      </c>
      <c r="G259">
        <v>0</v>
      </c>
      <c r="H259">
        <v>0</v>
      </c>
      <c r="I259" t="s">
        <v>66</v>
      </c>
    </row>
    <row r="260" spans="1:9" x14ac:dyDescent="0.35">
      <c r="A260" t="s">
        <v>8</v>
      </c>
      <c r="B260">
        <v>2035</v>
      </c>
      <c r="C260" t="s">
        <v>65</v>
      </c>
      <c r="D260" t="s">
        <v>45</v>
      </c>
      <c r="E260">
        <v>8.3354749797713096E-2</v>
      </c>
      <c r="F260">
        <v>8.3354749797713096E-2</v>
      </c>
      <c r="G260">
        <v>0</v>
      </c>
      <c r="H260">
        <v>0</v>
      </c>
      <c r="I260" t="s">
        <v>66</v>
      </c>
    </row>
    <row r="261" spans="1:9" x14ac:dyDescent="0.35">
      <c r="A261" t="s">
        <v>8</v>
      </c>
      <c r="B261">
        <v>2035</v>
      </c>
      <c r="C261" t="s">
        <v>65</v>
      </c>
      <c r="D261" t="s">
        <v>46</v>
      </c>
      <c r="E261">
        <v>1.5770017720076801</v>
      </c>
      <c r="F261">
        <v>1.5770017720076801</v>
      </c>
      <c r="G261">
        <v>0</v>
      </c>
      <c r="H261">
        <v>0</v>
      </c>
      <c r="I261" t="s">
        <v>66</v>
      </c>
    </row>
    <row r="262" spans="1:9" x14ac:dyDescent="0.35">
      <c r="A262" t="s">
        <v>8</v>
      </c>
      <c r="B262">
        <v>2035</v>
      </c>
      <c r="C262" t="s">
        <v>65</v>
      </c>
      <c r="D262" t="s">
        <v>47</v>
      </c>
      <c r="E262">
        <v>3.6953701837138697E-2</v>
      </c>
      <c r="F262">
        <v>3.6953701837138697E-2</v>
      </c>
      <c r="G262">
        <v>0</v>
      </c>
      <c r="H262">
        <v>0</v>
      </c>
      <c r="I262" t="s">
        <v>66</v>
      </c>
    </row>
    <row r="263" spans="1:9" x14ac:dyDescent="0.35">
      <c r="A263" t="s">
        <v>8</v>
      </c>
      <c r="B263">
        <v>2035</v>
      </c>
      <c r="C263" t="s">
        <v>65</v>
      </c>
      <c r="D263" t="s">
        <v>48</v>
      </c>
      <c r="E263">
        <v>15.324299288387101</v>
      </c>
      <c r="F263">
        <v>15.324299288387101</v>
      </c>
      <c r="G263">
        <v>0</v>
      </c>
      <c r="H263">
        <v>0</v>
      </c>
      <c r="I263" t="s">
        <v>66</v>
      </c>
    </row>
    <row r="264" spans="1:9" x14ac:dyDescent="0.35">
      <c r="A264" t="s">
        <v>8</v>
      </c>
      <c r="B264">
        <v>2035</v>
      </c>
      <c r="C264" t="s">
        <v>65</v>
      </c>
      <c r="D264" t="s">
        <v>49</v>
      </c>
      <c r="E264">
        <v>0.20847805268284</v>
      </c>
      <c r="F264">
        <v>0.20847805268284</v>
      </c>
      <c r="G264">
        <v>0</v>
      </c>
      <c r="H264">
        <v>0</v>
      </c>
      <c r="I264" t="s">
        <v>66</v>
      </c>
    </row>
    <row r="265" spans="1:9" x14ac:dyDescent="0.35">
      <c r="A265" t="s">
        <v>8</v>
      </c>
      <c r="B265">
        <v>2035</v>
      </c>
      <c r="C265" t="s">
        <v>65</v>
      </c>
      <c r="D265" t="s">
        <v>50</v>
      </c>
      <c r="E265">
        <v>0.108499040983922</v>
      </c>
      <c r="F265">
        <v>0.108499040983922</v>
      </c>
      <c r="G265">
        <v>0</v>
      </c>
      <c r="H265">
        <v>0</v>
      </c>
      <c r="I265" t="s">
        <v>66</v>
      </c>
    </row>
    <row r="266" spans="1:9" x14ac:dyDescent="0.35">
      <c r="A266" t="s">
        <v>8</v>
      </c>
      <c r="B266">
        <v>2035</v>
      </c>
      <c r="C266" t="s">
        <v>65</v>
      </c>
      <c r="D266" t="s">
        <v>51</v>
      </c>
      <c r="E266">
        <v>1.2337303053097901</v>
      </c>
      <c r="F266">
        <v>1.2337303053097901</v>
      </c>
      <c r="G266">
        <v>0</v>
      </c>
      <c r="H266">
        <v>0</v>
      </c>
      <c r="I266" t="s">
        <v>66</v>
      </c>
    </row>
    <row r="267" spans="1:9" x14ac:dyDescent="0.35">
      <c r="A267" t="s">
        <v>8</v>
      </c>
      <c r="B267">
        <v>2035</v>
      </c>
      <c r="C267" t="s">
        <v>65</v>
      </c>
      <c r="D267" t="s">
        <v>52</v>
      </c>
      <c r="E267">
        <v>0.54971078350854596</v>
      </c>
      <c r="F267">
        <v>0.54971078350854596</v>
      </c>
      <c r="G267">
        <v>0</v>
      </c>
      <c r="H267">
        <v>0</v>
      </c>
      <c r="I267" t="s">
        <v>66</v>
      </c>
    </row>
    <row r="268" spans="1:9" x14ac:dyDescent="0.35">
      <c r="A268" t="s">
        <v>8</v>
      </c>
      <c r="B268">
        <v>2035</v>
      </c>
      <c r="C268" t="s">
        <v>65</v>
      </c>
      <c r="D268" t="s">
        <v>53</v>
      </c>
      <c r="E268">
        <v>8.5360554816468799</v>
      </c>
      <c r="F268">
        <v>8.5360554816468799</v>
      </c>
      <c r="G268">
        <v>0</v>
      </c>
      <c r="H268">
        <v>0</v>
      </c>
      <c r="I268" t="s">
        <v>66</v>
      </c>
    </row>
    <row r="269" spans="1:9" x14ac:dyDescent="0.35">
      <c r="A269" t="s">
        <v>8</v>
      </c>
      <c r="B269">
        <v>2035</v>
      </c>
      <c r="C269" t="s">
        <v>65</v>
      </c>
      <c r="D269" t="s">
        <v>54</v>
      </c>
      <c r="E269">
        <v>22.803664775982799</v>
      </c>
      <c r="F269">
        <v>22.803664775982799</v>
      </c>
      <c r="G269">
        <v>0</v>
      </c>
      <c r="H269">
        <v>0</v>
      </c>
      <c r="I269" t="s">
        <v>66</v>
      </c>
    </row>
    <row r="270" spans="1:9" x14ac:dyDescent="0.35">
      <c r="A270" t="s">
        <v>8</v>
      </c>
      <c r="B270">
        <v>2035</v>
      </c>
      <c r="C270" t="s">
        <v>65</v>
      </c>
      <c r="D270" t="s">
        <v>55</v>
      </c>
      <c r="E270">
        <v>24.463136861528199</v>
      </c>
      <c r="F270">
        <v>24.463136861528199</v>
      </c>
      <c r="G270">
        <v>0</v>
      </c>
      <c r="H270">
        <v>0</v>
      </c>
      <c r="I270" t="s">
        <v>66</v>
      </c>
    </row>
    <row r="271" spans="1:9" x14ac:dyDescent="0.35">
      <c r="A271" t="s">
        <v>8</v>
      </c>
      <c r="B271">
        <v>2035</v>
      </c>
      <c r="C271" t="s">
        <v>65</v>
      </c>
      <c r="D271" t="s">
        <v>56</v>
      </c>
      <c r="E271" s="1">
        <v>1.91991247297056E-6</v>
      </c>
      <c r="F271" s="1">
        <v>1.91991247297056E-6</v>
      </c>
      <c r="G271">
        <v>0</v>
      </c>
      <c r="H271">
        <v>0</v>
      </c>
      <c r="I271" t="s">
        <v>66</v>
      </c>
    </row>
    <row r="272" spans="1:9" x14ac:dyDescent="0.35">
      <c r="A272" t="s">
        <v>10</v>
      </c>
      <c r="B272">
        <v>2040</v>
      </c>
      <c r="C272" t="s">
        <v>65</v>
      </c>
      <c r="D272" t="s">
        <v>38</v>
      </c>
      <c r="E272">
        <v>7.5638916648864296E-2</v>
      </c>
      <c r="F272">
        <v>7.5161665662761501E-2</v>
      </c>
      <c r="G272">
        <v>-4.7725098610285001E-4</v>
      </c>
      <c r="H272">
        <v>-0.63095957378445</v>
      </c>
      <c r="I272" t="s">
        <v>66</v>
      </c>
    </row>
    <row r="273" spans="1:9" x14ac:dyDescent="0.35">
      <c r="A273" t="s">
        <v>10</v>
      </c>
      <c r="B273">
        <v>2040</v>
      </c>
      <c r="C273" t="s">
        <v>65</v>
      </c>
      <c r="D273" t="s">
        <v>40</v>
      </c>
      <c r="E273">
        <v>9.3262382997281301E-3</v>
      </c>
      <c r="F273">
        <v>9.3262382997281301E-3</v>
      </c>
      <c r="G273">
        <v>0</v>
      </c>
      <c r="H273">
        <v>0</v>
      </c>
      <c r="I273" t="s">
        <v>66</v>
      </c>
    </row>
    <row r="274" spans="1:9" x14ac:dyDescent="0.35">
      <c r="A274" t="s">
        <v>10</v>
      </c>
      <c r="B274">
        <v>2040</v>
      </c>
      <c r="C274" t="s">
        <v>65</v>
      </c>
      <c r="D274" t="s">
        <v>41</v>
      </c>
      <c r="E274">
        <v>0.30431863158901601</v>
      </c>
      <c r="F274">
        <v>0.16955458563220699</v>
      </c>
      <c r="G274">
        <v>-0.13476404595680899</v>
      </c>
      <c r="H274">
        <v>-44.283863019865301</v>
      </c>
      <c r="I274" t="s">
        <v>66</v>
      </c>
    </row>
    <row r="275" spans="1:9" x14ac:dyDescent="0.35">
      <c r="A275" t="s">
        <v>10</v>
      </c>
      <c r="B275">
        <v>2040</v>
      </c>
      <c r="C275" t="s">
        <v>65</v>
      </c>
      <c r="D275" t="s">
        <v>42</v>
      </c>
      <c r="E275">
        <v>52.599628233076899</v>
      </c>
      <c r="F275">
        <v>51.7084342830899</v>
      </c>
      <c r="G275">
        <v>-0.89119394998698398</v>
      </c>
      <c r="H275">
        <v>-1.6942970509942901</v>
      </c>
      <c r="I275" t="s">
        <v>66</v>
      </c>
    </row>
    <row r="276" spans="1:9" x14ac:dyDescent="0.35">
      <c r="A276" t="s">
        <v>10</v>
      </c>
      <c r="B276">
        <v>2040</v>
      </c>
      <c r="C276" t="s">
        <v>65</v>
      </c>
      <c r="D276" t="s">
        <v>43</v>
      </c>
      <c r="E276">
        <v>7.4556273239529E-2</v>
      </c>
      <c r="F276">
        <v>4.2774778025661597E-2</v>
      </c>
      <c r="G276">
        <v>-3.1781495213867299E-2</v>
      </c>
      <c r="H276">
        <v>-42.627526609011198</v>
      </c>
      <c r="I276" t="s">
        <v>66</v>
      </c>
    </row>
    <row r="277" spans="1:9" x14ac:dyDescent="0.35">
      <c r="A277" t="s">
        <v>10</v>
      </c>
      <c r="B277">
        <v>2040</v>
      </c>
      <c r="C277" t="s">
        <v>65</v>
      </c>
      <c r="D277" t="s">
        <v>136</v>
      </c>
      <c r="E277">
        <v>43.509778940272398</v>
      </c>
      <c r="F277">
        <v>32.890655050870301</v>
      </c>
      <c r="G277">
        <v>-10.619123889401999</v>
      </c>
      <c r="H277">
        <v>-24.4062924428538</v>
      </c>
      <c r="I277" t="s">
        <v>66</v>
      </c>
    </row>
    <row r="278" spans="1:9" x14ac:dyDescent="0.35">
      <c r="A278" t="s">
        <v>10</v>
      </c>
      <c r="B278">
        <v>2040</v>
      </c>
      <c r="C278" t="s">
        <v>65</v>
      </c>
      <c r="D278" t="s">
        <v>45</v>
      </c>
      <c r="E278">
        <v>8.28156115126151E-2</v>
      </c>
      <c r="F278">
        <v>4.4254641392592602E-2</v>
      </c>
      <c r="G278">
        <v>-3.8560970120022499E-2</v>
      </c>
      <c r="H278">
        <v>-46.5624408438361</v>
      </c>
      <c r="I278" t="s">
        <v>66</v>
      </c>
    </row>
    <row r="279" spans="1:9" x14ac:dyDescent="0.35">
      <c r="A279" t="s">
        <v>10</v>
      </c>
      <c r="B279">
        <v>2040</v>
      </c>
      <c r="C279" t="s">
        <v>65</v>
      </c>
      <c r="D279" t="s">
        <v>46</v>
      </c>
      <c r="E279">
        <v>1.8632082212780701</v>
      </c>
      <c r="F279">
        <v>1.8632082212780701</v>
      </c>
      <c r="G279">
        <v>0</v>
      </c>
      <c r="H279">
        <v>0</v>
      </c>
      <c r="I279" t="s">
        <v>66</v>
      </c>
    </row>
    <row r="280" spans="1:9" x14ac:dyDescent="0.35">
      <c r="A280" t="s">
        <v>10</v>
      </c>
      <c r="B280">
        <v>2040</v>
      </c>
      <c r="C280" t="s">
        <v>65</v>
      </c>
      <c r="D280" t="s">
        <v>47</v>
      </c>
      <c r="E280">
        <v>3.6937513121105103E-2</v>
      </c>
      <c r="F280">
        <v>3.6937513121105103E-2</v>
      </c>
      <c r="G280">
        <v>0</v>
      </c>
      <c r="H280">
        <v>0</v>
      </c>
      <c r="I280" t="s">
        <v>66</v>
      </c>
    </row>
    <row r="281" spans="1:9" x14ac:dyDescent="0.35">
      <c r="A281" t="s">
        <v>10</v>
      </c>
      <c r="B281">
        <v>2040</v>
      </c>
      <c r="C281" t="s">
        <v>65</v>
      </c>
      <c r="D281" t="s">
        <v>48</v>
      </c>
      <c r="E281">
        <v>15.3257302157282</v>
      </c>
      <c r="F281">
        <v>15.3257302157282</v>
      </c>
      <c r="G281">
        <v>0</v>
      </c>
      <c r="H281">
        <v>0</v>
      </c>
      <c r="I281" t="s">
        <v>66</v>
      </c>
    </row>
    <row r="282" spans="1:9" x14ac:dyDescent="0.35">
      <c r="A282" t="s">
        <v>10</v>
      </c>
      <c r="B282">
        <v>2040</v>
      </c>
      <c r="C282" t="s">
        <v>65</v>
      </c>
      <c r="D282" t="s">
        <v>49</v>
      </c>
      <c r="E282">
        <v>0.20770843021162799</v>
      </c>
      <c r="F282">
        <v>0.102074661309234</v>
      </c>
      <c r="G282">
        <v>-0.105633768902393</v>
      </c>
      <c r="H282">
        <v>-50.856755691026301</v>
      </c>
      <c r="I282" t="s">
        <v>66</v>
      </c>
    </row>
    <row r="283" spans="1:9" x14ac:dyDescent="0.35">
      <c r="A283" t="s">
        <v>10</v>
      </c>
      <c r="B283">
        <v>2040</v>
      </c>
      <c r="C283" t="s">
        <v>65</v>
      </c>
      <c r="D283" t="s">
        <v>50</v>
      </c>
      <c r="E283">
        <v>0.10136342941573501</v>
      </c>
      <c r="F283">
        <v>0.10136342941573501</v>
      </c>
      <c r="G283">
        <v>0</v>
      </c>
      <c r="H283">
        <v>0</v>
      </c>
      <c r="I283" t="s">
        <v>66</v>
      </c>
    </row>
    <row r="284" spans="1:9" x14ac:dyDescent="0.35">
      <c r="A284" t="s">
        <v>10</v>
      </c>
      <c r="B284">
        <v>2040</v>
      </c>
      <c r="C284" t="s">
        <v>65</v>
      </c>
      <c r="D284" t="s">
        <v>51</v>
      </c>
      <c r="E284">
        <v>1.2370901836794299</v>
      </c>
      <c r="F284">
        <v>1.2370901836794299</v>
      </c>
      <c r="G284">
        <v>0</v>
      </c>
      <c r="H284">
        <v>0</v>
      </c>
      <c r="I284" t="s">
        <v>66</v>
      </c>
    </row>
    <row r="285" spans="1:9" x14ac:dyDescent="0.35">
      <c r="A285" t="s">
        <v>10</v>
      </c>
      <c r="B285">
        <v>2040</v>
      </c>
      <c r="C285" t="s">
        <v>65</v>
      </c>
      <c r="D285" t="s">
        <v>52</v>
      </c>
      <c r="E285">
        <v>0.511023346527121</v>
      </c>
      <c r="F285">
        <v>0.511023346527121</v>
      </c>
      <c r="G285">
        <v>0</v>
      </c>
      <c r="H285">
        <v>0</v>
      </c>
      <c r="I285" t="s">
        <v>66</v>
      </c>
    </row>
    <row r="286" spans="1:9" x14ac:dyDescent="0.35">
      <c r="A286" t="s">
        <v>10</v>
      </c>
      <c r="B286">
        <v>2040</v>
      </c>
      <c r="C286" t="s">
        <v>65</v>
      </c>
      <c r="D286" t="s">
        <v>53</v>
      </c>
      <c r="E286">
        <v>8.45556209847528</v>
      </c>
      <c r="F286">
        <v>8.45556209847528</v>
      </c>
      <c r="G286">
        <v>0</v>
      </c>
      <c r="H286">
        <v>0</v>
      </c>
      <c r="I286" t="s">
        <v>66</v>
      </c>
    </row>
    <row r="287" spans="1:9" x14ac:dyDescent="0.35">
      <c r="A287" t="s">
        <v>10</v>
      </c>
      <c r="B287">
        <v>2040</v>
      </c>
      <c r="C287" t="s">
        <v>65</v>
      </c>
      <c r="D287" t="s">
        <v>54</v>
      </c>
      <c r="E287">
        <v>22.806985837483701</v>
      </c>
      <c r="F287">
        <v>22.8067936869124</v>
      </c>
      <c r="G287">
        <v>-1.92150571315607E-4</v>
      </c>
      <c r="H287">
        <v>-8.4250752240922703E-4</v>
      </c>
      <c r="I287" t="s">
        <v>66</v>
      </c>
    </row>
    <row r="288" spans="1:9" x14ac:dyDescent="0.35">
      <c r="A288" t="s">
        <v>10</v>
      </c>
      <c r="B288">
        <v>2040</v>
      </c>
      <c r="C288" t="s">
        <v>65</v>
      </c>
      <c r="D288" t="s">
        <v>55</v>
      </c>
      <c r="E288">
        <v>24.4665813352794</v>
      </c>
      <c r="F288">
        <v>24.447676915931002</v>
      </c>
      <c r="G288">
        <v>-1.8904419348405799E-2</v>
      </c>
      <c r="H288">
        <v>-7.7266288613630899E-2</v>
      </c>
      <c r="I288" t="s">
        <v>66</v>
      </c>
    </row>
    <row r="289" spans="1:9" x14ac:dyDescent="0.35">
      <c r="A289" t="s">
        <v>10</v>
      </c>
      <c r="B289">
        <v>2040</v>
      </c>
      <c r="C289" t="s">
        <v>65</v>
      </c>
      <c r="D289" t="s">
        <v>56</v>
      </c>
      <c r="E289" s="1">
        <v>1.88553923994751E-6</v>
      </c>
      <c r="F289" s="1">
        <v>1.88553923994751E-6</v>
      </c>
      <c r="G289">
        <v>0</v>
      </c>
      <c r="H289">
        <v>0</v>
      </c>
      <c r="I289" t="s">
        <v>66</v>
      </c>
    </row>
    <row r="290" spans="1:9" x14ac:dyDescent="0.35">
      <c r="A290" t="s">
        <v>4</v>
      </c>
      <c r="B290">
        <v>2025</v>
      </c>
      <c r="C290" t="s">
        <v>76</v>
      </c>
      <c r="D290" t="s">
        <v>38</v>
      </c>
      <c r="E290">
        <v>4.3283411674341597E-3</v>
      </c>
      <c r="F290">
        <v>4.3283411674341597E-3</v>
      </c>
      <c r="G290">
        <v>0</v>
      </c>
      <c r="H290">
        <v>0</v>
      </c>
      <c r="I290" t="s">
        <v>77</v>
      </c>
    </row>
    <row r="291" spans="1:9" x14ac:dyDescent="0.35">
      <c r="A291" t="s">
        <v>4</v>
      </c>
      <c r="B291">
        <v>2025</v>
      </c>
      <c r="C291" t="s">
        <v>76</v>
      </c>
      <c r="D291" t="s">
        <v>40</v>
      </c>
      <c r="E291">
        <v>6.7554829175488803E-4</v>
      </c>
      <c r="F291">
        <v>6.7554829175488803E-4</v>
      </c>
      <c r="G291">
        <v>0</v>
      </c>
      <c r="H291">
        <v>0</v>
      </c>
      <c r="I291" t="s">
        <v>77</v>
      </c>
    </row>
    <row r="292" spans="1:9" x14ac:dyDescent="0.35">
      <c r="A292" t="s">
        <v>4</v>
      </c>
      <c r="B292">
        <v>2025</v>
      </c>
      <c r="C292" t="s">
        <v>76</v>
      </c>
      <c r="D292" t="s">
        <v>41</v>
      </c>
      <c r="E292">
        <v>9.3891696628643096E-3</v>
      </c>
      <c r="F292">
        <v>9.3891696628643096E-3</v>
      </c>
      <c r="G292">
        <v>0</v>
      </c>
      <c r="H292">
        <v>0</v>
      </c>
      <c r="I292" t="s">
        <v>77</v>
      </c>
    </row>
    <row r="293" spans="1:9" x14ac:dyDescent="0.35">
      <c r="A293" t="s">
        <v>4</v>
      </c>
      <c r="B293">
        <v>2025</v>
      </c>
      <c r="C293" t="s">
        <v>76</v>
      </c>
      <c r="D293" t="s">
        <v>42</v>
      </c>
      <c r="E293">
        <v>1.7537920038092201</v>
      </c>
      <c r="F293">
        <v>1.7537920038092201</v>
      </c>
      <c r="G293">
        <v>0</v>
      </c>
      <c r="H293">
        <v>0</v>
      </c>
      <c r="I293" t="s">
        <v>77</v>
      </c>
    </row>
    <row r="294" spans="1:9" x14ac:dyDescent="0.35">
      <c r="A294" t="s">
        <v>4</v>
      </c>
      <c r="B294">
        <v>2025</v>
      </c>
      <c r="C294" t="s">
        <v>76</v>
      </c>
      <c r="D294" t="s">
        <v>43</v>
      </c>
      <c r="E294">
        <v>8.9791750968980493E-3</v>
      </c>
      <c r="F294">
        <v>8.9791750968980493E-3</v>
      </c>
      <c r="G294">
        <v>0</v>
      </c>
      <c r="H294">
        <v>0</v>
      </c>
      <c r="I294" t="s">
        <v>77</v>
      </c>
    </row>
    <row r="295" spans="1:9" x14ac:dyDescent="0.35">
      <c r="A295" t="s">
        <v>4</v>
      </c>
      <c r="B295">
        <v>2025</v>
      </c>
      <c r="C295" t="s">
        <v>76</v>
      </c>
      <c r="D295" t="s">
        <v>136</v>
      </c>
      <c r="E295">
        <v>2.0586891834451402</v>
      </c>
      <c r="F295">
        <v>2.0586891834451402</v>
      </c>
      <c r="G295">
        <v>0</v>
      </c>
      <c r="H295">
        <v>0</v>
      </c>
      <c r="I295" t="s">
        <v>77</v>
      </c>
    </row>
    <row r="296" spans="1:9" x14ac:dyDescent="0.35">
      <c r="A296" t="s">
        <v>4</v>
      </c>
      <c r="B296">
        <v>2025</v>
      </c>
      <c r="C296" t="s">
        <v>76</v>
      </c>
      <c r="D296" t="s">
        <v>45</v>
      </c>
      <c r="E296">
        <v>6.0597435150987001E-3</v>
      </c>
      <c r="F296">
        <v>6.0597435150987001E-3</v>
      </c>
      <c r="G296">
        <v>0</v>
      </c>
      <c r="H296">
        <v>0</v>
      </c>
      <c r="I296" t="s">
        <v>77</v>
      </c>
    </row>
    <row r="297" spans="1:9" x14ac:dyDescent="0.35">
      <c r="A297" t="s">
        <v>4</v>
      </c>
      <c r="B297">
        <v>2025</v>
      </c>
      <c r="C297" t="s">
        <v>76</v>
      </c>
      <c r="D297" t="s">
        <v>46</v>
      </c>
      <c r="E297">
        <v>0.27792817953369098</v>
      </c>
      <c r="F297">
        <v>0.27792817953369098</v>
      </c>
      <c r="G297">
        <v>0</v>
      </c>
      <c r="H297">
        <v>0</v>
      </c>
      <c r="I297" t="s">
        <v>77</v>
      </c>
    </row>
    <row r="298" spans="1:9" x14ac:dyDescent="0.35">
      <c r="A298" t="s">
        <v>4</v>
      </c>
      <c r="B298">
        <v>2025</v>
      </c>
      <c r="C298" t="s">
        <v>76</v>
      </c>
      <c r="D298" t="s">
        <v>47</v>
      </c>
      <c r="E298">
        <v>1.9671669260188499E-3</v>
      </c>
      <c r="F298">
        <v>1.9671669260188499E-3</v>
      </c>
      <c r="G298">
        <v>0</v>
      </c>
      <c r="H298">
        <v>0</v>
      </c>
      <c r="I298" t="s">
        <v>77</v>
      </c>
    </row>
    <row r="299" spans="1:9" x14ac:dyDescent="0.35">
      <c r="A299" t="s">
        <v>4</v>
      </c>
      <c r="B299">
        <v>2025</v>
      </c>
      <c r="C299" t="s">
        <v>76</v>
      </c>
      <c r="D299" t="s">
        <v>48</v>
      </c>
      <c r="E299">
        <v>0.27796962754966797</v>
      </c>
      <c r="F299">
        <v>0.27796962754966797</v>
      </c>
      <c r="G299">
        <v>0</v>
      </c>
      <c r="H299">
        <v>0</v>
      </c>
      <c r="I299" t="s">
        <v>77</v>
      </c>
    </row>
    <row r="300" spans="1:9" x14ac:dyDescent="0.35">
      <c r="A300" t="s">
        <v>4</v>
      </c>
      <c r="B300">
        <v>2025</v>
      </c>
      <c r="C300" t="s">
        <v>76</v>
      </c>
      <c r="D300" t="s">
        <v>49</v>
      </c>
      <c r="E300">
        <v>1.55345740801211E-2</v>
      </c>
      <c r="F300">
        <v>1.55345740801211E-2</v>
      </c>
      <c r="G300">
        <v>0</v>
      </c>
      <c r="H300">
        <v>0</v>
      </c>
      <c r="I300" t="s">
        <v>77</v>
      </c>
    </row>
    <row r="301" spans="1:9" x14ac:dyDescent="0.35">
      <c r="A301" t="s">
        <v>4</v>
      </c>
      <c r="B301">
        <v>2025</v>
      </c>
      <c r="C301" t="s">
        <v>76</v>
      </c>
      <c r="D301" t="s">
        <v>50</v>
      </c>
      <c r="E301">
        <v>1.8447034755687399E-2</v>
      </c>
      <c r="F301">
        <v>1.8447034755687399E-2</v>
      </c>
      <c r="G301">
        <v>0</v>
      </c>
      <c r="H301">
        <v>0</v>
      </c>
      <c r="I301" t="s">
        <v>77</v>
      </c>
    </row>
    <row r="302" spans="1:9" x14ac:dyDescent="0.35">
      <c r="A302" t="s">
        <v>4</v>
      </c>
      <c r="B302">
        <v>2025</v>
      </c>
      <c r="C302" t="s">
        <v>76</v>
      </c>
      <c r="D302" t="s">
        <v>51</v>
      </c>
      <c r="E302">
        <v>0.16950555267135201</v>
      </c>
      <c r="F302">
        <v>0.16950555267135201</v>
      </c>
      <c r="G302">
        <v>0</v>
      </c>
      <c r="H302">
        <v>0</v>
      </c>
      <c r="I302" t="s">
        <v>77</v>
      </c>
    </row>
    <row r="303" spans="1:9" x14ac:dyDescent="0.35">
      <c r="A303" t="s">
        <v>4</v>
      </c>
      <c r="B303">
        <v>2025</v>
      </c>
      <c r="C303" t="s">
        <v>76</v>
      </c>
      <c r="D303" t="s">
        <v>52</v>
      </c>
      <c r="E303">
        <v>0.17119825947957601</v>
      </c>
      <c r="F303">
        <v>0.17119825947957601</v>
      </c>
      <c r="G303">
        <v>0</v>
      </c>
      <c r="H303">
        <v>0</v>
      </c>
      <c r="I303" t="s">
        <v>77</v>
      </c>
    </row>
    <row r="304" spans="1:9" x14ac:dyDescent="0.35">
      <c r="A304" t="s">
        <v>4</v>
      </c>
      <c r="B304">
        <v>2025</v>
      </c>
      <c r="C304" t="s">
        <v>76</v>
      </c>
      <c r="D304" t="s">
        <v>53</v>
      </c>
      <c r="E304">
        <v>0.61577857363681998</v>
      </c>
      <c r="F304">
        <v>0.61577857363681998</v>
      </c>
      <c r="G304">
        <v>0</v>
      </c>
      <c r="H304">
        <v>0</v>
      </c>
      <c r="I304" t="s">
        <v>77</v>
      </c>
    </row>
    <row r="305" spans="1:9" x14ac:dyDescent="0.35">
      <c r="A305" t="s">
        <v>4</v>
      </c>
      <c r="B305">
        <v>2025</v>
      </c>
      <c r="C305" t="s">
        <v>76</v>
      </c>
      <c r="D305" t="s">
        <v>54</v>
      </c>
      <c r="E305">
        <v>0.116481640115342</v>
      </c>
      <c r="F305">
        <v>0.116481640115342</v>
      </c>
      <c r="G305">
        <v>0</v>
      </c>
      <c r="H305">
        <v>0</v>
      </c>
      <c r="I305" t="s">
        <v>77</v>
      </c>
    </row>
    <row r="306" spans="1:9" x14ac:dyDescent="0.35">
      <c r="A306" t="s">
        <v>4</v>
      </c>
      <c r="B306">
        <v>2025</v>
      </c>
      <c r="C306" t="s">
        <v>76</v>
      </c>
      <c r="D306" t="s">
        <v>55</v>
      </c>
      <c r="E306">
        <v>0.10738675670595001</v>
      </c>
      <c r="F306">
        <v>0.10738675670595001</v>
      </c>
      <c r="G306">
        <v>0</v>
      </c>
      <c r="H306">
        <v>0</v>
      </c>
      <c r="I306" t="s">
        <v>77</v>
      </c>
    </row>
    <row r="307" spans="1:9" x14ac:dyDescent="0.35">
      <c r="A307" t="s">
        <v>4</v>
      </c>
      <c r="B307">
        <v>2025</v>
      </c>
      <c r="C307" t="s">
        <v>76</v>
      </c>
      <c r="D307" t="s">
        <v>56</v>
      </c>
      <c r="E307" s="1">
        <v>2.4558687685063502E-7</v>
      </c>
      <c r="F307" s="1">
        <v>2.4558687685063502E-7</v>
      </c>
      <c r="G307">
        <v>0</v>
      </c>
      <c r="H307">
        <v>0</v>
      </c>
      <c r="I307" t="s">
        <v>77</v>
      </c>
    </row>
    <row r="308" spans="1:9" x14ac:dyDescent="0.35">
      <c r="A308" t="s">
        <v>6</v>
      </c>
      <c r="B308">
        <v>2030</v>
      </c>
      <c r="C308" t="s">
        <v>76</v>
      </c>
      <c r="D308" t="s">
        <v>38</v>
      </c>
      <c r="E308">
        <v>4.3924226505384998E-3</v>
      </c>
      <c r="F308">
        <v>4.3924226505384998E-3</v>
      </c>
      <c r="G308">
        <v>0</v>
      </c>
      <c r="H308">
        <v>0</v>
      </c>
      <c r="I308" t="s">
        <v>77</v>
      </c>
    </row>
    <row r="309" spans="1:9" x14ac:dyDescent="0.35">
      <c r="A309" t="s">
        <v>6</v>
      </c>
      <c r="B309">
        <v>2030</v>
      </c>
      <c r="C309" t="s">
        <v>76</v>
      </c>
      <c r="D309" t="s">
        <v>40</v>
      </c>
      <c r="E309">
        <v>6.3948193822246295E-4</v>
      </c>
      <c r="F309">
        <v>6.3948193822246295E-4</v>
      </c>
      <c r="G309">
        <v>0</v>
      </c>
      <c r="H309">
        <v>0</v>
      </c>
      <c r="I309" t="s">
        <v>77</v>
      </c>
    </row>
    <row r="310" spans="1:9" x14ac:dyDescent="0.35">
      <c r="A310" t="s">
        <v>6</v>
      </c>
      <c r="B310">
        <v>2030</v>
      </c>
      <c r="C310" t="s">
        <v>76</v>
      </c>
      <c r="D310" t="s">
        <v>41</v>
      </c>
      <c r="E310">
        <v>8.9997655271666505E-3</v>
      </c>
      <c r="F310">
        <v>8.9997655271666505E-3</v>
      </c>
      <c r="G310">
        <v>0</v>
      </c>
      <c r="H310">
        <v>0</v>
      </c>
      <c r="I310" t="s">
        <v>77</v>
      </c>
    </row>
    <row r="311" spans="1:9" x14ac:dyDescent="0.35">
      <c r="A311" t="s">
        <v>6</v>
      </c>
      <c r="B311">
        <v>2030</v>
      </c>
      <c r="C311" t="s">
        <v>76</v>
      </c>
      <c r="D311" t="s">
        <v>42</v>
      </c>
      <c r="E311">
        <v>1.70319490474516</v>
      </c>
      <c r="F311">
        <v>1.70319490474516</v>
      </c>
      <c r="G311">
        <v>0</v>
      </c>
      <c r="H311">
        <v>0</v>
      </c>
      <c r="I311" t="s">
        <v>77</v>
      </c>
    </row>
    <row r="312" spans="1:9" x14ac:dyDescent="0.35">
      <c r="A312" t="s">
        <v>6</v>
      </c>
      <c r="B312">
        <v>2030</v>
      </c>
      <c r="C312" t="s">
        <v>76</v>
      </c>
      <c r="D312" t="s">
        <v>43</v>
      </c>
      <c r="E312">
        <v>8.8413120479103706E-3</v>
      </c>
      <c r="F312">
        <v>8.8413120479103706E-3</v>
      </c>
      <c r="G312">
        <v>0</v>
      </c>
      <c r="H312">
        <v>0</v>
      </c>
      <c r="I312" t="s">
        <v>77</v>
      </c>
    </row>
    <row r="313" spans="1:9" x14ac:dyDescent="0.35">
      <c r="A313" t="s">
        <v>6</v>
      </c>
      <c r="B313">
        <v>2030</v>
      </c>
      <c r="C313" t="s">
        <v>76</v>
      </c>
      <c r="D313" t="s">
        <v>136</v>
      </c>
      <c r="E313">
        <v>1.91861720088856</v>
      </c>
      <c r="F313">
        <v>1.91861720088856</v>
      </c>
      <c r="G313">
        <v>0</v>
      </c>
      <c r="H313">
        <v>0</v>
      </c>
      <c r="I313" t="s">
        <v>77</v>
      </c>
    </row>
    <row r="314" spans="1:9" x14ac:dyDescent="0.35">
      <c r="A314" t="s">
        <v>6</v>
      </c>
      <c r="B314">
        <v>2030</v>
      </c>
      <c r="C314" t="s">
        <v>76</v>
      </c>
      <c r="D314" t="s">
        <v>45</v>
      </c>
      <c r="E314">
        <v>5.66114054427703E-3</v>
      </c>
      <c r="F314">
        <v>5.66114054427703E-3</v>
      </c>
      <c r="G314">
        <v>0</v>
      </c>
      <c r="H314">
        <v>0</v>
      </c>
      <c r="I314" t="s">
        <v>77</v>
      </c>
    </row>
    <row r="315" spans="1:9" x14ac:dyDescent="0.35">
      <c r="A315" t="s">
        <v>6</v>
      </c>
      <c r="B315">
        <v>2030</v>
      </c>
      <c r="C315" t="s">
        <v>76</v>
      </c>
      <c r="D315" t="s">
        <v>46</v>
      </c>
      <c r="E315">
        <v>0.29469642594172901</v>
      </c>
      <c r="F315">
        <v>0.29469642594172901</v>
      </c>
      <c r="G315">
        <v>0</v>
      </c>
      <c r="H315">
        <v>0</v>
      </c>
      <c r="I315" t="s">
        <v>77</v>
      </c>
    </row>
    <row r="316" spans="1:9" x14ac:dyDescent="0.35">
      <c r="A316" t="s">
        <v>6</v>
      </c>
      <c r="B316">
        <v>2030</v>
      </c>
      <c r="C316" t="s">
        <v>76</v>
      </c>
      <c r="D316" t="s">
        <v>47</v>
      </c>
      <c r="E316">
        <v>1.91517147323948E-3</v>
      </c>
      <c r="F316">
        <v>1.91517147323948E-3</v>
      </c>
      <c r="G316">
        <v>0</v>
      </c>
      <c r="H316">
        <v>0</v>
      </c>
      <c r="I316" t="s">
        <v>77</v>
      </c>
    </row>
    <row r="317" spans="1:9" x14ac:dyDescent="0.35">
      <c r="A317" t="s">
        <v>6</v>
      </c>
      <c r="B317">
        <v>2030</v>
      </c>
      <c r="C317" t="s">
        <v>76</v>
      </c>
      <c r="D317" t="s">
        <v>48</v>
      </c>
      <c r="E317">
        <v>0.27775335608063301</v>
      </c>
      <c r="F317">
        <v>0.27775335608063301</v>
      </c>
      <c r="G317">
        <v>0</v>
      </c>
      <c r="H317">
        <v>0</v>
      </c>
      <c r="I317" t="s">
        <v>77</v>
      </c>
    </row>
    <row r="318" spans="1:9" x14ac:dyDescent="0.35">
      <c r="A318" t="s">
        <v>6</v>
      </c>
      <c r="B318">
        <v>2030</v>
      </c>
      <c r="C318" t="s">
        <v>76</v>
      </c>
      <c r="D318" t="s">
        <v>49</v>
      </c>
      <c r="E318">
        <v>1.4992880684375201E-2</v>
      </c>
      <c r="F318">
        <v>1.4992880684375201E-2</v>
      </c>
      <c r="G318">
        <v>0</v>
      </c>
      <c r="H318">
        <v>0</v>
      </c>
      <c r="I318" t="s">
        <v>77</v>
      </c>
    </row>
    <row r="319" spans="1:9" x14ac:dyDescent="0.35">
      <c r="A319" t="s">
        <v>6</v>
      </c>
      <c r="B319">
        <v>2030</v>
      </c>
      <c r="C319" t="s">
        <v>76</v>
      </c>
      <c r="D319" t="s">
        <v>50</v>
      </c>
      <c r="E319">
        <v>1.7787464383878401E-2</v>
      </c>
      <c r="F319">
        <v>1.7787464383878401E-2</v>
      </c>
      <c r="G319">
        <v>0</v>
      </c>
      <c r="H319">
        <v>0</v>
      </c>
      <c r="I319" t="s">
        <v>77</v>
      </c>
    </row>
    <row r="320" spans="1:9" x14ac:dyDescent="0.35">
      <c r="A320" t="s">
        <v>6</v>
      </c>
      <c r="B320">
        <v>2030</v>
      </c>
      <c r="C320" t="s">
        <v>76</v>
      </c>
      <c r="D320" t="s">
        <v>51</v>
      </c>
      <c r="E320">
        <v>0.16960849331814201</v>
      </c>
      <c r="F320">
        <v>0.16960849331814201</v>
      </c>
      <c r="G320">
        <v>0</v>
      </c>
      <c r="H320">
        <v>0</v>
      </c>
      <c r="I320" t="s">
        <v>77</v>
      </c>
    </row>
    <row r="321" spans="1:9" x14ac:dyDescent="0.35">
      <c r="A321" t="s">
        <v>6</v>
      </c>
      <c r="B321">
        <v>2030</v>
      </c>
      <c r="C321" t="s">
        <v>76</v>
      </c>
      <c r="D321" t="s">
        <v>52</v>
      </c>
      <c r="E321">
        <v>0.14697388366667499</v>
      </c>
      <c r="F321">
        <v>0.14697388366667499</v>
      </c>
      <c r="G321">
        <v>0</v>
      </c>
      <c r="H321">
        <v>0</v>
      </c>
      <c r="I321" t="s">
        <v>77</v>
      </c>
    </row>
    <row r="322" spans="1:9" x14ac:dyDescent="0.35">
      <c r="A322" t="s">
        <v>6</v>
      </c>
      <c r="B322">
        <v>2030</v>
      </c>
      <c r="C322" t="s">
        <v>76</v>
      </c>
      <c r="D322" t="s">
        <v>53</v>
      </c>
      <c r="E322">
        <v>0.57286230652023595</v>
      </c>
      <c r="F322">
        <v>0.57286230652023595</v>
      </c>
      <c r="G322">
        <v>0</v>
      </c>
      <c r="H322">
        <v>0</v>
      </c>
      <c r="I322" t="s">
        <v>77</v>
      </c>
    </row>
    <row r="323" spans="1:9" x14ac:dyDescent="0.35">
      <c r="A323" t="s">
        <v>6</v>
      </c>
      <c r="B323">
        <v>2030</v>
      </c>
      <c r="C323" t="s">
        <v>76</v>
      </c>
      <c r="D323" t="s">
        <v>54</v>
      </c>
      <c r="E323">
        <v>0.11737266501235701</v>
      </c>
      <c r="F323">
        <v>0.11737266501235701</v>
      </c>
      <c r="G323">
        <v>0</v>
      </c>
      <c r="H323">
        <v>0</v>
      </c>
      <c r="I323" t="s">
        <v>77</v>
      </c>
    </row>
    <row r="324" spans="1:9" x14ac:dyDescent="0.35">
      <c r="A324" t="s">
        <v>6</v>
      </c>
      <c r="B324">
        <v>2030</v>
      </c>
      <c r="C324" t="s">
        <v>76</v>
      </c>
      <c r="D324" t="s">
        <v>55</v>
      </c>
      <c r="E324">
        <v>0.10785887128674</v>
      </c>
      <c r="F324">
        <v>0.10785887128674</v>
      </c>
      <c r="G324">
        <v>0</v>
      </c>
      <c r="H324">
        <v>0</v>
      </c>
      <c r="I324" t="s">
        <v>77</v>
      </c>
    </row>
    <row r="325" spans="1:9" x14ac:dyDescent="0.35">
      <c r="A325" t="s">
        <v>6</v>
      </c>
      <c r="B325">
        <v>2030</v>
      </c>
      <c r="C325" t="s">
        <v>76</v>
      </c>
      <c r="D325" t="s">
        <v>56</v>
      </c>
      <c r="E325" s="1">
        <v>2.2086385627289201E-7</v>
      </c>
      <c r="F325" s="1">
        <v>2.2086385627289201E-7</v>
      </c>
      <c r="G325">
        <v>0</v>
      </c>
      <c r="H325">
        <v>0</v>
      </c>
      <c r="I325" t="s">
        <v>77</v>
      </c>
    </row>
    <row r="326" spans="1:9" x14ac:dyDescent="0.35">
      <c r="A326" t="s">
        <v>8</v>
      </c>
      <c r="B326">
        <v>2035</v>
      </c>
      <c r="C326" t="s">
        <v>76</v>
      </c>
      <c r="D326" t="s">
        <v>38</v>
      </c>
      <c r="E326">
        <v>4.2929237854738098E-3</v>
      </c>
      <c r="F326">
        <v>4.2929237854738098E-3</v>
      </c>
      <c r="G326">
        <v>0</v>
      </c>
      <c r="H326">
        <v>0</v>
      </c>
      <c r="I326" t="s">
        <v>77</v>
      </c>
    </row>
    <row r="327" spans="1:9" x14ac:dyDescent="0.35">
      <c r="A327" t="s">
        <v>8</v>
      </c>
      <c r="B327">
        <v>2035</v>
      </c>
      <c r="C327" t="s">
        <v>76</v>
      </c>
      <c r="D327" t="s">
        <v>40</v>
      </c>
      <c r="E327">
        <v>6.0902713576478499E-4</v>
      </c>
      <c r="F327">
        <v>6.0902713576478499E-4</v>
      </c>
      <c r="G327">
        <v>0</v>
      </c>
      <c r="H327">
        <v>0</v>
      </c>
      <c r="I327" t="s">
        <v>77</v>
      </c>
    </row>
    <row r="328" spans="1:9" x14ac:dyDescent="0.35">
      <c r="A328" t="s">
        <v>8</v>
      </c>
      <c r="B328">
        <v>2035</v>
      </c>
      <c r="C328" t="s">
        <v>76</v>
      </c>
      <c r="D328" t="s">
        <v>41</v>
      </c>
      <c r="E328">
        <v>8.7548160096641604E-3</v>
      </c>
      <c r="F328">
        <v>8.7548160096641604E-3</v>
      </c>
      <c r="G328">
        <v>0</v>
      </c>
      <c r="H328">
        <v>0</v>
      </c>
      <c r="I328" t="s">
        <v>77</v>
      </c>
    </row>
    <row r="329" spans="1:9" x14ac:dyDescent="0.35">
      <c r="A329" t="s">
        <v>8</v>
      </c>
      <c r="B329">
        <v>2035</v>
      </c>
      <c r="C329" t="s">
        <v>76</v>
      </c>
      <c r="D329" t="s">
        <v>42</v>
      </c>
      <c r="E329">
        <v>1.6828953477773501</v>
      </c>
      <c r="F329">
        <v>1.6828953477773501</v>
      </c>
      <c r="G329">
        <v>0</v>
      </c>
      <c r="H329">
        <v>0</v>
      </c>
      <c r="I329" t="s">
        <v>77</v>
      </c>
    </row>
    <row r="330" spans="1:9" x14ac:dyDescent="0.35">
      <c r="A330" t="s">
        <v>8</v>
      </c>
      <c r="B330">
        <v>2035</v>
      </c>
      <c r="C330" t="s">
        <v>76</v>
      </c>
      <c r="D330" t="s">
        <v>43</v>
      </c>
      <c r="E330">
        <v>8.7145001199058995E-3</v>
      </c>
      <c r="F330">
        <v>8.7145001199058995E-3</v>
      </c>
      <c r="G330">
        <v>0</v>
      </c>
      <c r="H330">
        <v>0</v>
      </c>
      <c r="I330" t="s">
        <v>77</v>
      </c>
    </row>
    <row r="331" spans="1:9" x14ac:dyDescent="0.35">
      <c r="A331" t="s">
        <v>8</v>
      </c>
      <c r="B331">
        <v>2035</v>
      </c>
      <c r="C331" t="s">
        <v>76</v>
      </c>
      <c r="D331" t="s">
        <v>136</v>
      </c>
      <c r="E331">
        <v>1.8122335914223</v>
      </c>
      <c r="F331">
        <v>1.8122335914223</v>
      </c>
      <c r="G331">
        <v>0</v>
      </c>
      <c r="H331">
        <v>0</v>
      </c>
      <c r="I331" t="s">
        <v>77</v>
      </c>
    </row>
    <row r="332" spans="1:9" x14ac:dyDescent="0.35">
      <c r="A332" t="s">
        <v>8</v>
      </c>
      <c r="B332">
        <v>2035</v>
      </c>
      <c r="C332" t="s">
        <v>76</v>
      </c>
      <c r="D332" t="s">
        <v>45</v>
      </c>
      <c r="E332">
        <v>5.4053572147483697E-3</v>
      </c>
      <c r="F332">
        <v>5.4053572147483697E-3</v>
      </c>
      <c r="G332">
        <v>0</v>
      </c>
      <c r="H332">
        <v>0</v>
      </c>
      <c r="I332" t="s">
        <v>77</v>
      </c>
    </row>
    <row r="333" spans="1:9" x14ac:dyDescent="0.35">
      <c r="A333" t="s">
        <v>8</v>
      </c>
      <c r="B333">
        <v>2035</v>
      </c>
      <c r="C333" t="s">
        <v>76</v>
      </c>
      <c r="D333" t="s">
        <v>46</v>
      </c>
      <c r="E333">
        <v>0.34574560505701701</v>
      </c>
      <c r="F333">
        <v>0.34574560505701701</v>
      </c>
      <c r="G333">
        <v>0</v>
      </c>
      <c r="H333">
        <v>0</v>
      </c>
      <c r="I333" t="s">
        <v>77</v>
      </c>
    </row>
    <row r="334" spans="1:9" x14ac:dyDescent="0.35">
      <c r="A334" t="s">
        <v>8</v>
      </c>
      <c r="B334">
        <v>2035</v>
      </c>
      <c r="C334" t="s">
        <v>76</v>
      </c>
      <c r="D334" t="s">
        <v>47</v>
      </c>
      <c r="E334">
        <v>1.8854748320695201E-3</v>
      </c>
      <c r="F334">
        <v>1.8854748320695201E-3</v>
      </c>
      <c r="G334">
        <v>0</v>
      </c>
      <c r="H334">
        <v>0</v>
      </c>
      <c r="I334" t="s">
        <v>77</v>
      </c>
    </row>
    <row r="335" spans="1:9" x14ac:dyDescent="0.35">
      <c r="A335" t="s">
        <v>8</v>
      </c>
      <c r="B335">
        <v>2035</v>
      </c>
      <c r="C335" t="s">
        <v>76</v>
      </c>
      <c r="D335" t="s">
        <v>48</v>
      </c>
      <c r="E335">
        <v>0.28045231446194502</v>
      </c>
      <c r="F335">
        <v>0.28045231446194502</v>
      </c>
      <c r="G335">
        <v>0</v>
      </c>
      <c r="H335">
        <v>0</v>
      </c>
      <c r="I335" t="s">
        <v>77</v>
      </c>
    </row>
    <row r="336" spans="1:9" x14ac:dyDescent="0.35">
      <c r="A336" t="s">
        <v>8</v>
      </c>
      <c r="B336">
        <v>2035</v>
      </c>
      <c r="C336" t="s">
        <v>76</v>
      </c>
      <c r="D336" t="s">
        <v>49</v>
      </c>
      <c r="E336">
        <v>1.4643460337171E-2</v>
      </c>
      <c r="F336">
        <v>1.4643460337171E-2</v>
      </c>
      <c r="G336">
        <v>0</v>
      </c>
      <c r="H336">
        <v>0</v>
      </c>
      <c r="I336" t="s">
        <v>77</v>
      </c>
    </row>
    <row r="337" spans="1:9" x14ac:dyDescent="0.35">
      <c r="A337" t="s">
        <v>8</v>
      </c>
      <c r="B337">
        <v>2035</v>
      </c>
      <c r="C337" t="s">
        <v>76</v>
      </c>
      <c r="D337" t="s">
        <v>50</v>
      </c>
      <c r="E337">
        <v>1.6635410697617401E-2</v>
      </c>
      <c r="F337">
        <v>1.6635410697617401E-2</v>
      </c>
      <c r="G337">
        <v>0</v>
      </c>
      <c r="H337">
        <v>0</v>
      </c>
      <c r="I337" t="s">
        <v>77</v>
      </c>
    </row>
    <row r="338" spans="1:9" x14ac:dyDescent="0.35">
      <c r="A338" t="s">
        <v>8</v>
      </c>
      <c r="B338">
        <v>2035</v>
      </c>
      <c r="C338" t="s">
        <v>76</v>
      </c>
      <c r="D338" t="s">
        <v>51</v>
      </c>
      <c r="E338">
        <v>0.17082520519382299</v>
      </c>
      <c r="F338">
        <v>0.17082520519382299</v>
      </c>
      <c r="G338">
        <v>0</v>
      </c>
      <c r="H338">
        <v>0</v>
      </c>
      <c r="I338" t="s">
        <v>77</v>
      </c>
    </row>
    <row r="339" spans="1:9" x14ac:dyDescent="0.35">
      <c r="A339" t="s">
        <v>8</v>
      </c>
      <c r="B339">
        <v>2035</v>
      </c>
      <c r="C339" t="s">
        <v>76</v>
      </c>
      <c r="D339" t="s">
        <v>52</v>
      </c>
      <c r="E339">
        <v>0.12269251342833799</v>
      </c>
      <c r="F339">
        <v>0.12269251342833799</v>
      </c>
      <c r="G339">
        <v>0</v>
      </c>
      <c r="H339">
        <v>0</v>
      </c>
      <c r="I339" t="s">
        <v>77</v>
      </c>
    </row>
    <row r="340" spans="1:9" x14ac:dyDescent="0.35">
      <c r="A340" t="s">
        <v>8</v>
      </c>
      <c r="B340">
        <v>2035</v>
      </c>
      <c r="C340" t="s">
        <v>76</v>
      </c>
      <c r="D340" t="s">
        <v>53</v>
      </c>
      <c r="E340">
        <v>0.53993260894018602</v>
      </c>
      <c r="F340">
        <v>0.53993260894018602</v>
      </c>
      <c r="G340">
        <v>0</v>
      </c>
      <c r="H340">
        <v>0</v>
      </c>
      <c r="I340" t="s">
        <v>77</v>
      </c>
    </row>
    <row r="341" spans="1:9" x14ac:dyDescent="0.35">
      <c r="A341" t="s">
        <v>8</v>
      </c>
      <c r="B341">
        <v>2035</v>
      </c>
      <c r="C341" t="s">
        <v>76</v>
      </c>
      <c r="D341" t="s">
        <v>54</v>
      </c>
      <c r="E341">
        <v>0.118742621541509</v>
      </c>
      <c r="F341">
        <v>0.118742621541509</v>
      </c>
      <c r="G341">
        <v>0</v>
      </c>
      <c r="H341">
        <v>0</v>
      </c>
      <c r="I341" t="s">
        <v>77</v>
      </c>
    </row>
    <row r="342" spans="1:9" x14ac:dyDescent="0.35">
      <c r="A342" t="s">
        <v>8</v>
      </c>
      <c r="B342">
        <v>2035</v>
      </c>
      <c r="C342" t="s">
        <v>76</v>
      </c>
      <c r="D342" t="s">
        <v>55</v>
      </c>
      <c r="E342">
        <v>0.109033477352521</v>
      </c>
      <c r="F342">
        <v>0.109033477352521</v>
      </c>
      <c r="G342">
        <v>0</v>
      </c>
      <c r="H342">
        <v>0</v>
      </c>
      <c r="I342" t="s">
        <v>77</v>
      </c>
    </row>
    <row r="343" spans="1:9" x14ac:dyDescent="0.35">
      <c r="A343" t="s">
        <v>8</v>
      </c>
      <c r="B343">
        <v>2035</v>
      </c>
      <c r="C343" t="s">
        <v>76</v>
      </c>
      <c r="D343" t="s">
        <v>56</v>
      </c>
      <c r="E343" s="1">
        <v>2.0767212965819201E-7</v>
      </c>
      <c r="F343" s="1">
        <v>2.0767212965819201E-7</v>
      </c>
      <c r="G343">
        <v>0</v>
      </c>
      <c r="H343">
        <v>0</v>
      </c>
      <c r="I343" t="s">
        <v>77</v>
      </c>
    </row>
    <row r="344" spans="1:9" x14ac:dyDescent="0.35">
      <c r="A344" t="s">
        <v>10</v>
      </c>
      <c r="B344">
        <v>2040</v>
      </c>
      <c r="C344" t="s">
        <v>76</v>
      </c>
      <c r="D344" t="s">
        <v>38</v>
      </c>
      <c r="E344">
        <v>3.7158360872214598E-3</v>
      </c>
      <c r="F344">
        <v>3.7158360872214598E-3</v>
      </c>
      <c r="G344">
        <v>0</v>
      </c>
      <c r="H344">
        <v>0</v>
      </c>
      <c r="I344" t="s">
        <v>77</v>
      </c>
    </row>
    <row r="345" spans="1:9" x14ac:dyDescent="0.35">
      <c r="A345" t="s">
        <v>10</v>
      </c>
      <c r="B345">
        <v>2040</v>
      </c>
      <c r="C345" t="s">
        <v>76</v>
      </c>
      <c r="D345" t="s">
        <v>40</v>
      </c>
      <c r="E345">
        <v>5.8226634604985697E-4</v>
      </c>
      <c r="F345">
        <v>5.8226634604985697E-4</v>
      </c>
      <c r="G345">
        <v>0</v>
      </c>
      <c r="H345">
        <v>0</v>
      </c>
      <c r="I345" t="s">
        <v>77</v>
      </c>
    </row>
    <row r="346" spans="1:9" x14ac:dyDescent="0.35">
      <c r="A346" t="s">
        <v>10</v>
      </c>
      <c r="B346">
        <v>2040</v>
      </c>
      <c r="C346" t="s">
        <v>76</v>
      </c>
      <c r="D346" t="s">
        <v>41</v>
      </c>
      <c r="E346">
        <v>8.5931586194510495E-3</v>
      </c>
      <c r="F346">
        <v>8.5931586194510495E-3</v>
      </c>
      <c r="G346">
        <v>0</v>
      </c>
      <c r="H346">
        <v>0</v>
      </c>
      <c r="I346" t="s">
        <v>77</v>
      </c>
    </row>
    <row r="347" spans="1:9" x14ac:dyDescent="0.35">
      <c r="A347" t="s">
        <v>10</v>
      </c>
      <c r="B347">
        <v>2040</v>
      </c>
      <c r="C347" t="s">
        <v>76</v>
      </c>
      <c r="D347" t="s">
        <v>42</v>
      </c>
      <c r="E347">
        <v>1.6761228273216999</v>
      </c>
      <c r="F347">
        <v>1.6761228273216999</v>
      </c>
      <c r="G347">
        <v>0</v>
      </c>
      <c r="H347">
        <v>0</v>
      </c>
      <c r="I347" t="s">
        <v>77</v>
      </c>
    </row>
    <row r="348" spans="1:9" x14ac:dyDescent="0.35">
      <c r="A348" t="s">
        <v>10</v>
      </c>
      <c r="B348">
        <v>2040</v>
      </c>
      <c r="C348" t="s">
        <v>76</v>
      </c>
      <c r="D348" t="s">
        <v>43</v>
      </c>
      <c r="E348">
        <v>8.5345199248100193E-3</v>
      </c>
      <c r="F348">
        <v>8.5345199248100193E-3</v>
      </c>
      <c r="G348">
        <v>0</v>
      </c>
      <c r="H348">
        <v>0</v>
      </c>
      <c r="I348" t="s">
        <v>77</v>
      </c>
    </row>
    <row r="349" spans="1:9" x14ac:dyDescent="0.35">
      <c r="A349" t="s">
        <v>10</v>
      </c>
      <c r="B349">
        <v>2040</v>
      </c>
      <c r="C349" t="s">
        <v>76</v>
      </c>
      <c r="D349" t="s">
        <v>136</v>
      </c>
      <c r="E349">
        <v>1.7279876490581401</v>
      </c>
      <c r="F349">
        <v>1.7279876490581401</v>
      </c>
      <c r="G349">
        <v>0</v>
      </c>
      <c r="H349">
        <v>0</v>
      </c>
      <c r="I349" t="s">
        <v>77</v>
      </c>
    </row>
    <row r="350" spans="1:9" x14ac:dyDescent="0.35">
      <c r="A350" t="s">
        <v>10</v>
      </c>
      <c r="B350">
        <v>2040</v>
      </c>
      <c r="C350" t="s">
        <v>76</v>
      </c>
      <c r="D350" t="s">
        <v>45</v>
      </c>
      <c r="E350">
        <v>5.25769765154337E-3</v>
      </c>
      <c r="F350">
        <v>5.25769765154337E-3</v>
      </c>
      <c r="G350">
        <v>0</v>
      </c>
      <c r="H350">
        <v>0</v>
      </c>
      <c r="I350" t="s">
        <v>77</v>
      </c>
    </row>
    <row r="351" spans="1:9" x14ac:dyDescent="0.35">
      <c r="A351" t="s">
        <v>10</v>
      </c>
      <c r="B351">
        <v>2040</v>
      </c>
      <c r="C351" t="s">
        <v>76</v>
      </c>
      <c r="D351" t="s">
        <v>46</v>
      </c>
      <c r="E351">
        <v>0.421629364658754</v>
      </c>
      <c r="F351">
        <v>0.421629364658754</v>
      </c>
      <c r="G351">
        <v>0</v>
      </c>
      <c r="H351">
        <v>0</v>
      </c>
      <c r="I351" t="s">
        <v>77</v>
      </c>
    </row>
    <row r="352" spans="1:9" x14ac:dyDescent="0.35">
      <c r="A352" t="s">
        <v>10</v>
      </c>
      <c r="B352">
        <v>2040</v>
      </c>
      <c r="C352" t="s">
        <v>76</v>
      </c>
      <c r="D352" t="s">
        <v>47</v>
      </c>
      <c r="E352">
        <v>1.87110839296199E-3</v>
      </c>
      <c r="F352">
        <v>1.87110839296199E-3</v>
      </c>
      <c r="G352">
        <v>0</v>
      </c>
      <c r="H352">
        <v>0</v>
      </c>
      <c r="I352" t="s">
        <v>77</v>
      </c>
    </row>
    <row r="353" spans="1:9" x14ac:dyDescent="0.35">
      <c r="A353" t="s">
        <v>10</v>
      </c>
      <c r="B353">
        <v>2040</v>
      </c>
      <c r="C353" t="s">
        <v>76</v>
      </c>
      <c r="D353" t="s">
        <v>48</v>
      </c>
      <c r="E353">
        <v>0.286286094658874</v>
      </c>
      <c r="F353">
        <v>0.286286094658874</v>
      </c>
      <c r="G353">
        <v>0</v>
      </c>
      <c r="H353">
        <v>0</v>
      </c>
      <c r="I353" t="s">
        <v>77</v>
      </c>
    </row>
    <row r="354" spans="1:9" x14ac:dyDescent="0.35">
      <c r="A354" t="s">
        <v>10</v>
      </c>
      <c r="B354">
        <v>2040</v>
      </c>
      <c r="C354" t="s">
        <v>76</v>
      </c>
      <c r="D354" t="s">
        <v>49</v>
      </c>
      <c r="E354">
        <v>1.4390574146059701E-2</v>
      </c>
      <c r="F354">
        <v>1.4390574146059701E-2</v>
      </c>
      <c r="G354">
        <v>0</v>
      </c>
      <c r="H354">
        <v>0</v>
      </c>
      <c r="I354" t="s">
        <v>77</v>
      </c>
    </row>
    <row r="355" spans="1:9" x14ac:dyDescent="0.35">
      <c r="A355" t="s">
        <v>10</v>
      </c>
      <c r="B355">
        <v>2040</v>
      </c>
      <c r="C355" t="s">
        <v>76</v>
      </c>
      <c r="D355" t="s">
        <v>50</v>
      </c>
      <c r="E355">
        <v>1.43479203530292E-2</v>
      </c>
      <c r="F355">
        <v>1.43479203530292E-2</v>
      </c>
      <c r="G355">
        <v>0</v>
      </c>
      <c r="H355">
        <v>0</v>
      </c>
      <c r="I355" t="s">
        <v>77</v>
      </c>
    </row>
    <row r="356" spans="1:9" x14ac:dyDescent="0.35">
      <c r="A356" t="s">
        <v>10</v>
      </c>
      <c r="B356">
        <v>2040</v>
      </c>
      <c r="C356" t="s">
        <v>76</v>
      </c>
      <c r="D356" t="s">
        <v>51</v>
      </c>
      <c r="E356">
        <v>0.17246142420918401</v>
      </c>
      <c r="F356">
        <v>0.17246142420918401</v>
      </c>
      <c r="G356">
        <v>0</v>
      </c>
      <c r="H356">
        <v>0</v>
      </c>
      <c r="I356" t="s">
        <v>77</v>
      </c>
    </row>
    <row r="357" spans="1:9" x14ac:dyDescent="0.35">
      <c r="A357" t="s">
        <v>10</v>
      </c>
      <c r="B357">
        <v>2040</v>
      </c>
      <c r="C357" t="s">
        <v>76</v>
      </c>
      <c r="D357" t="s">
        <v>52</v>
      </c>
      <c r="E357">
        <v>0.10150129039908599</v>
      </c>
      <c r="F357">
        <v>0.10150129039908599</v>
      </c>
      <c r="G357">
        <v>0</v>
      </c>
      <c r="H357">
        <v>0</v>
      </c>
      <c r="I357" t="s">
        <v>77</v>
      </c>
    </row>
    <row r="358" spans="1:9" x14ac:dyDescent="0.35">
      <c r="A358" t="s">
        <v>10</v>
      </c>
      <c r="B358">
        <v>2040</v>
      </c>
      <c r="C358" t="s">
        <v>76</v>
      </c>
      <c r="D358" t="s">
        <v>53</v>
      </c>
      <c r="E358">
        <v>0.51251658972448599</v>
      </c>
      <c r="F358">
        <v>0.51251658972448599</v>
      </c>
      <c r="G358">
        <v>0</v>
      </c>
      <c r="H358">
        <v>0</v>
      </c>
      <c r="I358" t="s">
        <v>77</v>
      </c>
    </row>
    <row r="359" spans="1:9" x14ac:dyDescent="0.35">
      <c r="A359" t="s">
        <v>10</v>
      </c>
      <c r="B359">
        <v>2040</v>
      </c>
      <c r="C359" t="s">
        <v>76</v>
      </c>
      <c r="D359" t="s">
        <v>54</v>
      </c>
      <c r="E359">
        <v>0.12046966473828601</v>
      </c>
      <c r="F359">
        <v>0.12046966473828601</v>
      </c>
      <c r="G359">
        <v>0</v>
      </c>
      <c r="H359">
        <v>0</v>
      </c>
      <c r="I359" t="s">
        <v>77</v>
      </c>
    </row>
    <row r="360" spans="1:9" x14ac:dyDescent="0.35">
      <c r="A360" t="s">
        <v>10</v>
      </c>
      <c r="B360">
        <v>2040</v>
      </c>
      <c r="C360" t="s">
        <v>76</v>
      </c>
      <c r="D360" t="s">
        <v>55</v>
      </c>
      <c r="E360">
        <v>0.11063021039399699</v>
      </c>
      <c r="F360">
        <v>0.11063021039399699</v>
      </c>
      <c r="G360">
        <v>0</v>
      </c>
      <c r="H360">
        <v>0</v>
      </c>
      <c r="I360" t="s">
        <v>77</v>
      </c>
    </row>
    <row r="361" spans="1:9" x14ac:dyDescent="0.35">
      <c r="A361" t="s">
        <v>10</v>
      </c>
      <c r="B361">
        <v>2040</v>
      </c>
      <c r="C361" t="s">
        <v>76</v>
      </c>
      <c r="D361" t="s">
        <v>56</v>
      </c>
      <c r="E361" s="1">
        <v>2.01368309627094E-7</v>
      </c>
      <c r="F361" s="1">
        <v>2.01368309627094E-7</v>
      </c>
      <c r="G361">
        <v>0</v>
      </c>
      <c r="H361">
        <v>0</v>
      </c>
      <c r="I361" t="s">
        <v>77</v>
      </c>
    </row>
    <row r="362" spans="1:9" x14ac:dyDescent="0.35">
      <c r="A362" t="s">
        <v>4</v>
      </c>
      <c r="B362">
        <v>2025</v>
      </c>
      <c r="C362" t="s">
        <v>83</v>
      </c>
      <c r="D362" t="s">
        <v>38</v>
      </c>
      <c r="E362">
        <v>9.9632163677641295E-4</v>
      </c>
      <c r="F362">
        <v>9.9632163677641295E-4</v>
      </c>
      <c r="G362">
        <v>0</v>
      </c>
      <c r="H362">
        <v>0</v>
      </c>
      <c r="I362" t="s">
        <v>84</v>
      </c>
    </row>
    <row r="363" spans="1:9" x14ac:dyDescent="0.35">
      <c r="A363" t="s">
        <v>4</v>
      </c>
      <c r="B363">
        <v>2025</v>
      </c>
      <c r="C363" t="s">
        <v>83</v>
      </c>
      <c r="D363" t="s">
        <v>40</v>
      </c>
      <c r="E363">
        <v>2.4981402939268501E-4</v>
      </c>
      <c r="F363">
        <v>2.4981402939268501E-4</v>
      </c>
      <c r="G363">
        <v>0</v>
      </c>
      <c r="H363">
        <v>0</v>
      </c>
      <c r="I363" t="s">
        <v>84</v>
      </c>
    </row>
    <row r="364" spans="1:9" x14ac:dyDescent="0.35">
      <c r="A364" t="s">
        <v>4</v>
      </c>
      <c r="B364">
        <v>2025</v>
      </c>
      <c r="C364" t="s">
        <v>83</v>
      </c>
      <c r="D364" t="s">
        <v>41</v>
      </c>
      <c r="E364">
        <v>2.6950515001819201E-3</v>
      </c>
      <c r="F364">
        <v>2.6950515001819201E-3</v>
      </c>
      <c r="G364">
        <v>0</v>
      </c>
      <c r="H364">
        <v>0</v>
      </c>
      <c r="I364" t="s">
        <v>84</v>
      </c>
    </row>
    <row r="365" spans="1:9" x14ac:dyDescent="0.35">
      <c r="A365" t="s">
        <v>4</v>
      </c>
      <c r="B365">
        <v>2025</v>
      </c>
      <c r="C365" t="s">
        <v>83</v>
      </c>
      <c r="D365" t="s">
        <v>42</v>
      </c>
      <c r="E365">
        <v>2.19553082034321</v>
      </c>
      <c r="F365">
        <v>2.19553082034321</v>
      </c>
      <c r="G365">
        <v>0</v>
      </c>
      <c r="H365">
        <v>0</v>
      </c>
      <c r="I365" t="s">
        <v>84</v>
      </c>
    </row>
    <row r="366" spans="1:9" x14ac:dyDescent="0.35">
      <c r="A366" t="s">
        <v>4</v>
      </c>
      <c r="B366">
        <v>2025</v>
      </c>
      <c r="C366" t="s">
        <v>83</v>
      </c>
      <c r="D366" t="s">
        <v>43</v>
      </c>
      <c r="E366">
        <v>9.6947076233496496E-4</v>
      </c>
      <c r="F366">
        <v>9.6947076233496496E-4</v>
      </c>
      <c r="G366">
        <v>0</v>
      </c>
      <c r="H366">
        <v>0</v>
      </c>
      <c r="I366" t="s">
        <v>84</v>
      </c>
    </row>
    <row r="367" spans="1:9" x14ac:dyDescent="0.35">
      <c r="A367" t="s">
        <v>4</v>
      </c>
      <c r="B367">
        <v>2025</v>
      </c>
      <c r="C367" t="s">
        <v>83</v>
      </c>
      <c r="D367" t="s">
        <v>136</v>
      </c>
      <c r="E367">
        <v>0.89205712964505901</v>
      </c>
      <c r="F367">
        <v>0.89205712964505901</v>
      </c>
      <c r="G367">
        <v>0</v>
      </c>
      <c r="H367">
        <v>0</v>
      </c>
      <c r="I367" t="s">
        <v>84</v>
      </c>
    </row>
    <row r="368" spans="1:9" x14ac:dyDescent="0.35">
      <c r="A368" t="s">
        <v>4</v>
      </c>
      <c r="B368">
        <v>2025</v>
      </c>
      <c r="C368" t="s">
        <v>83</v>
      </c>
      <c r="D368" t="s">
        <v>45</v>
      </c>
      <c r="E368">
        <v>1.67943683746124E-3</v>
      </c>
      <c r="F368">
        <v>1.67943683746124E-3</v>
      </c>
      <c r="G368">
        <v>0</v>
      </c>
      <c r="H368">
        <v>0</v>
      </c>
      <c r="I368" t="s">
        <v>84</v>
      </c>
    </row>
    <row r="369" spans="1:9" x14ac:dyDescent="0.35">
      <c r="A369" t="s">
        <v>4</v>
      </c>
      <c r="B369">
        <v>2025</v>
      </c>
      <c r="C369" t="s">
        <v>83</v>
      </c>
      <c r="D369" t="s">
        <v>46</v>
      </c>
      <c r="E369">
        <v>5.4407919977894001E-2</v>
      </c>
      <c r="F369">
        <v>5.4407919977894001E-2</v>
      </c>
      <c r="G369">
        <v>0</v>
      </c>
      <c r="H369">
        <v>0</v>
      </c>
      <c r="I369" t="s">
        <v>84</v>
      </c>
    </row>
    <row r="370" spans="1:9" x14ac:dyDescent="0.35">
      <c r="A370" t="s">
        <v>4</v>
      </c>
      <c r="B370">
        <v>2025</v>
      </c>
      <c r="C370" t="s">
        <v>83</v>
      </c>
      <c r="D370" t="s">
        <v>47</v>
      </c>
      <c r="E370">
        <v>3.8009354604126501E-4</v>
      </c>
      <c r="F370">
        <v>3.8009354604126501E-4</v>
      </c>
      <c r="G370">
        <v>0</v>
      </c>
      <c r="H370">
        <v>0</v>
      </c>
      <c r="I370" t="s">
        <v>84</v>
      </c>
    </row>
    <row r="371" spans="1:9" x14ac:dyDescent="0.35">
      <c r="A371" t="s">
        <v>4</v>
      </c>
      <c r="B371">
        <v>2025</v>
      </c>
      <c r="C371" t="s">
        <v>83</v>
      </c>
      <c r="D371" t="s">
        <v>48</v>
      </c>
      <c r="E371">
        <v>36.2769262244557</v>
      </c>
      <c r="F371">
        <v>36.2769262244557</v>
      </c>
      <c r="G371">
        <v>0</v>
      </c>
      <c r="H371">
        <v>0</v>
      </c>
      <c r="I371" t="s">
        <v>84</v>
      </c>
    </row>
    <row r="372" spans="1:9" x14ac:dyDescent="0.35">
      <c r="A372" t="s">
        <v>4</v>
      </c>
      <c r="B372">
        <v>2025</v>
      </c>
      <c r="C372" t="s">
        <v>83</v>
      </c>
      <c r="D372" t="s">
        <v>49</v>
      </c>
      <c r="E372">
        <v>4.6952532751615402E-3</v>
      </c>
      <c r="F372">
        <v>4.6952532751615402E-3</v>
      </c>
      <c r="G372">
        <v>0</v>
      </c>
      <c r="H372">
        <v>0</v>
      </c>
      <c r="I372" t="s">
        <v>84</v>
      </c>
    </row>
    <row r="373" spans="1:9" x14ac:dyDescent="0.35">
      <c r="A373" t="s">
        <v>4</v>
      </c>
      <c r="B373">
        <v>2025</v>
      </c>
      <c r="C373" t="s">
        <v>83</v>
      </c>
      <c r="D373" t="s">
        <v>50</v>
      </c>
      <c r="E373">
        <v>7.5354707960418703E-3</v>
      </c>
      <c r="F373">
        <v>7.5354707960418703E-3</v>
      </c>
      <c r="G373">
        <v>0</v>
      </c>
      <c r="H373">
        <v>0</v>
      </c>
      <c r="I373" t="s">
        <v>84</v>
      </c>
    </row>
    <row r="374" spans="1:9" x14ac:dyDescent="0.35">
      <c r="A374" t="s">
        <v>4</v>
      </c>
      <c r="B374">
        <v>2025</v>
      </c>
      <c r="C374" t="s">
        <v>83</v>
      </c>
      <c r="D374" t="s">
        <v>51</v>
      </c>
      <c r="E374">
        <v>3.36604669406598E-2</v>
      </c>
      <c r="F374">
        <v>3.36604669406598E-2</v>
      </c>
      <c r="G374">
        <v>0</v>
      </c>
      <c r="H374">
        <v>0</v>
      </c>
      <c r="I374" t="s">
        <v>84</v>
      </c>
    </row>
    <row r="375" spans="1:9" x14ac:dyDescent="0.35">
      <c r="A375" t="s">
        <v>4</v>
      </c>
      <c r="B375">
        <v>2025</v>
      </c>
      <c r="C375" t="s">
        <v>83</v>
      </c>
      <c r="D375" t="s">
        <v>52</v>
      </c>
      <c r="E375">
        <v>0.227396634733598</v>
      </c>
      <c r="F375">
        <v>0.227396634733598</v>
      </c>
      <c r="G375">
        <v>0</v>
      </c>
      <c r="H375">
        <v>0</v>
      </c>
      <c r="I375" t="s">
        <v>84</v>
      </c>
    </row>
    <row r="376" spans="1:9" x14ac:dyDescent="0.35">
      <c r="A376" t="s">
        <v>4</v>
      </c>
      <c r="B376">
        <v>2025</v>
      </c>
      <c r="C376" t="s">
        <v>83</v>
      </c>
      <c r="D376" t="s">
        <v>53</v>
      </c>
      <c r="E376">
        <v>0.24708225160799799</v>
      </c>
      <c r="F376">
        <v>0.24708225160799799</v>
      </c>
      <c r="G376">
        <v>0</v>
      </c>
      <c r="H376">
        <v>0</v>
      </c>
      <c r="I376" t="s">
        <v>84</v>
      </c>
    </row>
    <row r="377" spans="1:9" x14ac:dyDescent="0.35">
      <c r="A377" t="s">
        <v>4</v>
      </c>
      <c r="B377">
        <v>2025</v>
      </c>
      <c r="C377" t="s">
        <v>83</v>
      </c>
      <c r="D377" t="s">
        <v>54</v>
      </c>
      <c r="E377">
        <v>6.4623880779162701E-2</v>
      </c>
      <c r="F377">
        <v>6.4623880779162701E-2</v>
      </c>
      <c r="G377">
        <v>0</v>
      </c>
      <c r="H377">
        <v>0</v>
      </c>
      <c r="I377" t="s">
        <v>84</v>
      </c>
    </row>
    <row r="378" spans="1:9" x14ac:dyDescent="0.35">
      <c r="A378" t="s">
        <v>4</v>
      </c>
      <c r="B378">
        <v>2025</v>
      </c>
      <c r="C378" t="s">
        <v>83</v>
      </c>
      <c r="D378" t="s">
        <v>55</v>
      </c>
      <c r="E378">
        <v>6.1419905164973199E-2</v>
      </c>
      <c r="F378">
        <v>6.1419905164973199E-2</v>
      </c>
      <c r="G378">
        <v>0</v>
      </c>
      <c r="H378">
        <v>0</v>
      </c>
      <c r="I378" t="s">
        <v>84</v>
      </c>
    </row>
    <row r="379" spans="1:9" x14ac:dyDescent="0.35">
      <c r="A379" t="s">
        <v>4</v>
      </c>
      <c r="B379">
        <v>2025</v>
      </c>
      <c r="C379" t="s">
        <v>83</v>
      </c>
      <c r="D379" t="s">
        <v>56</v>
      </c>
      <c r="E379" s="1">
        <v>6.7368763442687198E-8</v>
      </c>
      <c r="F379" s="1">
        <v>6.7368763442687198E-8</v>
      </c>
      <c r="G379">
        <v>0</v>
      </c>
      <c r="H379">
        <v>0</v>
      </c>
      <c r="I379" t="s">
        <v>84</v>
      </c>
    </row>
    <row r="380" spans="1:9" x14ac:dyDescent="0.35">
      <c r="A380" t="s">
        <v>6</v>
      </c>
      <c r="B380">
        <v>2030</v>
      </c>
      <c r="C380" t="s">
        <v>83</v>
      </c>
      <c r="D380" t="s">
        <v>38</v>
      </c>
      <c r="E380">
        <v>9.9017219077396509E-4</v>
      </c>
      <c r="F380">
        <v>9.9017219077396509E-4</v>
      </c>
      <c r="G380">
        <v>0</v>
      </c>
      <c r="H380">
        <v>0</v>
      </c>
      <c r="I380" t="s">
        <v>84</v>
      </c>
    </row>
    <row r="381" spans="1:9" x14ac:dyDescent="0.35">
      <c r="A381" t="s">
        <v>6</v>
      </c>
      <c r="B381">
        <v>2030</v>
      </c>
      <c r="C381" t="s">
        <v>83</v>
      </c>
      <c r="D381" t="s">
        <v>40</v>
      </c>
      <c r="E381">
        <v>2.34605192767408E-4</v>
      </c>
      <c r="F381">
        <v>2.34605192767408E-4</v>
      </c>
      <c r="G381">
        <v>0</v>
      </c>
      <c r="H381">
        <v>0</v>
      </c>
      <c r="I381" t="s">
        <v>84</v>
      </c>
    </row>
    <row r="382" spans="1:9" x14ac:dyDescent="0.35">
      <c r="A382" t="s">
        <v>6</v>
      </c>
      <c r="B382">
        <v>2030</v>
      </c>
      <c r="C382" t="s">
        <v>83</v>
      </c>
      <c r="D382" t="s">
        <v>41</v>
      </c>
      <c r="E382">
        <v>2.4559926242815398E-3</v>
      </c>
      <c r="F382">
        <v>2.4559926242815398E-3</v>
      </c>
      <c r="G382">
        <v>0</v>
      </c>
      <c r="H382">
        <v>0</v>
      </c>
      <c r="I382" t="s">
        <v>84</v>
      </c>
    </row>
    <row r="383" spans="1:9" x14ac:dyDescent="0.35">
      <c r="A383" t="s">
        <v>6</v>
      </c>
      <c r="B383">
        <v>2030</v>
      </c>
      <c r="C383" t="s">
        <v>83</v>
      </c>
      <c r="D383" t="s">
        <v>42</v>
      </c>
      <c r="E383">
        <v>2.1519012051307498</v>
      </c>
      <c r="F383">
        <v>2.1519012051307498</v>
      </c>
      <c r="G383">
        <v>0</v>
      </c>
      <c r="H383">
        <v>0</v>
      </c>
      <c r="I383" t="s">
        <v>84</v>
      </c>
    </row>
    <row r="384" spans="1:9" x14ac:dyDescent="0.35">
      <c r="A384" t="s">
        <v>6</v>
      </c>
      <c r="B384">
        <v>2030</v>
      </c>
      <c r="C384" t="s">
        <v>83</v>
      </c>
      <c r="D384" t="s">
        <v>43</v>
      </c>
      <c r="E384">
        <v>8.7988831694192898E-4</v>
      </c>
      <c r="F384">
        <v>8.7988831694192898E-4</v>
      </c>
      <c r="G384">
        <v>0</v>
      </c>
      <c r="H384">
        <v>0</v>
      </c>
      <c r="I384" t="s">
        <v>84</v>
      </c>
    </row>
    <row r="385" spans="1:9" x14ac:dyDescent="0.35">
      <c r="A385" t="s">
        <v>6</v>
      </c>
      <c r="B385">
        <v>2030</v>
      </c>
      <c r="C385" t="s">
        <v>83</v>
      </c>
      <c r="D385" t="s">
        <v>136</v>
      </c>
      <c r="E385">
        <v>0.80944338501575697</v>
      </c>
      <c r="F385">
        <v>0.80944338501575697</v>
      </c>
      <c r="G385">
        <v>0</v>
      </c>
      <c r="H385">
        <v>0</v>
      </c>
      <c r="I385" t="s">
        <v>84</v>
      </c>
    </row>
    <row r="386" spans="1:9" x14ac:dyDescent="0.35">
      <c r="A386" t="s">
        <v>6</v>
      </c>
      <c r="B386">
        <v>2030</v>
      </c>
      <c r="C386" t="s">
        <v>83</v>
      </c>
      <c r="D386" t="s">
        <v>45</v>
      </c>
      <c r="E386">
        <v>1.5229765229535499E-3</v>
      </c>
      <c r="F386">
        <v>1.5229765229535499E-3</v>
      </c>
      <c r="G386">
        <v>0</v>
      </c>
      <c r="H386">
        <v>0</v>
      </c>
      <c r="I386" t="s">
        <v>84</v>
      </c>
    </row>
    <row r="387" spans="1:9" x14ac:dyDescent="0.35">
      <c r="A387" t="s">
        <v>6</v>
      </c>
      <c r="B387">
        <v>2030</v>
      </c>
      <c r="C387" t="s">
        <v>83</v>
      </c>
      <c r="D387" t="s">
        <v>46</v>
      </c>
      <c r="E387">
        <v>5.69184485403567E-2</v>
      </c>
      <c r="F387">
        <v>5.69184485403567E-2</v>
      </c>
      <c r="G387">
        <v>0</v>
      </c>
      <c r="H387">
        <v>0</v>
      </c>
      <c r="I387" t="s">
        <v>84</v>
      </c>
    </row>
    <row r="388" spans="1:9" x14ac:dyDescent="0.35">
      <c r="A388" t="s">
        <v>6</v>
      </c>
      <c r="B388">
        <v>2030</v>
      </c>
      <c r="C388" t="s">
        <v>83</v>
      </c>
      <c r="D388" t="s">
        <v>47</v>
      </c>
      <c r="E388">
        <v>3.1913148777313401E-4</v>
      </c>
      <c r="F388">
        <v>3.1913148777313401E-4</v>
      </c>
      <c r="G388">
        <v>0</v>
      </c>
      <c r="H388">
        <v>0</v>
      </c>
      <c r="I388" t="s">
        <v>84</v>
      </c>
    </row>
    <row r="389" spans="1:9" x14ac:dyDescent="0.35">
      <c r="A389" t="s">
        <v>6</v>
      </c>
      <c r="B389">
        <v>2030</v>
      </c>
      <c r="C389" t="s">
        <v>83</v>
      </c>
      <c r="D389" t="s">
        <v>48</v>
      </c>
      <c r="E389">
        <v>36.277374390621503</v>
      </c>
      <c r="F389">
        <v>36.277374390621503</v>
      </c>
      <c r="G389">
        <v>0</v>
      </c>
      <c r="H389">
        <v>0</v>
      </c>
      <c r="I389" t="s">
        <v>84</v>
      </c>
    </row>
    <row r="390" spans="1:9" x14ac:dyDescent="0.35">
      <c r="A390" t="s">
        <v>6</v>
      </c>
      <c r="B390">
        <v>2030</v>
      </c>
      <c r="C390" t="s">
        <v>83</v>
      </c>
      <c r="D390" t="s">
        <v>49</v>
      </c>
      <c r="E390">
        <v>4.3639279671540496E-3</v>
      </c>
      <c r="F390">
        <v>4.3639279671540496E-3</v>
      </c>
      <c r="G390">
        <v>0</v>
      </c>
      <c r="H390">
        <v>0</v>
      </c>
      <c r="I390" t="s">
        <v>84</v>
      </c>
    </row>
    <row r="391" spans="1:9" x14ac:dyDescent="0.35">
      <c r="A391" t="s">
        <v>6</v>
      </c>
      <c r="B391">
        <v>2030</v>
      </c>
      <c r="C391" t="s">
        <v>83</v>
      </c>
      <c r="D391" t="s">
        <v>50</v>
      </c>
      <c r="E391">
        <v>7.0799792798940699E-3</v>
      </c>
      <c r="F391">
        <v>7.0799792798940699E-3</v>
      </c>
      <c r="G391">
        <v>0</v>
      </c>
      <c r="H391">
        <v>0</v>
      </c>
      <c r="I391" t="s">
        <v>84</v>
      </c>
    </row>
    <row r="392" spans="1:9" x14ac:dyDescent="0.35">
      <c r="A392" t="s">
        <v>6</v>
      </c>
      <c r="B392">
        <v>2030</v>
      </c>
      <c r="C392" t="s">
        <v>83</v>
      </c>
      <c r="D392" t="s">
        <v>51</v>
      </c>
      <c r="E392">
        <v>3.4206348356056397E-2</v>
      </c>
      <c r="F392">
        <v>3.4206348356056397E-2</v>
      </c>
      <c r="G392">
        <v>0</v>
      </c>
      <c r="H392">
        <v>0</v>
      </c>
      <c r="I392" t="s">
        <v>84</v>
      </c>
    </row>
    <row r="393" spans="1:9" x14ac:dyDescent="0.35">
      <c r="A393" t="s">
        <v>6</v>
      </c>
      <c r="B393">
        <v>2030</v>
      </c>
      <c r="C393" t="s">
        <v>83</v>
      </c>
      <c r="D393" t="s">
        <v>52</v>
      </c>
      <c r="E393">
        <v>0.18519713634511401</v>
      </c>
      <c r="F393">
        <v>0.18519713634511401</v>
      </c>
      <c r="G393">
        <v>0</v>
      </c>
      <c r="H393">
        <v>0</v>
      </c>
      <c r="I393" t="s">
        <v>84</v>
      </c>
    </row>
    <row r="394" spans="1:9" x14ac:dyDescent="0.35">
      <c r="A394" t="s">
        <v>6</v>
      </c>
      <c r="B394">
        <v>2030</v>
      </c>
      <c r="C394" t="s">
        <v>83</v>
      </c>
      <c r="D394" t="s">
        <v>53</v>
      </c>
      <c r="E394">
        <v>0.221279181407502</v>
      </c>
      <c r="F394">
        <v>0.221279181407502</v>
      </c>
      <c r="G394">
        <v>0</v>
      </c>
      <c r="H394">
        <v>0</v>
      </c>
      <c r="I394" t="s">
        <v>84</v>
      </c>
    </row>
    <row r="395" spans="1:9" x14ac:dyDescent="0.35">
      <c r="A395" t="s">
        <v>6</v>
      </c>
      <c r="B395">
        <v>2030</v>
      </c>
      <c r="C395" t="s">
        <v>83</v>
      </c>
      <c r="D395" t="s">
        <v>54</v>
      </c>
      <c r="E395">
        <v>6.4496821140212296E-2</v>
      </c>
      <c r="F395">
        <v>6.4496821140212296E-2</v>
      </c>
      <c r="G395">
        <v>0</v>
      </c>
      <c r="H395">
        <v>0</v>
      </c>
      <c r="I395" t="s">
        <v>84</v>
      </c>
    </row>
    <row r="396" spans="1:9" x14ac:dyDescent="0.35">
      <c r="A396" t="s">
        <v>6</v>
      </c>
      <c r="B396">
        <v>2030</v>
      </c>
      <c r="C396" t="s">
        <v>83</v>
      </c>
      <c r="D396" t="s">
        <v>55</v>
      </c>
      <c r="E396">
        <v>6.1180896477616098E-2</v>
      </c>
      <c r="F396">
        <v>6.1180896477616098E-2</v>
      </c>
      <c r="G396">
        <v>0</v>
      </c>
      <c r="H396">
        <v>0</v>
      </c>
      <c r="I396" t="s">
        <v>84</v>
      </c>
    </row>
    <row r="397" spans="1:9" x14ac:dyDescent="0.35">
      <c r="A397" t="s">
        <v>6</v>
      </c>
      <c r="B397">
        <v>2030</v>
      </c>
      <c r="C397" t="s">
        <v>83</v>
      </c>
      <c r="D397" t="s">
        <v>56</v>
      </c>
      <c r="E397" s="1">
        <v>6.0183534746238801E-8</v>
      </c>
      <c r="F397" s="1">
        <v>6.0183534746238801E-8</v>
      </c>
      <c r="G397">
        <v>0</v>
      </c>
      <c r="H397">
        <v>0</v>
      </c>
      <c r="I397" t="s">
        <v>84</v>
      </c>
    </row>
    <row r="398" spans="1:9" x14ac:dyDescent="0.35">
      <c r="A398" t="s">
        <v>8</v>
      </c>
      <c r="B398">
        <v>2035</v>
      </c>
      <c r="C398" t="s">
        <v>83</v>
      </c>
      <c r="D398" t="s">
        <v>38</v>
      </c>
      <c r="E398">
        <v>9.52532247158393E-4</v>
      </c>
      <c r="F398">
        <v>9.52532247158393E-4</v>
      </c>
      <c r="G398">
        <v>0</v>
      </c>
      <c r="H398">
        <v>0</v>
      </c>
      <c r="I398" t="s">
        <v>84</v>
      </c>
    </row>
    <row r="399" spans="1:9" x14ac:dyDescent="0.35">
      <c r="A399" t="s">
        <v>8</v>
      </c>
      <c r="B399">
        <v>2035</v>
      </c>
      <c r="C399" t="s">
        <v>83</v>
      </c>
      <c r="D399" t="s">
        <v>40</v>
      </c>
      <c r="E399">
        <v>2.1895915116072799E-4</v>
      </c>
      <c r="F399">
        <v>2.1895915116072799E-4</v>
      </c>
      <c r="G399">
        <v>0</v>
      </c>
      <c r="H399">
        <v>0</v>
      </c>
      <c r="I399" t="s">
        <v>84</v>
      </c>
    </row>
    <row r="400" spans="1:9" x14ac:dyDescent="0.35">
      <c r="A400" t="s">
        <v>8</v>
      </c>
      <c r="B400">
        <v>2035</v>
      </c>
      <c r="C400" t="s">
        <v>83</v>
      </c>
      <c r="D400" t="s">
        <v>41</v>
      </c>
      <c r="E400">
        <v>2.2811981375570902E-3</v>
      </c>
      <c r="F400">
        <v>2.2811981375570902E-3</v>
      </c>
      <c r="G400">
        <v>0</v>
      </c>
      <c r="H400">
        <v>0</v>
      </c>
      <c r="I400" t="s">
        <v>84</v>
      </c>
    </row>
    <row r="401" spans="1:9" x14ac:dyDescent="0.35">
      <c r="A401" t="s">
        <v>8</v>
      </c>
      <c r="B401">
        <v>2035</v>
      </c>
      <c r="C401" t="s">
        <v>83</v>
      </c>
      <c r="D401" t="s">
        <v>42</v>
      </c>
      <c r="E401">
        <v>2.12096305974781</v>
      </c>
      <c r="F401">
        <v>2.12096305974781</v>
      </c>
      <c r="G401">
        <v>0</v>
      </c>
      <c r="H401">
        <v>0</v>
      </c>
      <c r="I401" t="s">
        <v>84</v>
      </c>
    </row>
    <row r="402" spans="1:9" x14ac:dyDescent="0.35">
      <c r="A402" t="s">
        <v>8</v>
      </c>
      <c r="B402">
        <v>2035</v>
      </c>
      <c r="C402" t="s">
        <v>83</v>
      </c>
      <c r="D402" t="s">
        <v>43</v>
      </c>
      <c r="E402">
        <v>8.1088891009486596E-4</v>
      </c>
      <c r="F402">
        <v>8.1088891009486596E-4</v>
      </c>
      <c r="G402">
        <v>0</v>
      </c>
      <c r="H402">
        <v>0</v>
      </c>
      <c r="I402" t="s">
        <v>84</v>
      </c>
    </row>
    <row r="403" spans="1:9" x14ac:dyDescent="0.35">
      <c r="A403" t="s">
        <v>8</v>
      </c>
      <c r="B403">
        <v>2035</v>
      </c>
      <c r="C403" t="s">
        <v>83</v>
      </c>
      <c r="D403" t="s">
        <v>136</v>
      </c>
      <c r="E403">
        <v>0.73504601855365803</v>
      </c>
      <c r="F403">
        <v>0.73504601855365803</v>
      </c>
      <c r="G403">
        <v>0</v>
      </c>
      <c r="H403">
        <v>0</v>
      </c>
      <c r="I403" t="s">
        <v>84</v>
      </c>
    </row>
    <row r="404" spans="1:9" x14ac:dyDescent="0.35">
      <c r="A404" t="s">
        <v>8</v>
      </c>
      <c r="B404">
        <v>2035</v>
      </c>
      <c r="C404" t="s">
        <v>83</v>
      </c>
      <c r="D404" t="s">
        <v>45</v>
      </c>
      <c r="E404">
        <v>1.4170481935548E-3</v>
      </c>
      <c r="F404">
        <v>1.4170481935548E-3</v>
      </c>
      <c r="G404">
        <v>0</v>
      </c>
      <c r="H404">
        <v>0</v>
      </c>
      <c r="I404" t="s">
        <v>84</v>
      </c>
    </row>
    <row r="405" spans="1:9" x14ac:dyDescent="0.35">
      <c r="A405" t="s">
        <v>8</v>
      </c>
      <c r="B405">
        <v>2035</v>
      </c>
      <c r="C405" t="s">
        <v>83</v>
      </c>
      <c r="D405" t="s">
        <v>46</v>
      </c>
      <c r="E405">
        <v>6.4654934074414305E-2</v>
      </c>
      <c r="F405">
        <v>6.4654934074414305E-2</v>
      </c>
      <c r="G405">
        <v>0</v>
      </c>
      <c r="H405">
        <v>0</v>
      </c>
      <c r="I405" t="s">
        <v>84</v>
      </c>
    </row>
    <row r="406" spans="1:9" x14ac:dyDescent="0.35">
      <c r="A406" t="s">
        <v>8</v>
      </c>
      <c r="B406">
        <v>2035</v>
      </c>
      <c r="C406" t="s">
        <v>83</v>
      </c>
      <c r="D406" t="s">
        <v>47</v>
      </c>
      <c r="E406">
        <v>2.7302656484849501E-4</v>
      </c>
      <c r="F406">
        <v>2.7302656484849501E-4</v>
      </c>
      <c r="G406">
        <v>0</v>
      </c>
      <c r="H406">
        <v>0</v>
      </c>
      <c r="I406" t="s">
        <v>84</v>
      </c>
    </row>
    <row r="407" spans="1:9" x14ac:dyDescent="0.35">
      <c r="A407" t="s">
        <v>8</v>
      </c>
      <c r="B407">
        <v>2035</v>
      </c>
      <c r="C407" t="s">
        <v>83</v>
      </c>
      <c r="D407" t="s">
        <v>48</v>
      </c>
      <c r="E407">
        <v>36.278315356570303</v>
      </c>
      <c r="F407">
        <v>36.278315356570303</v>
      </c>
      <c r="G407">
        <v>0</v>
      </c>
      <c r="H407">
        <v>0</v>
      </c>
      <c r="I407" t="s">
        <v>84</v>
      </c>
    </row>
    <row r="408" spans="1:9" x14ac:dyDescent="0.35">
      <c r="A408" t="s">
        <v>8</v>
      </c>
      <c r="B408">
        <v>2035</v>
      </c>
      <c r="C408" t="s">
        <v>83</v>
      </c>
      <c r="D408" t="s">
        <v>49</v>
      </c>
      <c r="E408">
        <v>4.1279887321606203E-3</v>
      </c>
      <c r="F408">
        <v>4.1279887321606203E-3</v>
      </c>
      <c r="G408">
        <v>0</v>
      </c>
      <c r="H408">
        <v>0</v>
      </c>
      <c r="I408" t="s">
        <v>84</v>
      </c>
    </row>
    <row r="409" spans="1:9" x14ac:dyDescent="0.35">
      <c r="A409" t="s">
        <v>8</v>
      </c>
      <c r="B409">
        <v>2035</v>
      </c>
      <c r="C409" t="s">
        <v>83</v>
      </c>
      <c r="D409" t="s">
        <v>50</v>
      </c>
      <c r="E409">
        <v>6.5177630677935401E-3</v>
      </c>
      <c r="F409">
        <v>6.5177630677935401E-3</v>
      </c>
      <c r="G409">
        <v>0</v>
      </c>
      <c r="H409">
        <v>0</v>
      </c>
      <c r="I409" t="s">
        <v>84</v>
      </c>
    </row>
    <row r="410" spans="1:9" x14ac:dyDescent="0.35">
      <c r="A410" t="s">
        <v>8</v>
      </c>
      <c r="B410">
        <v>2035</v>
      </c>
      <c r="C410" t="s">
        <v>83</v>
      </c>
      <c r="D410" t="s">
        <v>51</v>
      </c>
      <c r="E410">
        <v>3.50409650183287E-2</v>
      </c>
      <c r="F410">
        <v>3.50409650183287E-2</v>
      </c>
      <c r="G410">
        <v>0</v>
      </c>
      <c r="H410">
        <v>0</v>
      </c>
      <c r="I410" t="s">
        <v>84</v>
      </c>
    </row>
    <row r="411" spans="1:9" x14ac:dyDescent="0.35">
      <c r="A411" t="s">
        <v>8</v>
      </c>
      <c r="B411">
        <v>2035</v>
      </c>
      <c r="C411" t="s">
        <v>83</v>
      </c>
      <c r="D411" t="s">
        <v>52</v>
      </c>
      <c r="E411">
        <v>0.14322441612140299</v>
      </c>
      <c r="F411">
        <v>0.14322441612140299</v>
      </c>
      <c r="G411">
        <v>0</v>
      </c>
      <c r="H411">
        <v>0</v>
      </c>
      <c r="I411" t="s">
        <v>84</v>
      </c>
    </row>
    <row r="412" spans="1:9" x14ac:dyDescent="0.35">
      <c r="A412" t="s">
        <v>8</v>
      </c>
      <c r="B412">
        <v>2035</v>
      </c>
      <c r="C412" t="s">
        <v>83</v>
      </c>
      <c r="D412" t="s">
        <v>53</v>
      </c>
      <c r="E412">
        <v>0.196445654283181</v>
      </c>
      <c r="F412">
        <v>0.196445654283181</v>
      </c>
      <c r="G412">
        <v>0</v>
      </c>
      <c r="H412">
        <v>0</v>
      </c>
      <c r="I412" t="s">
        <v>84</v>
      </c>
    </row>
    <row r="413" spans="1:9" x14ac:dyDescent="0.35">
      <c r="A413" t="s">
        <v>8</v>
      </c>
      <c r="B413">
        <v>2035</v>
      </c>
      <c r="C413" t="s">
        <v>83</v>
      </c>
      <c r="D413" t="s">
        <v>54</v>
      </c>
      <c r="E413">
        <v>6.4612703297035098E-2</v>
      </c>
      <c r="F413">
        <v>6.4612703297035098E-2</v>
      </c>
      <c r="G413">
        <v>0</v>
      </c>
      <c r="H413">
        <v>0</v>
      </c>
      <c r="I413" t="s">
        <v>84</v>
      </c>
    </row>
    <row r="414" spans="1:9" x14ac:dyDescent="0.35">
      <c r="A414" t="s">
        <v>8</v>
      </c>
      <c r="B414">
        <v>2035</v>
      </c>
      <c r="C414" t="s">
        <v>83</v>
      </c>
      <c r="D414" t="s">
        <v>55</v>
      </c>
      <c r="E414">
        <v>6.1233455821629298E-2</v>
      </c>
      <c r="F414">
        <v>6.1233455821629298E-2</v>
      </c>
      <c r="G414">
        <v>0</v>
      </c>
      <c r="H414">
        <v>0</v>
      </c>
      <c r="I414" t="s">
        <v>84</v>
      </c>
    </row>
    <row r="415" spans="1:9" x14ac:dyDescent="0.35">
      <c r="A415" t="s">
        <v>8</v>
      </c>
      <c r="B415">
        <v>2035</v>
      </c>
      <c r="C415" t="s">
        <v>83</v>
      </c>
      <c r="D415" t="s">
        <v>56</v>
      </c>
      <c r="E415" s="1">
        <v>5.5145441352348898E-8</v>
      </c>
      <c r="F415" s="1">
        <v>5.5145441352348898E-8</v>
      </c>
      <c r="G415">
        <v>0</v>
      </c>
      <c r="H415">
        <v>0</v>
      </c>
      <c r="I415" t="s">
        <v>84</v>
      </c>
    </row>
    <row r="416" spans="1:9" x14ac:dyDescent="0.35">
      <c r="A416" t="s">
        <v>10</v>
      </c>
      <c r="B416">
        <v>2040</v>
      </c>
      <c r="C416" t="s">
        <v>83</v>
      </c>
      <c r="D416" t="s">
        <v>38</v>
      </c>
      <c r="E416">
        <v>8.2702097330640198E-4</v>
      </c>
      <c r="F416">
        <v>8.2700993489794202E-4</v>
      </c>
      <c r="G416" s="1">
        <v>-1.10384084602878E-8</v>
      </c>
      <c r="H416">
        <v>-1.33471928966403E-3</v>
      </c>
      <c r="I416" t="s">
        <v>84</v>
      </c>
    </row>
    <row r="417" spans="1:9" x14ac:dyDescent="0.35">
      <c r="A417" t="s">
        <v>10</v>
      </c>
      <c r="B417">
        <v>2040</v>
      </c>
      <c r="C417" t="s">
        <v>83</v>
      </c>
      <c r="D417" t="s">
        <v>40</v>
      </c>
      <c r="E417">
        <v>2.0446096922120501E-4</v>
      </c>
      <c r="F417">
        <v>2.0446096922120501E-4</v>
      </c>
      <c r="G417">
        <v>0</v>
      </c>
      <c r="H417">
        <v>0</v>
      </c>
      <c r="I417" t="s">
        <v>84</v>
      </c>
    </row>
    <row r="418" spans="1:9" x14ac:dyDescent="0.35">
      <c r="A418" t="s">
        <v>10</v>
      </c>
      <c r="B418">
        <v>2040</v>
      </c>
      <c r="C418" t="s">
        <v>83</v>
      </c>
      <c r="D418" t="s">
        <v>41</v>
      </c>
      <c r="E418">
        <v>2.1396376394540802E-3</v>
      </c>
      <c r="F418">
        <v>2.1396376394540802E-3</v>
      </c>
      <c r="G418">
        <v>0</v>
      </c>
      <c r="H418">
        <v>0</v>
      </c>
      <c r="I418" t="s">
        <v>84</v>
      </c>
    </row>
    <row r="419" spans="1:9" x14ac:dyDescent="0.35">
      <c r="A419" t="s">
        <v>10</v>
      </c>
      <c r="B419">
        <v>2040</v>
      </c>
      <c r="C419" t="s">
        <v>83</v>
      </c>
      <c r="D419" t="s">
        <v>42</v>
      </c>
      <c r="E419">
        <v>2.0969535474441798</v>
      </c>
      <c r="F419">
        <v>0.61253025640757397</v>
      </c>
      <c r="G419">
        <v>-1.48442329103661</v>
      </c>
      <c r="H419">
        <v>-70.789517147189997</v>
      </c>
      <c r="I419" t="s">
        <v>84</v>
      </c>
    </row>
    <row r="420" spans="1:9" x14ac:dyDescent="0.35">
      <c r="A420" t="s">
        <v>10</v>
      </c>
      <c r="B420">
        <v>2040</v>
      </c>
      <c r="C420" t="s">
        <v>83</v>
      </c>
      <c r="D420" t="s">
        <v>43</v>
      </c>
      <c r="E420">
        <v>7.38107038506794E-4</v>
      </c>
      <c r="F420">
        <v>7.38107038506794E-4</v>
      </c>
      <c r="G420">
        <v>0</v>
      </c>
      <c r="H420">
        <v>0</v>
      </c>
      <c r="I420" t="s">
        <v>84</v>
      </c>
    </row>
    <row r="421" spans="1:9" x14ac:dyDescent="0.35">
      <c r="A421" t="s">
        <v>10</v>
      </c>
      <c r="B421">
        <v>2040</v>
      </c>
      <c r="C421" t="s">
        <v>83</v>
      </c>
      <c r="D421" t="s">
        <v>136</v>
      </c>
      <c r="E421">
        <v>0.67060318991641299</v>
      </c>
      <c r="F421">
        <v>0.67060318991641299</v>
      </c>
      <c r="G421">
        <v>0</v>
      </c>
      <c r="H421">
        <v>0</v>
      </c>
      <c r="I421" t="s">
        <v>84</v>
      </c>
    </row>
    <row r="422" spans="1:9" x14ac:dyDescent="0.35">
      <c r="A422" t="s">
        <v>10</v>
      </c>
      <c r="B422">
        <v>2040</v>
      </c>
      <c r="C422" t="s">
        <v>83</v>
      </c>
      <c r="D422" t="s">
        <v>45</v>
      </c>
      <c r="E422">
        <v>1.34515715631244E-3</v>
      </c>
      <c r="F422">
        <v>1.34515715631244E-3</v>
      </c>
      <c r="G422">
        <v>0</v>
      </c>
      <c r="H422">
        <v>0</v>
      </c>
      <c r="I422" t="s">
        <v>84</v>
      </c>
    </row>
    <row r="423" spans="1:9" x14ac:dyDescent="0.35">
      <c r="A423" t="s">
        <v>10</v>
      </c>
      <c r="B423">
        <v>2040</v>
      </c>
      <c r="C423" t="s">
        <v>83</v>
      </c>
      <c r="D423" t="s">
        <v>46</v>
      </c>
      <c r="E423">
        <v>7.58730323712868E-2</v>
      </c>
      <c r="F423">
        <v>7.58730323712868E-2</v>
      </c>
      <c r="G423">
        <v>0</v>
      </c>
      <c r="H423">
        <v>0</v>
      </c>
      <c r="I423" t="s">
        <v>84</v>
      </c>
    </row>
    <row r="424" spans="1:9" x14ac:dyDescent="0.35">
      <c r="A424" t="s">
        <v>10</v>
      </c>
      <c r="B424">
        <v>2040</v>
      </c>
      <c r="C424" t="s">
        <v>83</v>
      </c>
      <c r="D424" t="s">
        <v>47</v>
      </c>
      <c r="E424">
        <v>2.36841129263538E-4</v>
      </c>
      <c r="F424">
        <v>2.36841129263538E-4</v>
      </c>
      <c r="G424">
        <v>0</v>
      </c>
      <c r="H424">
        <v>0</v>
      </c>
      <c r="I424" t="s">
        <v>84</v>
      </c>
    </row>
    <row r="425" spans="1:9" x14ac:dyDescent="0.35">
      <c r="A425" t="s">
        <v>10</v>
      </c>
      <c r="B425">
        <v>2040</v>
      </c>
      <c r="C425" t="s">
        <v>83</v>
      </c>
      <c r="D425" t="s">
        <v>48</v>
      </c>
      <c r="E425">
        <v>36.279750917698301</v>
      </c>
      <c r="F425">
        <v>36.279750917698301</v>
      </c>
      <c r="G425">
        <v>0</v>
      </c>
      <c r="H425">
        <v>0</v>
      </c>
      <c r="I425" t="s">
        <v>84</v>
      </c>
    </row>
    <row r="426" spans="1:9" x14ac:dyDescent="0.35">
      <c r="A426" t="s">
        <v>10</v>
      </c>
      <c r="B426">
        <v>2040</v>
      </c>
      <c r="C426" t="s">
        <v>83</v>
      </c>
      <c r="D426" t="s">
        <v>49</v>
      </c>
      <c r="E426">
        <v>3.9462899045507403E-3</v>
      </c>
      <c r="F426">
        <v>3.9462899045507403E-3</v>
      </c>
      <c r="G426">
        <v>0</v>
      </c>
      <c r="H426">
        <v>0</v>
      </c>
      <c r="I426" t="s">
        <v>84</v>
      </c>
    </row>
    <row r="427" spans="1:9" x14ac:dyDescent="0.35">
      <c r="A427" t="s">
        <v>10</v>
      </c>
      <c r="B427">
        <v>2040</v>
      </c>
      <c r="C427" t="s">
        <v>83</v>
      </c>
      <c r="D427" t="s">
        <v>50</v>
      </c>
      <c r="E427">
        <v>5.7183344298828397E-3</v>
      </c>
      <c r="F427">
        <v>5.7183344298828397E-3</v>
      </c>
      <c r="G427">
        <v>0</v>
      </c>
      <c r="H427">
        <v>0</v>
      </c>
      <c r="I427" t="s">
        <v>84</v>
      </c>
    </row>
    <row r="428" spans="1:9" x14ac:dyDescent="0.35">
      <c r="A428" t="s">
        <v>10</v>
      </c>
      <c r="B428">
        <v>2040</v>
      </c>
      <c r="C428" t="s">
        <v>83</v>
      </c>
      <c r="D428" t="s">
        <v>51</v>
      </c>
      <c r="E428">
        <v>3.5960179347042098E-2</v>
      </c>
      <c r="F428">
        <v>3.5960179347042098E-2</v>
      </c>
      <c r="G428">
        <v>0</v>
      </c>
      <c r="H428">
        <v>0</v>
      </c>
      <c r="I428" t="s">
        <v>84</v>
      </c>
    </row>
    <row r="429" spans="1:9" x14ac:dyDescent="0.35">
      <c r="A429" t="s">
        <v>10</v>
      </c>
      <c r="B429">
        <v>2040</v>
      </c>
      <c r="C429" t="s">
        <v>83</v>
      </c>
      <c r="D429" t="s">
        <v>52</v>
      </c>
      <c r="E429">
        <v>0.105824842636454</v>
      </c>
      <c r="F429">
        <v>0.105824842636454</v>
      </c>
      <c r="G429">
        <v>0</v>
      </c>
      <c r="H429">
        <v>0</v>
      </c>
      <c r="I429" t="s">
        <v>84</v>
      </c>
    </row>
    <row r="430" spans="1:9" x14ac:dyDescent="0.35">
      <c r="A430" t="s">
        <v>10</v>
      </c>
      <c r="B430">
        <v>2040</v>
      </c>
      <c r="C430" t="s">
        <v>83</v>
      </c>
      <c r="D430" t="s">
        <v>53</v>
      </c>
      <c r="E430">
        <v>0.17382801451155599</v>
      </c>
      <c r="F430">
        <v>0.17382801451155599</v>
      </c>
      <c r="G430">
        <v>0</v>
      </c>
      <c r="H430">
        <v>0</v>
      </c>
      <c r="I430" t="s">
        <v>84</v>
      </c>
    </row>
    <row r="431" spans="1:9" x14ac:dyDescent="0.35">
      <c r="A431" t="s">
        <v>10</v>
      </c>
      <c r="B431">
        <v>2040</v>
      </c>
      <c r="C431" t="s">
        <v>83</v>
      </c>
      <c r="D431" t="s">
        <v>54</v>
      </c>
      <c r="E431">
        <v>6.48099336981032E-2</v>
      </c>
      <c r="F431">
        <v>6.1479018638908298E-2</v>
      </c>
      <c r="G431">
        <v>-3.33091505919494E-3</v>
      </c>
      <c r="H431">
        <v>-5.1395131411659296</v>
      </c>
      <c r="I431" t="s">
        <v>84</v>
      </c>
    </row>
    <row r="432" spans="1:9" x14ac:dyDescent="0.35">
      <c r="A432" t="s">
        <v>10</v>
      </c>
      <c r="B432">
        <v>2040</v>
      </c>
      <c r="C432" t="s">
        <v>83</v>
      </c>
      <c r="D432" t="s">
        <v>55</v>
      </c>
      <c r="E432">
        <v>6.13907543129232E-2</v>
      </c>
      <c r="F432">
        <v>5.6643869206653E-2</v>
      </c>
      <c r="G432">
        <v>-4.7468851062702402E-3</v>
      </c>
      <c r="H432">
        <v>-7.7322475662609502</v>
      </c>
      <c r="I432" t="s">
        <v>84</v>
      </c>
    </row>
    <row r="433" spans="1:9" x14ac:dyDescent="0.35">
      <c r="A433" t="s">
        <v>10</v>
      </c>
      <c r="B433">
        <v>2040</v>
      </c>
      <c r="C433" t="s">
        <v>83</v>
      </c>
      <c r="D433" t="s">
        <v>56</v>
      </c>
      <c r="E433" s="1">
        <v>5.1793567189574899E-8</v>
      </c>
      <c r="F433" s="1">
        <v>5.1793567189574899E-8</v>
      </c>
      <c r="G433">
        <v>0</v>
      </c>
      <c r="H433">
        <v>0</v>
      </c>
      <c r="I433" t="s">
        <v>84</v>
      </c>
    </row>
    <row r="434" spans="1:9" x14ac:dyDescent="0.35">
      <c r="A434" t="s">
        <v>4</v>
      </c>
      <c r="B434">
        <v>2025</v>
      </c>
      <c r="C434" t="s">
        <v>78</v>
      </c>
      <c r="D434" t="s">
        <v>38</v>
      </c>
      <c r="E434" s="1">
        <v>2.2971217174082599E-5</v>
      </c>
      <c r="F434" s="1">
        <v>2.2971217174082599E-5</v>
      </c>
      <c r="G434">
        <v>0</v>
      </c>
      <c r="H434">
        <v>0</v>
      </c>
      <c r="I434" t="s">
        <v>79</v>
      </c>
    </row>
    <row r="435" spans="1:9" x14ac:dyDescent="0.35">
      <c r="A435" t="s">
        <v>4</v>
      </c>
      <c r="B435">
        <v>2025</v>
      </c>
      <c r="C435" t="s">
        <v>78</v>
      </c>
      <c r="D435" t="s">
        <v>40</v>
      </c>
      <c r="E435" s="1">
        <v>7.7812541354434201E-5</v>
      </c>
      <c r="F435" s="1">
        <v>7.7812541354434201E-5</v>
      </c>
      <c r="G435">
        <v>0</v>
      </c>
      <c r="H435">
        <v>0</v>
      </c>
      <c r="I435" t="s">
        <v>79</v>
      </c>
    </row>
    <row r="436" spans="1:9" x14ac:dyDescent="0.35">
      <c r="A436" t="s">
        <v>4</v>
      </c>
      <c r="B436">
        <v>2025</v>
      </c>
      <c r="C436" t="s">
        <v>78</v>
      </c>
      <c r="D436" t="s">
        <v>41</v>
      </c>
      <c r="E436">
        <v>3.12608876435511E-4</v>
      </c>
      <c r="F436">
        <v>3.12608876435511E-4</v>
      </c>
      <c r="G436">
        <v>0</v>
      </c>
      <c r="H436">
        <v>0</v>
      </c>
      <c r="I436" t="s">
        <v>79</v>
      </c>
    </row>
    <row r="437" spans="1:9" x14ac:dyDescent="0.35">
      <c r="A437" t="s">
        <v>4</v>
      </c>
      <c r="B437">
        <v>2025</v>
      </c>
      <c r="C437" t="s">
        <v>78</v>
      </c>
      <c r="D437" t="s">
        <v>42</v>
      </c>
      <c r="E437">
        <v>1.38232270713609E-2</v>
      </c>
      <c r="F437">
        <v>1.38232270713609E-2</v>
      </c>
      <c r="G437">
        <v>0</v>
      </c>
      <c r="H437">
        <v>0</v>
      </c>
      <c r="I437" t="s">
        <v>79</v>
      </c>
    </row>
    <row r="438" spans="1:9" x14ac:dyDescent="0.35">
      <c r="A438" t="s">
        <v>4</v>
      </c>
      <c r="B438">
        <v>2025</v>
      </c>
      <c r="C438" t="s">
        <v>78</v>
      </c>
      <c r="D438" t="s">
        <v>43</v>
      </c>
      <c r="E438">
        <v>1.0861737782026601E-4</v>
      </c>
      <c r="F438">
        <v>1.0861737782026601E-4</v>
      </c>
      <c r="G438">
        <v>0</v>
      </c>
      <c r="H438">
        <v>0</v>
      </c>
      <c r="I438" t="s">
        <v>79</v>
      </c>
    </row>
    <row r="439" spans="1:9" x14ac:dyDescent="0.35">
      <c r="A439" t="s">
        <v>4</v>
      </c>
      <c r="B439">
        <v>2025</v>
      </c>
      <c r="C439" t="s">
        <v>78</v>
      </c>
      <c r="D439" t="s">
        <v>136</v>
      </c>
      <c r="E439">
        <v>1.6500805822818002E-2</v>
      </c>
      <c r="F439">
        <v>1.6500805822818002E-2</v>
      </c>
      <c r="G439">
        <v>0</v>
      </c>
      <c r="H439">
        <v>0</v>
      </c>
      <c r="I439" t="s">
        <v>79</v>
      </c>
    </row>
    <row r="440" spans="1:9" x14ac:dyDescent="0.35">
      <c r="A440" t="s">
        <v>4</v>
      </c>
      <c r="B440">
        <v>2025</v>
      </c>
      <c r="C440" t="s">
        <v>78</v>
      </c>
      <c r="D440" t="s">
        <v>45</v>
      </c>
      <c r="E440">
        <v>1.0946868648717399E-4</v>
      </c>
      <c r="F440">
        <v>1.0946868648717399E-4</v>
      </c>
      <c r="G440">
        <v>0</v>
      </c>
      <c r="H440">
        <v>0</v>
      </c>
      <c r="I440" t="s">
        <v>79</v>
      </c>
    </row>
    <row r="441" spans="1:9" x14ac:dyDescent="0.35">
      <c r="A441" t="s">
        <v>4</v>
      </c>
      <c r="B441">
        <v>2025</v>
      </c>
      <c r="C441" t="s">
        <v>78</v>
      </c>
      <c r="D441" t="s">
        <v>46</v>
      </c>
      <c r="E441">
        <v>2.70890078026755E-3</v>
      </c>
      <c r="F441">
        <v>2.70890078026755E-3</v>
      </c>
      <c r="G441">
        <v>0</v>
      </c>
      <c r="H441">
        <v>0</v>
      </c>
      <c r="I441" t="s">
        <v>79</v>
      </c>
    </row>
    <row r="442" spans="1:9" x14ac:dyDescent="0.35">
      <c r="A442" t="s">
        <v>4</v>
      </c>
      <c r="B442">
        <v>2025</v>
      </c>
      <c r="C442" t="s">
        <v>78</v>
      </c>
      <c r="D442" t="s">
        <v>47</v>
      </c>
      <c r="E442" s="1">
        <v>6.49005356416578E-6</v>
      </c>
      <c r="F442" s="1">
        <v>6.49005356416578E-6</v>
      </c>
      <c r="G442">
        <v>0</v>
      </c>
      <c r="H442">
        <v>0</v>
      </c>
      <c r="I442" t="s">
        <v>79</v>
      </c>
    </row>
    <row r="443" spans="1:9" x14ac:dyDescent="0.35">
      <c r="A443" t="s">
        <v>4</v>
      </c>
      <c r="B443">
        <v>2025</v>
      </c>
      <c r="C443" t="s">
        <v>78</v>
      </c>
      <c r="D443" t="s">
        <v>48</v>
      </c>
      <c r="E443">
        <v>46.9726808589607</v>
      </c>
      <c r="F443">
        <v>46.9726808589607</v>
      </c>
      <c r="G443">
        <v>0</v>
      </c>
      <c r="H443">
        <v>0</v>
      </c>
      <c r="I443" t="s">
        <v>79</v>
      </c>
    </row>
    <row r="444" spans="1:9" x14ac:dyDescent="0.35">
      <c r="A444" t="s">
        <v>4</v>
      </c>
      <c r="B444">
        <v>2025</v>
      </c>
      <c r="C444" t="s">
        <v>78</v>
      </c>
      <c r="D444" t="s">
        <v>49</v>
      </c>
      <c r="E444">
        <v>2.7334943030834E-4</v>
      </c>
      <c r="F444">
        <v>2.7334943030834E-4</v>
      </c>
      <c r="G444">
        <v>0</v>
      </c>
      <c r="H444">
        <v>0</v>
      </c>
      <c r="I444" t="s">
        <v>79</v>
      </c>
    </row>
    <row r="445" spans="1:9" x14ac:dyDescent="0.35">
      <c r="A445" t="s">
        <v>4</v>
      </c>
      <c r="B445">
        <v>2025</v>
      </c>
      <c r="C445" t="s">
        <v>78</v>
      </c>
      <c r="D445" t="s">
        <v>50</v>
      </c>
      <c r="E445">
        <v>1.5148041458289E-3</v>
      </c>
      <c r="F445">
        <v>1.5148041458289E-3</v>
      </c>
      <c r="G445">
        <v>0</v>
      </c>
      <c r="H445">
        <v>0</v>
      </c>
      <c r="I445" t="s">
        <v>79</v>
      </c>
    </row>
    <row r="446" spans="1:9" x14ac:dyDescent="0.35">
      <c r="A446" t="s">
        <v>4</v>
      </c>
      <c r="B446">
        <v>2025</v>
      </c>
      <c r="C446" t="s">
        <v>78</v>
      </c>
      <c r="D446" t="s">
        <v>51</v>
      </c>
      <c r="E446">
        <v>2.2958031171725301E-2</v>
      </c>
      <c r="F446">
        <v>2.2958031171725301E-2</v>
      </c>
      <c r="G446">
        <v>0</v>
      </c>
      <c r="H446">
        <v>0</v>
      </c>
      <c r="I446" t="s">
        <v>79</v>
      </c>
    </row>
    <row r="447" spans="1:9" x14ac:dyDescent="0.35">
      <c r="A447" t="s">
        <v>4</v>
      </c>
      <c r="B447">
        <v>2025</v>
      </c>
      <c r="C447" t="s">
        <v>78</v>
      </c>
      <c r="D447" t="s">
        <v>52</v>
      </c>
      <c r="E447">
        <v>1.2263991265208699E-3</v>
      </c>
      <c r="F447">
        <v>1.2263991265208699E-3</v>
      </c>
      <c r="G447">
        <v>0</v>
      </c>
      <c r="H447">
        <v>0</v>
      </c>
      <c r="I447" t="s">
        <v>79</v>
      </c>
    </row>
    <row r="448" spans="1:9" x14ac:dyDescent="0.35">
      <c r="A448" t="s">
        <v>4</v>
      </c>
      <c r="B448">
        <v>2025</v>
      </c>
      <c r="C448" t="s">
        <v>78</v>
      </c>
      <c r="D448" t="s">
        <v>53</v>
      </c>
      <c r="E448">
        <v>4.9059856186034496E-3</v>
      </c>
      <c r="F448">
        <v>4.9059856186034496E-3</v>
      </c>
      <c r="G448">
        <v>0</v>
      </c>
      <c r="H448">
        <v>0</v>
      </c>
      <c r="I448" t="s">
        <v>79</v>
      </c>
    </row>
    <row r="449" spans="1:9" x14ac:dyDescent="0.35">
      <c r="A449" t="s">
        <v>4</v>
      </c>
      <c r="B449">
        <v>2025</v>
      </c>
      <c r="C449" t="s">
        <v>78</v>
      </c>
      <c r="D449" t="s">
        <v>54</v>
      </c>
      <c r="E449">
        <v>1.9854748998523399E-3</v>
      </c>
      <c r="F449">
        <v>1.9854748998523399E-3</v>
      </c>
      <c r="G449">
        <v>0</v>
      </c>
      <c r="H449">
        <v>0</v>
      </c>
      <c r="I449" t="s">
        <v>79</v>
      </c>
    </row>
    <row r="450" spans="1:9" x14ac:dyDescent="0.35">
      <c r="A450" t="s">
        <v>4</v>
      </c>
      <c r="B450">
        <v>2025</v>
      </c>
      <c r="C450" t="s">
        <v>78</v>
      </c>
      <c r="D450" t="s">
        <v>55</v>
      </c>
      <c r="E450">
        <v>1.8171126831690199E-3</v>
      </c>
      <c r="F450">
        <v>1.8171126831690199E-3</v>
      </c>
      <c r="G450">
        <v>0</v>
      </c>
      <c r="H450">
        <v>0</v>
      </c>
      <c r="I450" t="s">
        <v>79</v>
      </c>
    </row>
    <row r="451" spans="1:9" x14ac:dyDescent="0.35">
      <c r="A451" t="s">
        <v>4</v>
      </c>
      <c r="B451">
        <v>2025</v>
      </c>
      <c r="C451" t="s">
        <v>78</v>
      </c>
      <c r="D451" t="s">
        <v>56</v>
      </c>
      <c r="E451" s="1">
        <v>1.6861975729440499E-9</v>
      </c>
      <c r="F451" s="1">
        <v>1.6861975729440499E-9</v>
      </c>
      <c r="G451">
        <v>0</v>
      </c>
      <c r="H451">
        <v>0</v>
      </c>
      <c r="I451" t="s">
        <v>79</v>
      </c>
    </row>
    <row r="452" spans="1:9" x14ac:dyDescent="0.35">
      <c r="A452" t="s">
        <v>6</v>
      </c>
      <c r="B452">
        <v>2030</v>
      </c>
      <c r="C452" t="s">
        <v>78</v>
      </c>
      <c r="D452" t="s">
        <v>38</v>
      </c>
      <c r="E452" s="1">
        <v>2.8042418436211699E-5</v>
      </c>
      <c r="F452" s="1">
        <v>2.8042418436211699E-5</v>
      </c>
      <c r="G452">
        <v>0</v>
      </c>
      <c r="H452">
        <v>0</v>
      </c>
      <c r="I452" t="s">
        <v>79</v>
      </c>
    </row>
    <row r="453" spans="1:9" x14ac:dyDescent="0.35">
      <c r="A453" t="s">
        <v>6</v>
      </c>
      <c r="B453">
        <v>2030</v>
      </c>
      <c r="C453" t="s">
        <v>78</v>
      </c>
      <c r="D453" t="s">
        <v>40</v>
      </c>
      <c r="E453" s="1">
        <v>7.76171977909756E-5</v>
      </c>
      <c r="F453" s="1">
        <v>7.76171977909756E-5</v>
      </c>
      <c r="G453">
        <v>0</v>
      </c>
      <c r="H453">
        <v>0</v>
      </c>
      <c r="I453" t="s">
        <v>79</v>
      </c>
    </row>
    <row r="454" spans="1:9" x14ac:dyDescent="0.35">
      <c r="A454" t="s">
        <v>6</v>
      </c>
      <c r="B454">
        <v>2030</v>
      </c>
      <c r="C454" t="s">
        <v>78</v>
      </c>
      <c r="D454" t="s">
        <v>41</v>
      </c>
      <c r="E454">
        <v>3.1111045649362401E-4</v>
      </c>
      <c r="F454">
        <v>3.1111045649362401E-4</v>
      </c>
      <c r="G454">
        <v>0</v>
      </c>
      <c r="H454">
        <v>0</v>
      </c>
      <c r="I454" t="s">
        <v>79</v>
      </c>
    </row>
    <row r="455" spans="1:9" x14ac:dyDescent="0.35">
      <c r="A455" t="s">
        <v>6</v>
      </c>
      <c r="B455">
        <v>2030</v>
      </c>
      <c r="C455" t="s">
        <v>78</v>
      </c>
      <c r="D455" t="s">
        <v>42</v>
      </c>
      <c r="E455">
        <v>1.37591232802811E-2</v>
      </c>
      <c r="F455">
        <v>1.37591232802811E-2</v>
      </c>
      <c r="G455">
        <v>0</v>
      </c>
      <c r="H455">
        <v>0</v>
      </c>
      <c r="I455" t="s">
        <v>79</v>
      </c>
    </row>
    <row r="456" spans="1:9" x14ac:dyDescent="0.35">
      <c r="A456" t="s">
        <v>6</v>
      </c>
      <c r="B456">
        <v>2030</v>
      </c>
      <c r="C456" t="s">
        <v>78</v>
      </c>
      <c r="D456" t="s">
        <v>43</v>
      </c>
      <c r="E456">
        <v>1.08347302715913E-4</v>
      </c>
      <c r="F456">
        <v>1.08347302715913E-4</v>
      </c>
      <c r="G456">
        <v>0</v>
      </c>
      <c r="H456">
        <v>0</v>
      </c>
      <c r="I456" t="s">
        <v>79</v>
      </c>
    </row>
    <row r="457" spans="1:9" x14ac:dyDescent="0.35">
      <c r="A457" t="s">
        <v>6</v>
      </c>
      <c r="B457">
        <v>2030</v>
      </c>
      <c r="C457" t="s">
        <v>78</v>
      </c>
      <c r="D457" t="s">
        <v>136</v>
      </c>
      <c r="E457">
        <v>1.5980826260313E-2</v>
      </c>
      <c r="F457">
        <v>1.5980826260313E-2</v>
      </c>
      <c r="G457">
        <v>0</v>
      </c>
      <c r="H457">
        <v>0</v>
      </c>
      <c r="I457" t="s">
        <v>79</v>
      </c>
    </row>
    <row r="458" spans="1:9" x14ac:dyDescent="0.35">
      <c r="A458" t="s">
        <v>6</v>
      </c>
      <c r="B458">
        <v>2030</v>
      </c>
      <c r="C458" t="s">
        <v>78</v>
      </c>
      <c r="D458" t="s">
        <v>45</v>
      </c>
      <c r="E458">
        <v>1.07379866205148E-4</v>
      </c>
      <c r="F458">
        <v>1.07379866205148E-4</v>
      </c>
      <c r="G458">
        <v>0</v>
      </c>
      <c r="H458">
        <v>0</v>
      </c>
      <c r="I458" t="s">
        <v>79</v>
      </c>
    </row>
    <row r="459" spans="1:9" x14ac:dyDescent="0.35">
      <c r="A459" t="s">
        <v>6</v>
      </c>
      <c r="B459">
        <v>2030</v>
      </c>
      <c r="C459" t="s">
        <v>78</v>
      </c>
      <c r="D459" t="s">
        <v>46</v>
      </c>
      <c r="E459">
        <v>3.1500075648486299E-3</v>
      </c>
      <c r="F459">
        <v>3.1500075648486299E-3</v>
      </c>
      <c r="G459">
        <v>0</v>
      </c>
      <c r="H459">
        <v>0</v>
      </c>
      <c r="I459" t="s">
        <v>79</v>
      </c>
    </row>
    <row r="460" spans="1:9" x14ac:dyDescent="0.35">
      <c r="A460" t="s">
        <v>6</v>
      </c>
      <c r="B460">
        <v>2030</v>
      </c>
      <c r="C460" t="s">
        <v>78</v>
      </c>
      <c r="D460" t="s">
        <v>47</v>
      </c>
      <c r="E460" s="1">
        <v>6.42832123517977E-6</v>
      </c>
      <c r="F460" s="1">
        <v>6.42832123517977E-6</v>
      </c>
      <c r="G460">
        <v>0</v>
      </c>
      <c r="H460">
        <v>0</v>
      </c>
      <c r="I460" t="s">
        <v>79</v>
      </c>
    </row>
    <row r="461" spans="1:9" x14ac:dyDescent="0.35">
      <c r="A461" t="s">
        <v>6</v>
      </c>
      <c r="B461">
        <v>2030</v>
      </c>
      <c r="C461" t="s">
        <v>78</v>
      </c>
      <c r="D461" t="s">
        <v>48</v>
      </c>
      <c r="E461">
        <v>46.972686191395702</v>
      </c>
      <c r="F461">
        <v>46.972686191395702</v>
      </c>
      <c r="G461">
        <v>0</v>
      </c>
      <c r="H461">
        <v>0</v>
      </c>
      <c r="I461" t="s">
        <v>79</v>
      </c>
    </row>
    <row r="462" spans="1:9" x14ac:dyDescent="0.35">
      <c r="A462" t="s">
        <v>6</v>
      </c>
      <c r="B462">
        <v>2030</v>
      </c>
      <c r="C462" t="s">
        <v>78</v>
      </c>
      <c r="D462" t="s">
        <v>49</v>
      </c>
      <c r="E462">
        <v>2.70992124735739E-4</v>
      </c>
      <c r="F462">
        <v>2.70992124735739E-4</v>
      </c>
      <c r="G462">
        <v>0</v>
      </c>
      <c r="H462">
        <v>0</v>
      </c>
      <c r="I462" t="s">
        <v>79</v>
      </c>
    </row>
    <row r="463" spans="1:9" x14ac:dyDescent="0.35">
      <c r="A463" t="s">
        <v>6</v>
      </c>
      <c r="B463">
        <v>2030</v>
      </c>
      <c r="C463" t="s">
        <v>78</v>
      </c>
      <c r="D463" t="s">
        <v>50</v>
      </c>
      <c r="E463">
        <v>1.5130185393268101E-3</v>
      </c>
      <c r="F463">
        <v>1.5130185393268101E-3</v>
      </c>
      <c r="G463">
        <v>0</v>
      </c>
      <c r="H463">
        <v>0</v>
      </c>
      <c r="I463" t="s">
        <v>79</v>
      </c>
    </row>
    <row r="464" spans="1:9" x14ac:dyDescent="0.35">
      <c r="A464" t="s">
        <v>6</v>
      </c>
      <c r="B464">
        <v>2030</v>
      </c>
      <c r="C464" t="s">
        <v>78</v>
      </c>
      <c r="D464" t="s">
        <v>51</v>
      </c>
      <c r="E464">
        <v>2.2971078542016399E-2</v>
      </c>
      <c r="F464">
        <v>2.2971078542016399E-2</v>
      </c>
      <c r="G464">
        <v>0</v>
      </c>
      <c r="H464">
        <v>0</v>
      </c>
      <c r="I464" t="s">
        <v>79</v>
      </c>
    </row>
    <row r="465" spans="1:9" x14ac:dyDescent="0.35">
      <c r="A465" t="s">
        <v>6</v>
      </c>
      <c r="B465">
        <v>2030</v>
      </c>
      <c r="C465" t="s">
        <v>78</v>
      </c>
      <c r="D465" t="s">
        <v>52</v>
      </c>
      <c r="E465">
        <v>1.10590536604226E-3</v>
      </c>
      <c r="F465">
        <v>1.10590536604226E-3</v>
      </c>
      <c r="G465">
        <v>0</v>
      </c>
      <c r="H465">
        <v>0</v>
      </c>
      <c r="I465" t="s">
        <v>79</v>
      </c>
    </row>
    <row r="466" spans="1:9" x14ac:dyDescent="0.35">
      <c r="A466" t="s">
        <v>6</v>
      </c>
      <c r="B466">
        <v>2030</v>
      </c>
      <c r="C466" t="s">
        <v>78</v>
      </c>
      <c r="D466" t="s">
        <v>53</v>
      </c>
      <c r="E466">
        <v>4.74528369154019E-3</v>
      </c>
      <c r="F466">
        <v>4.74528369154019E-3</v>
      </c>
      <c r="G466">
        <v>0</v>
      </c>
      <c r="H466">
        <v>0</v>
      </c>
      <c r="I466" t="s">
        <v>79</v>
      </c>
    </row>
    <row r="467" spans="1:9" x14ac:dyDescent="0.35">
      <c r="A467" t="s">
        <v>6</v>
      </c>
      <c r="B467">
        <v>2030</v>
      </c>
      <c r="C467" t="s">
        <v>78</v>
      </c>
      <c r="D467" t="s">
        <v>54</v>
      </c>
      <c r="E467">
        <v>1.9946116408935E-3</v>
      </c>
      <c r="F467">
        <v>1.9946116408935E-3</v>
      </c>
      <c r="G467">
        <v>0</v>
      </c>
      <c r="H467">
        <v>0</v>
      </c>
      <c r="I467" t="s">
        <v>79</v>
      </c>
    </row>
    <row r="468" spans="1:9" x14ac:dyDescent="0.35">
      <c r="A468" t="s">
        <v>6</v>
      </c>
      <c r="B468">
        <v>2030</v>
      </c>
      <c r="C468" t="s">
        <v>78</v>
      </c>
      <c r="D468" t="s">
        <v>55</v>
      </c>
      <c r="E468">
        <v>1.8241690580939999E-3</v>
      </c>
      <c r="F468">
        <v>1.8241690580939999E-3</v>
      </c>
      <c r="G468">
        <v>0</v>
      </c>
      <c r="H468">
        <v>0</v>
      </c>
      <c r="I468" t="s">
        <v>79</v>
      </c>
    </row>
    <row r="469" spans="1:9" x14ac:dyDescent="0.35">
      <c r="A469" t="s">
        <v>6</v>
      </c>
      <c r="B469">
        <v>2030</v>
      </c>
      <c r="C469" t="s">
        <v>78</v>
      </c>
      <c r="D469" t="s">
        <v>56</v>
      </c>
      <c r="E469" s="1">
        <v>1.58162069764853E-9</v>
      </c>
      <c r="F469" s="1">
        <v>1.58162069764853E-9</v>
      </c>
      <c r="G469">
        <v>0</v>
      </c>
      <c r="H469">
        <v>0</v>
      </c>
      <c r="I469" t="s">
        <v>79</v>
      </c>
    </row>
    <row r="470" spans="1:9" x14ac:dyDescent="0.35">
      <c r="A470" t="s">
        <v>8</v>
      </c>
      <c r="B470">
        <v>2035</v>
      </c>
      <c r="C470" t="s">
        <v>78</v>
      </c>
      <c r="D470" t="s">
        <v>38</v>
      </c>
      <c r="E470" s="1">
        <v>3.0697421253487402E-5</v>
      </c>
      <c r="F470" s="1">
        <v>3.0697421253487402E-5</v>
      </c>
      <c r="G470">
        <v>0</v>
      </c>
      <c r="H470">
        <v>0</v>
      </c>
      <c r="I470" t="s">
        <v>79</v>
      </c>
    </row>
    <row r="471" spans="1:9" x14ac:dyDescent="0.35">
      <c r="A471" t="s">
        <v>8</v>
      </c>
      <c r="B471">
        <v>2035</v>
      </c>
      <c r="C471" t="s">
        <v>78</v>
      </c>
      <c r="D471" t="s">
        <v>40</v>
      </c>
      <c r="E471" s="1">
        <v>7.7398003508230293E-5</v>
      </c>
      <c r="F471" s="1">
        <v>7.7398003508230293E-5</v>
      </c>
      <c r="G471">
        <v>0</v>
      </c>
      <c r="H471">
        <v>0</v>
      </c>
      <c r="I471" t="s">
        <v>79</v>
      </c>
    </row>
    <row r="472" spans="1:9" x14ac:dyDescent="0.35">
      <c r="A472" t="s">
        <v>8</v>
      </c>
      <c r="B472">
        <v>2035</v>
      </c>
      <c r="C472" t="s">
        <v>78</v>
      </c>
      <c r="D472" t="s">
        <v>41</v>
      </c>
      <c r="E472">
        <v>3.0997232202847099E-4</v>
      </c>
      <c r="F472">
        <v>3.0997232202847099E-4</v>
      </c>
      <c r="G472">
        <v>0</v>
      </c>
      <c r="H472">
        <v>0</v>
      </c>
      <c r="I472" t="s">
        <v>79</v>
      </c>
    </row>
    <row r="473" spans="1:9" x14ac:dyDescent="0.35">
      <c r="A473" t="s">
        <v>8</v>
      </c>
      <c r="B473">
        <v>2035</v>
      </c>
      <c r="C473" t="s">
        <v>78</v>
      </c>
      <c r="D473" t="s">
        <v>42</v>
      </c>
      <c r="E473">
        <v>1.378107916786E-2</v>
      </c>
      <c r="F473">
        <v>1.378107916786E-2</v>
      </c>
      <c r="G473">
        <v>0</v>
      </c>
      <c r="H473">
        <v>0</v>
      </c>
      <c r="I473" t="s">
        <v>79</v>
      </c>
    </row>
    <row r="474" spans="1:9" x14ac:dyDescent="0.35">
      <c r="A474" t="s">
        <v>8</v>
      </c>
      <c r="B474">
        <v>2035</v>
      </c>
      <c r="C474" t="s">
        <v>78</v>
      </c>
      <c r="D474" t="s">
        <v>43</v>
      </c>
      <c r="E474">
        <v>1.07884333238175E-4</v>
      </c>
      <c r="F474">
        <v>1.07884333238175E-4</v>
      </c>
      <c r="G474">
        <v>0</v>
      </c>
      <c r="H474">
        <v>0</v>
      </c>
      <c r="I474" t="s">
        <v>79</v>
      </c>
    </row>
    <row r="475" spans="1:9" x14ac:dyDescent="0.35">
      <c r="A475" t="s">
        <v>8</v>
      </c>
      <c r="B475">
        <v>2035</v>
      </c>
      <c r="C475" t="s">
        <v>78</v>
      </c>
      <c r="D475" t="s">
        <v>136</v>
      </c>
      <c r="E475">
        <v>1.5443976715100999E-2</v>
      </c>
      <c r="F475">
        <v>1.5443976715100999E-2</v>
      </c>
      <c r="G475">
        <v>0</v>
      </c>
      <c r="H475">
        <v>0</v>
      </c>
      <c r="I475" t="s">
        <v>79</v>
      </c>
    </row>
    <row r="476" spans="1:9" x14ac:dyDescent="0.35">
      <c r="A476" t="s">
        <v>8</v>
      </c>
      <c r="B476">
        <v>2035</v>
      </c>
      <c r="C476" t="s">
        <v>78</v>
      </c>
      <c r="D476" t="s">
        <v>45</v>
      </c>
      <c r="E476">
        <v>1.0594636955142E-4</v>
      </c>
      <c r="F476">
        <v>1.0594636955142E-4</v>
      </c>
      <c r="G476">
        <v>0</v>
      </c>
      <c r="H476">
        <v>0</v>
      </c>
      <c r="I476" t="s">
        <v>79</v>
      </c>
    </row>
    <row r="477" spans="1:9" x14ac:dyDescent="0.35">
      <c r="A477" t="s">
        <v>8</v>
      </c>
      <c r="B477">
        <v>2035</v>
      </c>
      <c r="C477" t="s">
        <v>78</v>
      </c>
      <c r="D477" t="s">
        <v>46</v>
      </c>
      <c r="E477">
        <v>4.1973118977969596E-3</v>
      </c>
      <c r="F477">
        <v>4.1973118977969596E-3</v>
      </c>
      <c r="G477">
        <v>0</v>
      </c>
      <c r="H477">
        <v>0</v>
      </c>
      <c r="I477" t="s">
        <v>79</v>
      </c>
    </row>
    <row r="478" spans="1:9" x14ac:dyDescent="0.35">
      <c r="A478" t="s">
        <v>8</v>
      </c>
      <c r="B478">
        <v>2035</v>
      </c>
      <c r="C478" t="s">
        <v>78</v>
      </c>
      <c r="D478" t="s">
        <v>47</v>
      </c>
      <c r="E478" s="1">
        <v>6.4555984273905499E-6</v>
      </c>
      <c r="F478" s="1">
        <v>6.4555984273905499E-6</v>
      </c>
      <c r="G478">
        <v>0</v>
      </c>
      <c r="H478">
        <v>0</v>
      </c>
      <c r="I478" t="s">
        <v>79</v>
      </c>
    </row>
    <row r="479" spans="1:9" x14ac:dyDescent="0.35">
      <c r="A479" t="s">
        <v>8</v>
      </c>
      <c r="B479">
        <v>2035</v>
      </c>
      <c r="C479" t="s">
        <v>78</v>
      </c>
      <c r="D479" t="s">
        <v>48</v>
      </c>
      <c r="E479">
        <v>46.972691557608897</v>
      </c>
      <c r="F479">
        <v>46.972691557608897</v>
      </c>
      <c r="G479">
        <v>0</v>
      </c>
      <c r="H479">
        <v>0</v>
      </c>
      <c r="I479" t="s">
        <v>79</v>
      </c>
    </row>
    <row r="480" spans="1:9" x14ac:dyDescent="0.35">
      <c r="A480" t="s">
        <v>8</v>
      </c>
      <c r="B480">
        <v>2035</v>
      </c>
      <c r="C480" t="s">
        <v>78</v>
      </c>
      <c r="D480" t="s">
        <v>49</v>
      </c>
      <c r="E480">
        <v>2.6899194657365599E-4</v>
      </c>
      <c r="F480">
        <v>2.6899194657365599E-4</v>
      </c>
      <c r="G480">
        <v>0</v>
      </c>
      <c r="H480">
        <v>0</v>
      </c>
      <c r="I480" t="s">
        <v>79</v>
      </c>
    </row>
    <row r="481" spans="1:9" x14ac:dyDescent="0.35">
      <c r="A481" t="s">
        <v>8</v>
      </c>
      <c r="B481">
        <v>2035</v>
      </c>
      <c r="C481" t="s">
        <v>78</v>
      </c>
      <c r="D481" t="s">
        <v>50</v>
      </c>
      <c r="E481">
        <v>1.5069303630794E-3</v>
      </c>
      <c r="F481">
        <v>1.5069303630794E-3</v>
      </c>
      <c r="G481">
        <v>0</v>
      </c>
      <c r="H481">
        <v>0</v>
      </c>
      <c r="I481" t="s">
        <v>79</v>
      </c>
    </row>
    <row r="482" spans="1:9" x14ac:dyDescent="0.35">
      <c r="A482" t="s">
        <v>8</v>
      </c>
      <c r="B482">
        <v>2035</v>
      </c>
      <c r="C482" t="s">
        <v>78</v>
      </c>
      <c r="D482" t="s">
        <v>51</v>
      </c>
      <c r="E482">
        <v>2.29915566606484E-2</v>
      </c>
      <c r="F482">
        <v>2.29915566606484E-2</v>
      </c>
      <c r="G482">
        <v>0</v>
      </c>
      <c r="H482">
        <v>0</v>
      </c>
      <c r="I482" t="s">
        <v>79</v>
      </c>
    </row>
    <row r="483" spans="1:9" x14ac:dyDescent="0.35">
      <c r="A483" t="s">
        <v>8</v>
      </c>
      <c r="B483">
        <v>2035</v>
      </c>
      <c r="C483" t="s">
        <v>78</v>
      </c>
      <c r="D483" t="s">
        <v>52</v>
      </c>
      <c r="E483">
        <v>9.6192844516382802E-4</v>
      </c>
      <c r="F483">
        <v>9.6192844516382802E-4</v>
      </c>
      <c r="G483">
        <v>0</v>
      </c>
      <c r="H483">
        <v>0</v>
      </c>
      <c r="I483" t="s">
        <v>79</v>
      </c>
    </row>
    <row r="484" spans="1:9" x14ac:dyDescent="0.35">
      <c r="A484" t="s">
        <v>8</v>
      </c>
      <c r="B484">
        <v>2035</v>
      </c>
      <c r="C484" t="s">
        <v>78</v>
      </c>
      <c r="D484" t="s">
        <v>53</v>
      </c>
      <c r="E484">
        <v>4.5678205929377998E-3</v>
      </c>
      <c r="F484">
        <v>4.5678205929377998E-3</v>
      </c>
      <c r="G484">
        <v>0</v>
      </c>
      <c r="H484">
        <v>0</v>
      </c>
      <c r="I484" t="s">
        <v>79</v>
      </c>
    </row>
    <row r="485" spans="1:9" x14ac:dyDescent="0.35">
      <c r="A485" t="s">
        <v>8</v>
      </c>
      <c r="B485">
        <v>2035</v>
      </c>
      <c r="C485" t="s">
        <v>78</v>
      </c>
      <c r="D485" t="s">
        <v>54</v>
      </c>
      <c r="E485">
        <v>2.0048573387258799E-3</v>
      </c>
      <c r="F485">
        <v>2.0048573387258799E-3</v>
      </c>
      <c r="G485">
        <v>0</v>
      </c>
      <c r="H485">
        <v>0</v>
      </c>
      <c r="I485" t="s">
        <v>79</v>
      </c>
    </row>
    <row r="486" spans="1:9" x14ac:dyDescent="0.35">
      <c r="A486" t="s">
        <v>8</v>
      </c>
      <c r="B486">
        <v>2035</v>
      </c>
      <c r="C486" t="s">
        <v>78</v>
      </c>
      <c r="D486" t="s">
        <v>55</v>
      </c>
      <c r="E486">
        <v>1.83319890245085E-3</v>
      </c>
      <c r="F486">
        <v>1.83319890245085E-3</v>
      </c>
      <c r="G486">
        <v>0</v>
      </c>
      <c r="H486">
        <v>0</v>
      </c>
      <c r="I486" t="s">
        <v>79</v>
      </c>
    </row>
    <row r="487" spans="1:9" x14ac:dyDescent="0.35">
      <c r="A487" t="s">
        <v>8</v>
      </c>
      <c r="B487">
        <v>2035</v>
      </c>
      <c r="C487" t="s">
        <v>78</v>
      </c>
      <c r="D487" t="s">
        <v>56</v>
      </c>
      <c r="E487" s="1">
        <v>1.4735737017267499E-9</v>
      </c>
      <c r="F487" s="1">
        <v>1.4735737017267499E-9</v>
      </c>
      <c r="G487">
        <v>0</v>
      </c>
      <c r="H487">
        <v>0</v>
      </c>
      <c r="I487" t="s">
        <v>79</v>
      </c>
    </row>
    <row r="488" spans="1:9" x14ac:dyDescent="0.35">
      <c r="A488" t="s">
        <v>10</v>
      </c>
      <c r="B488">
        <v>2040</v>
      </c>
      <c r="C488" t="s">
        <v>78</v>
      </c>
      <c r="D488" t="s">
        <v>38</v>
      </c>
      <c r="E488" s="1">
        <v>2.7403356182559001E-5</v>
      </c>
      <c r="F488" s="1">
        <v>2.7403346719415499E-5</v>
      </c>
      <c r="G488" s="1">
        <v>-9.4631434781919203E-12</v>
      </c>
      <c r="H488" s="1">
        <v>-3.4532790126688097E-5</v>
      </c>
      <c r="I488" t="s">
        <v>79</v>
      </c>
    </row>
    <row r="489" spans="1:9" x14ac:dyDescent="0.35">
      <c r="A489" t="s">
        <v>10</v>
      </c>
      <c r="B489">
        <v>2040</v>
      </c>
      <c r="C489" t="s">
        <v>78</v>
      </c>
      <c r="D489" t="s">
        <v>40</v>
      </c>
      <c r="E489" s="1">
        <v>7.7167516988564495E-5</v>
      </c>
      <c r="F489" s="1">
        <v>7.7167516988564495E-5</v>
      </c>
      <c r="G489">
        <v>0</v>
      </c>
      <c r="H489">
        <v>0</v>
      </c>
      <c r="I489" t="s">
        <v>79</v>
      </c>
    </row>
    <row r="490" spans="1:9" x14ac:dyDescent="0.35">
      <c r="A490" t="s">
        <v>10</v>
      </c>
      <c r="B490">
        <v>2040</v>
      </c>
      <c r="C490" t="s">
        <v>78</v>
      </c>
      <c r="D490" t="s">
        <v>41</v>
      </c>
      <c r="E490">
        <v>3.09150394821336E-4</v>
      </c>
      <c r="F490">
        <v>3.09150394821336E-4</v>
      </c>
      <c r="G490">
        <v>0</v>
      </c>
      <c r="H490">
        <v>0</v>
      </c>
      <c r="I490" t="s">
        <v>79</v>
      </c>
    </row>
    <row r="491" spans="1:9" x14ac:dyDescent="0.35">
      <c r="A491" t="s">
        <v>10</v>
      </c>
      <c r="B491">
        <v>2040</v>
      </c>
      <c r="C491" t="s">
        <v>78</v>
      </c>
      <c r="D491" t="s">
        <v>42</v>
      </c>
      <c r="E491">
        <v>1.38140700062672E-2</v>
      </c>
      <c r="F491">
        <v>1.38140699720811E-2</v>
      </c>
      <c r="G491" s="1">
        <v>-3.4186098396560199E-11</v>
      </c>
      <c r="H491" s="1">
        <v>-2.4747303568789301E-7</v>
      </c>
      <c r="I491" t="s">
        <v>79</v>
      </c>
    </row>
    <row r="492" spans="1:9" x14ac:dyDescent="0.35">
      <c r="A492" t="s">
        <v>10</v>
      </c>
      <c r="B492">
        <v>2040</v>
      </c>
      <c r="C492" t="s">
        <v>78</v>
      </c>
      <c r="D492" t="s">
        <v>43</v>
      </c>
      <c r="E492">
        <v>1.07066619556909E-4</v>
      </c>
      <c r="F492">
        <v>1.07066619556909E-4</v>
      </c>
      <c r="G492">
        <v>0</v>
      </c>
      <c r="H492">
        <v>0</v>
      </c>
      <c r="I492" t="s">
        <v>79</v>
      </c>
    </row>
    <row r="493" spans="1:9" x14ac:dyDescent="0.35">
      <c r="A493" t="s">
        <v>10</v>
      </c>
      <c r="B493">
        <v>2040</v>
      </c>
      <c r="C493" t="s">
        <v>78</v>
      </c>
      <c r="D493" t="s">
        <v>136</v>
      </c>
      <c r="E493">
        <v>1.48396631623105E-2</v>
      </c>
      <c r="F493">
        <v>1.48396631623105E-2</v>
      </c>
      <c r="G493">
        <v>0</v>
      </c>
      <c r="H493">
        <v>0</v>
      </c>
      <c r="I493" t="s">
        <v>79</v>
      </c>
    </row>
    <row r="494" spans="1:9" x14ac:dyDescent="0.35">
      <c r="A494" t="s">
        <v>10</v>
      </c>
      <c r="B494">
        <v>2040</v>
      </c>
      <c r="C494" t="s">
        <v>78</v>
      </c>
      <c r="D494" t="s">
        <v>45</v>
      </c>
      <c r="E494">
        <v>1.0496875297443199E-4</v>
      </c>
      <c r="F494">
        <v>1.0486273178118501E-4</v>
      </c>
      <c r="G494" s="1">
        <v>-1.06021193246134E-7</v>
      </c>
      <c r="H494">
        <v>-0.101002622439421</v>
      </c>
      <c r="I494" t="s">
        <v>79</v>
      </c>
    </row>
    <row r="495" spans="1:9" x14ac:dyDescent="0.35">
      <c r="A495" t="s">
        <v>10</v>
      </c>
      <c r="B495">
        <v>2040</v>
      </c>
      <c r="C495" t="s">
        <v>78</v>
      </c>
      <c r="D495" t="s">
        <v>46</v>
      </c>
      <c r="E495">
        <v>5.7594888701532898E-3</v>
      </c>
      <c r="F495">
        <v>5.7594888701532898E-3</v>
      </c>
      <c r="G495">
        <v>0</v>
      </c>
      <c r="H495">
        <v>0</v>
      </c>
      <c r="I495" t="s">
        <v>79</v>
      </c>
    </row>
    <row r="496" spans="1:9" x14ac:dyDescent="0.35">
      <c r="A496" t="s">
        <v>10</v>
      </c>
      <c r="B496">
        <v>2040</v>
      </c>
      <c r="C496" t="s">
        <v>78</v>
      </c>
      <c r="D496" t="s">
        <v>47</v>
      </c>
      <c r="E496" s="1">
        <v>6.4848932639378698E-6</v>
      </c>
      <c r="F496" s="1">
        <v>6.4848932639378698E-6</v>
      </c>
      <c r="G496">
        <v>0</v>
      </c>
      <c r="H496">
        <v>0</v>
      </c>
      <c r="I496" t="s">
        <v>79</v>
      </c>
    </row>
    <row r="497" spans="1:9" x14ac:dyDescent="0.35">
      <c r="A497" t="s">
        <v>10</v>
      </c>
      <c r="B497">
        <v>2040</v>
      </c>
      <c r="C497" t="s">
        <v>78</v>
      </c>
      <c r="D497" t="s">
        <v>48</v>
      </c>
      <c r="E497">
        <v>46.972701618738597</v>
      </c>
      <c r="F497">
        <v>46.972701618738597</v>
      </c>
      <c r="G497">
        <v>0</v>
      </c>
      <c r="H497">
        <v>0</v>
      </c>
      <c r="I497" t="s">
        <v>79</v>
      </c>
    </row>
    <row r="498" spans="1:9" x14ac:dyDescent="0.35">
      <c r="A498" t="s">
        <v>10</v>
      </c>
      <c r="B498">
        <v>2040</v>
      </c>
      <c r="C498" t="s">
        <v>78</v>
      </c>
      <c r="D498" t="s">
        <v>49</v>
      </c>
      <c r="E498">
        <v>2.6722095890758602E-4</v>
      </c>
      <c r="F498">
        <v>2.6722095890758602E-4</v>
      </c>
      <c r="G498">
        <v>0</v>
      </c>
      <c r="H498">
        <v>0</v>
      </c>
      <c r="I498" t="s">
        <v>79</v>
      </c>
    </row>
    <row r="499" spans="1:9" x14ac:dyDescent="0.35">
      <c r="A499" t="s">
        <v>10</v>
      </c>
      <c r="B499">
        <v>2040</v>
      </c>
      <c r="C499" t="s">
        <v>78</v>
      </c>
      <c r="D499" t="s">
        <v>50</v>
      </c>
      <c r="E499">
        <v>1.4965093251475001E-3</v>
      </c>
      <c r="F499">
        <v>1.4965093251475001E-3</v>
      </c>
      <c r="G499">
        <v>0</v>
      </c>
      <c r="H499">
        <v>0</v>
      </c>
      <c r="I499" t="s">
        <v>79</v>
      </c>
    </row>
    <row r="500" spans="1:9" x14ac:dyDescent="0.35">
      <c r="A500" t="s">
        <v>10</v>
      </c>
      <c r="B500">
        <v>2040</v>
      </c>
      <c r="C500" t="s">
        <v>78</v>
      </c>
      <c r="D500" t="s">
        <v>51</v>
      </c>
      <c r="E500">
        <v>2.3013588503479E-2</v>
      </c>
      <c r="F500">
        <v>2.3013588503479E-2</v>
      </c>
      <c r="G500">
        <v>0</v>
      </c>
      <c r="H500">
        <v>0</v>
      </c>
      <c r="I500" t="s">
        <v>79</v>
      </c>
    </row>
    <row r="501" spans="1:9" x14ac:dyDescent="0.35">
      <c r="A501" t="s">
        <v>10</v>
      </c>
      <c r="B501">
        <v>2040</v>
      </c>
      <c r="C501" t="s">
        <v>78</v>
      </c>
      <c r="D501" t="s">
        <v>52</v>
      </c>
      <c r="E501">
        <v>8.2174962409305998E-4</v>
      </c>
      <c r="F501">
        <v>8.2174962409305998E-4</v>
      </c>
      <c r="G501">
        <v>0</v>
      </c>
      <c r="H501">
        <v>0</v>
      </c>
      <c r="I501" t="s">
        <v>79</v>
      </c>
    </row>
    <row r="502" spans="1:9" x14ac:dyDescent="0.35">
      <c r="A502" t="s">
        <v>10</v>
      </c>
      <c r="B502">
        <v>2040</v>
      </c>
      <c r="C502" t="s">
        <v>78</v>
      </c>
      <c r="D502" t="s">
        <v>53</v>
      </c>
      <c r="E502">
        <v>4.3581959410686297E-3</v>
      </c>
      <c r="F502">
        <v>4.3581959410686297E-3</v>
      </c>
      <c r="G502">
        <v>0</v>
      </c>
      <c r="H502">
        <v>0</v>
      </c>
      <c r="I502" t="s">
        <v>79</v>
      </c>
    </row>
    <row r="503" spans="1:9" x14ac:dyDescent="0.35">
      <c r="A503" t="s">
        <v>10</v>
      </c>
      <c r="B503">
        <v>2040</v>
      </c>
      <c r="C503" t="s">
        <v>78</v>
      </c>
      <c r="D503" t="s">
        <v>54</v>
      </c>
      <c r="E503">
        <v>2.0134219565984398E-3</v>
      </c>
      <c r="F503">
        <v>2.0134219542470898E-3</v>
      </c>
      <c r="G503" s="1">
        <v>-2.3513474153857801E-12</v>
      </c>
      <c r="H503" s="1">
        <v>-1.16783638306907E-7</v>
      </c>
      <c r="I503" t="s">
        <v>79</v>
      </c>
    </row>
    <row r="504" spans="1:9" x14ac:dyDescent="0.35">
      <c r="A504" t="s">
        <v>10</v>
      </c>
      <c r="B504">
        <v>2040</v>
      </c>
      <c r="C504" t="s">
        <v>78</v>
      </c>
      <c r="D504" t="s">
        <v>55</v>
      </c>
      <c r="E504">
        <v>1.8417812352033299E-3</v>
      </c>
      <c r="F504">
        <v>1.8417803837929799E-3</v>
      </c>
      <c r="G504" s="1">
        <v>-8.5141035736403803E-10</v>
      </c>
      <c r="H504" s="1">
        <v>-4.6227550867084298E-5</v>
      </c>
      <c r="I504" t="s">
        <v>79</v>
      </c>
    </row>
    <row r="505" spans="1:9" x14ac:dyDescent="0.35">
      <c r="A505" t="s">
        <v>10</v>
      </c>
      <c r="B505">
        <v>2040</v>
      </c>
      <c r="C505" t="s">
        <v>78</v>
      </c>
      <c r="D505" t="s">
        <v>56</v>
      </c>
      <c r="E505" s="1">
        <v>1.37059438337793E-9</v>
      </c>
      <c r="F505" s="1">
        <v>1.37059438337793E-9</v>
      </c>
      <c r="G505">
        <v>0</v>
      </c>
      <c r="H505">
        <v>0</v>
      </c>
      <c r="I505" t="s">
        <v>79</v>
      </c>
    </row>
    <row r="506" spans="1:9" x14ac:dyDescent="0.35">
      <c r="A506" t="s">
        <v>4</v>
      </c>
      <c r="B506">
        <v>2025</v>
      </c>
      <c r="C506" t="s">
        <v>37</v>
      </c>
      <c r="D506" t="s">
        <v>38</v>
      </c>
      <c r="E506">
        <v>3.6968931564940301E-3</v>
      </c>
      <c r="F506">
        <v>3.6968931564940301E-3</v>
      </c>
      <c r="G506">
        <v>0</v>
      </c>
      <c r="H506">
        <v>0</v>
      </c>
      <c r="I506" t="s">
        <v>39</v>
      </c>
    </row>
    <row r="507" spans="1:9" x14ac:dyDescent="0.35">
      <c r="A507" t="s">
        <v>4</v>
      </c>
      <c r="B507">
        <v>2025</v>
      </c>
      <c r="C507" t="s">
        <v>37</v>
      </c>
      <c r="D507" t="s">
        <v>40</v>
      </c>
      <c r="E507">
        <v>8.3373011882115504E-4</v>
      </c>
      <c r="F507">
        <v>8.3373011882115504E-4</v>
      </c>
      <c r="G507">
        <v>0</v>
      </c>
      <c r="H507">
        <v>0</v>
      </c>
      <c r="I507" t="s">
        <v>39</v>
      </c>
    </row>
    <row r="508" spans="1:9" x14ac:dyDescent="0.35">
      <c r="A508" t="s">
        <v>4</v>
      </c>
      <c r="B508">
        <v>2025</v>
      </c>
      <c r="C508" t="s">
        <v>37</v>
      </c>
      <c r="D508" t="s">
        <v>41</v>
      </c>
      <c r="E508">
        <v>0.61196621345652402</v>
      </c>
      <c r="F508">
        <v>0.61196621345652402</v>
      </c>
      <c r="G508">
        <v>0</v>
      </c>
      <c r="H508">
        <v>0</v>
      </c>
      <c r="I508" t="s">
        <v>39</v>
      </c>
    </row>
    <row r="509" spans="1:9" x14ac:dyDescent="0.35">
      <c r="A509" t="s">
        <v>4</v>
      </c>
      <c r="B509">
        <v>2025</v>
      </c>
      <c r="C509" t="s">
        <v>37</v>
      </c>
      <c r="D509" t="s">
        <v>42</v>
      </c>
      <c r="E509">
        <v>11.223054596255899</v>
      </c>
      <c r="F509">
        <v>11.223054596255899</v>
      </c>
      <c r="G509">
        <v>0</v>
      </c>
      <c r="H509">
        <v>0</v>
      </c>
      <c r="I509" t="s">
        <v>39</v>
      </c>
    </row>
    <row r="510" spans="1:9" x14ac:dyDescent="0.35">
      <c r="A510" t="s">
        <v>4</v>
      </c>
      <c r="B510">
        <v>2025</v>
      </c>
      <c r="C510" t="s">
        <v>37</v>
      </c>
      <c r="D510" t="s">
        <v>43</v>
      </c>
      <c r="E510">
        <v>6.7875361057393897E-3</v>
      </c>
      <c r="F510">
        <v>6.7875361057393897E-3</v>
      </c>
      <c r="G510">
        <v>0</v>
      </c>
      <c r="H510">
        <v>0</v>
      </c>
      <c r="I510" t="s">
        <v>39</v>
      </c>
    </row>
    <row r="511" spans="1:9" x14ac:dyDescent="0.35">
      <c r="A511" t="s">
        <v>4</v>
      </c>
      <c r="B511">
        <v>2025</v>
      </c>
      <c r="C511" t="s">
        <v>37</v>
      </c>
      <c r="D511" t="s">
        <v>136</v>
      </c>
      <c r="E511">
        <v>8.2164945788250296</v>
      </c>
      <c r="F511">
        <v>8.2164945788250296</v>
      </c>
      <c r="G511">
        <v>0</v>
      </c>
      <c r="H511">
        <v>0</v>
      </c>
      <c r="I511" t="s">
        <v>39</v>
      </c>
    </row>
    <row r="512" spans="1:9" x14ac:dyDescent="0.35">
      <c r="A512" t="s">
        <v>4</v>
      </c>
      <c r="B512">
        <v>2025</v>
      </c>
      <c r="C512" t="s">
        <v>37</v>
      </c>
      <c r="D512" t="s">
        <v>45</v>
      </c>
      <c r="E512">
        <v>1.4740469762691499</v>
      </c>
      <c r="F512">
        <v>1.4740469762691499</v>
      </c>
      <c r="G512">
        <v>0</v>
      </c>
      <c r="H512">
        <v>0</v>
      </c>
      <c r="I512" t="s">
        <v>39</v>
      </c>
    </row>
    <row r="513" spans="1:9" x14ac:dyDescent="0.35">
      <c r="A513" t="s">
        <v>4</v>
      </c>
      <c r="B513">
        <v>2025</v>
      </c>
      <c r="C513" t="s">
        <v>37</v>
      </c>
      <c r="D513" t="s">
        <v>46</v>
      </c>
      <c r="E513">
        <v>0.24712352524876999</v>
      </c>
      <c r="F513">
        <v>0.24712352524876999</v>
      </c>
      <c r="G513">
        <v>0</v>
      </c>
      <c r="H513">
        <v>0</v>
      </c>
      <c r="I513" t="s">
        <v>39</v>
      </c>
    </row>
    <row r="514" spans="1:9" x14ac:dyDescent="0.35">
      <c r="A514" t="s">
        <v>4</v>
      </c>
      <c r="B514">
        <v>2025</v>
      </c>
      <c r="C514" t="s">
        <v>37</v>
      </c>
      <c r="D514" t="s">
        <v>47</v>
      </c>
      <c r="E514">
        <v>4.3136667999546102E-3</v>
      </c>
      <c r="F514">
        <v>4.3136667999546102E-3</v>
      </c>
      <c r="G514">
        <v>0</v>
      </c>
      <c r="H514">
        <v>0</v>
      </c>
      <c r="I514" t="s">
        <v>39</v>
      </c>
    </row>
    <row r="515" spans="1:9" x14ac:dyDescent="0.35">
      <c r="A515" t="s">
        <v>4</v>
      </c>
      <c r="B515">
        <v>2025</v>
      </c>
      <c r="C515" t="s">
        <v>37</v>
      </c>
      <c r="D515" t="s">
        <v>48</v>
      </c>
      <c r="E515">
        <v>57.888113364509699</v>
      </c>
      <c r="F515">
        <v>57.888113364509699</v>
      </c>
      <c r="G515">
        <v>0</v>
      </c>
      <c r="H515">
        <v>0</v>
      </c>
      <c r="I515" t="s">
        <v>39</v>
      </c>
    </row>
    <row r="516" spans="1:9" x14ac:dyDescent="0.35">
      <c r="A516" t="s">
        <v>4</v>
      </c>
      <c r="B516">
        <v>2025</v>
      </c>
      <c r="C516" t="s">
        <v>37</v>
      </c>
      <c r="D516" t="s">
        <v>49</v>
      </c>
      <c r="E516">
        <v>7.3052101682809401</v>
      </c>
      <c r="F516">
        <v>7.3052101682809401</v>
      </c>
      <c r="G516">
        <v>0</v>
      </c>
      <c r="H516">
        <v>0</v>
      </c>
      <c r="I516" t="s">
        <v>39</v>
      </c>
    </row>
    <row r="517" spans="1:9" x14ac:dyDescent="0.35">
      <c r="A517" t="s">
        <v>4</v>
      </c>
      <c r="B517">
        <v>2025</v>
      </c>
      <c r="C517" t="s">
        <v>37</v>
      </c>
      <c r="D517" t="s">
        <v>50</v>
      </c>
      <c r="E517">
        <v>0.27617406065057498</v>
      </c>
      <c r="F517">
        <v>0.27617406065057498</v>
      </c>
      <c r="G517">
        <v>0</v>
      </c>
      <c r="H517">
        <v>0</v>
      </c>
      <c r="I517" t="s">
        <v>39</v>
      </c>
    </row>
    <row r="518" spans="1:9" x14ac:dyDescent="0.35">
      <c r="A518" t="s">
        <v>4</v>
      </c>
      <c r="B518">
        <v>2025</v>
      </c>
      <c r="C518" t="s">
        <v>37</v>
      </c>
      <c r="D518" t="s">
        <v>51</v>
      </c>
      <c r="E518">
        <v>0.19072394081842201</v>
      </c>
      <c r="F518">
        <v>0.19072394081842201</v>
      </c>
      <c r="G518">
        <v>0</v>
      </c>
      <c r="H518">
        <v>0</v>
      </c>
      <c r="I518" t="s">
        <v>39</v>
      </c>
    </row>
    <row r="519" spans="1:9" x14ac:dyDescent="0.35">
      <c r="A519" t="s">
        <v>4</v>
      </c>
      <c r="B519">
        <v>2025</v>
      </c>
      <c r="C519" t="s">
        <v>37</v>
      </c>
      <c r="D519" t="s">
        <v>52</v>
      </c>
      <c r="E519">
        <v>1.5578175142188999</v>
      </c>
      <c r="F519">
        <v>1.5578175142188999</v>
      </c>
      <c r="G519">
        <v>0</v>
      </c>
      <c r="H519">
        <v>0</v>
      </c>
      <c r="I519" t="s">
        <v>39</v>
      </c>
    </row>
    <row r="520" spans="1:9" x14ac:dyDescent="0.35">
      <c r="A520" t="s">
        <v>4</v>
      </c>
      <c r="B520">
        <v>2025</v>
      </c>
      <c r="C520" t="s">
        <v>37</v>
      </c>
      <c r="D520" t="s">
        <v>53</v>
      </c>
      <c r="E520">
        <v>2.9354876143666799</v>
      </c>
      <c r="F520">
        <v>2.9354876143666799</v>
      </c>
      <c r="G520">
        <v>0</v>
      </c>
      <c r="H520">
        <v>0</v>
      </c>
      <c r="I520" t="s">
        <v>39</v>
      </c>
    </row>
    <row r="521" spans="1:9" x14ac:dyDescent="0.35">
      <c r="A521" t="s">
        <v>4</v>
      </c>
      <c r="B521">
        <v>2025</v>
      </c>
      <c r="C521" t="s">
        <v>37</v>
      </c>
      <c r="D521" t="s">
        <v>54</v>
      </c>
      <c r="E521">
        <v>1.54968802551758</v>
      </c>
      <c r="F521">
        <v>1.54968802551758</v>
      </c>
      <c r="G521">
        <v>0</v>
      </c>
      <c r="H521">
        <v>0</v>
      </c>
      <c r="I521" t="s">
        <v>39</v>
      </c>
    </row>
    <row r="522" spans="1:9" x14ac:dyDescent="0.35">
      <c r="A522" t="s">
        <v>4</v>
      </c>
      <c r="B522">
        <v>2025</v>
      </c>
      <c r="C522" t="s">
        <v>37</v>
      </c>
      <c r="D522" t="s">
        <v>55</v>
      </c>
      <c r="E522">
        <v>1.4685834730029601</v>
      </c>
      <c r="F522">
        <v>1.4685834730029601</v>
      </c>
      <c r="G522">
        <v>0</v>
      </c>
      <c r="H522">
        <v>0</v>
      </c>
      <c r="I522" t="s">
        <v>39</v>
      </c>
    </row>
    <row r="523" spans="1:9" x14ac:dyDescent="0.35">
      <c r="A523" t="s">
        <v>4</v>
      </c>
      <c r="B523">
        <v>2025</v>
      </c>
      <c r="C523" t="s">
        <v>37</v>
      </c>
      <c r="D523" t="s">
        <v>56</v>
      </c>
      <c r="E523" s="1">
        <v>6.7070001171762403E-7</v>
      </c>
      <c r="F523" s="1">
        <v>6.7070001171762403E-7</v>
      </c>
      <c r="G523">
        <v>0</v>
      </c>
      <c r="H523">
        <v>0</v>
      </c>
      <c r="I523" t="s">
        <v>39</v>
      </c>
    </row>
    <row r="524" spans="1:9" x14ac:dyDescent="0.35">
      <c r="A524" t="s">
        <v>6</v>
      </c>
      <c r="B524">
        <v>2030</v>
      </c>
      <c r="C524" t="s">
        <v>37</v>
      </c>
      <c r="D524" t="s">
        <v>38</v>
      </c>
      <c r="E524">
        <v>3.73796777047697E-3</v>
      </c>
      <c r="F524">
        <v>3.73796777047697E-3</v>
      </c>
      <c r="G524">
        <v>0</v>
      </c>
      <c r="H524">
        <v>0</v>
      </c>
      <c r="I524" t="s">
        <v>39</v>
      </c>
    </row>
    <row r="525" spans="1:9" x14ac:dyDescent="0.35">
      <c r="A525" t="s">
        <v>6</v>
      </c>
      <c r="B525">
        <v>2030</v>
      </c>
      <c r="C525" t="s">
        <v>37</v>
      </c>
      <c r="D525" t="s">
        <v>40</v>
      </c>
      <c r="E525">
        <v>8.1638680518644703E-4</v>
      </c>
      <c r="F525">
        <v>8.1638680518644703E-4</v>
      </c>
      <c r="G525">
        <v>0</v>
      </c>
      <c r="H525">
        <v>0</v>
      </c>
      <c r="I525" t="s">
        <v>39</v>
      </c>
    </row>
    <row r="526" spans="1:9" x14ac:dyDescent="0.35">
      <c r="A526" t="s">
        <v>6</v>
      </c>
      <c r="B526">
        <v>2030</v>
      </c>
      <c r="C526" t="s">
        <v>37</v>
      </c>
      <c r="D526" t="s">
        <v>41</v>
      </c>
      <c r="E526">
        <v>0.61117724609550095</v>
      </c>
      <c r="F526">
        <v>0.61117724609550095</v>
      </c>
      <c r="G526">
        <v>0</v>
      </c>
      <c r="H526">
        <v>0</v>
      </c>
      <c r="I526" t="s">
        <v>39</v>
      </c>
    </row>
    <row r="527" spans="1:9" x14ac:dyDescent="0.35">
      <c r="A527" t="s">
        <v>6</v>
      </c>
      <c r="B527">
        <v>2030</v>
      </c>
      <c r="C527" t="s">
        <v>37</v>
      </c>
      <c r="D527" t="s">
        <v>42</v>
      </c>
      <c r="E527">
        <v>10.9669864401449</v>
      </c>
      <c r="F527">
        <v>10.9669864401449</v>
      </c>
      <c r="G527">
        <v>0</v>
      </c>
      <c r="H527">
        <v>0</v>
      </c>
      <c r="I527" t="s">
        <v>39</v>
      </c>
    </row>
    <row r="528" spans="1:9" x14ac:dyDescent="0.35">
      <c r="A528" t="s">
        <v>6</v>
      </c>
      <c r="B528">
        <v>2030</v>
      </c>
      <c r="C528" t="s">
        <v>37</v>
      </c>
      <c r="D528" t="s">
        <v>43</v>
      </c>
      <c r="E528">
        <v>6.4136042858387596E-3</v>
      </c>
      <c r="F528">
        <v>6.4136042858387596E-3</v>
      </c>
      <c r="G528">
        <v>0</v>
      </c>
      <c r="H528">
        <v>0</v>
      </c>
      <c r="I528" t="s">
        <v>39</v>
      </c>
    </row>
    <row r="529" spans="1:9" x14ac:dyDescent="0.35">
      <c r="A529" t="s">
        <v>6</v>
      </c>
      <c r="B529">
        <v>2030</v>
      </c>
      <c r="C529" t="s">
        <v>37</v>
      </c>
      <c r="D529" t="s">
        <v>136</v>
      </c>
      <c r="E529">
        <v>7.9715948366041998</v>
      </c>
      <c r="F529">
        <v>7.9715948366041998</v>
      </c>
      <c r="G529">
        <v>0</v>
      </c>
      <c r="H529">
        <v>0</v>
      </c>
      <c r="I529" t="s">
        <v>39</v>
      </c>
    </row>
    <row r="530" spans="1:9" x14ac:dyDescent="0.35">
      <c r="A530" t="s">
        <v>6</v>
      </c>
      <c r="B530">
        <v>2030</v>
      </c>
      <c r="C530" t="s">
        <v>37</v>
      </c>
      <c r="D530" t="s">
        <v>45</v>
      </c>
      <c r="E530">
        <v>1.47219744112557</v>
      </c>
      <c r="F530">
        <v>1.47219744112557</v>
      </c>
      <c r="G530">
        <v>0</v>
      </c>
      <c r="H530">
        <v>0</v>
      </c>
      <c r="I530" t="s">
        <v>39</v>
      </c>
    </row>
    <row r="531" spans="1:9" x14ac:dyDescent="0.35">
      <c r="A531" t="s">
        <v>6</v>
      </c>
      <c r="B531">
        <v>2030</v>
      </c>
      <c r="C531" t="s">
        <v>37</v>
      </c>
      <c r="D531" t="s">
        <v>46</v>
      </c>
      <c r="E531">
        <v>0.26841725138939498</v>
      </c>
      <c r="F531">
        <v>0.26841725138939498</v>
      </c>
      <c r="G531">
        <v>0</v>
      </c>
      <c r="H531">
        <v>0</v>
      </c>
      <c r="I531" t="s">
        <v>39</v>
      </c>
    </row>
    <row r="532" spans="1:9" x14ac:dyDescent="0.35">
      <c r="A532" t="s">
        <v>6</v>
      </c>
      <c r="B532">
        <v>2030</v>
      </c>
      <c r="C532" t="s">
        <v>37</v>
      </c>
      <c r="D532" t="s">
        <v>47</v>
      </c>
      <c r="E532">
        <v>3.9480097738127497E-3</v>
      </c>
      <c r="F532">
        <v>3.9480097738127497E-3</v>
      </c>
      <c r="G532">
        <v>0</v>
      </c>
      <c r="H532">
        <v>0</v>
      </c>
      <c r="I532" t="s">
        <v>39</v>
      </c>
    </row>
    <row r="533" spans="1:9" x14ac:dyDescent="0.35">
      <c r="A533" t="s">
        <v>6</v>
      </c>
      <c r="B533">
        <v>2030</v>
      </c>
      <c r="C533" t="s">
        <v>37</v>
      </c>
      <c r="D533" t="s">
        <v>48</v>
      </c>
      <c r="E533">
        <v>57.890918979552701</v>
      </c>
      <c r="F533">
        <v>57.890918979552701</v>
      </c>
      <c r="G533">
        <v>0</v>
      </c>
      <c r="H533">
        <v>0</v>
      </c>
      <c r="I533" t="s">
        <v>39</v>
      </c>
    </row>
    <row r="534" spans="1:9" x14ac:dyDescent="0.35">
      <c r="A534" t="s">
        <v>6</v>
      </c>
      <c r="B534">
        <v>2030</v>
      </c>
      <c r="C534" t="s">
        <v>37</v>
      </c>
      <c r="D534" t="s">
        <v>49</v>
      </c>
      <c r="E534">
        <v>7.3008865423693399</v>
      </c>
      <c r="F534">
        <v>7.3008865423693399</v>
      </c>
      <c r="G534">
        <v>0</v>
      </c>
      <c r="H534">
        <v>0</v>
      </c>
      <c r="I534" t="s">
        <v>39</v>
      </c>
    </row>
    <row r="535" spans="1:9" x14ac:dyDescent="0.35">
      <c r="A535" t="s">
        <v>6</v>
      </c>
      <c r="B535">
        <v>2030</v>
      </c>
      <c r="C535" t="s">
        <v>37</v>
      </c>
      <c r="D535" t="s">
        <v>50</v>
      </c>
      <c r="E535">
        <v>0.27474857746032599</v>
      </c>
      <c r="F535">
        <v>0.27474857746032599</v>
      </c>
      <c r="G535">
        <v>0</v>
      </c>
      <c r="H535">
        <v>0</v>
      </c>
      <c r="I535" t="s">
        <v>39</v>
      </c>
    </row>
    <row r="536" spans="1:9" x14ac:dyDescent="0.35">
      <c r="A536" t="s">
        <v>6</v>
      </c>
      <c r="B536">
        <v>2030</v>
      </c>
      <c r="C536" t="s">
        <v>37</v>
      </c>
      <c r="D536" t="s">
        <v>51</v>
      </c>
      <c r="E536">
        <v>0.18953465453951701</v>
      </c>
      <c r="F536">
        <v>0.18953465453951701</v>
      </c>
      <c r="G536">
        <v>0</v>
      </c>
      <c r="H536">
        <v>0</v>
      </c>
      <c r="I536" t="s">
        <v>39</v>
      </c>
    </row>
    <row r="537" spans="1:9" x14ac:dyDescent="0.35">
      <c r="A537" t="s">
        <v>6</v>
      </c>
      <c r="B537">
        <v>2030</v>
      </c>
      <c r="C537" t="s">
        <v>37</v>
      </c>
      <c r="D537" t="s">
        <v>52</v>
      </c>
      <c r="E537">
        <v>1.35972736283299</v>
      </c>
      <c r="F537">
        <v>1.35972736283299</v>
      </c>
      <c r="G537">
        <v>0</v>
      </c>
      <c r="H537">
        <v>0</v>
      </c>
      <c r="I537" t="s">
        <v>39</v>
      </c>
    </row>
    <row r="538" spans="1:9" x14ac:dyDescent="0.35">
      <c r="A538" t="s">
        <v>6</v>
      </c>
      <c r="B538">
        <v>2030</v>
      </c>
      <c r="C538" t="s">
        <v>37</v>
      </c>
      <c r="D538" t="s">
        <v>53</v>
      </c>
      <c r="E538">
        <v>2.92112660638684</v>
      </c>
      <c r="F538">
        <v>2.92112660638684</v>
      </c>
      <c r="G538">
        <v>0</v>
      </c>
      <c r="H538">
        <v>0</v>
      </c>
      <c r="I538" t="s">
        <v>39</v>
      </c>
    </row>
    <row r="539" spans="1:9" x14ac:dyDescent="0.35">
      <c r="A539" t="s">
        <v>6</v>
      </c>
      <c r="B539">
        <v>2030</v>
      </c>
      <c r="C539" t="s">
        <v>37</v>
      </c>
      <c r="D539" t="s">
        <v>54</v>
      </c>
      <c r="E539">
        <v>1.5455767927739601</v>
      </c>
      <c r="F539">
        <v>1.5455767927739601</v>
      </c>
      <c r="G539">
        <v>0</v>
      </c>
      <c r="H539">
        <v>0</v>
      </c>
      <c r="I539" t="s">
        <v>39</v>
      </c>
    </row>
    <row r="540" spans="1:9" x14ac:dyDescent="0.35">
      <c r="A540" t="s">
        <v>6</v>
      </c>
      <c r="B540">
        <v>2030</v>
      </c>
      <c r="C540" t="s">
        <v>37</v>
      </c>
      <c r="D540" t="s">
        <v>55</v>
      </c>
      <c r="E540">
        <v>1.4643178795015399</v>
      </c>
      <c r="F540">
        <v>1.4643178795015399</v>
      </c>
      <c r="G540">
        <v>0</v>
      </c>
      <c r="H540">
        <v>0</v>
      </c>
      <c r="I540" t="s">
        <v>39</v>
      </c>
    </row>
    <row r="541" spans="1:9" x14ac:dyDescent="0.35">
      <c r="A541" t="s">
        <v>6</v>
      </c>
      <c r="B541">
        <v>2030</v>
      </c>
      <c r="C541" t="s">
        <v>37</v>
      </c>
      <c r="D541" t="s">
        <v>56</v>
      </c>
      <c r="E541" s="1">
        <v>6.8299186763474203E-7</v>
      </c>
      <c r="F541" s="1">
        <v>6.8299186763474203E-7</v>
      </c>
      <c r="G541">
        <v>0</v>
      </c>
      <c r="H541">
        <v>0</v>
      </c>
      <c r="I541" t="s">
        <v>39</v>
      </c>
    </row>
    <row r="542" spans="1:9" x14ac:dyDescent="0.35">
      <c r="A542" t="s">
        <v>8</v>
      </c>
      <c r="B542">
        <v>2035</v>
      </c>
      <c r="C542" t="s">
        <v>37</v>
      </c>
      <c r="D542" t="s">
        <v>38</v>
      </c>
      <c r="E542">
        <v>3.6888942150285001E-3</v>
      </c>
      <c r="F542">
        <v>3.6888942150285001E-3</v>
      </c>
      <c r="G542">
        <v>0</v>
      </c>
      <c r="H542">
        <v>0</v>
      </c>
      <c r="I542" t="s">
        <v>39</v>
      </c>
    </row>
    <row r="543" spans="1:9" x14ac:dyDescent="0.35">
      <c r="A543" t="s">
        <v>8</v>
      </c>
      <c r="B543">
        <v>2035</v>
      </c>
      <c r="C543" t="s">
        <v>37</v>
      </c>
      <c r="D543" t="s">
        <v>40</v>
      </c>
      <c r="E543">
        <v>8.0278404102636402E-4</v>
      </c>
      <c r="F543">
        <v>8.0278404102636402E-4</v>
      </c>
      <c r="G543">
        <v>0</v>
      </c>
      <c r="H543">
        <v>0</v>
      </c>
      <c r="I543" t="s">
        <v>39</v>
      </c>
    </row>
    <row r="544" spans="1:9" x14ac:dyDescent="0.35">
      <c r="A544" t="s">
        <v>8</v>
      </c>
      <c r="B544">
        <v>2035</v>
      </c>
      <c r="C544" t="s">
        <v>37</v>
      </c>
      <c r="D544" t="s">
        <v>41</v>
      </c>
      <c r="E544">
        <v>0.61061627314676103</v>
      </c>
      <c r="F544">
        <v>0.61061627314676103</v>
      </c>
      <c r="G544">
        <v>0</v>
      </c>
      <c r="H544">
        <v>0</v>
      </c>
      <c r="I544" t="s">
        <v>39</v>
      </c>
    </row>
    <row r="545" spans="1:9" x14ac:dyDescent="0.35">
      <c r="A545" t="s">
        <v>8</v>
      </c>
      <c r="B545">
        <v>2035</v>
      </c>
      <c r="C545" t="s">
        <v>37</v>
      </c>
      <c r="D545" t="s">
        <v>42</v>
      </c>
      <c r="E545">
        <v>10.722874624644399</v>
      </c>
      <c r="F545">
        <v>10.722874624644399</v>
      </c>
      <c r="G545">
        <v>0</v>
      </c>
      <c r="H545">
        <v>0</v>
      </c>
      <c r="I545" t="s">
        <v>39</v>
      </c>
    </row>
    <row r="546" spans="1:9" x14ac:dyDescent="0.35">
      <c r="A546" t="s">
        <v>8</v>
      </c>
      <c r="B546">
        <v>2035</v>
      </c>
      <c r="C546" t="s">
        <v>37</v>
      </c>
      <c r="D546" t="s">
        <v>43</v>
      </c>
      <c r="E546">
        <v>6.0958864511943796E-3</v>
      </c>
      <c r="F546">
        <v>6.0958864511943796E-3</v>
      </c>
      <c r="G546">
        <v>0</v>
      </c>
      <c r="H546">
        <v>0</v>
      </c>
      <c r="I546" t="s">
        <v>39</v>
      </c>
    </row>
    <row r="547" spans="1:9" x14ac:dyDescent="0.35">
      <c r="A547" t="s">
        <v>8</v>
      </c>
      <c r="B547">
        <v>2035</v>
      </c>
      <c r="C547" t="s">
        <v>37</v>
      </c>
      <c r="D547" t="s">
        <v>136</v>
      </c>
      <c r="E547">
        <v>7.77081523728069</v>
      </c>
      <c r="F547">
        <v>7.77081523728069</v>
      </c>
      <c r="G547">
        <v>0</v>
      </c>
      <c r="H547">
        <v>0</v>
      </c>
      <c r="I547" t="s">
        <v>39</v>
      </c>
    </row>
    <row r="548" spans="1:9" x14ac:dyDescent="0.35">
      <c r="A548" t="s">
        <v>8</v>
      </c>
      <c r="B548">
        <v>2035</v>
      </c>
      <c r="C548" t="s">
        <v>37</v>
      </c>
      <c r="D548" t="s">
        <v>45</v>
      </c>
      <c r="E548">
        <v>1.4704379615207901</v>
      </c>
      <c r="F548">
        <v>1.4704379615207901</v>
      </c>
      <c r="G548">
        <v>0</v>
      </c>
      <c r="H548">
        <v>0</v>
      </c>
      <c r="I548" t="s">
        <v>39</v>
      </c>
    </row>
    <row r="549" spans="1:9" x14ac:dyDescent="0.35">
      <c r="A549" t="s">
        <v>8</v>
      </c>
      <c r="B549">
        <v>2035</v>
      </c>
      <c r="C549" t="s">
        <v>37</v>
      </c>
      <c r="D549" t="s">
        <v>46</v>
      </c>
      <c r="E549">
        <v>0.326842714883463</v>
      </c>
      <c r="F549">
        <v>0.326842714883463</v>
      </c>
      <c r="G549">
        <v>0</v>
      </c>
      <c r="H549">
        <v>0</v>
      </c>
      <c r="I549" t="s">
        <v>39</v>
      </c>
    </row>
    <row r="550" spans="1:9" x14ac:dyDescent="0.35">
      <c r="A550" t="s">
        <v>8</v>
      </c>
      <c r="B550">
        <v>2035</v>
      </c>
      <c r="C550" t="s">
        <v>37</v>
      </c>
      <c r="D550" t="s">
        <v>47</v>
      </c>
      <c r="E550">
        <v>3.58960086184069E-3</v>
      </c>
      <c r="F550">
        <v>3.58960086184069E-3</v>
      </c>
      <c r="G550">
        <v>0</v>
      </c>
      <c r="H550">
        <v>0</v>
      </c>
      <c r="I550" t="s">
        <v>39</v>
      </c>
    </row>
    <row r="551" spans="1:9" x14ac:dyDescent="0.35">
      <c r="A551" t="s">
        <v>8</v>
      </c>
      <c r="B551">
        <v>2035</v>
      </c>
      <c r="C551" t="s">
        <v>37</v>
      </c>
      <c r="D551" t="s">
        <v>48</v>
      </c>
      <c r="E551">
        <v>57.894709046266101</v>
      </c>
      <c r="F551">
        <v>57.894709046266101</v>
      </c>
      <c r="G551">
        <v>0</v>
      </c>
      <c r="H551">
        <v>0</v>
      </c>
      <c r="I551" t="s">
        <v>39</v>
      </c>
    </row>
    <row r="552" spans="1:9" x14ac:dyDescent="0.35">
      <c r="A552" t="s">
        <v>8</v>
      </c>
      <c r="B552">
        <v>2035</v>
      </c>
      <c r="C552" t="s">
        <v>37</v>
      </c>
      <c r="D552" t="s">
        <v>49</v>
      </c>
      <c r="E552">
        <v>7.2966347421660904</v>
      </c>
      <c r="F552">
        <v>7.2966347421660904</v>
      </c>
      <c r="G552">
        <v>0</v>
      </c>
      <c r="H552">
        <v>0</v>
      </c>
      <c r="I552" t="s">
        <v>39</v>
      </c>
    </row>
    <row r="553" spans="1:9" x14ac:dyDescent="0.35">
      <c r="A553" t="s">
        <v>8</v>
      </c>
      <c r="B553">
        <v>2035</v>
      </c>
      <c r="C553" t="s">
        <v>37</v>
      </c>
      <c r="D553" t="s">
        <v>50</v>
      </c>
      <c r="E553">
        <v>0.273075650277119</v>
      </c>
      <c r="F553">
        <v>0.273075650277119</v>
      </c>
      <c r="G553">
        <v>0</v>
      </c>
      <c r="H553">
        <v>0</v>
      </c>
      <c r="I553" t="s">
        <v>39</v>
      </c>
    </row>
    <row r="554" spans="1:9" x14ac:dyDescent="0.35">
      <c r="A554" t="s">
        <v>8</v>
      </c>
      <c r="B554">
        <v>2035</v>
      </c>
      <c r="C554" t="s">
        <v>37</v>
      </c>
      <c r="D554" t="s">
        <v>51</v>
      </c>
      <c r="E554">
        <v>0.18903661243011299</v>
      </c>
      <c r="F554">
        <v>0.18903661243011299</v>
      </c>
      <c r="G554">
        <v>0</v>
      </c>
      <c r="H554">
        <v>0</v>
      </c>
      <c r="I554" t="s">
        <v>39</v>
      </c>
    </row>
    <row r="555" spans="1:9" x14ac:dyDescent="0.35">
      <c r="A555" t="s">
        <v>8</v>
      </c>
      <c r="B555">
        <v>2035</v>
      </c>
      <c r="C555" t="s">
        <v>37</v>
      </c>
      <c r="D555" t="s">
        <v>52</v>
      </c>
      <c r="E555">
        <v>1.1408097459445801</v>
      </c>
      <c r="F555">
        <v>1.1408097459445801</v>
      </c>
      <c r="G555">
        <v>0</v>
      </c>
      <c r="H555">
        <v>0</v>
      </c>
      <c r="I555" t="s">
        <v>39</v>
      </c>
    </row>
    <row r="556" spans="1:9" x14ac:dyDescent="0.35">
      <c r="A556" t="s">
        <v>8</v>
      </c>
      <c r="B556">
        <v>2035</v>
      </c>
      <c r="C556" t="s">
        <v>37</v>
      </c>
      <c r="D556" t="s">
        <v>53</v>
      </c>
      <c r="E556">
        <v>2.91753714789645</v>
      </c>
      <c r="F556">
        <v>2.91753714789645</v>
      </c>
      <c r="G556">
        <v>0</v>
      </c>
      <c r="H556">
        <v>0</v>
      </c>
      <c r="I556" t="s">
        <v>39</v>
      </c>
    </row>
    <row r="557" spans="1:9" x14ac:dyDescent="0.35">
      <c r="A557" t="s">
        <v>8</v>
      </c>
      <c r="B557">
        <v>2035</v>
      </c>
      <c r="C557" t="s">
        <v>37</v>
      </c>
      <c r="D557" t="s">
        <v>54</v>
      </c>
      <c r="E557">
        <v>1.5413650348091701</v>
      </c>
      <c r="F557">
        <v>1.5413650348091701</v>
      </c>
      <c r="G557">
        <v>0</v>
      </c>
      <c r="H557">
        <v>0</v>
      </c>
      <c r="I557" t="s">
        <v>39</v>
      </c>
    </row>
    <row r="558" spans="1:9" x14ac:dyDescent="0.35">
      <c r="A558" t="s">
        <v>8</v>
      </c>
      <c r="B558">
        <v>2035</v>
      </c>
      <c r="C558" t="s">
        <v>37</v>
      </c>
      <c r="D558" t="s">
        <v>55</v>
      </c>
      <c r="E558">
        <v>1.46013233133896</v>
      </c>
      <c r="F558">
        <v>1.46013233133896</v>
      </c>
      <c r="G558">
        <v>0</v>
      </c>
      <c r="H558">
        <v>0</v>
      </c>
      <c r="I558" t="s">
        <v>39</v>
      </c>
    </row>
    <row r="559" spans="1:9" x14ac:dyDescent="0.35">
      <c r="A559" t="s">
        <v>8</v>
      </c>
      <c r="B559">
        <v>2035</v>
      </c>
      <c r="C559" t="s">
        <v>37</v>
      </c>
      <c r="D559" t="s">
        <v>56</v>
      </c>
      <c r="E559" s="1">
        <v>7.04180609727615E-7</v>
      </c>
      <c r="F559" s="1">
        <v>7.04180609727615E-7</v>
      </c>
      <c r="G559">
        <v>0</v>
      </c>
      <c r="H559">
        <v>0</v>
      </c>
      <c r="I559" t="s">
        <v>39</v>
      </c>
    </row>
    <row r="560" spans="1:9" x14ac:dyDescent="0.35">
      <c r="A560" t="s">
        <v>10</v>
      </c>
      <c r="B560">
        <v>2040</v>
      </c>
      <c r="C560" t="s">
        <v>37</v>
      </c>
      <c r="D560" t="s">
        <v>38</v>
      </c>
      <c r="E560">
        <v>3.3787028434084602E-3</v>
      </c>
      <c r="F560">
        <v>2.50348773122339E-3</v>
      </c>
      <c r="G560">
        <v>-8.7521511218507605E-4</v>
      </c>
      <c r="H560">
        <v>-25.9038794693809</v>
      </c>
      <c r="I560" t="s">
        <v>39</v>
      </c>
    </row>
    <row r="561" spans="1:9" x14ac:dyDescent="0.35">
      <c r="A561" t="s">
        <v>10</v>
      </c>
      <c r="B561">
        <v>2040</v>
      </c>
      <c r="C561" t="s">
        <v>37</v>
      </c>
      <c r="D561" t="s">
        <v>40</v>
      </c>
      <c r="E561">
        <v>7.8090875807005202E-4</v>
      </c>
      <c r="F561">
        <v>7.8090875807005202E-4</v>
      </c>
      <c r="G561">
        <v>0</v>
      </c>
      <c r="H561">
        <v>0</v>
      </c>
      <c r="I561" t="s">
        <v>39</v>
      </c>
    </row>
    <row r="562" spans="1:9" x14ac:dyDescent="0.35">
      <c r="A562" t="s">
        <v>10</v>
      </c>
      <c r="B562">
        <v>2040</v>
      </c>
      <c r="C562" t="s">
        <v>37</v>
      </c>
      <c r="D562" t="s">
        <v>41</v>
      </c>
      <c r="E562">
        <v>0.60997525258335805</v>
      </c>
      <c r="F562">
        <v>3.89755994281583E-2</v>
      </c>
      <c r="G562">
        <v>-0.57099965315519896</v>
      </c>
      <c r="H562">
        <v>-93.610298243561601</v>
      </c>
      <c r="I562" t="s">
        <v>39</v>
      </c>
    </row>
    <row r="563" spans="1:9" x14ac:dyDescent="0.35">
      <c r="A563" t="s">
        <v>10</v>
      </c>
      <c r="B563">
        <v>2040</v>
      </c>
      <c r="C563" t="s">
        <v>37</v>
      </c>
      <c r="D563" t="s">
        <v>42</v>
      </c>
      <c r="E563">
        <v>10.514577748956601</v>
      </c>
      <c r="F563">
        <v>9.1561471192729496</v>
      </c>
      <c r="G563">
        <v>-1.3584306296836499</v>
      </c>
      <c r="H563">
        <v>-12.9194976927956</v>
      </c>
      <c r="I563" t="s">
        <v>39</v>
      </c>
    </row>
    <row r="564" spans="1:9" x14ac:dyDescent="0.35">
      <c r="A564" t="s">
        <v>10</v>
      </c>
      <c r="B564">
        <v>2040</v>
      </c>
      <c r="C564" t="s">
        <v>37</v>
      </c>
      <c r="D564" t="s">
        <v>43</v>
      </c>
      <c r="E564">
        <v>5.7602778069988101E-3</v>
      </c>
      <c r="F564">
        <v>5.4768549415821202E-3</v>
      </c>
      <c r="G564">
        <v>-2.8342286541668799E-4</v>
      </c>
      <c r="H564">
        <v>-4.9202985500512701</v>
      </c>
      <c r="I564" t="s">
        <v>39</v>
      </c>
    </row>
    <row r="565" spans="1:9" x14ac:dyDescent="0.35">
      <c r="A565" t="s">
        <v>10</v>
      </c>
      <c r="B565">
        <v>2040</v>
      </c>
      <c r="C565" t="s">
        <v>37</v>
      </c>
      <c r="D565" t="s">
        <v>136</v>
      </c>
      <c r="E565">
        <v>7.5268213867714602</v>
      </c>
      <c r="F565">
        <v>7.4221613211788702</v>
      </c>
      <c r="G565">
        <v>-0.10466006559259</v>
      </c>
      <c r="H565">
        <v>-1.39049487445699</v>
      </c>
      <c r="I565" t="s">
        <v>39</v>
      </c>
    </row>
    <row r="566" spans="1:9" x14ac:dyDescent="0.35">
      <c r="A566" t="s">
        <v>10</v>
      </c>
      <c r="B566">
        <v>2040</v>
      </c>
      <c r="C566" t="s">
        <v>37</v>
      </c>
      <c r="D566" t="s">
        <v>45</v>
      </c>
      <c r="E566">
        <v>1.4689068381283299</v>
      </c>
      <c r="F566">
        <v>5.6094012591385703E-2</v>
      </c>
      <c r="G566">
        <v>-1.4128128255369401</v>
      </c>
      <c r="H566">
        <v>-96.181240965365703</v>
      </c>
      <c r="I566" t="s">
        <v>39</v>
      </c>
    </row>
    <row r="567" spans="1:9" x14ac:dyDescent="0.35">
      <c r="A567" t="s">
        <v>10</v>
      </c>
      <c r="B567">
        <v>2040</v>
      </c>
      <c r="C567" t="s">
        <v>37</v>
      </c>
      <c r="D567" t="s">
        <v>46</v>
      </c>
      <c r="E567">
        <v>0.40784710034063998</v>
      </c>
      <c r="F567">
        <v>0.40784710034063998</v>
      </c>
      <c r="G567">
        <v>0</v>
      </c>
      <c r="H567">
        <v>0</v>
      </c>
      <c r="I567" t="s">
        <v>39</v>
      </c>
    </row>
    <row r="568" spans="1:9" x14ac:dyDescent="0.35">
      <c r="A568" t="s">
        <v>10</v>
      </c>
      <c r="B568">
        <v>2040</v>
      </c>
      <c r="C568" t="s">
        <v>37</v>
      </c>
      <c r="D568" t="s">
        <v>47</v>
      </c>
      <c r="E568">
        <v>3.2807863294328E-3</v>
      </c>
      <c r="F568">
        <v>3.2807863294328E-3</v>
      </c>
      <c r="G568">
        <v>0</v>
      </c>
      <c r="H568">
        <v>0</v>
      </c>
      <c r="I568" t="s">
        <v>39</v>
      </c>
    </row>
    <row r="569" spans="1:9" x14ac:dyDescent="0.35">
      <c r="A569" t="s">
        <v>10</v>
      </c>
      <c r="B569">
        <v>2040</v>
      </c>
      <c r="C569" t="s">
        <v>37</v>
      </c>
      <c r="D569" t="s">
        <v>48</v>
      </c>
      <c r="E569">
        <v>57.898735173481697</v>
      </c>
      <c r="F569">
        <v>57.898735173481697</v>
      </c>
      <c r="G569">
        <v>0</v>
      </c>
      <c r="H569">
        <v>0</v>
      </c>
      <c r="I569" t="s">
        <v>39</v>
      </c>
    </row>
    <row r="570" spans="1:9" x14ac:dyDescent="0.35">
      <c r="A570" t="s">
        <v>10</v>
      </c>
      <c r="B570">
        <v>2040</v>
      </c>
      <c r="C570" t="s">
        <v>37</v>
      </c>
      <c r="D570" t="s">
        <v>49</v>
      </c>
      <c r="E570">
        <v>7.2927674301817103</v>
      </c>
      <c r="F570">
        <v>0.25053597035886099</v>
      </c>
      <c r="G570">
        <v>-7.0422314598228501</v>
      </c>
      <c r="H570">
        <v>-96.564596735636997</v>
      </c>
      <c r="I570" t="s">
        <v>39</v>
      </c>
    </row>
    <row r="571" spans="1:9" x14ac:dyDescent="0.35">
      <c r="A571" t="s">
        <v>10</v>
      </c>
      <c r="B571">
        <v>2040</v>
      </c>
      <c r="C571" t="s">
        <v>37</v>
      </c>
      <c r="D571" t="s">
        <v>50</v>
      </c>
      <c r="E571">
        <v>0.270704609464608</v>
      </c>
      <c r="F571">
        <v>0.270704609464608</v>
      </c>
      <c r="G571">
        <v>0</v>
      </c>
      <c r="H571">
        <v>0</v>
      </c>
      <c r="I571" t="s">
        <v>39</v>
      </c>
    </row>
    <row r="572" spans="1:9" x14ac:dyDescent="0.35">
      <c r="A572" t="s">
        <v>10</v>
      </c>
      <c r="B572">
        <v>2040</v>
      </c>
      <c r="C572" t="s">
        <v>37</v>
      </c>
      <c r="D572" t="s">
        <v>51</v>
      </c>
      <c r="E572">
        <v>0.188759970008856</v>
      </c>
      <c r="F572">
        <v>0.188759970008856</v>
      </c>
      <c r="G572">
        <v>0</v>
      </c>
      <c r="H572">
        <v>0</v>
      </c>
      <c r="I572" t="s">
        <v>39</v>
      </c>
    </row>
    <row r="573" spans="1:9" x14ac:dyDescent="0.35">
      <c r="A573" t="s">
        <v>10</v>
      </c>
      <c r="B573">
        <v>2040</v>
      </c>
      <c r="C573" t="s">
        <v>37</v>
      </c>
      <c r="D573" t="s">
        <v>52</v>
      </c>
      <c r="E573">
        <v>0.95632918261223998</v>
      </c>
      <c r="F573">
        <v>0.95632918261223998</v>
      </c>
      <c r="G573">
        <v>0</v>
      </c>
      <c r="H573">
        <v>0</v>
      </c>
      <c r="I573" t="s">
        <v>39</v>
      </c>
    </row>
    <row r="574" spans="1:9" x14ac:dyDescent="0.35">
      <c r="A574" t="s">
        <v>10</v>
      </c>
      <c r="B574">
        <v>2040</v>
      </c>
      <c r="C574" t="s">
        <v>37</v>
      </c>
      <c r="D574" t="s">
        <v>53</v>
      </c>
      <c r="E574">
        <v>2.8727985041020498</v>
      </c>
      <c r="F574">
        <v>2.8727985041020498</v>
      </c>
      <c r="G574">
        <v>0</v>
      </c>
      <c r="H574">
        <v>0</v>
      </c>
      <c r="I574" t="s">
        <v>39</v>
      </c>
    </row>
    <row r="575" spans="1:9" x14ac:dyDescent="0.35">
      <c r="A575" t="s">
        <v>10</v>
      </c>
      <c r="B575">
        <v>2040</v>
      </c>
      <c r="C575" t="s">
        <v>37</v>
      </c>
      <c r="D575" t="s">
        <v>54</v>
      </c>
      <c r="E575">
        <v>1.5379128665470001</v>
      </c>
      <c r="F575">
        <v>1.5376121099599001</v>
      </c>
      <c r="G575">
        <v>-3.0075658710204602E-4</v>
      </c>
      <c r="H575">
        <v>-1.95561526042317E-2</v>
      </c>
      <c r="I575" t="s">
        <v>39</v>
      </c>
    </row>
    <row r="576" spans="1:9" x14ac:dyDescent="0.35">
      <c r="A576" t="s">
        <v>10</v>
      </c>
      <c r="B576">
        <v>2040</v>
      </c>
      <c r="C576" t="s">
        <v>37</v>
      </c>
      <c r="D576" t="s">
        <v>55</v>
      </c>
      <c r="E576">
        <v>1.4567510673439199</v>
      </c>
      <c r="F576">
        <v>1.4246789366163699</v>
      </c>
      <c r="G576">
        <v>-3.2072130727547103E-2</v>
      </c>
      <c r="H576">
        <v>-2.2016205408398202</v>
      </c>
      <c r="I576" t="s">
        <v>39</v>
      </c>
    </row>
    <row r="577" spans="1:9" x14ac:dyDescent="0.35">
      <c r="A577" t="s">
        <v>10</v>
      </c>
      <c r="B577">
        <v>2040</v>
      </c>
      <c r="C577" t="s">
        <v>37</v>
      </c>
      <c r="D577" t="s">
        <v>56</v>
      </c>
      <c r="E577" s="1">
        <v>7.1831118440786795E-7</v>
      </c>
      <c r="F577" s="1">
        <v>7.1831118440786795E-7</v>
      </c>
      <c r="G577">
        <v>0</v>
      </c>
      <c r="H577">
        <v>0</v>
      </c>
      <c r="I577" t="s">
        <v>39</v>
      </c>
    </row>
    <row r="578" spans="1:9" x14ac:dyDescent="0.35">
      <c r="A578" t="s">
        <v>4</v>
      </c>
      <c r="B578">
        <v>2025</v>
      </c>
      <c r="C578" t="s">
        <v>125</v>
      </c>
      <c r="D578" t="s">
        <v>38</v>
      </c>
      <c r="E578">
        <v>2.26468902739509E-3</v>
      </c>
      <c r="F578">
        <v>2.26468902739509E-3</v>
      </c>
      <c r="G578">
        <v>0</v>
      </c>
      <c r="H578">
        <v>0</v>
      </c>
      <c r="I578" t="s">
        <v>126</v>
      </c>
    </row>
    <row r="579" spans="1:9" x14ac:dyDescent="0.35">
      <c r="A579" t="s">
        <v>4</v>
      </c>
      <c r="B579">
        <v>2025</v>
      </c>
      <c r="C579" t="s">
        <v>125</v>
      </c>
      <c r="D579" t="s">
        <v>40</v>
      </c>
      <c r="E579">
        <v>1.2514225229858299E-2</v>
      </c>
      <c r="F579">
        <v>1.2514225229858299E-2</v>
      </c>
      <c r="G579">
        <v>0</v>
      </c>
      <c r="H579">
        <v>0</v>
      </c>
      <c r="I579" t="s">
        <v>126</v>
      </c>
    </row>
    <row r="580" spans="1:9" x14ac:dyDescent="0.35">
      <c r="A580" t="s">
        <v>4</v>
      </c>
      <c r="B580">
        <v>2025</v>
      </c>
      <c r="C580" t="s">
        <v>125</v>
      </c>
      <c r="D580" t="s">
        <v>41</v>
      </c>
      <c r="E580">
        <v>0.16752467607526</v>
      </c>
      <c r="F580">
        <v>0.16752467607526</v>
      </c>
      <c r="G580">
        <v>0</v>
      </c>
      <c r="H580">
        <v>0</v>
      </c>
      <c r="I580" t="s">
        <v>126</v>
      </c>
    </row>
    <row r="581" spans="1:9" x14ac:dyDescent="0.35">
      <c r="A581" t="s">
        <v>4</v>
      </c>
      <c r="B581">
        <v>2025</v>
      </c>
      <c r="C581" t="s">
        <v>125</v>
      </c>
      <c r="D581" t="s">
        <v>42</v>
      </c>
      <c r="E581">
        <v>43.335154192008197</v>
      </c>
      <c r="F581">
        <v>43.335154192008197</v>
      </c>
      <c r="G581">
        <v>0</v>
      </c>
      <c r="H581">
        <v>0</v>
      </c>
      <c r="I581" t="s">
        <v>126</v>
      </c>
    </row>
    <row r="582" spans="1:9" x14ac:dyDescent="0.35">
      <c r="A582" t="s">
        <v>4</v>
      </c>
      <c r="B582">
        <v>2025</v>
      </c>
      <c r="C582" t="s">
        <v>125</v>
      </c>
      <c r="D582" t="s">
        <v>43</v>
      </c>
      <c r="E582">
        <v>5.5382343269560999E-2</v>
      </c>
      <c r="F582">
        <v>5.5382343269560999E-2</v>
      </c>
      <c r="G582">
        <v>0</v>
      </c>
      <c r="H582">
        <v>0</v>
      </c>
      <c r="I582" t="s">
        <v>126</v>
      </c>
    </row>
    <row r="583" spans="1:9" x14ac:dyDescent="0.35">
      <c r="A583" t="s">
        <v>4</v>
      </c>
      <c r="B583">
        <v>2025</v>
      </c>
      <c r="C583" t="s">
        <v>125</v>
      </c>
      <c r="D583" t="s">
        <v>136</v>
      </c>
      <c r="E583">
        <v>4.6368353917010596</v>
      </c>
      <c r="F583">
        <v>4.6368353917010596</v>
      </c>
      <c r="G583">
        <v>0</v>
      </c>
      <c r="H583">
        <v>0</v>
      </c>
      <c r="I583" t="s">
        <v>126</v>
      </c>
    </row>
    <row r="584" spans="1:9" x14ac:dyDescent="0.35">
      <c r="A584" t="s">
        <v>4</v>
      </c>
      <c r="B584">
        <v>2025</v>
      </c>
      <c r="C584" t="s">
        <v>125</v>
      </c>
      <c r="D584" t="s">
        <v>45</v>
      </c>
      <c r="E584">
        <v>5.3232114792494303E-2</v>
      </c>
      <c r="F584">
        <v>5.3232114792494303E-2</v>
      </c>
      <c r="G584">
        <v>0</v>
      </c>
      <c r="H584">
        <v>0</v>
      </c>
      <c r="I584" t="s">
        <v>126</v>
      </c>
    </row>
    <row r="585" spans="1:9" x14ac:dyDescent="0.35">
      <c r="A585" t="s">
        <v>4</v>
      </c>
      <c r="B585">
        <v>2025</v>
      </c>
      <c r="C585" t="s">
        <v>125</v>
      </c>
      <c r="D585" t="s">
        <v>46</v>
      </c>
      <c r="E585">
        <v>0.17799017539515399</v>
      </c>
      <c r="F585">
        <v>0.17799017539515399</v>
      </c>
      <c r="G585">
        <v>0</v>
      </c>
      <c r="H585">
        <v>0</v>
      </c>
      <c r="I585" t="s">
        <v>126</v>
      </c>
    </row>
    <row r="586" spans="1:9" x14ac:dyDescent="0.35">
      <c r="A586" t="s">
        <v>4</v>
      </c>
      <c r="B586">
        <v>2025</v>
      </c>
      <c r="C586" t="s">
        <v>125</v>
      </c>
      <c r="D586" t="s">
        <v>47</v>
      </c>
      <c r="E586">
        <v>1.0036842975785901E-2</v>
      </c>
      <c r="F586">
        <v>1.0036842975785901E-2</v>
      </c>
      <c r="G586">
        <v>0</v>
      </c>
      <c r="H586">
        <v>0</v>
      </c>
      <c r="I586" t="s">
        <v>126</v>
      </c>
    </row>
    <row r="587" spans="1:9" x14ac:dyDescent="0.35">
      <c r="A587" t="s">
        <v>4</v>
      </c>
      <c r="B587">
        <v>2025</v>
      </c>
      <c r="C587" t="s">
        <v>125</v>
      </c>
      <c r="D587" t="s">
        <v>48</v>
      </c>
      <c r="E587">
        <v>19.6149691216844</v>
      </c>
      <c r="F587">
        <v>19.6149691216844</v>
      </c>
      <c r="G587">
        <v>0</v>
      </c>
      <c r="H587">
        <v>0</v>
      </c>
      <c r="I587" t="s">
        <v>126</v>
      </c>
    </row>
    <row r="588" spans="1:9" x14ac:dyDescent="0.35">
      <c r="A588" t="s">
        <v>4</v>
      </c>
      <c r="B588">
        <v>2025</v>
      </c>
      <c r="C588" t="s">
        <v>125</v>
      </c>
      <c r="D588" t="s">
        <v>49</v>
      </c>
      <c r="E588">
        <v>0.19294627098929601</v>
      </c>
      <c r="F588">
        <v>0.19294627098929601</v>
      </c>
      <c r="G588">
        <v>0</v>
      </c>
      <c r="H588">
        <v>0</v>
      </c>
      <c r="I588" t="s">
        <v>126</v>
      </c>
    </row>
    <row r="589" spans="1:9" x14ac:dyDescent="0.35">
      <c r="A589" t="s">
        <v>4</v>
      </c>
      <c r="B589">
        <v>2025</v>
      </c>
      <c r="C589" t="s">
        <v>125</v>
      </c>
      <c r="D589" t="s">
        <v>50</v>
      </c>
      <c r="E589">
        <v>8.7027139595204597E-2</v>
      </c>
      <c r="F589">
        <v>8.7027139595204597E-2</v>
      </c>
      <c r="G589">
        <v>0</v>
      </c>
      <c r="H589">
        <v>0</v>
      </c>
      <c r="I589" t="s">
        <v>126</v>
      </c>
    </row>
    <row r="590" spans="1:9" x14ac:dyDescent="0.35">
      <c r="A590" t="s">
        <v>4</v>
      </c>
      <c r="B590">
        <v>2025</v>
      </c>
      <c r="C590" t="s">
        <v>125</v>
      </c>
      <c r="D590" t="s">
        <v>51</v>
      </c>
      <c r="E590">
        <v>0.33175343673847402</v>
      </c>
      <c r="F590">
        <v>0.33175343673847402</v>
      </c>
      <c r="G590">
        <v>0</v>
      </c>
      <c r="H590">
        <v>0</v>
      </c>
      <c r="I590" t="s">
        <v>126</v>
      </c>
    </row>
    <row r="591" spans="1:9" x14ac:dyDescent="0.35">
      <c r="A591" t="s">
        <v>4</v>
      </c>
      <c r="B591">
        <v>2025</v>
      </c>
      <c r="C591" t="s">
        <v>125</v>
      </c>
      <c r="D591" t="s">
        <v>52</v>
      </c>
      <c r="E591">
        <v>0.21808980526791699</v>
      </c>
      <c r="F591">
        <v>0.21808980526791699</v>
      </c>
      <c r="G591">
        <v>0</v>
      </c>
      <c r="H591">
        <v>0</v>
      </c>
      <c r="I591" t="s">
        <v>126</v>
      </c>
    </row>
    <row r="592" spans="1:9" x14ac:dyDescent="0.35">
      <c r="A592" t="s">
        <v>4</v>
      </c>
      <c r="B592">
        <v>2025</v>
      </c>
      <c r="C592" t="s">
        <v>125</v>
      </c>
      <c r="D592" t="s">
        <v>53</v>
      </c>
      <c r="E592">
        <v>1.3696818913062501</v>
      </c>
      <c r="F592">
        <v>1.3696818913062501</v>
      </c>
      <c r="G592">
        <v>0</v>
      </c>
      <c r="H592">
        <v>0</v>
      </c>
      <c r="I592" t="s">
        <v>126</v>
      </c>
    </row>
    <row r="593" spans="1:9" x14ac:dyDescent="0.35">
      <c r="A593" t="s">
        <v>4</v>
      </c>
      <c r="B593">
        <v>2025</v>
      </c>
      <c r="C593" t="s">
        <v>125</v>
      </c>
      <c r="D593" t="s">
        <v>54</v>
      </c>
      <c r="E593">
        <v>3.4611004333859801</v>
      </c>
      <c r="F593">
        <v>3.4611004333859801</v>
      </c>
      <c r="G593">
        <v>0</v>
      </c>
      <c r="H593">
        <v>0</v>
      </c>
      <c r="I593" t="s">
        <v>126</v>
      </c>
    </row>
    <row r="594" spans="1:9" x14ac:dyDescent="0.35">
      <c r="A594" t="s">
        <v>4</v>
      </c>
      <c r="B594">
        <v>2025</v>
      </c>
      <c r="C594" t="s">
        <v>125</v>
      </c>
      <c r="D594" t="s">
        <v>55</v>
      </c>
      <c r="E594">
        <v>2.9958942993318902</v>
      </c>
      <c r="F594">
        <v>2.9958942993318902</v>
      </c>
      <c r="G594">
        <v>0</v>
      </c>
      <c r="H594">
        <v>0</v>
      </c>
      <c r="I594" t="s">
        <v>126</v>
      </c>
    </row>
    <row r="595" spans="1:9" x14ac:dyDescent="0.35">
      <c r="A595" t="s">
        <v>4</v>
      </c>
      <c r="B595">
        <v>2025</v>
      </c>
      <c r="C595" t="s">
        <v>125</v>
      </c>
      <c r="D595" t="s">
        <v>56</v>
      </c>
      <c r="E595" s="1">
        <v>2.9485820192039502E-7</v>
      </c>
      <c r="F595" s="1">
        <v>2.9485820192039502E-7</v>
      </c>
      <c r="G595">
        <v>0</v>
      </c>
      <c r="H595">
        <v>0</v>
      </c>
      <c r="I595" t="s">
        <v>126</v>
      </c>
    </row>
    <row r="596" spans="1:9" x14ac:dyDescent="0.35">
      <c r="A596" t="s">
        <v>6</v>
      </c>
      <c r="B596">
        <v>2030</v>
      </c>
      <c r="C596" t="s">
        <v>125</v>
      </c>
      <c r="D596" t="s">
        <v>38</v>
      </c>
      <c r="E596">
        <v>2.3169268711799099E-3</v>
      </c>
      <c r="F596">
        <v>2.3169268711799099E-3</v>
      </c>
      <c r="G596">
        <v>0</v>
      </c>
      <c r="H596">
        <v>0</v>
      </c>
      <c r="I596" t="s">
        <v>126</v>
      </c>
    </row>
    <row r="597" spans="1:9" x14ac:dyDescent="0.35">
      <c r="A597" t="s">
        <v>6</v>
      </c>
      <c r="B597">
        <v>2030</v>
      </c>
      <c r="C597" t="s">
        <v>125</v>
      </c>
      <c r="D597" t="s">
        <v>40</v>
      </c>
      <c r="E597">
        <v>1.2575196939099901E-2</v>
      </c>
      <c r="F597">
        <v>1.2575196939099901E-2</v>
      </c>
      <c r="G597">
        <v>0</v>
      </c>
      <c r="H597">
        <v>0</v>
      </c>
      <c r="I597" t="s">
        <v>126</v>
      </c>
    </row>
    <row r="598" spans="1:9" x14ac:dyDescent="0.35">
      <c r="A598" t="s">
        <v>6</v>
      </c>
      <c r="B598">
        <v>2030</v>
      </c>
      <c r="C598" t="s">
        <v>125</v>
      </c>
      <c r="D598" t="s">
        <v>41</v>
      </c>
      <c r="E598">
        <v>0.16580810381505301</v>
      </c>
      <c r="F598">
        <v>0.16580810381505301</v>
      </c>
      <c r="G598">
        <v>0</v>
      </c>
      <c r="H598">
        <v>0</v>
      </c>
      <c r="I598" t="s">
        <v>126</v>
      </c>
    </row>
    <row r="599" spans="1:9" x14ac:dyDescent="0.35">
      <c r="A599" t="s">
        <v>6</v>
      </c>
      <c r="B599">
        <v>2030</v>
      </c>
      <c r="C599" t="s">
        <v>125</v>
      </c>
      <c r="D599" t="s">
        <v>42</v>
      </c>
      <c r="E599">
        <v>43.0150048594952</v>
      </c>
      <c r="F599">
        <v>43.0150048594952</v>
      </c>
      <c r="G599">
        <v>0</v>
      </c>
      <c r="H599">
        <v>0</v>
      </c>
      <c r="I599" t="s">
        <v>126</v>
      </c>
    </row>
    <row r="600" spans="1:9" x14ac:dyDescent="0.35">
      <c r="A600" t="s">
        <v>6</v>
      </c>
      <c r="B600">
        <v>2030</v>
      </c>
      <c r="C600" t="s">
        <v>125</v>
      </c>
      <c r="D600" t="s">
        <v>43</v>
      </c>
      <c r="E600">
        <v>5.4694516927718997E-2</v>
      </c>
      <c r="F600">
        <v>5.4694516927718997E-2</v>
      </c>
      <c r="G600">
        <v>0</v>
      </c>
      <c r="H600">
        <v>0</v>
      </c>
      <c r="I600" t="s">
        <v>126</v>
      </c>
    </row>
    <row r="601" spans="1:9" x14ac:dyDescent="0.35">
      <c r="A601" t="s">
        <v>6</v>
      </c>
      <c r="B601">
        <v>2030</v>
      </c>
      <c r="C601" t="s">
        <v>125</v>
      </c>
      <c r="D601" t="s">
        <v>136</v>
      </c>
      <c r="E601">
        <v>3.9592449764225899</v>
      </c>
      <c r="F601">
        <v>3.9592449764225899</v>
      </c>
      <c r="G601">
        <v>0</v>
      </c>
      <c r="H601">
        <v>0</v>
      </c>
      <c r="I601" t="s">
        <v>126</v>
      </c>
    </row>
    <row r="602" spans="1:9" x14ac:dyDescent="0.35">
      <c r="A602" t="s">
        <v>6</v>
      </c>
      <c r="B602">
        <v>2030</v>
      </c>
      <c r="C602" t="s">
        <v>125</v>
      </c>
      <c r="D602" t="s">
        <v>45</v>
      </c>
      <c r="E602">
        <v>5.1563879330735397E-2</v>
      </c>
      <c r="F602">
        <v>5.1563879330735397E-2</v>
      </c>
      <c r="G602">
        <v>0</v>
      </c>
      <c r="H602">
        <v>0</v>
      </c>
      <c r="I602" t="s">
        <v>126</v>
      </c>
    </row>
    <row r="603" spans="1:9" x14ac:dyDescent="0.35">
      <c r="A603" t="s">
        <v>6</v>
      </c>
      <c r="B603">
        <v>2030</v>
      </c>
      <c r="C603" t="s">
        <v>125</v>
      </c>
      <c r="D603" t="s">
        <v>46</v>
      </c>
      <c r="E603">
        <v>0.19472146789516301</v>
      </c>
      <c r="F603">
        <v>0.19472146789516301</v>
      </c>
      <c r="G603">
        <v>0</v>
      </c>
      <c r="H603">
        <v>0</v>
      </c>
      <c r="I603" t="s">
        <v>126</v>
      </c>
    </row>
    <row r="604" spans="1:9" x14ac:dyDescent="0.35">
      <c r="A604" t="s">
        <v>6</v>
      </c>
      <c r="B604">
        <v>2030</v>
      </c>
      <c r="C604" t="s">
        <v>125</v>
      </c>
      <c r="D604" t="s">
        <v>47</v>
      </c>
      <c r="E604">
        <v>9.6048717716592704E-3</v>
      </c>
      <c r="F604">
        <v>9.6048717716592704E-3</v>
      </c>
      <c r="G604">
        <v>0</v>
      </c>
      <c r="H604">
        <v>0</v>
      </c>
      <c r="I604" t="s">
        <v>126</v>
      </c>
    </row>
    <row r="605" spans="1:9" x14ac:dyDescent="0.35">
      <c r="A605" t="s">
        <v>6</v>
      </c>
      <c r="B605">
        <v>2030</v>
      </c>
      <c r="C605" t="s">
        <v>125</v>
      </c>
      <c r="D605" t="s">
        <v>48</v>
      </c>
      <c r="E605">
        <v>19.618474502681899</v>
      </c>
      <c r="F605">
        <v>19.618474502681899</v>
      </c>
      <c r="G605">
        <v>0</v>
      </c>
      <c r="H605">
        <v>0</v>
      </c>
      <c r="I605" t="s">
        <v>126</v>
      </c>
    </row>
    <row r="606" spans="1:9" x14ac:dyDescent="0.35">
      <c r="A606" t="s">
        <v>6</v>
      </c>
      <c r="B606">
        <v>2030</v>
      </c>
      <c r="C606" t="s">
        <v>125</v>
      </c>
      <c r="D606" t="s">
        <v>49</v>
      </c>
      <c r="E606">
        <v>0.186472008236058</v>
      </c>
      <c r="F606">
        <v>0.186472008236058</v>
      </c>
      <c r="G606">
        <v>0</v>
      </c>
      <c r="H606">
        <v>0</v>
      </c>
      <c r="I606" t="s">
        <v>126</v>
      </c>
    </row>
    <row r="607" spans="1:9" x14ac:dyDescent="0.35">
      <c r="A607" t="s">
        <v>6</v>
      </c>
      <c r="B607">
        <v>2030</v>
      </c>
      <c r="C607" t="s">
        <v>125</v>
      </c>
      <c r="D607" t="s">
        <v>50</v>
      </c>
      <c r="E607">
        <v>8.5916454376548601E-2</v>
      </c>
      <c r="F607">
        <v>8.5916454376548601E-2</v>
      </c>
      <c r="G607">
        <v>0</v>
      </c>
      <c r="H607">
        <v>0</v>
      </c>
      <c r="I607" t="s">
        <v>126</v>
      </c>
    </row>
    <row r="608" spans="1:9" x14ac:dyDescent="0.35">
      <c r="A608" t="s">
        <v>6</v>
      </c>
      <c r="B608">
        <v>2030</v>
      </c>
      <c r="C608" t="s">
        <v>125</v>
      </c>
      <c r="D608" t="s">
        <v>51</v>
      </c>
      <c r="E608">
        <v>0.33083182975676501</v>
      </c>
      <c r="F608">
        <v>0.33083182975676501</v>
      </c>
      <c r="G608">
        <v>0</v>
      </c>
      <c r="H608">
        <v>0</v>
      </c>
      <c r="I608" t="s">
        <v>126</v>
      </c>
    </row>
    <row r="609" spans="1:9" x14ac:dyDescent="0.35">
      <c r="A609" t="s">
        <v>6</v>
      </c>
      <c r="B609">
        <v>2030</v>
      </c>
      <c r="C609" t="s">
        <v>125</v>
      </c>
      <c r="D609" t="s">
        <v>52</v>
      </c>
      <c r="E609">
        <v>0.189344544204682</v>
      </c>
      <c r="F609">
        <v>0.189344544204682</v>
      </c>
      <c r="G609">
        <v>0</v>
      </c>
      <c r="H609">
        <v>0</v>
      </c>
      <c r="I609" t="s">
        <v>126</v>
      </c>
    </row>
    <row r="610" spans="1:9" x14ac:dyDescent="0.35">
      <c r="A610" t="s">
        <v>6</v>
      </c>
      <c r="B610">
        <v>2030</v>
      </c>
      <c r="C610" t="s">
        <v>125</v>
      </c>
      <c r="D610" t="s">
        <v>53</v>
      </c>
      <c r="E610">
        <v>1.2409859986419001</v>
      </c>
      <c r="F610">
        <v>1.2409859986419001</v>
      </c>
      <c r="G610">
        <v>0</v>
      </c>
      <c r="H610">
        <v>0</v>
      </c>
      <c r="I610" t="s">
        <v>126</v>
      </c>
    </row>
    <row r="611" spans="1:9" x14ac:dyDescent="0.35">
      <c r="A611" t="s">
        <v>6</v>
      </c>
      <c r="B611">
        <v>2030</v>
      </c>
      <c r="C611" t="s">
        <v>125</v>
      </c>
      <c r="D611" t="s">
        <v>54</v>
      </c>
      <c r="E611">
        <v>3.4570740230516499</v>
      </c>
      <c r="F611">
        <v>3.4570740230516499</v>
      </c>
      <c r="G611">
        <v>0</v>
      </c>
      <c r="H611">
        <v>0</v>
      </c>
      <c r="I611" t="s">
        <v>126</v>
      </c>
    </row>
    <row r="612" spans="1:9" x14ac:dyDescent="0.35">
      <c r="A612" t="s">
        <v>6</v>
      </c>
      <c r="B612">
        <v>2030</v>
      </c>
      <c r="C612" t="s">
        <v>125</v>
      </c>
      <c r="D612" t="s">
        <v>55</v>
      </c>
      <c r="E612">
        <v>2.9913042008989899</v>
      </c>
      <c r="F612">
        <v>2.9913042008989899</v>
      </c>
      <c r="G612">
        <v>0</v>
      </c>
      <c r="H612">
        <v>0</v>
      </c>
      <c r="I612" t="s">
        <v>126</v>
      </c>
    </row>
    <row r="613" spans="1:9" x14ac:dyDescent="0.35">
      <c r="A613" t="s">
        <v>6</v>
      </c>
      <c r="B613">
        <v>2030</v>
      </c>
      <c r="C613" t="s">
        <v>125</v>
      </c>
      <c r="D613" t="s">
        <v>56</v>
      </c>
      <c r="E613" s="1">
        <v>2.9850953651083398E-7</v>
      </c>
      <c r="F613" s="1">
        <v>2.9850953651083398E-7</v>
      </c>
      <c r="G613">
        <v>0</v>
      </c>
      <c r="H613">
        <v>0</v>
      </c>
      <c r="I613" t="s">
        <v>126</v>
      </c>
    </row>
    <row r="614" spans="1:9" x14ac:dyDescent="0.35">
      <c r="A614" t="s">
        <v>8</v>
      </c>
      <c r="B614">
        <v>2035</v>
      </c>
      <c r="C614" t="s">
        <v>125</v>
      </c>
      <c r="D614" t="s">
        <v>38</v>
      </c>
      <c r="E614">
        <v>2.3040377604967698E-3</v>
      </c>
      <c r="F614">
        <v>2.3040377604967698E-3</v>
      </c>
      <c r="G614">
        <v>0</v>
      </c>
      <c r="H614">
        <v>0</v>
      </c>
      <c r="I614" t="s">
        <v>126</v>
      </c>
    </row>
    <row r="615" spans="1:9" x14ac:dyDescent="0.35">
      <c r="A615" t="s">
        <v>8</v>
      </c>
      <c r="B615">
        <v>2035</v>
      </c>
      <c r="C615" t="s">
        <v>125</v>
      </c>
      <c r="D615" t="s">
        <v>40</v>
      </c>
      <c r="E615">
        <v>1.2554797670100801E-2</v>
      </c>
      <c r="F615">
        <v>1.2554797670100801E-2</v>
      </c>
      <c r="G615">
        <v>0</v>
      </c>
      <c r="H615">
        <v>0</v>
      </c>
      <c r="I615" t="s">
        <v>126</v>
      </c>
    </row>
    <row r="616" spans="1:9" x14ac:dyDescent="0.35">
      <c r="A616" t="s">
        <v>8</v>
      </c>
      <c r="B616">
        <v>2035</v>
      </c>
      <c r="C616" t="s">
        <v>125</v>
      </c>
      <c r="D616" t="s">
        <v>41</v>
      </c>
      <c r="E616">
        <v>0.16444071470204299</v>
      </c>
      <c r="F616">
        <v>0.16444071470204299</v>
      </c>
      <c r="G616">
        <v>0</v>
      </c>
      <c r="H616">
        <v>0</v>
      </c>
      <c r="I616" t="s">
        <v>126</v>
      </c>
    </row>
    <row r="617" spans="1:9" x14ac:dyDescent="0.35">
      <c r="A617" t="s">
        <v>8</v>
      </c>
      <c r="B617">
        <v>2035</v>
      </c>
      <c r="C617" t="s">
        <v>125</v>
      </c>
      <c r="D617" t="s">
        <v>42</v>
      </c>
      <c r="E617">
        <v>42.813802262871498</v>
      </c>
      <c r="F617">
        <v>42.813802262871498</v>
      </c>
      <c r="G617">
        <v>0</v>
      </c>
      <c r="H617">
        <v>0</v>
      </c>
      <c r="I617" t="s">
        <v>126</v>
      </c>
    </row>
    <row r="618" spans="1:9" x14ac:dyDescent="0.35">
      <c r="A618" t="s">
        <v>8</v>
      </c>
      <c r="B618">
        <v>2035</v>
      </c>
      <c r="C618" t="s">
        <v>125</v>
      </c>
      <c r="D618" t="s">
        <v>43</v>
      </c>
      <c r="E618">
        <v>5.41887284089074E-2</v>
      </c>
      <c r="F618">
        <v>5.41887284089074E-2</v>
      </c>
      <c r="G618">
        <v>0</v>
      </c>
      <c r="H618">
        <v>0</v>
      </c>
      <c r="I618" t="s">
        <v>126</v>
      </c>
    </row>
    <row r="619" spans="1:9" x14ac:dyDescent="0.35">
      <c r="A619" t="s">
        <v>8</v>
      </c>
      <c r="B619">
        <v>2035</v>
      </c>
      <c r="C619" t="s">
        <v>125</v>
      </c>
      <c r="D619" t="s">
        <v>136</v>
      </c>
      <c r="E619">
        <v>3.4574316924681101</v>
      </c>
      <c r="F619">
        <v>3.4574316924681101</v>
      </c>
      <c r="G619">
        <v>0</v>
      </c>
      <c r="H619">
        <v>0</v>
      </c>
      <c r="I619" t="s">
        <v>126</v>
      </c>
    </row>
    <row r="620" spans="1:9" x14ac:dyDescent="0.35">
      <c r="A620" t="s">
        <v>8</v>
      </c>
      <c r="B620">
        <v>2035</v>
      </c>
      <c r="C620" t="s">
        <v>125</v>
      </c>
      <c r="D620" t="s">
        <v>45</v>
      </c>
      <c r="E620">
        <v>5.0463370198289399E-2</v>
      </c>
      <c r="F620">
        <v>5.0463370198289399E-2</v>
      </c>
      <c r="G620">
        <v>0</v>
      </c>
      <c r="H620">
        <v>0</v>
      </c>
      <c r="I620" t="s">
        <v>126</v>
      </c>
    </row>
    <row r="621" spans="1:9" x14ac:dyDescent="0.35">
      <c r="A621" t="s">
        <v>8</v>
      </c>
      <c r="B621">
        <v>2035</v>
      </c>
      <c r="C621" t="s">
        <v>125</v>
      </c>
      <c r="D621" t="s">
        <v>46</v>
      </c>
      <c r="E621">
        <v>0.25387371286698102</v>
      </c>
      <c r="F621">
        <v>0.25387371286698102</v>
      </c>
      <c r="G621">
        <v>0</v>
      </c>
      <c r="H621">
        <v>0</v>
      </c>
      <c r="I621" t="s">
        <v>126</v>
      </c>
    </row>
    <row r="622" spans="1:9" x14ac:dyDescent="0.35">
      <c r="A622" t="s">
        <v>8</v>
      </c>
      <c r="B622">
        <v>2035</v>
      </c>
      <c r="C622" t="s">
        <v>125</v>
      </c>
      <c r="D622" t="s">
        <v>47</v>
      </c>
      <c r="E622">
        <v>9.3248167321247095E-3</v>
      </c>
      <c r="F622">
        <v>9.3248167321247095E-3</v>
      </c>
      <c r="G622">
        <v>0</v>
      </c>
      <c r="H622">
        <v>0</v>
      </c>
      <c r="I622" t="s">
        <v>126</v>
      </c>
    </row>
    <row r="623" spans="1:9" x14ac:dyDescent="0.35">
      <c r="A623" t="s">
        <v>8</v>
      </c>
      <c r="B623">
        <v>2035</v>
      </c>
      <c r="C623" t="s">
        <v>125</v>
      </c>
      <c r="D623" t="s">
        <v>48</v>
      </c>
      <c r="E623">
        <v>19.622961542655901</v>
      </c>
      <c r="F623">
        <v>19.622961542655901</v>
      </c>
      <c r="G623">
        <v>0</v>
      </c>
      <c r="H623">
        <v>0</v>
      </c>
      <c r="I623" t="s">
        <v>126</v>
      </c>
    </row>
    <row r="624" spans="1:9" x14ac:dyDescent="0.35">
      <c r="A624" t="s">
        <v>8</v>
      </c>
      <c r="B624">
        <v>2035</v>
      </c>
      <c r="C624" t="s">
        <v>125</v>
      </c>
      <c r="D624" t="s">
        <v>49</v>
      </c>
      <c r="E624">
        <v>0.182200387073151</v>
      </c>
      <c r="F624">
        <v>0.182200387073151</v>
      </c>
      <c r="G624">
        <v>0</v>
      </c>
      <c r="H624">
        <v>0</v>
      </c>
      <c r="I624" t="s">
        <v>126</v>
      </c>
    </row>
    <row r="625" spans="1:9" x14ac:dyDescent="0.35">
      <c r="A625" t="s">
        <v>8</v>
      </c>
      <c r="B625">
        <v>2035</v>
      </c>
      <c r="C625" t="s">
        <v>125</v>
      </c>
      <c r="D625" t="s">
        <v>50</v>
      </c>
      <c r="E625">
        <v>8.4745149364998107E-2</v>
      </c>
      <c r="F625">
        <v>8.4745149364998107E-2</v>
      </c>
      <c r="G625">
        <v>0</v>
      </c>
      <c r="H625">
        <v>0</v>
      </c>
      <c r="I625" t="s">
        <v>126</v>
      </c>
    </row>
    <row r="626" spans="1:9" x14ac:dyDescent="0.35">
      <c r="A626" t="s">
        <v>8</v>
      </c>
      <c r="B626">
        <v>2035</v>
      </c>
      <c r="C626" t="s">
        <v>125</v>
      </c>
      <c r="D626" t="s">
        <v>51</v>
      </c>
      <c r="E626">
        <v>0.33430009156584301</v>
      </c>
      <c r="F626">
        <v>0.33430009156584301</v>
      </c>
      <c r="G626">
        <v>0</v>
      </c>
      <c r="H626">
        <v>0</v>
      </c>
      <c r="I626" t="s">
        <v>126</v>
      </c>
    </row>
    <row r="627" spans="1:9" x14ac:dyDescent="0.35">
      <c r="A627" t="s">
        <v>8</v>
      </c>
      <c r="B627">
        <v>2035</v>
      </c>
      <c r="C627" t="s">
        <v>125</v>
      </c>
      <c r="D627" t="s">
        <v>52</v>
      </c>
      <c r="E627">
        <v>0.161957429189657</v>
      </c>
      <c r="F627">
        <v>0.161957429189657</v>
      </c>
      <c r="G627">
        <v>0</v>
      </c>
      <c r="H627">
        <v>0</v>
      </c>
      <c r="I627" t="s">
        <v>126</v>
      </c>
    </row>
    <row r="628" spans="1:9" x14ac:dyDescent="0.35">
      <c r="A628" t="s">
        <v>8</v>
      </c>
      <c r="B628">
        <v>2035</v>
      </c>
      <c r="C628" t="s">
        <v>125</v>
      </c>
      <c r="D628" t="s">
        <v>53</v>
      </c>
      <c r="E628">
        <v>1.12443531554694</v>
      </c>
      <c r="F628">
        <v>1.12443531554694</v>
      </c>
      <c r="G628">
        <v>0</v>
      </c>
      <c r="H628">
        <v>0</v>
      </c>
      <c r="I628" t="s">
        <v>126</v>
      </c>
    </row>
    <row r="629" spans="1:9" x14ac:dyDescent="0.35">
      <c r="A629" t="s">
        <v>8</v>
      </c>
      <c r="B629">
        <v>2035</v>
      </c>
      <c r="C629" t="s">
        <v>125</v>
      </c>
      <c r="D629" t="s">
        <v>54</v>
      </c>
      <c r="E629">
        <v>3.4556218994146501</v>
      </c>
      <c r="F629">
        <v>3.4556218994146501</v>
      </c>
      <c r="G629">
        <v>0</v>
      </c>
      <c r="H629">
        <v>0</v>
      </c>
      <c r="I629" t="s">
        <v>126</v>
      </c>
    </row>
    <row r="630" spans="1:9" x14ac:dyDescent="0.35">
      <c r="A630" t="s">
        <v>8</v>
      </c>
      <c r="B630">
        <v>2035</v>
      </c>
      <c r="C630" t="s">
        <v>125</v>
      </c>
      <c r="D630" t="s">
        <v>55</v>
      </c>
      <c r="E630">
        <v>2.98943810736617</v>
      </c>
      <c r="F630">
        <v>2.98943810736617</v>
      </c>
      <c r="G630">
        <v>0</v>
      </c>
      <c r="H630">
        <v>0</v>
      </c>
      <c r="I630" t="s">
        <v>126</v>
      </c>
    </row>
    <row r="631" spans="1:9" x14ac:dyDescent="0.35">
      <c r="A631" t="s">
        <v>8</v>
      </c>
      <c r="B631">
        <v>2035</v>
      </c>
      <c r="C631" t="s">
        <v>125</v>
      </c>
      <c r="D631" t="s">
        <v>56</v>
      </c>
      <c r="E631" s="1">
        <v>2.9257232893611599E-7</v>
      </c>
      <c r="F631" s="1">
        <v>2.9257232893611599E-7</v>
      </c>
      <c r="G631">
        <v>0</v>
      </c>
      <c r="H631">
        <v>0</v>
      </c>
      <c r="I631" t="s">
        <v>126</v>
      </c>
    </row>
    <row r="632" spans="1:9" x14ac:dyDescent="0.35">
      <c r="A632" t="s">
        <v>10</v>
      </c>
      <c r="B632">
        <v>2040</v>
      </c>
      <c r="C632" t="s">
        <v>125</v>
      </c>
      <c r="D632" t="s">
        <v>38</v>
      </c>
      <c r="E632">
        <v>2.0187356624786902E-3</v>
      </c>
      <c r="F632">
        <v>1.9680188148450801E-3</v>
      </c>
      <c r="G632" s="1">
        <v>-5.0716847633607503E-5</v>
      </c>
      <c r="H632">
        <v>-2.51230750891551</v>
      </c>
      <c r="I632" t="s">
        <v>126</v>
      </c>
    </row>
    <row r="633" spans="1:9" x14ac:dyDescent="0.35">
      <c r="A633" t="s">
        <v>10</v>
      </c>
      <c r="B633">
        <v>2040</v>
      </c>
      <c r="C633" t="s">
        <v>125</v>
      </c>
      <c r="D633" t="s">
        <v>40</v>
      </c>
      <c r="E633">
        <v>1.24546159688946E-2</v>
      </c>
      <c r="F633">
        <v>1.24546159688946E-2</v>
      </c>
      <c r="G633">
        <v>0</v>
      </c>
      <c r="H633">
        <v>0</v>
      </c>
      <c r="I633" t="s">
        <v>126</v>
      </c>
    </row>
    <row r="634" spans="1:9" x14ac:dyDescent="0.35">
      <c r="A634" t="s">
        <v>10</v>
      </c>
      <c r="B634">
        <v>2040</v>
      </c>
      <c r="C634" t="s">
        <v>125</v>
      </c>
      <c r="D634" t="s">
        <v>41</v>
      </c>
      <c r="E634">
        <v>0.163389609338253</v>
      </c>
      <c r="F634">
        <v>0.159955695311471</v>
      </c>
      <c r="G634">
        <v>-3.4339140267821101E-3</v>
      </c>
      <c r="H634">
        <v>-2.1016722181354499</v>
      </c>
      <c r="I634" t="s">
        <v>126</v>
      </c>
    </row>
    <row r="635" spans="1:9" x14ac:dyDescent="0.35">
      <c r="A635" t="s">
        <v>10</v>
      </c>
      <c r="B635">
        <v>2040</v>
      </c>
      <c r="C635" t="s">
        <v>125</v>
      </c>
      <c r="D635" t="s">
        <v>42</v>
      </c>
      <c r="E635">
        <v>42.7206480131685</v>
      </c>
      <c r="F635">
        <v>42.6969103428412</v>
      </c>
      <c r="G635">
        <v>-2.37376703272076E-2</v>
      </c>
      <c r="H635">
        <v>-5.5564864839808999E-2</v>
      </c>
      <c r="I635" t="s">
        <v>126</v>
      </c>
    </row>
    <row r="636" spans="1:9" x14ac:dyDescent="0.35">
      <c r="A636" t="s">
        <v>10</v>
      </c>
      <c r="B636">
        <v>2040</v>
      </c>
      <c r="C636" t="s">
        <v>125</v>
      </c>
      <c r="D636" t="s">
        <v>43</v>
      </c>
      <c r="E636">
        <v>5.3841720304042502E-2</v>
      </c>
      <c r="F636">
        <v>5.3841675485100098E-2</v>
      </c>
      <c r="G636" s="1">
        <v>-4.4818942473989698E-8</v>
      </c>
      <c r="H636" s="1">
        <v>-8.3242032797055003E-5</v>
      </c>
      <c r="I636" t="s">
        <v>126</v>
      </c>
    </row>
    <row r="637" spans="1:9" x14ac:dyDescent="0.35">
      <c r="A637" t="s">
        <v>10</v>
      </c>
      <c r="B637">
        <v>2040</v>
      </c>
      <c r="C637" t="s">
        <v>125</v>
      </c>
      <c r="D637" t="s">
        <v>136</v>
      </c>
      <c r="E637">
        <v>3.0841167879551499</v>
      </c>
      <c r="F637">
        <v>3.08371210244536</v>
      </c>
      <c r="G637">
        <v>-4.04685509794333E-4</v>
      </c>
      <c r="H637">
        <v>-1.3121601340611E-2</v>
      </c>
      <c r="I637" t="s">
        <v>126</v>
      </c>
    </row>
    <row r="638" spans="1:9" x14ac:dyDescent="0.35">
      <c r="A638" t="s">
        <v>10</v>
      </c>
      <c r="B638">
        <v>2040</v>
      </c>
      <c r="C638" t="s">
        <v>125</v>
      </c>
      <c r="D638" t="s">
        <v>45</v>
      </c>
      <c r="E638">
        <v>4.9878366308301197E-2</v>
      </c>
      <c r="F638">
        <v>4.1392551228936099E-2</v>
      </c>
      <c r="G638">
        <v>-8.4858150793651298E-3</v>
      </c>
      <c r="H638">
        <v>-17.013017280705899</v>
      </c>
      <c r="I638" t="s">
        <v>126</v>
      </c>
    </row>
    <row r="639" spans="1:9" x14ac:dyDescent="0.35">
      <c r="A639" t="s">
        <v>10</v>
      </c>
      <c r="B639">
        <v>2040</v>
      </c>
      <c r="C639" t="s">
        <v>125</v>
      </c>
      <c r="D639" t="s">
        <v>46</v>
      </c>
      <c r="E639">
        <v>0.34773797835521197</v>
      </c>
      <c r="F639">
        <v>0.34773797835521197</v>
      </c>
      <c r="G639">
        <v>0</v>
      </c>
      <c r="H639">
        <v>0</v>
      </c>
      <c r="I639" t="s">
        <v>126</v>
      </c>
    </row>
    <row r="640" spans="1:9" x14ac:dyDescent="0.35">
      <c r="A640" t="s">
        <v>10</v>
      </c>
      <c r="B640">
        <v>2040</v>
      </c>
      <c r="C640" t="s">
        <v>125</v>
      </c>
      <c r="D640" t="s">
        <v>47</v>
      </c>
      <c r="E640">
        <v>9.1891471447597094E-3</v>
      </c>
      <c r="F640">
        <v>9.1891471447597094E-3</v>
      </c>
      <c r="G640">
        <v>0</v>
      </c>
      <c r="H640">
        <v>0</v>
      </c>
      <c r="I640" t="s">
        <v>126</v>
      </c>
    </row>
    <row r="641" spans="1:9" x14ac:dyDescent="0.35">
      <c r="A641" t="s">
        <v>10</v>
      </c>
      <c r="B641">
        <v>2040</v>
      </c>
      <c r="C641" t="s">
        <v>125</v>
      </c>
      <c r="D641" t="s">
        <v>48</v>
      </c>
      <c r="E641">
        <v>19.628161381181101</v>
      </c>
      <c r="F641">
        <v>19.628161381181101</v>
      </c>
      <c r="G641">
        <v>0</v>
      </c>
      <c r="H641">
        <v>0</v>
      </c>
      <c r="I641" t="s">
        <v>126</v>
      </c>
    </row>
    <row r="642" spans="1:9" x14ac:dyDescent="0.35">
      <c r="A642" t="s">
        <v>10</v>
      </c>
      <c r="B642">
        <v>2040</v>
      </c>
      <c r="C642" t="s">
        <v>125</v>
      </c>
      <c r="D642" t="s">
        <v>49</v>
      </c>
      <c r="E642">
        <v>0.18000683940661699</v>
      </c>
      <c r="F642">
        <v>0.137656587657014</v>
      </c>
      <c r="G642">
        <v>-4.2350251749602802E-2</v>
      </c>
      <c r="H642">
        <v>-23.527023689326501</v>
      </c>
      <c r="I642" t="s">
        <v>126</v>
      </c>
    </row>
    <row r="643" spans="1:9" x14ac:dyDescent="0.35">
      <c r="A643" t="s">
        <v>10</v>
      </c>
      <c r="B643">
        <v>2040</v>
      </c>
      <c r="C643" t="s">
        <v>125</v>
      </c>
      <c r="D643" t="s">
        <v>50</v>
      </c>
      <c r="E643">
        <v>8.3234469136783507E-2</v>
      </c>
      <c r="F643">
        <v>8.3234469136783507E-2</v>
      </c>
      <c r="G643">
        <v>0</v>
      </c>
      <c r="H643">
        <v>0</v>
      </c>
      <c r="I643" t="s">
        <v>126</v>
      </c>
    </row>
    <row r="644" spans="1:9" x14ac:dyDescent="0.35">
      <c r="A644" t="s">
        <v>10</v>
      </c>
      <c r="B644">
        <v>2040</v>
      </c>
      <c r="C644" t="s">
        <v>125</v>
      </c>
      <c r="D644" t="s">
        <v>51</v>
      </c>
      <c r="E644">
        <v>0.34144743926230597</v>
      </c>
      <c r="F644">
        <v>0.34144743926230597</v>
      </c>
      <c r="G644">
        <v>0</v>
      </c>
      <c r="H644">
        <v>0</v>
      </c>
      <c r="I644" t="s">
        <v>126</v>
      </c>
    </row>
    <row r="645" spans="1:9" x14ac:dyDescent="0.35">
      <c r="A645" t="s">
        <v>10</v>
      </c>
      <c r="B645">
        <v>2040</v>
      </c>
      <c r="C645" t="s">
        <v>125</v>
      </c>
      <c r="D645" t="s">
        <v>52</v>
      </c>
      <c r="E645">
        <v>0.135511994657523</v>
      </c>
      <c r="F645">
        <v>0.135511994657523</v>
      </c>
      <c r="G645">
        <v>0</v>
      </c>
      <c r="H645">
        <v>0</v>
      </c>
      <c r="I645" t="s">
        <v>126</v>
      </c>
    </row>
    <row r="646" spans="1:9" x14ac:dyDescent="0.35">
      <c r="A646" t="s">
        <v>10</v>
      </c>
      <c r="B646">
        <v>2040</v>
      </c>
      <c r="C646" t="s">
        <v>125</v>
      </c>
      <c r="D646" t="s">
        <v>53</v>
      </c>
      <c r="E646">
        <v>1.0072848537680199</v>
      </c>
      <c r="F646">
        <v>1.0072848537680199</v>
      </c>
      <c r="G646">
        <v>0</v>
      </c>
      <c r="H646">
        <v>0</v>
      </c>
      <c r="I646" t="s">
        <v>126</v>
      </c>
    </row>
    <row r="647" spans="1:9" x14ac:dyDescent="0.35">
      <c r="A647" t="s">
        <v>10</v>
      </c>
      <c r="B647">
        <v>2040</v>
      </c>
      <c r="C647" t="s">
        <v>125</v>
      </c>
      <c r="D647" t="s">
        <v>54</v>
      </c>
      <c r="E647">
        <v>3.4562197464388902</v>
      </c>
      <c r="F647">
        <v>3.45362290244584</v>
      </c>
      <c r="G647">
        <v>-2.5968439930568101E-3</v>
      </c>
      <c r="H647">
        <v>-7.5135384424918794E-2</v>
      </c>
      <c r="I647" t="s">
        <v>126</v>
      </c>
    </row>
    <row r="648" spans="1:9" x14ac:dyDescent="0.35">
      <c r="A648" t="s">
        <v>10</v>
      </c>
      <c r="B648">
        <v>2040</v>
      </c>
      <c r="C648" t="s">
        <v>125</v>
      </c>
      <c r="D648" t="s">
        <v>55</v>
      </c>
      <c r="E648">
        <v>2.9897721157175901</v>
      </c>
      <c r="F648">
        <v>2.9893202238381802</v>
      </c>
      <c r="G648">
        <v>-4.5189187940852799E-4</v>
      </c>
      <c r="H648">
        <v>-1.51145927488211E-2</v>
      </c>
      <c r="I648" t="s">
        <v>126</v>
      </c>
    </row>
    <row r="649" spans="1:9" x14ac:dyDescent="0.35">
      <c r="A649" t="s">
        <v>10</v>
      </c>
      <c r="B649">
        <v>2040</v>
      </c>
      <c r="C649" t="s">
        <v>125</v>
      </c>
      <c r="D649" t="s">
        <v>56</v>
      </c>
      <c r="E649" s="1">
        <v>2.7182371958597099E-7</v>
      </c>
      <c r="F649" s="1">
        <v>2.7182371958597099E-7</v>
      </c>
      <c r="G649">
        <v>0</v>
      </c>
      <c r="H649">
        <v>0</v>
      </c>
      <c r="I649" t="s">
        <v>126</v>
      </c>
    </row>
    <row r="650" spans="1:9" x14ac:dyDescent="0.35">
      <c r="A650" t="s">
        <v>4</v>
      </c>
      <c r="B650">
        <v>2025</v>
      </c>
      <c r="C650" t="s">
        <v>85</v>
      </c>
      <c r="D650" t="s">
        <v>38</v>
      </c>
      <c r="E650">
        <v>6.9509212676827005E-4</v>
      </c>
      <c r="F650">
        <v>6.9509212676827005E-4</v>
      </c>
      <c r="G650">
        <v>0</v>
      </c>
      <c r="H650">
        <v>0</v>
      </c>
      <c r="I650" t="s">
        <v>86</v>
      </c>
    </row>
    <row r="651" spans="1:9" x14ac:dyDescent="0.35">
      <c r="A651" t="s">
        <v>4</v>
      </c>
      <c r="B651">
        <v>2025</v>
      </c>
      <c r="C651" t="s">
        <v>85</v>
      </c>
      <c r="D651" t="s">
        <v>40</v>
      </c>
      <c r="E651">
        <v>2.6857502848541803E-4</v>
      </c>
      <c r="F651">
        <v>2.6857502848541803E-4</v>
      </c>
      <c r="G651">
        <v>0</v>
      </c>
      <c r="H651">
        <v>0</v>
      </c>
      <c r="I651" t="s">
        <v>86</v>
      </c>
    </row>
    <row r="652" spans="1:9" x14ac:dyDescent="0.35">
      <c r="A652" t="s">
        <v>4</v>
      </c>
      <c r="B652">
        <v>2025</v>
      </c>
      <c r="C652" t="s">
        <v>85</v>
      </c>
      <c r="D652" t="s">
        <v>41</v>
      </c>
      <c r="E652">
        <v>4.1442973013464E-3</v>
      </c>
      <c r="F652">
        <v>4.1442973013464E-3</v>
      </c>
      <c r="G652">
        <v>0</v>
      </c>
      <c r="H652">
        <v>0</v>
      </c>
      <c r="I652" t="s">
        <v>86</v>
      </c>
    </row>
    <row r="653" spans="1:9" x14ac:dyDescent="0.35">
      <c r="A653" t="s">
        <v>4</v>
      </c>
      <c r="B653">
        <v>2025</v>
      </c>
      <c r="C653" t="s">
        <v>85</v>
      </c>
      <c r="D653" t="s">
        <v>42</v>
      </c>
      <c r="E653">
        <v>1.87359395112659</v>
      </c>
      <c r="F653">
        <v>1.87359395112659</v>
      </c>
      <c r="G653">
        <v>0</v>
      </c>
      <c r="H653">
        <v>0</v>
      </c>
      <c r="I653" t="s">
        <v>86</v>
      </c>
    </row>
    <row r="654" spans="1:9" x14ac:dyDescent="0.35">
      <c r="A654" t="s">
        <v>4</v>
      </c>
      <c r="B654">
        <v>2025</v>
      </c>
      <c r="C654" t="s">
        <v>85</v>
      </c>
      <c r="D654" t="s">
        <v>43</v>
      </c>
      <c r="E654">
        <v>8.4030808095477999E-4</v>
      </c>
      <c r="F654">
        <v>8.4030808095477999E-4</v>
      </c>
      <c r="G654">
        <v>0</v>
      </c>
      <c r="H654">
        <v>0</v>
      </c>
      <c r="I654" t="s">
        <v>86</v>
      </c>
    </row>
    <row r="655" spans="1:9" x14ac:dyDescent="0.35">
      <c r="A655" t="s">
        <v>4</v>
      </c>
      <c r="B655">
        <v>2025</v>
      </c>
      <c r="C655" t="s">
        <v>85</v>
      </c>
      <c r="D655" t="s">
        <v>136</v>
      </c>
      <c r="E655">
        <v>0.60521788285725397</v>
      </c>
      <c r="F655">
        <v>0.60521788285725397</v>
      </c>
      <c r="G655">
        <v>0</v>
      </c>
      <c r="H655">
        <v>0</v>
      </c>
      <c r="I655" t="s">
        <v>86</v>
      </c>
    </row>
    <row r="656" spans="1:9" x14ac:dyDescent="0.35">
      <c r="A656" t="s">
        <v>4</v>
      </c>
      <c r="B656">
        <v>2025</v>
      </c>
      <c r="C656" t="s">
        <v>85</v>
      </c>
      <c r="D656" t="s">
        <v>45</v>
      </c>
      <c r="E656">
        <v>5.72364267539879E-3</v>
      </c>
      <c r="F656">
        <v>5.72364267539879E-3</v>
      </c>
      <c r="G656">
        <v>0</v>
      </c>
      <c r="H656">
        <v>0</v>
      </c>
      <c r="I656" t="s">
        <v>86</v>
      </c>
    </row>
    <row r="657" spans="1:9" x14ac:dyDescent="0.35">
      <c r="A657" t="s">
        <v>4</v>
      </c>
      <c r="B657">
        <v>2025</v>
      </c>
      <c r="C657" t="s">
        <v>85</v>
      </c>
      <c r="D657" t="s">
        <v>46</v>
      </c>
      <c r="E657">
        <v>4.7747964980096501E-2</v>
      </c>
      <c r="F657">
        <v>4.7747964980096501E-2</v>
      </c>
      <c r="G657">
        <v>0</v>
      </c>
      <c r="H657">
        <v>0</v>
      </c>
      <c r="I657" t="s">
        <v>86</v>
      </c>
    </row>
    <row r="658" spans="1:9" x14ac:dyDescent="0.35">
      <c r="A658" t="s">
        <v>4</v>
      </c>
      <c r="B658">
        <v>2025</v>
      </c>
      <c r="C658" t="s">
        <v>85</v>
      </c>
      <c r="D658" t="s">
        <v>47</v>
      </c>
      <c r="E658">
        <v>2.7662613221662001E-4</v>
      </c>
      <c r="F658">
        <v>2.7662613221662001E-4</v>
      </c>
      <c r="G658">
        <v>0</v>
      </c>
      <c r="H658">
        <v>0</v>
      </c>
      <c r="I658" t="s">
        <v>86</v>
      </c>
    </row>
    <row r="659" spans="1:9" x14ac:dyDescent="0.35">
      <c r="A659" t="s">
        <v>4</v>
      </c>
      <c r="B659">
        <v>2025</v>
      </c>
      <c r="C659" t="s">
        <v>85</v>
      </c>
      <c r="D659" t="s">
        <v>48</v>
      </c>
      <c r="E659">
        <v>42.687615994632502</v>
      </c>
      <c r="F659">
        <v>42.687615994632502</v>
      </c>
      <c r="G659">
        <v>0</v>
      </c>
      <c r="H659">
        <v>0</v>
      </c>
      <c r="I659" t="s">
        <v>86</v>
      </c>
    </row>
    <row r="660" spans="1:9" x14ac:dyDescent="0.35">
      <c r="A660" t="s">
        <v>4</v>
      </c>
      <c r="B660">
        <v>2025</v>
      </c>
      <c r="C660" t="s">
        <v>85</v>
      </c>
      <c r="D660" t="s">
        <v>49</v>
      </c>
      <c r="E660">
        <v>2.3909998814548101E-2</v>
      </c>
      <c r="F660">
        <v>2.3909998814548101E-2</v>
      </c>
      <c r="G660">
        <v>0</v>
      </c>
      <c r="H660">
        <v>0</v>
      </c>
      <c r="I660" t="s">
        <v>86</v>
      </c>
    </row>
    <row r="661" spans="1:9" x14ac:dyDescent="0.35">
      <c r="A661" t="s">
        <v>4</v>
      </c>
      <c r="B661">
        <v>2025</v>
      </c>
      <c r="C661" t="s">
        <v>85</v>
      </c>
      <c r="D661" t="s">
        <v>50</v>
      </c>
      <c r="E661">
        <v>7.4395239253646703E-3</v>
      </c>
      <c r="F661">
        <v>7.4395239253646703E-3</v>
      </c>
      <c r="G661">
        <v>0</v>
      </c>
      <c r="H661">
        <v>0</v>
      </c>
      <c r="I661" t="s">
        <v>86</v>
      </c>
    </row>
    <row r="662" spans="1:9" x14ac:dyDescent="0.35">
      <c r="A662" t="s">
        <v>4</v>
      </c>
      <c r="B662">
        <v>2025</v>
      </c>
      <c r="C662" t="s">
        <v>85</v>
      </c>
      <c r="D662" t="s">
        <v>51</v>
      </c>
      <c r="E662">
        <v>3.6942905173639198E-2</v>
      </c>
      <c r="F662">
        <v>3.6942905173639198E-2</v>
      </c>
      <c r="G662">
        <v>0</v>
      </c>
      <c r="H662">
        <v>0</v>
      </c>
      <c r="I662" t="s">
        <v>86</v>
      </c>
    </row>
    <row r="663" spans="1:9" x14ac:dyDescent="0.35">
      <c r="A663" t="s">
        <v>4</v>
      </c>
      <c r="B663">
        <v>2025</v>
      </c>
      <c r="C663" t="s">
        <v>85</v>
      </c>
      <c r="D663" t="s">
        <v>52</v>
      </c>
      <c r="E663">
        <v>9.4362001688670497E-2</v>
      </c>
      <c r="F663">
        <v>9.4362001688670497E-2</v>
      </c>
      <c r="G663">
        <v>0</v>
      </c>
      <c r="H663">
        <v>0</v>
      </c>
      <c r="I663" t="s">
        <v>86</v>
      </c>
    </row>
    <row r="664" spans="1:9" x14ac:dyDescent="0.35">
      <c r="A664" t="s">
        <v>4</v>
      </c>
      <c r="B664">
        <v>2025</v>
      </c>
      <c r="C664" t="s">
        <v>85</v>
      </c>
      <c r="D664" t="s">
        <v>53</v>
      </c>
      <c r="E664">
        <v>0.25523063054341899</v>
      </c>
      <c r="F664">
        <v>0.25523063054341899</v>
      </c>
      <c r="G664">
        <v>0</v>
      </c>
      <c r="H664">
        <v>0</v>
      </c>
      <c r="I664" t="s">
        <v>86</v>
      </c>
    </row>
    <row r="665" spans="1:9" x14ac:dyDescent="0.35">
      <c r="A665" t="s">
        <v>4</v>
      </c>
      <c r="B665">
        <v>2025</v>
      </c>
      <c r="C665" t="s">
        <v>85</v>
      </c>
      <c r="D665" t="s">
        <v>54</v>
      </c>
      <c r="E665">
        <v>4.9326697344536097E-2</v>
      </c>
      <c r="F665">
        <v>4.9326697344536097E-2</v>
      </c>
      <c r="G665">
        <v>0</v>
      </c>
      <c r="H665">
        <v>0</v>
      </c>
      <c r="I665" t="s">
        <v>86</v>
      </c>
    </row>
    <row r="666" spans="1:9" x14ac:dyDescent="0.35">
      <c r="A666" t="s">
        <v>4</v>
      </c>
      <c r="B666">
        <v>2025</v>
      </c>
      <c r="C666" t="s">
        <v>85</v>
      </c>
      <c r="D666" t="s">
        <v>55</v>
      </c>
      <c r="E666">
        <v>4.5690881577559503E-2</v>
      </c>
      <c r="F666">
        <v>4.5690881577559503E-2</v>
      </c>
      <c r="G666">
        <v>0</v>
      </c>
      <c r="H666">
        <v>0</v>
      </c>
      <c r="I666" t="s">
        <v>86</v>
      </c>
    </row>
    <row r="667" spans="1:9" x14ac:dyDescent="0.35">
      <c r="A667" t="s">
        <v>4</v>
      </c>
      <c r="B667">
        <v>2025</v>
      </c>
      <c r="C667" t="s">
        <v>85</v>
      </c>
      <c r="D667" t="s">
        <v>56</v>
      </c>
      <c r="E667" s="1">
        <v>5.0613586699307999E-8</v>
      </c>
      <c r="F667" s="1">
        <v>5.0613586699307999E-8</v>
      </c>
      <c r="G667">
        <v>0</v>
      </c>
      <c r="H667">
        <v>0</v>
      </c>
      <c r="I667" t="s">
        <v>86</v>
      </c>
    </row>
    <row r="668" spans="1:9" x14ac:dyDescent="0.35">
      <c r="A668" t="s">
        <v>6</v>
      </c>
      <c r="B668">
        <v>2030</v>
      </c>
      <c r="C668" t="s">
        <v>85</v>
      </c>
      <c r="D668" t="s">
        <v>38</v>
      </c>
      <c r="E668">
        <v>6.9907210803623698E-4</v>
      </c>
      <c r="F668">
        <v>6.9907210803623698E-4</v>
      </c>
      <c r="G668">
        <v>0</v>
      </c>
      <c r="H668">
        <v>0</v>
      </c>
      <c r="I668" t="s">
        <v>86</v>
      </c>
    </row>
    <row r="669" spans="1:9" x14ac:dyDescent="0.35">
      <c r="A669" t="s">
        <v>6</v>
      </c>
      <c r="B669">
        <v>2030</v>
      </c>
      <c r="C669" t="s">
        <v>85</v>
      </c>
      <c r="D669" t="s">
        <v>40</v>
      </c>
      <c r="E669">
        <v>2.5524333485744998E-4</v>
      </c>
      <c r="F669">
        <v>2.5524333485744998E-4</v>
      </c>
      <c r="G669">
        <v>0</v>
      </c>
      <c r="H669">
        <v>0</v>
      </c>
      <c r="I669" t="s">
        <v>86</v>
      </c>
    </row>
    <row r="670" spans="1:9" x14ac:dyDescent="0.35">
      <c r="A670" t="s">
        <v>6</v>
      </c>
      <c r="B670">
        <v>2030</v>
      </c>
      <c r="C670" t="s">
        <v>85</v>
      </c>
      <c r="D670" t="s">
        <v>41</v>
      </c>
      <c r="E670">
        <v>3.9564543959084196E-3</v>
      </c>
      <c r="F670">
        <v>3.9564543959084196E-3</v>
      </c>
      <c r="G670">
        <v>0</v>
      </c>
      <c r="H670">
        <v>0</v>
      </c>
      <c r="I670" t="s">
        <v>86</v>
      </c>
    </row>
    <row r="671" spans="1:9" x14ac:dyDescent="0.35">
      <c r="A671" t="s">
        <v>6</v>
      </c>
      <c r="B671">
        <v>2030</v>
      </c>
      <c r="C671" t="s">
        <v>85</v>
      </c>
      <c r="D671" t="s">
        <v>42</v>
      </c>
      <c r="E671">
        <v>1.84393428697629</v>
      </c>
      <c r="F671">
        <v>1.84393428697629</v>
      </c>
      <c r="G671">
        <v>0</v>
      </c>
      <c r="H671">
        <v>0</v>
      </c>
      <c r="I671" t="s">
        <v>86</v>
      </c>
    </row>
    <row r="672" spans="1:9" x14ac:dyDescent="0.35">
      <c r="A672" t="s">
        <v>6</v>
      </c>
      <c r="B672">
        <v>2030</v>
      </c>
      <c r="C672" t="s">
        <v>85</v>
      </c>
      <c r="D672" t="s">
        <v>43</v>
      </c>
      <c r="E672">
        <v>7.7174438708444099E-4</v>
      </c>
      <c r="F672">
        <v>7.7174438708444099E-4</v>
      </c>
      <c r="G672">
        <v>0</v>
      </c>
      <c r="H672">
        <v>0</v>
      </c>
      <c r="I672" t="s">
        <v>86</v>
      </c>
    </row>
    <row r="673" spans="1:9" x14ac:dyDescent="0.35">
      <c r="A673" t="s">
        <v>6</v>
      </c>
      <c r="B673">
        <v>2030</v>
      </c>
      <c r="C673" t="s">
        <v>85</v>
      </c>
      <c r="D673" t="s">
        <v>136</v>
      </c>
      <c r="E673">
        <v>0.53388330222149105</v>
      </c>
      <c r="F673">
        <v>0.53388330222149105</v>
      </c>
      <c r="G673">
        <v>0</v>
      </c>
      <c r="H673">
        <v>0</v>
      </c>
      <c r="I673" t="s">
        <v>86</v>
      </c>
    </row>
    <row r="674" spans="1:9" x14ac:dyDescent="0.35">
      <c r="A674" t="s">
        <v>6</v>
      </c>
      <c r="B674">
        <v>2030</v>
      </c>
      <c r="C674" t="s">
        <v>85</v>
      </c>
      <c r="D674" t="s">
        <v>45</v>
      </c>
      <c r="E674">
        <v>5.5033634904321903E-3</v>
      </c>
      <c r="F674">
        <v>5.5033634904321903E-3</v>
      </c>
      <c r="G674">
        <v>0</v>
      </c>
      <c r="H674">
        <v>0</v>
      </c>
      <c r="I674" t="s">
        <v>86</v>
      </c>
    </row>
    <row r="675" spans="1:9" x14ac:dyDescent="0.35">
      <c r="A675" t="s">
        <v>6</v>
      </c>
      <c r="B675">
        <v>2030</v>
      </c>
      <c r="C675" t="s">
        <v>85</v>
      </c>
      <c r="D675" t="s">
        <v>46</v>
      </c>
      <c r="E675">
        <v>4.9931580342180697E-2</v>
      </c>
      <c r="F675">
        <v>4.9931580342180697E-2</v>
      </c>
      <c r="G675">
        <v>0</v>
      </c>
      <c r="H675">
        <v>0</v>
      </c>
      <c r="I675" t="s">
        <v>86</v>
      </c>
    </row>
    <row r="676" spans="1:9" x14ac:dyDescent="0.35">
      <c r="A676" t="s">
        <v>6</v>
      </c>
      <c r="B676">
        <v>2030</v>
      </c>
      <c r="C676" t="s">
        <v>85</v>
      </c>
      <c r="D676" t="s">
        <v>47</v>
      </c>
      <c r="E676">
        <v>2.35057852397474E-4</v>
      </c>
      <c r="F676">
        <v>2.35057852397474E-4</v>
      </c>
      <c r="G676">
        <v>0</v>
      </c>
      <c r="H676">
        <v>0</v>
      </c>
      <c r="I676" t="s">
        <v>86</v>
      </c>
    </row>
    <row r="677" spans="1:9" x14ac:dyDescent="0.35">
      <c r="A677" t="s">
        <v>6</v>
      </c>
      <c r="B677">
        <v>2030</v>
      </c>
      <c r="C677" t="s">
        <v>85</v>
      </c>
      <c r="D677" t="s">
        <v>48</v>
      </c>
      <c r="E677">
        <v>42.687878054103599</v>
      </c>
      <c r="F677">
        <v>42.687878054103599</v>
      </c>
      <c r="G677">
        <v>0</v>
      </c>
      <c r="H677">
        <v>0</v>
      </c>
      <c r="I677" t="s">
        <v>86</v>
      </c>
    </row>
    <row r="678" spans="1:9" x14ac:dyDescent="0.35">
      <c r="A678" t="s">
        <v>6</v>
      </c>
      <c r="B678">
        <v>2030</v>
      </c>
      <c r="C678" t="s">
        <v>85</v>
      </c>
      <c r="D678" t="s">
        <v>49</v>
      </c>
      <c r="E678">
        <v>2.3631130750532501E-2</v>
      </c>
      <c r="F678">
        <v>2.3631130750532501E-2</v>
      </c>
      <c r="G678">
        <v>0</v>
      </c>
      <c r="H678">
        <v>0</v>
      </c>
      <c r="I678" t="s">
        <v>86</v>
      </c>
    </row>
    <row r="679" spans="1:9" x14ac:dyDescent="0.35">
      <c r="A679" t="s">
        <v>6</v>
      </c>
      <c r="B679">
        <v>2030</v>
      </c>
      <c r="C679" t="s">
        <v>85</v>
      </c>
      <c r="D679" t="s">
        <v>50</v>
      </c>
      <c r="E679">
        <v>7.1504853345361399E-3</v>
      </c>
      <c r="F679">
        <v>7.1504853345361399E-3</v>
      </c>
      <c r="G679">
        <v>0</v>
      </c>
      <c r="H679">
        <v>0</v>
      </c>
      <c r="I679" t="s">
        <v>86</v>
      </c>
    </row>
    <row r="680" spans="1:9" x14ac:dyDescent="0.35">
      <c r="A680" t="s">
        <v>6</v>
      </c>
      <c r="B680">
        <v>2030</v>
      </c>
      <c r="C680" t="s">
        <v>85</v>
      </c>
      <c r="D680" t="s">
        <v>51</v>
      </c>
      <c r="E680">
        <v>3.7324314006334403E-2</v>
      </c>
      <c r="F680">
        <v>3.7324314006334403E-2</v>
      </c>
      <c r="G680">
        <v>0</v>
      </c>
      <c r="H680">
        <v>0</v>
      </c>
      <c r="I680" t="s">
        <v>86</v>
      </c>
    </row>
    <row r="681" spans="1:9" x14ac:dyDescent="0.35">
      <c r="A681" t="s">
        <v>6</v>
      </c>
      <c r="B681">
        <v>2030</v>
      </c>
      <c r="C681" t="s">
        <v>85</v>
      </c>
      <c r="D681" t="s">
        <v>52</v>
      </c>
      <c r="E681">
        <v>8.0493554934757905E-2</v>
      </c>
      <c r="F681">
        <v>8.0493554934757905E-2</v>
      </c>
      <c r="G681">
        <v>0</v>
      </c>
      <c r="H681">
        <v>0</v>
      </c>
      <c r="I681" t="s">
        <v>86</v>
      </c>
    </row>
    <row r="682" spans="1:9" x14ac:dyDescent="0.35">
      <c r="A682" t="s">
        <v>6</v>
      </c>
      <c r="B682">
        <v>2030</v>
      </c>
      <c r="C682" t="s">
        <v>85</v>
      </c>
      <c r="D682" t="s">
        <v>53</v>
      </c>
      <c r="E682">
        <v>0.23505301257764</v>
      </c>
      <c r="F682">
        <v>0.23505301257764</v>
      </c>
      <c r="G682">
        <v>0</v>
      </c>
      <c r="H682">
        <v>0</v>
      </c>
      <c r="I682" t="s">
        <v>86</v>
      </c>
    </row>
    <row r="683" spans="1:9" x14ac:dyDescent="0.35">
      <c r="A683" t="s">
        <v>6</v>
      </c>
      <c r="B683">
        <v>2030</v>
      </c>
      <c r="C683" t="s">
        <v>85</v>
      </c>
      <c r="D683" t="s">
        <v>54</v>
      </c>
      <c r="E683">
        <v>4.9243144474365501E-2</v>
      </c>
      <c r="F683">
        <v>4.9243144474365501E-2</v>
      </c>
      <c r="G683">
        <v>0</v>
      </c>
      <c r="H683">
        <v>0</v>
      </c>
      <c r="I683" t="s">
        <v>86</v>
      </c>
    </row>
    <row r="684" spans="1:9" x14ac:dyDescent="0.35">
      <c r="A684" t="s">
        <v>6</v>
      </c>
      <c r="B684">
        <v>2030</v>
      </c>
      <c r="C684" t="s">
        <v>85</v>
      </c>
      <c r="D684" t="s">
        <v>55</v>
      </c>
      <c r="E684">
        <v>4.5531483257591099E-2</v>
      </c>
      <c r="F684">
        <v>4.5531483257591099E-2</v>
      </c>
      <c r="G684">
        <v>0</v>
      </c>
      <c r="H684">
        <v>0</v>
      </c>
      <c r="I684" t="s">
        <v>86</v>
      </c>
    </row>
    <row r="685" spans="1:9" x14ac:dyDescent="0.35">
      <c r="A685" t="s">
        <v>6</v>
      </c>
      <c r="B685">
        <v>2030</v>
      </c>
      <c r="C685" t="s">
        <v>85</v>
      </c>
      <c r="D685" t="s">
        <v>56</v>
      </c>
      <c r="E685" s="1">
        <v>4.5806649618108097E-8</v>
      </c>
      <c r="F685" s="1">
        <v>4.5806649618108097E-8</v>
      </c>
      <c r="G685">
        <v>0</v>
      </c>
      <c r="H685">
        <v>0</v>
      </c>
      <c r="I685" t="s">
        <v>86</v>
      </c>
    </row>
    <row r="686" spans="1:9" x14ac:dyDescent="0.35">
      <c r="A686" t="s">
        <v>8</v>
      </c>
      <c r="B686">
        <v>2035</v>
      </c>
      <c r="C686" t="s">
        <v>85</v>
      </c>
      <c r="D686" t="s">
        <v>38</v>
      </c>
      <c r="E686">
        <v>6.8013091818419397E-4</v>
      </c>
      <c r="F686">
        <v>6.8013091818419397E-4</v>
      </c>
      <c r="G686">
        <v>0</v>
      </c>
      <c r="H686">
        <v>0</v>
      </c>
      <c r="I686" t="s">
        <v>86</v>
      </c>
    </row>
    <row r="687" spans="1:9" x14ac:dyDescent="0.35">
      <c r="A687" t="s">
        <v>8</v>
      </c>
      <c r="B687">
        <v>2035</v>
      </c>
      <c r="C687" t="s">
        <v>85</v>
      </c>
      <c r="D687" t="s">
        <v>40</v>
      </c>
      <c r="E687">
        <v>2.43848399133999E-4</v>
      </c>
      <c r="F687">
        <v>2.43848399133999E-4</v>
      </c>
      <c r="G687">
        <v>0</v>
      </c>
      <c r="H687">
        <v>0</v>
      </c>
      <c r="I687" t="s">
        <v>86</v>
      </c>
    </row>
    <row r="688" spans="1:9" x14ac:dyDescent="0.35">
      <c r="A688" t="s">
        <v>8</v>
      </c>
      <c r="B688">
        <v>2035</v>
      </c>
      <c r="C688" t="s">
        <v>85</v>
      </c>
      <c r="D688" t="s">
        <v>41</v>
      </c>
      <c r="E688">
        <v>3.8306096209743102E-3</v>
      </c>
      <c r="F688">
        <v>3.8306096209743102E-3</v>
      </c>
      <c r="G688">
        <v>0</v>
      </c>
      <c r="H688">
        <v>0</v>
      </c>
      <c r="I688" t="s">
        <v>86</v>
      </c>
    </row>
    <row r="689" spans="1:9" x14ac:dyDescent="0.35">
      <c r="A689" t="s">
        <v>8</v>
      </c>
      <c r="B689">
        <v>2035</v>
      </c>
      <c r="C689" t="s">
        <v>85</v>
      </c>
      <c r="D689" t="s">
        <v>42</v>
      </c>
      <c r="E689">
        <v>1.8238975349645301</v>
      </c>
      <c r="F689">
        <v>1.8238975349645301</v>
      </c>
      <c r="G689">
        <v>0</v>
      </c>
      <c r="H689">
        <v>0</v>
      </c>
      <c r="I689" t="s">
        <v>86</v>
      </c>
    </row>
    <row r="690" spans="1:9" x14ac:dyDescent="0.35">
      <c r="A690" t="s">
        <v>8</v>
      </c>
      <c r="B690">
        <v>2035</v>
      </c>
      <c r="C690" t="s">
        <v>85</v>
      </c>
      <c r="D690" t="s">
        <v>43</v>
      </c>
      <c r="E690">
        <v>7.2093477433284904E-4</v>
      </c>
      <c r="F690">
        <v>7.2093477433284904E-4</v>
      </c>
      <c r="G690">
        <v>0</v>
      </c>
      <c r="H690">
        <v>0</v>
      </c>
      <c r="I690" t="s">
        <v>86</v>
      </c>
    </row>
    <row r="691" spans="1:9" x14ac:dyDescent="0.35">
      <c r="A691" t="s">
        <v>8</v>
      </c>
      <c r="B691">
        <v>2035</v>
      </c>
      <c r="C691" t="s">
        <v>85</v>
      </c>
      <c r="D691" t="s">
        <v>136</v>
      </c>
      <c r="E691">
        <v>0.47680471966988403</v>
      </c>
      <c r="F691">
        <v>0.47680471966988403</v>
      </c>
      <c r="G691">
        <v>0</v>
      </c>
      <c r="H691">
        <v>0</v>
      </c>
      <c r="I691" t="s">
        <v>86</v>
      </c>
    </row>
    <row r="692" spans="1:9" x14ac:dyDescent="0.35">
      <c r="A692" t="s">
        <v>8</v>
      </c>
      <c r="B692">
        <v>2035</v>
      </c>
      <c r="C692" t="s">
        <v>85</v>
      </c>
      <c r="D692" t="s">
        <v>45</v>
      </c>
      <c r="E692">
        <v>5.3574194738193097E-3</v>
      </c>
      <c r="F692">
        <v>5.3574194738193097E-3</v>
      </c>
      <c r="G692">
        <v>0</v>
      </c>
      <c r="H692">
        <v>0</v>
      </c>
      <c r="I692" t="s">
        <v>86</v>
      </c>
    </row>
    <row r="693" spans="1:9" x14ac:dyDescent="0.35">
      <c r="A693" t="s">
        <v>8</v>
      </c>
      <c r="B693">
        <v>2035</v>
      </c>
      <c r="C693" t="s">
        <v>85</v>
      </c>
      <c r="D693" t="s">
        <v>46</v>
      </c>
      <c r="E693">
        <v>5.6499672365310102E-2</v>
      </c>
      <c r="F693">
        <v>5.6499672365310102E-2</v>
      </c>
      <c r="G693">
        <v>0</v>
      </c>
      <c r="H693">
        <v>0</v>
      </c>
      <c r="I693" t="s">
        <v>86</v>
      </c>
    </row>
    <row r="694" spans="1:9" x14ac:dyDescent="0.35">
      <c r="A694" t="s">
        <v>8</v>
      </c>
      <c r="B694">
        <v>2035</v>
      </c>
      <c r="C694" t="s">
        <v>85</v>
      </c>
      <c r="D694" t="s">
        <v>47</v>
      </c>
      <c r="E694">
        <v>2.0505684173680001E-4</v>
      </c>
      <c r="F694">
        <v>2.0505684173680001E-4</v>
      </c>
      <c r="G694">
        <v>0</v>
      </c>
      <c r="H694">
        <v>0</v>
      </c>
      <c r="I694" t="s">
        <v>86</v>
      </c>
    </row>
    <row r="695" spans="1:9" x14ac:dyDescent="0.35">
      <c r="A695" t="s">
        <v>8</v>
      </c>
      <c r="B695">
        <v>2035</v>
      </c>
      <c r="C695" t="s">
        <v>85</v>
      </c>
      <c r="D695" t="s">
        <v>48</v>
      </c>
      <c r="E695">
        <v>42.688393105647698</v>
      </c>
      <c r="F695">
        <v>42.688393105647698</v>
      </c>
      <c r="G695">
        <v>0</v>
      </c>
      <c r="H695">
        <v>0</v>
      </c>
      <c r="I695" t="s">
        <v>86</v>
      </c>
    </row>
    <row r="696" spans="1:9" x14ac:dyDescent="0.35">
      <c r="A696" t="s">
        <v>8</v>
      </c>
      <c r="B696">
        <v>2035</v>
      </c>
      <c r="C696" t="s">
        <v>85</v>
      </c>
      <c r="D696" t="s">
        <v>49</v>
      </c>
      <c r="E696">
        <v>2.3427676279609899E-2</v>
      </c>
      <c r="F696">
        <v>2.3427676279609899E-2</v>
      </c>
      <c r="G696">
        <v>0</v>
      </c>
      <c r="H696">
        <v>0</v>
      </c>
      <c r="I696" t="s">
        <v>86</v>
      </c>
    </row>
    <row r="697" spans="1:9" x14ac:dyDescent="0.35">
      <c r="A697" t="s">
        <v>8</v>
      </c>
      <c r="B697">
        <v>2035</v>
      </c>
      <c r="C697" t="s">
        <v>85</v>
      </c>
      <c r="D697" t="s">
        <v>50</v>
      </c>
      <c r="E697">
        <v>6.8128272628762403E-3</v>
      </c>
      <c r="F697">
        <v>6.8128272628762403E-3</v>
      </c>
      <c r="G697">
        <v>0</v>
      </c>
      <c r="H697">
        <v>0</v>
      </c>
      <c r="I697" t="s">
        <v>86</v>
      </c>
    </row>
    <row r="698" spans="1:9" x14ac:dyDescent="0.35">
      <c r="A698" t="s">
        <v>8</v>
      </c>
      <c r="B698">
        <v>2035</v>
      </c>
      <c r="C698" t="s">
        <v>85</v>
      </c>
      <c r="D698" t="s">
        <v>51</v>
      </c>
      <c r="E698">
        <v>3.7944515434656198E-2</v>
      </c>
      <c r="F698">
        <v>3.7944515434656198E-2</v>
      </c>
      <c r="G698">
        <v>0</v>
      </c>
      <c r="H698">
        <v>0</v>
      </c>
      <c r="I698" t="s">
        <v>86</v>
      </c>
    </row>
    <row r="699" spans="1:9" x14ac:dyDescent="0.35">
      <c r="A699" t="s">
        <v>8</v>
      </c>
      <c r="B699">
        <v>2035</v>
      </c>
      <c r="C699" t="s">
        <v>85</v>
      </c>
      <c r="D699" t="s">
        <v>52</v>
      </c>
      <c r="E699">
        <v>6.6253190227305095E-2</v>
      </c>
      <c r="F699">
        <v>6.6253190227305095E-2</v>
      </c>
      <c r="G699">
        <v>0</v>
      </c>
      <c r="H699">
        <v>0</v>
      </c>
      <c r="I699" t="s">
        <v>86</v>
      </c>
    </row>
    <row r="700" spans="1:9" x14ac:dyDescent="0.35">
      <c r="A700" t="s">
        <v>8</v>
      </c>
      <c r="B700">
        <v>2035</v>
      </c>
      <c r="C700" t="s">
        <v>85</v>
      </c>
      <c r="D700" t="s">
        <v>53</v>
      </c>
      <c r="E700">
        <v>0.21880684151063501</v>
      </c>
      <c r="F700">
        <v>0.21880684151063501</v>
      </c>
      <c r="G700">
        <v>0</v>
      </c>
      <c r="H700">
        <v>0</v>
      </c>
      <c r="I700" t="s">
        <v>86</v>
      </c>
    </row>
    <row r="701" spans="1:9" x14ac:dyDescent="0.35">
      <c r="A701" t="s">
        <v>8</v>
      </c>
      <c r="B701">
        <v>2035</v>
      </c>
      <c r="C701" t="s">
        <v>85</v>
      </c>
      <c r="D701" t="s">
        <v>54</v>
      </c>
      <c r="E701">
        <v>4.9263329282068502E-2</v>
      </c>
      <c r="F701">
        <v>4.9263329282068502E-2</v>
      </c>
      <c r="G701">
        <v>0</v>
      </c>
      <c r="H701">
        <v>0</v>
      </c>
      <c r="I701" t="s">
        <v>86</v>
      </c>
    </row>
    <row r="702" spans="1:9" x14ac:dyDescent="0.35">
      <c r="A702" t="s">
        <v>8</v>
      </c>
      <c r="B702">
        <v>2035</v>
      </c>
      <c r="C702" t="s">
        <v>85</v>
      </c>
      <c r="D702" t="s">
        <v>55</v>
      </c>
      <c r="E702">
        <v>4.5517142365806798E-2</v>
      </c>
      <c r="F702">
        <v>4.5517142365806798E-2</v>
      </c>
      <c r="G702">
        <v>0</v>
      </c>
      <c r="H702">
        <v>0</v>
      </c>
      <c r="I702" t="s">
        <v>86</v>
      </c>
    </row>
    <row r="703" spans="1:9" x14ac:dyDescent="0.35">
      <c r="A703" t="s">
        <v>8</v>
      </c>
      <c r="B703">
        <v>2035</v>
      </c>
      <c r="C703" t="s">
        <v>85</v>
      </c>
      <c r="D703" t="s">
        <v>56</v>
      </c>
      <c r="E703" s="1">
        <v>4.3007290594677602E-8</v>
      </c>
      <c r="F703" s="1">
        <v>4.3007290594677602E-8</v>
      </c>
      <c r="G703">
        <v>0</v>
      </c>
      <c r="H703">
        <v>0</v>
      </c>
      <c r="I703" t="s">
        <v>86</v>
      </c>
    </row>
    <row r="704" spans="1:9" x14ac:dyDescent="0.35">
      <c r="A704" t="s">
        <v>10</v>
      </c>
      <c r="B704">
        <v>2040</v>
      </c>
      <c r="C704" t="s">
        <v>85</v>
      </c>
      <c r="D704" t="s">
        <v>38</v>
      </c>
      <c r="E704">
        <v>5.9661583330477197E-4</v>
      </c>
      <c r="F704">
        <v>5.9661350460006699E-4</v>
      </c>
      <c r="G704" s="1">
        <v>-2.32870470422055E-9</v>
      </c>
      <c r="H704">
        <v>-3.90318958067438E-4</v>
      </c>
      <c r="I704" t="s">
        <v>86</v>
      </c>
    </row>
    <row r="705" spans="1:9" x14ac:dyDescent="0.35">
      <c r="A705" t="s">
        <v>10</v>
      </c>
      <c r="B705">
        <v>2040</v>
      </c>
      <c r="C705" t="s">
        <v>85</v>
      </c>
      <c r="D705" t="s">
        <v>40</v>
      </c>
      <c r="E705">
        <v>2.3480236648253301E-4</v>
      </c>
      <c r="F705">
        <v>2.3480236648253301E-4</v>
      </c>
      <c r="G705">
        <v>0</v>
      </c>
      <c r="H705">
        <v>0</v>
      </c>
      <c r="I705" t="s">
        <v>86</v>
      </c>
    </row>
    <row r="706" spans="1:9" x14ac:dyDescent="0.35">
      <c r="A706" t="s">
        <v>10</v>
      </c>
      <c r="B706">
        <v>2040</v>
      </c>
      <c r="C706" t="s">
        <v>85</v>
      </c>
      <c r="D706" t="s">
        <v>41</v>
      </c>
      <c r="E706">
        <v>3.74653152668273E-3</v>
      </c>
      <c r="F706">
        <v>3.6762838862544802E-3</v>
      </c>
      <c r="G706" s="1">
        <v>-7.0247640428246303E-5</v>
      </c>
      <c r="H706">
        <v>-1.8750046523816399</v>
      </c>
      <c r="I706" t="s">
        <v>86</v>
      </c>
    </row>
    <row r="707" spans="1:9" x14ac:dyDescent="0.35">
      <c r="A707" t="s">
        <v>10</v>
      </c>
      <c r="B707">
        <v>2040</v>
      </c>
      <c r="C707" t="s">
        <v>85</v>
      </c>
      <c r="D707" t="s">
        <v>42</v>
      </c>
      <c r="E707">
        <v>1.81144914168951</v>
      </c>
      <c r="F707">
        <v>0.45873779016660698</v>
      </c>
      <c r="G707">
        <v>-1.3527113515228999</v>
      </c>
      <c r="H707">
        <v>-74.675646165878504</v>
      </c>
      <c r="I707" t="s">
        <v>86</v>
      </c>
    </row>
    <row r="708" spans="1:9" x14ac:dyDescent="0.35">
      <c r="A708" t="s">
        <v>10</v>
      </c>
      <c r="B708">
        <v>2040</v>
      </c>
      <c r="C708" t="s">
        <v>85</v>
      </c>
      <c r="D708" t="s">
        <v>43</v>
      </c>
      <c r="E708">
        <v>6.7387991300278899E-4</v>
      </c>
      <c r="F708">
        <v>6.7387991300278899E-4</v>
      </c>
      <c r="G708">
        <v>0</v>
      </c>
      <c r="H708">
        <v>0</v>
      </c>
      <c r="I708" t="s">
        <v>86</v>
      </c>
    </row>
    <row r="709" spans="1:9" x14ac:dyDescent="0.35">
      <c r="A709" t="s">
        <v>10</v>
      </c>
      <c r="B709">
        <v>2040</v>
      </c>
      <c r="C709" t="s">
        <v>85</v>
      </c>
      <c r="D709" t="s">
        <v>136</v>
      </c>
      <c r="E709">
        <v>0.43489244989972198</v>
      </c>
      <c r="F709">
        <v>0.43489244989972198</v>
      </c>
      <c r="G709">
        <v>0</v>
      </c>
      <c r="H709">
        <v>0</v>
      </c>
      <c r="I709" t="s">
        <v>86</v>
      </c>
    </row>
    <row r="710" spans="1:9" x14ac:dyDescent="0.35">
      <c r="A710" t="s">
        <v>10</v>
      </c>
      <c r="B710">
        <v>2040</v>
      </c>
      <c r="C710" t="s">
        <v>85</v>
      </c>
      <c r="D710" t="s">
        <v>45</v>
      </c>
      <c r="E710">
        <v>5.2656533030039296E-3</v>
      </c>
      <c r="F710">
        <v>5.0923757796194399E-3</v>
      </c>
      <c r="G710">
        <v>-1.7327752338448701E-4</v>
      </c>
      <c r="H710">
        <v>-3.2907127266741401</v>
      </c>
      <c r="I710" t="s">
        <v>86</v>
      </c>
    </row>
    <row r="711" spans="1:9" x14ac:dyDescent="0.35">
      <c r="A711" t="s">
        <v>10</v>
      </c>
      <c r="B711">
        <v>2040</v>
      </c>
      <c r="C711" t="s">
        <v>85</v>
      </c>
      <c r="D711" t="s">
        <v>46</v>
      </c>
      <c r="E711">
        <v>6.5447707865933194E-2</v>
      </c>
      <c r="F711">
        <v>6.5447707865933194E-2</v>
      </c>
      <c r="G711">
        <v>0</v>
      </c>
      <c r="H711">
        <v>0</v>
      </c>
      <c r="I711" t="s">
        <v>86</v>
      </c>
    </row>
    <row r="712" spans="1:9" x14ac:dyDescent="0.35">
      <c r="A712" t="s">
        <v>10</v>
      </c>
      <c r="B712">
        <v>2040</v>
      </c>
      <c r="C712" t="s">
        <v>85</v>
      </c>
      <c r="D712" t="s">
        <v>47</v>
      </c>
      <c r="E712">
        <v>1.8602387637947201E-4</v>
      </c>
      <c r="F712">
        <v>1.8602387637947201E-4</v>
      </c>
      <c r="G712">
        <v>0</v>
      </c>
      <c r="H712">
        <v>0</v>
      </c>
      <c r="I712" t="s">
        <v>86</v>
      </c>
    </row>
    <row r="713" spans="1:9" x14ac:dyDescent="0.35">
      <c r="A713" t="s">
        <v>10</v>
      </c>
      <c r="B713">
        <v>2040</v>
      </c>
      <c r="C713" t="s">
        <v>85</v>
      </c>
      <c r="D713" t="s">
        <v>48</v>
      </c>
      <c r="E713">
        <v>42.689197478253199</v>
      </c>
      <c r="F713">
        <v>42.689197478253199</v>
      </c>
      <c r="G713">
        <v>0</v>
      </c>
      <c r="H713">
        <v>0</v>
      </c>
      <c r="I713" t="s">
        <v>86</v>
      </c>
    </row>
    <row r="714" spans="1:9" x14ac:dyDescent="0.35">
      <c r="A714" t="s">
        <v>10</v>
      </c>
      <c r="B714">
        <v>2040</v>
      </c>
      <c r="C714" t="s">
        <v>85</v>
      </c>
      <c r="D714" t="s">
        <v>49</v>
      </c>
      <c r="E714">
        <v>2.3289536738231399E-2</v>
      </c>
      <c r="F714">
        <v>2.2423149134219202E-2</v>
      </c>
      <c r="G714">
        <v>-8.6638760401224597E-4</v>
      </c>
      <c r="H714">
        <v>-3.7200722957705099</v>
      </c>
      <c r="I714" t="s">
        <v>86</v>
      </c>
    </row>
    <row r="715" spans="1:9" x14ac:dyDescent="0.35">
      <c r="A715" t="s">
        <v>10</v>
      </c>
      <c r="B715">
        <v>2040</v>
      </c>
      <c r="C715" t="s">
        <v>85</v>
      </c>
      <c r="D715" t="s">
        <v>50</v>
      </c>
      <c r="E715">
        <v>6.3414315341766602E-3</v>
      </c>
      <c r="F715">
        <v>6.3414315341766602E-3</v>
      </c>
      <c r="G715">
        <v>0</v>
      </c>
      <c r="H715">
        <v>0</v>
      </c>
      <c r="I715" t="s">
        <v>86</v>
      </c>
    </row>
    <row r="716" spans="1:9" x14ac:dyDescent="0.35">
      <c r="A716" t="s">
        <v>10</v>
      </c>
      <c r="B716">
        <v>2040</v>
      </c>
      <c r="C716" t="s">
        <v>85</v>
      </c>
      <c r="D716" t="s">
        <v>51</v>
      </c>
      <c r="E716">
        <v>3.8538144158562902E-2</v>
      </c>
      <c r="F716">
        <v>3.8538144158562902E-2</v>
      </c>
      <c r="G716">
        <v>0</v>
      </c>
      <c r="H716">
        <v>0</v>
      </c>
      <c r="I716" t="s">
        <v>86</v>
      </c>
    </row>
    <row r="717" spans="1:9" x14ac:dyDescent="0.35">
      <c r="A717" t="s">
        <v>10</v>
      </c>
      <c r="B717">
        <v>2040</v>
      </c>
      <c r="C717" t="s">
        <v>85</v>
      </c>
      <c r="D717" t="s">
        <v>52</v>
      </c>
      <c r="E717">
        <v>5.4196921353680698E-2</v>
      </c>
      <c r="F717">
        <v>5.4196921353680698E-2</v>
      </c>
      <c r="G717">
        <v>0</v>
      </c>
      <c r="H717">
        <v>0</v>
      </c>
      <c r="I717" t="s">
        <v>86</v>
      </c>
    </row>
    <row r="718" spans="1:9" x14ac:dyDescent="0.35">
      <c r="A718" t="s">
        <v>10</v>
      </c>
      <c r="B718">
        <v>2040</v>
      </c>
      <c r="C718" t="s">
        <v>85</v>
      </c>
      <c r="D718" t="s">
        <v>53</v>
      </c>
      <c r="E718">
        <v>0.20614076430279199</v>
      </c>
      <c r="F718">
        <v>0.20614076430279199</v>
      </c>
      <c r="G718">
        <v>0</v>
      </c>
      <c r="H718">
        <v>0</v>
      </c>
      <c r="I718" t="s">
        <v>86</v>
      </c>
    </row>
    <row r="719" spans="1:9" x14ac:dyDescent="0.35">
      <c r="A719" t="s">
        <v>10</v>
      </c>
      <c r="B719">
        <v>2040</v>
      </c>
      <c r="C719" t="s">
        <v>85</v>
      </c>
      <c r="D719" t="s">
        <v>54</v>
      </c>
      <c r="E719">
        <v>4.9335451334837403E-2</v>
      </c>
      <c r="F719">
        <v>4.2085371226667501E-2</v>
      </c>
      <c r="G719">
        <v>-7.2500801081698098E-3</v>
      </c>
      <c r="H719">
        <v>-14.695477414332</v>
      </c>
      <c r="I719" t="s">
        <v>86</v>
      </c>
    </row>
    <row r="720" spans="1:9" x14ac:dyDescent="0.35">
      <c r="A720" t="s">
        <v>10</v>
      </c>
      <c r="B720">
        <v>2040</v>
      </c>
      <c r="C720" t="s">
        <v>85</v>
      </c>
      <c r="D720" t="s">
        <v>55</v>
      </c>
      <c r="E720">
        <v>4.5578154260739398E-2</v>
      </c>
      <c r="F720">
        <v>3.8430096014321499E-2</v>
      </c>
      <c r="G720">
        <v>-7.1480582464178702E-3</v>
      </c>
      <c r="H720">
        <v>-15.6830796734898</v>
      </c>
      <c r="I720" t="s">
        <v>86</v>
      </c>
    </row>
    <row r="721" spans="1:9" x14ac:dyDescent="0.35">
      <c r="A721" t="s">
        <v>10</v>
      </c>
      <c r="B721">
        <v>2040</v>
      </c>
      <c r="C721" t="s">
        <v>85</v>
      </c>
      <c r="D721" t="s">
        <v>56</v>
      </c>
      <c r="E721" s="1">
        <v>4.1453917410418199E-8</v>
      </c>
      <c r="F721" s="1">
        <v>4.1453917410418199E-8</v>
      </c>
      <c r="G721">
        <v>0</v>
      </c>
      <c r="H721">
        <v>0</v>
      </c>
      <c r="I721" t="s">
        <v>86</v>
      </c>
    </row>
    <row r="722" spans="1:9" x14ac:dyDescent="0.35">
      <c r="A722" t="s">
        <v>4</v>
      </c>
      <c r="B722">
        <v>2025</v>
      </c>
      <c r="C722" t="s">
        <v>72</v>
      </c>
      <c r="D722" t="s">
        <v>38</v>
      </c>
      <c r="E722">
        <v>5.3461572008414397E-3</v>
      </c>
      <c r="F722">
        <v>5.3461572008414397E-3</v>
      </c>
      <c r="G722">
        <v>0</v>
      </c>
      <c r="H722">
        <v>0</v>
      </c>
      <c r="I722" t="s">
        <v>73</v>
      </c>
    </row>
    <row r="723" spans="1:9" x14ac:dyDescent="0.35">
      <c r="A723" t="s">
        <v>4</v>
      </c>
      <c r="B723">
        <v>2025</v>
      </c>
      <c r="C723" t="s">
        <v>72</v>
      </c>
      <c r="D723" t="s">
        <v>40</v>
      </c>
      <c r="E723">
        <v>1.2670393810857599E-3</v>
      </c>
      <c r="F723">
        <v>1.2670393810857599E-3</v>
      </c>
      <c r="G723">
        <v>0</v>
      </c>
      <c r="H723">
        <v>0</v>
      </c>
      <c r="I723" t="s">
        <v>73</v>
      </c>
    </row>
    <row r="724" spans="1:9" x14ac:dyDescent="0.35">
      <c r="A724" t="s">
        <v>4</v>
      </c>
      <c r="B724">
        <v>2025</v>
      </c>
      <c r="C724" t="s">
        <v>72</v>
      </c>
      <c r="D724" t="s">
        <v>41</v>
      </c>
      <c r="E724">
        <v>3.5778604876096499E-2</v>
      </c>
      <c r="F724">
        <v>3.5778604876096499E-2</v>
      </c>
      <c r="G724">
        <v>0</v>
      </c>
      <c r="H724">
        <v>0</v>
      </c>
      <c r="I724" t="s">
        <v>73</v>
      </c>
    </row>
    <row r="725" spans="1:9" x14ac:dyDescent="0.35">
      <c r="A725" t="s">
        <v>4</v>
      </c>
      <c r="B725">
        <v>2025</v>
      </c>
      <c r="C725" t="s">
        <v>72</v>
      </c>
      <c r="D725" t="s">
        <v>42</v>
      </c>
      <c r="E725">
        <v>5.4043258762167099</v>
      </c>
      <c r="F725">
        <v>5.4043258762167099</v>
      </c>
      <c r="G725">
        <v>0</v>
      </c>
      <c r="H725">
        <v>0</v>
      </c>
      <c r="I725" t="s">
        <v>73</v>
      </c>
    </row>
    <row r="726" spans="1:9" x14ac:dyDescent="0.35">
      <c r="A726" t="s">
        <v>4</v>
      </c>
      <c r="B726">
        <v>2025</v>
      </c>
      <c r="C726" t="s">
        <v>72</v>
      </c>
      <c r="D726" t="s">
        <v>43</v>
      </c>
      <c r="E726">
        <v>4.0288801505473003E-2</v>
      </c>
      <c r="F726">
        <v>4.0288801505473003E-2</v>
      </c>
      <c r="G726">
        <v>0</v>
      </c>
      <c r="H726">
        <v>0</v>
      </c>
      <c r="I726" t="s">
        <v>73</v>
      </c>
    </row>
    <row r="727" spans="1:9" x14ac:dyDescent="0.35">
      <c r="A727" t="s">
        <v>4</v>
      </c>
      <c r="B727">
        <v>2025</v>
      </c>
      <c r="C727" t="s">
        <v>72</v>
      </c>
      <c r="D727" t="s">
        <v>136</v>
      </c>
      <c r="E727">
        <v>8.37856389734565</v>
      </c>
      <c r="F727">
        <v>8.37856389734565</v>
      </c>
      <c r="G727">
        <v>0</v>
      </c>
      <c r="H727">
        <v>0</v>
      </c>
      <c r="I727" t="s">
        <v>73</v>
      </c>
    </row>
    <row r="728" spans="1:9" x14ac:dyDescent="0.35">
      <c r="A728" t="s">
        <v>4</v>
      </c>
      <c r="B728">
        <v>2025</v>
      </c>
      <c r="C728" t="s">
        <v>72</v>
      </c>
      <c r="D728" t="s">
        <v>45</v>
      </c>
      <c r="E728">
        <v>3.4377451708391203E-2</v>
      </c>
      <c r="F728">
        <v>3.4377451708391203E-2</v>
      </c>
      <c r="G728">
        <v>0</v>
      </c>
      <c r="H728">
        <v>0</v>
      </c>
      <c r="I728" t="s">
        <v>73</v>
      </c>
    </row>
    <row r="729" spans="1:9" x14ac:dyDescent="0.35">
      <c r="A729" t="s">
        <v>4</v>
      </c>
      <c r="B729">
        <v>2025</v>
      </c>
      <c r="C729" t="s">
        <v>72</v>
      </c>
      <c r="D729" t="s">
        <v>46</v>
      </c>
      <c r="E729">
        <v>0.36120624616855701</v>
      </c>
      <c r="F729">
        <v>0.36120624616855701</v>
      </c>
      <c r="G729">
        <v>0</v>
      </c>
      <c r="H729">
        <v>0</v>
      </c>
      <c r="I729" t="s">
        <v>73</v>
      </c>
    </row>
    <row r="730" spans="1:9" x14ac:dyDescent="0.35">
      <c r="A730" t="s">
        <v>4</v>
      </c>
      <c r="B730">
        <v>2025</v>
      </c>
      <c r="C730" t="s">
        <v>72</v>
      </c>
      <c r="D730" t="s">
        <v>47</v>
      </c>
      <c r="E730">
        <v>5.4193904968835201E-3</v>
      </c>
      <c r="F730">
        <v>5.4193904968835201E-3</v>
      </c>
      <c r="G730">
        <v>0</v>
      </c>
      <c r="H730">
        <v>0</v>
      </c>
      <c r="I730" t="s">
        <v>73</v>
      </c>
    </row>
    <row r="731" spans="1:9" x14ac:dyDescent="0.35">
      <c r="A731" t="s">
        <v>4</v>
      </c>
      <c r="B731">
        <v>2025</v>
      </c>
      <c r="C731" t="s">
        <v>72</v>
      </c>
      <c r="D731" t="s">
        <v>48</v>
      </c>
      <c r="E731">
        <v>1.19483432727828</v>
      </c>
      <c r="F731">
        <v>1.19483432727828</v>
      </c>
      <c r="G731">
        <v>0</v>
      </c>
      <c r="H731">
        <v>0</v>
      </c>
      <c r="I731" t="s">
        <v>73</v>
      </c>
    </row>
    <row r="732" spans="1:9" x14ac:dyDescent="0.35">
      <c r="A732" t="s">
        <v>4</v>
      </c>
      <c r="B732">
        <v>2025</v>
      </c>
      <c r="C732" t="s">
        <v>72</v>
      </c>
      <c r="D732" t="s">
        <v>49</v>
      </c>
      <c r="E732">
        <v>6.2463277181617698E-2</v>
      </c>
      <c r="F732">
        <v>6.2463277181617698E-2</v>
      </c>
      <c r="G732">
        <v>0</v>
      </c>
      <c r="H732">
        <v>0</v>
      </c>
      <c r="I732" t="s">
        <v>73</v>
      </c>
    </row>
    <row r="733" spans="1:9" x14ac:dyDescent="0.35">
      <c r="A733" t="s">
        <v>4</v>
      </c>
      <c r="B733">
        <v>2025</v>
      </c>
      <c r="C733" t="s">
        <v>72</v>
      </c>
      <c r="D733" t="s">
        <v>50</v>
      </c>
      <c r="E733">
        <v>0.14748157054983199</v>
      </c>
      <c r="F733">
        <v>0.14748157054983199</v>
      </c>
      <c r="G733">
        <v>0</v>
      </c>
      <c r="H733">
        <v>0</v>
      </c>
      <c r="I733" t="s">
        <v>73</v>
      </c>
    </row>
    <row r="734" spans="1:9" x14ac:dyDescent="0.35">
      <c r="A734" t="s">
        <v>4</v>
      </c>
      <c r="B734">
        <v>2025</v>
      </c>
      <c r="C734" t="s">
        <v>72</v>
      </c>
      <c r="D734" t="s">
        <v>51</v>
      </c>
      <c r="E734">
        <v>0.235326095023278</v>
      </c>
      <c r="F734">
        <v>0.235326095023278</v>
      </c>
      <c r="G734">
        <v>0</v>
      </c>
      <c r="H734">
        <v>0</v>
      </c>
      <c r="I734" t="s">
        <v>73</v>
      </c>
    </row>
    <row r="735" spans="1:9" x14ac:dyDescent="0.35">
      <c r="A735" t="s">
        <v>4</v>
      </c>
      <c r="B735">
        <v>2025</v>
      </c>
      <c r="C735" t="s">
        <v>72</v>
      </c>
      <c r="D735" t="s">
        <v>52</v>
      </c>
      <c r="E735">
        <v>0.47874962238725399</v>
      </c>
      <c r="F735">
        <v>0.47874962238725399</v>
      </c>
      <c r="G735">
        <v>0</v>
      </c>
      <c r="H735">
        <v>0</v>
      </c>
      <c r="I735" t="s">
        <v>73</v>
      </c>
    </row>
    <row r="736" spans="1:9" x14ac:dyDescent="0.35">
      <c r="A736" t="s">
        <v>4</v>
      </c>
      <c r="B736">
        <v>2025</v>
      </c>
      <c r="C736" t="s">
        <v>72</v>
      </c>
      <c r="D736" t="s">
        <v>53</v>
      </c>
      <c r="E736">
        <v>2.6159673097004199</v>
      </c>
      <c r="F736">
        <v>2.6159673097004199</v>
      </c>
      <c r="G736">
        <v>0</v>
      </c>
      <c r="H736">
        <v>0</v>
      </c>
      <c r="I736" t="s">
        <v>73</v>
      </c>
    </row>
    <row r="737" spans="1:9" x14ac:dyDescent="0.35">
      <c r="A737" t="s">
        <v>4</v>
      </c>
      <c r="B737">
        <v>2025</v>
      </c>
      <c r="C737" t="s">
        <v>72</v>
      </c>
      <c r="D737" t="s">
        <v>54</v>
      </c>
      <c r="E737">
        <v>0.87765713398010403</v>
      </c>
      <c r="F737">
        <v>0.87765713398010403</v>
      </c>
      <c r="G737">
        <v>0</v>
      </c>
      <c r="H737">
        <v>0</v>
      </c>
      <c r="I737" t="s">
        <v>73</v>
      </c>
    </row>
    <row r="738" spans="1:9" x14ac:dyDescent="0.35">
      <c r="A738" t="s">
        <v>4</v>
      </c>
      <c r="B738">
        <v>2025</v>
      </c>
      <c r="C738" t="s">
        <v>72</v>
      </c>
      <c r="D738" t="s">
        <v>55</v>
      </c>
      <c r="E738">
        <v>0.528104934818593</v>
      </c>
      <c r="F738">
        <v>0.528104934818593</v>
      </c>
      <c r="G738">
        <v>0</v>
      </c>
      <c r="H738">
        <v>0</v>
      </c>
      <c r="I738" t="s">
        <v>73</v>
      </c>
    </row>
    <row r="739" spans="1:9" x14ac:dyDescent="0.35">
      <c r="A739" t="s">
        <v>4</v>
      </c>
      <c r="B739">
        <v>2025</v>
      </c>
      <c r="C739" t="s">
        <v>72</v>
      </c>
      <c r="D739" t="s">
        <v>56</v>
      </c>
      <c r="E739" s="1">
        <v>1.0062700457139E-6</v>
      </c>
      <c r="F739" s="1">
        <v>1.0062700457139E-6</v>
      </c>
      <c r="G739">
        <v>0</v>
      </c>
      <c r="H739">
        <v>0</v>
      </c>
      <c r="I739" t="s">
        <v>73</v>
      </c>
    </row>
    <row r="740" spans="1:9" x14ac:dyDescent="0.35">
      <c r="A740" t="s">
        <v>6</v>
      </c>
      <c r="B740">
        <v>2030</v>
      </c>
      <c r="C740" t="s">
        <v>72</v>
      </c>
      <c r="D740" t="s">
        <v>38</v>
      </c>
      <c r="E740">
        <v>5.3084012402007203E-3</v>
      </c>
      <c r="F740">
        <v>5.3084012402007203E-3</v>
      </c>
      <c r="G740">
        <v>0</v>
      </c>
      <c r="H740">
        <v>0</v>
      </c>
      <c r="I740" t="s">
        <v>73</v>
      </c>
    </row>
    <row r="741" spans="1:9" x14ac:dyDescent="0.35">
      <c r="A741" t="s">
        <v>6</v>
      </c>
      <c r="B741">
        <v>2030</v>
      </c>
      <c r="C741" t="s">
        <v>72</v>
      </c>
      <c r="D741" t="s">
        <v>40</v>
      </c>
      <c r="E741">
        <v>1.1947464398447301E-3</v>
      </c>
      <c r="F741">
        <v>1.1947464398447301E-3</v>
      </c>
      <c r="G741">
        <v>0</v>
      </c>
      <c r="H741">
        <v>0</v>
      </c>
      <c r="I741" t="s">
        <v>73</v>
      </c>
    </row>
    <row r="742" spans="1:9" x14ac:dyDescent="0.35">
      <c r="A742" t="s">
        <v>6</v>
      </c>
      <c r="B742">
        <v>2030</v>
      </c>
      <c r="C742" t="s">
        <v>72</v>
      </c>
      <c r="D742" t="s">
        <v>41</v>
      </c>
      <c r="E742">
        <v>3.4470366850424899E-2</v>
      </c>
      <c r="F742">
        <v>3.4470366850424899E-2</v>
      </c>
      <c r="G742">
        <v>0</v>
      </c>
      <c r="H742">
        <v>0</v>
      </c>
      <c r="I742" t="s">
        <v>73</v>
      </c>
    </row>
    <row r="743" spans="1:9" x14ac:dyDescent="0.35">
      <c r="A743" t="s">
        <v>6</v>
      </c>
      <c r="B743">
        <v>2030</v>
      </c>
      <c r="C743" t="s">
        <v>72</v>
      </c>
      <c r="D743" t="s">
        <v>42</v>
      </c>
      <c r="E743">
        <v>5.2510887380661702</v>
      </c>
      <c r="F743">
        <v>5.2510887380661702</v>
      </c>
      <c r="G743">
        <v>0</v>
      </c>
      <c r="H743">
        <v>0</v>
      </c>
      <c r="I743" t="s">
        <v>73</v>
      </c>
    </row>
    <row r="744" spans="1:9" x14ac:dyDescent="0.35">
      <c r="A744" t="s">
        <v>6</v>
      </c>
      <c r="B744">
        <v>2030</v>
      </c>
      <c r="C744" t="s">
        <v>72</v>
      </c>
      <c r="D744" t="s">
        <v>43</v>
      </c>
      <c r="E744">
        <v>3.9813365404877198E-2</v>
      </c>
      <c r="F744">
        <v>3.9813365404877198E-2</v>
      </c>
      <c r="G744">
        <v>0</v>
      </c>
      <c r="H744">
        <v>0</v>
      </c>
      <c r="I744" t="s">
        <v>73</v>
      </c>
    </row>
    <row r="745" spans="1:9" x14ac:dyDescent="0.35">
      <c r="A745" t="s">
        <v>6</v>
      </c>
      <c r="B745">
        <v>2030</v>
      </c>
      <c r="C745" t="s">
        <v>72</v>
      </c>
      <c r="D745" t="s">
        <v>136</v>
      </c>
      <c r="E745">
        <v>7.6789779833908902</v>
      </c>
      <c r="F745">
        <v>7.6789779833908902</v>
      </c>
      <c r="G745">
        <v>0</v>
      </c>
      <c r="H745">
        <v>0</v>
      </c>
      <c r="I745" t="s">
        <v>73</v>
      </c>
    </row>
    <row r="746" spans="1:9" x14ac:dyDescent="0.35">
      <c r="A746" t="s">
        <v>6</v>
      </c>
      <c r="B746">
        <v>2030</v>
      </c>
      <c r="C746" t="s">
        <v>72</v>
      </c>
      <c r="D746" t="s">
        <v>45</v>
      </c>
      <c r="E746">
        <v>3.2917306836273301E-2</v>
      </c>
      <c r="F746">
        <v>3.2917306836273301E-2</v>
      </c>
      <c r="G746">
        <v>0</v>
      </c>
      <c r="H746">
        <v>0</v>
      </c>
      <c r="I746" t="s">
        <v>73</v>
      </c>
    </row>
    <row r="747" spans="1:9" x14ac:dyDescent="0.35">
      <c r="A747" t="s">
        <v>6</v>
      </c>
      <c r="B747">
        <v>2030</v>
      </c>
      <c r="C747" t="s">
        <v>72</v>
      </c>
      <c r="D747" t="s">
        <v>46</v>
      </c>
      <c r="E747">
        <v>0.367439392034142</v>
      </c>
      <c r="F747">
        <v>0.367439392034142</v>
      </c>
      <c r="G747">
        <v>0</v>
      </c>
      <c r="H747">
        <v>0</v>
      </c>
      <c r="I747" t="s">
        <v>73</v>
      </c>
    </row>
    <row r="748" spans="1:9" x14ac:dyDescent="0.35">
      <c r="A748" t="s">
        <v>6</v>
      </c>
      <c r="B748">
        <v>2030</v>
      </c>
      <c r="C748" t="s">
        <v>72</v>
      </c>
      <c r="D748" t="s">
        <v>47</v>
      </c>
      <c r="E748">
        <v>5.2386953199179001E-3</v>
      </c>
      <c r="F748">
        <v>5.2386953199179001E-3</v>
      </c>
      <c r="G748">
        <v>0</v>
      </c>
      <c r="H748">
        <v>0</v>
      </c>
      <c r="I748" t="s">
        <v>73</v>
      </c>
    </row>
    <row r="749" spans="1:9" x14ac:dyDescent="0.35">
      <c r="A749" t="s">
        <v>6</v>
      </c>
      <c r="B749">
        <v>2030</v>
      </c>
      <c r="C749" t="s">
        <v>72</v>
      </c>
      <c r="D749" t="s">
        <v>48</v>
      </c>
      <c r="E749">
        <v>1.1986071978824</v>
      </c>
      <c r="F749">
        <v>1.1986071978824</v>
      </c>
      <c r="G749">
        <v>0</v>
      </c>
      <c r="H749">
        <v>0</v>
      </c>
      <c r="I749" t="s">
        <v>73</v>
      </c>
    </row>
    <row r="750" spans="1:9" x14ac:dyDescent="0.35">
      <c r="A750" t="s">
        <v>6</v>
      </c>
      <c r="B750">
        <v>2030</v>
      </c>
      <c r="C750" t="s">
        <v>72</v>
      </c>
      <c r="D750" t="s">
        <v>49</v>
      </c>
      <c r="E750">
        <v>6.0595219690222003E-2</v>
      </c>
      <c r="F750">
        <v>6.0595219690222003E-2</v>
      </c>
      <c r="G750">
        <v>0</v>
      </c>
      <c r="H750">
        <v>0</v>
      </c>
      <c r="I750" t="s">
        <v>73</v>
      </c>
    </row>
    <row r="751" spans="1:9" x14ac:dyDescent="0.35">
      <c r="A751" t="s">
        <v>6</v>
      </c>
      <c r="B751">
        <v>2030</v>
      </c>
      <c r="C751" t="s">
        <v>72</v>
      </c>
      <c r="D751" t="s">
        <v>50</v>
      </c>
      <c r="E751">
        <v>0.144933353639839</v>
      </c>
      <c r="F751">
        <v>0.144933353639839</v>
      </c>
      <c r="G751">
        <v>0</v>
      </c>
      <c r="H751">
        <v>0</v>
      </c>
      <c r="I751" t="s">
        <v>73</v>
      </c>
    </row>
    <row r="752" spans="1:9" x14ac:dyDescent="0.35">
      <c r="A752" t="s">
        <v>6</v>
      </c>
      <c r="B752">
        <v>2030</v>
      </c>
      <c r="C752" t="s">
        <v>72</v>
      </c>
      <c r="D752" t="s">
        <v>51</v>
      </c>
      <c r="E752">
        <v>0.23830602338399801</v>
      </c>
      <c r="F752">
        <v>0.23830602338399801</v>
      </c>
      <c r="G752">
        <v>0</v>
      </c>
      <c r="H752">
        <v>0</v>
      </c>
      <c r="I752" t="s">
        <v>73</v>
      </c>
    </row>
    <row r="753" spans="1:9" x14ac:dyDescent="0.35">
      <c r="A753" t="s">
        <v>6</v>
      </c>
      <c r="B753">
        <v>2030</v>
      </c>
      <c r="C753" t="s">
        <v>72</v>
      </c>
      <c r="D753" t="s">
        <v>52</v>
      </c>
      <c r="E753">
        <v>0.42391554206325199</v>
      </c>
      <c r="F753">
        <v>0.42391554206325199</v>
      </c>
      <c r="G753">
        <v>0</v>
      </c>
      <c r="H753">
        <v>0</v>
      </c>
      <c r="I753" t="s">
        <v>73</v>
      </c>
    </row>
    <row r="754" spans="1:9" x14ac:dyDescent="0.35">
      <c r="A754" t="s">
        <v>6</v>
      </c>
      <c r="B754">
        <v>2030</v>
      </c>
      <c r="C754" t="s">
        <v>72</v>
      </c>
      <c r="D754" t="s">
        <v>53</v>
      </c>
      <c r="E754">
        <v>2.4609112004095701</v>
      </c>
      <c r="F754">
        <v>2.4609112004095701</v>
      </c>
      <c r="G754">
        <v>0</v>
      </c>
      <c r="H754">
        <v>0</v>
      </c>
      <c r="I754" t="s">
        <v>73</v>
      </c>
    </row>
    <row r="755" spans="1:9" x14ac:dyDescent="0.35">
      <c r="A755" t="s">
        <v>6</v>
      </c>
      <c r="B755">
        <v>2030</v>
      </c>
      <c r="C755" t="s">
        <v>72</v>
      </c>
      <c r="D755" t="s">
        <v>54</v>
      </c>
      <c r="E755">
        <v>0.88044931119120096</v>
      </c>
      <c r="F755">
        <v>0.88044931119120096</v>
      </c>
      <c r="G755">
        <v>0</v>
      </c>
      <c r="H755">
        <v>0</v>
      </c>
      <c r="I755" t="s">
        <v>73</v>
      </c>
    </row>
    <row r="756" spans="1:9" x14ac:dyDescent="0.35">
      <c r="A756" t="s">
        <v>6</v>
      </c>
      <c r="B756">
        <v>2030</v>
      </c>
      <c r="C756" t="s">
        <v>72</v>
      </c>
      <c r="D756" t="s">
        <v>55</v>
      </c>
      <c r="E756">
        <v>0.52991799998686895</v>
      </c>
      <c r="F756">
        <v>0.52991799998686895</v>
      </c>
      <c r="G756">
        <v>0</v>
      </c>
      <c r="H756">
        <v>0</v>
      </c>
      <c r="I756" t="s">
        <v>73</v>
      </c>
    </row>
    <row r="757" spans="1:9" x14ac:dyDescent="0.35">
      <c r="A757" t="s">
        <v>6</v>
      </c>
      <c r="B757">
        <v>2030</v>
      </c>
      <c r="C757" t="s">
        <v>72</v>
      </c>
      <c r="D757" t="s">
        <v>56</v>
      </c>
      <c r="E757" s="1">
        <v>9.7736442511545797E-7</v>
      </c>
      <c r="F757" s="1">
        <v>9.7736442511545797E-7</v>
      </c>
      <c r="G757">
        <v>0</v>
      </c>
      <c r="H757">
        <v>0</v>
      </c>
      <c r="I757" t="s">
        <v>73</v>
      </c>
    </row>
    <row r="758" spans="1:9" x14ac:dyDescent="0.35">
      <c r="A758" t="s">
        <v>8</v>
      </c>
      <c r="B758">
        <v>2035</v>
      </c>
      <c r="C758" t="s">
        <v>72</v>
      </c>
      <c r="D758" t="s">
        <v>38</v>
      </c>
      <c r="E758">
        <v>5.1416328257090603E-3</v>
      </c>
      <c r="F758">
        <v>5.1416328257090603E-3</v>
      </c>
      <c r="G758">
        <v>0</v>
      </c>
      <c r="H758">
        <v>0</v>
      </c>
      <c r="I758" t="s">
        <v>73</v>
      </c>
    </row>
    <row r="759" spans="1:9" x14ac:dyDescent="0.35">
      <c r="A759" t="s">
        <v>8</v>
      </c>
      <c r="B759">
        <v>2035</v>
      </c>
      <c r="C759" t="s">
        <v>72</v>
      </c>
      <c r="D759" t="s">
        <v>40</v>
      </c>
      <c r="E759">
        <v>1.1359757623324201E-3</v>
      </c>
      <c r="F759">
        <v>1.1359757623324201E-3</v>
      </c>
      <c r="G759">
        <v>0</v>
      </c>
      <c r="H759">
        <v>0</v>
      </c>
      <c r="I759" t="s">
        <v>73</v>
      </c>
    </row>
    <row r="760" spans="1:9" x14ac:dyDescent="0.35">
      <c r="A760" t="s">
        <v>8</v>
      </c>
      <c r="B760">
        <v>2035</v>
      </c>
      <c r="C760" t="s">
        <v>72</v>
      </c>
      <c r="D760" t="s">
        <v>41</v>
      </c>
      <c r="E760">
        <v>3.3529281932929297E-2</v>
      </c>
      <c r="F760">
        <v>3.3529281932929297E-2</v>
      </c>
      <c r="G760">
        <v>0</v>
      </c>
      <c r="H760">
        <v>0</v>
      </c>
      <c r="I760" t="s">
        <v>73</v>
      </c>
    </row>
    <row r="761" spans="1:9" x14ac:dyDescent="0.35">
      <c r="A761" t="s">
        <v>8</v>
      </c>
      <c r="B761">
        <v>2035</v>
      </c>
      <c r="C761" t="s">
        <v>72</v>
      </c>
      <c r="D761" t="s">
        <v>42</v>
      </c>
      <c r="E761">
        <v>5.1497023548006204</v>
      </c>
      <c r="F761">
        <v>5.1497023548006204</v>
      </c>
      <c r="G761">
        <v>0</v>
      </c>
      <c r="H761">
        <v>0</v>
      </c>
      <c r="I761" t="s">
        <v>73</v>
      </c>
    </row>
    <row r="762" spans="1:9" x14ac:dyDescent="0.35">
      <c r="A762" t="s">
        <v>8</v>
      </c>
      <c r="B762">
        <v>2035</v>
      </c>
      <c r="C762" t="s">
        <v>72</v>
      </c>
      <c r="D762" t="s">
        <v>43</v>
      </c>
      <c r="E762">
        <v>3.9434116678234203E-2</v>
      </c>
      <c r="F762">
        <v>3.9434116678234203E-2</v>
      </c>
      <c r="G762">
        <v>0</v>
      </c>
      <c r="H762">
        <v>0</v>
      </c>
      <c r="I762" t="s">
        <v>73</v>
      </c>
    </row>
    <row r="763" spans="1:9" x14ac:dyDescent="0.35">
      <c r="A763" t="s">
        <v>8</v>
      </c>
      <c r="B763">
        <v>2035</v>
      </c>
      <c r="C763" t="s">
        <v>72</v>
      </c>
      <c r="D763" t="s">
        <v>136</v>
      </c>
      <c r="E763">
        <v>7.1392855324026199</v>
      </c>
      <c r="F763">
        <v>7.1392855324026199</v>
      </c>
      <c r="G763">
        <v>0</v>
      </c>
      <c r="H763">
        <v>0</v>
      </c>
      <c r="I763" t="s">
        <v>73</v>
      </c>
    </row>
    <row r="764" spans="1:9" x14ac:dyDescent="0.35">
      <c r="A764" t="s">
        <v>8</v>
      </c>
      <c r="B764">
        <v>2035</v>
      </c>
      <c r="C764" t="s">
        <v>72</v>
      </c>
      <c r="D764" t="s">
        <v>45</v>
      </c>
      <c r="E764">
        <v>3.1975881802836698E-2</v>
      </c>
      <c r="F764">
        <v>3.1975881802836698E-2</v>
      </c>
      <c r="G764">
        <v>0</v>
      </c>
      <c r="H764">
        <v>0</v>
      </c>
      <c r="I764" t="s">
        <v>73</v>
      </c>
    </row>
    <row r="765" spans="1:9" x14ac:dyDescent="0.35">
      <c r="A765" t="s">
        <v>8</v>
      </c>
      <c r="B765">
        <v>2035</v>
      </c>
      <c r="C765" t="s">
        <v>72</v>
      </c>
      <c r="D765" t="s">
        <v>46</v>
      </c>
      <c r="E765">
        <v>0.40767146429932399</v>
      </c>
      <c r="F765">
        <v>0.40767146429932399</v>
      </c>
      <c r="G765">
        <v>0</v>
      </c>
      <c r="H765">
        <v>0</v>
      </c>
      <c r="I765" t="s">
        <v>73</v>
      </c>
    </row>
    <row r="766" spans="1:9" x14ac:dyDescent="0.35">
      <c r="A766" t="s">
        <v>8</v>
      </c>
      <c r="B766">
        <v>2035</v>
      </c>
      <c r="C766" t="s">
        <v>72</v>
      </c>
      <c r="D766" t="s">
        <v>47</v>
      </c>
      <c r="E766">
        <v>5.1063823424388598E-3</v>
      </c>
      <c r="F766">
        <v>5.1063823424388598E-3</v>
      </c>
      <c r="G766">
        <v>0</v>
      </c>
      <c r="H766">
        <v>0</v>
      </c>
      <c r="I766" t="s">
        <v>73</v>
      </c>
    </row>
    <row r="767" spans="1:9" x14ac:dyDescent="0.35">
      <c r="A767" t="s">
        <v>8</v>
      </c>
      <c r="B767">
        <v>2035</v>
      </c>
      <c r="C767" t="s">
        <v>72</v>
      </c>
      <c r="D767" t="s">
        <v>48</v>
      </c>
      <c r="E767">
        <v>1.20324865772872</v>
      </c>
      <c r="F767">
        <v>1.20324865772872</v>
      </c>
      <c r="G767">
        <v>0</v>
      </c>
      <c r="H767">
        <v>0</v>
      </c>
      <c r="I767" t="s">
        <v>73</v>
      </c>
    </row>
    <row r="768" spans="1:9" x14ac:dyDescent="0.35">
      <c r="A768" t="s">
        <v>8</v>
      </c>
      <c r="B768">
        <v>2035</v>
      </c>
      <c r="C768" t="s">
        <v>72</v>
      </c>
      <c r="D768" t="s">
        <v>49</v>
      </c>
      <c r="E768">
        <v>5.9268615362978803E-2</v>
      </c>
      <c r="F768">
        <v>5.9268615362978803E-2</v>
      </c>
      <c r="G768">
        <v>0</v>
      </c>
      <c r="H768">
        <v>0</v>
      </c>
      <c r="I768" t="s">
        <v>73</v>
      </c>
    </row>
    <row r="769" spans="1:9" x14ac:dyDescent="0.35">
      <c r="A769" t="s">
        <v>8</v>
      </c>
      <c r="B769">
        <v>2035</v>
      </c>
      <c r="C769" t="s">
        <v>72</v>
      </c>
      <c r="D769" t="s">
        <v>50</v>
      </c>
      <c r="E769">
        <v>0.14229252168294701</v>
      </c>
      <c r="F769">
        <v>0.14229252168294701</v>
      </c>
      <c r="G769">
        <v>0</v>
      </c>
      <c r="H769">
        <v>0</v>
      </c>
      <c r="I769" t="s">
        <v>73</v>
      </c>
    </row>
    <row r="770" spans="1:9" x14ac:dyDescent="0.35">
      <c r="A770" t="s">
        <v>8</v>
      </c>
      <c r="B770">
        <v>2035</v>
      </c>
      <c r="C770" t="s">
        <v>72</v>
      </c>
      <c r="D770" t="s">
        <v>51</v>
      </c>
      <c r="E770">
        <v>0.243943782729164</v>
      </c>
      <c r="F770">
        <v>0.243943782729164</v>
      </c>
      <c r="G770">
        <v>0</v>
      </c>
      <c r="H770">
        <v>0</v>
      </c>
      <c r="I770" t="s">
        <v>73</v>
      </c>
    </row>
    <row r="771" spans="1:9" x14ac:dyDescent="0.35">
      <c r="A771" t="s">
        <v>8</v>
      </c>
      <c r="B771">
        <v>2035</v>
      </c>
      <c r="C771" t="s">
        <v>72</v>
      </c>
      <c r="D771" t="s">
        <v>52</v>
      </c>
      <c r="E771">
        <v>0.36966126700063201</v>
      </c>
      <c r="F771">
        <v>0.36966126700063201</v>
      </c>
      <c r="G771">
        <v>0</v>
      </c>
      <c r="H771">
        <v>0</v>
      </c>
      <c r="I771" t="s">
        <v>73</v>
      </c>
    </row>
    <row r="772" spans="1:9" x14ac:dyDescent="0.35">
      <c r="A772" t="s">
        <v>8</v>
      </c>
      <c r="B772">
        <v>2035</v>
      </c>
      <c r="C772" t="s">
        <v>72</v>
      </c>
      <c r="D772" t="s">
        <v>53</v>
      </c>
      <c r="E772">
        <v>2.3403415349536298</v>
      </c>
      <c r="F772">
        <v>2.3403415349536298</v>
      </c>
      <c r="G772">
        <v>0</v>
      </c>
      <c r="H772">
        <v>0</v>
      </c>
      <c r="I772" t="s">
        <v>73</v>
      </c>
    </row>
    <row r="773" spans="1:9" x14ac:dyDescent="0.35">
      <c r="A773" t="s">
        <v>8</v>
      </c>
      <c r="B773">
        <v>2035</v>
      </c>
      <c r="C773" t="s">
        <v>72</v>
      </c>
      <c r="D773" t="s">
        <v>54</v>
      </c>
      <c r="E773">
        <v>0.88208333299929498</v>
      </c>
      <c r="F773">
        <v>0.88208333299929498</v>
      </c>
      <c r="G773">
        <v>0</v>
      </c>
      <c r="H773">
        <v>0</v>
      </c>
      <c r="I773" t="s">
        <v>73</v>
      </c>
    </row>
    <row r="774" spans="1:9" x14ac:dyDescent="0.35">
      <c r="A774" t="s">
        <v>8</v>
      </c>
      <c r="B774">
        <v>2035</v>
      </c>
      <c r="C774" t="s">
        <v>72</v>
      </c>
      <c r="D774" t="s">
        <v>55</v>
      </c>
      <c r="E774">
        <v>0.53109303276556696</v>
      </c>
      <c r="F774">
        <v>0.53109303276556696</v>
      </c>
      <c r="G774">
        <v>0</v>
      </c>
      <c r="H774">
        <v>0</v>
      </c>
      <c r="I774" t="s">
        <v>73</v>
      </c>
    </row>
    <row r="775" spans="1:9" x14ac:dyDescent="0.35">
      <c r="A775" t="s">
        <v>8</v>
      </c>
      <c r="B775">
        <v>2035</v>
      </c>
      <c r="C775" t="s">
        <v>72</v>
      </c>
      <c r="D775" t="s">
        <v>56</v>
      </c>
      <c r="E775" s="1">
        <v>9.6178257605714693E-7</v>
      </c>
      <c r="F775" s="1">
        <v>9.6178257605714693E-7</v>
      </c>
      <c r="G775">
        <v>0</v>
      </c>
      <c r="H775">
        <v>0</v>
      </c>
      <c r="I775" t="s">
        <v>73</v>
      </c>
    </row>
    <row r="776" spans="1:9" x14ac:dyDescent="0.35">
      <c r="A776" t="s">
        <v>10</v>
      </c>
      <c r="B776">
        <v>2040</v>
      </c>
      <c r="C776" t="s">
        <v>72</v>
      </c>
      <c r="D776" t="s">
        <v>38</v>
      </c>
      <c r="E776">
        <v>4.5658846017334297E-3</v>
      </c>
      <c r="F776">
        <v>4.5658846017334297E-3</v>
      </c>
      <c r="G776">
        <v>0</v>
      </c>
      <c r="H776">
        <v>0</v>
      </c>
      <c r="I776" t="s">
        <v>73</v>
      </c>
    </row>
    <row r="777" spans="1:9" x14ac:dyDescent="0.35">
      <c r="A777" t="s">
        <v>10</v>
      </c>
      <c r="B777">
        <v>2040</v>
      </c>
      <c r="C777" t="s">
        <v>72</v>
      </c>
      <c r="D777" t="s">
        <v>40</v>
      </c>
      <c r="E777">
        <v>1.0896568015478999E-3</v>
      </c>
      <c r="F777">
        <v>1.0896568015478999E-3</v>
      </c>
      <c r="G777">
        <v>0</v>
      </c>
      <c r="H777">
        <v>0</v>
      </c>
      <c r="I777" t="s">
        <v>73</v>
      </c>
    </row>
    <row r="778" spans="1:9" x14ac:dyDescent="0.35">
      <c r="A778" t="s">
        <v>10</v>
      </c>
      <c r="B778">
        <v>2040</v>
      </c>
      <c r="C778" t="s">
        <v>72</v>
      </c>
      <c r="D778" t="s">
        <v>41</v>
      </c>
      <c r="E778">
        <v>3.2908547666852597E-2</v>
      </c>
      <c r="F778">
        <v>3.1697924351593701E-2</v>
      </c>
      <c r="G778">
        <v>-1.2106233152589501E-3</v>
      </c>
      <c r="H778">
        <v>-3.6787503584619099</v>
      </c>
      <c r="I778" t="s">
        <v>73</v>
      </c>
    </row>
    <row r="779" spans="1:9" x14ac:dyDescent="0.35">
      <c r="A779" t="s">
        <v>10</v>
      </c>
      <c r="B779">
        <v>2040</v>
      </c>
      <c r="C779" t="s">
        <v>72</v>
      </c>
      <c r="D779" t="s">
        <v>42</v>
      </c>
      <c r="E779">
        <v>5.0883744652349696</v>
      </c>
      <c r="F779">
        <v>5.0883744652349696</v>
      </c>
      <c r="G779">
        <v>0</v>
      </c>
      <c r="H779">
        <v>0</v>
      </c>
      <c r="I779" t="s">
        <v>73</v>
      </c>
    </row>
    <row r="780" spans="1:9" x14ac:dyDescent="0.35">
      <c r="A780" t="s">
        <v>10</v>
      </c>
      <c r="B780">
        <v>2040</v>
      </c>
      <c r="C780" t="s">
        <v>72</v>
      </c>
      <c r="D780" t="s">
        <v>43</v>
      </c>
      <c r="E780">
        <v>3.9091940723652699E-2</v>
      </c>
      <c r="F780">
        <v>1.28168070435452E-2</v>
      </c>
      <c r="G780">
        <v>-2.6275133680107501E-2</v>
      </c>
      <c r="H780">
        <v>-67.213684441636403</v>
      </c>
      <c r="I780" t="s">
        <v>73</v>
      </c>
    </row>
    <row r="781" spans="1:9" x14ac:dyDescent="0.35">
      <c r="A781" t="s">
        <v>10</v>
      </c>
      <c r="B781">
        <v>2040</v>
      </c>
      <c r="C781" t="s">
        <v>72</v>
      </c>
      <c r="D781" t="s">
        <v>136</v>
      </c>
      <c r="E781">
        <v>6.7800390176511698</v>
      </c>
      <c r="F781">
        <v>6.7800390176511698</v>
      </c>
      <c r="G781">
        <v>0</v>
      </c>
      <c r="H781">
        <v>0</v>
      </c>
      <c r="I781" t="s">
        <v>73</v>
      </c>
    </row>
    <row r="782" spans="1:9" x14ac:dyDescent="0.35">
      <c r="A782" t="s">
        <v>10</v>
      </c>
      <c r="B782">
        <v>2040</v>
      </c>
      <c r="C782" t="s">
        <v>72</v>
      </c>
      <c r="D782" t="s">
        <v>45</v>
      </c>
      <c r="E782">
        <v>3.14145179951957E-2</v>
      </c>
      <c r="F782">
        <v>3.0660344138694302E-2</v>
      </c>
      <c r="G782">
        <v>-7.54173856501404E-4</v>
      </c>
      <c r="H782">
        <v>-2.40071758101378</v>
      </c>
      <c r="I782" t="s">
        <v>73</v>
      </c>
    </row>
    <row r="783" spans="1:9" x14ac:dyDescent="0.35">
      <c r="A783" t="s">
        <v>10</v>
      </c>
      <c r="B783">
        <v>2040</v>
      </c>
      <c r="C783" t="s">
        <v>72</v>
      </c>
      <c r="D783" t="s">
        <v>46</v>
      </c>
      <c r="E783">
        <v>0.47150627478641899</v>
      </c>
      <c r="F783">
        <v>0.47150627478641899</v>
      </c>
      <c r="G783">
        <v>0</v>
      </c>
      <c r="H783">
        <v>0</v>
      </c>
      <c r="I783" t="s">
        <v>73</v>
      </c>
    </row>
    <row r="784" spans="1:9" x14ac:dyDescent="0.35">
      <c r="A784" t="s">
        <v>10</v>
      </c>
      <c r="B784">
        <v>2040</v>
      </c>
      <c r="C784" t="s">
        <v>72</v>
      </c>
      <c r="D784" t="s">
        <v>47</v>
      </c>
      <c r="E784">
        <v>5.0235790766772802E-3</v>
      </c>
      <c r="F784">
        <v>2.3671886908061398E-3</v>
      </c>
      <c r="G784">
        <v>-2.65639038587113E-3</v>
      </c>
      <c r="H784">
        <v>-52.878442746205003</v>
      </c>
      <c r="I784" t="s">
        <v>73</v>
      </c>
    </row>
    <row r="785" spans="1:9" x14ac:dyDescent="0.35">
      <c r="A785" t="s">
        <v>10</v>
      </c>
      <c r="B785">
        <v>2040</v>
      </c>
      <c r="C785" t="s">
        <v>72</v>
      </c>
      <c r="D785" t="s">
        <v>48</v>
      </c>
      <c r="E785">
        <v>1.2088134256173699</v>
      </c>
      <c r="F785">
        <v>1.2088134256173699</v>
      </c>
      <c r="G785">
        <v>0</v>
      </c>
      <c r="H785">
        <v>0</v>
      </c>
      <c r="I785" t="s">
        <v>73</v>
      </c>
    </row>
    <row r="786" spans="1:9" x14ac:dyDescent="0.35">
      <c r="A786" t="s">
        <v>10</v>
      </c>
      <c r="B786">
        <v>2040</v>
      </c>
      <c r="C786" t="s">
        <v>72</v>
      </c>
      <c r="D786" t="s">
        <v>49</v>
      </c>
      <c r="E786">
        <v>5.8292688057292603E-2</v>
      </c>
      <c r="F786">
        <v>5.7534964853647598E-2</v>
      </c>
      <c r="G786">
        <v>-7.5772320364497704E-4</v>
      </c>
      <c r="H786">
        <v>-1.2998597746946401</v>
      </c>
      <c r="I786" t="s">
        <v>73</v>
      </c>
    </row>
    <row r="787" spans="1:9" x14ac:dyDescent="0.35">
      <c r="A787" t="s">
        <v>10</v>
      </c>
      <c r="B787">
        <v>2040</v>
      </c>
      <c r="C787" t="s">
        <v>72</v>
      </c>
      <c r="D787" t="s">
        <v>50</v>
      </c>
      <c r="E787">
        <v>0.138972072396813</v>
      </c>
      <c r="F787">
        <v>0.138972072396813</v>
      </c>
      <c r="G787">
        <v>0</v>
      </c>
      <c r="H787">
        <v>0</v>
      </c>
      <c r="I787" t="s">
        <v>73</v>
      </c>
    </row>
    <row r="788" spans="1:9" x14ac:dyDescent="0.35">
      <c r="A788" t="s">
        <v>10</v>
      </c>
      <c r="B788">
        <v>2040</v>
      </c>
      <c r="C788" t="s">
        <v>72</v>
      </c>
      <c r="D788" t="s">
        <v>51</v>
      </c>
      <c r="E788">
        <v>0.24883489429031799</v>
      </c>
      <c r="F788">
        <v>0.24883489429031799</v>
      </c>
      <c r="G788">
        <v>0</v>
      </c>
      <c r="H788">
        <v>0</v>
      </c>
      <c r="I788" t="s">
        <v>73</v>
      </c>
    </row>
    <row r="789" spans="1:9" x14ac:dyDescent="0.35">
      <c r="A789" t="s">
        <v>10</v>
      </c>
      <c r="B789">
        <v>2040</v>
      </c>
      <c r="C789" t="s">
        <v>72</v>
      </c>
      <c r="D789" t="s">
        <v>52</v>
      </c>
      <c r="E789">
        <v>0.325185248041509</v>
      </c>
      <c r="F789">
        <v>0.325185248041509</v>
      </c>
      <c r="G789">
        <v>0</v>
      </c>
      <c r="H789">
        <v>0</v>
      </c>
      <c r="I789" t="s">
        <v>73</v>
      </c>
    </row>
    <row r="790" spans="1:9" x14ac:dyDescent="0.35">
      <c r="A790" t="s">
        <v>10</v>
      </c>
      <c r="B790">
        <v>2040</v>
      </c>
      <c r="C790" t="s">
        <v>72</v>
      </c>
      <c r="D790" t="s">
        <v>53</v>
      </c>
      <c r="E790">
        <v>2.2544765981391399</v>
      </c>
      <c r="F790">
        <v>2.2544765981391399</v>
      </c>
      <c r="G790">
        <v>0</v>
      </c>
      <c r="H790">
        <v>0</v>
      </c>
      <c r="I790" t="s">
        <v>73</v>
      </c>
    </row>
    <row r="791" spans="1:9" x14ac:dyDescent="0.35">
      <c r="A791" t="s">
        <v>10</v>
      </c>
      <c r="B791">
        <v>2040</v>
      </c>
      <c r="C791" t="s">
        <v>72</v>
      </c>
      <c r="D791" t="s">
        <v>54</v>
      </c>
      <c r="E791">
        <v>0.88272078291357803</v>
      </c>
      <c r="F791">
        <v>0.59093638732939402</v>
      </c>
      <c r="G791">
        <v>-0.29178439558418401</v>
      </c>
      <c r="H791">
        <v>-33.055117907284</v>
      </c>
      <c r="I791" t="s">
        <v>73</v>
      </c>
    </row>
    <row r="792" spans="1:9" x14ac:dyDescent="0.35">
      <c r="A792" t="s">
        <v>10</v>
      </c>
      <c r="B792">
        <v>2040</v>
      </c>
      <c r="C792" t="s">
        <v>72</v>
      </c>
      <c r="D792" t="s">
        <v>55</v>
      </c>
      <c r="E792">
        <v>0.53157736197934502</v>
      </c>
      <c r="F792">
        <v>0.51375681405238505</v>
      </c>
      <c r="G792">
        <v>-1.7820547926959401E-2</v>
      </c>
      <c r="H792">
        <v>-3.3523903013108098</v>
      </c>
      <c r="I792" t="s">
        <v>73</v>
      </c>
    </row>
    <row r="793" spans="1:9" x14ac:dyDescent="0.35">
      <c r="A793" t="s">
        <v>10</v>
      </c>
      <c r="B793">
        <v>2040</v>
      </c>
      <c r="C793" t="s">
        <v>72</v>
      </c>
      <c r="D793" t="s">
        <v>56</v>
      </c>
      <c r="E793" s="1">
        <v>9.5401342380343699E-7</v>
      </c>
      <c r="F793" s="1">
        <v>9.5401342380343699E-7</v>
      </c>
      <c r="G793">
        <v>0</v>
      </c>
      <c r="H793">
        <v>0</v>
      </c>
      <c r="I793" t="s">
        <v>73</v>
      </c>
    </row>
    <row r="794" spans="1:9" x14ac:dyDescent="0.35">
      <c r="A794" t="s">
        <v>4</v>
      </c>
      <c r="B794">
        <v>2025</v>
      </c>
      <c r="C794" t="s">
        <v>61</v>
      </c>
      <c r="D794" t="s">
        <v>38</v>
      </c>
      <c r="E794">
        <v>6.5192652539481999E-3</v>
      </c>
      <c r="F794">
        <v>6.5192652539481999E-3</v>
      </c>
      <c r="G794">
        <v>0</v>
      </c>
      <c r="H794">
        <v>0</v>
      </c>
      <c r="I794" t="s">
        <v>62</v>
      </c>
    </row>
    <row r="795" spans="1:9" x14ac:dyDescent="0.35">
      <c r="A795" t="s">
        <v>4</v>
      </c>
      <c r="B795">
        <v>2025</v>
      </c>
      <c r="C795" t="s">
        <v>61</v>
      </c>
      <c r="D795" t="s">
        <v>40</v>
      </c>
      <c r="E795">
        <v>4.2862801657191302E-3</v>
      </c>
      <c r="F795">
        <v>4.2862801657191302E-3</v>
      </c>
      <c r="G795">
        <v>0</v>
      </c>
      <c r="H795">
        <v>0</v>
      </c>
      <c r="I795" t="s">
        <v>62</v>
      </c>
    </row>
    <row r="796" spans="1:9" x14ac:dyDescent="0.35">
      <c r="A796" t="s">
        <v>4</v>
      </c>
      <c r="B796">
        <v>2025</v>
      </c>
      <c r="C796" t="s">
        <v>61</v>
      </c>
      <c r="D796" t="s">
        <v>41</v>
      </c>
      <c r="E796">
        <v>0.146975559906458</v>
      </c>
      <c r="F796">
        <v>0.146975559906458</v>
      </c>
      <c r="G796">
        <v>0</v>
      </c>
      <c r="H796">
        <v>0</v>
      </c>
      <c r="I796" t="s">
        <v>62</v>
      </c>
    </row>
    <row r="797" spans="1:9" x14ac:dyDescent="0.35">
      <c r="A797" t="s">
        <v>4</v>
      </c>
      <c r="B797">
        <v>2025</v>
      </c>
      <c r="C797" t="s">
        <v>61</v>
      </c>
      <c r="D797" t="s">
        <v>42</v>
      </c>
      <c r="E797">
        <v>17.329693085743099</v>
      </c>
      <c r="F797">
        <v>17.329693085743099</v>
      </c>
      <c r="G797">
        <v>0</v>
      </c>
      <c r="H797">
        <v>0</v>
      </c>
      <c r="I797" t="s">
        <v>62</v>
      </c>
    </row>
    <row r="798" spans="1:9" x14ac:dyDescent="0.35">
      <c r="A798" t="s">
        <v>4</v>
      </c>
      <c r="B798">
        <v>2025</v>
      </c>
      <c r="C798" t="s">
        <v>61</v>
      </c>
      <c r="D798" t="s">
        <v>43</v>
      </c>
      <c r="E798">
        <v>1.44954986876711E-2</v>
      </c>
      <c r="F798">
        <v>1.44954986876711E-2</v>
      </c>
      <c r="G798">
        <v>0</v>
      </c>
      <c r="H798">
        <v>0</v>
      </c>
      <c r="I798" t="s">
        <v>62</v>
      </c>
    </row>
    <row r="799" spans="1:9" x14ac:dyDescent="0.35">
      <c r="A799" t="s">
        <v>4</v>
      </c>
      <c r="B799">
        <v>2025</v>
      </c>
      <c r="C799" t="s">
        <v>61</v>
      </c>
      <c r="D799" t="s">
        <v>136</v>
      </c>
      <c r="E799">
        <v>9.6621665857140293</v>
      </c>
      <c r="F799">
        <v>9.6621665857140293</v>
      </c>
      <c r="G799">
        <v>0</v>
      </c>
      <c r="H799">
        <v>0</v>
      </c>
      <c r="I799" t="s">
        <v>62</v>
      </c>
    </row>
    <row r="800" spans="1:9" x14ac:dyDescent="0.35">
      <c r="A800" t="s">
        <v>4</v>
      </c>
      <c r="B800">
        <v>2025</v>
      </c>
      <c r="C800" t="s">
        <v>61</v>
      </c>
      <c r="D800" t="s">
        <v>45</v>
      </c>
      <c r="E800">
        <v>0.28568172078019599</v>
      </c>
      <c r="F800">
        <v>0.28568172078019599</v>
      </c>
      <c r="G800">
        <v>0</v>
      </c>
      <c r="H800">
        <v>0</v>
      </c>
      <c r="I800" t="s">
        <v>62</v>
      </c>
    </row>
    <row r="801" spans="1:9" x14ac:dyDescent="0.35">
      <c r="A801" t="s">
        <v>4</v>
      </c>
      <c r="B801">
        <v>2025</v>
      </c>
      <c r="C801" t="s">
        <v>61</v>
      </c>
      <c r="D801" t="s">
        <v>46</v>
      </c>
      <c r="E801">
        <v>0.45748145193203599</v>
      </c>
      <c r="F801">
        <v>0.45748145193203599</v>
      </c>
      <c r="G801">
        <v>0</v>
      </c>
      <c r="H801">
        <v>0</v>
      </c>
      <c r="I801" t="s">
        <v>62</v>
      </c>
    </row>
    <row r="802" spans="1:9" x14ac:dyDescent="0.35">
      <c r="A802" t="s">
        <v>4</v>
      </c>
      <c r="B802">
        <v>2025</v>
      </c>
      <c r="C802" t="s">
        <v>61</v>
      </c>
      <c r="D802" t="s">
        <v>47</v>
      </c>
      <c r="E802">
        <v>1.1568708461344401E-2</v>
      </c>
      <c r="F802">
        <v>1.1568708461344401E-2</v>
      </c>
      <c r="G802">
        <v>0</v>
      </c>
      <c r="H802">
        <v>0</v>
      </c>
      <c r="I802" t="s">
        <v>62</v>
      </c>
    </row>
    <row r="803" spans="1:9" x14ac:dyDescent="0.35">
      <c r="A803" t="s">
        <v>4</v>
      </c>
      <c r="B803">
        <v>2025</v>
      </c>
      <c r="C803" t="s">
        <v>61</v>
      </c>
      <c r="D803" t="s">
        <v>48</v>
      </c>
      <c r="E803">
        <v>28.647241485835899</v>
      </c>
      <c r="F803">
        <v>28.647241485835899</v>
      </c>
      <c r="G803">
        <v>0</v>
      </c>
      <c r="H803">
        <v>0</v>
      </c>
      <c r="I803" t="s">
        <v>62</v>
      </c>
    </row>
    <row r="804" spans="1:9" x14ac:dyDescent="0.35">
      <c r="A804" t="s">
        <v>4</v>
      </c>
      <c r="B804">
        <v>2025</v>
      </c>
      <c r="C804" t="s">
        <v>61</v>
      </c>
      <c r="D804" t="s">
        <v>49</v>
      </c>
      <c r="E804">
        <v>1.36879965344058</v>
      </c>
      <c r="F804">
        <v>1.36879965344058</v>
      </c>
      <c r="G804">
        <v>0</v>
      </c>
      <c r="H804">
        <v>0</v>
      </c>
      <c r="I804" t="s">
        <v>62</v>
      </c>
    </row>
    <row r="805" spans="1:9" x14ac:dyDescent="0.35">
      <c r="A805" t="s">
        <v>4</v>
      </c>
      <c r="B805">
        <v>2025</v>
      </c>
      <c r="C805" t="s">
        <v>61</v>
      </c>
      <c r="D805" t="s">
        <v>50</v>
      </c>
      <c r="E805">
        <v>0.12248092014562401</v>
      </c>
      <c r="F805">
        <v>0.12248092014562401</v>
      </c>
      <c r="G805">
        <v>0</v>
      </c>
      <c r="H805">
        <v>0</v>
      </c>
      <c r="I805" t="s">
        <v>62</v>
      </c>
    </row>
    <row r="806" spans="1:9" x14ac:dyDescent="0.35">
      <c r="A806" t="s">
        <v>4</v>
      </c>
      <c r="B806">
        <v>2025</v>
      </c>
      <c r="C806" t="s">
        <v>61</v>
      </c>
      <c r="D806" t="s">
        <v>51</v>
      </c>
      <c r="E806">
        <v>0.56716046587787095</v>
      </c>
      <c r="F806">
        <v>0.56716046587787095</v>
      </c>
      <c r="G806">
        <v>0</v>
      </c>
      <c r="H806">
        <v>0</v>
      </c>
      <c r="I806" t="s">
        <v>62</v>
      </c>
    </row>
    <row r="807" spans="1:9" x14ac:dyDescent="0.35">
      <c r="A807" t="s">
        <v>4</v>
      </c>
      <c r="B807">
        <v>2025</v>
      </c>
      <c r="C807" t="s">
        <v>61</v>
      </c>
      <c r="D807" t="s">
        <v>52</v>
      </c>
      <c r="E807">
        <v>0.59456170151394805</v>
      </c>
      <c r="F807">
        <v>0.59456170151394805</v>
      </c>
      <c r="G807">
        <v>0</v>
      </c>
      <c r="H807">
        <v>0</v>
      </c>
      <c r="I807" t="s">
        <v>62</v>
      </c>
    </row>
    <row r="808" spans="1:9" x14ac:dyDescent="0.35">
      <c r="A808" t="s">
        <v>4</v>
      </c>
      <c r="B808">
        <v>2025</v>
      </c>
      <c r="C808" t="s">
        <v>61</v>
      </c>
      <c r="D808" t="s">
        <v>53</v>
      </c>
      <c r="E808">
        <v>2.3585250791185599</v>
      </c>
      <c r="F808">
        <v>2.3585250791185599</v>
      </c>
      <c r="G808">
        <v>0</v>
      </c>
      <c r="H808">
        <v>0</v>
      </c>
      <c r="I808" t="s">
        <v>62</v>
      </c>
    </row>
    <row r="809" spans="1:9" x14ac:dyDescent="0.35">
      <c r="A809" t="s">
        <v>4</v>
      </c>
      <c r="B809">
        <v>2025</v>
      </c>
      <c r="C809" t="s">
        <v>61</v>
      </c>
      <c r="D809" t="s">
        <v>54</v>
      </c>
      <c r="E809">
        <v>7.0767872476666804</v>
      </c>
      <c r="F809">
        <v>7.0767872476666804</v>
      </c>
      <c r="G809">
        <v>0</v>
      </c>
      <c r="H809">
        <v>0</v>
      </c>
      <c r="I809" t="s">
        <v>62</v>
      </c>
    </row>
    <row r="810" spans="1:9" x14ac:dyDescent="0.35">
      <c r="A810" t="s">
        <v>4</v>
      </c>
      <c r="B810">
        <v>2025</v>
      </c>
      <c r="C810" t="s">
        <v>61</v>
      </c>
      <c r="D810" t="s">
        <v>55</v>
      </c>
      <c r="E810">
        <v>6.5292656501391901</v>
      </c>
      <c r="F810">
        <v>6.5292656501391901</v>
      </c>
      <c r="G810">
        <v>0</v>
      </c>
      <c r="H810">
        <v>0</v>
      </c>
      <c r="I810" t="s">
        <v>62</v>
      </c>
    </row>
    <row r="811" spans="1:9" x14ac:dyDescent="0.35">
      <c r="A811" t="s">
        <v>4</v>
      </c>
      <c r="B811">
        <v>2025</v>
      </c>
      <c r="C811" t="s">
        <v>61</v>
      </c>
      <c r="D811" t="s">
        <v>56</v>
      </c>
      <c r="E811" s="1">
        <v>5.8162080069367301E-7</v>
      </c>
      <c r="F811" s="1">
        <v>5.8162080069367301E-7</v>
      </c>
      <c r="G811">
        <v>0</v>
      </c>
      <c r="H811">
        <v>0</v>
      </c>
      <c r="I811" t="s">
        <v>62</v>
      </c>
    </row>
    <row r="812" spans="1:9" x14ac:dyDescent="0.35">
      <c r="A812" t="s">
        <v>6</v>
      </c>
      <c r="B812">
        <v>2030</v>
      </c>
      <c r="C812" t="s">
        <v>61</v>
      </c>
      <c r="D812" t="s">
        <v>38</v>
      </c>
      <c r="E812">
        <v>6.6676460319742004E-3</v>
      </c>
      <c r="F812">
        <v>6.6676460319742004E-3</v>
      </c>
      <c r="G812">
        <v>0</v>
      </c>
      <c r="H812">
        <v>0</v>
      </c>
      <c r="I812" t="s">
        <v>62</v>
      </c>
    </row>
    <row r="813" spans="1:9" x14ac:dyDescent="0.35">
      <c r="A813" t="s">
        <v>6</v>
      </c>
      <c r="B813">
        <v>2030</v>
      </c>
      <c r="C813" t="s">
        <v>61</v>
      </c>
      <c r="D813" t="s">
        <v>40</v>
      </c>
      <c r="E813">
        <v>4.2576771896724996E-3</v>
      </c>
      <c r="F813">
        <v>4.2576771896724996E-3</v>
      </c>
      <c r="G813">
        <v>0</v>
      </c>
      <c r="H813">
        <v>0</v>
      </c>
      <c r="I813" t="s">
        <v>62</v>
      </c>
    </row>
    <row r="814" spans="1:9" x14ac:dyDescent="0.35">
      <c r="A814" t="s">
        <v>6</v>
      </c>
      <c r="B814">
        <v>2030</v>
      </c>
      <c r="C814" t="s">
        <v>61</v>
      </c>
      <c r="D814" t="s">
        <v>41</v>
      </c>
      <c r="E814">
        <v>0.14786467266544101</v>
      </c>
      <c r="F814">
        <v>0.14786467266544101</v>
      </c>
      <c r="G814">
        <v>0</v>
      </c>
      <c r="H814">
        <v>0</v>
      </c>
      <c r="I814" t="s">
        <v>62</v>
      </c>
    </row>
    <row r="815" spans="1:9" x14ac:dyDescent="0.35">
      <c r="A815" t="s">
        <v>6</v>
      </c>
      <c r="B815">
        <v>2030</v>
      </c>
      <c r="C815" t="s">
        <v>61</v>
      </c>
      <c r="D815" t="s">
        <v>42</v>
      </c>
      <c r="E815">
        <v>17.181972719287199</v>
      </c>
      <c r="F815">
        <v>17.181972719287199</v>
      </c>
      <c r="G815">
        <v>0</v>
      </c>
      <c r="H815">
        <v>0</v>
      </c>
      <c r="I815" t="s">
        <v>62</v>
      </c>
    </row>
    <row r="816" spans="1:9" x14ac:dyDescent="0.35">
      <c r="A816" t="s">
        <v>6</v>
      </c>
      <c r="B816">
        <v>2030</v>
      </c>
      <c r="C816" t="s">
        <v>61</v>
      </c>
      <c r="D816" t="s">
        <v>43</v>
      </c>
      <c r="E816">
        <v>1.48707253885635E-2</v>
      </c>
      <c r="F816">
        <v>1.48707253885635E-2</v>
      </c>
      <c r="G816">
        <v>0</v>
      </c>
      <c r="H816">
        <v>0</v>
      </c>
      <c r="I816" t="s">
        <v>62</v>
      </c>
    </row>
    <row r="817" spans="1:9" x14ac:dyDescent="0.35">
      <c r="A817" t="s">
        <v>6</v>
      </c>
      <c r="B817">
        <v>2030</v>
      </c>
      <c r="C817" t="s">
        <v>61</v>
      </c>
      <c r="D817" t="s">
        <v>136</v>
      </c>
      <c r="E817">
        <v>9.1935148746104591</v>
      </c>
      <c r="F817">
        <v>9.1935148746104591</v>
      </c>
      <c r="G817">
        <v>0</v>
      </c>
      <c r="H817">
        <v>0</v>
      </c>
      <c r="I817" t="s">
        <v>62</v>
      </c>
    </row>
    <row r="818" spans="1:9" x14ac:dyDescent="0.35">
      <c r="A818" t="s">
        <v>6</v>
      </c>
      <c r="B818">
        <v>2030</v>
      </c>
      <c r="C818" t="s">
        <v>61</v>
      </c>
      <c r="D818" t="s">
        <v>45</v>
      </c>
      <c r="E818">
        <v>0.28469891361495703</v>
      </c>
      <c r="F818">
        <v>0.28469891361495703</v>
      </c>
      <c r="G818">
        <v>0</v>
      </c>
      <c r="H818">
        <v>0</v>
      </c>
      <c r="I818" t="s">
        <v>62</v>
      </c>
    </row>
    <row r="819" spans="1:9" x14ac:dyDescent="0.35">
      <c r="A819" t="s">
        <v>6</v>
      </c>
      <c r="B819">
        <v>2030</v>
      </c>
      <c r="C819" t="s">
        <v>61</v>
      </c>
      <c r="D819" t="s">
        <v>46</v>
      </c>
      <c r="E819">
        <v>0.56334903310462203</v>
      </c>
      <c r="F819">
        <v>0.56334903310462203</v>
      </c>
      <c r="G819">
        <v>0</v>
      </c>
      <c r="H819">
        <v>0</v>
      </c>
      <c r="I819" t="s">
        <v>62</v>
      </c>
    </row>
    <row r="820" spans="1:9" x14ac:dyDescent="0.35">
      <c r="A820" t="s">
        <v>6</v>
      </c>
      <c r="B820">
        <v>2030</v>
      </c>
      <c r="C820" t="s">
        <v>61</v>
      </c>
      <c r="D820" t="s">
        <v>47</v>
      </c>
      <c r="E820">
        <v>1.13712661963485E-2</v>
      </c>
      <c r="F820">
        <v>1.13712661963485E-2</v>
      </c>
      <c r="G820">
        <v>0</v>
      </c>
      <c r="H820">
        <v>0</v>
      </c>
      <c r="I820" t="s">
        <v>62</v>
      </c>
    </row>
    <row r="821" spans="1:9" x14ac:dyDescent="0.35">
      <c r="A821" t="s">
        <v>6</v>
      </c>
      <c r="B821">
        <v>2030</v>
      </c>
      <c r="C821" t="s">
        <v>61</v>
      </c>
      <c r="D821" t="s">
        <v>48</v>
      </c>
      <c r="E821">
        <v>28.649484491817901</v>
      </c>
      <c r="F821">
        <v>28.649484491817901</v>
      </c>
      <c r="G821">
        <v>0</v>
      </c>
      <c r="H821">
        <v>0</v>
      </c>
      <c r="I821" t="s">
        <v>62</v>
      </c>
    </row>
    <row r="822" spans="1:9" x14ac:dyDescent="0.35">
      <c r="A822" t="s">
        <v>6</v>
      </c>
      <c r="B822">
        <v>2030</v>
      </c>
      <c r="C822" t="s">
        <v>61</v>
      </c>
      <c r="D822" t="s">
        <v>49</v>
      </c>
      <c r="E822">
        <v>1.3681788020037999</v>
      </c>
      <c r="F822">
        <v>1.3681788020037999</v>
      </c>
      <c r="G822">
        <v>0</v>
      </c>
      <c r="H822">
        <v>0</v>
      </c>
      <c r="I822" t="s">
        <v>62</v>
      </c>
    </row>
    <row r="823" spans="1:9" x14ac:dyDescent="0.35">
      <c r="A823" t="s">
        <v>6</v>
      </c>
      <c r="B823">
        <v>2030</v>
      </c>
      <c r="C823" t="s">
        <v>61</v>
      </c>
      <c r="D823" t="s">
        <v>50</v>
      </c>
      <c r="E823">
        <v>0.12099430863176699</v>
      </c>
      <c r="F823">
        <v>0.12099430863176699</v>
      </c>
      <c r="G823">
        <v>0</v>
      </c>
      <c r="H823">
        <v>0</v>
      </c>
      <c r="I823" t="s">
        <v>62</v>
      </c>
    </row>
    <row r="824" spans="1:9" x14ac:dyDescent="0.35">
      <c r="A824" t="s">
        <v>6</v>
      </c>
      <c r="B824">
        <v>2030</v>
      </c>
      <c r="C824" t="s">
        <v>61</v>
      </c>
      <c r="D824" t="s">
        <v>51</v>
      </c>
      <c r="E824">
        <v>0.57474591954129195</v>
      </c>
      <c r="F824">
        <v>0.57474591954129195</v>
      </c>
      <c r="G824">
        <v>0</v>
      </c>
      <c r="H824">
        <v>0</v>
      </c>
      <c r="I824" t="s">
        <v>62</v>
      </c>
    </row>
    <row r="825" spans="1:9" x14ac:dyDescent="0.35">
      <c r="A825" t="s">
        <v>6</v>
      </c>
      <c r="B825">
        <v>2030</v>
      </c>
      <c r="C825" t="s">
        <v>61</v>
      </c>
      <c r="D825" t="s">
        <v>52</v>
      </c>
      <c r="E825">
        <v>0.513573252569412</v>
      </c>
      <c r="F825">
        <v>0.513573252569412</v>
      </c>
      <c r="G825">
        <v>0</v>
      </c>
      <c r="H825">
        <v>0</v>
      </c>
      <c r="I825" t="s">
        <v>62</v>
      </c>
    </row>
    <row r="826" spans="1:9" x14ac:dyDescent="0.35">
      <c r="A826" t="s">
        <v>6</v>
      </c>
      <c r="B826">
        <v>2030</v>
      </c>
      <c r="C826" t="s">
        <v>61</v>
      </c>
      <c r="D826" t="s">
        <v>53</v>
      </c>
      <c r="E826">
        <v>2.2236606363468301</v>
      </c>
      <c r="F826">
        <v>2.2236606363468301</v>
      </c>
      <c r="G826">
        <v>0</v>
      </c>
      <c r="H826">
        <v>0</v>
      </c>
      <c r="I826" t="s">
        <v>62</v>
      </c>
    </row>
    <row r="827" spans="1:9" x14ac:dyDescent="0.35">
      <c r="A827" t="s">
        <v>6</v>
      </c>
      <c r="B827">
        <v>2030</v>
      </c>
      <c r="C827" t="s">
        <v>61</v>
      </c>
      <c r="D827" t="s">
        <v>54</v>
      </c>
      <c r="E827">
        <v>7.0773730391378997</v>
      </c>
      <c r="F827">
        <v>7.0773730391378997</v>
      </c>
      <c r="G827">
        <v>0</v>
      </c>
      <c r="H827">
        <v>0</v>
      </c>
      <c r="I827" t="s">
        <v>62</v>
      </c>
    </row>
    <row r="828" spans="1:9" x14ac:dyDescent="0.35">
      <c r="A828" t="s">
        <v>6</v>
      </c>
      <c r="B828">
        <v>2030</v>
      </c>
      <c r="C828" t="s">
        <v>61</v>
      </c>
      <c r="D828" t="s">
        <v>55</v>
      </c>
      <c r="E828">
        <v>6.52930788273411</v>
      </c>
      <c r="F828">
        <v>6.52930788273411</v>
      </c>
      <c r="G828">
        <v>0</v>
      </c>
      <c r="H828">
        <v>0</v>
      </c>
      <c r="I828" t="s">
        <v>62</v>
      </c>
    </row>
    <row r="829" spans="1:9" x14ac:dyDescent="0.35">
      <c r="A829" t="s">
        <v>6</v>
      </c>
      <c r="B829">
        <v>2030</v>
      </c>
      <c r="C829" t="s">
        <v>61</v>
      </c>
      <c r="D829" t="s">
        <v>56</v>
      </c>
      <c r="E829" s="1">
        <v>5.4053160891541005E-7</v>
      </c>
      <c r="F829" s="1">
        <v>5.4053160891541005E-7</v>
      </c>
      <c r="G829">
        <v>0</v>
      </c>
      <c r="H829">
        <v>0</v>
      </c>
      <c r="I829" t="s">
        <v>62</v>
      </c>
    </row>
    <row r="830" spans="1:9" x14ac:dyDescent="0.35">
      <c r="A830" t="s">
        <v>8</v>
      </c>
      <c r="B830">
        <v>2035</v>
      </c>
      <c r="C830" t="s">
        <v>61</v>
      </c>
      <c r="D830" t="s">
        <v>38</v>
      </c>
      <c r="E830">
        <v>6.6632302502289704E-3</v>
      </c>
      <c r="F830">
        <v>6.6632302502289704E-3</v>
      </c>
      <c r="G830">
        <v>0</v>
      </c>
      <c r="H830">
        <v>0</v>
      </c>
      <c r="I830" t="s">
        <v>62</v>
      </c>
    </row>
    <row r="831" spans="1:9" x14ac:dyDescent="0.35">
      <c r="A831" t="s">
        <v>8</v>
      </c>
      <c r="B831">
        <v>2035</v>
      </c>
      <c r="C831" t="s">
        <v>61</v>
      </c>
      <c r="D831" t="s">
        <v>40</v>
      </c>
      <c r="E831">
        <v>4.3069367461543101E-3</v>
      </c>
      <c r="F831">
        <v>4.3069367461543101E-3</v>
      </c>
      <c r="G831">
        <v>0</v>
      </c>
      <c r="H831">
        <v>0</v>
      </c>
      <c r="I831" t="s">
        <v>62</v>
      </c>
    </row>
    <row r="832" spans="1:9" x14ac:dyDescent="0.35">
      <c r="A832" t="s">
        <v>8</v>
      </c>
      <c r="B832">
        <v>2035</v>
      </c>
      <c r="C832" t="s">
        <v>61</v>
      </c>
      <c r="D832" t="s">
        <v>41</v>
      </c>
      <c r="E832">
        <v>0.14708853073156999</v>
      </c>
      <c r="F832">
        <v>0.14708853073156999</v>
      </c>
      <c r="G832">
        <v>0</v>
      </c>
      <c r="H832">
        <v>0</v>
      </c>
      <c r="I832" t="s">
        <v>62</v>
      </c>
    </row>
    <row r="833" spans="1:9" x14ac:dyDescent="0.35">
      <c r="A833" t="s">
        <v>8</v>
      </c>
      <c r="B833">
        <v>2035</v>
      </c>
      <c r="C833" t="s">
        <v>61</v>
      </c>
      <c r="D833" t="s">
        <v>42</v>
      </c>
      <c r="E833">
        <v>17.104327178463301</v>
      </c>
      <c r="F833">
        <v>17.104327178463301</v>
      </c>
      <c r="G833">
        <v>0</v>
      </c>
      <c r="H833">
        <v>0</v>
      </c>
      <c r="I833" t="s">
        <v>62</v>
      </c>
    </row>
    <row r="834" spans="1:9" x14ac:dyDescent="0.35">
      <c r="A834" t="s">
        <v>8</v>
      </c>
      <c r="B834">
        <v>2035</v>
      </c>
      <c r="C834" t="s">
        <v>61</v>
      </c>
      <c r="D834" t="s">
        <v>43</v>
      </c>
      <c r="E834">
        <v>1.46016498861333E-2</v>
      </c>
      <c r="F834">
        <v>1.46016498861333E-2</v>
      </c>
      <c r="G834">
        <v>0</v>
      </c>
      <c r="H834">
        <v>0</v>
      </c>
      <c r="I834" t="s">
        <v>62</v>
      </c>
    </row>
    <row r="835" spans="1:9" x14ac:dyDescent="0.35">
      <c r="A835" t="s">
        <v>8</v>
      </c>
      <c r="B835">
        <v>2035</v>
      </c>
      <c r="C835" t="s">
        <v>61</v>
      </c>
      <c r="D835" t="s">
        <v>136</v>
      </c>
      <c r="E835">
        <v>8.8013751690456505</v>
      </c>
      <c r="F835">
        <v>8.8013751690456505</v>
      </c>
      <c r="G835">
        <v>0</v>
      </c>
      <c r="H835">
        <v>0</v>
      </c>
      <c r="I835" t="s">
        <v>62</v>
      </c>
    </row>
    <row r="836" spans="1:9" x14ac:dyDescent="0.35">
      <c r="A836" t="s">
        <v>8</v>
      </c>
      <c r="B836">
        <v>2035</v>
      </c>
      <c r="C836" t="s">
        <v>61</v>
      </c>
      <c r="D836" t="s">
        <v>45</v>
      </c>
      <c r="E836">
        <v>0.28371405526232202</v>
      </c>
      <c r="F836">
        <v>0.28371405526232202</v>
      </c>
      <c r="G836">
        <v>0</v>
      </c>
      <c r="H836">
        <v>0</v>
      </c>
      <c r="I836" t="s">
        <v>62</v>
      </c>
    </row>
    <row r="837" spans="1:9" x14ac:dyDescent="0.35">
      <c r="A837" t="s">
        <v>8</v>
      </c>
      <c r="B837">
        <v>2035</v>
      </c>
      <c r="C837" t="s">
        <v>61</v>
      </c>
      <c r="D837" t="s">
        <v>46</v>
      </c>
      <c r="E837">
        <v>0.81392608952673595</v>
      </c>
      <c r="F837">
        <v>0.81392608952673595</v>
      </c>
      <c r="G837">
        <v>0</v>
      </c>
      <c r="H837">
        <v>0</v>
      </c>
      <c r="I837" t="s">
        <v>62</v>
      </c>
    </row>
    <row r="838" spans="1:9" x14ac:dyDescent="0.35">
      <c r="A838" t="s">
        <v>8</v>
      </c>
      <c r="B838">
        <v>2035</v>
      </c>
      <c r="C838" t="s">
        <v>61</v>
      </c>
      <c r="D838" t="s">
        <v>47</v>
      </c>
      <c r="E838">
        <v>1.1258362325261201E-2</v>
      </c>
      <c r="F838">
        <v>1.1258362325261201E-2</v>
      </c>
      <c r="G838">
        <v>0</v>
      </c>
      <c r="H838">
        <v>0</v>
      </c>
      <c r="I838" t="s">
        <v>62</v>
      </c>
    </row>
    <row r="839" spans="1:9" x14ac:dyDescent="0.35">
      <c r="A839" t="s">
        <v>8</v>
      </c>
      <c r="B839">
        <v>2035</v>
      </c>
      <c r="C839" t="s">
        <v>61</v>
      </c>
      <c r="D839" t="s">
        <v>48</v>
      </c>
      <c r="E839">
        <v>28.6542210681928</v>
      </c>
      <c r="F839">
        <v>28.6542210681928</v>
      </c>
      <c r="G839">
        <v>0</v>
      </c>
      <c r="H839">
        <v>0</v>
      </c>
      <c r="I839" t="s">
        <v>62</v>
      </c>
    </row>
    <row r="840" spans="1:9" x14ac:dyDescent="0.35">
      <c r="A840" t="s">
        <v>8</v>
      </c>
      <c r="B840">
        <v>2035</v>
      </c>
      <c r="C840" t="s">
        <v>61</v>
      </c>
      <c r="D840" t="s">
        <v>49</v>
      </c>
      <c r="E840">
        <v>1.3668503127951299</v>
      </c>
      <c r="F840">
        <v>1.3668503127951299</v>
      </c>
      <c r="G840">
        <v>0</v>
      </c>
      <c r="H840">
        <v>0</v>
      </c>
      <c r="I840" t="s">
        <v>62</v>
      </c>
    </row>
    <row r="841" spans="1:9" x14ac:dyDescent="0.35">
      <c r="A841" t="s">
        <v>8</v>
      </c>
      <c r="B841">
        <v>2035</v>
      </c>
      <c r="C841" t="s">
        <v>61</v>
      </c>
      <c r="D841" t="s">
        <v>50</v>
      </c>
      <c r="E841">
        <v>0.119296662494666</v>
      </c>
      <c r="F841">
        <v>0.119296662494666</v>
      </c>
      <c r="G841">
        <v>0</v>
      </c>
      <c r="H841">
        <v>0</v>
      </c>
      <c r="I841" t="s">
        <v>62</v>
      </c>
    </row>
    <row r="842" spans="1:9" x14ac:dyDescent="0.35">
      <c r="A842" t="s">
        <v>8</v>
      </c>
      <c r="B842">
        <v>2035</v>
      </c>
      <c r="C842" t="s">
        <v>61</v>
      </c>
      <c r="D842" t="s">
        <v>51</v>
      </c>
      <c r="E842">
        <v>0.58923960316678303</v>
      </c>
      <c r="F842">
        <v>0.58923960316678303</v>
      </c>
      <c r="G842">
        <v>0</v>
      </c>
      <c r="H842">
        <v>0</v>
      </c>
      <c r="I842" t="s">
        <v>62</v>
      </c>
    </row>
    <row r="843" spans="1:9" x14ac:dyDescent="0.35">
      <c r="A843" t="s">
        <v>8</v>
      </c>
      <c r="B843">
        <v>2035</v>
      </c>
      <c r="C843" t="s">
        <v>61</v>
      </c>
      <c r="D843" t="s">
        <v>52</v>
      </c>
      <c r="E843">
        <v>0.42913198876863001</v>
      </c>
      <c r="F843">
        <v>0.42913198876863001</v>
      </c>
      <c r="G843">
        <v>0</v>
      </c>
      <c r="H843">
        <v>0</v>
      </c>
      <c r="I843" t="s">
        <v>62</v>
      </c>
    </row>
    <row r="844" spans="1:9" x14ac:dyDescent="0.35">
      <c r="A844" t="s">
        <v>8</v>
      </c>
      <c r="B844">
        <v>2035</v>
      </c>
      <c r="C844" t="s">
        <v>61</v>
      </c>
      <c r="D844" t="s">
        <v>53</v>
      </c>
      <c r="E844">
        <v>2.1112750373492499</v>
      </c>
      <c r="F844">
        <v>2.1112750373492499</v>
      </c>
      <c r="G844">
        <v>0</v>
      </c>
      <c r="H844">
        <v>0</v>
      </c>
      <c r="I844" t="s">
        <v>62</v>
      </c>
    </row>
    <row r="845" spans="1:9" x14ac:dyDescent="0.35">
      <c r="A845" t="s">
        <v>8</v>
      </c>
      <c r="B845">
        <v>2035</v>
      </c>
      <c r="C845" t="s">
        <v>61</v>
      </c>
      <c r="D845" t="s">
        <v>54</v>
      </c>
      <c r="E845">
        <v>7.0789444809507502</v>
      </c>
      <c r="F845">
        <v>7.0789444809507502</v>
      </c>
      <c r="G845">
        <v>0</v>
      </c>
      <c r="H845">
        <v>0</v>
      </c>
      <c r="I845" t="s">
        <v>62</v>
      </c>
    </row>
    <row r="846" spans="1:9" x14ac:dyDescent="0.35">
      <c r="A846" t="s">
        <v>8</v>
      </c>
      <c r="B846">
        <v>2035</v>
      </c>
      <c r="C846" t="s">
        <v>61</v>
      </c>
      <c r="D846" t="s">
        <v>55</v>
      </c>
      <c r="E846">
        <v>6.5306153770376199</v>
      </c>
      <c r="F846">
        <v>6.5306153770376199</v>
      </c>
      <c r="G846">
        <v>0</v>
      </c>
      <c r="H846">
        <v>0</v>
      </c>
      <c r="I846" t="s">
        <v>62</v>
      </c>
    </row>
    <row r="847" spans="1:9" x14ac:dyDescent="0.35">
      <c r="A847" t="s">
        <v>8</v>
      </c>
      <c r="B847">
        <v>2035</v>
      </c>
      <c r="C847" t="s">
        <v>61</v>
      </c>
      <c r="D847" t="s">
        <v>56</v>
      </c>
      <c r="E847" s="1">
        <v>5.0934857453586402E-7</v>
      </c>
      <c r="F847" s="1">
        <v>5.0934857453586402E-7</v>
      </c>
      <c r="G847">
        <v>0</v>
      </c>
      <c r="H847">
        <v>0</v>
      </c>
      <c r="I847" t="s">
        <v>62</v>
      </c>
    </row>
    <row r="848" spans="1:9" x14ac:dyDescent="0.35">
      <c r="A848" t="s">
        <v>10</v>
      </c>
      <c r="B848">
        <v>2040</v>
      </c>
      <c r="C848" t="s">
        <v>61</v>
      </c>
      <c r="D848" t="s">
        <v>38</v>
      </c>
      <c r="E848">
        <v>6.1229440024017298E-3</v>
      </c>
      <c r="F848">
        <v>5.5629734947351102E-3</v>
      </c>
      <c r="G848">
        <v>-5.5997050766662003E-4</v>
      </c>
      <c r="H848">
        <v>-9.1454455152124705</v>
      </c>
      <c r="I848" t="s">
        <v>62</v>
      </c>
    </row>
    <row r="849" spans="1:9" x14ac:dyDescent="0.35">
      <c r="A849" t="s">
        <v>10</v>
      </c>
      <c r="B849">
        <v>2040</v>
      </c>
      <c r="C849" t="s">
        <v>61</v>
      </c>
      <c r="D849" t="s">
        <v>40</v>
      </c>
      <c r="E849">
        <v>4.3980142240172496E-3</v>
      </c>
      <c r="F849">
        <v>4.3980142240172496E-3</v>
      </c>
      <c r="G849">
        <v>0</v>
      </c>
      <c r="H849">
        <v>0</v>
      </c>
      <c r="I849" t="s">
        <v>62</v>
      </c>
    </row>
    <row r="850" spans="1:9" x14ac:dyDescent="0.35">
      <c r="A850" t="s">
        <v>10</v>
      </c>
      <c r="B850">
        <v>2040</v>
      </c>
      <c r="C850" t="s">
        <v>61</v>
      </c>
      <c r="D850" t="s">
        <v>41</v>
      </c>
      <c r="E850">
        <v>0.14658662273402601</v>
      </c>
      <c r="F850">
        <v>4.2753831581072203E-2</v>
      </c>
      <c r="G850">
        <v>-0.10383279115295301</v>
      </c>
      <c r="H850">
        <v>-70.833742681522196</v>
      </c>
      <c r="I850" t="s">
        <v>62</v>
      </c>
    </row>
    <row r="851" spans="1:9" x14ac:dyDescent="0.35">
      <c r="A851" t="s">
        <v>10</v>
      </c>
      <c r="B851">
        <v>2040</v>
      </c>
      <c r="C851" t="s">
        <v>61</v>
      </c>
      <c r="D851" t="s">
        <v>42</v>
      </c>
      <c r="E851">
        <v>17.091597482415501</v>
      </c>
      <c r="F851">
        <v>16.219530824934601</v>
      </c>
      <c r="G851">
        <v>-0.87206665748089995</v>
      </c>
      <c r="H851">
        <v>-5.1023121646651903</v>
      </c>
      <c r="I851" t="s">
        <v>62</v>
      </c>
    </row>
    <row r="852" spans="1:9" x14ac:dyDescent="0.35">
      <c r="A852" t="s">
        <v>10</v>
      </c>
      <c r="B852">
        <v>2040</v>
      </c>
      <c r="C852" t="s">
        <v>61</v>
      </c>
      <c r="D852" t="s">
        <v>43</v>
      </c>
      <c r="E852">
        <v>1.4345932347873199E-2</v>
      </c>
      <c r="F852">
        <v>1.4345932347873199E-2</v>
      </c>
      <c r="G852">
        <v>0</v>
      </c>
      <c r="H852">
        <v>0</v>
      </c>
      <c r="I852" t="s">
        <v>62</v>
      </c>
    </row>
    <row r="853" spans="1:9" x14ac:dyDescent="0.35">
      <c r="A853" t="s">
        <v>10</v>
      </c>
      <c r="B853">
        <v>2040</v>
      </c>
      <c r="C853" t="s">
        <v>61</v>
      </c>
      <c r="D853" t="s">
        <v>136</v>
      </c>
      <c r="E853">
        <v>8.5043668416373794</v>
      </c>
      <c r="F853">
        <v>8.1289340606087102</v>
      </c>
      <c r="G853">
        <v>-0.37543278102866501</v>
      </c>
      <c r="H853">
        <v>-4.4145882699996699</v>
      </c>
      <c r="I853" t="s">
        <v>62</v>
      </c>
    </row>
    <row r="854" spans="1:9" x14ac:dyDescent="0.35">
      <c r="A854" t="s">
        <v>10</v>
      </c>
      <c r="B854">
        <v>2040</v>
      </c>
      <c r="C854" t="s">
        <v>61</v>
      </c>
      <c r="D854" t="s">
        <v>45</v>
      </c>
      <c r="E854">
        <v>0.28312796764982001</v>
      </c>
      <c r="F854">
        <v>2.6757903698570899E-2</v>
      </c>
      <c r="G854">
        <v>-0.25637006395124901</v>
      </c>
      <c r="H854">
        <v>-90.549183847614103</v>
      </c>
      <c r="I854" t="s">
        <v>62</v>
      </c>
    </row>
    <row r="855" spans="1:9" x14ac:dyDescent="0.35">
      <c r="A855" t="s">
        <v>10</v>
      </c>
      <c r="B855">
        <v>2040</v>
      </c>
      <c r="C855" t="s">
        <v>61</v>
      </c>
      <c r="D855" t="s">
        <v>46</v>
      </c>
      <c r="E855">
        <v>1.1602045623302599</v>
      </c>
      <c r="F855">
        <v>1.1602045623302599</v>
      </c>
      <c r="G855">
        <v>0</v>
      </c>
      <c r="H855">
        <v>0</v>
      </c>
      <c r="I855" t="s">
        <v>62</v>
      </c>
    </row>
    <row r="856" spans="1:9" x14ac:dyDescent="0.35">
      <c r="A856" t="s">
        <v>10</v>
      </c>
      <c r="B856">
        <v>2040</v>
      </c>
      <c r="C856" t="s">
        <v>61</v>
      </c>
      <c r="D856" t="s">
        <v>47</v>
      </c>
      <c r="E856">
        <v>1.12412212989674E-2</v>
      </c>
      <c r="F856">
        <v>1.12412212989674E-2</v>
      </c>
      <c r="G856">
        <v>0</v>
      </c>
      <c r="H856">
        <v>0</v>
      </c>
      <c r="I856" t="s">
        <v>62</v>
      </c>
    </row>
    <row r="857" spans="1:9" x14ac:dyDescent="0.35">
      <c r="A857" t="s">
        <v>10</v>
      </c>
      <c r="B857">
        <v>2040</v>
      </c>
      <c r="C857" t="s">
        <v>61</v>
      </c>
      <c r="D857" t="s">
        <v>48</v>
      </c>
      <c r="E857">
        <v>28.661425510644701</v>
      </c>
      <c r="F857">
        <v>28.661425510644701</v>
      </c>
      <c r="G857">
        <v>0</v>
      </c>
      <c r="H857">
        <v>0</v>
      </c>
      <c r="I857" t="s">
        <v>62</v>
      </c>
    </row>
    <row r="858" spans="1:9" x14ac:dyDescent="0.35">
      <c r="A858" t="s">
        <v>10</v>
      </c>
      <c r="B858">
        <v>2040</v>
      </c>
      <c r="C858" t="s">
        <v>61</v>
      </c>
      <c r="D858" t="s">
        <v>49</v>
      </c>
      <c r="E858">
        <v>1.3659821710289299</v>
      </c>
      <c r="F858">
        <v>8.5377689561686204E-2</v>
      </c>
      <c r="G858">
        <v>-1.2806044814672399</v>
      </c>
      <c r="H858">
        <v>-93.749721528402105</v>
      </c>
      <c r="I858" t="s">
        <v>62</v>
      </c>
    </row>
    <row r="859" spans="1:9" x14ac:dyDescent="0.35">
      <c r="A859" t="s">
        <v>10</v>
      </c>
      <c r="B859">
        <v>2040</v>
      </c>
      <c r="C859" t="s">
        <v>61</v>
      </c>
      <c r="D859" t="s">
        <v>50</v>
      </c>
      <c r="E859">
        <v>0.11655178646584</v>
      </c>
      <c r="F859">
        <v>0.11655178646584</v>
      </c>
      <c r="G859">
        <v>0</v>
      </c>
      <c r="H859">
        <v>0</v>
      </c>
      <c r="I859" t="s">
        <v>62</v>
      </c>
    </row>
    <row r="860" spans="1:9" x14ac:dyDescent="0.35">
      <c r="A860" t="s">
        <v>10</v>
      </c>
      <c r="B860">
        <v>2040</v>
      </c>
      <c r="C860" t="s">
        <v>61</v>
      </c>
      <c r="D860" t="s">
        <v>51</v>
      </c>
      <c r="E860">
        <v>0.60608776917121499</v>
      </c>
      <c r="F860">
        <v>0.60608776917121499</v>
      </c>
      <c r="G860">
        <v>0</v>
      </c>
      <c r="H860">
        <v>0</v>
      </c>
      <c r="I860" t="s">
        <v>62</v>
      </c>
    </row>
    <row r="861" spans="1:9" x14ac:dyDescent="0.35">
      <c r="A861" t="s">
        <v>10</v>
      </c>
      <c r="B861">
        <v>2040</v>
      </c>
      <c r="C861" t="s">
        <v>61</v>
      </c>
      <c r="D861" t="s">
        <v>52</v>
      </c>
      <c r="E861">
        <v>0.35651275305976898</v>
      </c>
      <c r="F861">
        <v>0.35651275305976898</v>
      </c>
      <c r="G861">
        <v>0</v>
      </c>
      <c r="H861">
        <v>0</v>
      </c>
      <c r="I861" t="s">
        <v>62</v>
      </c>
    </row>
    <row r="862" spans="1:9" x14ac:dyDescent="0.35">
      <c r="A862" t="s">
        <v>10</v>
      </c>
      <c r="B862">
        <v>2040</v>
      </c>
      <c r="C862" t="s">
        <v>61</v>
      </c>
      <c r="D862" t="s">
        <v>53</v>
      </c>
      <c r="E862">
        <v>2.0219462212720298</v>
      </c>
      <c r="F862">
        <v>2.0219462212720298</v>
      </c>
      <c r="G862">
        <v>0</v>
      </c>
      <c r="H862">
        <v>0</v>
      </c>
      <c r="I862" t="s">
        <v>62</v>
      </c>
    </row>
    <row r="863" spans="1:9" x14ac:dyDescent="0.35">
      <c r="A863" t="s">
        <v>10</v>
      </c>
      <c r="B863">
        <v>2040</v>
      </c>
      <c r="C863" t="s">
        <v>61</v>
      </c>
      <c r="D863" t="s">
        <v>54</v>
      </c>
      <c r="E863">
        <v>7.0813260334891499</v>
      </c>
      <c r="F863">
        <v>7.0811351349049803</v>
      </c>
      <c r="G863">
        <v>-1.9089858417320401E-4</v>
      </c>
      <c r="H863">
        <v>-2.6958027814339099E-3</v>
      </c>
      <c r="I863" t="s">
        <v>62</v>
      </c>
    </row>
    <row r="864" spans="1:9" x14ac:dyDescent="0.35">
      <c r="A864" t="s">
        <v>10</v>
      </c>
      <c r="B864">
        <v>2040</v>
      </c>
      <c r="C864" t="s">
        <v>61</v>
      </c>
      <c r="D864" t="s">
        <v>55</v>
      </c>
      <c r="E864">
        <v>6.5328911317013096</v>
      </c>
      <c r="F864">
        <v>6.51240657706773</v>
      </c>
      <c r="G864">
        <v>-2.04845546335761E-2</v>
      </c>
      <c r="H864">
        <v>-0.313560324527273</v>
      </c>
      <c r="I864" t="s">
        <v>62</v>
      </c>
    </row>
    <row r="865" spans="1:9" x14ac:dyDescent="0.35">
      <c r="A865" t="s">
        <v>10</v>
      </c>
      <c r="B865">
        <v>2040</v>
      </c>
      <c r="C865" t="s">
        <v>61</v>
      </c>
      <c r="D865" t="s">
        <v>56</v>
      </c>
      <c r="E865" s="1">
        <v>4.8542727689115404E-7</v>
      </c>
      <c r="F865" s="1">
        <v>4.8542727689115404E-7</v>
      </c>
      <c r="G865">
        <v>0</v>
      </c>
      <c r="H865">
        <v>0</v>
      </c>
      <c r="I865" t="s">
        <v>62</v>
      </c>
    </row>
    <row r="866" spans="1:9" x14ac:dyDescent="0.35">
      <c r="A866" t="s">
        <v>4</v>
      </c>
      <c r="B866">
        <v>2025</v>
      </c>
      <c r="C866" t="s">
        <v>127</v>
      </c>
      <c r="D866" t="s">
        <v>38</v>
      </c>
      <c r="E866">
        <v>2.4955780560567398E-2</v>
      </c>
      <c r="F866">
        <v>2.4955780560567398E-2</v>
      </c>
      <c r="G866">
        <v>0</v>
      </c>
      <c r="H866">
        <v>0</v>
      </c>
      <c r="I866" t="s">
        <v>128</v>
      </c>
    </row>
    <row r="867" spans="1:9" x14ac:dyDescent="0.35">
      <c r="A867" t="s">
        <v>4</v>
      </c>
      <c r="B867">
        <v>2025</v>
      </c>
      <c r="C867" t="s">
        <v>127</v>
      </c>
      <c r="D867" t="s">
        <v>40</v>
      </c>
      <c r="E867">
        <v>5.4940193696783803E-2</v>
      </c>
      <c r="F867">
        <v>5.4940193696783803E-2</v>
      </c>
      <c r="G867">
        <v>0</v>
      </c>
      <c r="H867">
        <v>0</v>
      </c>
      <c r="I867" t="s">
        <v>128</v>
      </c>
    </row>
    <row r="868" spans="1:9" x14ac:dyDescent="0.35">
      <c r="A868" t="s">
        <v>4</v>
      </c>
      <c r="B868">
        <v>2025</v>
      </c>
      <c r="C868" t="s">
        <v>127</v>
      </c>
      <c r="D868" t="s">
        <v>41</v>
      </c>
      <c r="E868">
        <v>0.76371295477396794</v>
      </c>
      <c r="F868">
        <v>0.76371295477396794</v>
      </c>
      <c r="G868">
        <v>0</v>
      </c>
      <c r="H868">
        <v>0</v>
      </c>
      <c r="I868" t="s">
        <v>128</v>
      </c>
    </row>
    <row r="869" spans="1:9" x14ac:dyDescent="0.35">
      <c r="A869" t="s">
        <v>4</v>
      </c>
      <c r="B869">
        <v>2025</v>
      </c>
      <c r="C869" t="s">
        <v>127</v>
      </c>
      <c r="D869" t="s">
        <v>42</v>
      </c>
      <c r="E869">
        <v>180.571610620342</v>
      </c>
      <c r="F869">
        <v>180.571610620342</v>
      </c>
      <c r="G869">
        <v>0</v>
      </c>
      <c r="H869">
        <v>0</v>
      </c>
      <c r="I869" t="s">
        <v>128</v>
      </c>
    </row>
    <row r="870" spans="1:9" x14ac:dyDescent="0.35">
      <c r="A870" t="s">
        <v>4</v>
      </c>
      <c r="B870">
        <v>2025</v>
      </c>
      <c r="C870" t="s">
        <v>127</v>
      </c>
      <c r="D870" t="s">
        <v>43</v>
      </c>
      <c r="E870">
        <v>0.24264503473481699</v>
      </c>
      <c r="F870">
        <v>0.24264503473481699</v>
      </c>
      <c r="G870">
        <v>0</v>
      </c>
      <c r="H870">
        <v>0</v>
      </c>
      <c r="I870" t="s">
        <v>128</v>
      </c>
    </row>
    <row r="871" spans="1:9" x14ac:dyDescent="0.35">
      <c r="A871" t="s">
        <v>4</v>
      </c>
      <c r="B871">
        <v>2025</v>
      </c>
      <c r="C871" t="s">
        <v>127</v>
      </c>
      <c r="D871" t="s">
        <v>136</v>
      </c>
      <c r="E871">
        <v>30.611266922755199</v>
      </c>
      <c r="F871">
        <v>30.611266922755199</v>
      </c>
      <c r="G871">
        <v>0</v>
      </c>
      <c r="H871">
        <v>0</v>
      </c>
      <c r="I871" t="s">
        <v>128</v>
      </c>
    </row>
    <row r="872" spans="1:9" x14ac:dyDescent="0.35">
      <c r="A872" t="s">
        <v>4</v>
      </c>
      <c r="B872">
        <v>2025</v>
      </c>
      <c r="C872" t="s">
        <v>127</v>
      </c>
      <c r="D872" t="s">
        <v>45</v>
      </c>
      <c r="E872">
        <v>0.239546897444403</v>
      </c>
      <c r="F872">
        <v>0.239546897444403</v>
      </c>
      <c r="G872">
        <v>0</v>
      </c>
      <c r="H872">
        <v>0</v>
      </c>
      <c r="I872" t="s">
        <v>128</v>
      </c>
    </row>
    <row r="873" spans="1:9" x14ac:dyDescent="0.35">
      <c r="A873" t="s">
        <v>4</v>
      </c>
      <c r="B873">
        <v>2025</v>
      </c>
      <c r="C873" t="s">
        <v>127</v>
      </c>
      <c r="D873" t="s">
        <v>46</v>
      </c>
      <c r="E873">
        <v>1.6037074850480399</v>
      </c>
      <c r="F873">
        <v>1.6037074850480399</v>
      </c>
      <c r="G873">
        <v>0</v>
      </c>
      <c r="H873">
        <v>0</v>
      </c>
      <c r="I873" t="s">
        <v>128</v>
      </c>
    </row>
    <row r="874" spans="1:9" x14ac:dyDescent="0.35">
      <c r="A874" t="s">
        <v>4</v>
      </c>
      <c r="B874">
        <v>2025</v>
      </c>
      <c r="C874" t="s">
        <v>127</v>
      </c>
      <c r="D874" t="s">
        <v>47</v>
      </c>
      <c r="E874">
        <v>4.6225787201966601E-2</v>
      </c>
      <c r="F874">
        <v>4.6225787201966601E-2</v>
      </c>
      <c r="G874">
        <v>0</v>
      </c>
      <c r="H874">
        <v>0</v>
      </c>
      <c r="I874" t="s">
        <v>128</v>
      </c>
    </row>
    <row r="875" spans="1:9" x14ac:dyDescent="0.35">
      <c r="A875" t="s">
        <v>4</v>
      </c>
      <c r="B875">
        <v>2025</v>
      </c>
      <c r="C875" t="s">
        <v>127</v>
      </c>
      <c r="D875" t="s">
        <v>48</v>
      </c>
      <c r="E875">
        <v>79.802993693245298</v>
      </c>
      <c r="F875">
        <v>79.802993693245298</v>
      </c>
      <c r="G875">
        <v>0</v>
      </c>
      <c r="H875">
        <v>0</v>
      </c>
      <c r="I875" t="s">
        <v>128</v>
      </c>
    </row>
    <row r="876" spans="1:9" x14ac:dyDescent="0.35">
      <c r="A876" t="s">
        <v>4</v>
      </c>
      <c r="B876">
        <v>2025</v>
      </c>
      <c r="C876" t="s">
        <v>127</v>
      </c>
      <c r="D876" t="s">
        <v>49</v>
      </c>
      <c r="E876">
        <v>0.85672750620816696</v>
      </c>
      <c r="F876">
        <v>0.85672750620816696</v>
      </c>
      <c r="G876">
        <v>0</v>
      </c>
      <c r="H876">
        <v>0</v>
      </c>
      <c r="I876" t="s">
        <v>128</v>
      </c>
    </row>
    <row r="877" spans="1:9" x14ac:dyDescent="0.35">
      <c r="A877" t="s">
        <v>4</v>
      </c>
      <c r="B877">
        <v>2025</v>
      </c>
      <c r="C877" t="s">
        <v>127</v>
      </c>
      <c r="D877" t="s">
        <v>50</v>
      </c>
      <c r="E877">
        <v>0.57690169540267999</v>
      </c>
      <c r="F877">
        <v>0.57690169540267999</v>
      </c>
      <c r="G877">
        <v>0</v>
      </c>
      <c r="H877">
        <v>0</v>
      </c>
      <c r="I877" t="s">
        <v>128</v>
      </c>
    </row>
    <row r="878" spans="1:9" x14ac:dyDescent="0.35">
      <c r="A878" t="s">
        <v>4</v>
      </c>
      <c r="B878">
        <v>2025</v>
      </c>
      <c r="C878" t="s">
        <v>127</v>
      </c>
      <c r="D878" t="s">
        <v>51</v>
      </c>
      <c r="E878">
        <v>1.5017755306593401</v>
      </c>
      <c r="F878">
        <v>1.5017755306593401</v>
      </c>
      <c r="G878">
        <v>0</v>
      </c>
      <c r="H878">
        <v>0</v>
      </c>
      <c r="I878" t="s">
        <v>128</v>
      </c>
    </row>
    <row r="879" spans="1:9" x14ac:dyDescent="0.35">
      <c r="A879" t="s">
        <v>4</v>
      </c>
      <c r="B879">
        <v>2025</v>
      </c>
      <c r="C879" t="s">
        <v>127</v>
      </c>
      <c r="D879" t="s">
        <v>52</v>
      </c>
      <c r="E879">
        <v>1.81559941317747</v>
      </c>
      <c r="F879">
        <v>1.81559941317747</v>
      </c>
      <c r="G879">
        <v>0</v>
      </c>
      <c r="H879">
        <v>0</v>
      </c>
      <c r="I879" t="s">
        <v>128</v>
      </c>
    </row>
    <row r="880" spans="1:9" x14ac:dyDescent="0.35">
      <c r="A880" t="s">
        <v>4</v>
      </c>
      <c r="B880">
        <v>2025</v>
      </c>
      <c r="C880" t="s">
        <v>127</v>
      </c>
      <c r="D880" t="s">
        <v>53</v>
      </c>
      <c r="E880">
        <v>11.5492385230595</v>
      </c>
      <c r="F880">
        <v>11.5492385230595</v>
      </c>
      <c r="G880">
        <v>0</v>
      </c>
      <c r="H880">
        <v>0</v>
      </c>
      <c r="I880" t="s">
        <v>128</v>
      </c>
    </row>
    <row r="881" spans="1:9" x14ac:dyDescent="0.35">
      <c r="A881" t="s">
        <v>4</v>
      </c>
      <c r="B881">
        <v>2025</v>
      </c>
      <c r="C881" t="s">
        <v>127</v>
      </c>
      <c r="D881" t="s">
        <v>54</v>
      </c>
      <c r="E881">
        <v>14.2776213193166</v>
      </c>
      <c r="F881">
        <v>14.2776213193166</v>
      </c>
      <c r="G881">
        <v>0</v>
      </c>
      <c r="H881">
        <v>0</v>
      </c>
      <c r="I881" t="s">
        <v>128</v>
      </c>
    </row>
    <row r="882" spans="1:9" x14ac:dyDescent="0.35">
      <c r="A882" t="s">
        <v>4</v>
      </c>
      <c r="B882">
        <v>2025</v>
      </c>
      <c r="C882" t="s">
        <v>127</v>
      </c>
      <c r="D882" t="s">
        <v>55</v>
      </c>
      <c r="E882">
        <v>12.3707948784034</v>
      </c>
      <c r="F882">
        <v>12.3707948784034</v>
      </c>
      <c r="G882">
        <v>0</v>
      </c>
      <c r="H882">
        <v>0</v>
      </c>
      <c r="I882" t="s">
        <v>128</v>
      </c>
    </row>
    <row r="883" spans="1:9" x14ac:dyDescent="0.35">
      <c r="A883" t="s">
        <v>4</v>
      </c>
      <c r="B883">
        <v>2025</v>
      </c>
      <c r="C883" t="s">
        <v>127</v>
      </c>
      <c r="D883" t="s">
        <v>56</v>
      </c>
      <c r="E883" s="1">
        <v>2.8011525570006401E-6</v>
      </c>
      <c r="F883" s="1">
        <v>2.8011525570006401E-6</v>
      </c>
      <c r="G883">
        <v>0</v>
      </c>
      <c r="H883">
        <v>0</v>
      </c>
      <c r="I883" t="s">
        <v>128</v>
      </c>
    </row>
    <row r="884" spans="1:9" x14ac:dyDescent="0.35">
      <c r="A884" t="s">
        <v>6</v>
      </c>
      <c r="B884">
        <v>2030</v>
      </c>
      <c r="C884" t="s">
        <v>127</v>
      </c>
      <c r="D884" t="s">
        <v>38</v>
      </c>
      <c r="E884">
        <v>2.82721717776547E-2</v>
      </c>
      <c r="F884">
        <v>2.82721717776547E-2</v>
      </c>
      <c r="G884">
        <v>0</v>
      </c>
      <c r="H884">
        <v>0</v>
      </c>
      <c r="I884" t="s">
        <v>128</v>
      </c>
    </row>
    <row r="885" spans="1:9" x14ac:dyDescent="0.35">
      <c r="A885" t="s">
        <v>6</v>
      </c>
      <c r="B885">
        <v>2030</v>
      </c>
      <c r="C885" t="s">
        <v>127</v>
      </c>
      <c r="D885" t="s">
        <v>40</v>
      </c>
      <c r="E885">
        <v>5.5335280443200102E-2</v>
      </c>
      <c r="F885">
        <v>5.5335280443200102E-2</v>
      </c>
      <c r="G885">
        <v>0</v>
      </c>
      <c r="H885">
        <v>0</v>
      </c>
      <c r="I885" t="s">
        <v>128</v>
      </c>
    </row>
    <row r="886" spans="1:9" x14ac:dyDescent="0.35">
      <c r="A886" t="s">
        <v>6</v>
      </c>
      <c r="B886">
        <v>2030</v>
      </c>
      <c r="C886" t="s">
        <v>127</v>
      </c>
      <c r="D886" t="s">
        <v>41</v>
      </c>
      <c r="E886">
        <v>0.75049587932432005</v>
      </c>
      <c r="F886">
        <v>0.75049587932432005</v>
      </c>
      <c r="G886">
        <v>0</v>
      </c>
      <c r="H886">
        <v>0</v>
      </c>
      <c r="I886" t="s">
        <v>128</v>
      </c>
    </row>
    <row r="887" spans="1:9" x14ac:dyDescent="0.35">
      <c r="A887" t="s">
        <v>6</v>
      </c>
      <c r="B887">
        <v>2030</v>
      </c>
      <c r="C887" t="s">
        <v>127</v>
      </c>
      <c r="D887" t="s">
        <v>42</v>
      </c>
      <c r="E887">
        <v>178.40118874520101</v>
      </c>
      <c r="F887">
        <v>178.40118874520101</v>
      </c>
      <c r="G887">
        <v>0</v>
      </c>
      <c r="H887">
        <v>0</v>
      </c>
      <c r="I887" t="s">
        <v>128</v>
      </c>
    </row>
    <row r="888" spans="1:9" x14ac:dyDescent="0.35">
      <c r="A888" t="s">
        <v>6</v>
      </c>
      <c r="B888">
        <v>2030</v>
      </c>
      <c r="C888" t="s">
        <v>127</v>
      </c>
      <c r="D888" t="s">
        <v>43</v>
      </c>
      <c r="E888">
        <v>0.237563383263283</v>
      </c>
      <c r="F888">
        <v>0.237563383263283</v>
      </c>
      <c r="G888">
        <v>0</v>
      </c>
      <c r="H888">
        <v>0</v>
      </c>
      <c r="I888" t="s">
        <v>128</v>
      </c>
    </row>
    <row r="889" spans="1:9" x14ac:dyDescent="0.35">
      <c r="A889" t="s">
        <v>6</v>
      </c>
      <c r="B889">
        <v>2030</v>
      </c>
      <c r="C889" t="s">
        <v>127</v>
      </c>
      <c r="D889" t="s">
        <v>136</v>
      </c>
      <c r="E889">
        <v>25.852128172177501</v>
      </c>
      <c r="F889">
        <v>25.852128172177501</v>
      </c>
      <c r="G889">
        <v>0</v>
      </c>
      <c r="H889">
        <v>0</v>
      </c>
      <c r="I889" t="s">
        <v>128</v>
      </c>
    </row>
    <row r="890" spans="1:9" x14ac:dyDescent="0.35">
      <c r="A890" t="s">
        <v>6</v>
      </c>
      <c r="B890">
        <v>2030</v>
      </c>
      <c r="C890" t="s">
        <v>127</v>
      </c>
      <c r="D890" t="s">
        <v>45</v>
      </c>
      <c r="E890">
        <v>0.2274469813193</v>
      </c>
      <c r="F890">
        <v>0.2274469813193</v>
      </c>
      <c r="G890">
        <v>0</v>
      </c>
      <c r="H890">
        <v>0</v>
      </c>
      <c r="I890" t="s">
        <v>128</v>
      </c>
    </row>
    <row r="891" spans="1:9" x14ac:dyDescent="0.35">
      <c r="A891" t="s">
        <v>6</v>
      </c>
      <c r="B891">
        <v>2030</v>
      </c>
      <c r="C891" t="s">
        <v>127</v>
      </c>
      <c r="D891" t="s">
        <v>46</v>
      </c>
      <c r="E891">
        <v>1.98509895272954</v>
      </c>
      <c r="F891">
        <v>1.98509895272954</v>
      </c>
      <c r="G891">
        <v>0</v>
      </c>
      <c r="H891">
        <v>0</v>
      </c>
      <c r="I891" t="s">
        <v>128</v>
      </c>
    </row>
    <row r="892" spans="1:9" x14ac:dyDescent="0.35">
      <c r="A892" t="s">
        <v>6</v>
      </c>
      <c r="B892">
        <v>2030</v>
      </c>
      <c r="C892" t="s">
        <v>127</v>
      </c>
      <c r="D892" t="s">
        <v>47</v>
      </c>
      <c r="E892">
        <v>4.3314484967853499E-2</v>
      </c>
      <c r="F892">
        <v>4.3314484967853499E-2</v>
      </c>
      <c r="G892">
        <v>0</v>
      </c>
      <c r="H892">
        <v>0</v>
      </c>
      <c r="I892" t="s">
        <v>128</v>
      </c>
    </row>
    <row r="893" spans="1:9" x14ac:dyDescent="0.35">
      <c r="A893" t="s">
        <v>6</v>
      </c>
      <c r="B893">
        <v>2030</v>
      </c>
      <c r="C893" t="s">
        <v>127</v>
      </c>
      <c r="D893" t="s">
        <v>48</v>
      </c>
      <c r="E893">
        <v>79.834356717453005</v>
      </c>
      <c r="F893">
        <v>79.834356717453005</v>
      </c>
      <c r="G893">
        <v>0</v>
      </c>
      <c r="H893">
        <v>0</v>
      </c>
      <c r="I893" t="s">
        <v>128</v>
      </c>
    </row>
    <row r="894" spans="1:9" x14ac:dyDescent="0.35">
      <c r="A894" t="s">
        <v>6</v>
      </c>
      <c r="B894">
        <v>2030</v>
      </c>
      <c r="C894" t="s">
        <v>127</v>
      </c>
      <c r="D894" t="s">
        <v>49</v>
      </c>
      <c r="E894">
        <v>0.81021108850589196</v>
      </c>
      <c r="F894">
        <v>0.81021108850589196</v>
      </c>
      <c r="G894">
        <v>0</v>
      </c>
      <c r="H894">
        <v>0</v>
      </c>
      <c r="I894" t="s">
        <v>128</v>
      </c>
    </row>
    <row r="895" spans="1:9" x14ac:dyDescent="0.35">
      <c r="A895" t="s">
        <v>6</v>
      </c>
      <c r="B895">
        <v>2030</v>
      </c>
      <c r="C895" t="s">
        <v>127</v>
      </c>
      <c r="D895" t="s">
        <v>50</v>
      </c>
      <c r="E895">
        <v>0.56944153740805004</v>
      </c>
      <c r="F895">
        <v>0.56944153740805004</v>
      </c>
      <c r="G895">
        <v>0</v>
      </c>
      <c r="H895">
        <v>0</v>
      </c>
      <c r="I895" t="s">
        <v>128</v>
      </c>
    </row>
    <row r="896" spans="1:9" x14ac:dyDescent="0.35">
      <c r="A896" t="s">
        <v>6</v>
      </c>
      <c r="B896">
        <v>2030</v>
      </c>
      <c r="C896" t="s">
        <v>127</v>
      </c>
      <c r="D896" t="s">
        <v>51</v>
      </c>
      <c r="E896">
        <v>1.5016909149133399</v>
      </c>
      <c r="F896">
        <v>1.5016909149133399</v>
      </c>
      <c r="G896">
        <v>0</v>
      </c>
      <c r="H896">
        <v>0</v>
      </c>
      <c r="I896" t="s">
        <v>128</v>
      </c>
    </row>
    <row r="897" spans="1:9" x14ac:dyDescent="0.35">
      <c r="A897" t="s">
        <v>6</v>
      </c>
      <c r="B897">
        <v>2030</v>
      </c>
      <c r="C897" t="s">
        <v>127</v>
      </c>
      <c r="D897" t="s">
        <v>52</v>
      </c>
      <c r="E897">
        <v>1.60634854457823</v>
      </c>
      <c r="F897">
        <v>1.60634854457823</v>
      </c>
      <c r="G897">
        <v>0</v>
      </c>
      <c r="H897">
        <v>0</v>
      </c>
      <c r="I897" t="s">
        <v>128</v>
      </c>
    </row>
    <row r="898" spans="1:9" x14ac:dyDescent="0.35">
      <c r="A898" t="s">
        <v>6</v>
      </c>
      <c r="B898">
        <v>2030</v>
      </c>
      <c r="C898" t="s">
        <v>127</v>
      </c>
      <c r="D898" t="s">
        <v>53</v>
      </c>
      <c r="E898">
        <v>10.6438898682614</v>
      </c>
      <c r="F898">
        <v>10.6438898682614</v>
      </c>
      <c r="G898">
        <v>0</v>
      </c>
      <c r="H898">
        <v>0</v>
      </c>
      <c r="I898" t="s">
        <v>128</v>
      </c>
    </row>
    <row r="899" spans="1:9" x14ac:dyDescent="0.35">
      <c r="A899" t="s">
        <v>6</v>
      </c>
      <c r="B899">
        <v>2030</v>
      </c>
      <c r="C899" t="s">
        <v>127</v>
      </c>
      <c r="D899" t="s">
        <v>54</v>
      </c>
      <c r="E899">
        <v>14.254858873446</v>
      </c>
      <c r="F899">
        <v>14.254858873446</v>
      </c>
      <c r="G899">
        <v>0</v>
      </c>
      <c r="H899">
        <v>0</v>
      </c>
      <c r="I899" t="s">
        <v>128</v>
      </c>
    </row>
    <row r="900" spans="1:9" x14ac:dyDescent="0.35">
      <c r="A900" t="s">
        <v>6</v>
      </c>
      <c r="B900">
        <v>2030</v>
      </c>
      <c r="C900" t="s">
        <v>127</v>
      </c>
      <c r="D900" t="s">
        <v>55</v>
      </c>
      <c r="E900">
        <v>12.343170728135901</v>
      </c>
      <c r="F900">
        <v>12.343170728135901</v>
      </c>
      <c r="G900">
        <v>0</v>
      </c>
      <c r="H900">
        <v>0</v>
      </c>
      <c r="I900" t="s">
        <v>128</v>
      </c>
    </row>
    <row r="901" spans="1:9" x14ac:dyDescent="0.35">
      <c r="A901" t="s">
        <v>6</v>
      </c>
      <c r="B901">
        <v>2030</v>
      </c>
      <c r="C901" t="s">
        <v>127</v>
      </c>
      <c r="D901" t="s">
        <v>56</v>
      </c>
      <c r="E901" s="1">
        <v>2.7943222811352901E-6</v>
      </c>
      <c r="F901" s="1">
        <v>2.7943222811352901E-6</v>
      </c>
      <c r="G901">
        <v>0</v>
      </c>
      <c r="H901">
        <v>0</v>
      </c>
      <c r="I901" t="s">
        <v>128</v>
      </c>
    </row>
    <row r="902" spans="1:9" x14ac:dyDescent="0.35">
      <c r="A902" t="s">
        <v>8</v>
      </c>
      <c r="B902">
        <v>2035</v>
      </c>
      <c r="C902" t="s">
        <v>127</v>
      </c>
      <c r="D902" t="s">
        <v>38</v>
      </c>
      <c r="E902">
        <v>2.9765832803444501E-2</v>
      </c>
      <c r="F902">
        <v>2.9765832803444501E-2</v>
      </c>
      <c r="G902">
        <v>0</v>
      </c>
      <c r="H902">
        <v>0</v>
      </c>
      <c r="I902" t="s">
        <v>128</v>
      </c>
    </row>
    <row r="903" spans="1:9" x14ac:dyDescent="0.35">
      <c r="A903" t="s">
        <v>8</v>
      </c>
      <c r="B903">
        <v>2035</v>
      </c>
      <c r="C903" t="s">
        <v>127</v>
      </c>
      <c r="D903" t="s">
        <v>40</v>
      </c>
      <c r="E903">
        <v>5.5119959255139697E-2</v>
      </c>
      <c r="F903">
        <v>5.5119959255139697E-2</v>
      </c>
      <c r="G903">
        <v>0</v>
      </c>
      <c r="H903">
        <v>0</v>
      </c>
      <c r="I903" t="s">
        <v>128</v>
      </c>
    </row>
    <row r="904" spans="1:9" x14ac:dyDescent="0.35">
      <c r="A904" t="s">
        <v>8</v>
      </c>
      <c r="B904">
        <v>2035</v>
      </c>
      <c r="C904" t="s">
        <v>127</v>
      </c>
      <c r="D904" t="s">
        <v>41</v>
      </c>
      <c r="E904">
        <v>0.73960918643046603</v>
      </c>
      <c r="F904">
        <v>0.73960918643046603</v>
      </c>
      <c r="G904">
        <v>0</v>
      </c>
      <c r="H904">
        <v>0</v>
      </c>
      <c r="I904" t="s">
        <v>128</v>
      </c>
    </row>
    <row r="905" spans="1:9" x14ac:dyDescent="0.35">
      <c r="A905" t="s">
        <v>8</v>
      </c>
      <c r="B905">
        <v>2035</v>
      </c>
      <c r="C905" t="s">
        <v>127</v>
      </c>
      <c r="D905" t="s">
        <v>42</v>
      </c>
      <c r="E905">
        <v>177.08738759279601</v>
      </c>
      <c r="F905">
        <v>177.08738759279601</v>
      </c>
      <c r="G905">
        <v>0</v>
      </c>
      <c r="H905">
        <v>0</v>
      </c>
      <c r="I905" t="s">
        <v>128</v>
      </c>
    </row>
    <row r="906" spans="1:9" x14ac:dyDescent="0.35">
      <c r="A906" t="s">
        <v>8</v>
      </c>
      <c r="B906">
        <v>2035</v>
      </c>
      <c r="C906" t="s">
        <v>127</v>
      </c>
      <c r="D906" t="s">
        <v>43</v>
      </c>
      <c r="E906">
        <v>0.23354610927813499</v>
      </c>
      <c r="F906">
        <v>0.23354610927813499</v>
      </c>
      <c r="G906">
        <v>0</v>
      </c>
      <c r="H906">
        <v>0</v>
      </c>
      <c r="I906" t="s">
        <v>128</v>
      </c>
    </row>
    <row r="907" spans="1:9" x14ac:dyDescent="0.35">
      <c r="A907" t="s">
        <v>8</v>
      </c>
      <c r="B907">
        <v>2035</v>
      </c>
      <c r="C907" t="s">
        <v>127</v>
      </c>
      <c r="D907" t="s">
        <v>136</v>
      </c>
      <c r="E907">
        <v>22.252341054799299</v>
      </c>
      <c r="F907">
        <v>22.252341054799299</v>
      </c>
      <c r="G907">
        <v>0</v>
      </c>
      <c r="H907">
        <v>0</v>
      </c>
      <c r="I907" t="s">
        <v>128</v>
      </c>
    </row>
    <row r="908" spans="1:9" x14ac:dyDescent="0.35">
      <c r="A908" t="s">
        <v>8</v>
      </c>
      <c r="B908">
        <v>2035</v>
      </c>
      <c r="C908" t="s">
        <v>127</v>
      </c>
      <c r="D908" t="s">
        <v>45</v>
      </c>
      <c r="E908">
        <v>0.219289549058517</v>
      </c>
      <c r="F908">
        <v>0.219289549058517</v>
      </c>
      <c r="G908">
        <v>0</v>
      </c>
      <c r="H908">
        <v>0</v>
      </c>
      <c r="I908" t="s">
        <v>128</v>
      </c>
    </row>
    <row r="909" spans="1:9" x14ac:dyDescent="0.35">
      <c r="A909" t="s">
        <v>8</v>
      </c>
      <c r="B909">
        <v>2035</v>
      </c>
      <c r="C909" t="s">
        <v>127</v>
      </c>
      <c r="D909" t="s">
        <v>46</v>
      </c>
      <c r="E909">
        <v>3.0245787461148099</v>
      </c>
      <c r="F909">
        <v>3.0245787461148099</v>
      </c>
      <c r="G909">
        <v>0</v>
      </c>
      <c r="H909">
        <v>0</v>
      </c>
      <c r="I909" t="s">
        <v>128</v>
      </c>
    </row>
    <row r="910" spans="1:9" x14ac:dyDescent="0.35">
      <c r="A910" t="s">
        <v>8</v>
      </c>
      <c r="B910">
        <v>2035</v>
      </c>
      <c r="C910" t="s">
        <v>127</v>
      </c>
      <c r="D910" t="s">
        <v>47</v>
      </c>
      <c r="E910">
        <v>4.1491716062382798E-2</v>
      </c>
      <c r="F910">
        <v>4.1491716062382798E-2</v>
      </c>
      <c r="G910">
        <v>0</v>
      </c>
      <c r="H910">
        <v>0</v>
      </c>
      <c r="I910" t="s">
        <v>128</v>
      </c>
    </row>
    <row r="911" spans="1:9" x14ac:dyDescent="0.35">
      <c r="A911" t="s">
        <v>8</v>
      </c>
      <c r="B911">
        <v>2035</v>
      </c>
      <c r="C911" t="s">
        <v>127</v>
      </c>
      <c r="D911" t="s">
        <v>48</v>
      </c>
      <c r="E911">
        <v>79.876221470093697</v>
      </c>
      <c r="F911">
        <v>79.876221470093697</v>
      </c>
      <c r="G911">
        <v>0</v>
      </c>
      <c r="H911">
        <v>0</v>
      </c>
      <c r="I911" t="s">
        <v>128</v>
      </c>
    </row>
    <row r="912" spans="1:9" x14ac:dyDescent="0.35">
      <c r="A912" t="s">
        <v>8</v>
      </c>
      <c r="B912">
        <v>2035</v>
      </c>
      <c r="C912" t="s">
        <v>127</v>
      </c>
      <c r="D912" t="s">
        <v>49</v>
      </c>
      <c r="E912">
        <v>0.77917042836537198</v>
      </c>
      <c r="F912">
        <v>0.77917042836537198</v>
      </c>
      <c r="G912">
        <v>0</v>
      </c>
      <c r="H912">
        <v>0</v>
      </c>
      <c r="I912" t="s">
        <v>128</v>
      </c>
    </row>
    <row r="913" spans="1:9" x14ac:dyDescent="0.35">
      <c r="A913" t="s">
        <v>8</v>
      </c>
      <c r="B913">
        <v>2035</v>
      </c>
      <c r="C913" t="s">
        <v>127</v>
      </c>
      <c r="D913" t="s">
        <v>50</v>
      </c>
      <c r="E913">
        <v>0.55905788865271999</v>
      </c>
      <c r="F913">
        <v>0.55905788865271999</v>
      </c>
      <c r="G913">
        <v>0</v>
      </c>
      <c r="H913">
        <v>0</v>
      </c>
      <c r="I913" t="s">
        <v>128</v>
      </c>
    </row>
    <row r="914" spans="1:9" x14ac:dyDescent="0.35">
      <c r="A914" t="s">
        <v>8</v>
      </c>
      <c r="B914">
        <v>2035</v>
      </c>
      <c r="C914" t="s">
        <v>127</v>
      </c>
      <c r="D914" t="s">
        <v>51</v>
      </c>
      <c r="E914">
        <v>1.5363073833295899</v>
      </c>
      <c r="F914">
        <v>1.5363073833295899</v>
      </c>
      <c r="G914">
        <v>0</v>
      </c>
      <c r="H914">
        <v>0</v>
      </c>
      <c r="I914" t="s">
        <v>128</v>
      </c>
    </row>
    <row r="915" spans="1:9" x14ac:dyDescent="0.35">
      <c r="A915" t="s">
        <v>8</v>
      </c>
      <c r="B915">
        <v>2035</v>
      </c>
      <c r="C915" t="s">
        <v>127</v>
      </c>
      <c r="D915" t="s">
        <v>52</v>
      </c>
      <c r="E915">
        <v>1.3954225357629899</v>
      </c>
      <c r="F915">
        <v>1.3954225357629899</v>
      </c>
      <c r="G915">
        <v>0</v>
      </c>
      <c r="H915">
        <v>0</v>
      </c>
      <c r="I915" t="s">
        <v>128</v>
      </c>
    </row>
    <row r="916" spans="1:9" x14ac:dyDescent="0.35">
      <c r="A916" t="s">
        <v>8</v>
      </c>
      <c r="B916">
        <v>2035</v>
      </c>
      <c r="C916" t="s">
        <v>127</v>
      </c>
      <c r="D916" t="s">
        <v>53</v>
      </c>
      <c r="E916">
        <v>9.7912929309373293</v>
      </c>
      <c r="F916">
        <v>9.7912929309373293</v>
      </c>
      <c r="G916">
        <v>0</v>
      </c>
      <c r="H916">
        <v>0</v>
      </c>
      <c r="I916" t="s">
        <v>128</v>
      </c>
    </row>
    <row r="917" spans="1:9" x14ac:dyDescent="0.35">
      <c r="A917" t="s">
        <v>8</v>
      </c>
      <c r="B917">
        <v>2035</v>
      </c>
      <c r="C917" t="s">
        <v>127</v>
      </c>
      <c r="D917" t="s">
        <v>54</v>
      </c>
      <c r="E917">
        <v>14.251291321744301</v>
      </c>
      <c r="F917">
        <v>14.251291321744301</v>
      </c>
      <c r="G917">
        <v>0</v>
      </c>
      <c r="H917">
        <v>0</v>
      </c>
      <c r="I917" t="s">
        <v>128</v>
      </c>
    </row>
    <row r="918" spans="1:9" x14ac:dyDescent="0.35">
      <c r="A918" t="s">
        <v>8</v>
      </c>
      <c r="B918">
        <v>2035</v>
      </c>
      <c r="C918" t="s">
        <v>127</v>
      </c>
      <c r="D918" t="s">
        <v>55</v>
      </c>
      <c r="E918">
        <v>12.336040436320401</v>
      </c>
      <c r="F918">
        <v>12.336040436320401</v>
      </c>
      <c r="G918">
        <v>0</v>
      </c>
      <c r="H918">
        <v>0</v>
      </c>
      <c r="I918" t="s">
        <v>128</v>
      </c>
    </row>
    <row r="919" spans="1:9" x14ac:dyDescent="0.35">
      <c r="A919" t="s">
        <v>8</v>
      </c>
      <c r="B919">
        <v>2035</v>
      </c>
      <c r="C919" t="s">
        <v>127</v>
      </c>
      <c r="D919" t="s">
        <v>56</v>
      </c>
      <c r="E919" s="1">
        <v>2.7037112045090101E-6</v>
      </c>
      <c r="F919" s="1">
        <v>2.7037112045090101E-6</v>
      </c>
      <c r="G919">
        <v>0</v>
      </c>
      <c r="H919">
        <v>0</v>
      </c>
      <c r="I919" t="s">
        <v>128</v>
      </c>
    </row>
    <row r="920" spans="1:9" x14ac:dyDescent="0.35">
      <c r="A920" t="s">
        <v>10</v>
      </c>
      <c r="B920">
        <v>2040</v>
      </c>
      <c r="C920" t="s">
        <v>127</v>
      </c>
      <c r="D920" t="s">
        <v>38</v>
      </c>
      <c r="E920">
        <v>2.61494468942438E-2</v>
      </c>
      <c r="F920">
        <v>2.6036742130483501E-2</v>
      </c>
      <c r="G920">
        <v>-1.12704763760362E-4</v>
      </c>
      <c r="H920">
        <v>-0.43100247671078301</v>
      </c>
      <c r="I920" t="s">
        <v>128</v>
      </c>
    </row>
    <row r="921" spans="1:9" x14ac:dyDescent="0.35">
      <c r="A921" t="s">
        <v>10</v>
      </c>
      <c r="B921">
        <v>2040</v>
      </c>
      <c r="C921" t="s">
        <v>127</v>
      </c>
      <c r="D921" t="s">
        <v>40</v>
      </c>
      <c r="E921">
        <v>5.4311189534749497E-2</v>
      </c>
      <c r="F921">
        <v>5.4311189534749497E-2</v>
      </c>
      <c r="G921">
        <v>0</v>
      </c>
      <c r="H921">
        <v>0</v>
      </c>
      <c r="I921" t="s">
        <v>128</v>
      </c>
    </row>
    <row r="922" spans="1:9" x14ac:dyDescent="0.35">
      <c r="A922" t="s">
        <v>10</v>
      </c>
      <c r="B922">
        <v>2040</v>
      </c>
      <c r="C922" t="s">
        <v>127</v>
      </c>
      <c r="D922" t="s">
        <v>41</v>
      </c>
      <c r="E922">
        <v>0.73115608226823203</v>
      </c>
      <c r="F922">
        <v>0.73114444719731897</v>
      </c>
      <c r="G922" s="1">
        <v>-1.16350709122858E-5</v>
      </c>
      <c r="H922">
        <v>-1.5913251895807101E-3</v>
      </c>
      <c r="I922" t="s">
        <v>128</v>
      </c>
    </row>
    <row r="923" spans="1:9" x14ac:dyDescent="0.35">
      <c r="A923" t="s">
        <v>10</v>
      </c>
      <c r="B923">
        <v>2040</v>
      </c>
      <c r="C923" t="s">
        <v>127</v>
      </c>
      <c r="D923" t="s">
        <v>42</v>
      </c>
      <c r="E923">
        <v>176.507383827886</v>
      </c>
      <c r="F923">
        <v>176.42589071254201</v>
      </c>
      <c r="G923">
        <v>-8.1493115344471706E-2</v>
      </c>
      <c r="H923">
        <v>-4.6169805238253502E-2</v>
      </c>
      <c r="I923" t="s">
        <v>128</v>
      </c>
    </row>
    <row r="924" spans="1:9" x14ac:dyDescent="0.35">
      <c r="A924" t="s">
        <v>10</v>
      </c>
      <c r="B924">
        <v>2040</v>
      </c>
      <c r="C924" t="s">
        <v>127</v>
      </c>
      <c r="D924" t="s">
        <v>43</v>
      </c>
      <c r="E924">
        <v>0.23050134217365201</v>
      </c>
      <c r="F924">
        <v>0.230501331538423</v>
      </c>
      <c r="G924" s="1">
        <v>-1.0635228836486301E-8</v>
      </c>
      <c r="H924" s="1">
        <v>-4.6139552751385397E-6</v>
      </c>
      <c r="I924" t="s">
        <v>128</v>
      </c>
    </row>
    <row r="925" spans="1:9" x14ac:dyDescent="0.35">
      <c r="A925" t="s">
        <v>10</v>
      </c>
      <c r="B925">
        <v>2040</v>
      </c>
      <c r="C925" t="s">
        <v>127</v>
      </c>
      <c r="D925" t="s">
        <v>136</v>
      </c>
      <c r="E925">
        <v>19.426313040723201</v>
      </c>
      <c r="F925">
        <v>19.426221696307099</v>
      </c>
      <c r="G925" s="1">
        <v>-9.1344416091487801E-5</v>
      </c>
      <c r="H925">
        <v>-4.7020974026313299E-4</v>
      </c>
      <c r="I925" t="s">
        <v>128</v>
      </c>
    </row>
    <row r="926" spans="1:9" x14ac:dyDescent="0.35">
      <c r="A926" t="s">
        <v>10</v>
      </c>
      <c r="B926">
        <v>2040</v>
      </c>
      <c r="C926" t="s">
        <v>127</v>
      </c>
      <c r="D926" t="s">
        <v>45</v>
      </c>
      <c r="E926">
        <v>0.21480960816226399</v>
      </c>
      <c r="F926">
        <v>0.21477706470524299</v>
      </c>
      <c r="G926" s="1">
        <v>-3.2543457020944801E-5</v>
      </c>
      <c r="H926">
        <v>-1.5149907538754901E-2</v>
      </c>
      <c r="I926" t="s">
        <v>128</v>
      </c>
    </row>
    <row r="927" spans="1:9" x14ac:dyDescent="0.35">
      <c r="A927" t="s">
        <v>10</v>
      </c>
      <c r="B927">
        <v>2040</v>
      </c>
      <c r="C927" t="s">
        <v>127</v>
      </c>
      <c r="D927" t="s">
        <v>46</v>
      </c>
      <c r="E927">
        <v>4.6189259964045002</v>
      </c>
      <c r="F927">
        <v>4.6189259964045002</v>
      </c>
      <c r="G927">
        <v>0</v>
      </c>
      <c r="H927">
        <v>0</v>
      </c>
      <c r="I927" t="s">
        <v>128</v>
      </c>
    </row>
    <row r="928" spans="1:9" x14ac:dyDescent="0.35">
      <c r="A928" t="s">
        <v>10</v>
      </c>
      <c r="B928">
        <v>2040</v>
      </c>
      <c r="C928" t="s">
        <v>127</v>
      </c>
      <c r="D928" t="s">
        <v>47</v>
      </c>
      <c r="E928">
        <v>4.0636852656163597E-2</v>
      </c>
      <c r="F928">
        <v>4.0636852656163597E-2</v>
      </c>
      <c r="G928">
        <v>0</v>
      </c>
      <c r="H928">
        <v>0</v>
      </c>
      <c r="I928" t="s">
        <v>128</v>
      </c>
    </row>
    <row r="929" spans="1:9" x14ac:dyDescent="0.35">
      <c r="A929" t="s">
        <v>10</v>
      </c>
      <c r="B929">
        <v>2040</v>
      </c>
      <c r="C929" t="s">
        <v>127</v>
      </c>
      <c r="D929" t="s">
        <v>48</v>
      </c>
      <c r="E929">
        <v>79.925236109389004</v>
      </c>
      <c r="F929">
        <v>79.925236109389004</v>
      </c>
      <c r="G929">
        <v>0</v>
      </c>
      <c r="H929">
        <v>0</v>
      </c>
      <c r="I929" t="s">
        <v>128</v>
      </c>
    </row>
    <row r="930" spans="1:9" x14ac:dyDescent="0.35">
      <c r="A930" t="s">
        <v>10</v>
      </c>
      <c r="B930">
        <v>2040</v>
      </c>
      <c r="C930" t="s">
        <v>127</v>
      </c>
      <c r="D930" t="s">
        <v>49</v>
      </c>
      <c r="E930">
        <v>0.76280386797933197</v>
      </c>
      <c r="F930">
        <v>0.76266069064700504</v>
      </c>
      <c r="G930">
        <v>-1.4317733232715999E-4</v>
      </c>
      <c r="H930">
        <v>-1.876987497539E-2</v>
      </c>
      <c r="I930" t="s">
        <v>128</v>
      </c>
    </row>
    <row r="931" spans="1:9" x14ac:dyDescent="0.35">
      <c r="A931" t="s">
        <v>10</v>
      </c>
      <c r="B931">
        <v>2040</v>
      </c>
      <c r="C931" t="s">
        <v>127</v>
      </c>
      <c r="D931" t="s">
        <v>50</v>
      </c>
      <c r="E931">
        <v>0.544286357477623</v>
      </c>
      <c r="F931">
        <v>0.544286357477623</v>
      </c>
      <c r="G931">
        <v>0</v>
      </c>
      <c r="H931">
        <v>0</v>
      </c>
      <c r="I931" t="s">
        <v>128</v>
      </c>
    </row>
    <row r="932" spans="1:9" x14ac:dyDescent="0.35">
      <c r="A932" t="s">
        <v>10</v>
      </c>
      <c r="B932">
        <v>2040</v>
      </c>
      <c r="C932" t="s">
        <v>127</v>
      </c>
      <c r="D932" t="s">
        <v>51</v>
      </c>
      <c r="E932">
        <v>1.5981342287247899</v>
      </c>
      <c r="F932">
        <v>1.5981342287247899</v>
      </c>
      <c r="G932">
        <v>0</v>
      </c>
      <c r="H932">
        <v>0</v>
      </c>
      <c r="I932" t="s">
        <v>128</v>
      </c>
    </row>
    <row r="933" spans="1:9" x14ac:dyDescent="0.35">
      <c r="A933" t="s">
        <v>10</v>
      </c>
      <c r="B933">
        <v>2040</v>
      </c>
      <c r="C933" t="s">
        <v>127</v>
      </c>
      <c r="D933" t="s">
        <v>52</v>
      </c>
      <c r="E933">
        <v>1.18179199900205</v>
      </c>
      <c r="F933">
        <v>1.18179199900205</v>
      </c>
      <c r="G933">
        <v>0</v>
      </c>
      <c r="H933">
        <v>0</v>
      </c>
      <c r="I933" t="s">
        <v>128</v>
      </c>
    </row>
    <row r="934" spans="1:9" x14ac:dyDescent="0.35">
      <c r="A934" t="s">
        <v>10</v>
      </c>
      <c r="B934">
        <v>2040</v>
      </c>
      <c r="C934" t="s">
        <v>127</v>
      </c>
      <c r="D934" t="s">
        <v>53</v>
      </c>
      <c r="E934">
        <v>8.8897308676226796</v>
      </c>
      <c r="F934">
        <v>8.8897308676226796</v>
      </c>
      <c r="G934">
        <v>0</v>
      </c>
      <c r="H934">
        <v>0</v>
      </c>
      <c r="I934" t="s">
        <v>128</v>
      </c>
    </row>
    <row r="935" spans="1:9" x14ac:dyDescent="0.35">
      <c r="A935" t="s">
        <v>10</v>
      </c>
      <c r="B935">
        <v>2040</v>
      </c>
      <c r="C935" t="s">
        <v>127</v>
      </c>
      <c r="D935" t="s">
        <v>54</v>
      </c>
      <c r="E935">
        <v>14.261201582260799</v>
      </c>
      <c r="F935">
        <v>14.2553431688457</v>
      </c>
      <c r="G935">
        <v>-5.8584134150692002E-3</v>
      </c>
      <c r="H935">
        <v>-4.1079381574385399E-2</v>
      </c>
      <c r="I935" t="s">
        <v>128</v>
      </c>
    </row>
    <row r="936" spans="1:9" x14ac:dyDescent="0.35">
      <c r="A936" t="s">
        <v>10</v>
      </c>
      <c r="B936">
        <v>2040</v>
      </c>
      <c r="C936" t="s">
        <v>127</v>
      </c>
      <c r="D936" t="s">
        <v>55</v>
      </c>
      <c r="E936">
        <v>12.344036859940299</v>
      </c>
      <c r="F936">
        <v>12.3430532983896</v>
      </c>
      <c r="G936">
        <v>-9.8356155071321894E-4</v>
      </c>
      <c r="H936">
        <v>-7.9679084068934904E-3</v>
      </c>
      <c r="I936" t="s">
        <v>128</v>
      </c>
    </row>
    <row r="937" spans="1:9" x14ac:dyDescent="0.35">
      <c r="A937" t="s">
        <v>10</v>
      </c>
      <c r="B937">
        <v>2040</v>
      </c>
      <c r="C937" t="s">
        <v>127</v>
      </c>
      <c r="D937" t="s">
        <v>56</v>
      </c>
      <c r="E937" s="1">
        <v>2.5010504931018599E-6</v>
      </c>
      <c r="F937" s="1">
        <v>2.5010504931018599E-6</v>
      </c>
      <c r="G937">
        <v>0</v>
      </c>
      <c r="H937">
        <v>0</v>
      </c>
      <c r="I937" t="s">
        <v>128</v>
      </c>
    </row>
    <row r="938" spans="1:9" x14ac:dyDescent="0.35">
      <c r="A938" t="s">
        <v>4</v>
      </c>
      <c r="B938">
        <v>2025</v>
      </c>
      <c r="C938" t="s">
        <v>74</v>
      </c>
      <c r="D938" t="s">
        <v>38</v>
      </c>
      <c r="E938" s="1">
        <v>2.2439706798220801E-5</v>
      </c>
      <c r="F938" s="1">
        <v>2.2439706798220801E-5</v>
      </c>
      <c r="G938">
        <v>0</v>
      </c>
      <c r="H938">
        <v>0</v>
      </c>
      <c r="I938" t="s">
        <v>75</v>
      </c>
    </row>
    <row r="939" spans="1:9" x14ac:dyDescent="0.35">
      <c r="A939" t="s">
        <v>4</v>
      </c>
      <c r="B939">
        <v>2025</v>
      </c>
      <c r="C939" t="s">
        <v>74</v>
      </c>
      <c r="D939" t="s">
        <v>40</v>
      </c>
      <c r="E939">
        <v>1.4074823103683501E-4</v>
      </c>
      <c r="F939">
        <v>1.4074823103683501E-4</v>
      </c>
      <c r="G939">
        <v>0</v>
      </c>
      <c r="H939">
        <v>0</v>
      </c>
      <c r="I939" t="s">
        <v>75</v>
      </c>
    </row>
    <row r="940" spans="1:9" x14ac:dyDescent="0.35">
      <c r="A940" t="s">
        <v>4</v>
      </c>
      <c r="B940">
        <v>2025</v>
      </c>
      <c r="C940" t="s">
        <v>74</v>
      </c>
      <c r="D940" t="s">
        <v>41</v>
      </c>
      <c r="E940">
        <v>1.5538168124870099E-4</v>
      </c>
      <c r="F940">
        <v>1.5538168124870099E-4</v>
      </c>
      <c r="G940">
        <v>0</v>
      </c>
      <c r="H940">
        <v>0</v>
      </c>
      <c r="I940" t="s">
        <v>75</v>
      </c>
    </row>
    <row r="941" spans="1:9" x14ac:dyDescent="0.35">
      <c r="A941" t="s">
        <v>4</v>
      </c>
      <c r="B941">
        <v>2025</v>
      </c>
      <c r="C941" t="s">
        <v>74</v>
      </c>
      <c r="D941" t="s">
        <v>42</v>
      </c>
      <c r="E941">
        <v>2.7473106982054099E-3</v>
      </c>
      <c r="F941">
        <v>2.7473106982054099E-3</v>
      </c>
      <c r="G941">
        <v>0</v>
      </c>
      <c r="H941">
        <v>0</v>
      </c>
      <c r="I941" t="s">
        <v>75</v>
      </c>
    </row>
    <row r="942" spans="1:9" x14ac:dyDescent="0.35">
      <c r="A942" t="s">
        <v>4</v>
      </c>
      <c r="B942">
        <v>2025</v>
      </c>
      <c r="C942" t="s">
        <v>74</v>
      </c>
      <c r="D942" t="s">
        <v>43</v>
      </c>
      <c r="E942" s="1">
        <v>5.6688756214340398E-5</v>
      </c>
      <c r="F942" s="1">
        <v>5.6688756214340398E-5</v>
      </c>
      <c r="G942">
        <v>0</v>
      </c>
      <c r="H942">
        <v>0</v>
      </c>
      <c r="I942" t="s">
        <v>75</v>
      </c>
    </row>
    <row r="943" spans="1:9" x14ac:dyDescent="0.35">
      <c r="A943" t="s">
        <v>4</v>
      </c>
      <c r="B943">
        <v>2025</v>
      </c>
      <c r="C943" t="s">
        <v>74</v>
      </c>
      <c r="D943" t="s">
        <v>136</v>
      </c>
      <c r="E943">
        <v>1.49989799876176E-2</v>
      </c>
      <c r="F943">
        <v>1.49989799876176E-2</v>
      </c>
      <c r="G943">
        <v>0</v>
      </c>
      <c r="H943">
        <v>0</v>
      </c>
      <c r="I943" t="s">
        <v>75</v>
      </c>
    </row>
    <row r="944" spans="1:9" x14ac:dyDescent="0.35">
      <c r="A944" t="s">
        <v>4</v>
      </c>
      <c r="B944">
        <v>2025</v>
      </c>
      <c r="C944" t="s">
        <v>74</v>
      </c>
      <c r="D944" t="s">
        <v>45</v>
      </c>
      <c r="E944" s="1">
        <v>5.4129338162141399E-5</v>
      </c>
      <c r="F944" s="1">
        <v>5.4129338162141399E-5</v>
      </c>
      <c r="G944">
        <v>0</v>
      </c>
      <c r="H944">
        <v>0</v>
      </c>
      <c r="I944" t="s">
        <v>75</v>
      </c>
    </row>
    <row r="945" spans="1:9" x14ac:dyDescent="0.35">
      <c r="A945" t="s">
        <v>4</v>
      </c>
      <c r="B945">
        <v>2025</v>
      </c>
      <c r="C945" t="s">
        <v>74</v>
      </c>
      <c r="D945" t="s">
        <v>46</v>
      </c>
      <c r="E945">
        <v>1.26963288029731E-3</v>
      </c>
      <c r="F945">
        <v>1.26963288029731E-3</v>
      </c>
      <c r="G945">
        <v>0</v>
      </c>
      <c r="H945">
        <v>0</v>
      </c>
      <c r="I945" t="s">
        <v>75</v>
      </c>
    </row>
    <row r="946" spans="1:9" x14ac:dyDescent="0.35">
      <c r="A946" t="s">
        <v>4</v>
      </c>
      <c r="B946">
        <v>2025</v>
      </c>
      <c r="C946" t="s">
        <v>74</v>
      </c>
      <c r="D946" t="s">
        <v>47</v>
      </c>
      <c r="E946" s="1">
        <v>3.1445189400139301E-6</v>
      </c>
      <c r="F946" s="1">
        <v>3.1445189400139301E-6</v>
      </c>
      <c r="G946">
        <v>0</v>
      </c>
      <c r="H946">
        <v>0</v>
      </c>
      <c r="I946" t="s">
        <v>75</v>
      </c>
    </row>
    <row r="947" spans="1:9" x14ac:dyDescent="0.35">
      <c r="A947" t="s">
        <v>4</v>
      </c>
      <c r="B947">
        <v>2025</v>
      </c>
      <c r="C947" t="s">
        <v>74</v>
      </c>
      <c r="D947" t="s">
        <v>48</v>
      </c>
      <c r="E947">
        <v>5.5406220914247203E-4</v>
      </c>
      <c r="F947">
        <v>5.5406220914247203E-4</v>
      </c>
      <c r="G947">
        <v>0</v>
      </c>
      <c r="H947">
        <v>0</v>
      </c>
      <c r="I947" t="s">
        <v>75</v>
      </c>
    </row>
    <row r="948" spans="1:9" x14ac:dyDescent="0.35">
      <c r="A948" t="s">
        <v>4</v>
      </c>
      <c r="B948">
        <v>2025</v>
      </c>
      <c r="C948" t="s">
        <v>74</v>
      </c>
      <c r="D948" t="s">
        <v>49</v>
      </c>
      <c r="E948">
        <v>1.02228359474545E-4</v>
      </c>
      <c r="F948">
        <v>1.02228359474545E-4</v>
      </c>
      <c r="G948">
        <v>0</v>
      </c>
      <c r="H948">
        <v>0</v>
      </c>
      <c r="I948" t="s">
        <v>75</v>
      </c>
    </row>
    <row r="949" spans="1:9" x14ac:dyDescent="0.35">
      <c r="A949" t="s">
        <v>4</v>
      </c>
      <c r="B949">
        <v>2025</v>
      </c>
      <c r="C949" t="s">
        <v>74</v>
      </c>
      <c r="D949" t="s">
        <v>50</v>
      </c>
      <c r="E949">
        <v>1.03089049178661E-4</v>
      </c>
      <c r="F949">
        <v>1.03089049178661E-4</v>
      </c>
      <c r="G949">
        <v>0</v>
      </c>
      <c r="H949">
        <v>0</v>
      </c>
      <c r="I949" t="s">
        <v>75</v>
      </c>
    </row>
    <row r="950" spans="1:9" x14ac:dyDescent="0.35">
      <c r="A950" t="s">
        <v>4</v>
      </c>
      <c r="B950">
        <v>2025</v>
      </c>
      <c r="C950" t="s">
        <v>74</v>
      </c>
      <c r="D950" t="s">
        <v>51</v>
      </c>
      <c r="E950">
        <v>1.71818904626483E-2</v>
      </c>
      <c r="F950">
        <v>1.71818904626483E-2</v>
      </c>
      <c r="G950">
        <v>0</v>
      </c>
      <c r="H950">
        <v>0</v>
      </c>
      <c r="I950" t="s">
        <v>75</v>
      </c>
    </row>
    <row r="951" spans="1:9" x14ac:dyDescent="0.35">
      <c r="A951" t="s">
        <v>4</v>
      </c>
      <c r="B951">
        <v>2025</v>
      </c>
      <c r="C951" t="s">
        <v>74</v>
      </c>
      <c r="D951" t="s">
        <v>52</v>
      </c>
      <c r="E951">
        <v>1.3729073822011601E-3</v>
      </c>
      <c r="F951">
        <v>1.3729073822011601E-3</v>
      </c>
      <c r="G951">
        <v>0</v>
      </c>
      <c r="H951">
        <v>0</v>
      </c>
      <c r="I951" t="s">
        <v>75</v>
      </c>
    </row>
    <row r="952" spans="1:9" x14ac:dyDescent="0.35">
      <c r="A952" t="s">
        <v>4</v>
      </c>
      <c r="B952">
        <v>2025</v>
      </c>
      <c r="C952" t="s">
        <v>74</v>
      </c>
      <c r="D952" t="s">
        <v>53</v>
      </c>
      <c r="E952">
        <v>4.8222478346660403E-3</v>
      </c>
      <c r="F952">
        <v>4.8222478346660403E-3</v>
      </c>
      <c r="G952">
        <v>0</v>
      </c>
      <c r="H952">
        <v>0</v>
      </c>
      <c r="I952" t="s">
        <v>75</v>
      </c>
    </row>
    <row r="953" spans="1:9" x14ac:dyDescent="0.35">
      <c r="A953" t="s">
        <v>4</v>
      </c>
      <c r="B953">
        <v>2025</v>
      </c>
      <c r="C953" t="s">
        <v>74</v>
      </c>
      <c r="D953" t="s">
        <v>54</v>
      </c>
      <c r="E953">
        <v>2.5574331992861399E-4</v>
      </c>
      <c r="F953">
        <v>2.5574331992861399E-4</v>
      </c>
      <c r="G953">
        <v>0</v>
      </c>
      <c r="H953">
        <v>0</v>
      </c>
      <c r="I953" t="s">
        <v>75</v>
      </c>
    </row>
    <row r="954" spans="1:9" x14ac:dyDescent="0.35">
      <c r="A954" t="s">
        <v>4</v>
      </c>
      <c r="B954">
        <v>2025</v>
      </c>
      <c r="C954" t="s">
        <v>74</v>
      </c>
      <c r="D954" t="s">
        <v>55</v>
      </c>
      <c r="E954">
        <v>2.2605153817569E-4</v>
      </c>
      <c r="F954">
        <v>2.2605153817569E-4</v>
      </c>
      <c r="G954">
        <v>0</v>
      </c>
      <c r="H954">
        <v>0</v>
      </c>
      <c r="I954" t="s">
        <v>75</v>
      </c>
    </row>
    <row r="955" spans="1:9" x14ac:dyDescent="0.35">
      <c r="A955" t="s">
        <v>4</v>
      </c>
      <c r="B955">
        <v>2025</v>
      </c>
      <c r="C955" t="s">
        <v>74</v>
      </c>
      <c r="D955" t="s">
        <v>56</v>
      </c>
      <c r="E955" s="1">
        <v>1.7662057996316599E-9</v>
      </c>
      <c r="F955" s="1">
        <v>1.7662057996316599E-9</v>
      </c>
      <c r="G955">
        <v>0</v>
      </c>
      <c r="H955">
        <v>0</v>
      </c>
      <c r="I955" t="s">
        <v>75</v>
      </c>
    </row>
    <row r="956" spans="1:9" x14ac:dyDescent="0.35">
      <c r="A956" t="s">
        <v>6</v>
      </c>
      <c r="B956">
        <v>2030</v>
      </c>
      <c r="C956" t="s">
        <v>74</v>
      </c>
      <c r="D956" t="s">
        <v>38</v>
      </c>
      <c r="E956" s="1">
        <v>2.96030092525312E-5</v>
      </c>
      <c r="F956" s="1">
        <v>2.96030092525312E-5</v>
      </c>
      <c r="G956">
        <v>0</v>
      </c>
      <c r="H956">
        <v>0</v>
      </c>
      <c r="I956" t="s">
        <v>75</v>
      </c>
    </row>
    <row r="957" spans="1:9" x14ac:dyDescent="0.35">
      <c r="A957" t="s">
        <v>6</v>
      </c>
      <c r="B957">
        <v>2030</v>
      </c>
      <c r="C957" t="s">
        <v>74</v>
      </c>
      <c r="D957" t="s">
        <v>40</v>
      </c>
      <c r="E957">
        <v>1.4053833928489901E-4</v>
      </c>
      <c r="F957">
        <v>1.4053833928489901E-4</v>
      </c>
      <c r="G957">
        <v>0</v>
      </c>
      <c r="H957">
        <v>0</v>
      </c>
      <c r="I957" t="s">
        <v>75</v>
      </c>
    </row>
    <row r="958" spans="1:9" x14ac:dyDescent="0.35">
      <c r="A958" t="s">
        <v>6</v>
      </c>
      <c r="B958">
        <v>2030</v>
      </c>
      <c r="C958" t="s">
        <v>74</v>
      </c>
      <c r="D958" t="s">
        <v>41</v>
      </c>
      <c r="E958">
        <v>1.5390929078555401E-4</v>
      </c>
      <c r="F958">
        <v>1.5390929078555401E-4</v>
      </c>
      <c r="G958">
        <v>0</v>
      </c>
      <c r="H958">
        <v>0</v>
      </c>
      <c r="I958" t="s">
        <v>75</v>
      </c>
    </row>
    <row r="959" spans="1:9" x14ac:dyDescent="0.35">
      <c r="A959" t="s">
        <v>6</v>
      </c>
      <c r="B959">
        <v>2030</v>
      </c>
      <c r="C959" t="s">
        <v>74</v>
      </c>
      <c r="D959" t="s">
        <v>42</v>
      </c>
      <c r="E959">
        <v>2.71634431908623E-3</v>
      </c>
      <c r="F959">
        <v>2.71634431908623E-3</v>
      </c>
      <c r="G959">
        <v>0</v>
      </c>
      <c r="H959">
        <v>0</v>
      </c>
      <c r="I959" t="s">
        <v>75</v>
      </c>
    </row>
    <row r="960" spans="1:9" x14ac:dyDescent="0.35">
      <c r="A960" t="s">
        <v>6</v>
      </c>
      <c r="B960">
        <v>2030</v>
      </c>
      <c r="C960" t="s">
        <v>74</v>
      </c>
      <c r="D960" t="s">
        <v>43</v>
      </c>
      <c r="E960" s="1">
        <v>5.6518408504431802E-5</v>
      </c>
      <c r="F960" s="1">
        <v>5.6518408504431802E-5</v>
      </c>
      <c r="G960">
        <v>0</v>
      </c>
      <c r="H960">
        <v>0</v>
      </c>
      <c r="I960" t="s">
        <v>75</v>
      </c>
    </row>
    <row r="961" spans="1:9" x14ac:dyDescent="0.35">
      <c r="A961" t="s">
        <v>6</v>
      </c>
      <c r="B961">
        <v>2030</v>
      </c>
      <c r="C961" t="s">
        <v>74</v>
      </c>
      <c r="D961" t="s">
        <v>136</v>
      </c>
      <c r="E961">
        <v>1.44808348469688E-2</v>
      </c>
      <c r="F961">
        <v>1.44808348469688E-2</v>
      </c>
      <c r="G961">
        <v>0</v>
      </c>
      <c r="H961">
        <v>0</v>
      </c>
      <c r="I961" t="s">
        <v>75</v>
      </c>
    </row>
    <row r="962" spans="1:9" x14ac:dyDescent="0.35">
      <c r="A962" t="s">
        <v>6</v>
      </c>
      <c r="B962">
        <v>2030</v>
      </c>
      <c r="C962" t="s">
        <v>74</v>
      </c>
      <c r="D962" t="s">
        <v>45</v>
      </c>
      <c r="E962" s="1">
        <v>5.1736794287735899E-5</v>
      </c>
      <c r="F962" s="1">
        <v>5.1736794287735899E-5</v>
      </c>
      <c r="G962">
        <v>0</v>
      </c>
      <c r="H962">
        <v>0</v>
      </c>
      <c r="I962" t="s">
        <v>75</v>
      </c>
    </row>
    <row r="963" spans="1:9" x14ac:dyDescent="0.35">
      <c r="A963" t="s">
        <v>6</v>
      </c>
      <c r="B963">
        <v>2030</v>
      </c>
      <c r="C963" t="s">
        <v>74</v>
      </c>
      <c r="D963" t="s">
        <v>46</v>
      </c>
      <c r="E963">
        <v>1.8710534040976799E-3</v>
      </c>
      <c r="F963">
        <v>1.8710534040976799E-3</v>
      </c>
      <c r="G963">
        <v>0</v>
      </c>
      <c r="H963">
        <v>0</v>
      </c>
      <c r="I963" t="s">
        <v>75</v>
      </c>
    </row>
    <row r="964" spans="1:9" x14ac:dyDescent="0.35">
      <c r="A964" t="s">
        <v>6</v>
      </c>
      <c r="B964">
        <v>2030</v>
      </c>
      <c r="C964" t="s">
        <v>74</v>
      </c>
      <c r="D964" t="s">
        <v>47</v>
      </c>
      <c r="E964" s="1">
        <v>3.09403682786098E-6</v>
      </c>
      <c r="F964" s="1">
        <v>3.09403682786098E-6</v>
      </c>
      <c r="G964">
        <v>0</v>
      </c>
      <c r="H964">
        <v>0</v>
      </c>
      <c r="I964" t="s">
        <v>75</v>
      </c>
    </row>
    <row r="965" spans="1:9" x14ac:dyDescent="0.35">
      <c r="A965" t="s">
        <v>6</v>
      </c>
      <c r="B965">
        <v>2030</v>
      </c>
      <c r="C965" t="s">
        <v>74</v>
      </c>
      <c r="D965" t="s">
        <v>48</v>
      </c>
      <c r="E965">
        <v>5.7056487315539897E-4</v>
      </c>
      <c r="F965">
        <v>5.7056487315539897E-4</v>
      </c>
      <c r="G965">
        <v>0</v>
      </c>
      <c r="H965">
        <v>0</v>
      </c>
      <c r="I965" t="s">
        <v>75</v>
      </c>
    </row>
    <row r="966" spans="1:9" x14ac:dyDescent="0.35">
      <c r="A966" t="s">
        <v>6</v>
      </c>
      <c r="B966">
        <v>2030</v>
      </c>
      <c r="C966" t="s">
        <v>74</v>
      </c>
      <c r="D966" t="s">
        <v>49</v>
      </c>
      <c r="E966" s="1">
        <v>9.9738372856877005E-5</v>
      </c>
      <c r="F966" s="1">
        <v>9.9738372856877005E-5</v>
      </c>
      <c r="G966">
        <v>0</v>
      </c>
      <c r="H966">
        <v>0</v>
      </c>
      <c r="I966" t="s">
        <v>75</v>
      </c>
    </row>
    <row r="967" spans="1:9" x14ac:dyDescent="0.35">
      <c r="A967" t="s">
        <v>6</v>
      </c>
      <c r="B967">
        <v>2030</v>
      </c>
      <c r="C967" t="s">
        <v>74</v>
      </c>
      <c r="D967" t="s">
        <v>50</v>
      </c>
      <c r="E967">
        <v>1.0128899027489299E-4</v>
      </c>
      <c r="F967">
        <v>1.0128899027489299E-4</v>
      </c>
      <c r="G967">
        <v>0</v>
      </c>
      <c r="H967">
        <v>0</v>
      </c>
      <c r="I967" t="s">
        <v>75</v>
      </c>
    </row>
    <row r="968" spans="1:9" x14ac:dyDescent="0.35">
      <c r="A968" t="s">
        <v>6</v>
      </c>
      <c r="B968">
        <v>2030</v>
      </c>
      <c r="C968" t="s">
        <v>74</v>
      </c>
      <c r="D968" t="s">
        <v>51</v>
      </c>
      <c r="E968">
        <v>1.7201789117848001E-2</v>
      </c>
      <c r="F968">
        <v>1.7201789117848001E-2</v>
      </c>
      <c r="G968">
        <v>0</v>
      </c>
      <c r="H968">
        <v>0</v>
      </c>
      <c r="I968" t="s">
        <v>75</v>
      </c>
    </row>
    <row r="969" spans="1:9" x14ac:dyDescent="0.35">
      <c r="A969" t="s">
        <v>6</v>
      </c>
      <c r="B969">
        <v>2030</v>
      </c>
      <c r="C969" t="s">
        <v>74</v>
      </c>
      <c r="D969" t="s">
        <v>52</v>
      </c>
      <c r="E969">
        <v>1.22877108051563E-3</v>
      </c>
      <c r="F969">
        <v>1.22877108051563E-3</v>
      </c>
      <c r="G969">
        <v>0</v>
      </c>
      <c r="H969">
        <v>0</v>
      </c>
      <c r="I969" t="s">
        <v>75</v>
      </c>
    </row>
    <row r="970" spans="1:9" x14ac:dyDescent="0.35">
      <c r="A970" t="s">
        <v>6</v>
      </c>
      <c r="B970">
        <v>2030</v>
      </c>
      <c r="C970" t="s">
        <v>74</v>
      </c>
      <c r="D970" t="s">
        <v>53</v>
      </c>
      <c r="E970">
        <v>4.6568347330168099E-3</v>
      </c>
      <c r="F970">
        <v>4.6568347330168099E-3</v>
      </c>
      <c r="G970">
        <v>0</v>
      </c>
      <c r="H970">
        <v>0</v>
      </c>
      <c r="I970" t="s">
        <v>75</v>
      </c>
    </row>
    <row r="971" spans="1:9" x14ac:dyDescent="0.35">
      <c r="A971" t="s">
        <v>6</v>
      </c>
      <c r="B971">
        <v>2030</v>
      </c>
      <c r="C971" t="s">
        <v>74</v>
      </c>
      <c r="D971" t="s">
        <v>54</v>
      </c>
      <c r="E971">
        <v>2.6750171040995098E-4</v>
      </c>
      <c r="F971">
        <v>2.6750171040995098E-4</v>
      </c>
      <c r="G971">
        <v>0</v>
      </c>
      <c r="H971">
        <v>0</v>
      </c>
      <c r="I971" t="s">
        <v>75</v>
      </c>
    </row>
    <row r="972" spans="1:9" x14ac:dyDescent="0.35">
      <c r="A972" t="s">
        <v>6</v>
      </c>
      <c r="B972">
        <v>2030</v>
      </c>
      <c r="C972" t="s">
        <v>74</v>
      </c>
      <c r="D972" t="s">
        <v>55</v>
      </c>
      <c r="E972">
        <v>2.3552270158746399E-4</v>
      </c>
      <c r="F972">
        <v>2.3552270158746399E-4</v>
      </c>
      <c r="G972">
        <v>0</v>
      </c>
      <c r="H972">
        <v>0</v>
      </c>
      <c r="I972" t="s">
        <v>75</v>
      </c>
    </row>
    <row r="973" spans="1:9" x14ac:dyDescent="0.35">
      <c r="A973" t="s">
        <v>6</v>
      </c>
      <c r="B973">
        <v>2030</v>
      </c>
      <c r="C973" t="s">
        <v>74</v>
      </c>
      <c r="D973" t="s">
        <v>56</v>
      </c>
      <c r="E973" s="1">
        <v>1.6625764196541099E-9</v>
      </c>
      <c r="F973" s="1">
        <v>1.6625764196541099E-9</v>
      </c>
      <c r="G973">
        <v>0</v>
      </c>
      <c r="H973">
        <v>0</v>
      </c>
      <c r="I973" t="s">
        <v>75</v>
      </c>
    </row>
    <row r="974" spans="1:9" x14ac:dyDescent="0.35">
      <c r="A974" t="s">
        <v>8</v>
      </c>
      <c r="B974">
        <v>2035</v>
      </c>
      <c r="C974" t="s">
        <v>74</v>
      </c>
      <c r="D974" t="s">
        <v>38</v>
      </c>
      <c r="E974" s="1">
        <v>3.36025569648178E-5</v>
      </c>
      <c r="F974" s="1">
        <v>3.36025569648178E-5</v>
      </c>
      <c r="G974">
        <v>0</v>
      </c>
      <c r="H974">
        <v>0</v>
      </c>
      <c r="I974" t="s">
        <v>75</v>
      </c>
    </row>
    <row r="975" spans="1:9" x14ac:dyDescent="0.35">
      <c r="A975" t="s">
        <v>8</v>
      </c>
      <c r="B975">
        <v>2035</v>
      </c>
      <c r="C975" t="s">
        <v>74</v>
      </c>
      <c r="D975" t="s">
        <v>40</v>
      </c>
      <c r="E975">
        <v>1.4028720905459301E-4</v>
      </c>
      <c r="F975">
        <v>1.4028720905459301E-4</v>
      </c>
      <c r="G975">
        <v>0</v>
      </c>
      <c r="H975">
        <v>0</v>
      </c>
      <c r="I975" t="s">
        <v>75</v>
      </c>
    </row>
    <row r="976" spans="1:9" x14ac:dyDescent="0.35">
      <c r="A976" t="s">
        <v>8</v>
      </c>
      <c r="B976">
        <v>2035</v>
      </c>
      <c r="C976" t="s">
        <v>74</v>
      </c>
      <c r="D976" t="s">
        <v>41</v>
      </c>
      <c r="E976">
        <v>1.5265227791149501E-4</v>
      </c>
      <c r="F976">
        <v>1.5265227791149501E-4</v>
      </c>
      <c r="G976">
        <v>0</v>
      </c>
      <c r="H976">
        <v>0</v>
      </c>
      <c r="I976" t="s">
        <v>75</v>
      </c>
    </row>
    <row r="977" spans="1:9" x14ac:dyDescent="0.35">
      <c r="A977" t="s">
        <v>8</v>
      </c>
      <c r="B977">
        <v>2035</v>
      </c>
      <c r="C977" t="s">
        <v>74</v>
      </c>
      <c r="D977" t="s">
        <v>42</v>
      </c>
      <c r="E977">
        <v>2.7609592522609798E-3</v>
      </c>
      <c r="F977">
        <v>2.7609592522609798E-3</v>
      </c>
      <c r="G977">
        <v>0</v>
      </c>
      <c r="H977">
        <v>0</v>
      </c>
      <c r="I977" t="s">
        <v>75</v>
      </c>
    </row>
    <row r="978" spans="1:9" x14ac:dyDescent="0.35">
      <c r="A978" t="s">
        <v>8</v>
      </c>
      <c r="B978">
        <v>2035</v>
      </c>
      <c r="C978" t="s">
        <v>74</v>
      </c>
      <c r="D978" t="s">
        <v>43</v>
      </c>
      <c r="E978" s="1">
        <v>5.6038902703354098E-5</v>
      </c>
      <c r="F978" s="1">
        <v>5.6038902703354098E-5</v>
      </c>
      <c r="G978">
        <v>0</v>
      </c>
      <c r="H978">
        <v>0</v>
      </c>
      <c r="I978" t="s">
        <v>75</v>
      </c>
    </row>
    <row r="979" spans="1:9" x14ac:dyDescent="0.35">
      <c r="A979" t="s">
        <v>8</v>
      </c>
      <c r="B979">
        <v>2035</v>
      </c>
      <c r="C979" t="s">
        <v>74</v>
      </c>
      <c r="D979" t="s">
        <v>136</v>
      </c>
      <c r="E979">
        <v>1.3871730850842E-2</v>
      </c>
      <c r="F979">
        <v>1.3871730850842E-2</v>
      </c>
      <c r="G979">
        <v>0</v>
      </c>
      <c r="H979">
        <v>0</v>
      </c>
      <c r="I979" t="s">
        <v>75</v>
      </c>
    </row>
    <row r="980" spans="1:9" x14ac:dyDescent="0.35">
      <c r="A980" t="s">
        <v>8</v>
      </c>
      <c r="B980">
        <v>2035</v>
      </c>
      <c r="C980" t="s">
        <v>74</v>
      </c>
      <c r="D980" t="s">
        <v>45</v>
      </c>
      <c r="E980" s="1">
        <v>4.9999132788809002E-5</v>
      </c>
      <c r="F980" s="1">
        <v>4.9999132788809002E-5</v>
      </c>
      <c r="G980">
        <v>0</v>
      </c>
      <c r="H980">
        <v>0</v>
      </c>
      <c r="I980" t="s">
        <v>75</v>
      </c>
    </row>
    <row r="981" spans="1:9" x14ac:dyDescent="0.35">
      <c r="A981" t="s">
        <v>8</v>
      </c>
      <c r="B981">
        <v>2035</v>
      </c>
      <c r="C981" t="s">
        <v>74</v>
      </c>
      <c r="D981" t="s">
        <v>46</v>
      </c>
      <c r="E981">
        <v>3.28007330316696E-3</v>
      </c>
      <c r="F981">
        <v>3.28007330316696E-3</v>
      </c>
      <c r="G981">
        <v>0</v>
      </c>
      <c r="H981">
        <v>0</v>
      </c>
      <c r="I981" t="s">
        <v>75</v>
      </c>
    </row>
    <row r="982" spans="1:9" x14ac:dyDescent="0.35">
      <c r="A982" t="s">
        <v>8</v>
      </c>
      <c r="B982">
        <v>2035</v>
      </c>
      <c r="C982" t="s">
        <v>74</v>
      </c>
      <c r="D982" t="s">
        <v>47</v>
      </c>
      <c r="E982" s="1">
        <v>3.1480472624760599E-6</v>
      </c>
      <c r="F982" s="1">
        <v>3.1480472624760599E-6</v>
      </c>
      <c r="G982">
        <v>0</v>
      </c>
      <c r="H982">
        <v>0</v>
      </c>
      <c r="I982" t="s">
        <v>75</v>
      </c>
    </row>
    <row r="983" spans="1:9" x14ac:dyDescent="0.35">
      <c r="A983" t="s">
        <v>8</v>
      </c>
      <c r="B983">
        <v>2035</v>
      </c>
      <c r="C983" t="s">
        <v>74</v>
      </c>
      <c r="D983" t="s">
        <v>48</v>
      </c>
      <c r="E983">
        <v>5.8840294718973498E-4</v>
      </c>
      <c r="F983">
        <v>5.8840294718973498E-4</v>
      </c>
      <c r="G983">
        <v>0</v>
      </c>
      <c r="H983">
        <v>0</v>
      </c>
      <c r="I983" t="s">
        <v>75</v>
      </c>
    </row>
    <row r="984" spans="1:9" x14ac:dyDescent="0.35">
      <c r="A984" t="s">
        <v>8</v>
      </c>
      <c r="B984">
        <v>2035</v>
      </c>
      <c r="C984" t="s">
        <v>74</v>
      </c>
      <c r="D984" t="s">
        <v>49</v>
      </c>
      <c r="E984" s="1">
        <v>9.7323668062161394E-5</v>
      </c>
      <c r="F984" s="1">
        <v>9.7323668062161394E-5</v>
      </c>
      <c r="G984">
        <v>0</v>
      </c>
      <c r="H984">
        <v>0</v>
      </c>
      <c r="I984" t="s">
        <v>75</v>
      </c>
    </row>
    <row r="985" spans="1:9" x14ac:dyDescent="0.35">
      <c r="A985" t="s">
        <v>8</v>
      </c>
      <c r="B985">
        <v>2035</v>
      </c>
      <c r="C985" t="s">
        <v>74</v>
      </c>
      <c r="D985" t="s">
        <v>50</v>
      </c>
      <c r="E985" s="1">
        <v>9.4275504098371296E-5</v>
      </c>
      <c r="F985" s="1">
        <v>9.4275504098371296E-5</v>
      </c>
      <c r="G985">
        <v>0</v>
      </c>
      <c r="H985">
        <v>0</v>
      </c>
      <c r="I985" t="s">
        <v>75</v>
      </c>
    </row>
    <row r="986" spans="1:9" x14ac:dyDescent="0.35">
      <c r="A986" t="s">
        <v>8</v>
      </c>
      <c r="B986">
        <v>2035</v>
      </c>
      <c r="C986" t="s">
        <v>74</v>
      </c>
      <c r="D986" t="s">
        <v>51</v>
      </c>
      <c r="E986">
        <v>1.7230386795678801E-2</v>
      </c>
      <c r="F986">
        <v>1.7230386795678801E-2</v>
      </c>
      <c r="G986">
        <v>0</v>
      </c>
      <c r="H986">
        <v>0</v>
      </c>
      <c r="I986" t="s">
        <v>75</v>
      </c>
    </row>
    <row r="987" spans="1:9" x14ac:dyDescent="0.35">
      <c r="A987" t="s">
        <v>8</v>
      </c>
      <c r="B987">
        <v>2035</v>
      </c>
      <c r="C987" t="s">
        <v>74</v>
      </c>
      <c r="D987" t="s">
        <v>52</v>
      </c>
      <c r="E987">
        <v>1.05294332872035E-3</v>
      </c>
      <c r="F987">
        <v>1.05294332872035E-3</v>
      </c>
      <c r="G987">
        <v>0</v>
      </c>
      <c r="H987">
        <v>0</v>
      </c>
      <c r="I987" t="s">
        <v>75</v>
      </c>
    </row>
    <row r="988" spans="1:9" x14ac:dyDescent="0.35">
      <c r="A988" t="s">
        <v>8</v>
      </c>
      <c r="B988">
        <v>2035</v>
      </c>
      <c r="C988" t="s">
        <v>74</v>
      </c>
      <c r="D988" t="s">
        <v>53</v>
      </c>
      <c r="E988">
        <v>4.4524988648604697E-3</v>
      </c>
      <c r="F988">
        <v>4.4524988648604697E-3</v>
      </c>
      <c r="G988">
        <v>0</v>
      </c>
      <c r="H988">
        <v>0</v>
      </c>
      <c r="I988" t="s">
        <v>75</v>
      </c>
    </row>
    <row r="989" spans="1:9" x14ac:dyDescent="0.35">
      <c r="A989" t="s">
        <v>8</v>
      </c>
      <c r="B989">
        <v>2035</v>
      </c>
      <c r="C989" t="s">
        <v>74</v>
      </c>
      <c r="D989" t="s">
        <v>54</v>
      </c>
      <c r="E989">
        <v>2.8073808189828502E-4</v>
      </c>
      <c r="F989">
        <v>2.8073808189828502E-4</v>
      </c>
      <c r="G989">
        <v>0</v>
      </c>
      <c r="H989">
        <v>0</v>
      </c>
      <c r="I989" t="s">
        <v>75</v>
      </c>
    </row>
    <row r="990" spans="1:9" x14ac:dyDescent="0.35">
      <c r="A990" t="s">
        <v>8</v>
      </c>
      <c r="B990">
        <v>2035</v>
      </c>
      <c r="C990" t="s">
        <v>74</v>
      </c>
      <c r="D990" t="s">
        <v>55</v>
      </c>
      <c r="E990">
        <v>2.4721979921881002E-4</v>
      </c>
      <c r="F990">
        <v>2.4721979921881002E-4</v>
      </c>
      <c r="G990">
        <v>0</v>
      </c>
      <c r="H990">
        <v>0</v>
      </c>
      <c r="I990" t="s">
        <v>75</v>
      </c>
    </row>
    <row r="991" spans="1:9" x14ac:dyDescent="0.35">
      <c r="A991" t="s">
        <v>8</v>
      </c>
      <c r="B991">
        <v>2035</v>
      </c>
      <c r="C991" t="s">
        <v>74</v>
      </c>
      <c r="D991" t="s">
        <v>56</v>
      </c>
      <c r="E991" s="1">
        <v>1.5326781447017199E-9</v>
      </c>
      <c r="F991" s="1">
        <v>1.5326781447017199E-9</v>
      </c>
      <c r="G991">
        <v>0</v>
      </c>
      <c r="H991">
        <v>0</v>
      </c>
      <c r="I991" t="s">
        <v>75</v>
      </c>
    </row>
    <row r="992" spans="1:9" x14ac:dyDescent="0.35">
      <c r="A992" t="s">
        <v>10</v>
      </c>
      <c r="B992">
        <v>2040</v>
      </c>
      <c r="C992" t="s">
        <v>74</v>
      </c>
      <c r="D992" t="s">
        <v>38</v>
      </c>
      <c r="E992" s="1">
        <v>2.99614185453022E-5</v>
      </c>
      <c r="F992" s="1">
        <v>2.99614185453022E-5</v>
      </c>
      <c r="G992">
        <v>0</v>
      </c>
      <c r="H992">
        <v>0</v>
      </c>
      <c r="I992" t="s">
        <v>75</v>
      </c>
    </row>
    <row r="993" spans="1:9" x14ac:dyDescent="0.35">
      <c r="A993" t="s">
        <v>10</v>
      </c>
      <c r="B993">
        <v>2040</v>
      </c>
      <c r="C993" t="s">
        <v>74</v>
      </c>
      <c r="D993" t="s">
        <v>40</v>
      </c>
      <c r="E993">
        <v>1.40016001389086E-4</v>
      </c>
      <c r="F993">
        <v>1.40016001389086E-4</v>
      </c>
      <c r="G993">
        <v>0</v>
      </c>
      <c r="H993">
        <v>0</v>
      </c>
      <c r="I993" t="s">
        <v>75</v>
      </c>
    </row>
    <row r="994" spans="1:9" x14ac:dyDescent="0.35">
      <c r="A994" t="s">
        <v>10</v>
      </c>
      <c r="B994">
        <v>2040</v>
      </c>
      <c r="C994" t="s">
        <v>74</v>
      </c>
      <c r="D994" t="s">
        <v>41</v>
      </c>
      <c r="E994">
        <v>1.51697091426115E-4</v>
      </c>
      <c r="F994">
        <v>1.51697091426115E-4</v>
      </c>
      <c r="G994">
        <v>0</v>
      </c>
      <c r="H994">
        <v>0</v>
      </c>
      <c r="I994" t="s">
        <v>75</v>
      </c>
    </row>
    <row r="995" spans="1:9" x14ac:dyDescent="0.35">
      <c r="A995" t="s">
        <v>10</v>
      </c>
      <c r="B995">
        <v>2040</v>
      </c>
      <c r="C995" t="s">
        <v>74</v>
      </c>
      <c r="D995" t="s">
        <v>42</v>
      </c>
      <c r="E995">
        <v>2.8001634992946599E-3</v>
      </c>
      <c r="F995">
        <v>2.8001634992946599E-3</v>
      </c>
      <c r="G995">
        <v>0</v>
      </c>
      <c r="H995">
        <v>0</v>
      </c>
      <c r="I995" t="s">
        <v>75</v>
      </c>
    </row>
    <row r="996" spans="1:9" x14ac:dyDescent="0.35">
      <c r="A996" t="s">
        <v>10</v>
      </c>
      <c r="B996">
        <v>2040</v>
      </c>
      <c r="C996" t="s">
        <v>74</v>
      </c>
      <c r="D996" t="s">
        <v>43</v>
      </c>
      <c r="E996" s="1">
        <v>5.5166692702476603E-5</v>
      </c>
      <c r="F996" s="1">
        <v>5.5166692702476603E-5</v>
      </c>
      <c r="G996">
        <v>0</v>
      </c>
      <c r="H996">
        <v>0</v>
      </c>
      <c r="I996" t="s">
        <v>75</v>
      </c>
    </row>
    <row r="997" spans="1:9" x14ac:dyDescent="0.35">
      <c r="A997" t="s">
        <v>10</v>
      </c>
      <c r="B997">
        <v>2040</v>
      </c>
      <c r="C997" t="s">
        <v>74</v>
      </c>
      <c r="D997" t="s">
        <v>136</v>
      </c>
      <c r="E997">
        <v>1.3117905590987499E-2</v>
      </c>
      <c r="F997">
        <v>1.3117905590987499E-2</v>
      </c>
      <c r="G997">
        <v>0</v>
      </c>
      <c r="H997">
        <v>0</v>
      </c>
      <c r="I997" t="s">
        <v>75</v>
      </c>
    </row>
    <row r="998" spans="1:9" x14ac:dyDescent="0.35">
      <c r="A998" t="s">
        <v>10</v>
      </c>
      <c r="B998">
        <v>2040</v>
      </c>
      <c r="C998" t="s">
        <v>74</v>
      </c>
      <c r="D998" t="s">
        <v>45</v>
      </c>
      <c r="E998" s="1">
        <v>4.8778158350948103E-5</v>
      </c>
      <c r="F998" s="1">
        <v>4.8778158350948103E-5</v>
      </c>
      <c r="G998">
        <v>0</v>
      </c>
      <c r="H998">
        <v>0</v>
      </c>
      <c r="I998" t="s">
        <v>75</v>
      </c>
    </row>
    <row r="999" spans="1:9" x14ac:dyDescent="0.35">
      <c r="A999" t="s">
        <v>10</v>
      </c>
      <c r="B999">
        <v>2040</v>
      </c>
      <c r="C999" t="s">
        <v>74</v>
      </c>
      <c r="D999" t="s">
        <v>46</v>
      </c>
      <c r="E999">
        <v>5.3863670311990403E-3</v>
      </c>
      <c r="F999">
        <v>5.3863670311990403E-3</v>
      </c>
      <c r="G999">
        <v>0</v>
      </c>
      <c r="H999">
        <v>0</v>
      </c>
      <c r="I999" t="s">
        <v>75</v>
      </c>
    </row>
    <row r="1000" spans="1:9" x14ac:dyDescent="0.35">
      <c r="A1000" t="s">
        <v>10</v>
      </c>
      <c r="B1000">
        <v>2040</v>
      </c>
      <c r="C1000" t="s">
        <v>74</v>
      </c>
      <c r="D1000" t="s">
        <v>47</v>
      </c>
      <c r="E1000" s="1">
        <v>3.1875239163600402E-6</v>
      </c>
      <c r="F1000" s="1">
        <v>3.1875239163600402E-6</v>
      </c>
      <c r="G1000">
        <v>0</v>
      </c>
      <c r="H1000">
        <v>0</v>
      </c>
      <c r="I1000" t="s">
        <v>75</v>
      </c>
    </row>
    <row r="1001" spans="1:9" x14ac:dyDescent="0.35">
      <c r="A1001" t="s">
        <v>10</v>
      </c>
      <c r="B1001">
        <v>2040</v>
      </c>
      <c r="C1001" t="s">
        <v>74</v>
      </c>
      <c r="D1001" t="s">
        <v>48</v>
      </c>
      <c r="E1001">
        <v>6.05748030476054E-4</v>
      </c>
      <c r="F1001">
        <v>6.05748030476054E-4</v>
      </c>
      <c r="G1001">
        <v>0</v>
      </c>
      <c r="H1001">
        <v>0</v>
      </c>
      <c r="I1001" t="s">
        <v>75</v>
      </c>
    </row>
    <row r="1002" spans="1:9" x14ac:dyDescent="0.35">
      <c r="A1002" t="s">
        <v>10</v>
      </c>
      <c r="B1002">
        <v>2040</v>
      </c>
      <c r="C1002" t="s">
        <v>74</v>
      </c>
      <c r="D1002" t="s">
        <v>49</v>
      </c>
      <c r="E1002" s="1">
        <v>9.5151920846889298E-5</v>
      </c>
      <c r="F1002" s="1">
        <v>9.5151920846889298E-5</v>
      </c>
      <c r="G1002">
        <v>0</v>
      </c>
      <c r="H1002">
        <v>0</v>
      </c>
      <c r="I1002" t="s">
        <v>75</v>
      </c>
    </row>
    <row r="1003" spans="1:9" x14ac:dyDescent="0.35">
      <c r="A1003" t="s">
        <v>10</v>
      </c>
      <c r="B1003">
        <v>2040</v>
      </c>
      <c r="C1003" t="s">
        <v>74</v>
      </c>
      <c r="D1003" t="s">
        <v>50</v>
      </c>
      <c r="E1003" s="1">
        <v>8.34268672904138E-5</v>
      </c>
      <c r="F1003" s="1">
        <v>8.34268672904138E-5</v>
      </c>
      <c r="G1003">
        <v>0</v>
      </c>
      <c r="H1003">
        <v>0</v>
      </c>
      <c r="I1003" t="s">
        <v>75</v>
      </c>
    </row>
    <row r="1004" spans="1:9" x14ac:dyDescent="0.35">
      <c r="A1004" t="s">
        <v>10</v>
      </c>
      <c r="B1004">
        <v>2040</v>
      </c>
      <c r="C1004" t="s">
        <v>74</v>
      </c>
      <c r="D1004" t="s">
        <v>51</v>
      </c>
      <c r="E1004">
        <v>1.72599446835143E-2</v>
      </c>
      <c r="F1004">
        <v>1.72599446835143E-2</v>
      </c>
      <c r="G1004">
        <v>0</v>
      </c>
      <c r="H1004">
        <v>0</v>
      </c>
      <c r="I1004" t="s">
        <v>75</v>
      </c>
    </row>
    <row r="1005" spans="1:9" x14ac:dyDescent="0.35">
      <c r="A1005" t="s">
        <v>10</v>
      </c>
      <c r="B1005">
        <v>2040</v>
      </c>
      <c r="C1005" t="s">
        <v>74</v>
      </c>
      <c r="D1005" t="s">
        <v>52</v>
      </c>
      <c r="E1005">
        <v>8.8261381688201903E-4</v>
      </c>
      <c r="F1005">
        <v>8.8261381688201903E-4</v>
      </c>
      <c r="G1005">
        <v>0</v>
      </c>
      <c r="H1005">
        <v>0</v>
      </c>
      <c r="I1005" t="s">
        <v>75</v>
      </c>
    </row>
    <row r="1006" spans="1:9" x14ac:dyDescent="0.35">
      <c r="A1006" t="s">
        <v>10</v>
      </c>
      <c r="B1006">
        <v>2040</v>
      </c>
      <c r="C1006" t="s">
        <v>74</v>
      </c>
      <c r="D1006" t="s">
        <v>53</v>
      </c>
      <c r="E1006">
        <v>4.1920868380206098E-3</v>
      </c>
      <c r="F1006">
        <v>4.1920868380206098E-3</v>
      </c>
      <c r="G1006">
        <v>0</v>
      </c>
      <c r="H1006">
        <v>0</v>
      </c>
      <c r="I1006" t="s">
        <v>75</v>
      </c>
    </row>
    <row r="1007" spans="1:9" x14ac:dyDescent="0.35">
      <c r="A1007" t="s">
        <v>10</v>
      </c>
      <c r="B1007">
        <v>2040</v>
      </c>
      <c r="C1007" t="s">
        <v>74</v>
      </c>
      <c r="D1007" t="s">
        <v>54</v>
      </c>
      <c r="E1007">
        <v>2.9048194072818002E-4</v>
      </c>
      <c r="F1007">
        <v>2.9048194072818002E-4</v>
      </c>
      <c r="G1007">
        <v>0</v>
      </c>
      <c r="H1007">
        <v>0</v>
      </c>
      <c r="I1007" t="s">
        <v>75</v>
      </c>
    </row>
    <row r="1008" spans="1:9" x14ac:dyDescent="0.35">
      <c r="A1008" t="s">
        <v>10</v>
      </c>
      <c r="B1008">
        <v>2040</v>
      </c>
      <c r="C1008" t="s">
        <v>74</v>
      </c>
      <c r="D1008" t="s">
        <v>55</v>
      </c>
      <c r="E1008">
        <v>2.5710737000858E-4</v>
      </c>
      <c r="F1008">
        <v>2.5710737000858E-4</v>
      </c>
      <c r="G1008">
        <v>0</v>
      </c>
      <c r="H1008">
        <v>0</v>
      </c>
      <c r="I1008" t="s">
        <v>75</v>
      </c>
    </row>
    <row r="1009" spans="1:9" x14ac:dyDescent="0.35">
      <c r="A1009" t="s">
        <v>10</v>
      </c>
      <c r="B1009">
        <v>2040</v>
      </c>
      <c r="C1009" t="s">
        <v>74</v>
      </c>
      <c r="D1009" t="s">
        <v>56</v>
      </c>
      <c r="E1009" s="1">
        <v>1.3973523073632401E-9</v>
      </c>
      <c r="F1009" s="1">
        <v>1.3973523073632401E-9</v>
      </c>
      <c r="G1009">
        <v>0</v>
      </c>
      <c r="H1009">
        <v>0</v>
      </c>
      <c r="I1009" t="s">
        <v>75</v>
      </c>
    </row>
    <row r="1010" spans="1:9" x14ac:dyDescent="0.35">
      <c r="A1010" t="s">
        <v>4</v>
      </c>
      <c r="B1010">
        <v>2025</v>
      </c>
      <c r="C1010" t="s">
        <v>67</v>
      </c>
      <c r="D1010" t="s">
        <v>38</v>
      </c>
      <c r="E1010">
        <v>3.7058804821679399E-2</v>
      </c>
      <c r="F1010">
        <v>3.7058804821679399E-2</v>
      </c>
      <c r="G1010">
        <v>0</v>
      </c>
      <c r="H1010">
        <v>0</v>
      </c>
      <c r="I1010" t="s">
        <v>68</v>
      </c>
    </row>
    <row r="1011" spans="1:9" x14ac:dyDescent="0.35">
      <c r="A1011" t="s">
        <v>4</v>
      </c>
      <c r="B1011">
        <v>2025</v>
      </c>
      <c r="C1011" t="s">
        <v>67</v>
      </c>
      <c r="D1011" t="s">
        <v>40</v>
      </c>
      <c r="E1011">
        <v>7.1098823055452901E-3</v>
      </c>
      <c r="F1011">
        <v>7.1098823055452901E-3</v>
      </c>
      <c r="G1011">
        <v>0</v>
      </c>
      <c r="H1011">
        <v>0</v>
      </c>
      <c r="I1011" t="s">
        <v>68</v>
      </c>
    </row>
    <row r="1012" spans="1:9" x14ac:dyDescent="0.35">
      <c r="A1012" t="s">
        <v>4</v>
      </c>
      <c r="B1012">
        <v>2025</v>
      </c>
      <c r="C1012" t="s">
        <v>67</v>
      </c>
      <c r="D1012" t="s">
        <v>41</v>
      </c>
      <c r="E1012">
        <v>6.6830738907461495E-2</v>
      </c>
      <c r="F1012">
        <v>6.6830738907461495E-2</v>
      </c>
      <c r="G1012">
        <v>0</v>
      </c>
      <c r="H1012">
        <v>0</v>
      </c>
      <c r="I1012" t="s">
        <v>68</v>
      </c>
    </row>
    <row r="1013" spans="1:9" x14ac:dyDescent="0.35">
      <c r="A1013" t="s">
        <v>4</v>
      </c>
      <c r="B1013">
        <v>2025</v>
      </c>
      <c r="C1013" t="s">
        <v>67</v>
      </c>
      <c r="D1013" t="s">
        <v>42</v>
      </c>
      <c r="E1013">
        <v>30.880646299129999</v>
      </c>
      <c r="F1013">
        <v>30.880646299129999</v>
      </c>
      <c r="G1013">
        <v>0</v>
      </c>
      <c r="H1013">
        <v>0</v>
      </c>
      <c r="I1013" t="s">
        <v>68</v>
      </c>
    </row>
    <row r="1014" spans="1:9" x14ac:dyDescent="0.35">
      <c r="A1014" t="s">
        <v>4</v>
      </c>
      <c r="B1014">
        <v>2025</v>
      </c>
      <c r="C1014" t="s">
        <v>67</v>
      </c>
      <c r="D1014" t="s">
        <v>43</v>
      </c>
      <c r="E1014">
        <v>3.1862045473405001E-2</v>
      </c>
      <c r="F1014">
        <v>3.1862045473405001E-2</v>
      </c>
      <c r="G1014">
        <v>0</v>
      </c>
      <c r="H1014">
        <v>0</v>
      </c>
      <c r="I1014" t="s">
        <v>68</v>
      </c>
    </row>
    <row r="1015" spans="1:9" x14ac:dyDescent="0.35">
      <c r="A1015" t="s">
        <v>4</v>
      </c>
      <c r="B1015">
        <v>2025</v>
      </c>
      <c r="C1015" t="s">
        <v>67</v>
      </c>
      <c r="D1015" t="s">
        <v>136</v>
      </c>
      <c r="E1015">
        <v>21.5735358760056</v>
      </c>
      <c r="F1015">
        <v>21.5735358760056</v>
      </c>
      <c r="G1015">
        <v>0</v>
      </c>
      <c r="H1015">
        <v>0</v>
      </c>
      <c r="I1015" t="s">
        <v>68</v>
      </c>
    </row>
    <row r="1016" spans="1:9" x14ac:dyDescent="0.35">
      <c r="A1016" t="s">
        <v>4</v>
      </c>
      <c r="B1016">
        <v>2025</v>
      </c>
      <c r="C1016" t="s">
        <v>67</v>
      </c>
      <c r="D1016" t="s">
        <v>45</v>
      </c>
      <c r="E1016">
        <v>6.1547079309950702E-2</v>
      </c>
      <c r="F1016">
        <v>6.1547079309950702E-2</v>
      </c>
      <c r="G1016">
        <v>0</v>
      </c>
      <c r="H1016">
        <v>0</v>
      </c>
      <c r="I1016" t="s">
        <v>68</v>
      </c>
    </row>
    <row r="1017" spans="1:9" x14ac:dyDescent="0.35">
      <c r="A1017" t="s">
        <v>4</v>
      </c>
      <c r="B1017">
        <v>2025</v>
      </c>
      <c r="C1017" t="s">
        <v>67</v>
      </c>
      <c r="D1017" t="s">
        <v>46</v>
      </c>
      <c r="E1017">
        <v>0.95218644940557895</v>
      </c>
      <c r="F1017">
        <v>0.95218644940557895</v>
      </c>
      <c r="G1017">
        <v>0</v>
      </c>
      <c r="H1017">
        <v>0</v>
      </c>
      <c r="I1017" t="s">
        <v>68</v>
      </c>
    </row>
    <row r="1018" spans="1:9" x14ac:dyDescent="0.35">
      <c r="A1018" t="s">
        <v>4</v>
      </c>
      <c r="B1018">
        <v>2025</v>
      </c>
      <c r="C1018" t="s">
        <v>67</v>
      </c>
      <c r="D1018" t="s">
        <v>47</v>
      </c>
      <c r="E1018">
        <v>7.3192998083967502E-3</v>
      </c>
      <c r="F1018">
        <v>7.3192998083967502E-3</v>
      </c>
      <c r="G1018">
        <v>0</v>
      </c>
      <c r="H1018">
        <v>0</v>
      </c>
      <c r="I1018" t="s">
        <v>68</v>
      </c>
    </row>
    <row r="1019" spans="1:9" x14ac:dyDescent="0.35">
      <c r="A1019" t="s">
        <v>4</v>
      </c>
      <c r="B1019">
        <v>2025</v>
      </c>
      <c r="C1019" t="s">
        <v>67</v>
      </c>
      <c r="D1019" t="s">
        <v>48</v>
      </c>
      <c r="E1019">
        <v>108.643672231522</v>
      </c>
      <c r="F1019">
        <v>108.643672231522</v>
      </c>
      <c r="G1019">
        <v>0</v>
      </c>
      <c r="H1019">
        <v>0</v>
      </c>
      <c r="I1019" t="s">
        <v>68</v>
      </c>
    </row>
    <row r="1020" spans="1:9" x14ac:dyDescent="0.35">
      <c r="A1020" t="s">
        <v>4</v>
      </c>
      <c r="B1020">
        <v>2025</v>
      </c>
      <c r="C1020" t="s">
        <v>67</v>
      </c>
      <c r="D1020" t="s">
        <v>49</v>
      </c>
      <c r="E1020">
        <v>0.159220463751335</v>
      </c>
      <c r="F1020">
        <v>0.159220463751335</v>
      </c>
      <c r="G1020">
        <v>0</v>
      </c>
      <c r="H1020">
        <v>0</v>
      </c>
      <c r="I1020" t="s">
        <v>68</v>
      </c>
    </row>
    <row r="1021" spans="1:9" x14ac:dyDescent="0.35">
      <c r="A1021" t="s">
        <v>4</v>
      </c>
      <c r="B1021">
        <v>2025</v>
      </c>
      <c r="C1021" t="s">
        <v>67</v>
      </c>
      <c r="D1021" t="s">
        <v>50</v>
      </c>
      <c r="E1021">
        <v>0.44742614696278099</v>
      </c>
      <c r="F1021">
        <v>0.44742614696278099</v>
      </c>
      <c r="G1021">
        <v>0</v>
      </c>
      <c r="H1021">
        <v>0</v>
      </c>
      <c r="I1021" t="s">
        <v>68</v>
      </c>
    </row>
    <row r="1022" spans="1:9" x14ac:dyDescent="0.35">
      <c r="A1022" t="s">
        <v>4</v>
      </c>
      <c r="B1022">
        <v>2025</v>
      </c>
      <c r="C1022" t="s">
        <v>67</v>
      </c>
      <c r="D1022" t="s">
        <v>51</v>
      </c>
      <c r="E1022">
        <v>0.63509515740612099</v>
      </c>
      <c r="F1022">
        <v>0.63509515740612099</v>
      </c>
      <c r="G1022">
        <v>0</v>
      </c>
      <c r="H1022">
        <v>0</v>
      </c>
      <c r="I1022" t="s">
        <v>68</v>
      </c>
    </row>
    <row r="1023" spans="1:9" x14ac:dyDescent="0.35">
      <c r="A1023" t="s">
        <v>4</v>
      </c>
      <c r="B1023">
        <v>2025</v>
      </c>
      <c r="C1023" t="s">
        <v>67</v>
      </c>
      <c r="D1023" t="s">
        <v>52</v>
      </c>
      <c r="E1023">
        <v>11.1201069578923</v>
      </c>
      <c r="F1023">
        <v>11.1201069578923</v>
      </c>
      <c r="G1023">
        <v>0</v>
      </c>
      <c r="H1023">
        <v>0</v>
      </c>
      <c r="I1023" t="s">
        <v>68</v>
      </c>
    </row>
    <row r="1024" spans="1:9" x14ac:dyDescent="0.35">
      <c r="A1024" t="s">
        <v>4</v>
      </c>
      <c r="B1024">
        <v>2025</v>
      </c>
      <c r="C1024" t="s">
        <v>67</v>
      </c>
      <c r="D1024" t="s">
        <v>53</v>
      </c>
      <c r="E1024">
        <v>7.6178703449178098</v>
      </c>
      <c r="F1024">
        <v>7.6178703449178098</v>
      </c>
      <c r="G1024">
        <v>0</v>
      </c>
      <c r="H1024">
        <v>0</v>
      </c>
      <c r="I1024" t="s">
        <v>68</v>
      </c>
    </row>
    <row r="1025" spans="1:9" x14ac:dyDescent="0.35">
      <c r="A1025" t="s">
        <v>4</v>
      </c>
      <c r="B1025">
        <v>2025</v>
      </c>
      <c r="C1025" t="s">
        <v>67</v>
      </c>
      <c r="D1025" t="s">
        <v>54</v>
      </c>
      <c r="E1025">
        <v>2.8521710619617999</v>
      </c>
      <c r="F1025">
        <v>2.8521710619617999</v>
      </c>
      <c r="G1025">
        <v>0</v>
      </c>
      <c r="H1025">
        <v>0</v>
      </c>
      <c r="I1025" t="s">
        <v>68</v>
      </c>
    </row>
    <row r="1026" spans="1:9" x14ac:dyDescent="0.35">
      <c r="A1026" t="s">
        <v>4</v>
      </c>
      <c r="B1026">
        <v>2025</v>
      </c>
      <c r="C1026" t="s">
        <v>67</v>
      </c>
      <c r="D1026" t="s">
        <v>55</v>
      </c>
      <c r="E1026">
        <v>2.6424858718359698</v>
      </c>
      <c r="F1026">
        <v>2.6424858718359698</v>
      </c>
      <c r="G1026">
        <v>0</v>
      </c>
      <c r="H1026">
        <v>0</v>
      </c>
      <c r="I1026" t="s">
        <v>68</v>
      </c>
    </row>
    <row r="1027" spans="1:9" x14ac:dyDescent="0.35">
      <c r="A1027" t="s">
        <v>4</v>
      </c>
      <c r="B1027">
        <v>2025</v>
      </c>
      <c r="C1027" t="s">
        <v>67</v>
      </c>
      <c r="D1027" t="s">
        <v>56</v>
      </c>
      <c r="E1027" s="1">
        <v>2.4066231432993501E-6</v>
      </c>
      <c r="F1027" s="1">
        <v>2.4066231432993501E-6</v>
      </c>
      <c r="G1027">
        <v>0</v>
      </c>
      <c r="H1027">
        <v>0</v>
      </c>
      <c r="I1027" t="s">
        <v>68</v>
      </c>
    </row>
    <row r="1028" spans="1:9" x14ac:dyDescent="0.35">
      <c r="A1028" t="s">
        <v>6</v>
      </c>
      <c r="B1028">
        <v>2030</v>
      </c>
      <c r="C1028" t="s">
        <v>67</v>
      </c>
      <c r="D1028" t="s">
        <v>38</v>
      </c>
      <c r="E1028">
        <v>3.7980574757472498E-2</v>
      </c>
      <c r="F1028">
        <v>3.7980574757472498E-2</v>
      </c>
      <c r="G1028">
        <v>0</v>
      </c>
      <c r="H1028">
        <v>0</v>
      </c>
      <c r="I1028" t="s">
        <v>68</v>
      </c>
    </row>
    <row r="1029" spans="1:9" x14ac:dyDescent="0.35">
      <c r="A1029" t="s">
        <v>6</v>
      </c>
      <c r="B1029">
        <v>2030</v>
      </c>
      <c r="C1029" t="s">
        <v>67</v>
      </c>
      <c r="D1029" t="s">
        <v>40</v>
      </c>
      <c r="E1029">
        <v>6.8575325479660098E-3</v>
      </c>
      <c r="F1029">
        <v>6.8575325479660098E-3</v>
      </c>
      <c r="G1029">
        <v>0</v>
      </c>
      <c r="H1029">
        <v>0</v>
      </c>
      <c r="I1029" t="s">
        <v>68</v>
      </c>
    </row>
    <row r="1030" spans="1:9" x14ac:dyDescent="0.35">
      <c r="A1030" t="s">
        <v>6</v>
      </c>
      <c r="B1030">
        <v>2030</v>
      </c>
      <c r="C1030" t="s">
        <v>67</v>
      </c>
      <c r="D1030" t="s">
        <v>41</v>
      </c>
      <c r="E1030">
        <v>6.4771590313077998E-2</v>
      </c>
      <c r="F1030">
        <v>6.4771590313077998E-2</v>
      </c>
      <c r="G1030">
        <v>0</v>
      </c>
      <c r="H1030">
        <v>0</v>
      </c>
      <c r="I1030" t="s">
        <v>68</v>
      </c>
    </row>
    <row r="1031" spans="1:9" x14ac:dyDescent="0.35">
      <c r="A1031" t="s">
        <v>6</v>
      </c>
      <c r="B1031">
        <v>2030</v>
      </c>
      <c r="C1031" t="s">
        <v>67</v>
      </c>
      <c r="D1031" t="s">
        <v>42</v>
      </c>
      <c r="E1031">
        <v>30.717926326060301</v>
      </c>
      <c r="F1031">
        <v>30.717926326060301</v>
      </c>
      <c r="G1031">
        <v>0</v>
      </c>
      <c r="H1031">
        <v>0</v>
      </c>
      <c r="I1031" t="s">
        <v>68</v>
      </c>
    </row>
    <row r="1032" spans="1:9" x14ac:dyDescent="0.35">
      <c r="A1032" t="s">
        <v>6</v>
      </c>
      <c r="B1032">
        <v>2030</v>
      </c>
      <c r="C1032" t="s">
        <v>67</v>
      </c>
      <c r="D1032" t="s">
        <v>43</v>
      </c>
      <c r="E1032">
        <v>3.1271624547717397E-2</v>
      </c>
      <c r="F1032">
        <v>3.1271624547717397E-2</v>
      </c>
      <c r="G1032">
        <v>0</v>
      </c>
      <c r="H1032">
        <v>0</v>
      </c>
      <c r="I1032" t="s">
        <v>68</v>
      </c>
    </row>
    <row r="1033" spans="1:9" x14ac:dyDescent="0.35">
      <c r="A1033" t="s">
        <v>6</v>
      </c>
      <c r="B1033">
        <v>2030</v>
      </c>
      <c r="C1033" t="s">
        <v>67</v>
      </c>
      <c r="D1033" t="s">
        <v>136</v>
      </c>
      <c r="E1033">
        <v>20.9591994538536</v>
      </c>
      <c r="F1033">
        <v>20.9591994538536</v>
      </c>
      <c r="G1033">
        <v>0</v>
      </c>
      <c r="H1033">
        <v>0</v>
      </c>
      <c r="I1033" t="s">
        <v>68</v>
      </c>
    </row>
    <row r="1034" spans="1:9" x14ac:dyDescent="0.35">
      <c r="A1034" t="s">
        <v>6</v>
      </c>
      <c r="B1034">
        <v>2030</v>
      </c>
      <c r="C1034" t="s">
        <v>67</v>
      </c>
      <c r="D1034" t="s">
        <v>45</v>
      </c>
      <c r="E1034">
        <v>5.9808312080087099E-2</v>
      </c>
      <c r="F1034">
        <v>5.9808312080087099E-2</v>
      </c>
      <c r="G1034">
        <v>0</v>
      </c>
      <c r="H1034">
        <v>0</v>
      </c>
      <c r="I1034" t="s">
        <v>68</v>
      </c>
    </row>
    <row r="1035" spans="1:9" x14ac:dyDescent="0.35">
      <c r="A1035" t="s">
        <v>6</v>
      </c>
      <c r="B1035">
        <v>2030</v>
      </c>
      <c r="C1035" t="s">
        <v>67</v>
      </c>
      <c r="D1035" t="s">
        <v>46</v>
      </c>
      <c r="E1035">
        <v>1.06443314420908</v>
      </c>
      <c r="F1035">
        <v>1.06443314420908</v>
      </c>
      <c r="G1035">
        <v>0</v>
      </c>
      <c r="H1035">
        <v>0</v>
      </c>
      <c r="I1035" t="s">
        <v>68</v>
      </c>
    </row>
    <row r="1036" spans="1:9" x14ac:dyDescent="0.35">
      <c r="A1036" t="s">
        <v>6</v>
      </c>
      <c r="B1036">
        <v>2030</v>
      </c>
      <c r="C1036" t="s">
        <v>67</v>
      </c>
      <c r="D1036" t="s">
        <v>47</v>
      </c>
      <c r="E1036">
        <v>7.1348144764794398E-3</v>
      </c>
      <c r="F1036">
        <v>7.1348144764794398E-3</v>
      </c>
      <c r="G1036">
        <v>0</v>
      </c>
      <c r="H1036">
        <v>0</v>
      </c>
      <c r="I1036" t="s">
        <v>68</v>
      </c>
    </row>
    <row r="1037" spans="1:9" x14ac:dyDescent="0.35">
      <c r="A1037" t="s">
        <v>6</v>
      </c>
      <c r="B1037">
        <v>2030</v>
      </c>
      <c r="C1037" t="s">
        <v>67</v>
      </c>
      <c r="D1037" t="s">
        <v>48</v>
      </c>
      <c r="E1037">
        <v>108.636859124805</v>
      </c>
      <c r="F1037">
        <v>108.636859124805</v>
      </c>
      <c r="G1037">
        <v>0</v>
      </c>
      <c r="H1037">
        <v>0</v>
      </c>
      <c r="I1037" t="s">
        <v>68</v>
      </c>
    </row>
    <row r="1038" spans="1:9" x14ac:dyDescent="0.35">
      <c r="A1038" t="s">
        <v>6</v>
      </c>
      <c r="B1038">
        <v>2030</v>
      </c>
      <c r="C1038" t="s">
        <v>67</v>
      </c>
      <c r="D1038" t="s">
        <v>49</v>
      </c>
      <c r="E1038">
        <v>0.15691971214064501</v>
      </c>
      <c r="F1038">
        <v>0.15691971214064501</v>
      </c>
      <c r="G1038">
        <v>0</v>
      </c>
      <c r="H1038">
        <v>0</v>
      </c>
      <c r="I1038" t="s">
        <v>68</v>
      </c>
    </row>
    <row r="1039" spans="1:9" x14ac:dyDescent="0.35">
      <c r="A1039" t="s">
        <v>6</v>
      </c>
      <c r="B1039">
        <v>2030</v>
      </c>
      <c r="C1039" t="s">
        <v>67</v>
      </c>
      <c r="D1039" t="s">
        <v>50</v>
      </c>
      <c r="E1039">
        <v>0.44515336402691302</v>
      </c>
      <c r="F1039">
        <v>0.44515336402691302</v>
      </c>
      <c r="G1039">
        <v>0</v>
      </c>
      <c r="H1039">
        <v>0</v>
      </c>
      <c r="I1039" t="s">
        <v>68</v>
      </c>
    </row>
    <row r="1040" spans="1:9" x14ac:dyDescent="0.35">
      <c r="A1040" t="s">
        <v>6</v>
      </c>
      <c r="B1040">
        <v>2030</v>
      </c>
      <c r="C1040" t="s">
        <v>67</v>
      </c>
      <c r="D1040" t="s">
        <v>51</v>
      </c>
      <c r="E1040">
        <v>0.63679418864624104</v>
      </c>
      <c r="F1040">
        <v>0.63679418864624104</v>
      </c>
      <c r="G1040">
        <v>0</v>
      </c>
      <c r="H1040">
        <v>0</v>
      </c>
      <c r="I1040" t="s">
        <v>68</v>
      </c>
    </row>
    <row r="1041" spans="1:9" x14ac:dyDescent="0.35">
      <c r="A1041" t="s">
        <v>6</v>
      </c>
      <c r="B1041">
        <v>2030</v>
      </c>
      <c r="C1041" t="s">
        <v>67</v>
      </c>
      <c r="D1041" t="s">
        <v>52</v>
      </c>
      <c r="E1041">
        <v>11.006674246259999</v>
      </c>
      <c r="F1041">
        <v>11.006674246259999</v>
      </c>
      <c r="G1041">
        <v>0</v>
      </c>
      <c r="H1041">
        <v>0</v>
      </c>
      <c r="I1041" t="s">
        <v>68</v>
      </c>
    </row>
    <row r="1042" spans="1:9" x14ac:dyDescent="0.35">
      <c r="A1042" t="s">
        <v>6</v>
      </c>
      <c r="B1042">
        <v>2030</v>
      </c>
      <c r="C1042" t="s">
        <v>67</v>
      </c>
      <c r="D1042" t="s">
        <v>53</v>
      </c>
      <c r="E1042">
        <v>7.3935804637576004</v>
      </c>
      <c r="F1042">
        <v>7.3935804637576004</v>
      </c>
      <c r="G1042">
        <v>0</v>
      </c>
      <c r="H1042">
        <v>0</v>
      </c>
      <c r="I1042" t="s">
        <v>68</v>
      </c>
    </row>
    <row r="1043" spans="1:9" x14ac:dyDescent="0.35">
      <c r="A1043" t="s">
        <v>6</v>
      </c>
      <c r="B1043">
        <v>2030</v>
      </c>
      <c r="C1043" t="s">
        <v>67</v>
      </c>
      <c r="D1043" t="s">
        <v>54</v>
      </c>
      <c r="E1043">
        <v>2.8556728532667401</v>
      </c>
      <c r="F1043">
        <v>2.8556728532667401</v>
      </c>
      <c r="G1043">
        <v>0</v>
      </c>
      <c r="H1043">
        <v>0</v>
      </c>
      <c r="I1043" t="s">
        <v>68</v>
      </c>
    </row>
    <row r="1044" spans="1:9" x14ac:dyDescent="0.35">
      <c r="A1044" t="s">
        <v>6</v>
      </c>
      <c r="B1044">
        <v>2030</v>
      </c>
      <c r="C1044" t="s">
        <v>67</v>
      </c>
      <c r="D1044" t="s">
        <v>55</v>
      </c>
      <c r="E1044">
        <v>2.6444139914629199</v>
      </c>
      <c r="F1044">
        <v>2.6444139914629199</v>
      </c>
      <c r="G1044">
        <v>0</v>
      </c>
      <c r="H1044">
        <v>0</v>
      </c>
      <c r="I1044" t="s">
        <v>68</v>
      </c>
    </row>
    <row r="1045" spans="1:9" x14ac:dyDescent="0.35">
      <c r="A1045" t="s">
        <v>6</v>
      </c>
      <c r="B1045">
        <v>2030</v>
      </c>
      <c r="C1045" t="s">
        <v>67</v>
      </c>
      <c r="D1045" t="s">
        <v>56</v>
      </c>
      <c r="E1045" s="1">
        <v>2.2993715817773701E-6</v>
      </c>
      <c r="F1045" s="1">
        <v>2.2993715817773701E-6</v>
      </c>
      <c r="G1045">
        <v>0</v>
      </c>
      <c r="H1045">
        <v>0</v>
      </c>
      <c r="I1045" t="s">
        <v>68</v>
      </c>
    </row>
    <row r="1046" spans="1:9" x14ac:dyDescent="0.35">
      <c r="A1046" t="s">
        <v>8</v>
      </c>
      <c r="B1046">
        <v>2035</v>
      </c>
      <c r="C1046" t="s">
        <v>67</v>
      </c>
      <c r="D1046" t="s">
        <v>38</v>
      </c>
      <c r="E1046">
        <v>3.8098679059957001E-2</v>
      </c>
      <c r="F1046">
        <v>3.8098679059957001E-2</v>
      </c>
      <c r="G1046">
        <v>0</v>
      </c>
      <c r="H1046">
        <v>0</v>
      </c>
      <c r="I1046" t="s">
        <v>68</v>
      </c>
    </row>
    <row r="1047" spans="1:9" x14ac:dyDescent="0.35">
      <c r="A1047" t="s">
        <v>8</v>
      </c>
      <c r="B1047">
        <v>2035</v>
      </c>
      <c r="C1047" t="s">
        <v>67</v>
      </c>
      <c r="D1047" t="s">
        <v>40</v>
      </c>
      <c r="E1047">
        <v>6.6365769608268399E-3</v>
      </c>
      <c r="F1047">
        <v>6.6365769608268399E-3</v>
      </c>
      <c r="G1047">
        <v>0</v>
      </c>
      <c r="H1047">
        <v>0</v>
      </c>
      <c r="I1047" t="s">
        <v>68</v>
      </c>
    </row>
    <row r="1048" spans="1:9" x14ac:dyDescent="0.35">
      <c r="A1048" t="s">
        <v>8</v>
      </c>
      <c r="B1048">
        <v>2035</v>
      </c>
      <c r="C1048" t="s">
        <v>67</v>
      </c>
      <c r="D1048" t="s">
        <v>41</v>
      </c>
      <c r="E1048">
        <v>6.3504705851165702E-2</v>
      </c>
      <c r="F1048">
        <v>6.3504705851165702E-2</v>
      </c>
      <c r="G1048">
        <v>0</v>
      </c>
      <c r="H1048">
        <v>0</v>
      </c>
      <c r="I1048" t="s">
        <v>68</v>
      </c>
    </row>
    <row r="1049" spans="1:9" x14ac:dyDescent="0.35">
      <c r="A1049" t="s">
        <v>8</v>
      </c>
      <c r="B1049">
        <v>2035</v>
      </c>
      <c r="C1049" t="s">
        <v>67</v>
      </c>
      <c r="D1049" t="s">
        <v>42</v>
      </c>
      <c r="E1049">
        <v>30.652252744954598</v>
      </c>
      <c r="F1049">
        <v>30.652252744954598</v>
      </c>
      <c r="G1049">
        <v>0</v>
      </c>
      <c r="H1049">
        <v>0</v>
      </c>
      <c r="I1049" t="s">
        <v>68</v>
      </c>
    </row>
    <row r="1050" spans="1:9" x14ac:dyDescent="0.35">
      <c r="A1050" t="s">
        <v>8</v>
      </c>
      <c r="B1050">
        <v>2035</v>
      </c>
      <c r="C1050" t="s">
        <v>67</v>
      </c>
      <c r="D1050" t="s">
        <v>43</v>
      </c>
      <c r="E1050">
        <v>3.0769151122543401E-2</v>
      </c>
      <c r="F1050">
        <v>3.0769151122543401E-2</v>
      </c>
      <c r="G1050">
        <v>0</v>
      </c>
      <c r="H1050">
        <v>0</v>
      </c>
      <c r="I1050" t="s">
        <v>68</v>
      </c>
    </row>
    <row r="1051" spans="1:9" x14ac:dyDescent="0.35">
      <c r="A1051" t="s">
        <v>8</v>
      </c>
      <c r="B1051">
        <v>2035</v>
      </c>
      <c r="C1051" t="s">
        <v>67</v>
      </c>
      <c r="D1051" t="s">
        <v>136</v>
      </c>
      <c r="E1051">
        <v>20.5133293987708</v>
      </c>
      <c r="F1051">
        <v>20.5133293987708</v>
      </c>
      <c r="G1051">
        <v>0</v>
      </c>
      <c r="H1051">
        <v>0</v>
      </c>
      <c r="I1051" t="s">
        <v>68</v>
      </c>
    </row>
    <row r="1052" spans="1:9" x14ac:dyDescent="0.35">
      <c r="A1052" t="s">
        <v>8</v>
      </c>
      <c r="B1052">
        <v>2035</v>
      </c>
      <c r="C1052" t="s">
        <v>67</v>
      </c>
      <c r="D1052" t="s">
        <v>45</v>
      </c>
      <c r="E1052">
        <v>5.8665118766574903E-2</v>
      </c>
      <c r="F1052">
        <v>5.8665118766574903E-2</v>
      </c>
      <c r="G1052">
        <v>0</v>
      </c>
      <c r="H1052">
        <v>0</v>
      </c>
      <c r="I1052" t="s">
        <v>68</v>
      </c>
    </row>
    <row r="1053" spans="1:9" x14ac:dyDescent="0.35">
      <c r="A1053" t="s">
        <v>8</v>
      </c>
      <c r="B1053">
        <v>2035</v>
      </c>
      <c r="C1053" t="s">
        <v>67</v>
      </c>
      <c r="D1053" t="s">
        <v>46</v>
      </c>
      <c r="E1053">
        <v>1.38044901353008</v>
      </c>
      <c r="F1053">
        <v>1.38044901353008</v>
      </c>
      <c r="G1053">
        <v>0</v>
      </c>
      <c r="H1053">
        <v>0</v>
      </c>
      <c r="I1053" t="s">
        <v>68</v>
      </c>
    </row>
    <row r="1054" spans="1:9" x14ac:dyDescent="0.35">
      <c r="A1054" t="s">
        <v>8</v>
      </c>
      <c r="B1054">
        <v>2035</v>
      </c>
      <c r="C1054" t="s">
        <v>67</v>
      </c>
      <c r="D1054" t="s">
        <v>47</v>
      </c>
      <c r="E1054">
        <v>7.0265678031678604E-3</v>
      </c>
      <c r="F1054">
        <v>7.0265678031678604E-3</v>
      </c>
      <c r="G1054">
        <v>0</v>
      </c>
      <c r="H1054">
        <v>0</v>
      </c>
      <c r="I1054" t="s">
        <v>68</v>
      </c>
    </row>
    <row r="1055" spans="1:9" x14ac:dyDescent="0.35">
      <c r="A1055" t="s">
        <v>8</v>
      </c>
      <c r="B1055">
        <v>2035</v>
      </c>
      <c r="C1055" t="s">
        <v>67</v>
      </c>
      <c r="D1055" t="s">
        <v>48</v>
      </c>
      <c r="E1055">
        <v>108.636136779756</v>
      </c>
      <c r="F1055">
        <v>108.636136779756</v>
      </c>
      <c r="G1055">
        <v>0</v>
      </c>
      <c r="H1055">
        <v>0</v>
      </c>
      <c r="I1055" t="s">
        <v>68</v>
      </c>
    </row>
    <row r="1056" spans="1:9" x14ac:dyDescent="0.35">
      <c r="A1056" t="s">
        <v>8</v>
      </c>
      <c r="B1056">
        <v>2035</v>
      </c>
      <c r="C1056" t="s">
        <v>67</v>
      </c>
      <c r="D1056" t="s">
        <v>49</v>
      </c>
      <c r="E1056">
        <v>0.15536370599937799</v>
      </c>
      <c r="F1056">
        <v>0.15536370599937799</v>
      </c>
      <c r="G1056">
        <v>0</v>
      </c>
      <c r="H1056">
        <v>0</v>
      </c>
      <c r="I1056" t="s">
        <v>68</v>
      </c>
    </row>
    <row r="1057" spans="1:9" x14ac:dyDescent="0.35">
      <c r="A1057" t="s">
        <v>8</v>
      </c>
      <c r="B1057">
        <v>2035</v>
      </c>
      <c r="C1057" t="s">
        <v>67</v>
      </c>
      <c r="D1057" t="s">
        <v>50</v>
      </c>
      <c r="E1057">
        <v>0.44107834734169299</v>
      </c>
      <c r="F1057">
        <v>0.44107834734169299</v>
      </c>
      <c r="G1057">
        <v>0</v>
      </c>
      <c r="H1057">
        <v>0</v>
      </c>
      <c r="I1057" t="s">
        <v>68</v>
      </c>
    </row>
    <row r="1058" spans="1:9" x14ac:dyDescent="0.35">
      <c r="A1058" t="s">
        <v>8</v>
      </c>
      <c r="B1058">
        <v>2035</v>
      </c>
      <c r="C1058" t="s">
        <v>67</v>
      </c>
      <c r="D1058" t="s">
        <v>51</v>
      </c>
      <c r="E1058">
        <v>0.64329140090319303</v>
      </c>
      <c r="F1058">
        <v>0.64329140090319303</v>
      </c>
      <c r="G1058">
        <v>0</v>
      </c>
      <c r="H1058">
        <v>0</v>
      </c>
      <c r="I1058" t="s">
        <v>68</v>
      </c>
    </row>
    <row r="1059" spans="1:9" x14ac:dyDescent="0.35">
      <c r="A1059" t="s">
        <v>8</v>
      </c>
      <c r="B1059">
        <v>2035</v>
      </c>
      <c r="C1059" t="s">
        <v>67</v>
      </c>
      <c r="D1059" t="s">
        <v>52</v>
      </c>
      <c r="E1059">
        <v>10.898462798079301</v>
      </c>
      <c r="F1059">
        <v>10.898462798079301</v>
      </c>
      <c r="G1059">
        <v>0</v>
      </c>
      <c r="H1059">
        <v>0</v>
      </c>
      <c r="I1059" t="s">
        <v>68</v>
      </c>
    </row>
    <row r="1060" spans="1:9" x14ac:dyDescent="0.35">
      <c r="A1060" t="s">
        <v>8</v>
      </c>
      <c r="B1060">
        <v>2035</v>
      </c>
      <c r="C1060" t="s">
        <v>67</v>
      </c>
      <c r="D1060" t="s">
        <v>53</v>
      </c>
      <c r="E1060">
        <v>7.2221333588976204</v>
      </c>
      <c r="F1060">
        <v>7.2221333588976204</v>
      </c>
      <c r="G1060">
        <v>0</v>
      </c>
      <c r="H1060">
        <v>0</v>
      </c>
      <c r="I1060" t="s">
        <v>68</v>
      </c>
    </row>
    <row r="1061" spans="1:9" x14ac:dyDescent="0.35">
      <c r="A1061" t="s">
        <v>8</v>
      </c>
      <c r="B1061">
        <v>2035</v>
      </c>
      <c r="C1061" t="s">
        <v>67</v>
      </c>
      <c r="D1061" t="s">
        <v>54</v>
      </c>
      <c r="E1061">
        <v>2.8604181409198199</v>
      </c>
      <c r="F1061">
        <v>2.8604181409198199</v>
      </c>
      <c r="G1061">
        <v>0</v>
      </c>
      <c r="H1061">
        <v>0</v>
      </c>
      <c r="I1061" t="s">
        <v>68</v>
      </c>
    </row>
    <row r="1062" spans="1:9" x14ac:dyDescent="0.35">
      <c r="A1062" t="s">
        <v>8</v>
      </c>
      <c r="B1062">
        <v>2035</v>
      </c>
      <c r="C1062" t="s">
        <v>67</v>
      </c>
      <c r="D1062" t="s">
        <v>55</v>
      </c>
      <c r="E1062">
        <v>2.6485018702285199</v>
      </c>
      <c r="F1062">
        <v>2.6485018702285199</v>
      </c>
      <c r="G1062">
        <v>0</v>
      </c>
      <c r="H1062">
        <v>0</v>
      </c>
      <c r="I1062" t="s">
        <v>68</v>
      </c>
    </row>
    <row r="1063" spans="1:9" x14ac:dyDescent="0.35">
      <c r="A1063" t="s">
        <v>8</v>
      </c>
      <c r="B1063">
        <v>2035</v>
      </c>
      <c r="C1063" t="s">
        <v>67</v>
      </c>
      <c r="D1063" t="s">
        <v>56</v>
      </c>
      <c r="E1063" s="1">
        <v>2.2307888318400099E-6</v>
      </c>
      <c r="F1063" s="1">
        <v>2.2307888318400099E-6</v>
      </c>
      <c r="G1063">
        <v>0</v>
      </c>
      <c r="H1063">
        <v>0</v>
      </c>
      <c r="I1063" t="s">
        <v>68</v>
      </c>
    </row>
    <row r="1064" spans="1:9" x14ac:dyDescent="0.35">
      <c r="A1064" t="s">
        <v>10</v>
      </c>
      <c r="B1064">
        <v>2040</v>
      </c>
      <c r="C1064" t="s">
        <v>67</v>
      </c>
      <c r="D1064" t="s">
        <v>38</v>
      </c>
      <c r="E1064">
        <v>3.5953868366211901E-2</v>
      </c>
      <c r="F1064">
        <v>2.02887619176681E-2</v>
      </c>
      <c r="G1064">
        <v>-1.56651064485437E-2</v>
      </c>
      <c r="H1064">
        <v>-43.570016691904002</v>
      </c>
      <c r="I1064" t="s">
        <v>68</v>
      </c>
    </row>
    <row r="1065" spans="1:9" x14ac:dyDescent="0.35">
      <c r="A1065" t="s">
        <v>10</v>
      </c>
      <c r="B1065">
        <v>2040</v>
      </c>
      <c r="C1065" t="s">
        <v>67</v>
      </c>
      <c r="D1065" t="s">
        <v>40</v>
      </c>
      <c r="E1065">
        <v>6.4249435437414197E-3</v>
      </c>
      <c r="F1065">
        <v>6.4249435437414197E-3</v>
      </c>
      <c r="G1065">
        <v>0</v>
      </c>
      <c r="H1065">
        <v>0</v>
      </c>
      <c r="I1065" t="s">
        <v>68</v>
      </c>
    </row>
    <row r="1066" spans="1:9" x14ac:dyDescent="0.35">
      <c r="A1066" t="s">
        <v>10</v>
      </c>
      <c r="B1066">
        <v>2040</v>
      </c>
      <c r="C1066" t="s">
        <v>67</v>
      </c>
      <c r="D1066" t="s">
        <v>41</v>
      </c>
      <c r="E1066">
        <v>6.2724168354863094E-2</v>
      </c>
      <c r="F1066">
        <v>5.5400609077297103E-2</v>
      </c>
      <c r="G1066">
        <v>-7.3235592775660104E-3</v>
      </c>
      <c r="H1066">
        <v>-11.675817264140999</v>
      </c>
      <c r="I1066" t="s">
        <v>68</v>
      </c>
    </row>
    <row r="1067" spans="1:9" x14ac:dyDescent="0.35">
      <c r="A1067" t="s">
        <v>10</v>
      </c>
      <c r="B1067">
        <v>2040</v>
      </c>
      <c r="C1067" t="s">
        <v>67</v>
      </c>
      <c r="D1067" t="s">
        <v>42</v>
      </c>
      <c r="E1067">
        <v>30.645320706772999</v>
      </c>
      <c r="F1067">
        <v>24.858223608430301</v>
      </c>
      <c r="G1067">
        <v>-5.7870970983427004</v>
      </c>
      <c r="H1067">
        <v>-18.884113348709899</v>
      </c>
      <c r="I1067" t="s">
        <v>68</v>
      </c>
    </row>
    <row r="1068" spans="1:9" x14ac:dyDescent="0.35">
      <c r="A1068" t="s">
        <v>10</v>
      </c>
      <c r="B1068">
        <v>2040</v>
      </c>
      <c r="C1068" t="s">
        <v>67</v>
      </c>
      <c r="D1068" t="s">
        <v>43</v>
      </c>
      <c r="E1068">
        <v>3.0104271407992999E-2</v>
      </c>
      <c r="F1068">
        <v>2.7893008068406801E-2</v>
      </c>
      <c r="G1068">
        <v>-2.2112633395862599E-3</v>
      </c>
      <c r="H1068">
        <v>-7.3453474745086904</v>
      </c>
      <c r="I1068" t="s">
        <v>68</v>
      </c>
    </row>
    <row r="1069" spans="1:9" x14ac:dyDescent="0.35">
      <c r="A1069" t="s">
        <v>10</v>
      </c>
      <c r="B1069">
        <v>2040</v>
      </c>
      <c r="C1069" t="s">
        <v>67</v>
      </c>
      <c r="D1069" t="s">
        <v>136</v>
      </c>
      <c r="E1069">
        <v>20.141306775763699</v>
      </c>
      <c r="F1069">
        <v>19.5760064544396</v>
      </c>
      <c r="G1069">
        <v>-0.56530032132408403</v>
      </c>
      <c r="H1069">
        <v>-2.80667152145418</v>
      </c>
      <c r="I1069" t="s">
        <v>68</v>
      </c>
    </row>
    <row r="1070" spans="1:9" x14ac:dyDescent="0.35">
      <c r="A1070" t="s">
        <v>10</v>
      </c>
      <c r="B1070">
        <v>2040</v>
      </c>
      <c r="C1070" t="s">
        <v>67</v>
      </c>
      <c r="D1070" t="s">
        <v>45</v>
      </c>
      <c r="E1070">
        <v>5.80015375207594E-2</v>
      </c>
      <c r="F1070">
        <v>3.3836847347554301E-2</v>
      </c>
      <c r="G1070">
        <v>-2.4164690173205002E-2</v>
      </c>
      <c r="H1070">
        <v>-41.662154498156497</v>
      </c>
      <c r="I1070" t="s">
        <v>68</v>
      </c>
    </row>
    <row r="1071" spans="1:9" x14ac:dyDescent="0.35">
      <c r="A1071" t="s">
        <v>10</v>
      </c>
      <c r="B1071">
        <v>2040</v>
      </c>
      <c r="C1071" t="s">
        <v>67</v>
      </c>
      <c r="D1071" t="s">
        <v>46</v>
      </c>
      <c r="E1071">
        <v>1.8648600672284501</v>
      </c>
      <c r="F1071">
        <v>1.8648600672284501</v>
      </c>
      <c r="G1071">
        <v>0</v>
      </c>
      <c r="H1071">
        <v>0</v>
      </c>
      <c r="I1071" t="s">
        <v>68</v>
      </c>
    </row>
    <row r="1072" spans="1:9" x14ac:dyDescent="0.35">
      <c r="A1072" t="s">
        <v>10</v>
      </c>
      <c r="B1072">
        <v>2040</v>
      </c>
      <c r="C1072" t="s">
        <v>67</v>
      </c>
      <c r="D1072" t="s">
        <v>47</v>
      </c>
      <c r="E1072">
        <v>6.9888653145512604E-3</v>
      </c>
      <c r="F1072">
        <v>6.9888653145512604E-3</v>
      </c>
      <c r="G1072">
        <v>0</v>
      </c>
      <c r="H1072">
        <v>0</v>
      </c>
      <c r="I1072" t="s">
        <v>68</v>
      </c>
    </row>
    <row r="1073" spans="1:9" x14ac:dyDescent="0.35">
      <c r="A1073" t="s">
        <v>10</v>
      </c>
      <c r="B1073">
        <v>2040</v>
      </c>
      <c r="C1073" t="s">
        <v>67</v>
      </c>
      <c r="D1073" t="s">
        <v>48</v>
      </c>
      <c r="E1073">
        <v>108.645078847533</v>
      </c>
      <c r="F1073">
        <v>108.645078847533</v>
      </c>
      <c r="G1073">
        <v>0</v>
      </c>
      <c r="H1073">
        <v>0</v>
      </c>
      <c r="I1073" t="s">
        <v>68</v>
      </c>
    </row>
    <row r="1074" spans="1:9" x14ac:dyDescent="0.35">
      <c r="A1074" t="s">
        <v>10</v>
      </c>
      <c r="B1074">
        <v>2040</v>
      </c>
      <c r="C1074" t="s">
        <v>67</v>
      </c>
      <c r="D1074" t="s">
        <v>49</v>
      </c>
      <c r="E1074">
        <v>0.154221300292289</v>
      </c>
      <c r="F1074">
        <v>8.2949692205885495E-2</v>
      </c>
      <c r="G1074">
        <v>-7.1271608086404203E-2</v>
      </c>
      <c r="H1074">
        <v>-46.213854993652497</v>
      </c>
      <c r="I1074" t="s">
        <v>68</v>
      </c>
    </row>
    <row r="1075" spans="1:9" x14ac:dyDescent="0.35">
      <c r="A1075" t="s">
        <v>10</v>
      </c>
      <c r="B1075">
        <v>2040</v>
      </c>
      <c r="C1075" t="s">
        <v>67</v>
      </c>
      <c r="D1075" t="s">
        <v>50</v>
      </c>
      <c r="E1075">
        <v>0.43280086328270601</v>
      </c>
      <c r="F1075">
        <v>0.43280086328270601</v>
      </c>
      <c r="G1075">
        <v>0</v>
      </c>
      <c r="H1075">
        <v>0</v>
      </c>
      <c r="I1075" t="s">
        <v>68</v>
      </c>
    </row>
    <row r="1076" spans="1:9" x14ac:dyDescent="0.35">
      <c r="A1076" t="s">
        <v>10</v>
      </c>
      <c r="B1076">
        <v>2040</v>
      </c>
      <c r="C1076" t="s">
        <v>67</v>
      </c>
      <c r="D1076" t="s">
        <v>51</v>
      </c>
      <c r="E1076">
        <v>0.65179831249498499</v>
      </c>
      <c r="F1076">
        <v>0.65179831249498499</v>
      </c>
      <c r="G1076">
        <v>0</v>
      </c>
      <c r="H1076">
        <v>0</v>
      </c>
      <c r="I1076" t="s">
        <v>68</v>
      </c>
    </row>
    <row r="1077" spans="1:9" x14ac:dyDescent="0.35">
      <c r="A1077" t="s">
        <v>10</v>
      </c>
      <c r="B1077">
        <v>2040</v>
      </c>
      <c r="C1077" t="s">
        <v>67</v>
      </c>
      <c r="D1077" t="s">
        <v>52</v>
      </c>
      <c r="E1077">
        <v>10.8001595516007</v>
      </c>
      <c r="F1077">
        <v>10.8001595516007</v>
      </c>
      <c r="G1077">
        <v>0</v>
      </c>
      <c r="H1077">
        <v>0</v>
      </c>
      <c r="I1077" t="s">
        <v>68</v>
      </c>
    </row>
    <row r="1078" spans="1:9" x14ac:dyDescent="0.35">
      <c r="A1078" t="s">
        <v>10</v>
      </c>
      <c r="B1078">
        <v>2040</v>
      </c>
      <c r="C1078" t="s">
        <v>67</v>
      </c>
      <c r="D1078" t="s">
        <v>53</v>
      </c>
      <c r="E1078">
        <v>7.0668846351610304</v>
      </c>
      <c r="F1078">
        <v>7.0668846351610304</v>
      </c>
      <c r="G1078">
        <v>0</v>
      </c>
      <c r="H1078">
        <v>0</v>
      </c>
      <c r="I1078" t="s">
        <v>68</v>
      </c>
    </row>
    <row r="1079" spans="1:9" x14ac:dyDescent="0.35">
      <c r="A1079" t="s">
        <v>10</v>
      </c>
      <c r="B1079">
        <v>2040</v>
      </c>
      <c r="C1079" t="s">
        <v>67</v>
      </c>
      <c r="D1079" t="s">
        <v>54</v>
      </c>
      <c r="E1079">
        <v>2.8661517022113201</v>
      </c>
      <c r="F1079">
        <v>2.86274238431858</v>
      </c>
      <c r="G1079">
        <v>-3.4093178927365698E-3</v>
      </c>
      <c r="H1079">
        <v>-0.118951062154392</v>
      </c>
      <c r="I1079" t="s">
        <v>68</v>
      </c>
    </row>
    <row r="1080" spans="1:9" x14ac:dyDescent="0.35">
      <c r="A1080" t="s">
        <v>10</v>
      </c>
      <c r="B1080">
        <v>2040</v>
      </c>
      <c r="C1080" t="s">
        <v>67</v>
      </c>
      <c r="D1080" t="s">
        <v>55</v>
      </c>
      <c r="E1080">
        <v>2.6541537309360699</v>
      </c>
      <c r="F1080">
        <v>2.4996321329615498</v>
      </c>
      <c r="G1080">
        <v>-0.15452159797451601</v>
      </c>
      <c r="H1080">
        <v>-5.8218782195415599</v>
      </c>
      <c r="I1080" t="s">
        <v>68</v>
      </c>
    </row>
    <row r="1081" spans="1:9" x14ac:dyDescent="0.35">
      <c r="A1081" t="s">
        <v>10</v>
      </c>
      <c r="B1081">
        <v>2040</v>
      </c>
      <c r="C1081" t="s">
        <v>67</v>
      </c>
      <c r="D1081" t="s">
        <v>56</v>
      </c>
      <c r="E1081" s="1">
        <v>2.1833309618948601E-6</v>
      </c>
      <c r="F1081" s="1">
        <v>2.1833309618948601E-6</v>
      </c>
      <c r="G1081">
        <v>0</v>
      </c>
      <c r="H1081">
        <v>0</v>
      </c>
      <c r="I1081" t="s">
        <v>68</v>
      </c>
    </row>
    <row r="1082" spans="1:9" x14ac:dyDescent="0.35">
      <c r="A1082" t="s">
        <v>4</v>
      </c>
      <c r="B1082">
        <v>2025</v>
      </c>
      <c r="C1082" t="s">
        <v>80</v>
      </c>
      <c r="D1082" t="s">
        <v>38</v>
      </c>
      <c r="E1082">
        <v>1.25869563000184E-3</v>
      </c>
      <c r="F1082">
        <v>1.25869563000184E-3</v>
      </c>
      <c r="G1082">
        <v>0</v>
      </c>
      <c r="H1082">
        <v>0</v>
      </c>
      <c r="I1082" t="s">
        <v>81</v>
      </c>
    </row>
    <row r="1083" spans="1:9" x14ac:dyDescent="0.35">
      <c r="A1083" t="s">
        <v>4</v>
      </c>
      <c r="B1083">
        <v>2025</v>
      </c>
      <c r="C1083" t="s">
        <v>80</v>
      </c>
      <c r="D1083" t="s">
        <v>40</v>
      </c>
      <c r="E1083">
        <v>4.2329633534402602E-4</v>
      </c>
      <c r="F1083">
        <v>4.2329633534402602E-4</v>
      </c>
      <c r="G1083">
        <v>0</v>
      </c>
      <c r="H1083">
        <v>0</v>
      </c>
      <c r="I1083" t="s">
        <v>81</v>
      </c>
    </row>
    <row r="1084" spans="1:9" x14ac:dyDescent="0.35">
      <c r="A1084" t="s">
        <v>4</v>
      </c>
      <c r="B1084">
        <v>2025</v>
      </c>
      <c r="C1084" t="s">
        <v>80</v>
      </c>
      <c r="D1084" t="s">
        <v>41</v>
      </c>
      <c r="E1084">
        <v>4.01033141098302E-3</v>
      </c>
      <c r="F1084">
        <v>4.01033141098302E-3</v>
      </c>
      <c r="G1084">
        <v>0</v>
      </c>
      <c r="H1084">
        <v>0</v>
      </c>
      <c r="I1084" t="s">
        <v>81</v>
      </c>
    </row>
    <row r="1085" spans="1:9" x14ac:dyDescent="0.35">
      <c r="A1085" t="s">
        <v>4</v>
      </c>
      <c r="B1085">
        <v>2025</v>
      </c>
      <c r="C1085" t="s">
        <v>80</v>
      </c>
      <c r="D1085" t="s">
        <v>42</v>
      </c>
      <c r="E1085">
        <v>0.648563288487503</v>
      </c>
      <c r="F1085">
        <v>0.648563288487503</v>
      </c>
      <c r="G1085">
        <v>0</v>
      </c>
      <c r="H1085">
        <v>0</v>
      </c>
      <c r="I1085" t="s">
        <v>81</v>
      </c>
    </row>
    <row r="1086" spans="1:9" x14ac:dyDescent="0.35">
      <c r="A1086" t="s">
        <v>4</v>
      </c>
      <c r="B1086">
        <v>2025</v>
      </c>
      <c r="C1086" t="s">
        <v>80</v>
      </c>
      <c r="D1086" t="s">
        <v>43</v>
      </c>
      <c r="E1086">
        <v>1.4873555552845101E-3</v>
      </c>
      <c r="F1086">
        <v>1.4873555552845101E-3</v>
      </c>
      <c r="G1086">
        <v>0</v>
      </c>
      <c r="H1086">
        <v>0</v>
      </c>
      <c r="I1086" t="s">
        <v>81</v>
      </c>
    </row>
    <row r="1087" spans="1:9" x14ac:dyDescent="0.35">
      <c r="A1087" t="s">
        <v>4</v>
      </c>
      <c r="B1087">
        <v>2025</v>
      </c>
      <c r="C1087" t="s">
        <v>80</v>
      </c>
      <c r="D1087" t="s">
        <v>136</v>
      </c>
      <c r="E1087">
        <v>1.6033673670202599</v>
      </c>
      <c r="F1087">
        <v>1.6033673670202599</v>
      </c>
      <c r="G1087">
        <v>0</v>
      </c>
      <c r="H1087">
        <v>0</v>
      </c>
      <c r="I1087" t="s">
        <v>81</v>
      </c>
    </row>
    <row r="1088" spans="1:9" x14ac:dyDescent="0.35">
      <c r="A1088" t="s">
        <v>4</v>
      </c>
      <c r="B1088">
        <v>2025</v>
      </c>
      <c r="C1088" t="s">
        <v>80</v>
      </c>
      <c r="D1088" t="s">
        <v>45</v>
      </c>
      <c r="E1088">
        <v>1.76955333530972E-3</v>
      </c>
      <c r="F1088">
        <v>1.76955333530972E-3</v>
      </c>
      <c r="G1088">
        <v>0</v>
      </c>
      <c r="H1088">
        <v>0</v>
      </c>
      <c r="I1088" t="s">
        <v>81</v>
      </c>
    </row>
    <row r="1089" spans="1:9" x14ac:dyDescent="0.35">
      <c r="A1089" t="s">
        <v>4</v>
      </c>
      <c r="B1089">
        <v>2025</v>
      </c>
      <c r="C1089" t="s">
        <v>80</v>
      </c>
      <c r="D1089" t="s">
        <v>46</v>
      </c>
      <c r="E1089">
        <v>7.1644928812275896E-2</v>
      </c>
      <c r="F1089">
        <v>7.1644928812275896E-2</v>
      </c>
      <c r="G1089">
        <v>0</v>
      </c>
      <c r="H1089">
        <v>0</v>
      </c>
      <c r="I1089" t="s">
        <v>81</v>
      </c>
    </row>
    <row r="1090" spans="1:9" x14ac:dyDescent="0.35">
      <c r="A1090" t="s">
        <v>4</v>
      </c>
      <c r="B1090">
        <v>2025</v>
      </c>
      <c r="C1090" t="s">
        <v>80</v>
      </c>
      <c r="D1090" t="s">
        <v>47</v>
      </c>
      <c r="E1090">
        <v>5.7688817160347298E-4</v>
      </c>
      <c r="F1090">
        <v>5.7688817160347298E-4</v>
      </c>
      <c r="G1090">
        <v>0</v>
      </c>
      <c r="H1090">
        <v>0</v>
      </c>
      <c r="I1090" t="s">
        <v>81</v>
      </c>
    </row>
    <row r="1091" spans="1:9" x14ac:dyDescent="0.35">
      <c r="A1091" t="s">
        <v>4</v>
      </c>
      <c r="B1091">
        <v>2025</v>
      </c>
      <c r="C1091" t="s">
        <v>80</v>
      </c>
      <c r="D1091" t="s">
        <v>48</v>
      </c>
      <c r="E1091">
        <v>80.560059555824196</v>
      </c>
      <c r="F1091">
        <v>80.560059555824196</v>
      </c>
      <c r="G1091">
        <v>0</v>
      </c>
      <c r="H1091">
        <v>0</v>
      </c>
      <c r="I1091" t="s">
        <v>81</v>
      </c>
    </row>
    <row r="1092" spans="1:9" x14ac:dyDescent="0.35">
      <c r="A1092" t="s">
        <v>4</v>
      </c>
      <c r="B1092">
        <v>2025</v>
      </c>
      <c r="C1092" t="s">
        <v>80</v>
      </c>
      <c r="D1092" t="s">
        <v>49</v>
      </c>
      <c r="E1092">
        <v>4.4872521278676303E-3</v>
      </c>
      <c r="F1092">
        <v>4.4872521278676303E-3</v>
      </c>
      <c r="G1092">
        <v>0</v>
      </c>
      <c r="H1092">
        <v>0</v>
      </c>
      <c r="I1092" t="s">
        <v>81</v>
      </c>
    </row>
    <row r="1093" spans="1:9" x14ac:dyDescent="0.35">
      <c r="A1093" t="s">
        <v>4</v>
      </c>
      <c r="B1093">
        <v>2025</v>
      </c>
      <c r="C1093" t="s">
        <v>80</v>
      </c>
      <c r="D1093" t="s">
        <v>50</v>
      </c>
      <c r="E1093">
        <v>1.1186092811519799E-2</v>
      </c>
      <c r="F1093">
        <v>1.1186092811519799E-2</v>
      </c>
      <c r="G1093">
        <v>0</v>
      </c>
      <c r="H1093">
        <v>0</v>
      </c>
      <c r="I1093" t="s">
        <v>81</v>
      </c>
    </row>
    <row r="1094" spans="1:9" x14ac:dyDescent="0.35">
      <c r="A1094" t="s">
        <v>4</v>
      </c>
      <c r="B1094">
        <v>2025</v>
      </c>
      <c r="C1094" t="s">
        <v>80</v>
      </c>
      <c r="D1094" t="s">
        <v>51</v>
      </c>
      <c r="E1094">
        <v>5.8817699136566003E-2</v>
      </c>
      <c r="F1094">
        <v>5.8817699136566003E-2</v>
      </c>
      <c r="G1094">
        <v>0</v>
      </c>
      <c r="H1094">
        <v>0</v>
      </c>
      <c r="I1094" t="s">
        <v>81</v>
      </c>
    </row>
    <row r="1095" spans="1:9" x14ac:dyDescent="0.35">
      <c r="A1095" t="s">
        <v>4</v>
      </c>
      <c r="B1095">
        <v>2025</v>
      </c>
      <c r="C1095" t="s">
        <v>80</v>
      </c>
      <c r="D1095" t="s">
        <v>52</v>
      </c>
      <c r="E1095">
        <v>0.47347772836774399</v>
      </c>
      <c r="F1095">
        <v>0.47347772836774399</v>
      </c>
      <c r="G1095">
        <v>0</v>
      </c>
      <c r="H1095">
        <v>0</v>
      </c>
      <c r="I1095" t="s">
        <v>81</v>
      </c>
    </row>
    <row r="1096" spans="1:9" x14ac:dyDescent="0.35">
      <c r="A1096" t="s">
        <v>4</v>
      </c>
      <c r="B1096">
        <v>2025</v>
      </c>
      <c r="C1096" t="s">
        <v>80</v>
      </c>
      <c r="D1096" t="s">
        <v>53</v>
      </c>
      <c r="E1096">
        <v>0.40356662507859298</v>
      </c>
      <c r="F1096">
        <v>0.40356662507859298</v>
      </c>
      <c r="G1096">
        <v>0</v>
      </c>
      <c r="H1096">
        <v>0</v>
      </c>
      <c r="I1096" t="s">
        <v>81</v>
      </c>
    </row>
    <row r="1097" spans="1:9" x14ac:dyDescent="0.35">
      <c r="A1097" t="s">
        <v>4</v>
      </c>
      <c r="B1097">
        <v>2025</v>
      </c>
      <c r="C1097" t="s">
        <v>80</v>
      </c>
      <c r="D1097" t="s">
        <v>54</v>
      </c>
      <c r="E1097">
        <v>4.8703101730577097E-2</v>
      </c>
      <c r="F1097">
        <v>4.8703101730577097E-2</v>
      </c>
      <c r="G1097">
        <v>0</v>
      </c>
      <c r="H1097">
        <v>0</v>
      </c>
      <c r="I1097" t="s">
        <v>81</v>
      </c>
    </row>
    <row r="1098" spans="1:9" x14ac:dyDescent="0.35">
      <c r="A1098" t="s">
        <v>4</v>
      </c>
      <c r="B1098">
        <v>2025</v>
      </c>
      <c r="C1098" t="s">
        <v>80</v>
      </c>
      <c r="D1098" t="s">
        <v>55</v>
      </c>
      <c r="E1098">
        <v>4.5236707704332503E-2</v>
      </c>
      <c r="F1098">
        <v>4.5236707704332503E-2</v>
      </c>
      <c r="G1098">
        <v>0</v>
      </c>
      <c r="H1098">
        <v>0</v>
      </c>
      <c r="I1098" t="s">
        <v>81</v>
      </c>
    </row>
    <row r="1099" spans="1:9" x14ac:dyDescent="0.35">
      <c r="A1099" t="s">
        <v>4</v>
      </c>
      <c r="B1099">
        <v>2025</v>
      </c>
      <c r="C1099" t="s">
        <v>80</v>
      </c>
      <c r="D1099" t="s">
        <v>56</v>
      </c>
      <c r="E1099" s="1">
        <v>1.04264418030261E-7</v>
      </c>
      <c r="F1099" s="1">
        <v>1.04264418030261E-7</v>
      </c>
      <c r="G1099">
        <v>0</v>
      </c>
      <c r="H1099">
        <v>0</v>
      </c>
      <c r="I1099" t="s">
        <v>81</v>
      </c>
    </row>
    <row r="1100" spans="1:9" x14ac:dyDescent="0.35">
      <c r="A1100" t="s">
        <v>6</v>
      </c>
      <c r="B1100">
        <v>2030</v>
      </c>
      <c r="C1100" t="s">
        <v>80</v>
      </c>
      <c r="D1100" t="s">
        <v>38</v>
      </c>
      <c r="E1100">
        <v>1.2644525373398201E-3</v>
      </c>
      <c r="F1100">
        <v>1.2644525373398201E-3</v>
      </c>
      <c r="G1100">
        <v>0</v>
      </c>
      <c r="H1100">
        <v>0</v>
      </c>
      <c r="I1100" t="s">
        <v>81</v>
      </c>
    </row>
    <row r="1101" spans="1:9" x14ac:dyDescent="0.35">
      <c r="A1101" t="s">
        <v>6</v>
      </c>
      <c r="B1101">
        <v>2030</v>
      </c>
      <c r="C1101" t="s">
        <v>80</v>
      </c>
      <c r="D1101" t="s">
        <v>40</v>
      </c>
      <c r="E1101">
        <v>3.9973205993218099E-4</v>
      </c>
      <c r="F1101">
        <v>3.9973205993218099E-4</v>
      </c>
      <c r="G1101">
        <v>0</v>
      </c>
      <c r="H1101">
        <v>0</v>
      </c>
      <c r="I1101" t="s">
        <v>81</v>
      </c>
    </row>
    <row r="1102" spans="1:9" x14ac:dyDescent="0.35">
      <c r="A1102" t="s">
        <v>6</v>
      </c>
      <c r="B1102">
        <v>2030</v>
      </c>
      <c r="C1102" t="s">
        <v>80</v>
      </c>
      <c r="D1102" t="s">
        <v>41</v>
      </c>
      <c r="E1102">
        <v>3.6038637814897099E-3</v>
      </c>
      <c r="F1102">
        <v>3.6038637814897099E-3</v>
      </c>
      <c r="G1102">
        <v>0</v>
      </c>
      <c r="H1102">
        <v>0</v>
      </c>
      <c r="I1102" t="s">
        <v>81</v>
      </c>
    </row>
    <row r="1103" spans="1:9" x14ac:dyDescent="0.35">
      <c r="A1103" t="s">
        <v>6</v>
      </c>
      <c r="B1103">
        <v>2030</v>
      </c>
      <c r="C1103" t="s">
        <v>80</v>
      </c>
      <c r="D1103" t="s">
        <v>42</v>
      </c>
      <c r="E1103">
        <v>0.56768364671282001</v>
      </c>
      <c r="F1103">
        <v>0.56768364671282001</v>
      </c>
      <c r="G1103">
        <v>0</v>
      </c>
      <c r="H1103">
        <v>0</v>
      </c>
      <c r="I1103" t="s">
        <v>81</v>
      </c>
    </row>
    <row r="1104" spans="1:9" x14ac:dyDescent="0.35">
      <c r="A1104" t="s">
        <v>6</v>
      </c>
      <c r="B1104">
        <v>2030</v>
      </c>
      <c r="C1104" t="s">
        <v>80</v>
      </c>
      <c r="D1104" t="s">
        <v>43</v>
      </c>
      <c r="E1104">
        <v>1.3348713844782299E-3</v>
      </c>
      <c r="F1104">
        <v>1.3348713844782299E-3</v>
      </c>
      <c r="G1104">
        <v>0</v>
      </c>
      <c r="H1104">
        <v>0</v>
      </c>
      <c r="I1104" t="s">
        <v>81</v>
      </c>
    </row>
    <row r="1105" spans="1:9" x14ac:dyDescent="0.35">
      <c r="A1105" t="s">
        <v>6</v>
      </c>
      <c r="B1105">
        <v>2030</v>
      </c>
      <c r="C1105" t="s">
        <v>80</v>
      </c>
      <c r="D1105" t="s">
        <v>136</v>
      </c>
      <c r="E1105">
        <v>1.46517369029286</v>
      </c>
      <c r="F1105">
        <v>1.46517369029286</v>
      </c>
      <c r="G1105">
        <v>0</v>
      </c>
      <c r="H1105">
        <v>0</v>
      </c>
      <c r="I1105" t="s">
        <v>81</v>
      </c>
    </row>
    <row r="1106" spans="1:9" x14ac:dyDescent="0.35">
      <c r="A1106" t="s">
        <v>6</v>
      </c>
      <c r="B1106">
        <v>2030</v>
      </c>
      <c r="C1106" t="s">
        <v>80</v>
      </c>
      <c r="D1106" t="s">
        <v>45</v>
      </c>
      <c r="E1106">
        <v>1.5658441993296099E-3</v>
      </c>
      <c r="F1106">
        <v>1.5658441993296099E-3</v>
      </c>
      <c r="G1106">
        <v>0</v>
      </c>
      <c r="H1106">
        <v>0</v>
      </c>
      <c r="I1106" t="s">
        <v>81</v>
      </c>
    </row>
    <row r="1107" spans="1:9" x14ac:dyDescent="0.35">
      <c r="A1107" t="s">
        <v>6</v>
      </c>
      <c r="B1107">
        <v>2030</v>
      </c>
      <c r="C1107" t="s">
        <v>80</v>
      </c>
      <c r="D1107" t="s">
        <v>46</v>
      </c>
      <c r="E1107">
        <v>7.5700689725686707E-2</v>
      </c>
      <c r="F1107">
        <v>7.5700689725686707E-2</v>
      </c>
      <c r="G1107">
        <v>0</v>
      </c>
      <c r="H1107">
        <v>0</v>
      </c>
      <c r="I1107" t="s">
        <v>81</v>
      </c>
    </row>
    <row r="1108" spans="1:9" x14ac:dyDescent="0.35">
      <c r="A1108" t="s">
        <v>6</v>
      </c>
      <c r="B1108">
        <v>2030</v>
      </c>
      <c r="C1108" t="s">
        <v>80</v>
      </c>
      <c r="D1108" t="s">
        <v>47</v>
      </c>
      <c r="E1108">
        <v>4.60123639185755E-4</v>
      </c>
      <c r="F1108">
        <v>4.60123639185755E-4</v>
      </c>
      <c r="G1108">
        <v>0</v>
      </c>
      <c r="H1108">
        <v>0</v>
      </c>
      <c r="I1108" t="s">
        <v>81</v>
      </c>
    </row>
    <row r="1109" spans="1:9" x14ac:dyDescent="0.35">
      <c r="A1109" t="s">
        <v>6</v>
      </c>
      <c r="B1109">
        <v>2030</v>
      </c>
      <c r="C1109" t="s">
        <v>80</v>
      </c>
      <c r="D1109" t="s">
        <v>48</v>
      </c>
      <c r="E1109">
        <v>80.561070725017601</v>
      </c>
      <c r="F1109">
        <v>80.561070725017601</v>
      </c>
      <c r="G1109">
        <v>0</v>
      </c>
      <c r="H1109">
        <v>0</v>
      </c>
      <c r="I1109" t="s">
        <v>81</v>
      </c>
    </row>
    <row r="1110" spans="1:9" x14ac:dyDescent="0.35">
      <c r="A1110" t="s">
        <v>6</v>
      </c>
      <c r="B1110">
        <v>2030</v>
      </c>
      <c r="C1110" t="s">
        <v>80</v>
      </c>
      <c r="D1110" t="s">
        <v>49</v>
      </c>
      <c r="E1110">
        <v>3.9222323380070298E-3</v>
      </c>
      <c r="F1110">
        <v>3.9222323380070298E-3</v>
      </c>
      <c r="G1110">
        <v>0</v>
      </c>
      <c r="H1110">
        <v>0</v>
      </c>
      <c r="I1110" t="s">
        <v>81</v>
      </c>
    </row>
    <row r="1111" spans="1:9" x14ac:dyDescent="0.35">
      <c r="A1111" t="s">
        <v>6</v>
      </c>
      <c r="B1111">
        <v>2030</v>
      </c>
      <c r="C1111" t="s">
        <v>80</v>
      </c>
      <c r="D1111" t="s">
        <v>50</v>
      </c>
      <c r="E1111">
        <v>1.03675838840962E-2</v>
      </c>
      <c r="F1111">
        <v>1.03675838840962E-2</v>
      </c>
      <c r="G1111">
        <v>0</v>
      </c>
      <c r="H1111">
        <v>0</v>
      </c>
      <c r="I1111" t="s">
        <v>81</v>
      </c>
    </row>
    <row r="1112" spans="1:9" x14ac:dyDescent="0.35">
      <c r="A1112" t="s">
        <v>6</v>
      </c>
      <c r="B1112">
        <v>2030</v>
      </c>
      <c r="C1112" t="s">
        <v>80</v>
      </c>
      <c r="D1112" t="s">
        <v>51</v>
      </c>
      <c r="E1112">
        <v>5.9986245552889499E-2</v>
      </c>
      <c r="F1112">
        <v>5.9986245552889499E-2</v>
      </c>
      <c r="G1112">
        <v>0</v>
      </c>
      <c r="H1112">
        <v>0</v>
      </c>
      <c r="I1112" t="s">
        <v>81</v>
      </c>
    </row>
    <row r="1113" spans="1:9" x14ac:dyDescent="0.35">
      <c r="A1113" t="s">
        <v>6</v>
      </c>
      <c r="B1113">
        <v>2030</v>
      </c>
      <c r="C1113" t="s">
        <v>80</v>
      </c>
      <c r="D1113" t="s">
        <v>52</v>
      </c>
      <c r="E1113">
        <v>0.38297916972780099</v>
      </c>
      <c r="F1113">
        <v>0.38297916972780099</v>
      </c>
      <c r="G1113">
        <v>0</v>
      </c>
      <c r="H1113">
        <v>0</v>
      </c>
      <c r="I1113" t="s">
        <v>81</v>
      </c>
    </row>
    <row r="1114" spans="1:9" x14ac:dyDescent="0.35">
      <c r="A1114" t="s">
        <v>6</v>
      </c>
      <c r="B1114">
        <v>2030</v>
      </c>
      <c r="C1114" t="s">
        <v>80</v>
      </c>
      <c r="D1114" t="s">
        <v>53</v>
      </c>
      <c r="E1114">
        <v>0.35895937412933898</v>
      </c>
      <c r="F1114">
        <v>0.35895937412933898</v>
      </c>
      <c r="G1114">
        <v>0</v>
      </c>
      <c r="H1114">
        <v>0</v>
      </c>
      <c r="I1114" t="s">
        <v>81</v>
      </c>
    </row>
    <row r="1115" spans="1:9" x14ac:dyDescent="0.35">
      <c r="A1115" t="s">
        <v>6</v>
      </c>
      <c r="B1115">
        <v>2030</v>
      </c>
      <c r="C1115" t="s">
        <v>80</v>
      </c>
      <c r="D1115" t="s">
        <v>54</v>
      </c>
      <c r="E1115">
        <v>4.82940492728361E-2</v>
      </c>
      <c r="F1115">
        <v>4.82940492728361E-2</v>
      </c>
      <c r="G1115">
        <v>0</v>
      </c>
      <c r="H1115">
        <v>0</v>
      </c>
      <c r="I1115" t="s">
        <v>81</v>
      </c>
    </row>
    <row r="1116" spans="1:9" x14ac:dyDescent="0.35">
      <c r="A1116" t="s">
        <v>6</v>
      </c>
      <c r="B1116">
        <v>2030</v>
      </c>
      <c r="C1116" t="s">
        <v>80</v>
      </c>
      <c r="D1116" t="s">
        <v>55</v>
      </c>
      <c r="E1116">
        <v>4.4669376359999402E-2</v>
      </c>
      <c r="F1116">
        <v>4.4669376359999402E-2</v>
      </c>
      <c r="G1116">
        <v>0</v>
      </c>
      <c r="H1116">
        <v>0</v>
      </c>
      <c r="I1116" t="s">
        <v>81</v>
      </c>
    </row>
    <row r="1117" spans="1:9" x14ac:dyDescent="0.35">
      <c r="A1117" t="s">
        <v>6</v>
      </c>
      <c r="B1117">
        <v>2030</v>
      </c>
      <c r="C1117" t="s">
        <v>80</v>
      </c>
      <c r="D1117" t="s">
        <v>56</v>
      </c>
      <c r="E1117" s="1">
        <v>9.3721780559358899E-8</v>
      </c>
      <c r="F1117" s="1">
        <v>9.3721780559358899E-8</v>
      </c>
      <c r="G1117">
        <v>0</v>
      </c>
      <c r="H1117">
        <v>0</v>
      </c>
      <c r="I1117" t="s">
        <v>81</v>
      </c>
    </row>
    <row r="1118" spans="1:9" x14ac:dyDescent="0.35">
      <c r="A1118" t="s">
        <v>8</v>
      </c>
      <c r="B1118">
        <v>2035</v>
      </c>
      <c r="C1118" t="s">
        <v>80</v>
      </c>
      <c r="D1118" t="s">
        <v>38</v>
      </c>
      <c r="E1118">
        <v>1.2217622905846099E-3</v>
      </c>
      <c r="F1118">
        <v>1.2217622905846099E-3</v>
      </c>
      <c r="G1118">
        <v>0</v>
      </c>
      <c r="H1118">
        <v>0</v>
      </c>
      <c r="I1118" t="s">
        <v>81</v>
      </c>
    </row>
    <row r="1119" spans="1:9" x14ac:dyDescent="0.35">
      <c r="A1119" t="s">
        <v>8</v>
      </c>
      <c r="B1119">
        <v>2035</v>
      </c>
      <c r="C1119" t="s">
        <v>80</v>
      </c>
      <c r="D1119" t="s">
        <v>40</v>
      </c>
      <c r="E1119">
        <v>3.7299035927742201E-4</v>
      </c>
      <c r="F1119">
        <v>3.7299035927742201E-4</v>
      </c>
      <c r="G1119">
        <v>0</v>
      </c>
      <c r="H1119">
        <v>0</v>
      </c>
      <c r="I1119" t="s">
        <v>81</v>
      </c>
    </row>
    <row r="1120" spans="1:9" x14ac:dyDescent="0.35">
      <c r="A1120" t="s">
        <v>8</v>
      </c>
      <c r="B1120">
        <v>2035</v>
      </c>
      <c r="C1120" t="s">
        <v>80</v>
      </c>
      <c r="D1120" t="s">
        <v>41</v>
      </c>
      <c r="E1120">
        <v>3.2977953944672198E-3</v>
      </c>
      <c r="F1120">
        <v>3.2977953944672198E-3</v>
      </c>
      <c r="G1120">
        <v>0</v>
      </c>
      <c r="H1120">
        <v>0</v>
      </c>
      <c r="I1120" t="s">
        <v>81</v>
      </c>
    </row>
    <row r="1121" spans="1:9" x14ac:dyDescent="0.35">
      <c r="A1121" t="s">
        <v>8</v>
      </c>
      <c r="B1121">
        <v>2035</v>
      </c>
      <c r="C1121" t="s">
        <v>80</v>
      </c>
      <c r="D1121" t="s">
        <v>42</v>
      </c>
      <c r="E1121">
        <v>0.50696851605675697</v>
      </c>
      <c r="F1121">
        <v>0.50696851605675697</v>
      </c>
      <c r="G1121">
        <v>0</v>
      </c>
      <c r="H1121">
        <v>0</v>
      </c>
      <c r="I1121" t="s">
        <v>81</v>
      </c>
    </row>
    <row r="1122" spans="1:9" x14ac:dyDescent="0.35">
      <c r="A1122" t="s">
        <v>8</v>
      </c>
      <c r="B1122">
        <v>2035</v>
      </c>
      <c r="C1122" t="s">
        <v>80</v>
      </c>
      <c r="D1122" t="s">
        <v>43</v>
      </c>
      <c r="E1122">
        <v>1.2203900625671999E-3</v>
      </c>
      <c r="F1122">
        <v>1.2203900625671999E-3</v>
      </c>
      <c r="G1122">
        <v>0</v>
      </c>
      <c r="H1122">
        <v>0</v>
      </c>
      <c r="I1122" t="s">
        <v>81</v>
      </c>
    </row>
    <row r="1123" spans="1:9" x14ac:dyDescent="0.35">
      <c r="A1123" t="s">
        <v>8</v>
      </c>
      <c r="B1123">
        <v>2035</v>
      </c>
      <c r="C1123" t="s">
        <v>80</v>
      </c>
      <c r="D1123" t="s">
        <v>136</v>
      </c>
      <c r="E1123">
        <v>1.33238730820434</v>
      </c>
      <c r="F1123">
        <v>1.33238730820434</v>
      </c>
      <c r="G1123">
        <v>0</v>
      </c>
      <c r="H1123">
        <v>0</v>
      </c>
      <c r="I1123" t="s">
        <v>81</v>
      </c>
    </row>
    <row r="1124" spans="1:9" x14ac:dyDescent="0.35">
      <c r="A1124" t="s">
        <v>8</v>
      </c>
      <c r="B1124">
        <v>2035</v>
      </c>
      <c r="C1124" t="s">
        <v>80</v>
      </c>
      <c r="D1124" t="s">
        <v>45</v>
      </c>
      <c r="E1124">
        <v>1.4218208225655099E-3</v>
      </c>
      <c r="F1124">
        <v>1.4218208225655099E-3</v>
      </c>
      <c r="G1124">
        <v>0</v>
      </c>
      <c r="H1124">
        <v>0</v>
      </c>
      <c r="I1124" t="s">
        <v>81</v>
      </c>
    </row>
    <row r="1125" spans="1:9" x14ac:dyDescent="0.35">
      <c r="A1125" t="s">
        <v>8</v>
      </c>
      <c r="B1125">
        <v>2035</v>
      </c>
      <c r="C1125" t="s">
        <v>80</v>
      </c>
      <c r="D1125" t="s">
        <v>46</v>
      </c>
      <c r="E1125">
        <v>8.7405507596238399E-2</v>
      </c>
      <c r="F1125">
        <v>8.7405507596238399E-2</v>
      </c>
      <c r="G1125">
        <v>0</v>
      </c>
      <c r="H1125">
        <v>0</v>
      </c>
      <c r="I1125" t="s">
        <v>81</v>
      </c>
    </row>
    <row r="1126" spans="1:9" x14ac:dyDescent="0.35">
      <c r="A1126" t="s">
        <v>8</v>
      </c>
      <c r="B1126">
        <v>2035</v>
      </c>
      <c r="C1126" t="s">
        <v>80</v>
      </c>
      <c r="D1126" t="s">
        <v>47</v>
      </c>
      <c r="E1126">
        <v>3.6951979820396002E-4</v>
      </c>
      <c r="F1126">
        <v>3.6951979820396002E-4</v>
      </c>
      <c r="G1126">
        <v>0</v>
      </c>
      <c r="H1126">
        <v>0</v>
      </c>
      <c r="I1126" t="s">
        <v>81</v>
      </c>
    </row>
    <row r="1127" spans="1:9" x14ac:dyDescent="0.35">
      <c r="A1127" t="s">
        <v>8</v>
      </c>
      <c r="B1127">
        <v>2035</v>
      </c>
      <c r="C1127" t="s">
        <v>80</v>
      </c>
      <c r="D1127" t="s">
        <v>48</v>
      </c>
      <c r="E1127">
        <v>80.562560862863606</v>
      </c>
      <c r="F1127">
        <v>80.562560862863606</v>
      </c>
      <c r="G1127">
        <v>0</v>
      </c>
      <c r="H1127">
        <v>0</v>
      </c>
      <c r="I1127" t="s">
        <v>81</v>
      </c>
    </row>
    <row r="1128" spans="1:9" x14ac:dyDescent="0.35">
      <c r="A1128" t="s">
        <v>8</v>
      </c>
      <c r="B1128">
        <v>2035</v>
      </c>
      <c r="C1128" t="s">
        <v>80</v>
      </c>
      <c r="D1128" t="s">
        <v>49</v>
      </c>
      <c r="E1128">
        <v>3.5144561935803202E-3</v>
      </c>
      <c r="F1128">
        <v>3.5144561935803202E-3</v>
      </c>
      <c r="G1128">
        <v>0</v>
      </c>
      <c r="H1128">
        <v>0</v>
      </c>
      <c r="I1128" t="s">
        <v>81</v>
      </c>
    </row>
    <row r="1129" spans="1:9" x14ac:dyDescent="0.35">
      <c r="A1129" t="s">
        <v>8</v>
      </c>
      <c r="B1129">
        <v>2035</v>
      </c>
      <c r="C1129" t="s">
        <v>80</v>
      </c>
      <c r="D1129" t="s">
        <v>50</v>
      </c>
      <c r="E1129">
        <v>9.3815950159093098E-3</v>
      </c>
      <c r="F1129">
        <v>9.3815950159093098E-3</v>
      </c>
      <c r="G1129">
        <v>0</v>
      </c>
      <c r="H1129">
        <v>0</v>
      </c>
      <c r="I1129" t="s">
        <v>81</v>
      </c>
    </row>
    <row r="1130" spans="1:9" x14ac:dyDescent="0.35">
      <c r="A1130" t="s">
        <v>8</v>
      </c>
      <c r="B1130">
        <v>2035</v>
      </c>
      <c r="C1130" t="s">
        <v>80</v>
      </c>
      <c r="D1130" t="s">
        <v>51</v>
      </c>
      <c r="E1130">
        <v>6.15464278364024E-2</v>
      </c>
      <c r="F1130">
        <v>6.15464278364024E-2</v>
      </c>
      <c r="G1130">
        <v>0</v>
      </c>
      <c r="H1130">
        <v>0</v>
      </c>
      <c r="I1130" t="s">
        <v>81</v>
      </c>
    </row>
    <row r="1131" spans="1:9" x14ac:dyDescent="0.35">
      <c r="A1131" t="s">
        <v>8</v>
      </c>
      <c r="B1131">
        <v>2035</v>
      </c>
      <c r="C1131" t="s">
        <v>80</v>
      </c>
      <c r="D1131" t="s">
        <v>52</v>
      </c>
      <c r="E1131">
        <v>0.29311349606544901</v>
      </c>
      <c r="F1131">
        <v>0.29311349606544901</v>
      </c>
      <c r="G1131">
        <v>0</v>
      </c>
      <c r="H1131">
        <v>0</v>
      </c>
      <c r="I1131" t="s">
        <v>81</v>
      </c>
    </row>
    <row r="1132" spans="1:9" x14ac:dyDescent="0.35">
      <c r="A1132" t="s">
        <v>8</v>
      </c>
      <c r="B1132">
        <v>2035</v>
      </c>
      <c r="C1132" t="s">
        <v>80</v>
      </c>
      <c r="D1132" t="s">
        <v>53</v>
      </c>
      <c r="E1132">
        <v>0.312678615149244</v>
      </c>
      <c r="F1132">
        <v>0.312678615149244</v>
      </c>
      <c r="G1132">
        <v>0</v>
      </c>
      <c r="H1132">
        <v>0</v>
      </c>
      <c r="I1132" t="s">
        <v>81</v>
      </c>
    </row>
    <row r="1133" spans="1:9" x14ac:dyDescent="0.35">
      <c r="A1133" t="s">
        <v>8</v>
      </c>
      <c r="B1133">
        <v>2035</v>
      </c>
      <c r="C1133" t="s">
        <v>80</v>
      </c>
      <c r="D1133" t="s">
        <v>54</v>
      </c>
      <c r="E1133">
        <v>4.83323206195551E-2</v>
      </c>
      <c r="F1133">
        <v>4.83323206195551E-2</v>
      </c>
      <c r="G1133">
        <v>0</v>
      </c>
      <c r="H1133">
        <v>0</v>
      </c>
      <c r="I1133" t="s">
        <v>81</v>
      </c>
    </row>
    <row r="1134" spans="1:9" x14ac:dyDescent="0.35">
      <c r="A1134" t="s">
        <v>8</v>
      </c>
      <c r="B1134">
        <v>2035</v>
      </c>
      <c r="C1134" t="s">
        <v>80</v>
      </c>
      <c r="D1134" t="s">
        <v>55</v>
      </c>
      <c r="E1134">
        <v>4.4605197816552297E-2</v>
      </c>
      <c r="F1134">
        <v>4.4605197816552297E-2</v>
      </c>
      <c r="G1134">
        <v>0</v>
      </c>
      <c r="H1134">
        <v>0</v>
      </c>
      <c r="I1134" t="s">
        <v>81</v>
      </c>
    </row>
    <row r="1135" spans="1:9" x14ac:dyDescent="0.35">
      <c r="A1135" t="s">
        <v>8</v>
      </c>
      <c r="B1135">
        <v>2035</v>
      </c>
      <c r="C1135" t="s">
        <v>80</v>
      </c>
      <c r="D1135" t="s">
        <v>56</v>
      </c>
      <c r="E1135" s="1">
        <v>8.5054975101345697E-8</v>
      </c>
      <c r="F1135" s="1">
        <v>8.5054975101345697E-8</v>
      </c>
      <c r="G1135">
        <v>0</v>
      </c>
      <c r="H1135">
        <v>0</v>
      </c>
      <c r="I1135" t="s">
        <v>81</v>
      </c>
    </row>
    <row r="1136" spans="1:9" x14ac:dyDescent="0.35">
      <c r="A1136" t="s">
        <v>10</v>
      </c>
      <c r="B1136">
        <v>2040</v>
      </c>
      <c r="C1136" t="s">
        <v>80</v>
      </c>
      <c r="D1136" t="s">
        <v>38</v>
      </c>
      <c r="E1136">
        <v>1.0552482391723E-3</v>
      </c>
      <c r="F1136">
        <v>1.0552482391723E-3</v>
      </c>
      <c r="G1136">
        <v>0</v>
      </c>
      <c r="H1136">
        <v>0</v>
      </c>
      <c r="I1136" t="s">
        <v>81</v>
      </c>
    </row>
    <row r="1137" spans="1:9" x14ac:dyDescent="0.35">
      <c r="A1137" t="s">
        <v>10</v>
      </c>
      <c r="B1137">
        <v>2040</v>
      </c>
      <c r="C1137" t="s">
        <v>80</v>
      </c>
      <c r="D1137" t="s">
        <v>40</v>
      </c>
      <c r="E1137">
        <v>3.4695349975274098E-4</v>
      </c>
      <c r="F1137">
        <v>3.4695349975274098E-4</v>
      </c>
      <c r="G1137">
        <v>0</v>
      </c>
      <c r="H1137">
        <v>0</v>
      </c>
      <c r="I1137" t="s">
        <v>81</v>
      </c>
    </row>
    <row r="1138" spans="1:9" x14ac:dyDescent="0.35">
      <c r="A1138" t="s">
        <v>10</v>
      </c>
      <c r="B1138">
        <v>2040</v>
      </c>
      <c r="C1138" t="s">
        <v>80</v>
      </c>
      <c r="D1138" t="s">
        <v>41</v>
      </c>
      <c r="E1138">
        <v>3.03025524195304E-3</v>
      </c>
      <c r="F1138">
        <v>3.03025524195304E-3</v>
      </c>
      <c r="G1138">
        <v>0</v>
      </c>
      <c r="H1138">
        <v>0</v>
      </c>
      <c r="I1138" t="s">
        <v>81</v>
      </c>
    </row>
    <row r="1139" spans="1:9" x14ac:dyDescent="0.35">
      <c r="A1139" t="s">
        <v>10</v>
      </c>
      <c r="B1139">
        <v>2040</v>
      </c>
      <c r="C1139" t="s">
        <v>80</v>
      </c>
      <c r="D1139" t="s">
        <v>42</v>
      </c>
      <c r="E1139">
        <v>0.45655080584929802</v>
      </c>
      <c r="F1139">
        <v>0.45655080584929802</v>
      </c>
      <c r="G1139">
        <v>0</v>
      </c>
      <c r="H1139">
        <v>0</v>
      </c>
      <c r="I1139" t="s">
        <v>81</v>
      </c>
    </row>
    <row r="1140" spans="1:9" x14ac:dyDescent="0.35">
      <c r="A1140" t="s">
        <v>10</v>
      </c>
      <c r="B1140">
        <v>2040</v>
      </c>
      <c r="C1140" t="s">
        <v>80</v>
      </c>
      <c r="D1140" t="s">
        <v>43</v>
      </c>
      <c r="E1140">
        <v>1.1004356310518699E-3</v>
      </c>
      <c r="F1140">
        <v>1.1004356310518699E-3</v>
      </c>
      <c r="G1140">
        <v>0</v>
      </c>
      <c r="H1140">
        <v>0</v>
      </c>
      <c r="I1140" t="s">
        <v>81</v>
      </c>
    </row>
    <row r="1141" spans="1:9" x14ac:dyDescent="0.35">
      <c r="A1141" t="s">
        <v>10</v>
      </c>
      <c r="B1141">
        <v>2040</v>
      </c>
      <c r="C1141" t="s">
        <v>80</v>
      </c>
      <c r="D1141" t="s">
        <v>136</v>
      </c>
      <c r="E1141">
        <v>1.21069136345289</v>
      </c>
      <c r="F1141">
        <v>0.97104795633724805</v>
      </c>
      <c r="G1141">
        <v>-0.23964340711564899</v>
      </c>
      <c r="H1141">
        <v>-19.793930505309302</v>
      </c>
      <c r="I1141" t="s">
        <v>81</v>
      </c>
    </row>
    <row r="1142" spans="1:9" x14ac:dyDescent="0.35">
      <c r="A1142" t="s">
        <v>10</v>
      </c>
      <c r="B1142">
        <v>2040</v>
      </c>
      <c r="C1142" t="s">
        <v>80</v>
      </c>
      <c r="D1142" t="s">
        <v>45</v>
      </c>
      <c r="E1142">
        <v>1.31753238765331E-3</v>
      </c>
      <c r="F1142">
        <v>1.31753238765331E-3</v>
      </c>
      <c r="G1142">
        <v>0</v>
      </c>
      <c r="H1142">
        <v>0</v>
      </c>
      <c r="I1142" t="s">
        <v>81</v>
      </c>
    </row>
    <row r="1143" spans="1:9" x14ac:dyDescent="0.35">
      <c r="A1143" t="s">
        <v>10</v>
      </c>
      <c r="B1143">
        <v>2040</v>
      </c>
      <c r="C1143" t="s">
        <v>80</v>
      </c>
      <c r="D1143" t="s">
        <v>46</v>
      </c>
      <c r="E1143">
        <v>0.106011954579999</v>
      </c>
      <c r="F1143">
        <v>0.106011954579999</v>
      </c>
      <c r="G1143">
        <v>0</v>
      </c>
      <c r="H1143">
        <v>0</v>
      </c>
      <c r="I1143" t="s">
        <v>81</v>
      </c>
    </row>
    <row r="1144" spans="1:9" x14ac:dyDescent="0.35">
      <c r="A1144" t="s">
        <v>10</v>
      </c>
      <c r="B1144">
        <v>2040</v>
      </c>
      <c r="C1144" t="s">
        <v>80</v>
      </c>
      <c r="D1144" t="s">
        <v>47</v>
      </c>
      <c r="E1144">
        <v>2.9441579193980997E-4</v>
      </c>
      <c r="F1144">
        <v>2.9441579193980997E-4</v>
      </c>
      <c r="G1144">
        <v>0</v>
      </c>
      <c r="H1144">
        <v>0</v>
      </c>
      <c r="I1144" t="s">
        <v>81</v>
      </c>
    </row>
    <row r="1145" spans="1:9" x14ac:dyDescent="0.35">
      <c r="A1145" t="s">
        <v>10</v>
      </c>
      <c r="B1145">
        <v>2040</v>
      </c>
      <c r="C1145" t="s">
        <v>80</v>
      </c>
      <c r="D1145" t="s">
        <v>48</v>
      </c>
      <c r="E1145">
        <v>80.564494552661699</v>
      </c>
      <c r="F1145">
        <v>80.564494552661699</v>
      </c>
      <c r="G1145">
        <v>0</v>
      </c>
      <c r="H1145">
        <v>0</v>
      </c>
      <c r="I1145" t="s">
        <v>81</v>
      </c>
    </row>
    <row r="1146" spans="1:9" x14ac:dyDescent="0.35">
      <c r="A1146" t="s">
        <v>10</v>
      </c>
      <c r="B1146">
        <v>2040</v>
      </c>
      <c r="C1146" t="s">
        <v>80</v>
      </c>
      <c r="D1146" t="s">
        <v>49</v>
      </c>
      <c r="E1146">
        <v>3.1868031050254798E-3</v>
      </c>
      <c r="F1146">
        <v>3.1868031050254798E-3</v>
      </c>
      <c r="G1146">
        <v>0</v>
      </c>
      <c r="H1146">
        <v>0</v>
      </c>
      <c r="I1146" t="s">
        <v>81</v>
      </c>
    </row>
    <row r="1147" spans="1:9" x14ac:dyDescent="0.35">
      <c r="A1147" t="s">
        <v>10</v>
      </c>
      <c r="B1147">
        <v>2040</v>
      </c>
      <c r="C1147" t="s">
        <v>80</v>
      </c>
      <c r="D1147" t="s">
        <v>50</v>
      </c>
      <c r="E1147">
        <v>8.0820986391027996E-3</v>
      </c>
      <c r="F1147">
        <v>8.0820986391027996E-3</v>
      </c>
      <c r="G1147">
        <v>0</v>
      </c>
      <c r="H1147">
        <v>0</v>
      </c>
      <c r="I1147" t="s">
        <v>81</v>
      </c>
    </row>
    <row r="1148" spans="1:9" x14ac:dyDescent="0.35">
      <c r="A1148" t="s">
        <v>10</v>
      </c>
      <c r="B1148">
        <v>2040</v>
      </c>
      <c r="C1148" t="s">
        <v>80</v>
      </c>
      <c r="D1148" t="s">
        <v>51</v>
      </c>
      <c r="E1148">
        <v>6.3256134291435395E-2</v>
      </c>
      <c r="F1148">
        <v>6.3256134291435395E-2</v>
      </c>
      <c r="G1148">
        <v>0</v>
      </c>
      <c r="H1148">
        <v>0</v>
      </c>
      <c r="I1148" t="s">
        <v>81</v>
      </c>
    </row>
    <row r="1149" spans="1:9" x14ac:dyDescent="0.35">
      <c r="A1149" t="s">
        <v>10</v>
      </c>
      <c r="B1149">
        <v>2040</v>
      </c>
      <c r="C1149" t="s">
        <v>80</v>
      </c>
      <c r="D1149" t="s">
        <v>52</v>
      </c>
      <c r="E1149">
        <v>0.21268202258039701</v>
      </c>
      <c r="F1149">
        <v>0.21268202258039701</v>
      </c>
      <c r="G1149">
        <v>0</v>
      </c>
      <c r="H1149">
        <v>0</v>
      </c>
      <c r="I1149" t="s">
        <v>81</v>
      </c>
    </row>
    <row r="1150" spans="1:9" x14ac:dyDescent="0.35">
      <c r="A1150" t="s">
        <v>10</v>
      </c>
      <c r="B1150">
        <v>2040</v>
      </c>
      <c r="C1150" t="s">
        <v>80</v>
      </c>
      <c r="D1150" t="s">
        <v>53</v>
      </c>
      <c r="E1150">
        <v>0.26861726720914603</v>
      </c>
      <c r="F1150">
        <v>0.26861726720914603</v>
      </c>
      <c r="G1150">
        <v>0</v>
      </c>
      <c r="H1150">
        <v>0</v>
      </c>
      <c r="I1150" t="s">
        <v>81</v>
      </c>
    </row>
    <row r="1151" spans="1:9" x14ac:dyDescent="0.35">
      <c r="A1151" t="s">
        <v>10</v>
      </c>
      <c r="B1151">
        <v>2040</v>
      </c>
      <c r="C1151" t="s">
        <v>80</v>
      </c>
      <c r="D1151" t="s">
        <v>54</v>
      </c>
      <c r="E1151">
        <v>4.8459739994508297E-2</v>
      </c>
      <c r="F1151">
        <v>4.8459739994508297E-2</v>
      </c>
      <c r="G1151">
        <v>0</v>
      </c>
      <c r="H1151">
        <v>0</v>
      </c>
      <c r="I1151" t="s">
        <v>81</v>
      </c>
    </row>
    <row r="1152" spans="1:9" x14ac:dyDescent="0.35">
      <c r="A1152" t="s">
        <v>10</v>
      </c>
      <c r="B1152">
        <v>2040</v>
      </c>
      <c r="C1152" t="s">
        <v>80</v>
      </c>
      <c r="D1152" t="s">
        <v>55</v>
      </c>
      <c r="E1152">
        <v>4.4669868071751002E-2</v>
      </c>
      <c r="F1152">
        <v>4.4669868071751002E-2</v>
      </c>
      <c r="G1152">
        <v>0</v>
      </c>
      <c r="H1152">
        <v>0</v>
      </c>
      <c r="I1152" t="s">
        <v>81</v>
      </c>
    </row>
    <row r="1153" spans="1:9" x14ac:dyDescent="0.35">
      <c r="A1153" t="s">
        <v>10</v>
      </c>
      <c r="B1153">
        <v>2040</v>
      </c>
      <c r="C1153" t="s">
        <v>80</v>
      </c>
      <c r="D1153" t="s">
        <v>56</v>
      </c>
      <c r="E1153" s="1">
        <v>7.8472296143819595E-8</v>
      </c>
      <c r="F1153" s="1">
        <v>7.8472296143819595E-8</v>
      </c>
      <c r="G1153">
        <v>0</v>
      </c>
      <c r="H1153">
        <v>0</v>
      </c>
      <c r="I1153" t="s">
        <v>81</v>
      </c>
    </row>
    <row r="1154" spans="1:9" x14ac:dyDescent="0.35">
      <c r="A1154" t="s">
        <v>4</v>
      </c>
      <c r="B1154">
        <v>2025</v>
      </c>
      <c r="C1154" t="s">
        <v>57</v>
      </c>
      <c r="D1154" t="s">
        <v>38</v>
      </c>
      <c r="E1154">
        <v>6.5911030244596895E-4</v>
      </c>
      <c r="F1154">
        <v>6.5911030244596895E-4</v>
      </c>
      <c r="G1154">
        <v>0</v>
      </c>
      <c r="H1154">
        <v>0</v>
      </c>
      <c r="I1154" t="s">
        <v>58</v>
      </c>
    </row>
    <row r="1155" spans="1:9" x14ac:dyDescent="0.35">
      <c r="A1155" t="s">
        <v>4</v>
      </c>
      <c r="B1155">
        <v>2025</v>
      </c>
      <c r="C1155" t="s">
        <v>57</v>
      </c>
      <c r="D1155" t="s">
        <v>40</v>
      </c>
      <c r="E1155">
        <v>6.0819007894775902E-4</v>
      </c>
      <c r="F1155">
        <v>6.0819007894775902E-4</v>
      </c>
      <c r="G1155">
        <v>0</v>
      </c>
      <c r="H1155">
        <v>0</v>
      </c>
      <c r="I1155" t="s">
        <v>58</v>
      </c>
    </row>
    <row r="1156" spans="1:9" x14ac:dyDescent="0.35">
      <c r="A1156" t="s">
        <v>4</v>
      </c>
      <c r="B1156">
        <v>2025</v>
      </c>
      <c r="C1156" t="s">
        <v>57</v>
      </c>
      <c r="D1156" t="s">
        <v>41</v>
      </c>
      <c r="E1156">
        <v>3.3941854212933302E-3</v>
      </c>
      <c r="F1156">
        <v>3.3941854212933302E-3</v>
      </c>
      <c r="G1156">
        <v>0</v>
      </c>
      <c r="H1156">
        <v>0</v>
      </c>
      <c r="I1156" t="s">
        <v>58</v>
      </c>
    </row>
    <row r="1157" spans="1:9" x14ac:dyDescent="0.35">
      <c r="A1157" t="s">
        <v>4</v>
      </c>
      <c r="B1157">
        <v>2025</v>
      </c>
      <c r="C1157" t="s">
        <v>57</v>
      </c>
      <c r="D1157" t="s">
        <v>42</v>
      </c>
      <c r="E1157">
        <v>2.4987685249873901</v>
      </c>
      <c r="F1157">
        <v>2.4987685249873901</v>
      </c>
      <c r="G1157">
        <v>0</v>
      </c>
      <c r="H1157">
        <v>0</v>
      </c>
      <c r="I1157" t="s">
        <v>58</v>
      </c>
    </row>
    <row r="1158" spans="1:9" x14ac:dyDescent="0.35">
      <c r="A1158" t="s">
        <v>4</v>
      </c>
      <c r="B1158">
        <v>2025</v>
      </c>
      <c r="C1158" t="s">
        <v>57</v>
      </c>
      <c r="D1158" t="s">
        <v>43</v>
      </c>
      <c r="E1158">
        <v>1.3337060194575699E-3</v>
      </c>
      <c r="F1158">
        <v>1.3337060194575699E-3</v>
      </c>
      <c r="G1158">
        <v>0</v>
      </c>
      <c r="H1158">
        <v>0</v>
      </c>
      <c r="I1158" t="s">
        <v>58</v>
      </c>
    </row>
    <row r="1159" spans="1:9" x14ac:dyDescent="0.35">
      <c r="A1159" t="s">
        <v>4</v>
      </c>
      <c r="B1159">
        <v>2025</v>
      </c>
      <c r="C1159" t="s">
        <v>57</v>
      </c>
      <c r="D1159" t="s">
        <v>136</v>
      </c>
      <c r="E1159">
        <v>0.48694993434182798</v>
      </c>
      <c r="F1159">
        <v>0.48694993434182798</v>
      </c>
      <c r="G1159">
        <v>0</v>
      </c>
      <c r="H1159">
        <v>0</v>
      </c>
      <c r="I1159" t="s">
        <v>58</v>
      </c>
    </row>
    <row r="1160" spans="1:9" x14ac:dyDescent="0.35">
      <c r="A1160" t="s">
        <v>4</v>
      </c>
      <c r="B1160">
        <v>2025</v>
      </c>
      <c r="C1160" t="s">
        <v>57</v>
      </c>
      <c r="D1160" t="s">
        <v>45</v>
      </c>
      <c r="E1160">
        <v>1.2726342612755701E-3</v>
      </c>
      <c r="F1160">
        <v>1.2726342612755701E-3</v>
      </c>
      <c r="G1160">
        <v>0</v>
      </c>
      <c r="H1160">
        <v>0</v>
      </c>
      <c r="I1160" t="s">
        <v>58</v>
      </c>
    </row>
    <row r="1161" spans="1:9" x14ac:dyDescent="0.35">
      <c r="A1161" t="s">
        <v>4</v>
      </c>
      <c r="B1161">
        <v>2025</v>
      </c>
      <c r="C1161" t="s">
        <v>57</v>
      </c>
      <c r="D1161" t="s">
        <v>46</v>
      </c>
      <c r="E1161">
        <v>3.6557336746099102E-2</v>
      </c>
      <c r="F1161">
        <v>3.6557336746099102E-2</v>
      </c>
      <c r="G1161">
        <v>0</v>
      </c>
      <c r="H1161">
        <v>0</v>
      </c>
      <c r="I1161" t="s">
        <v>58</v>
      </c>
    </row>
    <row r="1162" spans="1:9" x14ac:dyDescent="0.35">
      <c r="A1162" t="s">
        <v>4</v>
      </c>
      <c r="B1162">
        <v>2025</v>
      </c>
      <c r="C1162" t="s">
        <v>57</v>
      </c>
      <c r="D1162" t="s">
        <v>47</v>
      </c>
      <c r="E1162">
        <v>1.69738116297389E-3</v>
      </c>
      <c r="F1162">
        <v>1.69738116297389E-3</v>
      </c>
      <c r="G1162">
        <v>0</v>
      </c>
      <c r="H1162">
        <v>0</v>
      </c>
      <c r="I1162" t="s">
        <v>58</v>
      </c>
    </row>
    <row r="1163" spans="1:9" x14ac:dyDescent="0.35">
      <c r="A1163" t="s">
        <v>4</v>
      </c>
      <c r="B1163">
        <v>2025</v>
      </c>
      <c r="C1163" t="s">
        <v>57</v>
      </c>
      <c r="D1163" t="s">
        <v>48</v>
      </c>
      <c r="E1163">
        <v>5.0241531056148396</v>
      </c>
      <c r="F1163">
        <v>5.0241531056148396</v>
      </c>
      <c r="G1163">
        <v>0</v>
      </c>
      <c r="H1163">
        <v>0</v>
      </c>
      <c r="I1163" t="s">
        <v>58</v>
      </c>
    </row>
    <row r="1164" spans="1:9" x14ac:dyDescent="0.35">
      <c r="A1164" t="s">
        <v>4</v>
      </c>
      <c r="B1164">
        <v>2025</v>
      </c>
      <c r="C1164" t="s">
        <v>57</v>
      </c>
      <c r="D1164" t="s">
        <v>49</v>
      </c>
      <c r="E1164">
        <v>2.86624742604595E-3</v>
      </c>
      <c r="F1164">
        <v>2.86624742604595E-3</v>
      </c>
      <c r="G1164">
        <v>0</v>
      </c>
      <c r="H1164">
        <v>0</v>
      </c>
      <c r="I1164" t="s">
        <v>58</v>
      </c>
    </row>
    <row r="1165" spans="1:9" x14ac:dyDescent="0.35">
      <c r="A1165" t="s">
        <v>4</v>
      </c>
      <c r="B1165">
        <v>2025</v>
      </c>
      <c r="C1165" t="s">
        <v>57</v>
      </c>
      <c r="D1165" t="s">
        <v>50</v>
      </c>
      <c r="E1165">
        <v>1.6221503267729601E-2</v>
      </c>
      <c r="F1165">
        <v>1.6221503267729601E-2</v>
      </c>
      <c r="G1165">
        <v>0</v>
      </c>
      <c r="H1165">
        <v>0</v>
      </c>
      <c r="I1165" t="s">
        <v>58</v>
      </c>
    </row>
    <row r="1166" spans="1:9" x14ac:dyDescent="0.35">
      <c r="A1166" t="s">
        <v>4</v>
      </c>
      <c r="B1166">
        <v>2025</v>
      </c>
      <c r="C1166" t="s">
        <v>57</v>
      </c>
      <c r="D1166" t="s">
        <v>51</v>
      </c>
      <c r="E1166">
        <v>6.4883696233015403E-2</v>
      </c>
      <c r="F1166">
        <v>6.4883696233015403E-2</v>
      </c>
      <c r="G1166">
        <v>0</v>
      </c>
      <c r="H1166">
        <v>0</v>
      </c>
      <c r="I1166" t="s">
        <v>58</v>
      </c>
    </row>
    <row r="1167" spans="1:9" x14ac:dyDescent="0.35">
      <c r="A1167" t="s">
        <v>4</v>
      </c>
      <c r="B1167">
        <v>2025</v>
      </c>
      <c r="C1167" t="s">
        <v>57</v>
      </c>
      <c r="D1167" t="s">
        <v>52</v>
      </c>
      <c r="E1167">
        <v>2.6122953702327499E-2</v>
      </c>
      <c r="F1167">
        <v>2.6122953702327499E-2</v>
      </c>
      <c r="G1167">
        <v>0</v>
      </c>
      <c r="H1167">
        <v>0</v>
      </c>
      <c r="I1167" t="s">
        <v>58</v>
      </c>
    </row>
    <row r="1168" spans="1:9" x14ac:dyDescent="0.35">
      <c r="A1168" t="s">
        <v>4</v>
      </c>
      <c r="B1168">
        <v>2025</v>
      </c>
      <c r="C1168" t="s">
        <v>57</v>
      </c>
      <c r="D1168" t="s">
        <v>53</v>
      </c>
      <c r="E1168">
        <v>0.124541248389771</v>
      </c>
      <c r="F1168">
        <v>0.124541248389771</v>
      </c>
      <c r="G1168">
        <v>0</v>
      </c>
      <c r="H1168">
        <v>0</v>
      </c>
      <c r="I1168" t="s">
        <v>58</v>
      </c>
    </row>
    <row r="1169" spans="1:9" x14ac:dyDescent="0.35">
      <c r="A1169" t="s">
        <v>4</v>
      </c>
      <c r="B1169">
        <v>2025</v>
      </c>
      <c r="C1169" t="s">
        <v>57</v>
      </c>
      <c r="D1169" t="s">
        <v>54</v>
      </c>
      <c r="E1169">
        <v>1.1059414752324399</v>
      </c>
      <c r="F1169">
        <v>1.1059414752324399</v>
      </c>
      <c r="G1169">
        <v>0</v>
      </c>
      <c r="H1169">
        <v>0</v>
      </c>
      <c r="I1169" t="s">
        <v>58</v>
      </c>
    </row>
    <row r="1170" spans="1:9" x14ac:dyDescent="0.35">
      <c r="A1170" t="s">
        <v>4</v>
      </c>
      <c r="B1170">
        <v>2025</v>
      </c>
      <c r="C1170" t="s">
        <v>57</v>
      </c>
      <c r="D1170" t="s">
        <v>55</v>
      </c>
      <c r="E1170">
        <v>1.0099332121676201</v>
      </c>
      <c r="F1170">
        <v>1.0099332121676201</v>
      </c>
      <c r="G1170">
        <v>0</v>
      </c>
      <c r="H1170">
        <v>0</v>
      </c>
      <c r="I1170" t="s">
        <v>58</v>
      </c>
    </row>
    <row r="1171" spans="1:9" x14ac:dyDescent="0.35">
      <c r="A1171" t="s">
        <v>4</v>
      </c>
      <c r="B1171">
        <v>2025</v>
      </c>
      <c r="C1171" t="s">
        <v>57</v>
      </c>
      <c r="D1171" t="s">
        <v>56</v>
      </c>
      <c r="E1171" s="1">
        <v>5.51685082065143E-8</v>
      </c>
      <c r="F1171" s="1">
        <v>5.51685082065143E-8</v>
      </c>
      <c r="G1171">
        <v>0</v>
      </c>
      <c r="H1171">
        <v>0</v>
      </c>
      <c r="I1171" t="s">
        <v>58</v>
      </c>
    </row>
    <row r="1172" spans="1:9" x14ac:dyDescent="0.35">
      <c r="A1172" t="s">
        <v>6</v>
      </c>
      <c r="B1172">
        <v>2030</v>
      </c>
      <c r="C1172" t="s">
        <v>57</v>
      </c>
      <c r="D1172" t="s">
        <v>38</v>
      </c>
      <c r="E1172">
        <v>6.7403264067600896E-4</v>
      </c>
      <c r="F1172">
        <v>6.7403264067600896E-4</v>
      </c>
      <c r="G1172">
        <v>0</v>
      </c>
      <c r="H1172">
        <v>0</v>
      </c>
      <c r="I1172" t="s">
        <v>58</v>
      </c>
    </row>
    <row r="1173" spans="1:9" x14ac:dyDescent="0.35">
      <c r="A1173" t="s">
        <v>6</v>
      </c>
      <c r="B1173">
        <v>2030</v>
      </c>
      <c r="C1173" t="s">
        <v>57</v>
      </c>
      <c r="D1173" t="s">
        <v>40</v>
      </c>
      <c r="E1173">
        <v>6.1496977159908198E-4</v>
      </c>
      <c r="F1173">
        <v>6.1496977159908198E-4</v>
      </c>
      <c r="G1173">
        <v>0</v>
      </c>
      <c r="H1173">
        <v>0</v>
      </c>
      <c r="I1173" t="s">
        <v>58</v>
      </c>
    </row>
    <row r="1174" spans="1:9" x14ac:dyDescent="0.35">
      <c r="A1174" t="s">
        <v>6</v>
      </c>
      <c r="B1174">
        <v>2030</v>
      </c>
      <c r="C1174" t="s">
        <v>57</v>
      </c>
      <c r="D1174" t="s">
        <v>41</v>
      </c>
      <c r="E1174">
        <v>3.7077205470225001E-3</v>
      </c>
      <c r="F1174">
        <v>3.7077205470225001E-3</v>
      </c>
      <c r="G1174">
        <v>0</v>
      </c>
      <c r="H1174">
        <v>0</v>
      </c>
      <c r="I1174" t="s">
        <v>58</v>
      </c>
    </row>
    <row r="1175" spans="1:9" x14ac:dyDescent="0.35">
      <c r="A1175" t="s">
        <v>6</v>
      </c>
      <c r="B1175">
        <v>2030</v>
      </c>
      <c r="C1175" t="s">
        <v>57</v>
      </c>
      <c r="D1175" t="s">
        <v>42</v>
      </c>
      <c r="E1175">
        <v>2.5023516213669801</v>
      </c>
      <c r="F1175">
        <v>2.5023516213669801</v>
      </c>
      <c r="G1175">
        <v>0</v>
      </c>
      <c r="H1175">
        <v>0</v>
      </c>
      <c r="I1175" t="s">
        <v>58</v>
      </c>
    </row>
    <row r="1176" spans="1:9" x14ac:dyDescent="0.35">
      <c r="A1176" t="s">
        <v>6</v>
      </c>
      <c r="B1176">
        <v>2030</v>
      </c>
      <c r="C1176" t="s">
        <v>57</v>
      </c>
      <c r="D1176" t="s">
        <v>43</v>
      </c>
      <c r="E1176">
        <v>1.4571966371269599E-3</v>
      </c>
      <c r="F1176">
        <v>1.4571966371269599E-3</v>
      </c>
      <c r="G1176">
        <v>0</v>
      </c>
      <c r="H1176">
        <v>0</v>
      </c>
      <c r="I1176" t="s">
        <v>58</v>
      </c>
    </row>
    <row r="1177" spans="1:9" x14ac:dyDescent="0.35">
      <c r="A1177" t="s">
        <v>6</v>
      </c>
      <c r="B1177">
        <v>2030</v>
      </c>
      <c r="C1177" t="s">
        <v>57</v>
      </c>
      <c r="D1177" t="s">
        <v>136</v>
      </c>
      <c r="E1177">
        <v>0.474256604569323</v>
      </c>
      <c r="F1177">
        <v>0.474256604569323</v>
      </c>
      <c r="G1177">
        <v>0</v>
      </c>
      <c r="H1177">
        <v>0</v>
      </c>
      <c r="I1177" t="s">
        <v>58</v>
      </c>
    </row>
    <row r="1178" spans="1:9" x14ac:dyDescent="0.35">
      <c r="A1178" t="s">
        <v>6</v>
      </c>
      <c r="B1178">
        <v>2030</v>
      </c>
      <c r="C1178" t="s">
        <v>57</v>
      </c>
      <c r="D1178" t="s">
        <v>45</v>
      </c>
      <c r="E1178">
        <v>1.3362268501950401E-3</v>
      </c>
      <c r="F1178">
        <v>1.3362268501950401E-3</v>
      </c>
      <c r="G1178">
        <v>0</v>
      </c>
      <c r="H1178">
        <v>0</v>
      </c>
      <c r="I1178" t="s">
        <v>58</v>
      </c>
    </row>
    <row r="1179" spans="1:9" x14ac:dyDescent="0.35">
      <c r="A1179" t="s">
        <v>6</v>
      </c>
      <c r="B1179">
        <v>2030</v>
      </c>
      <c r="C1179" t="s">
        <v>57</v>
      </c>
      <c r="D1179" t="s">
        <v>46</v>
      </c>
      <c r="E1179">
        <v>5.6155635523149103E-2</v>
      </c>
      <c r="F1179">
        <v>5.6155635523149103E-2</v>
      </c>
      <c r="G1179">
        <v>0</v>
      </c>
      <c r="H1179">
        <v>0</v>
      </c>
      <c r="I1179" t="s">
        <v>58</v>
      </c>
    </row>
    <row r="1180" spans="1:9" x14ac:dyDescent="0.35">
      <c r="A1180" t="s">
        <v>6</v>
      </c>
      <c r="B1180">
        <v>2030</v>
      </c>
      <c r="C1180" t="s">
        <v>57</v>
      </c>
      <c r="D1180" t="s">
        <v>47</v>
      </c>
      <c r="E1180">
        <v>1.7057294839540301E-3</v>
      </c>
      <c r="F1180">
        <v>1.7057294839540301E-3</v>
      </c>
      <c r="G1180">
        <v>0</v>
      </c>
      <c r="H1180">
        <v>0</v>
      </c>
      <c r="I1180" t="s">
        <v>58</v>
      </c>
    </row>
    <row r="1181" spans="1:9" x14ac:dyDescent="0.35">
      <c r="A1181" t="s">
        <v>6</v>
      </c>
      <c r="B1181">
        <v>2030</v>
      </c>
      <c r="C1181" t="s">
        <v>57</v>
      </c>
      <c r="D1181" t="s">
        <v>48</v>
      </c>
      <c r="E1181">
        <v>5.0242256825292504</v>
      </c>
      <c r="F1181">
        <v>5.0242256825292504</v>
      </c>
      <c r="G1181">
        <v>0</v>
      </c>
      <c r="H1181">
        <v>0</v>
      </c>
      <c r="I1181" t="s">
        <v>58</v>
      </c>
    </row>
    <row r="1182" spans="1:9" x14ac:dyDescent="0.35">
      <c r="A1182" t="s">
        <v>6</v>
      </c>
      <c r="B1182">
        <v>2030</v>
      </c>
      <c r="C1182" t="s">
        <v>57</v>
      </c>
      <c r="D1182" t="s">
        <v>49</v>
      </c>
      <c r="E1182">
        <v>3.03214067481632E-3</v>
      </c>
      <c r="F1182">
        <v>3.03214067481632E-3</v>
      </c>
      <c r="G1182">
        <v>0</v>
      </c>
      <c r="H1182">
        <v>0</v>
      </c>
      <c r="I1182" t="s">
        <v>58</v>
      </c>
    </row>
    <row r="1183" spans="1:9" x14ac:dyDescent="0.35">
      <c r="A1183" t="s">
        <v>6</v>
      </c>
      <c r="B1183">
        <v>2030</v>
      </c>
      <c r="C1183" t="s">
        <v>57</v>
      </c>
      <c r="D1183" t="s">
        <v>50</v>
      </c>
      <c r="E1183">
        <v>1.6243036753554499E-2</v>
      </c>
      <c r="F1183">
        <v>1.6243036753554499E-2</v>
      </c>
      <c r="G1183">
        <v>0</v>
      </c>
      <c r="H1183">
        <v>0</v>
      </c>
      <c r="I1183" t="s">
        <v>58</v>
      </c>
    </row>
    <row r="1184" spans="1:9" x14ac:dyDescent="0.35">
      <c r="A1184" t="s">
        <v>6</v>
      </c>
      <c r="B1184">
        <v>2030</v>
      </c>
      <c r="C1184" t="s">
        <v>57</v>
      </c>
      <c r="D1184" t="s">
        <v>51</v>
      </c>
      <c r="E1184">
        <v>6.5835008482957397E-2</v>
      </c>
      <c r="F1184">
        <v>6.5835008482957397E-2</v>
      </c>
      <c r="G1184">
        <v>0</v>
      </c>
      <c r="H1184">
        <v>0</v>
      </c>
      <c r="I1184" t="s">
        <v>58</v>
      </c>
    </row>
    <row r="1185" spans="1:9" x14ac:dyDescent="0.35">
      <c r="A1185" t="s">
        <v>6</v>
      </c>
      <c r="B1185">
        <v>2030</v>
      </c>
      <c r="C1185" t="s">
        <v>57</v>
      </c>
      <c r="D1185" t="s">
        <v>52</v>
      </c>
      <c r="E1185">
        <v>2.4159386291404801E-2</v>
      </c>
      <c r="F1185">
        <v>2.4159386291404801E-2</v>
      </c>
      <c r="G1185">
        <v>0</v>
      </c>
      <c r="H1185">
        <v>0</v>
      </c>
      <c r="I1185" t="s">
        <v>58</v>
      </c>
    </row>
    <row r="1186" spans="1:9" x14ac:dyDescent="0.35">
      <c r="A1186" t="s">
        <v>6</v>
      </c>
      <c r="B1186">
        <v>2030</v>
      </c>
      <c r="C1186" t="s">
        <v>57</v>
      </c>
      <c r="D1186" t="s">
        <v>53</v>
      </c>
      <c r="E1186">
        <v>0.12053483733338401</v>
      </c>
      <c r="F1186">
        <v>0.12053483733338401</v>
      </c>
      <c r="G1186">
        <v>0</v>
      </c>
      <c r="H1186">
        <v>0</v>
      </c>
      <c r="I1186" t="s">
        <v>58</v>
      </c>
    </row>
    <row r="1187" spans="1:9" x14ac:dyDescent="0.35">
      <c r="A1187" t="s">
        <v>6</v>
      </c>
      <c r="B1187">
        <v>2030</v>
      </c>
      <c r="C1187" t="s">
        <v>57</v>
      </c>
      <c r="D1187" t="s">
        <v>54</v>
      </c>
      <c r="E1187">
        <v>1.1062447305757099</v>
      </c>
      <c r="F1187">
        <v>1.1062447305757099</v>
      </c>
      <c r="G1187">
        <v>0</v>
      </c>
      <c r="H1187">
        <v>0</v>
      </c>
      <c r="I1187" t="s">
        <v>58</v>
      </c>
    </row>
    <row r="1188" spans="1:9" x14ac:dyDescent="0.35">
      <c r="A1188" t="s">
        <v>6</v>
      </c>
      <c r="B1188">
        <v>2030</v>
      </c>
      <c r="C1188" t="s">
        <v>57</v>
      </c>
      <c r="D1188" t="s">
        <v>55</v>
      </c>
      <c r="E1188">
        <v>1.01018940930714</v>
      </c>
      <c r="F1188">
        <v>1.01018940930714</v>
      </c>
      <c r="G1188">
        <v>0</v>
      </c>
      <c r="H1188">
        <v>0</v>
      </c>
      <c r="I1188" t="s">
        <v>58</v>
      </c>
    </row>
    <row r="1189" spans="1:9" x14ac:dyDescent="0.35">
      <c r="A1189" t="s">
        <v>6</v>
      </c>
      <c r="B1189">
        <v>2030</v>
      </c>
      <c r="C1189" t="s">
        <v>57</v>
      </c>
      <c r="D1189" t="s">
        <v>56</v>
      </c>
      <c r="E1189" s="1">
        <v>5.1287557599020301E-8</v>
      </c>
      <c r="F1189" s="1">
        <v>5.1287557599020301E-8</v>
      </c>
      <c r="G1189">
        <v>0</v>
      </c>
      <c r="H1189">
        <v>0</v>
      </c>
      <c r="I1189" t="s">
        <v>58</v>
      </c>
    </row>
    <row r="1190" spans="1:9" x14ac:dyDescent="0.35">
      <c r="A1190" t="s">
        <v>8</v>
      </c>
      <c r="B1190">
        <v>2035</v>
      </c>
      <c r="C1190" t="s">
        <v>57</v>
      </c>
      <c r="D1190" t="s">
        <v>38</v>
      </c>
      <c r="E1190">
        <v>6.7808881707028901E-4</v>
      </c>
      <c r="F1190">
        <v>6.7808881707028901E-4</v>
      </c>
      <c r="G1190">
        <v>0</v>
      </c>
      <c r="H1190">
        <v>0</v>
      </c>
      <c r="I1190" t="s">
        <v>58</v>
      </c>
    </row>
    <row r="1191" spans="1:9" x14ac:dyDescent="0.35">
      <c r="A1191" t="s">
        <v>8</v>
      </c>
      <c r="B1191">
        <v>2035</v>
      </c>
      <c r="C1191" t="s">
        <v>57</v>
      </c>
      <c r="D1191" t="s">
        <v>40</v>
      </c>
      <c r="E1191">
        <v>6.3317962525382895E-4</v>
      </c>
      <c r="F1191">
        <v>6.3317962525382895E-4</v>
      </c>
      <c r="G1191">
        <v>0</v>
      </c>
      <c r="H1191">
        <v>0</v>
      </c>
      <c r="I1191" t="s">
        <v>58</v>
      </c>
    </row>
    <row r="1192" spans="1:9" x14ac:dyDescent="0.35">
      <c r="A1192" t="s">
        <v>8</v>
      </c>
      <c r="B1192">
        <v>2035</v>
      </c>
      <c r="C1192" t="s">
        <v>57</v>
      </c>
      <c r="D1192" t="s">
        <v>41</v>
      </c>
      <c r="E1192">
        <v>3.6852607842603599E-3</v>
      </c>
      <c r="F1192">
        <v>3.6852607842603599E-3</v>
      </c>
      <c r="G1192">
        <v>0</v>
      </c>
      <c r="H1192">
        <v>0</v>
      </c>
      <c r="I1192" t="s">
        <v>58</v>
      </c>
    </row>
    <row r="1193" spans="1:9" x14ac:dyDescent="0.35">
      <c r="A1193" t="s">
        <v>8</v>
      </c>
      <c r="B1193">
        <v>2035</v>
      </c>
      <c r="C1193" t="s">
        <v>57</v>
      </c>
      <c r="D1193" t="s">
        <v>42</v>
      </c>
      <c r="E1193">
        <v>2.50996486076248</v>
      </c>
      <c r="F1193">
        <v>2.50996486076248</v>
      </c>
      <c r="G1193">
        <v>0</v>
      </c>
      <c r="H1193">
        <v>0</v>
      </c>
      <c r="I1193" t="s">
        <v>58</v>
      </c>
    </row>
    <row r="1194" spans="1:9" x14ac:dyDescent="0.35">
      <c r="A1194" t="s">
        <v>8</v>
      </c>
      <c r="B1194">
        <v>2035</v>
      </c>
      <c r="C1194" t="s">
        <v>57</v>
      </c>
      <c r="D1194" t="s">
        <v>43</v>
      </c>
      <c r="E1194">
        <v>1.4544568218649899E-3</v>
      </c>
      <c r="F1194">
        <v>1.4544568218649899E-3</v>
      </c>
      <c r="G1194">
        <v>0</v>
      </c>
      <c r="H1194">
        <v>0</v>
      </c>
      <c r="I1194" t="s">
        <v>58</v>
      </c>
    </row>
    <row r="1195" spans="1:9" x14ac:dyDescent="0.35">
      <c r="A1195" t="s">
        <v>8</v>
      </c>
      <c r="B1195">
        <v>2035</v>
      </c>
      <c r="C1195" t="s">
        <v>57</v>
      </c>
      <c r="D1195" t="s">
        <v>136</v>
      </c>
      <c r="E1195">
        <v>0.46173474790598901</v>
      </c>
      <c r="F1195">
        <v>0.46173474790598901</v>
      </c>
      <c r="G1195">
        <v>0</v>
      </c>
      <c r="H1195">
        <v>0</v>
      </c>
      <c r="I1195" t="s">
        <v>58</v>
      </c>
    </row>
    <row r="1196" spans="1:9" x14ac:dyDescent="0.35">
      <c r="A1196" t="s">
        <v>8</v>
      </c>
      <c r="B1196">
        <v>2035</v>
      </c>
      <c r="C1196" t="s">
        <v>57</v>
      </c>
      <c r="D1196" t="s">
        <v>45</v>
      </c>
      <c r="E1196">
        <v>1.32279271837818E-3</v>
      </c>
      <c r="F1196">
        <v>1.32279271837818E-3</v>
      </c>
      <c r="G1196">
        <v>0</v>
      </c>
      <c r="H1196">
        <v>0</v>
      </c>
      <c r="I1196" t="s">
        <v>58</v>
      </c>
    </row>
    <row r="1197" spans="1:9" x14ac:dyDescent="0.35">
      <c r="A1197" t="s">
        <v>8</v>
      </c>
      <c r="B1197">
        <v>2035</v>
      </c>
      <c r="C1197" t="s">
        <v>57</v>
      </c>
      <c r="D1197" t="s">
        <v>46</v>
      </c>
      <c r="E1197">
        <v>9.5879398228641902E-2</v>
      </c>
      <c r="F1197">
        <v>9.5879398228641902E-2</v>
      </c>
      <c r="G1197">
        <v>0</v>
      </c>
      <c r="H1197">
        <v>0</v>
      </c>
      <c r="I1197" t="s">
        <v>58</v>
      </c>
    </row>
    <row r="1198" spans="1:9" x14ac:dyDescent="0.35">
      <c r="A1198" t="s">
        <v>8</v>
      </c>
      <c r="B1198">
        <v>2035</v>
      </c>
      <c r="C1198" t="s">
        <v>57</v>
      </c>
      <c r="D1198" t="s">
        <v>47</v>
      </c>
      <c r="E1198">
        <v>1.71770190514236E-3</v>
      </c>
      <c r="F1198">
        <v>1.71770190514236E-3</v>
      </c>
      <c r="G1198">
        <v>0</v>
      </c>
      <c r="H1198">
        <v>0</v>
      </c>
      <c r="I1198" t="s">
        <v>58</v>
      </c>
    </row>
    <row r="1199" spans="1:9" x14ac:dyDescent="0.35">
      <c r="A1199" t="s">
        <v>8</v>
      </c>
      <c r="B1199">
        <v>2035</v>
      </c>
      <c r="C1199" t="s">
        <v>57</v>
      </c>
      <c r="D1199" t="s">
        <v>48</v>
      </c>
      <c r="E1199">
        <v>5.0246375214119299</v>
      </c>
      <c r="F1199">
        <v>5.0246375214119299</v>
      </c>
      <c r="G1199">
        <v>0</v>
      </c>
      <c r="H1199">
        <v>0</v>
      </c>
      <c r="I1199" t="s">
        <v>58</v>
      </c>
    </row>
    <row r="1200" spans="1:9" x14ac:dyDescent="0.35">
      <c r="A1200" t="s">
        <v>8</v>
      </c>
      <c r="B1200">
        <v>2035</v>
      </c>
      <c r="C1200" t="s">
        <v>57</v>
      </c>
      <c r="D1200" t="s">
        <v>49</v>
      </c>
      <c r="E1200">
        <v>3.01074426132636E-3</v>
      </c>
      <c r="F1200">
        <v>3.01074426132636E-3</v>
      </c>
      <c r="G1200">
        <v>0</v>
      </c>
      <c r="H1200">
        <v>0</v>
      </c>
      <c r="I1200" t="s">
        <v>58</v>
      </c>
    </row>
    <row r="1201" spans="1:9" x14ac:dyDescent="0.35">
      <c r="A1201" t="s">
        <v>8</v>
      </c>
      <c r="B1201">
        <v>2035</v>
      </c>
      <c r="C1201" t="s">
        <v>57</v>
      </c>
      <c r="D1201" t="s">
        <v>50</v>
      </c>
      <c r="E1201">
        <v>1.6234234172793401E-2</v>
      </c>
      <c r="F1201">
        <v>1.6234234172793401E-2</v>
      </c>
      <c r="G1201">
        <v>0</v>
      </c>
      <c r="H1201">
        <v>0</v>
      </c>
      <c r="I1201" t="s">
        <v>58</v>
      </c>
    </row>
    <row r="1202" spans="1:9" x14ac:dyDescent="0.35">
      <c r="A1202" t="s">
        <v>8</v>
      </c>
      <c r="B1202">
        <v>2035</v>
      </c>
      <c r="C1202" t="s">
        <v>57</v>
      </c>
      <c r="D1202" t="s">
        <v>51</v>
      </c>
      <c r="E1202">
        <v>6.7825408966028095E-2</v>
      </c>
      <c r="F1202">
        <v>6.7825408966028095E-2</v>
      </c>
      <c r="G1202">
        <v>0</v>
      </c>
      <c r="H1202">
        <v>0</v>
      </c>
      <c r="I1202" t="s">
        <v>58</v>
      </c>
    </row>
    <row r="1203" spans="1:9" x14ac:dyDescent="0.35">
      <c r="A1203" t="s">
        <v>8</v>
      </c>
      <c r="B1203">
        <v>2035</v>
      </c>
      <c r="C1203" t="s">
        <v>57</v>
      </c>
      <c r="D1203" t="s">
        <v>52</v>
      </c>
      <c r="E1203">
        <v>2.19831624999129E-2</v>
      </c>
      <c r="F1203">
        <v>2.19831624999129E-2</v>
      </c>
      <c r="G1203">
        <v>0</v>
      </c>
      <c r="H1203">
        <v>0</v>
      </c>
      <c r="I1203" t="s">
        <v>58</v>
      </c>
    </row>
    <row r="1204" spans="1:9" x14ac:dyDescent="0.35">
      <c r="A1204" t="s">
        <v>8</v>
      </c>
      <c r="B1204">
        <v>2035</v>
      </c>
      <c r="C1204" t="s">
        <v>57</v>
      </c>
      <c r="D1204" t="s">
        <v>53</v>
      </c>
      <c r="E1204">
        <v>0.11638707285456899</v>
      </c>
      <c r="F1204">
        <v>0.11638707285456899</v>
      </c>
      <c r="G1204">
        <v>0</v>
      </c>
      <c r="H1204">
        <v>0</v>
      </c>
      <c r="I1204" t="s">
        <v>58</v>
      </c>
    </row>
    <row r="1205" spans="1:9" x14ac:dyDescent="0.35">
      <c r="A1205" t="s">
        <v>8</v>
      </c>
      <c r="B1205">
        <v>2035</v>
      </c>
      <c r="C1205" t="s">
        <v>57</v>
      </c>
      <c r="D1205" t="s">
        <v>54</v>
      </c>
      <c r="E1205">
        <v>1.10664545253334</v>
      </c>
      <c r="F1205">
        <v>1.10664545253334</v>
      </c>
      <c r="G1205">
        <v>0</v>
      </c>
      <c r="H1205">
        <v>0</v>
      </c>
      <c r="I1205" t="s">
        <v>58</v>
      </c>
    </row>
    <row r="1206" spans="1:9" x14ac:dyDescent="0.35">
      <c r="A1206" t="s">
        <v>8</v>
      </c>
      <c r="B1206">
        <v>2035</v>
      </c>
      <c r="C1206" t="s">
        <v>57</v>
      </c>
      <c r="D1206" t="s">
        <v>55</v>
      </c>
      <c r="E1206">
        <v>1.0105643352165601</v>
      </c>
      <c r="F1206">
        <v>1.0105643352165601</v>
      </c>
      <c r="G1206">
        <v>0</v>
      </c>
      <c r="H1206">
        <v>0</v>
      </c>
      <c r="I1206" t="s">
        <v>58</v>
      </c>
    </row>
    <row r="1207" spans="1:9" x14ac:dyDescent="0.35">
      <c r="A1207" t="s">
        <v>8</v>
      </c>
      <c r="B1207">
        <v>2035</v>
      </c>
      <c r="C1207" t="s">
        <v>57</v>
      </c>
      <c r="D1207" t="s">
        <v>56</v>
      </c>
      <c r="E1207" s="1">
        <v>4.7664771968884103E-8</v>
      </c>
      <c r="F1207" s="1">
        <v>4.7664771968884103E-8</v>
      </c>
      <c r="G1207">
        <v>0</v>
      </c>
      <c r="H1207">
        <v>0</v>
      </c>
      <c r="I1207" t="s">
        <v>58</v>
      </c>
    </row>
    <row r="1208" spans="1:9" x14ac:dyDescent="0.35">
      <c r="A1208" t="s">
        <v>10</v>
      </c>
      <c r="B1208">
        <v>2040</v>
      </c>
      <c r="C1208" t="s">
        <v>57</v>
      </c>
      <c r="D1208" t="s">
        <v>38</v>
      </c>
      <c r="E1208">
        <v>6.3051097246370996E-4</v>
      </c>
      <c r="F1208">
        <v>6.3051097246370996E-4</v>
      </c>
      <c r="G1208">
        <v>0</v>
      </c>
      <c r="H1208">
        <v>0</v>
      </c>
      <c r="I1208" t="s">
        <v>58</v>
      </c>
    </row>
    <row r="1209" spans="1:9" x14ac:dyDescent="0.35">
      <c r="A1209" t="s">
        <v>10</v>
      </c>
      <c r="B1209">
        <v>2040</v>
      </c>
      <c r="C1209" t="s">
        <v>57</v>
      </c>
      <c r="D1209" t="s">
        <v>40</v>
      </c>
      <c r="E1209">
        <v>6.5626305026095103E-4</v>
      </c>
      <c r="F1209">
        <v>6.5626305026095103E-4</v>
      </c>
      <c r="G1209">
        <v>0</v>
      </c>
      <c r="H1209">
        <v>0</v>
      </c>
      <c r="I1209" t="s">
        <v>58</v>
      </c>
    </row>
    <row r="1210" spans="1:9" x14ac:dyDescent="0.35">
      <c r="A1210" t="s">
        <v>10</v>
      </c>
      <c r="B1210">
        <v>2040</v>
      </c>
      <c r="C1210" t="s">
        <v>57</v>
      </c>
      <c r="D1210" t="s">
        <v>41</v>
      </c>
      <c r="E1210">
        <v>3.6716928204674E-3</v>
      </c>
      <c r="F1210">
        <v>3.6716928204674E-3</v>
      </c>
      <c r="G1210">
        <v>0</v>
      </c>
      <c r="H1210">
        <v>0</v>
      </c>
      <c r="I1210" t="s">
        <v>58</v>
      </c>
    </row>
    <row r="1211" spans="1:9" x14ac:dyDescent="0.35">
      <c r="A1211" t="s">
        <v>10</v>
      </c>
      <c r="B1211">
        <v>2040</v>
      </c>
      <c r="C1211" t="s">
        <v>57</v>
      </c>
      <c r="D1211" t="s">
        <v>42</v>
      </c>
      <c r="E1211">
        <v>2.5212775789594102</v>
      </c>
      <c r="F1211">
        <v>2.5212775789594102</v>
      </c>
      <c r="G1211">
        <v>0</v>
      </c>
      <c r="H1211">
        <v>0</v>
      </c>
      <c r="I1211" t="s">
        <v>58</v>
      </c>
    </row>
    <row r="1212" spans="1:9" x14ac:dyDescent="0.35">
      <c r="A1212" t="s">
        <v>10</v>
      </c>
      <c r="B1212">
        <v>2040</v>
      </c>
      <c r="C1212" t="s">
        <v>57</v>
      </c>
      <c r="D1212" t="s">
        <v>43</v>
      </c>
      <c r="E1212">
        <v>1.4457838593931001E-3</v>
      </c>
      <c r="F1212">
        <v>1.4457838593931001E-3</v>
      </c>
      <c r="G1212">
        <v>0</v>
      </c>
      <c r="H1212">
        <v>0</v>
      </c>
      <c r="I1212" t="s">
        <v>58</v>
      </c>
    </row>
    <row r="1213" spans="1:9" x14ac:dyDescent="0.35">
      <c r="A1213" t="s">
        <v>10</v>
      </c>
      <c r="B1213">
        <v>2040</v>
      </c>
      <c r="C1213" t="s">
        <v>57</v>
      </c>
      <c r="D1213" t="s">
        <v>136</v>
      </c>
      <c r="E1213">
        <v>0.45107835784518802</v>
      </c>
      <c r="F1213">
        <v>0.45107835784518802</v>
      </c>
      <c r="G1213">
        <v>0</v>
      </c>
      <c r="H1213">
        <v>0</v>
      </c>
      <c r="I1213" t="s">
        <v>58</v>
      </c>
    </row>
    <row r="1214" spans="1:9" x14ac:dyDescent="0.35">
      <c r="A1214" t="s">
        <v>10</v>
      </c>
      <c r="B1214">
        <v>2040</v>
      </c>
      <c r="C1214" t="s">
        <v>57</v>
      </c>
      <c r="D1214" t="s">
        <v>45</v>
      </c>
      <c r="E1214">
        <v>1.3179476008667399E-3</v>
      </c>
      <c r="F1214">
        <v>1.3179476008667399E-3</v>
      </c>
      <c r="G1214">
        <v>0</v>
      </c>
      <c r="H1214">
        <v>0</v>
      </c>
      <c r="I1214" t="s">
        <v>58</v>
      </c>
    </row>
    <row r="1215" spans="1:9" x14ac:dyDescent="0.35">
      <c r="A1215" t="s">
        <v>10</v>
      </c>
      <c r="B1215">
        <v>2040</v>
      </c>
      <c r="C1215" t="s">
        <v>57</v>
      </c>
      <c r="D1215" t="s">
        <v>46</v>
      </c>
      <c r="E1215">
        <v>0.14385570845575901</v>
      </c>
      <c r="F1215">
        <v>0.14385570845575901</v>
      </c>
      <c r="G1215">
        <v>0</v>
      </c>
      <c r="H1215">
        <v>0</v>
      </c>
      <c r="I1215" t="s">
        <v>58</v>
      </c>
    </row>
    <row r="1216" spans="1:9" x14ac:dyDescent="0.35">
      <c r="A1216" t="s">
        <v>10</v>
      </c>
      <c r="B1216">
        <v>2040</v>
      </c>
      <c r="C1216" t="s">
        <v>57</v>
      </c>
      <c r="D1216" t="s">
        <v>47</v>
      </c>
      <c r="E1216">
        <v>1.7349958635298199E-3</v>
      </c>
      <c r="F1216">
        <v>1.7349958635298199E-3</v>
      </c>
      <c r="G1216">
        <v>0</v>
      </c>
      <c r="H1216">
        <v>0</v>
      </c>
      <c r="I1216" t="s">
        <v>58</v>
      </c>
    </row>
    <row r="1217" spans="1:9" x14ac:dyDescent="0.35">
      <c r="A1217" t="s">
        <v>10</v>
      </c>
      <c r="B1217">
        <v>2040</v>
      </c>
      <c r="C1217" t="s">
        <v>57</v>
      </c>
      <c r="D1217" t="s">
        <v>48</v>
      </c>
      <c r="E1217">
        <v>5.0254064962012697</v>
      </c>
      <c r="F1217">
        <v>5.0254064962012697</v>
      </c>
      <c r="G1217">
        <v>0</v>
      </c>
      <c r="H1217">
        <v>0</v>
      </c>
      <c r="I1217" t="s">
        <v>58</v>
      </c>
    </row>
    <row r="1218" spans="1:9" x14ac:dyDescent="0.35">
      <c r="A1218" t="s">
        <v>10</v>
      </c>
      <c r="B1218">
        <v>2040</v>
      </c>
      <c r="C1218" t="s">
        <v>57</v>
      </c>
      <c r="D1218" t="s">
        <v>49</v>
      </c>
      <c r="E1218">
        <v>2.9971417685561701E-3</v>
      </c>
      <c r="F1218">
        <v>2.9971417685561701E-3</v>
      </c>
      <c r="G1218">
        <v>0</v>
      </c>
      <c r="H1218">
        <v>0</v>
      </c>
      <c r="I1218" t="s">
        <v>58</v>
      </c>
    </row>
    <row r="1219" spans="1:9" x14ac:dyDescent="0.35">
      <c r="A1219" t="s">
        <v>10</v>
      </c>
      <c r="B1219">
        <v>2040</v>
      </c>
      <c r="C1219" t="s">
        <v>57</v>
      </c>
      <c r="D1219" t="s">
        <v>50</v>
      </c>
      <c r="E1219">
        <v>1.6081957331630599E-2</v>
      </c>
      <c r="F1219">
        <v>1.6081957331630599E-2</v>
      </c>
      <c r="G1219">
        <v>0</v>
      </c>
      <c r="H1219">
        <v>0</v>
      </c>
      <c r="I1219" t="s">
        <v>58</v>
      </c>
    </row>
    <row r="1220" spans="1:9" x14ac:dyDescent="0.35">
      <c r="A1220" t="s">
        <v>10</v>
      </c>
      <c r="B1220">
        <v>2040</v>
      </c>
      <c r="C1220" t="s">
        <v>57</v>
      </c>
      <c r="D1220" t="s">
        <v>51</v>
      </c>
      <c r="E1220">
        <v>7.0268288286400707E-2</v>
      </c>
      <c r="F1220">
        <v>7.0268288286400707E-2</v>
      </c>
      <c r="G1220">
        <v>0</v>
      </c>
      <c r="H1220">
        <v>0</v>
      </c>
      <c r="I1220" t="s">
        <v>58</v>
      </c>
    </row>
    <row r="1221" spans="1:9" x14ac:dyDescent="0.35">
      <c r="A1221" t="s">
        <v>10</v>
      </c>
      <c r="B1221">
        <v>2040</v>
      </c>
      <c r="C1221" t="s">
        <v>57</v>
      </c>
      <c r="D1221" t="s">
        <v>52</v>
      </c>
      <c r="E1221">
        <v>1.9480393414485101E-2</v>
      </c>
      <c r="F1221">
        <v>1.9480393414485101E-2</v>
      </c>
      <c r="G1221">
        <v>0</v>
      </c>
      <c r="H1221">
        <v>0</v>
      </c>
      <c r="I1221" t="s">
        <v>58</v>
      </c>
    </row>
    <row r="1222" spans="1:9" x14ac:dyDescent="0.35">
      <c r="A1222" t="s">
        <v>10</v>
      </c>
      <c r="B1222">
        <v>2040</v>
      </c>
      <c r="C1222" t="s">
        <v>57</v>
      </c>
      <c r="D1222" t="s">
        <v>53</v>
      </c>
      <c r="E1222">
        <v>0.112557659168388</v>
      </c>
      <c r="F1222">
        <v>0.112557659168388</v>
      </c>
      <c r="G1222">
        <v>0</v>
      </c>
      <c r="H1222">
        <v>0</v>
      </c>
      <c r="I1222" t="s">
        <v>58</v>
      </c>
    </row>
    <row r="1223" spans="1:9" x14ac:dyDescent="0.35">
      <c r="A1223" t="s">
        <v>10</v>
      </c>
      <c r="B1223">
        <v>2040</v>
      </c>
      <c r="C1223" t="s">
        <v>57</v>
      </c>
      <c r="D1223" t="s">
        <v>54</v>
      </c>
      <c r="E1223">
        <v>1.1071548484960401</v>
      </c>
      <c r="F1223">
        <v>1.1071548484960401</v>
      </c>
      <c r="G1223">
        <v>0</v>
      </c>
      <c r="H1223">
        <v>0</v>
      </c>
      <c r="I1223" t="s">
        <v>58</v>
      </c>
    </row>
    <row r="1224" spans="1:9" x14ac:dyDescent="0.35">
      <c r="A1224" t="s">
        <v>10</v>
      </c>
      <c r="B1224">
        <v>2040</v>
      </c>
      <c r="C1224" t="s">
        <v>57</v>
      </c>
      <c r="D1224" t="s">
        <v>55</v>
      </c>
      <c r="E1224">
        <v>1.0110533597728999</v>
      </c>
      <c r="F1224">
        <v>1.0110533597728999</v>
      </c>
      <c r="G1224">
        <v>0</v>
      </c>
      <c r="H1224">
        <v>0</v>
      </c>
      <c r="I1224" t="s">
        <v>58</v>
      </c>
    </row>
    <row r="1225" spans="1:9" x14ac:dyDescent="0.35">
      <c r="A1225" t="s">
        <v>10</v>
      </c>
      <c r="B1225">
        <v>2040</v>
      </c>
      <c r="C1225" t="s">
        <v>57</v>
      </c>
      <c r="D1225" t="s">
        <v>56</v>
      </c>
      <c r="E1225" s="1">
        <v>4.4427309538990702E-8</v>
      </c>
      <c r="F1225" s="1">
        <v>4.4427309538990702E-8</v>
      </c>
      <c r="G1225">
        <v>0</v>
      </c>
      <c r="H1225">
        <v>0</v>
      </c>
      <c r="I1225" t="s">
        <v>58</v>
      </c>
    </row>
    <row r="1226" spans="1:9" x14ac:dyDescent="0.35">
      <c r="A1226" t="s">
        <v>4</v>
      </c>
      <c r="B1226">
        <v>2025</v>
      </c>
      <c r="C1226" t="s">
        <v>59</v>
      </c>
      <c r="D1226" t="s">
        <v>38</v>
      </c>
      <c r="E1226">
        <v>1.1211510862970999E-2</v>
      </c>
      <c r="F1226">
        <v>1.1211510862970999E-2</v>
      </c>
      <c r="G1226">
        <v>0</v>
      </c>
      <c r="H1226">
        <v>0</v>
      </c>
      <c r="I1226" t="s">
        <v>60</v>
      </c>
    </row>
    <row r="1227" spans="1:9" x14ac:dyDescent="0.35">
      <c r="A1227" t="s">
        <v>4</v>
      </c>
      <c r="B1227">
        <v>2025</v>
      </c>
      <c r="C1227" t="s">
        <v>59</v>
      </c>
      <c r="D1227" t="s">
        <v>40</v>
      </c>
      <c r="E1227">
        <v>4.5873993880391796E-3</v>
      </c>
      <c r="F1227">
        <v>4.5873993880391796E-3</v>
      </c>
      <c r="G1227">
        <v>0</v>
      </c>
      <c r="H1227">
        <v>0</v>
      </c>
      <c r="I1227" t="s">
        <v>60</v>
      </c>
    </row>
    <row r="1228" spans="1:9" x14ac:dyDescent="0.35">
      <c r="A1228" t="s">
        <v>4</v>
      </c>
      <c r="B1228">
        <v>2025</v>
      </c>
      <c r="C1228" t="s">
        <v>59</v>
      </c>
      <c r="D1228" t="s">
        <v>41</v>
      </c>
      <c r="E1228">
        <v>2.98221884320829E-2</v>
      </c>
      <c r="F1228">
        <v>2.98221884320829E-2</v>
      </c>
      <c r="G1228">
        <v>0</v>
      </c>
      <c r="H1228">
        <v>0</v>
      </c>
      <c r="I1228" t="s">
        <v>60</v>
      </c>
    </row>
    <row r="1229" spans="1:9" x14ac:dyDescent="0.35">
      <c r="A1229" t="s">
        <v>4</v>
      </c>
      <c r="B1229">
        <v>2025</v>
      </c>
      <c r="C1229" t="s">
        <v>59</v>
      </c>
      <c r="D1229" t="s">
        <v>42</v>
      </c>
      <c r="E1229">
        <v>18.1398973532505</v>
      </c>
      <c r="F1229">
        <v>18.1398973532505</v>
      </c>
      <c r="G1229">
        <v>0</v>
      </c>
      <c r="H1229">
        <v>0</v>
      </c>
      <c r="I1229" t="s">
        <v>60</v>
      </c>
    </row>
    <row r="1230" spans="1:9" x14ac:dyDescent="0.35">
      <c r="A1230" t="s">
        <v>4</v>
      </c>
      <c r="B1230">
        <v>2025</v>
      </c>
      <c r="C1230" t="s">
        <v>59</v>
      </c>
      <c r="D1230" t="s">
        <v>43</v>
      </c>
      <c r="E1230">
        <v>1.2472078695264399E-2</v>
      </c>
      <c r="F1230">
        <v>1.2472078695264399E-2</v>
      </c>
      <c r="G1230">
        <v>0</v>
      </c>
      <c r="H1230">
        <v>0</v>
      </c>
      <c r="I1230" t="s">
        <v>60</v>
      </c>
    </row>
    <row r="1231" spans="1:9" x14ac:dyDescent="0.35">
      <c r="A1231" t="s">
        <v>4</v>
      </c>
      <c r="B1231">
        <v>2025</v>
      </c>
      <c r="C1231" t="s">
        <v>59</v>
      </c>
      <c r="D1231" t="s">
        <v>136</v>
      </c>
      <c r="E1231">
        <v>5.4490955020724199</v>
      </c>
      <c r="F1231">
        <v>5.4490955020724199</v>
      </c>
      <c r="G1231">
        <v>0</v>
      </c>
      <c r="H1231">
        <v>0</v>
      </c>
      <c r="I1231" t="s">
        <v>60</v>
      </c>
    </row>
    <row r="1232" spans="1:9" x14ac:dyDescent="0.35">
      <c r="A1232" t="s">
        <v>4</v>
      </c>
      <c r="B1232">
        <v>2025</v>
      </c>
      <c r="C1232" t="s">
        <v>59</v>
      </c>
      <c r="D1232" t="s">
        <v>45</v>
      </c>
      <c r="E1232">
        <v>1.46102739872152E-2</v>
      </c>
      <c r="F1232">
        <v>1.46102739872152E-2</v>
      </c>
      <c r="G1232">
        <v>0</v>
      </c>
      <c r="H1232">
        <v>0</v>
      </c>
      <c r="I1232" t="s">
        <v>60</v>
      </c>
    </row>
    <row r="1233" spans="1:9" x14ac:dyDescent="0.35">
      <c r="A1233" t="s">
        <v>4</v>
      </c>
      <c r="B1233">
        <v>2025</v>
      </c>
      <c r="C1233" t="s">
        <v>59</v>
      </c>
      <c r="D1233" t="s">
        <v>46</v>
      </c>
      <c r="E1233">
        <v>0.52183287071102102</v>
      </c>
      <c r="F1233">
        <v>0.52183287071102102</v>
      </c>
      <c r="G1233">
        <v>0</v>
      </c>
      <c r="H1233">
        <v>0</v>
      </c>
      <c r="I1233" t="s">
        <v>60</v>
      </c>
    </row>
    <row r="1234" spans="1:9" x14ac:dyDescent="0.35">
      <c r="A1234" t="s">
        <v>4</v>
      </c>
      <c r="B1234">
        <v>2025</v>
      </c>
      <c r="C1234" t="s">
        <v>59</v>
      </c>
      <c r="D1234" t="s">
        <v>47</v>
      </c>
      <c r="E1234">
        <v>1.16897736367397E-2</v>
      </c>
      <c r="F1234">
        <v>1.16897736367397E-2</v>
      </c>
      <c r="G1234">
        <v>0</v>
      </c>
      <c r="H1234">
        <v>0</v>
      </c>
      <c r="I1234" t="s">
        <v>60</v>
      </c>
    </row>
    <row r="1235" spans="1:9" x14ac:dyDescent="0.35">
      <c r="A1235" t="s">
        <v>4</v>
      </c>
      <c r="B1235">
        <v>2025</v>
      </c>
      <c r="C1235" t="s">
        <v>59</v>
      </c>
      <c r="D1235" t="s">
        <v>48</v>
      </c>
      <c r="E1235">
        <v>36.111023017328201</v>
      </c>
      <c r="F1235">
        <v>36.111023017328201</v>
      </c>
      <c r="G1235">
        <v>0</v>
      </c>
      <c r="H1235">
        <v>0</v>
      </c>
      <c r="I1235" t="s">
        <v>60</v>
      </c>
    </row>
    <row r="1236" spans="1:9" x14ac:dyDescent="0.35">
      <c r="A1236" t="s">
        <v>4</v>
      </c>
      <c r="B1236">
        <v>2025</v>
      </c>
      <c r="C1236" t="s">
        <v>59</v>
      </c>
      <c r="D1236" t="s">
        <v>49</v>
      </c>
      <c r="E1236">
        <v>3.1004474765725199E-2</v>
      </c>
      <c r="F1236">
        <v>3.1004474765725199E-2</v>
      </c>
      <c r="G1236">
        <v>0</v>
      </c>
      <c r="H1236">
        <v>0</v>
      </c>
      <c r="I1236" t="s">
        <v>60</v>
      </c>
    </row>
    <row r="1237" spans="1:9" x14ac:dyDescent="0.35">
      <c r="A1237" t="s">
        <v>4</v>
      </c>
      <c r="B1237">
        <v>2025</v>
      </c>
      <c r="C1237" t="s">
        <v>59</v>
      </c>
      <c r="D1237" t="s">
        <v>50</v>
      </c>
      <c r="E1237">
        <v>0.141927243760234</v>
      </c>
      <c r="F1237">
        <v>0.141927243760234</v>
      </c>
      <c r="G1237">
        <v>0</v>
      </c>
      <c r="H1237">
        <v>0</v>
      </c>
      <c r="I1237" t="s">
        <v>60</v>
      </c>
    </row>
    <row r="1238" spans="1:9" x14ac:dyDescent="0.35">
      <c r="A1238" t="s">
        <v>4</v>
      </c>
      <c r="B1238">
        <v>2025</v>
      </c>
      <c r="C1238" t="s">
        <v>59</v>
      </c>
      <c r="D1238" t="s">
        <v>51</v>
      </c>
      <c r="E1238">
        <v>0.49272073398695998</v>
      </c>
      <c r="F1238">
        <v>0.49272073398695998</v>
      </c>
      <c r="G1238">
        <v>0</v>
      </c>
      <c r="H1238">
        <v>0</v>
      </c>
      <c r="I1238" t="s">
        <v>60</v>
      </c>
    </row>
    <row r="1239" spans="1:9" x14ac:dyDescent="0.35">
      <c r="A1239" t="s">
        <v>4</v>
      </c>
      <c r="B1239">
        <v>2025</v>
      </c>
      <c r="C1239" t="s">
        <v>59</v>
      </c>
      <c r="D1239" t="s">
        <v>52</v>
      </c>
      <c r="E1239">
        <v>0.75656011527438305</v>
      </c>
      <c r="F1239">
        <v>0.75656011527438305</v>
      </c>
      <c r="G1239">
        <v>0</v>
      </c>
      <c r="H1239">
        <v>0</v>
      </c>
      <c r="I1239" t="s">
        <v>60</v>
      </c>
    </row>
    <row r="1240" spans="1:9" x14ac:dyDescent="0.35">
      <c r="A1240" t="s">
        <v>4</v>
      </c>
      <c r="B1240">
        <v>2025</v>
      </c>
      <c r="C1240" t="s">
        <v>59</v>
      </c>
      <c r="D1240" t="s">
        <v>53</v>
      </c>
      <c r="E1240">
        <v>1.5942374255201099</v>
      </c>
      <c r="F1240">
        <v>1.5942374255201099</v>
      </c>
      <c r="G1240">
        <v>0</v>
      </c>
      <c r="H1240">
        <v>0</v>
      </c>
      <c r="I1240" t="s">
        <v>60</v>
      </c>
    </row>
    <row r="1241" spans="1:9" x14ac:dyDescent="0.35">
      <c r="A1241" t="s">
        <v>4</v>
      </c>
      <c r="B1241">
        <v>2025</v>
      </c>
      <c r="C1241" t="s">
        <v>59</v>
      </c>
      <c r="D1241" t="s">
        <v>54</v>
      </c>
      <c r="E1241">
        <v>7.2301922757179202</v>
      </c>
      <c r="F1241">
        <v>7.2301922757179202</v>
      </c>
      <c r="G1241">
        <v>0</v>
      </c>
      <c r="H1241">
        <v>0</v>
      </c>
      <c r="I1241" t="s">
        <v>60</v>
      </c>
    </row>
    <row r="1242" spans="1:9" x14ac:dyDescent="0.35">
      <c r="A1242" t="s">
        <v>4</v>
      </c>
      <c r="B1242">
        <v>2025</v>
      </c>
      <c r="C1242" t="s">
        <v>59</v>
      </c>
      <c r="D1242" t="s">
        <v>55</v>
      </c>
      <c r="E1242">
        <v>6.6120916858644296</v>
      </c>
      <c r="F1242">
        <v>6.6120916858644296</v>
      </c>
      <c r="G1242">
        <v>0</v>
      </c>
      <c r="H1242">
        <v>0</v>
      </c>
      <c r="I1242" t="s">
        <v>60</v>
      </c>
    </row>
    <row r="1243" spans="1:9" x14ac:dyDescent="0.35">
      <c r="A1243" t="s">
        <v>4</v>
      </c>
      <c r="B1243">
        <v>2025</v>
      </c>
      <c r="C1243" t="s">
        <v>59</v>
      </c>
      <c r="D1243" t="s">
        <v>56</v>
      </c>
      <c r="E1243" s="1">
        <v>6.8915305358152196E-7</v>
      </c>
      <c r="F1243" s="1">
        <v>6.8915305358152196E-7</v>
      </c>
      <c r="G1243">
        <v>0</v>
      </c>
      <c r="H1243">
        <v>0</v>
      </c>
      <c r="I1243" t="s">
        <v>60</v>
      </c>
    </row>
    <row r="1244" spans="1:9" x14ac:dyDescent="0.35">
      <c r="A1244" t="s">
        <v>6</v>
      </c>
      <c r="B1244">
        <v>2030</v>
      </c>
      <c r="C1244" t="s">
        <v>59</v>
      </c>
      <c r="D1244" t="s">
        <v>38</v>
      </c>
      <c r="E1244">
        <v>1.1180958320198E-2</v>
      </c>
      <c r="F1244">
        <v>1.1180958320198E-2</v>
      </c>
      <c r="G1244">
        <v>0</v>
      </c>
      <c r="H1244">
        <v>0</v>
      </c>
      <c r="I1244" t="s">
        <v>60</v>
      </c>
    </row>
    <row r="1245" spans="1:9" x14ac:dyDescent="0.35">
      <c r="A1245" t="s">
        <v>6</v>
      </c>
      <c r="B1245">
        <v>2030</v>
      </c>
      <c r="C1245" t="s">
        <v>59</v>
      </c>
      <c r="D1245" t="s">
        <v>40</v>
      </c>
      <c r="E1245">
        <v>4.5713621964873098E-3</v>
      </c>
      <c r="F1245">
        <v>4.5713621964873098E-3</v>
      </c>
      <c r="G1245">
        <v>0</v>
      </c>
      <c r="H1245">
        <v>0</v>
      </c>
      <c r="I1245" t="s">
        <v>60</v>
      </c>
    </row>
    <row r="1246" spans="1:9" x14ac:dyDescent="0.35">
      <c r="A1246" t="s">
        <v>6</v>
      </c>
      <c r="B1246">
        <v>2030</v>
      </c>
      <c r="C1246" t="s">
        <v>59</v>
      </c>
      <c r="D1246" t="s">
        <v>41</v>
      </c>
      <c r="E1246">
        <v>3.1113814065943199E-2</v>
      </c>
      <c r="F1246">
        <v>3.1113814065943199E-2</v>
      </c>
      <c r="G1246">
        <v>0</v>
      </c>
      <c r="H1246">
        <v>0</v>
      </c>
      <c r="I1246" t="s">
        <v>60</v>
      </c>
    </row>
    <row r="1247" spans="1:9" x14ac:dyDescent="0.35">
      <c r="A1247" t="s">
        <v>6</v>
      </c>
      <c r="B1247">
        <v>2030</v>
      </c>
      <c r="C1247" t="s">
        <v>59</v>
      </c>
      <c r="D1247" t="s">
        <v>42</v>
      </c>
      <c r="E1247">
        <v>18.0730230371733</v>
      </c>
      <c r="F1247">
        <v>18.0730230371733</v>
      </c>
      <c r="G1247">
        <v>0</v>
      </c>
      <c r="H1247">
        <v>0</v>
      </c>
      <c r="I1247" t="s">
        <v>60</v>
      </c>
    </row>
    <row r="1248" spans="1:9" x14ac:dyDescent="0.35">
      <c r="A1248" t="s">
        <v>6</v>
      </c>
      <c r="B1248">
        <v>2030</v>
      </c>
      <c r="C1248" t="s">
        <v>59</v>
      </c>
      <c r="D1248" t="s">
        <v>43</v>
      </c>
      <c r="E1248">
        <v>1.2996888172921399E-2</v>
      </c>
      <c r="F1248">
        <v>1.2996888172921399E-2</v>
      </c>
      <c r="G1248">
        <v>0</v>
      </c>
      <c r="H1248">
        <v>0</v>
      </c>
      <c r="I1248" t="s">
        <v>60</v>
      </c>
    </row>
    <row r="1249" spans="1:9" x14ac:dyDescent="0.35">
      <c r="A1249" t="s">
        <v>6</v>
      </c>
      <c r="B1249">
        <v>2030</v>
      </c>
      <c r="C1249" t="s">
        <v>59</v>
      </c>
      <c r="D1249" t="s">
        <v>136</v>
      </c>
      <c r="E1249">
        <v>5.1351150901970497</v>
      </c>
      <c r="F1249">
        <v>5.1351150901970497</v>
      </c>
      <c r="G1249">
        <v>0</v>
      </c>
      <c r="H1249">
        <v>0</v>
      </c>
      <c r="I1249" t="s">
        <v>60</v>
      </c>
    </row>
    <row r="1250" spans="1:9" x14ac:dyDescent="0.35">
      <c r="A1250" t="s">
        <v>6</v>
      </c>
      <c r="B1250">
        <v>2030</v>
      </c>
      <c r="C1250" t="s">
        <v>59</v>
      </c>
      <c r="D1250" t="s">
        <v>45</v>
      </c>
      <c r="E1250">
        <v>1.43376663645718E-2</v>
      </c>
      <c r="F1250">
        <v>1.43376663645718E-2</v>
      </c>
      <c r="G1250">
        <v>0</v>
      </c>
      <c r="H1250">
        <v>0</v>
      </c>
      <c r="I1250" t="s">
        <v>60</v>
      </c>
    </row>
    <row r="1251" spans="1:9" x14ac:dyDescent="0.35">
      <c r="A1251" t="s">
        <v>6</v>
      </c>
      <c r="B1251">
        <v>2030</v>
      </c>
      <c r="C1251" t="s">
        <v>59</v>
      </c>
      <c r="D1251" t="s">
        <v>46</v>
      </c>
      <c r="E1251">
        <v>0.65966782539197599</v>
      </c>
      <c r="F1251">
        <v>0.65966782539197599</v>
      </c>
      <c r="G1251">
        <v>0</v>
      </c>
      <c r="H1251">
        <v>0</v>
      </c>
      <c r="I1251" t="s">
        <v>60</v>
      </c>
    </row>
    <row r="1252" spans="1:9" x14ac:dyDescent="0.35">
      <c r="A1252" t="s">
        <v>6</v>
      </c>
      <c r="B1252">
        <v>2030</v>
      </c>
      <c r="C1252" t="s">
        <v>59</v>
      </c>
      <c r="D1252" t="s">
        <v>47</v>
      </c>
      <c r="E1252">
        <v>1.1647212507809399E-2</v>
      </c>
      <c r="F1252">
        <v>1.1647212507809399E-2</v>
      </c>
      <c r="G1252">
        <v>0</v>
      </c>
      <c r="H1252">
        <v>0</v>
      </c>
      <c r="I1252" t="s">
        <v>60</v>
      </c>
    </row>
    <row r="1253" spans="1:9" x14ac:dyDescent="0.35">
      <c r="A1253" t="s">
        <v>6</v>
      </c>
      <c r="B1253">
        <v>2030</v>
      </c>
      <c r="C1253" t="s">
        <v>59</v>
      </c>
      <c r="D1253" t="s">
        <v>48</v>
      </c>
      <c r="E1253">
        <v>36.110635308865803</v>
      </c>
      <c r="F1253">
        <v>36.110635308865803</v>
      </c>
      <c r="G1253">
        <v>0</v>
      </c>
      <c r="H1253">
        <v>0</v>
      </c>
      <c r="I1253" t="s">
        <v>60</v>
      </c>
    </row>
    <row r="1254" spans="1:9" x14ac:dyDescent="0.35">
      <c r="A1254" t="s">
        <v>6</v>
      </c>
      <c r="B1254">
        <v>2030</v>
      </c>
      <c r="C1254" t="s">
        <v>59</v>
      </c>
      <c r="D1254" t="s">
        <v>49</v>
      </c>
      <c r="E1254">
        <v>3.1170906617000501E-2</v>
      </c>
      <c r="F1254">
        <v>3.1170906617000501E-2</v>
      </c>
      <c r="G1254">
        <v>0</v>
      </c>
      <c r="H1254">
        <v>0</v>
      </c>
      <c r="I1254" t="s">
        <v>60</v>
      </c>
    </row>
    <row r="1255" spans="1:9" x14ac:dyDescent="0.35">
      <c r="A1255" t="s">
        <v>6</v>
      </c>
      <c r="B1255">
        <v>2030</v>
      </c>
      <c r="C1255" t="s">
        <v>59</v>
      </c>
      <c r="D1255" t="s">
        <v>50</v>
      </c>
      <c r="E1255">
        <v>0.14091941571929301</v>
      </c>
      <c r="F1255">
        <v>0.14091941571929301</v>
      </c>
      <c r="G1255">
        <v>0</v>
      </c>
      <c r="H1255">
        <v>0</v>
      </c>
      <c r="I1255" t="s">
        <v>60</v>
      </c>
    </row>
    <row r="1256" spans="1:9" x14ac:dyDescent="0.35">
      <c r="A1256" t="s">
        <v>6</v>
      </c>
      <c r="B1256">
        <v>2030</v>
      </c>
      <c r="C1256" t="s">
        <v>59</v>
      </c>
      <c r="D1256" t="s">
        <v>51</v>
      </c>
      <c r="E1256">
        <v>0.49852003640286002</v>
      </c>
      <c r="F1256">
        <v>0.49852003640286002</v>
      </c>
      <c r="G1256">
        <v>0</v>
      </c>
      <c r="H1256">
        <v>0</v>
      </c>
      <c r="I1256" t="s">
        <v>60</v>
      </c>
    </row>
    <row r="1257" spans="1:9" x14ac:dyDescent="0.35">
      <c r="A1257" t="s">
        <v>6</v>
      </c>
      <c r="B1257">
        <v>2030</v>
      </c>
      <c r="C1257" t="s">
        <v>59</v>
      </c>
      <c r="D1257" t="s">
        <v>52</v>
      </c>
      <c r="E1257">
        <v>0.70675585591780199</v>
      </c>
      <c r="F1257">
        <v>0.70675585591780199</v>
      </c>
      <c r="G1257">
        <v>0</v>
      </c>
      <c r="H1257">
        <v>0</v>
      </c>
      <c r="I1257" t="s">
        <v>60</v>
      </c>
    </row>
    <row r="1258" spans="1:9" x14ac:dyDescent="0.35">
      <c r="A1258" t="s">
        <v>6</v>
      </c>
      <c r="B1258">
        <v>2030</v>
      </c>
      <c r="C1258" t="s">
        <v>59</v>
      </c>
      <c r="D1258" t="s">
        <v>53</v>
      </c>
      <c r="E1258">
        <v>1.49598905723183</v>
      </c>
      <c r="F1258">
        <v>1.49598905723183</v>
      </c>
      <c r="G1258">
        <v>0</v>
      </c>
      <c r="H1258">
        <v>0</v>
      </c>
      <c r="I1258" t="s">
        <v>60</v>
      </c>
    </row>
    <row r="1259" spans="1:9" x14ac:dyDescent="0.35">
      <c r="A1259" t="s">
        <v>6</v>
      </c>
      <c r="B1259">
        <v>2030</v>
      </c>
      <c r="C1259" t="s">
        <v>59</v>
      </c>
      <c r="D1259" t="s">
        <v>54</v>
      </c>
      <c r="E1259">
        <v>7.2331521952451903</v>
      </c>
      <c r="F1259">
        <v>7.2331521952451903</v>
      </c>
      <c r="G1259">
        <v>0</v>
      </c>
      <c r="H1259">
        <v>0</v>
      </c>
      <c r="I1259" t="s">
        <v>60</v>
      </c>
    </row>
    <row r="1260" spans="1:9" x14ac:dyDescent="0.35">
      <c r="A1260" t="s">
        <v>6</v>
      </c>
      <c r="B1260">
        <v>2030</v>
      </c>
      <c r="C1260" t="s">
        <v>59</v>
      </c>
      <c r="D1260" t="s">
        <v>55</v>
      </c>
      <c r="E1260">
        <v>6.6141305154363401</v>
      </c>
      <c r="F1260">
        <v>6.6141305154363401</v>
      </c>
      <c r="G1260">
        <v>0</v>
      </c>
      <c r="H1260">
        <v>0</v>
      </c>
      <c r="I1260" t="s">
        <v>60</v>
      </c>
    </row>
    <row r="1261" spans="1:9" x14ac:dyDescent="0.35">
      <c r="A1261" t="s">
        <v>6</v>
      </c>
      <c r="B1261">
        <v>2030</v>
      </c>
      <c r="C1261" t="s">
        <v>59</v>
      </c>
      <c r="D1261" t="s">
        <v>56</v>
      </c>
      <c r="E1261" s="1">
        <v>6.2494158282080299E-7</v>
      </c>
      <c r="F1261" s="1">
        <v>6.2494158282080299E-7</v>
      </c>
      <c r="G1261">
        <v>0</v>
      </c>
      <c r="H1261">
        <v>0</v>
      </c>
      <c r="I1261" t="s">
        <v>60</v>
      </c>
    </row>
    <row r="1262" spans="1:9" x14ac:dyDescent="0.35">
      <c r="A1262" t="s">
        <v>8</v>
      </c>
      <c r="B1262">
        <v>2035</v>
      </c>
      <c r="C1262" t="s">
        <v>59</v>
      </c>
      <c r="D1262" t="s">
        <v>38</v>
      </c>
      <c r="E1262">
        <v>1.09149369292613E-2</v>
      </c>
      <c r="F1262">
        <v>1.09149369292613E-2</v>
      </c>
      <c r="G1262">
        <v>0</v>
      </c>
      <c r="H1262">
        <v>0</v>
      </c>
      <c r="I1262" t="s">
        <v>60</v>
      </c>
    </row>
    <row r="1263" spans="1:9" x14ac:dyDescent="0.35">
      <c r="A1263" t="s">
        <v>8</v>
      </c>
      <c r="B1263">
        <v>2035</v>
      </c>
      <c r="C1263" t="s">
        <v>59</v>
      </c>
      <c r="D1263" t="s">
        <v>40</v>
      </c>
      <c r="E1263">
        <v>4.6413097007317102E-3</v>
      </c>
      <c r="F1263">
        <v>4.6413097007317102E-3</v>
      </c>
      <c r="G1263">
        <v>0</v>
      </c>
      <c r="H1263">
        <v>0</v>
      </c>
      <c r="I1263" t="s">
        <v>60</v>
      </c>
    </row>
    <row r="1264" spans="1:9" x14ac:dyDescent="0.35">
      <c r="A1264" t="s">
        <v>8</v>
      </c>
      <c r="B1264">
        <v>2035</v>
      </c>
      <c r="C1264" t="s">
        <v>59</v>
      </c>
      <c r="D1264" t="s">
        <v>41</v>
      </c>
      <c r="E1264">
        <v>3.0506878578875601E-2</v>
      </c>
      <c r="F1264">
        <v>3.0506878578875601E-2</v>
      </c>
      <c r="G1264">
        <v>0</v>
      </c>
      <c r="H1264">
        <v>0</v>
      </c>
      <c r="I1264" t="s">
        <v>60</v>
      </c>
    </row>
    <row r="1265" spans="1:9" x14ac:dyDescent="0.35">
      <c r="A1265" t="s">
        <v>8</v>
      </c>
      <c r="B1265">
        <v>2035</v>
      </c>
      <c r="C1265" t="s">
        <v>59</v>
      </c>
      <c r="D1265" t="s">
        <v>42</v>
      </c>
      <c r="E1265">
        <v>18.0811996879285</v>
      </c>
      <c r="F1265">
        <v>18.0811996879285</v>
      </c>
      <c r="G1265">
        <v>0</v>
      </c>
      <c r="H1265">
        <v>0</v>
      </c>
      <c r="I1265" t="s">
        <v>60</v>
      </c>
    </row>
    <row r="1266" spans="1:9" x14ac:dyDescent="0.35">
      <c r="A1266" t="s">
        <v>8</v>
      </c>
      <c r="B1266">
        <v>2035</v>
      </c>
      <c r="C1266" t="s">
        <v>59</v>
      </c>
      <c r="D1266" t="s">
        <v>43</v>
      </c>
      <c r="E1266">
        <v>1.2749615386943299E-2</v>
      </c>
      <c r="F1266">
        <v>1.2749615386943299E-2</v>
      </c>
      <c r="G1266">
        <v>0</v>
      </c>
      <c r="H1266">
        <v>0</v>
      </c>
      <c r="I1266" t="s">
        <v>60</v>
      </c>
    </row>
    <row r="1267" spans="1:9" x14ac:dyDescent="0.35">
      <c r="A1267" t="s">
        <v>8</v>
      </c>
      <c r="B1267">
        <v>2035</v>
      </c>
      <c r="C1267" t="s">
        <v>59</v>
      </c>
      <c r="D1267" t="s">
        <v>136</v>
      </c>
      <c r="E1267">
        <v>4.8862497917060699</v>
      </c>
      <c r="F1267">
        <v>4.8862497917060699</v>
      </c>
      <c r="G1267">
        <v>0</v>
      </c>
      <c r="H1267">
        <v>0</v>
      </c>
      <c r="I1267" t="s">
        <v>60</v>
      </c>
    </row>
    <row r="1268" spans="1:9" x14ac:dyDescent="0.35">
      <c r="A1268" t="s">
        <v>8</v>
      </c>
      <c r="B1268">
        <v>2035</v>
      </c>
      <c r="C1268" t="s">
        <v>59</v>
      </c>
      <c r="D1268" t="s">
        <v>45</v>
      </c>
      <c r="E1268">
        <v>1.3818097485483599E-2</v>
      </c>
      <c r="F1268">
        <v>1.3818097485483599E-2</v>
      </c>
      <c r="G1268">
        <v>0</v>
      </c>
      <c r="H1268">
        <v>0</v>
      </c>
      <c r="I1268" t="s">
        <v>60</v>
      </c>
    </row>
    <row r="1269" spans="1:9" x14ac:dyDescent="0.35">
      <c r="A1269" t="s">
        <v>8</v>
      </c>
      <c r="B1269">
        <v>2035</v>
      </c>
      <c r="C1269" t="s">
        <v>59</v>
      </c>
      <c r="D1269" t="s">
        <v>46</v>
      </c>
      <c r="E1269">
        <v>0.95533323661627201</v>
      </c>
      <c r="F1269">
        <v>0.95533323661627201</v>
      </c>
      <c r="G1269">
        <v>0</v>
      </c>
      <c r="H1269">
        <v>0</v>
      </c>
      <c r="I1269" t="s">
        <v>60</v>
      </c>
    </row>
    <row r="1270" spans="1:9" x14ac:dyDescent="0.35">
      <c r="A1270" t="s">
        <v>8</v>
      </c>
      <c r="B1270">
        <v>2035</v>
      </c>
      <c r="C1270" t="s">
        <v>59</v>
      </c>
      <c r="D1270" t="s">
        <v>47</v>
      </c>
      <c r="E1270">
        <v>1.1663996488296999E-2</v>
      </c>
      <c r="F1270">
        <v>1.1663996488296999E-2</v>
      </c>
      <c r="G1270">
        <v>0</v>
      </c>
      <c r="H1270">
        <v>0</v>
      </c>
      <c r="I1270" t="s">
        <v>60</v>
      </c>
    </row>
    <row r="1271" spans="1:9" x14ac:dyDescent="0.35">
      <c r="A1271" t="s">
        <v>8</v>
      </c>
      <c r="B1271">
        <v>2035</v>
      </c>
      <c r="C1271" t="s">
        <v>59</v>
      </c>
      <c r="D1271" t="s">
        <v>48</v>
      </c>
      <c r="E1271">
        <v>36.117246387955703</v>
      </c>
      <c r="F1271">
        <v>36.117246387955703</v>
      </c>
      <c r="G1271">
        <v>0</v>
      </c>
      <c r="H1271">
        <v>0</v>
      </c>
      <c r="I1271" t="s">
        <v>60</v>
      </c>
    </row>
    <row r="1272" spans="1:9" x14ac:dyDescent="0.35">
      <c r="A1272" t="s">
        <v>8</v>
      </c>
      <c r="B1272">
        <v>2035</v>
      </c>
      <c r="C1272" t="s">
        <v>59</v>
      </c>
      <c r="D1272" t="s">
        <v>49</v>
      </c>
      <c r="E1272">
        <v>3.0406943478372198E-2</v>
      </c>
      <c r="F1272">
        <v>3.0406943478372198E-2</v>
      </c>
      <c r="G1272">
        <v>0</v>
      </c>
      <c r="H1272">
        <v>0</v>
      </c>
      <c r="I1272" t="s">
        <v>60</v>
      </c>
    </row>
    <row r="1273" spans="1:9" x14ac:dyDescent="0.35">
      <c r="A1273" t="s">
        <v>8</v>
      </c>
      <c r="B1273">
        <v>2035</v>
      </c>
      <c r="C1273" t="s">
        <v>59</v>
      </c>
      <c r="D1273" t="s">
        <v>50</v>
      </c>
      <c r="E1273">
        <v>0.139104520770122</v>
      </c>
      <c r="F1273">
        <v>0.139104520770122</v>
      </c>
      <c r="G1273">
        <v>0</v>
      </c>
      <c r="H1273">
        <v>0</v>
      </c>
      <c r="I1273" t="s">
        <v>60</v>
      </c>
    </row>
    <row r="1274" spans="1:9" x14ac:dyDescent="0.35">
      <c r="A1274" t="s">
        <v>8</v>
      </c>
      <c r="B1274">
        <v>2035</v>
      </c>
      <c r="C1274" t="s">
        <v>59</v>
      </c>
      <c r="D1274" t="s">
        <v>51</v>
      </c>
      <c r="E1274">
        <v>0.51254762464980397</v>
      </c>
      <c r="F1274">
        <v>0.51254762464980397</v>
      </c>
      <c r="G1274">
        <v>0</v>
      </c>
      <c r="H1274">
        <v>0</v>
      </c>
      <c r="I1274" t="s">
        <v>60</v>
      </c>
    </row>
    <row r="1275" spans="1:9" x14ac:dyDescent="0.35">
      <c r="A1275" t="s">
        <v>8</v>
      </c>
      <c r="B1275">
        <v>2035</v>
      </c>
      <c r="C1275" t="s">
        <v>59</v>
      </c>
      <c r="D1275" t="s">
        <v>52</v>
      </c>
      <c r="E1275">
        <v>0.65651478617350001</v>
      </c>
      <c r="F1275">
        <v>0.65651478617350001</v>
      </c>
      <c r="G1275">
        <v>0</v>
      </c>
      <c r="H1275">
        <v>0</v>
      </c>
      <c r="I1275" t="s">
        <v>60</v>
      </c>
    </row>
    <row r="1276" spans="1:9" x14ac:dyDescent="0.35">
      <c r="A1276" t="s">
        <v>8</v>
      </c>
      <c r="B1276">
        <v>2035</v>
      </c>
      <c r="C1276" t="s">
        <v>59</v>
      </c>
      <c r="D1276" t="s">
        <v>53</v>
      </c>
      <c r="E1276">
        <v>1.4173135205429701</v>
      </c>
      <c r="F1276">
        <v>1.4173135205429701</v>
      </c>
      <c r="G1276">
        <v>0</v>
      </c>
      <c r="H1276">
        <v>0</v>
      </c>
      <c r="I1276" t="s">
        <v>60</v>
      </c>
    </row>
    <row r="1277" spans="1:9" x14ac:dyDescent="0.35">
      <c r="A1277" t="s">
        <v>8</v>
      </c>
      <c r="B1277">
        <v>2035</v>
      </c>
      <c r="C1277" t="s">
        <v>59</v>
      </c>
      <c r="D1277" t="s">
        <v>54</v>
      </c>
      <c r="E1277">
        <v>7.2375116749003796</v>
      </c>
      <c r="F1277">
        <v>7.2375116749003796</v>
      </c>
      <c r="G1277">
        <v>0</v>
      </c>
      <c r="H1277">
        <v>0</v>
      </c>
      <c r="I1277" t="s">
        <v>60</v>
      </c>
    </row>
    <row r="1278" spans="1:9" x14ac:dyDescent="0.35">
      <c r="A1278" t="s">
        <v>8</v>
      </c>
      <c r="B1278">
        <v>2035</v>
      </c>
      <c r="C1278" t="s">
        <v>59</v>
      </c>
      <c r="D1278" t="s">
        <v>55</v>
      </c>
      <c r="E1278">
        <v>6.6180524293542797</v>
      </c>
      <c r="F1278">
        <v>6.6180524293542797</v>
      </c>
      <c r="G1278">
        <v>0</v>
      </c>
      <c r="H1278">
        <v>0</v>
      </c>
      <c r="I1278" t="s">
        <v>60</v>
      </c>
    </row>
    <row r="1279" spans="1:9" x14ac:dyDescent="0.35">
      <c r="A1279" t="s">
        <v>8</v>
      </c>
      <c r="B1279">
        <v>2035</v>
      </c>
      <c r="C1279" t="s">
        <v>59</v>
      </c>
      <c r="D1279" t="s">
        <v>56</v>
      </c>
      <c r="E1279" s="1">
        <v>5.8305034046636103E-7</v>
      </c>
      <c r="F1279" s="1">
        <v>5.8305034046636103E-7</v>
      </c>
      <c r="G1279">
        <v>0</v>
      </c>
      <c r="H1279">
        <v>0</v>
      </c>
      <c r="I1279" t="s">
        <v>60</v>
      </c>
    </row>
    <row r="1280" spans="1:9" x14ac:dyDescent="0.35">
      <c r="A1280" t="s">
        <v>10</v>
      </c>
      <c r="B1280">
        <v>2040</v>
      </c>
      <c r="C1280" t="s">
        <v>59</v>
      </c>
      <c r="D1280" t="s">
        <v>38</v>
      </c>
      <c r="E1280">
        <v>9.7750390146932407E-3</v>
      </c>
      <c r="F1280">
        <v>9.7750390146932407E-3</v>
      </c>
      <c r="G1280">
        <v>0</v>
      </c>
      <c r="H1280">
        <v>0</v>
      </c>
      <c r="I1280" t="s">
        <v>60</v>
      </c>
    </row>
    <row r="1281" spans="1:9" x14ac:dyDescent="0.35">
      <c r="A1281" t="s">
        <v>10</v>
      </c>
      <c r="B1281">
        <v>2040</v>
      </c>
      <c r="C1281" t="s">
        <v>59</v>
      </c>
      <c r="D1281" t="s">
        <v>40</v>
      </c>
      <c r="E1281">
        <v>4.7502996639399997E-3</v>
      </c>
      <c r="F1281">
        <v>4.7502996639399997E-3</v>
      </c>
      <c r="G1281">
        <v>0</v>
      </c>
      <c r="H1281">
        <v>0</v>
      </c>
      <c r="I1281" t="s">
        <v>60</v>
      </c>
    </row>
    <row r="1282" spans="1:9" x14ac:dyDescent="0.35">
      <c r="A1282" t="s">
        <v>10</v>
      </c>
      <c r="B1282">
        <v>2040</v>
      </c>
      <c r="C1282" t="s">
        <v>59</v>
      </c>
      <c r="D1282" t="s">
        <v>41</v>
      </c>
      <c r="E1282">
        <v>3.01312219953444E-2</v>
      </c>
      <c r="F1282">
        <v>3.01312219953444E-2</v>
      </c>
      <c r="G1282">
        <v>0</v>
      </c>
      <c r="H1282">
        <v>0</v>
      </c>
      <c r="I1282" t="s">
        <v>60</v>
      </c>
    </row>
    <row r="1283" spans="1:9" x14ac:dyDescent="0.35">
      <c r="A1283" t="s">
        <v>10</v>
      </c>
      <c r="B1283">
        <v>2040</v>
      </c>
      <c r="C1283" t="s">
        <v>59</v>
      </c>
      <c r="D1283" t="s">
        <v>42</v>
      </c>
      <c r="E1283">
        <v>18.139609178939999</v>
      </c>
      <c r="F1283">
        <v>18.139609178939999</v>
      </c>
      <c r="G1283">
        <v>0</v>
      </c>
      <c r="H1283">
        <v>0</v>
      </c>
      <c r="I1283" t="s">
        <v>60</v>
      </c>
    </row>
    <row r="1284" spans="1:9" x14ac:dyDescent="0.35">
      <c r="A1284" t="s">
        <v>10</v>
      </c>
      <c r="B1284">
        <v>2040</v>
      </c>
      <c r="C1284" t="s">
        <v>59</v>
      </c>
      <c r="D1284" t="s">
        <v>43</v>
      </c>
      <c r="E1284">
        <v>1.2409298214713E-2</v>
      </c>
      <c r="F1284">
        <v>1.2409298214713E-2</v>
      </c>
      <c r="G1284">
        <v>0</v>
      </c>
      <c r="H1284">
        <v>0</v>
      </c>
      <c r="I1284" t="s">
        <v>60</v>
      </c>
    </row>
    <row r="1285" spans="1:9" x14ac:dyDescent="0.35">
      <c r="A1285" t="s">
        <v>10</v>
      </c>
      <c r="B1285">
        <v>2040</v>
      </c>
      <c r="C1285" t="s">
        <v>59</v>
      </c>
      <c r="D1285" t="s">
        <v>136</v>
      </c>
      <c r="E1285">
        <v>4.6954226814892603</v>
      </c>
      <c r="F1285">
        <v>4.6954226814892603</v>
      </c>
      <c r="G1285">
        <v>0</v>
      </c>
      <c r="H1285">
        <v>0</v>
      </c>
      <c r="I1285" t="s">
        <v>60</v>
      </c>
    </row>
    <row r="1286" spans="1:9" x14ac:dyDescent="0.35">
      <c r="A1286" t="s">
        <v>10</v>
      </c>
      <c r="B1286">
        <v>2040</v>
      </c>
      <c r="C1286" t="s">
        <v>59</v>
      </c>
      <c r="D1286" t="s">
        <v>45</v>
      </c>
      <c r="E1286">
        <v>1.35259053419626E-2</v>
      </c>
      <c r="F1286">
        <v>1.35259053419626E-2</v>
      </c>
      <c r="G1286">
        <v>0</v>
      </c>
      <c r="H1286">
        <v>0</v>
      </c>
      <c r="I1286" t="s">
        <v>60</v>
      </c>
    </row>
    <row r="1287" spans="1:9" x14ac:dyDescent="0.35">
      <c r="A1287" t="s">
        <v>10</v>
      </c>
      <c r="B1287">
        <v>2040</v>
      </c>
      <c r="C1287" t="s">
        <v>59</v>
      </c>
      <c r="D1287" t="s">
        <v>46</v>
      </c>
      <c r="E1287">
        <v>1.31183444013356</v>
      </c>
      <c r="F1287">
        <v>1.31183444013356</v>
      </c>
      <c r="G1287">
        <v>0</v>
      </c>
      <c r="H1287">
        <v>0</v>
      </c>
      <c r="I1287" t="s">
        <v>60</v>
      </c>
    </row>
    <row r="1288" spans="1:9" x14ac:dyDescent="0.35">
      <c r="A1288" t="s">
        <v>10</v>
      </c>
      <c r="B1288">
        <v>2040</v>
      </c>
      <c r="C1288" t="s">
        <v>59</v>
      </c>
      <c r="D1288" t="s">
        <v>47</v>
      </c>
      <c r="E1288">
        <v>1.1746836818312E-2</v>
      </c>
      <c r="F1288">
        <v>1.1746836818312E-2</v>
      </c>
      <c r="G1288">
        <v>0</v>
      </c>
      <c r="H1288">
        <v>0</v>
      </c>
      <c r="I1288" t="s">
        <v>60</v>
      </c>
    </row>
    <row r="1289" spans="1:9" x14ac:dyDescent="0.35">
      <c r="A1289" t="s">
        <v>10</v>
      </c>
      <c r="B1289">
        <v>2040</v>
      </c>
      <c r="C1289" t="s">
        <v>59</v>
      </c>
      <c r="D1289" t="s">
        <v>48</v>
      </c>
      <c r="E1289">
        <v>36.131284600328897</v>
      </c>
      <c r="F1289">
        <v>36.131284600328897</v>
      </c>
      <c r="G1289">
        <v>0</v>
      </c>
      <c r="H1289">
        <v>0</v>
      </c>
      <c r="I1289" t="s">
        <v>60</v>
      </c>
    </row>
    <row r="1290" spans="1:9" x14ac:dyDescent="0.35">
      <c r="A1290" t="s">
        <v>10</v>
      </c>
      <c r="B1290">
        <v>2040</v>
      </c>
      <c r="C1290" t="s">
        <v>59</v>
      </c>
      <c r="D1290" t="s">
        <v>49</v>
      </c>
      <c r="E1290">
        <v>2.9881748571394501E-2</v>
      </c>
      <c r="F1290">
        <v>2.9881748571394501E-2</v>
      </c>
      <c r="G1290">
        <v>0</v>
      </c>
      <c r="H1290">
        <v>0</v>
      </c>
      <c r="I1290" t="s">
        <v>60</v>
      </c>
    </row>
    <row r="1291" spans="1:9" x14ac:dyDescent="0.35">
      <c r="A1291" t="s">
        <v>10</v>
      </c>
      <c r="B1291">
        <v>2040</v>
      </c>
      <c r="C1291" t="s">
        <v>59</v>
      </c>
      <c r="D1291" t="s">
        <v>50</v>
      </c>
      <c r="E1291">
        <v>0.13467319046371001</v>
      </c>
      <c r="F1291">
        <v>0.13467319046371001</v>
      </c>
      <c r="G1291">
        <v>0</v>
      </c>
      <c r="H1291">
        <v>0</v>
      </c>
      <c r="I1291" t="s">
        <v>60</v>
      </c>
    </row>
    <row r="1292" spans="1:9" x14ac:dyDescent="0.35">
      <c r="A1292" t="s">
        <v>10</v>
      </c>
      <c r="B1292">
        <v>2040</v>
      </c>
      <c r="C1292" t="s">
        <v>59</v>
      </c>
      <c r="D1292" t="s">
        <v>51</v>
      </c>
      <c r="E1292">
        <v>0.53004402918918303</v>
      </c>
      <c r="F1292">
        <v>0.53004402918918303</v>
      </c>
      <c r="G1292">
        <v>0</v>
      </c>
      <c r="H1292">
        <v>0</v>
      </c>
      <c r="I1292" t="s">
        <v>60</v>
      </c>
    </row>
    <row r="1293" spans="1:9" x14ac:dyDescent="0.35">
      <c r="A1293" t="s">
        <v>10</v>
      </c>
      <c r="B1293">
        <v>2040</v>
      </c>
      <c r="C1293" t="s">
        <v>59</v>
      </c>
      <c r="D1293" t="s">
        <v>52</v>
      </c>
      <c r="E1293">
        <v>0.61008282002424397</v>
      </c>
      <c r="F1293">
        <v>0.61008282002424397</v>
      </c>
      <c r="G1293">
        <v>0</v>
      </c>
      <c r="H1293">
        <v>0</v>
      </c>
      <c r="I1293" t="s">
        <v>60</v>
      </c>
    </row>
    <row r="1294" spans="1:9" x14ac:dyDescent="0.35">
      <c r="A1294" t="s">
        <v>10</v>
      </c>
      <c r="B1294">
        <v>2040</v>
      </c>
      <c r="C1294" t="s">
        <v>59</v>
      </c>
      <c r="D1294" t="s">
        <v>53</v>
      </c>
      <c r="E1294">
        <v>1.3527950650412801</v>
      </c>
      <c r="F1294">
        <v>1.3527950650412801</v>
      </c>
      <c r="G1294">
        <v>0</v>
      </c>
      <c r="H1294">
        <v>0</v>
      </c>
      <c r="I1294" t="s">
        <v>60</v>
      </c>
    </row>
    <row r="1295" spans="1:9" x14ac:dyDescent="0.35">
      <c r="A1295" t="s">
        <v>10</v>
      </c>
      <c r="B1295">
        <v>2040</v>
      </c>
      <c r="C1295" t="s">
        <v>59</v>
      </c>
      <c r="D1295" t="s">
        <v>54</v>
      </c>
      <c r="E1295">
        <v>7.2433074766832402</v>
      </c>
      <c r="F1295">
        <v>7.2433074766832402</v>
      </c>
      <c r="G1295">
        <v>0</v>
      </c>
      <c r="H1295">
        <v>0</v>
      </c>
      <c r="I1295" t="s">
        <v>60</v>
      </c>
    </row>
    <row r="1296" spans="1:9" x14ac:dyDescent="0.35">
      <c r="A1296" t="s">
        <v>10</v>
      </c>
      <c r="B1296">
        <v>2040</v>
      </c>
      <c r="C1296" t="s">
        <v>59</v>
      </c>
      <c r="D1296" t="s">
        <v>55</v>
      </c>
      <c r="E1296">
        <v>6.6235108807754397</v>
      </c>
      <c r="F1296">
        <v>6.6235108807754397</v>
      </c>
      <c r="G1296">
        <v>0</v>
      </c>
      <c r="H1296">
        <v>0</v>
      </c>
      <c r="I1296" t="s">
        <v>60</v>
      </c>
    </row>
    <row r="1297" spans="1:9" x14ac:dyDescent="0.35">
      <c r="A1297" t="s">
        <v>10</v>
      </c>
      <c r="B1297">
        <v>2040</v>
      </c>
      <c r="C1297" t="s">
        <v>59</v>
      </c>
      <c r="D1297" t="s">
        <v>56</v>
      </c>
      <c r="E1297" s="1">
        <v>5.5553389074337997E-7</v>
      </c>
      <c r="F1297" s="1">
        <v>5.5553389074337997E-7</v>
      </c>
      <c r="G1297">
        <v>0</v>
      </c>
      <c r="H1297">
        <v>0</v>
      </c>
      <c r="I1297" t="s">
        <v>60</v>
      </c>
    </row>
    <row r="1298" spans="1:9" x14ac:dyDescent="0.35">
      <c r="A1298" t="s">
        <v>4</v>
      </c>
      <c r="B1298">
        <v>2025</v>
      </c>
      <c r="C1298" t="s">
        <v>63</v>
      </c>
      <c r="D1298" t="s">
        <v>38</v>
      </c>
      <c r="E1298">
        <v>4.1167380599137502E-3</v>
      </c>
      <c r="F1298">
        <v>4.1167380599137502E-3</v>
      </c>
      <c r="G1298">
        <v>0</v>
      </c>
      <c r="H1298">
        <v>0</v>
      </c>
      <c r="I1298" t="s">
        <v>64</v>
      </c>
    </row>
    <row r="1299" spans="1:9" x14ac:dyDescent="0.35">
      <c r="A1299" t="s">
        <v>4</v>
      </c>
      <c r="B1299">
        <v>2025</v>
      </c>
      <c r="C1299" t="s">
        <v>63</v>
      </c>
      <c r="D1299" t="s">
        <v>40</v>
      </c>
      <c r="E1299">
        <v>5.6090756538087301E-4</v>
      </c>
      <c r="F1299">
        <v>5.6090756538087301E-4</v>
      </c>
      <c r="G1299">
        <v>0</v>
      </c>
      <c r="H1299">
        <v>0</v>
      </c>
      <c r="I1299" t="s">
        <v>64</v>
      </c>
    </row>
    <row r="1300" spans="1:9" x14ac:dyDescent="0.35">
      <c r="A1300" t="s">
        <v>4</v>
      </c>
      <c r="B1300">
        <v>2025</v>
      </c>
      <c r="C1300" t="s">
        <v>63</v>
      </c>
      <c r="D1300" t="s">
        <v>41</v>
      </c>
      <c r="E1300">
        <v>4.93218426630851E-3</v>
      </c>
      <c r="F1300">
        <v>4.93218426630851E-3</v>
      </c>
      <c r="G1300">
        <v>0</v>
      </c>
      <c r="H1300">
        <v>0</v>
      </c>
      <c r="I1300" t="s">
        <v>64</v>
      </c>
    </row>
    <row r="1301" spans="1:9" x14ac:dyDescent="0.35">
      <c r="A1301" t="s">
        <v>4</v>
      </c>
      <c r="B1301">
        <v>2025</v>
      </c>
      <c r="C1301" t="s">
        <v>63</v>
      </c>
      <c r="D1301" t="s">
        <v>42</v>
      </c>
      <c r="E1301">
        <v>3.2320868661360298</v>
      </c>
      <c r="F1301">
        <v>3.2320868661360298</v>
      </c>
      <c r="G1301">
        <v>0</v>
      </c>
      <c r="H1301">
        <v>0</v>
      </c>
      <c r="I1301" t="s">
        <v>64</v>
      </c>
    </row>
    <row r="1302" spans="1:9" x14ac:dyDescent="0.35">
      <c r="A1302" t="s">
        <v>4</v>
      </c>
      <c r="B1302">
        <v>2025</v>
      </c>
      <c r="C1302" t="s">
        <v>63</v>
      </c>
      <c r="D1302" t="s">
        <v>43</v>
      </c>
      <c r="E1302">
        <v>1.57303409301752E-3</v>
      </c>
      <c r="F1302">
        <v>1.57303409301752E-3</v>
      </c>
      <c r="G1302">
        <v>0</v>
      </c>
      <c r="H1302">
        <v>0</v>
      </c>
      <c r="I1302" t="s">
        <v>64</v>
      </c>
    </row>
    <row r="1303" spans="1:9" x14ac:dyDescent="0.35">
      <c r="A1303" t="s">
        <v>4</v>
      </c>
      <c r="B1303">
        <v>2025</v>
      </c>
      <c r="C1303" t="s">
        <v>63</v>
      </c>
      <c r="D1303" t="s">
        <v>136</v>
      </c>
      <c r="E1303">
        <v>0.89284610807653397</v>
      </c>
      <c r="F1303">
        <v>0.89284610807653397</v>
      </c>
      <c r="G1303">
        <v>0</v>
      </c>
      <c r="H1303">
        <v>0</v>
      </c>
      <c r="I1303" t="s">
        <v>64</v>
      </c>
    </row>
    <row r="1304" spans="1:9" x14ac:dyDescent="0.35">
      <c r="A1304" t="s">
        <v>4</v>
      </c>
      <c r="B1304">
        <v>2025</v>
      </c>
      <c r="C1304" t="s">
        <v>63</v>
      </c>
      <c r="D1304" t="s">
        <v>45</v>
      </c>
      <c r="E1304">
        <v>1.9097646671760501E-3</v>
      </c>
      <c r="F1304">
        <v>1.9097646671760501E-3</v>
      </c>
      <c r="G1304">
        <v>0</v>
      </c>
      <c r="H1304">
        <v>0</v>
      </c>
      <c r="I1304" t="s">
        <v>64</v>
      </c>
    </row>
    <row r="1305" spans="1:9" x14ac:dyDescent="0.35">
      <c r="A1305" t="s">
        <v>4</v>
      </c>
      <c r="B1305">
        <v>2025</v>
      </c>
      <c r="C1305" t="s">
        <v>63</v>
      </c>
      <c r="D1305" t="s">
        <v>46</v>
      </c>
      <c r="E1305">
        <v>1.6694351371331899E-2</v>
      </c>
      <c r="F1305">
        <v>1.6694351371331899E-2</v>
      </c>
      <c r="G1305">
        <v>0</v>
      </c>
      <c r="H1305">
        <v>0</v>
      </c>
      <c r="I1305" t="s">
        <v>64</v>
      </c>
    </row>
    <row r="1306" spans="1:9" x14ac:dyDescent="0.35">
      <c r="A1306" t="s">
        <v>4</v>
      </c>
      <c r="B1306">
        <v>2025</v>
      </c>
      <c r="C1306" t="s">
        <v>63</v>
      </c>
      <c r="D1306" t="s">
        <v>47</v>
      </c>
      <c r="E1306">
        <v>2.2763450007231602E-3</v>
      </c>
      <c r="F1306">
        <v>2.2763450007231602E-3</v>
      </c>
      <c r="G1306">
        <v>0</v>
      </c>
      <c r="H1306">
        <v>0</v>
      </c>
      <c r="I1306" t="s">
        <v>64</v>
      </c>
    </row>
    <row r="1307" spans="1:9" x14ac:dyDescent="0.35">
      <c r="A1307" t="s">
        <v>4</v>
      </c>
      <c r="B1307">
        <v>2025</v>
      </c>
      <c r="C1307" t="s">
        <v>63</v>
      </c>
      <c r="D1307" t="s">
        <v>48</v>
      </c>
      <c r="E1307">
        <v>1.0263141215493701</v>
      </c>
      <c r="F1307">
        <v>1.0263141215493701</v>
      </c>
      <c r="G1307">
        <v>0</v>
      </c>
      <c r="H1307">
        <v>0</v>
      </c>
      <c r="I1307" t="s">
        <v>64</v>
      </c>
    </row>
    <row r="1308" spans="1:9" x14ac:dyDescent="0.35">
      <c r="A1308" t="s">
        <v>4</v>
      </c>
      <c r="B1308">
        <v>2025</v>
      </c>
      <c r="C1308" t="s">
        <v>63</v>
      </c>
      <c r="D1308" t="s">
        <v>49</v>
      </c>
      <c r="E1308">
        <v>4.9090617621656398E-3</v>
      </c>
      <c r="F1308">
        <v>4.9090617621656398E-3</v>
      </c>
      <c r="G1308">
        <v>0</v>
      </c>
      <c r="H1308">
        <v>0</v>
      </c>
      <c r="I1308" t="s">
        <v>64</v>
      </c>
    </row>
    <row r="1309" spans="1:9" x14ac:dyDescent="0.35">
      <c r="A1309" t="s">
        <v>4</v>
      </c>
      <c r="B1309">
        <v>2025</v>
      </c>
      <c r="C1309" t="s">
        <v>63</v>
      </c>
      <c r="D1309" t="s">
        <v>50</v>
      </c>
      <c r="E1309">
        <v>1.2438142135268301E-3</v>
      </c>
      <c r="F1309">
        <v>1.2438142135268301E-3</v>
      </c>
      <c r="G1309">
        <v>0</v>
      </c>
      <c r="H1309">
        <v>0</v>
      </c>
      <c r="I1309" t="s">
        <v>64</v>
      </c>
    </row>
    <row r="1310" spans="1:9" x14ac:dyDescent="0.35">
      <c r="A1310" t="s">
        <v>4</v>
      </c>
      <c r="B1310">
        <v>2025</v>
      </c>
      <c r="C1310" t="s">
        <v>63</v>
      </c>
      <c r="D1310" t="s">
        <v>51</v>
      </c>
      <c r="E1310">
        <v>5.4733640856119599E-2</v>
      </c>
      <c r="F1310">
        <v>5.4733640856119599E-2</v>
      </c>
      <c r="G1310">
        <v>0</v>
      </c>
      <c r="H1310">
        <v>0</v>
      </c>
      <c r="I1310" t="s">
        <v>64</v>
      </c>
    </row>
    <row r="1311" spans="1:9" x14ac:dyDescent="0.35">
      <c r="A1311" t="s">
        <v>4</v>
      </c>
      <c r="B1311">
        <v>2025</v>
      </c>
      <c r="C1311" t="s">
        <v>63</v>
      </c>
      <c r="D1311" t="s">
        <v>52</v>
      </c>
      <c r="E1311">
        <v>2.1509308341815601E-2</v>
      </c>
      <c r="F1311">
        <v>2.1509308341815601E-2</v>
      </c>
      <c r="G1311">
        <v>0</v>
      </c>
      <c r="H1311">
        <v>0</v>
      </c>
      <c r="I1311" t="s">
        <v>64</v>
      </c>
    </row>
    <row r="1312" spans="1:9" x14ac:dyDescent="0.35">
      <c r="A1312" t="s">
        <v>4</v>
      </c>
      <c r="B1312">
        <v>2025</v>
      </c>
      <c r="C1312" t="s">
        <v>63</v>
      </c>
      <c r="D1312" t="s">
        <v>53</v>
      </c>
      <c r="E1312">
        <v>0.25097301248010601</v>
      </c>
      <c r="F1312">
        <v>0.25097301248010601</v>
      </c>
      <c r="G1312">
        <v>0</v>
      </c>
      <c r="H1312">
        <v>0</v>
      </c>
      <c r="I1312" t="s">
        <v>64</v>
      </c>
    </row>
    <row r="1313" spans="1:9" x14ac:dyDescent="0.35">
      <c r="A1313" t="s">
        <v>4</v>
      </c>
      <c r="B1313">
        <v>2025</v>
      </c>
      <c r="C1313" t="s">
        <v>63</v>
      </c>
      <c r="D1313" t="s">
        <v>54</v>
      </c>
      <c r="E1313">
        <v>1.5006436454829899</v>
      </c>
      <c r="F1313">
        <v>1.5006436454829899</v>
      </c>
      <c r="G1313">
        <v>0</v>
      </c>
      <c r="H1313">
        <v>0</v>
      </c>
      <c r="I1313" t="s">
        <v>64</v>
      </c>
    </row>
    <row r="1314" spans="1:9" x14ac:dyDescent="0.35">
      <c r="A1314" t="s">
        <v>4</v>
      </c>
      <c r="B1314">
        <v>2025</v>
      </c>
      <c r="C1314" t="s">
        <v>63</v>
      </c>
      <c r="D1314" t="s">
        <v>55</v>
      </c>
      <c r="E1314">
        <v>1.6166772718914799</v>
      </c>
      <c r="F1314">
        <v>1.6166772718914799</v>
      </c>
      <c r="G1314">
        <v>0</v>
      </c>
      <c r="H1314">
        <v>0</v>
      </c>
      <c r="I1314" t="s">
        <v>64</v>
      </c>
    </row>
    <row r="1315" spans="1:9" x14ac:dyDescent="0.35">
      <c r="A1315" t="s">
        <v>4</v>
      </c>
      <c r="B1315">
        <v>2025</v>
      </c>
      <c r="C1315" t="s">
        <v>63</v>
      </c>
      <c r="D1315" t="s">
        <v>56</v>
      </c>
      <c r="E1315" s="1">
        <v>6.0493372112755501E-8</v>
      </c>
      <c r="F1315" s="1">
        <v>6.0493372112755501E-8</v>
      </c>
      <c r="G1315">
        <v>0</v>
      </c>
      <c r="H1315">
        <v>0</v>
      </c>
      <c r="I1315" t="s">
        <v>64</v>
      </c>
    </row>
    <row r="1316" spans="1:9" x14ac:dyDescent="0.35">
      <c r="A1316" t="s">
        <v>6</v>
      </c>
      <c r="B1316">
        <v>2030</v>
      </c>
      <c r="C1316" t="s">
        <v>63</v>
      </c>
      <c r="D1316" t="s">
        <v>38</v>
      </c>
      <c r="E1316">
        <v>4.1200744847335697E-3</v>
      </c>
      <c r="F1316">
        <v>4.1200744847335697E-3</v>
      </c>
      <c r="G1316">
        <v>0</v>
      </c>
      <c r="H1316">
        <v>0</v>
      </c>
      <c r="I1316" t="s">
        <v>64</v>
      </c>
    </row>
    <row r="1317" spans="1:9" x14ac:dyDescent="0.35">
      <c r="A1317" t="s">
        <v>6</v>
      </c>
      <c r="B1317">
        <v>2030</v>
      </c>
      <c r="C1317" t="s">
        <v>63</v>
      </c>
      <c r="D1317" t="s">
        <v>40</v>
      </c>
      <c r="E1317">
        <v>5.6041221332292902E-4</v>
      </c>
      <c r="F1317">
        <v>5.6041221332292902E-4</v>
      </c>
      <c r="G1317">
        <v>0</v>
      </c>
      <c r="H1317">
        <v>0</v>
      </c>
      <c r="I1317" t="s">
        <v>64</v>
      </c>
    </row>
    <row r="1318" spans="1:9" x14ac:dyDescent="0.35">
      <c r="A1318" t="s">
        <v>6</v>
      </c>
      <c r="B1318">
        <v>2030</v>
      </c>
      <c r="C1318" t="s">
        <v>63</v>
      </c>
      <c r="D1318" t="s">
        <v>41</v>
      </c>
      <c r="E1318">
        <v>4.9226368876022896E-3</v>
      </c>
      <c r="F1318">
        <v>4.9226368876022896E-3</v>
      </c>
      <c r="G1318">
        <v>0</v>
      </c>
      <c r="H1318">
        <v>0</v>
      </c>
      <c r="I1318" t="s">
        <v>64</v>
      </c>
    </row>
    <row r="1319" spans="1:9" x14ac:dyDescent="0.35">
      <c r="A1319" t="s">
        <v>6</v>
      </c>
      <c r="B1319">
        <v>2030</v>
      </c>
      <c r="C1319" t="s">
        <v>63</v>
      </c>
      <c r="D1319" t="s">
        <v>42</v>
      </c>
      <c r="E1319">
        <v>3.2313991930087802</v>
      </c>
      <c r="F1319">
        <v>3.2313991930087802</v>
      </c>
      <c r="G1319">
        <v>0</v>
      </c>
      <c r="H1319">
        <v>0</v>
      </c>
      <c r="I1319" t="s">
        <v>64</v>
      </c>
    </row>
    <row r="1320" spans="1:9" x14ac:dyDescent="0.35">
      <c r="A1320" t="s">
        <v>6</v>
      </c>
      <c r="B1320">
        <v>2030</v>
      </c>
      <c r="C1320" t="s">
        <v>63</v>
      </c>
      <c r="D1320" t="s">
        <v>43</v>
      </c>
      <c r="E1320">
        <v>1.5700096938547801E-3</v>
      </c>
      <c r="F1320">
        <v>1.5700096938547801E-3</v>
      </c>
      <c r="G1320">
        <v>0</v>
      </c>
      <c r="H1320">
        <v>0</v>
      </c>
      <c r="I1320" t="s">
        <v>64</v>
      </c>
    </row>
    <row r="1321" spans="1:9" x14ac:dyDescent="0.35">
      <c r="A1321" t="s">
        <v>6</v>
      </c>
      <c r="B1321">
        <v>2030</v>
      </c>
      <c r="C1321" t="s">
        <v>63</v>
      </c>
      <c r="D1321" t="s">
        <v>136</v>
      </c>
      <c r="E1321">
        <v>0.88999359384255905</v>
      </c>
      <c r="F1321">
        <v>0.88999359384255905</v>
      </c>
      <c r="G1321">
        <v>0</v>
      </c>
      <c r="H1321">
        <v>0</v>
      </c>
      <c r="I1321" t="s">
        <v>64</v>
      </c>
    </row>
    <row r="1322" spans="1:9" x14ac:dyDescent="0.35">
      <c r="A1322" t="s">
        <v>6</v>
      </c>
      <c r="B1322">
        <v>2030</v>
      </c>
      <c r="C1322" t="s">
        <v>63</v>
      </c>
      <c r="D1322" t="s">
        <v>45</v>
      </c>
      <c r="E1322">
        <v>1.88233480338162E-3</v>
      </c>
      <c r="F1322">
        <v>1.88233480338162E-3</v>
      </c>
      <c r="G1322">
        <v>0</v>
      </c>
      <c r="H1322">
        <v>0</v>
      </c>
      <c r="I1322" t="s">
        <v>64</v>
      </c>
    </row>
    <row r="1323" spans="1:9" x14ac:dyDescent="0.35">
      <c r="A1323" t="s">
        <v>6</v>
      </c>
      <c r="B1323">
        <v>2030</v>
      </c>
      <c r="C1323" t="s">
        <v>63</v>
      </c>
      <c r="D1323" t="s">
        <v>46</v>
      </c>
      <c r="E1323">
        <v>1.75537457169876E-2</v>
      </c>
      <c r="F1323">
        <v>1.75537457169876E-2</v>
      </c>
      <c r="G1323">
        <v>0</v>
      </c>
      <c r="H1323">
        <v>0</v>
      </c>
      <c r="I1323" t="s">
        <v>64</v>
      </c>
    </row>
    <row r="1324" spans="1:9" x14ac:dyDescent="0.35">
      <c r="A1324" t="s">
        <v>6</v>
      </c>
      <c r="B1324">
        <v>2030</v>
      </c>
      <c r="C1324" t="s">
        <v>63</v>
      </c>
      <c r="D1324" t="s">
        <v>47</v>
      </c>
      <c r="E1324">
        <v>2.2755211833584699E-3</v>
      </c>
      <c r="F1324">
        <v>2.2755211833584699E-3</v>
      </c>
      <c r="G1324">
        <v>0</v>
      </c>
      <c r="H1324">
        <v>0</v>
      </c>
      <c r="I1324" t="s">
        <v>64</v>
      </c>
    </row>
    <row r="1325" spans="1:9" x14ac:dyDescent="0.35">
      <c r="A1325" t="s">
        <v>6</v>
      </c>
      <c r="B1325">
        <v>2030</v>
      </c>
      <c r="C1325" t="s">
        <v>63</v>
      </c>
      <c r="D1325" t="s">
        <v>48</v>
      </c>
      <c r="E1325">
        <v>1.02630642363215</v>
      </c>
      <c r="F1325">
        <v>1.02630642363215</v>
      </c>
      <c r="G1325">
        <v>0</v>
      </c>
      <c r="H1325">
        <v>0</v>
      </c>
      <c r="I1325" t="s">
        <v>64</v>
      </c>
    </row>
    <row r="1326" spans="1:9" x14ac:dyDescent="0.35">
      <c r="A1326" t="s">
        <v>6</v>
      </c>
      <c r="B1326">
        <v>2030</v>
      </c>
      <c r="C1326" t="s">
        <v>63</v>
      </c>
      <c r="D1326" t="s">
        <v>49</v>
      </c>
      <c r="E1326">
        <v>4.8974855610421798E-3</v>
      </c>
      <c r="F1326">
        <v>4.8974855610421798E-3</v>
      </c>
      <c r="G1326">
        <v>0</v>
      </c>
      <c r="H1326">
        <v>0</v>
      </c>
      <c r="I1326" t="s">
        <v>64</v>
      </c>
    </row>
    <row r="1327" spans="1:9" x14ac:dyDescent="0.35">
      <c r="A1327" t="s">
        <v>6</v>
      </c>
      <c r="B1327">
        <v>2030</v>
      </c>
      <c r="C1327" t="s">
        <v>63</v>
      </c>
      <c r="D1327" t="s">
        <v>50</v>
      </c>
      <c r="E1327">
        <v>1.2405382688646801E-3</v>
      </c>
      <c r="F1327">
        <v>1.2405382688646801E-3</v>
      </c>
      <c r="G1327">
        <v>0</v>
      </c>
      <c r="H1327">
        <v>0</v>
      </c>
      <c r="I1327" t="s">
        <v>64</v>
      </c>
    </row>
    <row r="1328" spans="1:9" x14ac:dyDescent="0.35">
      <c r="A1328" t="s">
        <v>6</v>
      </c>
      <c r="B1328">
        <v>2030</v>
      </c>
      <c r="C1328" t="s">
        <v>63</v>
      </c>
      <c r="D1328" t="s">
        <v>51</v>
      </c>
      <c r="E1328">
        <v>5.4750334352487599E-2</v>
      </c>
      <c r="F1328">
        <v>5.4750334352487599E-2</v>
      </c>
      <c r="G1328">
        <v>0</v>
      </c>
      <c r="H1328">
        <v>0</v>
      </c>
      <c r="I1328" t="s">
        <v>64</v>
      </c>
    </row>
    <row r="1329" spans="1:9" x14ac:dyDescent="0.35">
      <c r="A1329" t="s">
        <v>6</v>
      </c>
      <c r="B1329">
        <v>2030</v>
      </c>
      <c r="C1329" t="s">
        <v>63</v>
      </c>
      <c r="D1329" t="s">
        <v>52</v>
      </c>
      <c r="E1329">
        <v>2.1215721390588301E-2</v>
      </c>
      <c r="F1329">
        <v>2.1215721390588301E-2</v>
      </c>
      <c r="G1329">
        <v>0</v>
      </c>
      <c r="H1329">
        <v>0</v>
      </c>
      <c r="I1329" t="s">
        <v>64</v>
      </c>
    </row>
    <row r="1330" spans="1:9" x14ac:dyDescent="0.35">
      <c r="A1330" t="s">
        <v>6</v>
      </c>
      <c r="B1330">
        <v>2030</v>
      </c>
      <c r="C1330" t="s">
        <v>63</v>
      </c>
      <c r="D1330" t="s">
        <v>53</v>
      </c>
      <c r="E1330">
        <v>0.25025582091710902</v>
      </c>
      <c r="F1330">
        <v>0.25025582091710902</v>
      </c>
      <c r="G1330">
        <v>0</v>
      </c>
      <c r="H1330">
        <v>0</v>
      </c>
      <c r="I1330" t="s">
        <v>64</v>
      </c>
    </row>
    <row r="1331" spans="1:9" x14ac:dyDescent="0.35">
      <c r="A1331" t="s">
        <v>6</v>
      </c>
      <c r="B1331">
        <v>2030</v>
      </c>
      <c r="C1331" t="s">
        <v>63</v>
      </c>
      <c r="D1331" t="s">
        <v>54</v>
      </c>
      <c r="E1331">
        <v>1.5006592629392099</v>
      </c>
      <c r="F1331">
        <v>1.5006592629392099</v>
      </c>
      <c r="G1331">
        <v>0</v>
      </c>
      <c r="H1331">
        <v>0</v>
      </c>
      <c r="I1331" t="s">
        <v>64</v>
      </c>
    </row>
    <row r="1332" spans="1:9" x14ac:dyDescent="0.35">
      <c r="A1332" t="s">
        <v>6</v>
      </c>
      <c r="B1332">
        <v>2030</v>
      </c>
      <c r="C1332" t="s">
        <v>63</v>
      </c>
      <c r="D1332" t="s">
        <v>55</v>
      </c>
      <c r="E1332">
        <v>1.6166876065406901</v>
      </c>
      <c r="F1332">
        <v>1.6166876065406901</v>
      </c>
      <c r="G1332">
        <v>0</v>
      </c>
      <c r="H1332">
        <v>0</v>
      </c>
      <c r="I1332" t="s">
        <v>64</v>
      </c>
    </row>
    <row r="1333" spans="1:9" x14ac:dyDescent="0.35">
      <c r="A1333" t="s">
        <v>6</v>
      </c>
      <c r="B1333">
        <v>2030</v>
      </c>
      <c r="C1333" t="s">
        <v>63</v>
      </c>
      <c r="D1333" t="s">
        <v>56</v>
      </c>
      <c r="E1333" s="1">
        <v>6.0226928664944796E-8</v>
      </c>
      <c r="F1333" s="1">
        <v>6.0226928664944796E-8</v>
      </c>
      <c r="G1333">
        <v>0</v>
      </c>
      <c r="H1333">
        <v>0</v>
      </c>
      <c r="I1333" t="s">
        <v>64</v>
      </c>
    </row>
    <row r="1334" spans="1:9" x14ac:dyDescent="0.35">
      <c r="A1334" t="s">
        <v>8</v>
      </c>
      <c r="B1334">
        <v>2035</v>
      </c>
      <c r="C1334" t="s">
        <v>63</v>
      </c>
      <c r="D1334" t="s">
        <v>38</v>
      </c>
      <c r="E1334">
        <v>4.1209107979266702E-3</v>
      </c>
      <c r="F1334">
        <v>4.1209107979266702E-3</v>
      </c>
      <c r="G1334">
        <v>0</v>
      </c>
      <c r="H1334">
        <v>0</v>
      </c>
      <c r="I1334" t="s">
        <v>64</v>
      </c>
    </row>
    <row r="1335" spans="1:9" x14ac:dyDescent="0.35">
      <c r="A1335" t="s">
        <v>8</v>
      </c>
      <c r="B1335">
        <v>2035</v>
      </c>
      <c r="C1335" t="s">
        <v>63</v>
      </c>
      <c r="D1335" t="s">
        <v>40</v>
      </c>
      <c r="E1335">
        <v>5.5988395809116896E-4</v>
      </c>
      <c r="F1335">
        <v>5.5988395809116896E-4</v>
      </c>
      <c r="G1335">
        <v>0</v>
      </c>
      <c r="H1335">
        <v>0</v>
      </c>
      <c r="I1335" t="s">
        <v>64</v>
      </c>
    </row>
    <row r="1336" spans="1:9" x14ac:dyDescent="0.35">
      <c r="A1336" t="s">
        <v>8</v>
      </c>
      <c r="B1336">
        <v>2035</v>
      </c>
      <c r="C1336" t="s">
        <v>63</v>
      </c>
      <c r="D1336" t="s">
        <v>41</v>
      </c>
      <c r="E1336">
        <v>4.9182693902661999E-3</v>
      </c>
      <c r="F1336">
        <v>4.9182693902661999E-3</v>
      </c>
      <c r="G1336">
        <v>0</v>
      </c>
      <c r="H1336">
        <v>0</v>
      </c>
      <c r="I1336" t="s">
        <v>64</v>
      </c>
    </row>
    <row r="1337" spans="1:9" x14ac:dyDescent="0.35">
      <c r="A1337" t="s">
        <v>8</v>
      </c>
      <c r="B1337">
        <v>2035</v>
      </c>
      <c r="C1337" t="s">
        <v>63</v>
      </c>
      <c r="D1337" t="s">
        <v>42</v>
      </c>
      <c r="E1337">
        <v>3.2310708398510499</v>
      </c>
      <c r="F1337">
        <v>3.2310708398510499</v>
      </c>
      <c r="G1337">
        <v>0</v>
      </c>
      <c r="H1337">
        <v>0</v>
      </c>
      <c r="I1337" t="s">
        <v>64</v>
      </c>
    </row>
    <row r="1338" spans="1:9" x14ac:dyDescent="0.35">
      <c r="A1338" t="s">
        <v>8</v>
      </c>
      <c r="B1338">
        <v>2035</v>
      </c>
      <c r="C1338" t="s">
        <v>63</v>
      </c>
      <c r="D1338" t="s">
        <v>43</v>
      </c>
      <c r="E1338">
        <v>1.5684788646014101E-3</v>
      </c>
      <c r="F1338">
        <v>1.5684788646014101E-3</v>
      </c>
      <c r="G1338">
        <v>0</v>
      </c>
      <c r="H1338">
        <v>0</v>
      </c>
      <c r="I1338" t="s">
        <v>64</v>
      </c>
    </row>
    <row r="1339" spans="1:9" x14ac:dyDescent="0.35">
      <c r="A1339" t="s">
        <v>8</v>
      </c>
      <c r="B1339">
        <v>2035</v>
      </c>
      <c r="C1339" t="s">
        <v>63</v>
      </c>
      <c r="D1339" t="s">
        <v>136</v>
      </c>
      <c r="E1339">
        <v>0.88757563755403901</v>
      </c>
      <c r="F1339">
        <v>0.88757563755403901</v>
      </c>
      <c r="G1339">
        <v>0</v>
      </c>
      <c r="H1339">
        <v>0</v>
      </c>
      <c r="I1339" t="s">
        <v>64</v>
      </c>
    </row>
    <row r="1340" spans="1:9" x14ac:dyDescent="0.35">
      <c r="A1340" t="s">
        <v>8</v>
      </c>
      <c r="B1340">
        <v>2035</v>
      </c>
      <c r="C1340" t="s">
        <v>63</v>
      </c>
      <c r="D1340" t="s">
        <v>45</v>
      </c>
      <c r="E1340">
        <v>1.86908735335455E-3</v>
      </c>
      <c r="F1340">
        <v>1.86908735335455E-3</v>
      </c>
      <c r="G1340">
        <v>0</v>
      </c>
      <c r="H1340">
        <v>0</v>
      </c>
      <c r="I1340" t="s">
        <v>64</v>
      </c>
    </row>
    <row r="1341" spans="1:9" x14ac:dyDescent="0.35">
      <c r="A1341" t="s">
        <v>8</v>
      </c>
      <c r="B1341">
        <v>2035</v>
      </c>
      <c r="C1341" t="s">
        <v>63</v>
      </c>
      <c r="D1341" t="s">
        <v>46</v>
      </c>
      <c r="E1341">
        <v>1.96986734134568E-2</v>
      </c>
      <c r="F1341">
        <v>1.96986734134568E-2</v>
      </c>
      <c r="G1341">
        <v>0</v>
      </c>
      <c r="H1341">
        <v>0</v>
      </c>
      <c r="I1341" t="s">
        <v>64</v>
      </c>
    </row>
    <row r="1342" spans="1:9" x14ac:dyDescent="0.35">
      <c r="A1342" t="s">
        <v>8</v>
      </c>
      <c r="B1342">
        <v>2035</v>
      </c>
      <c r="C1342" t="s">
        <v>63</v>
      </c>
      <c r="D1342" t="s">
        <v>47</v>
      </c>
      <c r="E1342">
        <v>2.2750388203984701E-3</v>
      </c>
      <c r="F1342">
        <v>2.2750388203984701E-3</v>
      </c>
      <c r="G1342">
        <v>0</v>
      </c>
      <c r="H1342">
        <v>0</v>
      </c>
      <c r="I1342" t="s">
        <v>64</v>
      </c>
    </row>
    <row r="1343" spans="1:9" x14ac:dyDescent="0.35">
      <c r="A1343" t="s">
        <v>8</v>
      </c>
      <c r="B1343">
        <v>2035</v>
      </c>
      <c r="C1343" t="s">
        <v>63</v>
      </c>
      <c r="D1343" t="s">
        <v>48</v>
      </c>
      <c r="E1343">
        <v>1.0263000518415799</v>
      </c>
      <c r="F1343">
        <v>1.0263000518415799</v>
      </c>
      <c r="G1343">
        <v>0</v>
      </c>
      <c r="H1343">
        <v>0</v>
      </c>
      <c r="I1343" t="s">
        <v>64</v>
      </c>
    </row>
    <row r="1344" spans="1:9" x14ac:dyDescent="0.35">
      <c r="A1344" t="s">
        <v>8</v>
      </c>
      <c r="B1344">
        <v>2035</v>
      </c>
      <c r="C1344" t="s">
        <v>63</v>
      </c>
      <c r="D1344" t="s">
        <v>49</v>
      </c>
      <c r="E1344">
        <v>4.8892882544361999E-3</v>
      </c>
      <c r="F1344">
        <v>4.8892882544361999E-3</v>
      </c>
      <c r="G1344">
        <v>0</v>
      </c>
      <c r="H1344">
        <v>0</v>
      </c>
      <c r="I1344" t="s">
        <v>64</v>
      </c>
    </row>
    <row r="1345" spans="1:9" x14ac:dyDescent="0.35">
      <c r="A1345" t="s">
        <v>8</v>
      </c>
      <c r="B1345">
        <v>2035</v>
      </c>
      <c r="C1345" t="s">
        <v>63</v>
      </c>
      <c r="D1345" t="s">
        <v>50</v>
      </c>
      <c r="E1345">
        <v>1.2314978352652201E-3</v>
      </c>
      <c r="F1345">
        <v>1.2314978352652201E-3</v>
      </c>
      <c r="G1345">
        <v>0</v>
      </c>
      <c r="H1345">
        <v>0</v>
      </c>
      <c r="I1345" t="s">
        <v>64</v>
      </c>
    </row>
    <row r="1346" spans="1:9" x14ac:dyDescent="0.35">
      <c r="A1346" t="s">
        <v>8</v>
      </c>
      <c r="B1346">
        <v>2035</v>
      </c>
      <c r="C1346" t="s">
        <v>63</v>
      </c>
      <c r="D1346" t="s">
        <v>51</v>
      </c>
      <c r="E1346">
        <v>5.4787182610149303E-2</v>
      </c>
      <c r="F1346">
        <v>5.4787182610149303E-2</v>
      </c>
      <c r="G1346">
        <v>0</v>
      </c>
      <c r="H1346">
        <v>0</v>
      </c>
      <c r="I1346" t="s">
        <v>64</v>
      </c>
    </row>
    <row r="1347" spans="1:9" x14ac:dyDescent="0.35">
      <c r="A1347" t="s">
        <v>8</v>
      </c>
      <c r="B1347">
        <v>2035</v>
      </c>
      <c r="C1347" t="s">
        <v>63</v>
      </c>
      <c r="D1347" t="s">
        <v>52</v>
      </c>
      <c r="E1347">
        <v>2.0902526209632E-2</v>
      </c>
      <c r="F1347">
        <v>2.0902526209632E-2</v>
      </c>
      <c r="G1347">
        <v>0</v>
      </c>
      <c r="H1347">
        <v>0</v>
      </c>
      <c r="I1347" t="s">
        <v>64</v>
      </c>
    </row>
    <row r="1348" spans="1:9" x14ac:dyDescent="0.35">
      <c r="A1348" t="s">
        <v>8</v>
      </c>
      <c r="B1348">
        <v>2035</v>
      </c>
      <c r="C1348" t="s">
        <v>63</v>
      </c>
      <c r="D1348" t="s">
        <v>53</v>
      </c>
      <c r="E1348">
        <v>0.24961289695288699</v>
      </c>
      <c r="F1348">
        <v>0.24961289695288699</v>
      </c>
      <c r="G1348">
        <v>0</v>
      </c>
      <c r="H1348">
        <v>0</v>
      </c>
      <c r="I1348" t="s">
        <v>64</v>
      </c>
    </row>
    <row r="1349" spans="1:9" x14ac:dyDescent="0.35">
      <c r="A1349" t="s">
        <v>8</v>
      </c>
      <c r="B1349">
        <v>2035</v>
      </c>
      <c r="C1349" t="s">
        <v>63</v>
      </c>
      <c r="D1349" t="s">
        <v>54</v>
      </c>
      <c r="E1349">
        <v>1.50067618894688</v>
      </c>
      <c r="F1349">
        <v>1.50067618894688</v>
      </c>
      <c r="G1349">
        <v>0</v>
      </c>
      <c r="H1349">
        <v>0</v>
      </c>
      <c r="I1349" t="s">
        <v>64</v>
      </c>
    </row>
    <row r="1350" spans="1:9" x14ac:dyDescent="0.35">
      <c r="A1350" t="s">
        <v>8</v>
      </c>
      <c r="B1350">
        <v>2035</v>
      </c>
      <c r="C1350" t="s">
        <v>63</v>
      </c>
      <c r="D1350" t="s">
        <v>55</v>
      </c>
      <c r="E1350">
        <v>1.61670196064189</v>
      </c>
      <c r="F1350">
        <v>1.61670196064189</v>
      </c>
      <c r="G1350">
        <v>0</v>
      </c>
      <c r="H1350">
        <v>0</v>
      </c>
      <c r="I1350" t="s">
        <v>64</v>
      </c>
    </row>
    <row r="1351" spans="1:9" x14ac:dyDescent="0.35">
      <c r="A1351" t="s">
        <v>8</v>
      </c>
      <c r="B1351">
        <v>2035</v>
      </c>
      <c r="C1351" t="s">
        <v>63</v>
      </c>
      <c r="D1351" t="s">
        <v>56</v>
      </c>
      <c r="E1351" s="1">
        <v>6.0010337428389994E-8</v>
      </c>
      <c r="F1351" s="1">
        <v>6.0010337428389994E-8</v>
      </c>
      <c r="G1351">
        <v>0</v>
      </c>
      <c r="H1351">
        <v>0</v>
      </c>
      <c r="I1351" t="s">
        <v>64</v>
      </c>
    </row>
    <row r="1352" spans="1:9" x14ac:dyDescent="0.35">
      <c r="A1352" t="s">
        <v>10</v>
      </c>
      <c r="B1352">
        <v>2040</v>
      </c>
      <c r="C1352" t="s">
        <v>63</v>
      </c>
      <c r="D1352" t="s">
        <v>38</v>
      </c>
      <c r="E1352">
        <v>4.1153422098378399E-3</v>
      </c>
      <c r="F1352">
        <v>4.7755613390820301E-4</v>
      </c>
      <c r="G1352">
        <v>-3.6377860759296398E-3</v>
      </c>
      <c r="H1352">
        <v>-88.395712687839307</v>
      </c>
      <c r="I1352" t="s">
        <v>64</v>
      </c>
    </row>
    <row r="1353" spans="1:9" x14ac:dyDescent="0.35">
      <c r="A1353" t="s">
        <v>10</v>
      </c>
      <c r="B1353">
        <v>2040</v>
      </c>
      <c r="C1353" t="s">
        <v>63</v>
      </c>
      <c r="D1353" t="s">
        <v>40</v>
      </c>
      <c r="E1353">
        <v>5.5935036665148599E-4</v>
      </c>
      <c r="F1353">
        <v>5.5935036665148599E-4</v>
      </c>
      <c r="G1353">
        <v>0</v>
      </c>
      <c r="H1353">
        <v>0</v>
      </c>
      <c r="I1353" t="s">
        <v>64</v>
      </c>
    </row>
    <row r="1354" spans="1:9" x14ac:dyDescent="0.35">
      <c r="A1354" t="s">
        <v>10</v>
      </c>
      <c r="B1354">
        <v>2040</v>
      </c>
      <c r="C1354" t="s">
        <v>63</v>
      </c>
      <c r="D1354" t="s">
        <v>41</v>
      </c>
      <c r="E1354">
        <v>4.9174110563639803E-3</v>
      </c>
      <c r="F1354">
        <v>1.4384989499182099E-3</v>
      </c>
      <c r="G1354">
        <v>-3.47891210644577E-3</v>
      </c>
      <c r="H1354">
        <v>-70.746823207782299</v>
      </c>
      <c r="I1354" t="s">
        <v>64</v>
      </c>
    </row>
    <row r="1355" spans="1:9" x14ac:dyDescent="0.35">
      <c r="A1355" t="s">
        <v>10</v>
      </c>
      <c r="B1355">
        <v>2040</v>
      </c>
      <c r="C1355" t="s">
        <v>63</v>
      </c>
      <c r="D1355" t="s">
        <v>42</v>
      </c>
      <c r="E1355">
        <v>3.2309451836163299</v>
      </c>
      <c r="F1355">
        <v>3.17922148188413</v>
      </c>
      <c r="G1355">
        <v>-5.1723701732199798E-2</v>
      </c>
      <c r="H1355">
        <v>-1.6008845335564099</v>
      </c>
      <c r="I1355" t="s">
        <v>64</v>
      </c>
    </row>
    <row r="1356" spans="1:9" x14ac:dyDescent="0.35">
      <c r="A1356" t="s">
        <v>10</v>
      </c>
      <c r="B1356">
        <v>2040</v>
      </c>
      <c r="C1356" t="s">
        <v>63</v>
      </c>
      <c r="D1356" t="s">
        <v>43</v>
      </c>
      <c r="E1356">
        <v>1.56702278027523E-3</v>
      </c>
      <c r="F1356">
        <v>3.4511615496557598E-4</v>
      </c>
      <c r="G1356">
        <v>-1.22190662530966E-3</v>
      </c>
      <c r="H1356">
        <v>-77.976315385475203</v>
      </c>
      <c r="I1356" t="s">
        <v>64</v>
      </c>
    </row>
    <row r="1357" spans="1:9" x14ac:dyDescent="0.35">
      <c r="A1357" t="s">
        <v>10</v>
      </c>
      <c r="B1357">
        <v>2040</v>
      </c>
      <c r="C1357" t="s">
        <v>63</v>
      </c>
      <c r="D1357" t="s">
        <v>136</v>
      </c>
      <c r="E1357">
        <v>0.88559569954472805</v>
      </c>
      <c r="F1357">
        <v>0.57302823705412298</v>
      </c>
      <c r="G1357">
        <v>-0.31256746249060502</v>
      </c>
      <c r="H1357">
        <v>-35.294600307035303</v>
      </c>
      <c r="I1357" t="s">
        <v>64</v>
      </c>
    </row>
    <row r="1358" spans="1:9" x14ac:dyDescent="0.35">
      <c r="A1358" t="s">
        <v>10</v>
      </c>
      <c r="B1358">
        <v>2040</v>
      </c>
      <c r="C1358" t="s">
        <v>63</v>
      </c>
      <c r="D1358" t="s">
        <v>45</v>
      </c>
      <c r="E1358">
        <v>1.86238629358996E-3</v>
      </c>
      <c r="F1358">
        <v>4.5059272673976498E-4</v>
      </c>
      <c r="G1358">
        <v>-1.4117935668502E-3</v>
      </c>
      <c r="H1358">
        <v>-75.805624843211405</v>
      </c>
      <c r="I1358" t="s">
        <v>64</v>
      </c>
    </row>
    <row r="1359" spans="1:9" x14ac:dyDescent="0.35">
      <c r="A1359" t="s">
        <v>10</v>
      </c>
      <c r="B1359">
        <v>2040</v>
      </c>
      <c r="C1359" t="s">
        <v>63</v>
      </c>
      <c r="D1359" t="s">
        <v>46</v>
      </c>
      <c r="E1359">
        <v>2.2685259019829099E-2</v>
      </c>
      <c r="F1359">
        <v>2.2685259019829099E-2</v>
      </c>
      <c r="G1359">
        <v>0</v>
      </c>
      <c r="H1359">
        <v>0</v>
      </c>
      <c r="I1359" t="s">
        <v>64</v>
      </c>
    </row>
    <row r="1360" spans="1:9" x14ac:dyDescent="0.35">
      <c r="A1360" t="s">
        <v>10</v>
      </c>
      <c r="B1360">
        <v>2040</v>
      </c>
      <c r="C1360" t="s">
        <v>63</v>
      </c>
      <c r="D1360" t="s">
        <v>47</v>
      </c>
      <c r="E1360">
        <v>2.2747800591529201E-3</v>
      </c>
      <c r="F1360">
        <v>2.2747800591529201E-3</v>
      </c>
      <c r="G1360">
        <v>0</v>
      </c>
      <c r="H1360">
        <v>0</v>
      </c>
      <c r="I1360" t="s">
        <v>64</v>
      </c>
    </row>
    <row r="1361" spans="1:9" x14ac:dyDescent="0.35">
      <c r="A1361" t="s">
        <v>10</v>
      </c>
      <c r="B1361">
        <v>2040</v>
      </c>
      <c r="C1361" t="s">
        <v>63</v>
      </c>
      <c r="D1361" t="s">
        <v>48</v>
      </c>
      <c r="E1361">
        <v>1.0263160409785701</v>
      </c>
      <c r="F1361">
        <v>1.0263160409785701</v>
      </c>
      <c r="G1361">
        <v>0</v>
      </c>
      <c r="H1361">
        <v>0</v>
      </c>
      <c r="I1361" t="s">
        <v>64</v>
      </c>
    </row>
    <row r="1362" spans="1:9" x14ac:dyDescent="0.35">
      <c r="A1362" t="s">
        <v>10</v>
      </c>
      <c r="B1362">
        <v>2040</v>
      </c>
      <c r="C1362" t="s">
        <v>63</v>
      </c>
      <c r="D1362" t="s">
        <v>49</v>
      </c>
      <c r="E1362">
        <v>4.8854155981841504E-3</v>
      </c>
      <c r="F1362">
        <v>9.2422522591701099E-4</v>
      </c>
      <c r="G1362">
        <v>-3.9611903722671397E-3</v>
      </c>
      <c r="H1362">
        <v>-81.081952858615793</v>
      </c>
      <c r="I1362" t="s">
        <v>64</v>
      </c>
    </row>
    <row r="1363" spans="1:9" x14ac:dyDescent="0.35">
      <c r="A1363" t="s">
        <v>10</v>
      </c>
      <c r="B1363">
        <v>2040</v>
      </c>
      <c r="C1363" t="s">
        <v>63</v>
      </c>
      <c r="D1363" t="s">
        <v>50</v>
      </c>
      <c r="E1363">
        <v>1.20862221361026E-3</v>
      </c>
      <c r="F1363">
        <v>1.20862221361026E-3</v>
      </c>
      <c r="G1363">
        <v>0</v>
      </c>
      <c r="H1363">
        <v>0</v>
      </c>
      <c r="I1363" t="s">
        <v>64</v>
      </c>
    </row>
    <row r="1364" spans="1:9" x14ac:dyDescent="0.35">
      <c r="A1364" t="s">
        <v>10</v>
      </c>
      <c r="B1364">
        <v>2040</v>
      </c>
      <c r="C1364" t="s">
        <v>63</v>
      </c>
      <c r="D1364" t="s">
        <v>51</v>
      </c>
      <c r="E1364">
        <v>5.4828559962449203E-2</v>
      </c>
      <c r="F1364">
        <v>5.4828559962449203E-2</v>
      </c>
      <c r="G1364">
        <v>0</v>
      </c>
      <c r="H1364">
        <v>0</v>
      </c>
      <c r="I1364" t="s">
        <v>64</v>
      </c>
    </row>
    <row r="1365" spans="1:9" x14ac:dyDescent="0.35">
      <c r="A1365" t="s">
        <v>10</v>
      </c>
      <c r="B1365">
        <v>2040</v>
      </c>
      <c r="C1365" t="s">
        <v>63</v>
      </c>
      <c r="D1365" t="s">
        <v>52</v>
      </c>
      <c r="E1365">
        <v>2.0623048454333999E-2</v>
      </c>
      <c r="F1365">
        <v>2.0623048454333999E-2</v>
      </c>
      <c r="G1365">
        <v>0</v>
      </c>
      <c r="H1365">
        <v>0</v>
      </c>
      <c r="I1365" t="s">
        <v>64</v>
      </c>
    </row>
    <row r="1366" spans="1:9" x14ac:dyDescent="0.35">
      <c r="A1366" t="s">
        <v>10</v>
      </c>
      <c r="B1366">
        <v>2040</v>
      </c>
      <c r="C1366" t="s">
        <v>63</v>
      </c>
      <c r="D1366" t="s">
        <v>53</v>
      </c>
      <c r="E1366">
        <v>0.24903461222493001</v>
      </c>
      <c r="F1366">
        <v>0.24903461222493001</v>
      </c>
      <c r="G1366">
        <v>0</v>
      </c>
      <c r="H1366">
        <v>0</v>
      </c>
      <c r="I1366" t="s">
        <v>64</v>
      </c>
    </row>
    <row r="1367" spans="1:9" x14ac:dyDescent="0.35">
      <c r="A1367" t="s">
        <v>10</v>
      </c>
      <c r="B1367">
        <v>2040</v>
      </c>
      <c r="C1367" t="s">
        <v>63</v>
      </c>
      <c r="D1367" t="s">
        <v>54</v>
      </c>
      <c r="E1367">
        <v>1.50069302989985</v>
      </c>
      <c r="F1367">
        <v>1.49900022788323</v>
      </c>
      <c r="G1367">
        <v>-1.6928020166224701E-3</v>
      </c>
      <c r="H1367">
        <v>-0.112801351302034</v>
      </c>
      <c r="I1367" t="s">
        <v>64</v>
      </c>
    </row>
    <row r="1368" spans="1:9" x14ac:dyDescent="0.35">
      <c r="A1368" t="s">
        <v>10</v>
      </c>
      <c r="B1368">
        <v>2040</v>
      </c>
      <c r="C1368" t="s">
        <v>63</v>
      </c>
      <c r="D1368" t="s">
        <v>55</v>
      </c>
      <c r="E1368">
        <v>1.61671818189234</v>
      </c>
      <c r="F1368">
        <v>1.39297608641482</v>
      </c>
      <c r="G1368">
        <v>-0.223742095477517</v>
      </c>
      <c r="H1368">
        <v>-13.8392762562755</v>
      </c>
      <c r="I1368" t="s">
        <v>64</v>
      </c>
    </row>
    <row r="1369" spans="1:9" x14ac:dyDescent="0.35">
      <c r="A1369" t="s">
        <v>10</v>
      </c>
      <c r="B1369">
        <v>2040</v>
      </c>
      <c r="C1369" t="s">
        <v>63</v>
      </c>
      <c r="D1369" t="s">
        <v>56</v>
      </c>
      <c r="E1369" s="1">
        <v>5.9825292093097995E-8</v>
      </c>
      <c r="F1369" s="1">
        <v>5.9825292093097995E-8</v>
      </c>
      <c r="G1369">
        <v>0</v>
      </c>
      <c r="H1369">
        <v>0</v>
      </c>
      <c r="I1369" t="s">
        <v>64</v>
      </c>
    </row>
  </sheetData>
  <autoFilter ref="A1:I1" xr:uid="{289BB186-D341-4874-928F-E6ED7D4D0B85}">
    <sortState xmlns:xlrd2="http://schemas.microsoft.com/office/spreadsheetml/2017/richdata2" ref="A2:I1225">
      <sortCondition ref="I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14CF-2905-4A41-8BCD-6900E43B4375}">
  <sheetPr filterMode="1">
    <tabColor theme="3" tint="0.89999084444715716"/>
  </sheetPr>
  <dimension ref="A1:I1369"/>
  <sheetViews>
    <sheetView topLeftCell="A742" zoomScale="85" zoomScaleNormal="85" workbookViewId="0">
      <selection activeCell="D781" sqref="D781"/>
    </sheetView>
  </sheetViews>
  <sheetFormatPr defaultRowHeight="14.5" x14ac:dyDescent="0.35"/>
  <cols>
    <col min="1" max="1" width="35.1796875" bestFit="1" customWidth="1"/>
    <col min="3" max="3" width="61.54296875" bestFit="1" customWidth="1"/>
    <col min="4" max="4" width="57.54296875" bestFit="1" customWidth="1"/>
    <col min="5" max="5" width="8.7265625" customWidth="1"/>
    <col min="6" max="6" width="11.81640625" bestFit="1" customWidth="1"/>
  </cols>
  <sheetData>
    <row r="1" spans="1:9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hidden="1" x14ac:dyDescent="0.35">
      <c r="A2" t="s">
        <v>5</v>
      </c>
      <c r="B2">
        <v>2025</v>
      </c>
      <c r="C2" t="s">
        <v>69</v>
      </c>
      <c r="D2" t="s">
        <v>38</v>
      </c>
      <c r="E2" s="1">
        <v>1.29984691435065E-5</v>
      </c>
      <c r="F2" s="1">
        <v>1.29984691435065E-5</v>
      </c>
      <c r="G2">
        <v>0</v>
      </c>
      <c r="H2">
        <v>0</v>
      </c>
      <c r="I2" t="s">
        <v>71</v>
      </c>
    </row>
    <row r="3" spans="1:9" hidden="1" x14ac:dyDescent="0.35">
      <c r="A3" t="s">
        <v>5</v>
      </c>
      <c r="B3">
        <v>2025</v>
      </c>
      <c r="C3" t="s">
        <v>69</v>
      </c>
      <c r="D3" t="s">
        <v>40</v>
      </c>
      <c r="E3" s="1">
        <v>3.5005632531327298E-5</v>
      </c>
      <c r="F3" s="1">
        <v>3.5005632531327298E-5</v>
      </c>
      <c r="G3">
        <v>0</v>
      </c>
      <c r="H3">
        <v>0</v>
      </c>
      <c r="I3" t="s">
        <v>71</v>
      </c>
    </row>
    <row r="4" spans="1:9" hidden="1" x14ac:dyDescent="0.35">
      <c r="A4" t="s">
        <v>5</v>
      </c>
      <c r="B4">
        <v>2025</v>
      </c>
      <c r="C4" t="s">
        <v>69</v>
      </c>
      <c r="D4" t="s">
        <v>41</v>
      </c>
      <c r="E4">
        <v>2.1063126132381499E-4</v>
      </c>
      <c r="F4">
        <v>2.1063126132381499E-4</v>
      </c>
      <c r="G4">
        <v>0</v>
      </c>
      <c r="H4">
        <v>0</v>
      </c>
      <c r="I4" t="s">
        <v>71</v>
      </c>
    </row>
    <row r="5" spans="1:9" hidden="1" x14ac:dyDescent="0.35">
      <c r="A5" t="s">
        <v>5</v>
      </c>
      <c r="B5">
        <v>2025</v>
      </c>
      <c r="C5" t="s">
        <v>69</v>
      </c>
      <c r="D5" t="s">
        <v>42</v>
      </c>
      <c r="E5">
        <v>1.0254853207816699E-2</v>
      </c>
      <c r="F5">
        <v>1.0254853207816699E-2</v>
      </c>
      <c r="G5">
        <v>0</v>
      </c>
      <c r="H5">
        <v>0</v>
      </c>
      <c r="I5" t="s">
        <v>71</v>
      </c>
    </row>
    <row r="6" spans="1:9" hidden="1" x14ac:dyDescent="0.35">
      <c r="A6" t="s">
        <v>5</v>
      </c>
      <c r="B6">
        <v>2025</v>
      </c>
      <c r="C6" t="s">
        <v>69</v>
      </c>
      <c r="D6" t="s">
        <v>43</v>
      </c>
      <c r="E6" s="1">
        <v>7.3602189388616705E-5</v>
      </c>
      <c r="F6" s="1">
        <v>7.3602189388616705E-5</v>
      </c>
      <c r="G6">
        <v>0</v>
      </c>
      <c r="H6">
        <v>0</v>
      </c>
      <c r="I6" t="s">
        <v>71</v>
      </c>
    </row>
    <row r="7" spans="1:9" hidden="1" x14ac:dyDescent="0.35">
      <c r="A7" t="s">
        <v>5</v>
      </c>
      <c r="B7">
        <v>2025</v>
      </c>
      <c r="C7" t="s">
        <v>69</v>
      </c>
      <c r="D7" t="s">
        <v>136</v>
      </c>
      <c r="E7">
        <v>2.97585155267601E-2</v>
      </c>
      <c r="F7">
        <v>2.97585155267601E-2</v>
      </c>
      <c r="G7">
        <v>0</v>
      </c>
      <c r="H7">
        <v>0</v>
      </c>
      <c r="I7" t="s">
        <v>71</v>
      </c>
    </row>
    <row r="8" spans="1:9" hidden="1" x14ac:dyDescent="0.35">
      <c r="A8" t="s">
        <v>5</v>
      </c>
      <c r="B8">
        <v>2025</v>
      </c>
      <c r="C8" t="s">
        <v>69</v>
      </c>
      <c r="D8" t="s">
        <v>45</v>
      </c>
      <c r="E8">
        <v>1.5460435927075399E-3</v>
      </c>
      <c r="F8">
        <v>1.5460435927075399E-3</v>
      </c>
      <c r="G8">
        <v>0</v>
      </c>
      <c r="H8">
        <v>0</v>
      </c>
      <c r="I8" t="s">
        <v>71</v>
      </c>
    </row>
    <row r="9" spans="1:9" hidden="1" x14ac:dyDescent="0.35">
      <c r="A9" t="s">
        <v>5</v>
      </c>
      <c r="B9">
        <v>2025</v>
      </c>
      <c r="C9" t="s">
        <v>69</v>
      </c>
      <c r="D9" t="s">
        <v>46</v>
      </c>
      <c r="E9">
        <v>9.1312637051099298E-4</v>
      </c>
      <c r="F9">
        <v>9.1312637051099298E-4</v>
      </c>
      <c r="G9">
        <v>0</v>
      </c>
      <c r="H9">
        <v>0</v>
      </c>
      <c r="I9" t="s">
        <v>71</v>
      </c>
    </row>
    <row r="10" spans="1:9" hidden="1" x14ac:dyDescent="0.35">
      <c r="A10" t="s">
        <v>5</v>
      </c>
      <c r="B10">
        <v>2025</v>
      </c>
      <c r="C10" t="s">
        <v>69</v>
      </c>
      <c r="D10" t="s">
        <v>47</v>
      </c>
      <c r="E10" s="1">
        <v>1.11527222171543E-5</v>
      </c>
      <c r="F10" s="1">
        <v>1.11527222171543E-5</v>
      </c>
      <c r="G10">
        <v>0</v>
      </c>
      <c r="H10">
        <v>0</v>
      </c>
      <c r="I10" t="s">
        <v>71</v>
      </c>
    </row>
    <row r="11" spans="1:9" hidden="1" x14ac:dyDescent="0.35">
      <c r="A11" t="s">
        <v>5</v>
      </c>
      <c r="B11">
        <v>2025</v>
      </c>
      <c r="C11" t="s">
        <v>69</v>
      </c>
      <c r="D11" t="s">
        <v>48</v>
      </c>
      <c r="E11">
        <v>1.7021310251374899E-3</v>
      </c>
      <c r="F11">
        <v>1.7021310251374899E-3</v>
      </c>
      <c r="G11">
        <v>0</v>
      </c>
      <c r="H11">
        <v>0</v>
      </c>
      <c r="I11" t="s">
        <v>71</v>
      </c>
    </row>
    <row r="12" spans="1:9" hidden="1" x14ac:dyDescent="0.35">
      <c r="A12" t="s">
        <v>5</v>
      </c>
      <c r="B12">
        <v>2025</v>
      </c>
      <c r="C12" t="s">
        <v>69</v>
      </c>
      <c r="D12" t="s">
        <v>49</v>
      </c>
      <c r="E12">
        <v>2.10063588115158E-4</v>
      </c>
      <c r="F12">
        <v>2.10063588115158E-4</v>
      </c>
      <c r="G12">
        <v>0</v>
      </c>
      <c r="H12">
        <v>0</v>
      </c>
      <c r="I12" t="s">
        <v>71</v>
      </c>
    </row>
    <row r="13" spans="1:9" hidden="1" x14ac:dyDescent="0.35">
      <c r="A13" t="s">
        <v>5</v>
      </c>
      <c r="B13">
        <v>2025</v>
      </c>
      <c r="C13" t="s">
        <v>69</v>
      </c>
      <c r="D13" t="s">
        <v>50</v>
      </c>
      <c r="E13">
        <v>5.4352268058541404E-4</v>
      </c>
      <c r="F13">
        <v>5.4352268058541404E-4</v>
      </c>
      <c r="G13">
        <v>0</v>
      </c>
      <c r="H13">
        <v>0</v>
      </c>
      <c r="I13" t="s">
        <v>71</v>
      </c>
    </row>
    <row r="14" spans="1:9" hidden="1" x14ac:dyDescent="0.35">
      <c r="A14" t="s">
        <v>5</v>
      </c>
      <c r="B14">
        <v>2025</v>
      </c>
      <c r="C14" t="s">
        <v>69</v>
      </c>
      <c r="D14" t="s">
        <v>51</v>
      </c>
      <c r="E14">
        <v>9.6225294972562495E-3</v>
      </c>
      <c r="F14">
        <v>9.6225294972562495E-3</v>
      </c>
      <c r="G14">
        <v>0</v>
      </c>
      <c r="H14">
        <v>0</v>
      </c>
      <c r="I14" t="s">
        <v>71</v>
      </c>
    </row>
    <row r="15" spans="1:9" hidden="1" x14ac:dyDescent="0.35">
      <c r="A15" t="s">
        <v>5</v>
      </c>
      <c r="B15">
        <v>2025</v>
      </c>
      <c r="C15" t="s">
        <v>69</v>
      </c>
      <c r="D15" t="s">
        <v>52</v>
      </c>
      <c r="E15">
        <v>3.2335910378419402E-3</v>
      </c>
      <c r="F15">
        <v>3.2335910378419402E-3</v>
      </c>
      <c r="G15">
        <v>0</v>
      </c>
      <c r="H15">
        <v>0</v>
      </c>
      <c r="I15" t="s">
        <v>71</v>
      </c>
    </row>
    <row r="16" spans="1:9" hidden="1" x14ac:dyDescent="0.35">
      <c r="A16" t="s">
        <v>5</v>
      </c>
      <c r="B16">
        <v>2025</v>
      </c>
      <c r="C16" t="s">
        <v>69</v>
      </c>
      <c r="D16" t="s">
        <v>53</v>
      </c>
      <c r="E16">
        <v>7.5696564089669698E-3</v>
      </c>
      <c r="F16">
        <v>7.5696564089669698E-3</v>
      </c>
      <c r="G16">
        <v>0</v>
      </c>
      <c r="H16">
        <v>0</v>
      </c>
      <c r="I16" t="s">
        <v>71</v>
      </c>
    </row>
    <row r="17" spans="1:9" hidden="1" x14ac:dyDescent="0.35">
      <c r="A17" t="s">
        <v>5</v>
      </c>
      <c r="B17">
        <v>2025</v>
      </c>
      <c r="C17" t="s">
        <v>69</v>
      </c>
      <c r="D17" t="s">
        <v>54</v>
      </c>
      <c r="E17">
        <v>5.6837761389057695E-4</v>
      </c>
      <c r="F17">
        <v>5.6837761389057695E-4</v>
      </c>
      <c r="G17">
        <v>0</v>
      </c>
      <c r="H17">
        <v>0</v>
      </c>
      <c r="I17" t="s">
        <v>71</v>
      </c>
    </row>
    <row r="18" spans="1:9" hidden="1" x14ac:dyDescent="0.35">
      <c r="A18" t="s">
        <v>5</v>
      </c>
      <c r="B18">
        <v>2025</v>
      </c>
      <c r="C18" t="s">
        <v>69</v>
      </c>
      <c r="D18" t="s">
        <v>55</v>
      </c>
      <c r="E18">
        <v>5.2124208643968895E-4</v>
      </c>
      <c r="F18">
        <v>5.2124208643968895E-4</v>
      </c>
      <c r="G18">
        <v>0</v>
      </c>
      <c r="H18">
        <v>0</v>
      </c>
      <c r="I18" t="s">
        <v>71</v>
      </c>
    </row>
    <row r="19" spans="1:9" hidden="1" x14ac:dyDescent="0.35">
      <c r="A19" t="s">
        <v>5</v>
      </c>
      <c r="B19">
        <v>2025</v>
      </c>
      <c r="C19" t="s">
        <v>69</v>
      </c>
      <c r="D19" t="s">
        <v>56</v>
      </c>
      <c r="E19" s="1">
        <v>1.29990415309105E-9</v>
      </c>
      <c r="F19" s="1">
        <v>1.29990415309105E-9</v>
      </c>
      <c r="G19">
        <v>0</v>
      </c>
      <c r="H19">
        <v>0</v>
      </c>
      <c r="I19" t="s">
        <v>71</v>
      </c>
    </row>
    <row r="20" spans="1:9" hidden="1" x14ac:dyDescent="0.35">
      <c r="A20" t="s">
        <v>7</v>
      </c>
      <c r="B20">
        <v>2030</v>
      </c>
      <c r="C20" t="s">
        <v>69</v>
      </c>
      <c r="D20" t="s">
        <v>38</v>
      </c>
      <c r="E20" s="1">
        <v>1.53928532802894E-5</v>
      </c>
      <c r="F20" s="1">
        <v>1.53928532802894E-5</v>
      </c>
      <c r="G20">
        <v>0</v>
      </c>
      <c r="H20">
        <v>0</v>
      </c>
      <c r="I20" t="s">
        <v>71</v>
      </c>
    </row>
    <row r="21" spans="1:9" hidden="1" x14ac:dyDescent="0.35">
      <c r="A21" t="s">
        <v>7</v>
      </c>
      <c r="B21">
        <v>2030</v>
      </c>
      <c r="C21" t="s">
        <v>69</v>
      </c>
      <c r="D21" t="s">
        <v>40</v>
      </c>
      <c r="E21" s="1">
        <v>3.4419157606041902E-5</v>
      </c>
      <c r="F21" s="1">
        <v>3.4419157606041902E-5</v>
      </c>
      <c r="G21">
        <v>0</v>
      </c>
      <c r="H21">
        <v>0</v>
      </c>
      <c r="I21" t="s">
        <v>71</v>
      </c>
    </row>
    <row r="22" spans="1:9" hidden="1" x14ac:dyDescent="0.35">
      <c r="A22" t="s">
        <v>7</v>
      </c>
      <c r="B22">
        <v>2030</v>
      </c>
      <c r="C22" t="s">
        <v>69</v>
      </c>
      <c r="D22" t="s">
        <v>41</v>
      </c>
      <c r="E22">
        <v>2.0347536140240399E-4</v>
      </c>
      <c r="F22">
        <v>2.0347536140240399E-4</v>
      </c>
      <c r="G22">
        <v>0</v>
      </c>
      <c r="H22">
        <v>0</v>
      </c>
      <c r="I22" t="s">
        <v>71</v>
      </c>
    </row>
    <row r="23" spans="1:9" hidden="1" x14ac:dyDescent="0.35">
      <c r="A23" t="s">
        <v>7</v>
      </c>
      <c r="B23">
        <v>2030</v>
      </c>
      <c r="C23" t="s">
        <v>69</v>
      </c>
      <c r="D23" t="s">
        <v>42</v>
      </c>
      <c r="E23">
        <v>9.0142610003141194E-3</v>
      </c>
      <c r="F23">
        <v>9.0142610003141194E-3</v>
      </c>
      <c r="G23">
        <v>0</v>
      </c>
      <c r="H23">
        <v>0</v>
      </c>
      <c r="I23" t="s">
        <v>71</v>
      </c>
    </row>
    <row r="24" spans="1:9" hidden="1" x14ac:dyDescent="0.35">
      <c r="A24" t="s">
        <v>7</v>
      </c>
      <c r="B24">
        <v>2030</v>
      </c>
      <c r="C24" t="s">
        <v>69</v>
      </c>
      <c r="D24" t="s">
        <v>43</v>
      </c>
      <c r="E24" s="1">
        <v>7.1074425144634806E-5</v>
      </c>
      <c r="F24" s="1">
        <v>7.1074425144634806E-5</v>
      </c>
      <c r="G24">
        <v>0</v>
      </c>
      <c r="H24">
        <v>0</v>
      </c>
      <c r="I24" t="s">
        <v>71</v>
      </c>
    </row>
    <row r="25" spans="1:9" hidden="1" x14ac:dyDescent="0.35">
      <c r="A25" t="s">
        <v>7</v>
      </c>
      <c r="B25">
        <v>2030</v>
      </c>
      <c r="C25" t="s">
        <v>69</v>
      </c>
      <c r="D25" t="s">
        <v>136</v>
      </c>
      <c r="E25">
        <v>2.6149033915518299E-2</v>
      </c>
      <c r="F25">
        <v>2.6149033915518299E-2</v>
      </c>
      <c r="G25">
        <v>0</v>
      </c>
      <c r="H25">
        <v>0</v>
      </c>
      <c r="I25" t="s">
        <v>71</v>
      </c>
    </row>
    <row r="26" spans="1:9" hidden="1" x14ac:dyDescent="0.35">
      <c r="A26" t="s">
        <v>7</v>
      </c>
      <c r="B26">
        <v>2030</v>
      </c>
      <c r="C26" t="s">
        <v>69</v>
      </c>
      <c r="D26" t="s">
        <v>45</v>
      </c>
      <c r="E26">
        <v>1.53579018696616E-3</v>
      </c>
      <c r="F26">
        <v>4.4943825085944799E-4</v>
      </c>
      <c r="G26">
        <v>-1.0863519361067101E-3</v>
      </c>
      <c r="H26">
        <v>-70.735699793258803</v>
      </c>
      <c r="I26" t="s">
        <v>71</v>
      </c>
    </row>
    <row r="27" spans="1:9" hidden="1" x14ac:dyDescent="0.35">
      <c r="A27" t="s">
        <v>7</v>
      </c>
      <c r="B27">
        <v>2030</v>
      </c>
      <c r="C27" t="s">
        <v>69</v>
      </c>
      <c r="D27" t="s">
        <v>46</v>
      </c>
      <c r="E27">
        <v>1.0922662305158099E-3</v>
      </c>
      <c r="F27">
        <v>1.0922662305158099E-3</v>
      </c>
      <c r="G27">
        <v>0</v>
      </c>
      <c r="H27">
        <v>0</v>
      </c>
      <c r="I27" t="s">
        <v>71</v>
      </c>
    </row>
    <row r="28" spans="1:9" hidden="1" x14ac:dyDescent="0.35">
      <c r="A28" t="s">
        <v>7</v>
      </c>
      <c r="B28">
        <v>2030</v>
      </c>
      <c r="C28" t="s">
        <v>69</v>
      </c>
      <c r="D28" t="s">
        <v>47</v>
      </c>
      <c r="E28" s="1">
        <v>9.3257549663080498E-6</v>
      </c>
      <c r="F28" s="1">
        <v>9.3257549663080498E-6</v>
      </c>
      <c r="G28">
        <v>0</v>
      </c>
      <c r="H28">
        <v>0</v>
      </c>
      <c r="I28" t="s">
        <v>71</v>
      </c>
    </row>
    <row r="29" spans="1:9" hidden="1" x14ac:dyDescent="0.35">
      <c r="A29" t="s">
        <v>7</v>
      </c>
      <c r="B29">
        <v>2030</v>
      </c>
      <c r="C29" t="s">
        <v>69</v>
      </c>
      <c r="D29" t="s">
        <v>48</v>
      </c>
      <c r="E29">
        <v>1.7290912523225299E-3</v>
      </c>
      <c r="F29">
        <v>1.7290912523225299E-3</v>
      </c>
      <c r="G29">
        <v>0</v>
      </c>
      <c r="H29">
        <v>0</v>
      </c>
      <c r="I29" t="s">
        <v>71</v>
      </c>
    </row>
    <row r="30" spans="1:9" hidden="1" x14ac:dyDescent="0.35">
      <c r="A30" t="s">
        <v>7</v>
      </c>
      <c r="B30">
        <v>2030</v>
      </c>
      <c r="C30" t="s">
        <v>69</v>
      </c>
      <c r="D30" t="s">
        <v>49</v>
      </c>
      <c r="E30">
        <v>1.96840263648659E-4</v>
      </c>
      <c r="F30">
        <v>1.96840263648659E-4</v>
      </c>
      <c r="G30">
        <v>0</v>
      </c>
      <c r="H30">
        <v>0</v>
      </c>
      <c r="I30" t="s">
        <v>71</v>
      </c>
    </row>
    <row r="31" spans="1:9" hidden="1" x14ac:dyDescent="0.35">
      <c r="A31" t="s">
        <v>7</v>
      </c>
      <c r="B31">
        <v>2030</v>
      </c>
      <c r="C31" t="s">
        <v>69</v>
      </c>
      <c r="D31" t="s">
        <v>50</v>
      </c>
      <c r="E31">
        <v>5.3047264723263905E-4</v>
      </c>
      <c r="F31">
        <v>5.3047264723263905E-4</v>
      </c>
      <c r="G31">
        <v>0</v>
      </c>
      <c r="H31">
        <v>0</v>
      </c>
      <c r="I31" t="s">
        <v>71</v>
      </c>
    </row>
    <row r="32" spans="1:9" hidden="1" x14ac:dyDescent="0.35">
      <c r="A32" t="s">
        <v>7</v>
      </c>
      <c r="B32">
        <v>2030</v>
      </c>
      <c r="C32" t="s">
        <v>69</v>
      </c>
      <c r="D32" t="s">
        <v>51</v>
      </c>
      <c r="E32">
        <v>9.6522029917645597E-3</v>
      </c>
      <c r="F32">
        <v>9.6522029917645597E-3</v>
      </c>
      <c r="G32">
        <v>0</v>
      </c>
      <c r="H32">
        <v>0</v>
      </c>
      <c r="I32" t="s">
        <v>71</v>
      </c>
    </row>
    <row r="33" spans="1:9" hidden="1" x14ac:dyDescent="0.35">
      <c r="A33" t="s">
        <v>7</v>
      </c>
      <c r="B33">
        <v>2030</v>
      </c>
      <c r="C33" t="s">
        <v>69</v>
      </c>
      <c r="D33" t="s">
        <v>52</v>
      </c>
      <c r="E33">
        <v>2.72507491559058E-3</v>
      </c>
      <c r="F33">
        <v>2.72507491559058E-3</v>
      </c>
      <c r="G33">
        <v>0</v>
      </c>
      <c r="H33">
        <v>0</v>
      </c>
      <c r="I33" t="s">
        <v>71</v>
      </c>
    </row>
    <row r="34" spans="1:9" hidden="1" x14ac:dyDescent="0.35">
      <c r="A34" t="s">
        <v>7</v>
      </c>
      <c r="B34">
        <v>2030</v>
      </c>
      <c r="C34" t="s">
        <v>69</v>
      </c>
      <c r="D34" t="s">
        <v>53</v>
      </c>
      <c r="E34">
        <v>6.6730376913642104E-3</v>
      </c>
      <c r="F34">
        <v>6.6730376913642104E-3</v>
      </c>
      <c r="G34">
        <v>0</v>
      </c>
      <c r="H34">
        <v>0</v>
      </c>
      <c r="I34" t="s">
        <v>71</v>
      </c>
    </row>
    <row r="35" spans="1:9" hidden="1" x14ac:dyDescent="0.35">
      <c r="A35" t="s">
        <v>7</v>
      </c>
      <c r="B35">
        <v>2030</v>
      </c>
      <c r="C35" t="s">
        <v>69</v>
      </c>
      <c r="D35" t="s">
        <v>54</v>
      </c>
      <c r="E35">
        <v>5.6634842936521097E-4</v>
      </c>
      <c r="F35">
        <v>5.6634842936521097E-4</v>
      </c>
      <c r="G35">
        <v>0</v>
      </c>
      <c r="H35">
        <v>0</v>
      </c>
      <c r="I35" t="s">
        <v>71</v>
      </c>
    </row>
    <row r="36" spans="1:9" hidden="1" x14ac:dyDescent="0.35">
      <c r="A36" t="s">
        <v>7</v>
      </c>
      <c r="B36">
        <v>2030</v>
      </c>
      <c r="C36" t="s">
        <v>69</v>
      </c>
      <c r="D36" t="s">
        <v>55</v>
      </c>
      <c r="E36">
        <v>5.1667872560086001E-4</v>
      </c>
      <c r="F36">
        <v>5.1667872560086001E-4</v>
      </c>
      <c r="G36">
        <v>0</v>
      </c>
      <c r="H36">
        <v>0</v>
      </c>
      <c r="I36" t="s">
        <v>71</v>
      </c>
    </row>
    <row r="37" spans="1:9" hidden="1" x14ac:dyDescent="0.35">
      <c r="A37" t="s">
        <v>7</v>
      </c>
      <c r="B37">
        <v>2030</v>
      </c>
      <c r="C37" t="s">
        <v>69</v>
      </c>
      <c r="D37" t="s">
        <v>56</v>
      </c>
      <c r="E37" s="1">
        <v>1.19902685836264E-9</v>
      </c>
      <c r="F37" s="1">
        <v>1.19902685836264E-9</v>
      </c>
      <c r="G37">
        <v>0</v>
      </c>
      <c r="H37">
        <v>0</v>
      </c>
      <c r="I37" t="s">
        <v>71</v>
      </c>
    </row>
    <row r="38" spans="1:9" hidden="1" x14ac:dyDescent="0.35">
      <c r="A38" t="s">
        <v>9</v>
      </c>
      <c r="B38">
        <v>2035</v>
      </c>
      <c r="C38" t="s">
        <v>69</v>
      </c>
      <c r="D38" t="s">
        <v>38</v>
      </c>
      <c r="E38" s="1">
        <v>1.6578138314095501E-5</v>
      </c>
      <c r="F38" s="1">
        <v>1.6578138314095501E-5</v>
      </c>
      <c r="G38">
        <v>0</v>
      </c>
      <c r="H38">
        <v>0</v>
      </c>
      <c r="I38" t="s">
        <v>71</v>
      </c>
    </row>
    <row r="39" spans="1:9" hidden="1" x14ac:dyDescent="0.35">
      <c r="A39" t="s">
        <v>9</v>
      </c>
      <c r="B39">
        <v>2035</v>
      </c>
      <c r="C39" t="s">
        <v>69</v>
      </c>
      <c r="D39" t="s">
        <v>40</v>
      </c>
      <c r="E39" s="1">
        <v>3.3846662921849001E-5</v>
      </c>
      <c r="F39" s="1">
        <v>3.3846662921849001E-5</v>
      </c>
      <c r="G39">
        <v>0</v>
      </c>
      <c r="H39">
        <v>0</v>
      </c>
      <c r="I39" t="s">
        <v>71</v>
      </c>
    </row>
    <row r="40" spans="1:9" hidden="1" x14ac:dyDescent="0.35">
      <c r="A40" t="s">
        <v>9</v>
      </c>
      <c r="B40">
        <v>2035</v>
      </c>
      <c r="C40" t="s">
        <v>69</v>
      </c>
      <c r="D40" t="s">
        <v>41</v>
      </c>
      <c r="E40">
        <v>1.98774496266955E-4</v>
      </c>
      <c r="F40">
        <v>1.98774496266955E-4</v>
      </c>
      <c r="G40">
        <v>0</v>
      </c>
      <c r="H40">
        <v>0</v>
      </c>
      <c r="I40" t="s">
        <v>71</v>
      </c>
    </row>
    <row r="41" spans="1:9" hidden="1" x14ac:dyDescent="0.35">
      <c r="A41" t="s">
        <v>9</v>
      </c>
      <c r="B41">
        <v>2035</v>
      </c>
      <c r="C41" t="s">
        <v>69</v>
      </c>
      <c r="D41" t="s">
        <v>42</v>
      </c>
      <c r="E41">
        <v>8.2354017816072596E-3</v>
      </c>
      <c r="F41">
        <v>8.2354017816072596E-3</v>
      </c>
      <c r="G41">
        <v>0</v>
      </c>
      <c r="H41">
        <v>0</v>
      </c>
      <c r="I41" t="s">
        <v>71</v>
      </c>
    </row>
    <row r="42" spans="1:9" hidden="1" x14ac:dyDescent="0.35">
      <c r="A42" t="s">
        <v>9</v>
      </c>
      <c r="B42">
        <v>2035</v>
      </c>
      <c r="C42" t="s">
        <v>69</v>
      </c>
      <c r="D42" t="s">
        <v>43</v>
      </c>
      <c r="E42" s="1">
        <v>6.9344821306015404E-5</v>
      </c>
      <c r="F42" s="1">
        <v>6.9344821306015404E-5</v>
      </c>
      <c r="G42">
        <v>0</v>
      </c>
      <c r="H42">
        <v>0</v>
      </c>
      <c r="I42" t="s">
        <v>71</v>
      </c>
    </row>
    <row r="43" spans="1:9" hidden="1" x14ac:dyDescent="0.35">
      <c r="A43" t="s">
        <v>9</v>
      </c>
      <c r="B43">
        <v>2035</v>
      </c>
      <c r="C43" t="s">
        <v>69</v>
      </c>
      <c r="D43" t="s">
        <v>136</v>
      </c>
      <c r="E43">
        <v>2.3320141365727701E-2</v>
      </c>
      <c r="F43">
        <v>2.3320141365727701E-2</v>
      </c>
      <c r="G43">
        <v>0</v>
      </c>
      <c r="H43">
        <v>0</v>
      </c>
      <c r="I43" t="s">
        <v>71</v>
      </c>
    </row>
    <row r="44" spans="1:9" hidden="1" x14ac:dyDescent="0.35">
      <c r="A44" t="s">
        <v>9</v>
      </c>
      <c r="B44">
        <v>2035</v>
      </c>
      <c r="C44" t="s">
        <v>69</v>
      </c>
      <c r="D44" t="s">
        <v>45</v>
      </c>
      <c r="E44">
        <v>1.52878256236196E-3</v>
      </c>
      <c r="F44">
        <v>1.2374195386125901E-3</v>
      </c>
      <c r="G44">
        <v>-2.9136302374936998E-4</v>
      </c>
      <c r="H44">
        <v>-19.058499941235201</v>
      </c>
      <c r="I44" t="s">
        <v>71</v>
      </c>
    </row>
    <row r="45" spans="1:9" hidden="1" x14ac:dyDescent="0.35">
      <c r="A45" t="s">
        <v>9</v>
      </c>
      <c r="B45">
        <v>2035</v>
      </c>
      <c r="C45" t="s">
        <v>69</v>
      </c>
      <c r="D45" t="s">
        <v>46</v>
      </c>
      <c r="E45">
        <v>1.59348771289491E-3</v>
      </c>
      <c r="F45">
        <v>1.59348771289491E-3</v>
      </c>
      <c r="G45">
        <v>0</v>
      </c>
      <c r="H45">
        <v>0</v>
      </c>
      <c r="I45" t="s">
        <v>71</v>
      </c>
    </row>
    <row r="46" spans="1:9" hidden="1" x14ac:dyDescent="0.35">
      <c r="A46" t="s">
        <v>9</v>
      </c>
      <c r="B46">
        <v>2035</v>
      </c>
      <c r="C46" t="s">
        <v>69</v>
      </c>
      <c r="D46" t="s">
        <v>47</v>
      </c>
      <c r="E46" s="1">
        <v>8.1935648876127801E-6</v>
      </c>
      <c r="F46" s="1">
        <v>8.1935648876127801E-6</v>
      </c>
      <c r="G46">
        <v>0</v>
      </c>
      <c r="H46">
        <v>0</v>
      </c>
      <c r="I46" t="s">
        <v>71</v>
      </c>
    </row>
    <row r="47" spans="1:9" hidden="1" x14ac:dyDescent="0.35">
      <c r="A47" t="s">
        <v>9</v>
      </c>
      <c r="B47">
        <v>2035</v>
      </c>
      <c r="C47" t="s">
        <v>69</v>
      </c>
      <c r="D47" t="s">
        <v>48</v>
      </c>
      <c r="E47">
        <v>1.74443141590038E-3</v>
      </c>
      <c r="F47">
        <v>1.74443141590038E-3</v>
      </c>
      <c r="G47">
        <v>0</v>
      </c>
      <c r="H47">
        <v>0</v>
      </c>
      <c r="I47" t="s">
        <v>71</v>
      </c>
    </row>
    <row r="48" spans="1:9" hidden="1" x14ac:dyDescent="0.35">
      <c r="A48" t="s">
        <v>9</v>
      </c>
      <c r="B48">
        <v>2035</v>
      </c>
      <c r="C48" t="s">
        <v>69</v>
      </c>
      <c r="D48" t="s">
        <v>49</v>
      </c>
      <c r="E48">
        <v>1.89483884222767E-4</v>
      </c>
      <c r="F48">
        <v>1.89483884222767E-4</v>
      </c>
      <c r="G48">
        <v>0</v>
      </c>
      <c r="H48">
        <v>0</v>
      </c>
      <c r="I48" t="s">
        <v>71</v>
      </c>
    </row>
    <row r="49" spans="1:9" hidden="1" x14ac:dyDescent="0.35">
      <c r="A49" t="s">
        <v>9</v>
      </c>
      <c r="B49">
        <v>2035</v>
      </c>
      <c r="C49" t="s">
        <v>69</v>
      </c>
      <c r="D49" t="s">
        <v>50</v>
      </c>
      <c r="E49">
        <v>5.1760602674179995E-4</v>
      </c>
      <c r="F49">
        <v>5.1760602674179995E-4</v>
      </c>
      <c r="G49">
        <v>0</v>
      </c>
      <c r="H49">
        <v>0</v>
      </c>
      <c r="I49" t="s">
        <v>71</v>
      </c>
    </row>
    <row r="50" spans="1:9" hidden="1" x14ac:dyDescent="0.35">
      <c r="A50" t="s">
        <v>9</v>
      </c>
      <c r="B50">
        <v>2035</v>
      </c>
      <c r="C50" t="s">
        <v>69</v>
      </c>
      <c r="D50" t="s">
        <v>51</v>
      </c>
      <c r="E50">
        <v>9.6932972603566807E-3</v>
      </c>
      <c r="F50">
        <v>9.6932972603566807E-3</v>
      </c>
      <c r="G50">
        <v>0</v>
      </c>
      <c r="H50">
        <v>0</v>
      </c>
      <c r="I50" t="s">
        <v>71</v>
      </c>
    </row>
    <row r="51" spans="1:9" hidden="1" x14ac:dyDescent="0.35">
      <c r="A51" t="s">
        <v>9</v>
      </c>
      <c r="B51">
        <v>2035</v>
      </c>
      <c r="C51" t="s">
        <v>69</v>
      </c>
      <c r="D51" t="s">
        <v>52</v>
      </c>
      <c r="E51">
        <v>2.1729975708755199E-3</v>
      </c>
      <c r="F51">
        <v>2.1729975708755199E-3</v>
      </c>
      <c r="G51">
        <v>0</v>
      </c>
      <c r="H51">
        <v>0</v>
      </c>
      <c r="I51" t="s">
        <v>71</v>
      </c>
    </row>
    <row r="52" spans="1:9" hidden="1" x14ac:dyDescent="0.35">
      <c r="A52" t="s">
        <v>9</v>
      </c>
      <c r="B52">
        <v>2035</v>
      </c>
      <c r="C52" t="s">
        <v>69</v>
      </c>
      <c r="D52" t="s">
        <v>53</v>
      </c>
      <c r="E52">
        <v>5.9365348715266003E-3</v>
      </c>
      <c r="F52">
        <v>5.9365348715266003E-3</v>
      </c>
      <c r="G52">
        <v>0</v>
      </c>
      <c r="H52">
        <v>0</v>
      </c>
      <c r="I52" t="s">
        <v>71</v>
      </c>
    </row>
    <row r="53" spans="1:9" hidden="1" x14ac:dyDescent="0.35">
      <c r="A53" t="s">
        <v>9</v>
      </c>
      <c r="B53">
        <v>2035</v>
      </c>
      <c r="C53" t="s">
        <v>69</v>
      </c>
      <c r="D53" t="s">
        <v>54</v>
      </c>
      <c r="E53">
        <v>5.6654392516583205E-4</v>
      </c>
      <c r="F53">
        <v>5.6654392516583205E-4</v>
      </c>
      <c r="G53">
        <v>0</v>
      </c>
      <c r="H53">
        <v>0</v>
      </c>
      <c r="I53" t="s">
        <v>71</v>
      </c>
    </row>
    <row r="54" spans="1:9" hidden="1" x14ac:dyDescent="0.35">
      <c r="A54" t="s">
        <v>9</v>
      </c>
      <c r="B54">
        <v>2035</v>
      </c>
      <c r="C54" t="s">
        <v>69</v>
      </c>
      <c r="D54" t="s">
        <v>55</v>
      </c>
      <c r="E54">
        <v>5.1565289501477899E-4</v>
      </c>
      <c r="F54">
        <v>5.1565289501477899E-4</v>
      </c>
      <c r="G54">
        <v>0</v>
      </c>
      <c r="H54">
        <v>0</v>
      </c>
      <c r="I54" t="s">
        <v>71</v>
      </c>
    </row>
    <row r="55" spans="1:9" hidden="1" x14ac:dyDescent="0.35">
      <c r="A55" t="s">
        <v>9</v>
      </c>
      <c r="B55">
        <v>2035</v>
      </c>
      <c r="C55" t="s">
        <v>69</v>
      </c>
      <c r="D55" t="s">
        <v>56</v>
      </c>
      <c r="E55" s="1">
        <v>1.1017258229738701E-9</v>
      </c>
      <c r="F55" s="1">
        <v>1.1017258229738701E-9</v>
      </c>
      <c r="G55">
        <v>0</v>
      </c>
      <c r="H55">
        <v>0</v>
      </c>
      <c r="I55" t="s">
        <v>71</v>
      </c>
    </row>
    <row r="56" spans="1:9" hidden="1" x14ac:dyDescent="0.35">
      <c r="A56" t="s">
        <v>11</v>
      </c>
      <c r="B56">
        <v>2040</v>
      </c>
      <c r="C56" t="s">
        <v>69</v>
      </c>
      <c r="D56" t="s">
        <v>38</v>
      </c>
      <c r="E56" s="1">
        <v>1.47331781235678E-5</v>
      </c>
      <c r="F56" s="1">
        <v>1.47331781235678E-5</v>
      </c>
      <c r="G56">
        <v>0</v>
      </c>
      <c r="H56">
        <v>0</v>
      </c>
      <c r="I56" t="s">
        <v>71</v>
      </c>
    </row>
    <row r="57" spans="1:9" hidden="1" x14ac:dyDescent="0.35">
      <c r="A57" t="s">
        <v>11</v>
      </c>
      <c r="B57">
        <v>2040</v>
      </c>
      <c r="C57" t="s">
        <v>69</v>
      </c>
      <c r="D57" t="s">
        <v>40</v>
      </c>
      <c r="E57" s="1">
        <v>3.3385076665662798E-5</v>
      </c>
      <c r="F57" s="1">
        <v>3.3385076665662798E-5</v>
      </c>
      <c r="G57">
        <v>0</v>
      </c>
      <c r="H57">
        <v>0</v>
      </c>
      <c r="I57" t="s">
        <v>71</v>
      </c>
    </row>
    <row r="58" spans="1:9" hidden="1" x14ac:dyDescent="0.35">
      <c r="A58" t="s">
        <v>11</v>
      </c>
      <c r="B58">
        <v>2040</v>
      </c>
      <c r="C58" t="s">
        <v>69</v>
      </c>
      <c r="D58" t="s">
        <v>41</v>
      </c>
      <c r="E58">
        <v>1.9555928129192399E-4</v>
      </c>
      <c r="F58">
        <v>1.9555928129192399E-4</v>
      </c>
      <c r="G58">
        <v>0</v>
      </c>
      <c r="H58">
        <v>0</v>
      </c>
      <c r="I58" t="s">
        <v>71</v>
      </c>
    </row>
    <row r="59" spans="1:9" hidden="1" x14ac:dyDescent="0.35">
      <c r="A59" t="s">
        <v>11</v>
      </c>
      <c r="B59">
        <v>2040</v>
      </c>
      <c r="C59" t="s">
        <v>69</v>
      </c>
      <c r="D59" t="s">
        <v>42</v>
      </c>
      <c r="E59">
        <v>7.6256132811907398E-3</v>
      </c>
      <c r="F59">
        <v>7.6256132811907398E-3</v>
      </c>
      <c r="G59">
        <v>0</v>
      </c>
      <c r="H59">
        <v>0</v>
      </c>
      <c r="I59" t="s">
        <v>71</v>
      </c>
    </row>
    <row r="60" spans="1:9" hidden="1" x14ac:dyDescent="0.35">
      <c r="A60" t="s">
        <v>11</v>
      </c>
      <c r="B60">
        <v>2040</v>
      </c>
      <c r="C60" t="s">
        <v>69</v>
      </c>
      <c r="D60" t="s">
        <v>43</v>
      </c>
      <c r="E60" s="1">
        <v>6.7883751601464104E-5</v>
      </c>
      <c r="F60" s="1">
        <v>6.7883751601464104E-5</v>
      </c>
      <c r="G60">
        <v>0</v>
      </c>
      <c r="H60">
        <v>0</v>
      </c>
      <c r="I60" t="s">
        <v>71</v>
      </c>
    </row>
    <row r="61" spans="1:9" hidden="1" x14ac:dyDescent="0.35">
      <c r="A61" t="s">
        <v>11</v>
      </c>
      <c r="B61">
        <v>2040</v>
      </c>
      <c r="C61" t="s">
        <v>69</v>
      </c>
      <c r="D61" t="s">
        <v>136</v>
      </c>
      <c r="E61">
        <v>2.1230254158232899E-2</v>
      </c>
      <c r="F61">
        <v>2.1230254158232899E-2</v>
      </c>
      <c r="G61">
        <v>0</v>
      </c>
      <c r="H61">
        <v>0</v>
      </c>
      <c r="I61" t="s">
        <v>71</v>
      </c>
    </row>
    <row r="62" spans="1:9" hidden="1" x14ac:dyDescent="0.35">
      <c r="A62" t="s">
        <v>11</v>
      </c>
      <c r="B62">
        <v>2040</v>
      </c>
      <c r="C62" t="s">
        <v>69</v>
      </c>
      <c r="D62" t="s">
        <v>45</v>
      </c>
      <c r="E62">
        <v>1.5248072809135799E-3</v>
      </c>
      <c r="F62">
        <v>1.4709231904961901E-4</v>
      </c>
      <c r="G62">
        <v>-1.3777149618639599E-3</v>
      </c>
      <c r="H62">
        <v>-90.3533829559438</v>
      </c>
      <c r="I62" t="s">
        <v>71</v>
      </c>
    </row>
    <row r="63" spans="1:9" hidden="1" x14ac:dyDescent="0.35">
      <c r="A63" t="s">
        <v>11</v>
      </c>
      <c r="B63">
        <v>2040</v>
      </c>
      <c r="C63" t="s">
        <v>69</v>
      </c>
      <c r="D63" t="s">
        <v>46</v>
      </c>
      <c r="E63">
        <v>2.4507639606146099E-3</v>
      </c>
      <c r="F63">
        <v>2.4507639606146099E-3</v>
      </c>
      <c r="G63">
        <v>0</v>
      </c>
      <c r="H63">
        <v>0</v>
      </c>
      <c r="I63" t="s">
        <v>71</v>
      </c>
    </row>
    <row r="64" spans="1:9" hidden="1" x14ac:dyDescent="0.35">
      <c r="A64" t="s">
        <v>11</v>
      </c>
      <c r="B64">
        <v>2040</v>
      </c>
      <c r="C64" t="s">
        <v>69</v>
      </c>
      <c r="D64" t="s">
        <v>47</v>
      </c>
      <c r="E64" s="1">
        <v>7.2931085635149803E-6</v>
      </c>
      <c r="F64" s="1">
        <v>7.2931085635149803E-6</v>
      </c>
      <c r="G64">
        <v>0</v>
      </c>
      <c r="H64">
        <v>0</v>
      </c>
      <c r="I64" t="s">
        <v>71</v>
      </c>
    </row>
    <row r="65" spans="1:9" hidden="1" x14ac:dyDescent="0.35">
      <c r="A65" t="s">
        <v>11</v>
      </c>
      <c r="B65">
        <v>2040</v>
      </c>
      <c r="C65" t="s">
        <v>69</v>
      </c>
      <c r="D65" t="s">
        <v>48</v>
      </c>
      <c r="E65">
        <v>1.7500914869169599E-3</v>
      </c>
      <c r="F65">
        <v>1.7500914869169599E-3</v>
      </c>
      <c r="G65">
        <v>0</v>
      </c>
      <c r="H65">
        <v>0</v>
      </c>
      <c r="I65" t="s">
        <v>71</v>
      </c>
    </row>
    <row r="66" spans="1:9" hidden="1" x14ac:dyDescent="0.35">
      <c r="A66" t="s">
        <v>11</v>
      </c>
      <c r="B66">
        <v>2040</v>
      </c>
      <c r="C66" t="s">
        <v>69</v>
      </c>
      <c r="D66" t="s">
        <v>49</v>
      </c>
      <c r="E66">
        <v>1.84904057403011E-4</v>
      </c>
      <c r="F66">
        <v>1.84904057403011E-4</v>
      </c>
      <c r="G66">
        <v>0</v>
      </c>
      <c r="H66">
        <v>0</v>
      </c>
      <c r="I66" t="s">
        <v>71</v>
      </c>
    </row>
    <row r="67" spans="1:9" hidden="1" x14ac:dyDescent="0.35">
      <c r="A67" t="s">
        <v>11</v>
      </c>
      <c r="B67">
        <v>2040</v>
      </c>
      <c r="C67" t="s">
        <v>69</v>
      </c>
      <c r="D67" t="s">
        <v>50</v>
      </c>
      <c r="E67">
        <v>5.0437501231893997E-4</v>
      </c>
      <c r="F67">
        <v>5.0437501231893997E-4</v>
      </c>
      <c r="G67">
        <v>0</v>
      </c>
      <c r="H67">
        <v>0</v>
      </c>
      <c r="I67" t="s">
        <v>71</v>
      </c>
    </row>
    <row r="68" spans="1:9" hidden="1" x14ac:dyDescent="0.35">
      <c r="A68" t="s">
        <v>11</v>
      </c>
      <c r="B68">
        <v>2040</v>
      </c>
      <c r="C68" t="s">
        <v>69</v>
      </c>
      <c r="D68" t="s">
        <v>51</v>
      </c>
      <c r="E68">
        <v>9.7288811016096998E-3</v>
      </c>
      <c r="F68">
        <v>9.7288811016096998E-3</v>
      </c>
      <c r="G68">
        <v>0</v>
      </c>
      <c r="H68">
        <v>0</v>
      </c>
      <c r="I68" t="s">
        <v>71</v>
      </c>
    </row>
    <row r="69" spans="1:9" hidden="1" x14ac:dyDescent="0.35">
      <c r="A69" t="s">
        <v>11</v>
      </c>
      <c r="B69">
        <v>2040</v>
      </c>
      <c r="C69" t="s">
        <v>69</v>
      </c>
      <c r="D69" t="s">
        <v>52</v>
      </c>
      <c r="E69">
        <v>1.6882155556344901E-3</v>
      </c>
      <c r="F69">
        <v>1.6882155556344901E-3</v>
      </c>
      <c r="G69">
        <v>0</v>
      </c>
      <c r="H69">
        <v>0</v>
      </c>
      <c r="I69" t="s">
        <v>71</v>
      </c>
    </row>
    <row r="70" spans="1:9" hidden="1" x14ac:dyDescent="0.35">
      <c r="A70" t="s">
        <v>11</v>
      </c>
      <c r="B70">
        <v>2040</v>
      </c>
      <c r="C70" t="s">
        <v>69</v>
      </c>
      <c r="D70" t="s">
        <v>53</v>
      </c>
      <c r="E70">
        <v>5.3483298508034197E-3</v>
      </c>
      <c r="F70">
        <v>5.3483298508034197E-3</v>
      </c>
      <c r="G70">
        <v>0</v>
      </c>
      <c r="H70">
        <v>0</v>
      </c>
      <c r="I70" t="s">
        <v>71</v>
      </c>
    </row>
    <row r="71" spans="1:9" hidden="1" x14ac:dyDescent="0.35">
      <c r="A71" t="s">
        <v>11</v>
      </c>
      <c r="B71">
        <v>2040</v>
      </c>
      <c r="C71" t="s">
        <v>69</v>
      </c>
      <c r="D71" t="s">
        <v>54</v>
      </c>
      <c r="E71">
        <v>5.6030694050337299E-4</v>
      </c>
      <c r="F71">
        <v>5.6030694050337299E-4</v>
      </c>
      <c r="G71">
        <v>0</v>
      </c>
      <c r="H71">
        <v>0</v>
      </c>
      <c r="I71" t="s">
        <v>71</v>
      </c>
    </row>
    <row r="72" spans="1:9" hidden="1" x14ac:dyDescent="0.35">
      <c r="A72" t="s">
        <v>11</v>
      </c>
      <c r="B72">
        <v>2040</v>
      </c>
      <c r="C72" t="s">
        <v>69</v>
      </c>
      <c r="D72" t="s">
        <v>55</v>
      </c>
      <c r="E72">
        <v>5.0983410002247904E-4</v>
      </c>
      <c r="F72">
        <v>5.0983410002247904E-4</v>
      </c>
      <c r="G72">
        <v>0</v>
      </c>
      <c r="H72">
        <v>0</v>
      </c>
      <c r="I72" t="s">
        <v>71</v>
      </c>
    </row>
    <row r="73" spans="1:9" hidden="1" x14ac:dyDescent="0.35">
      <c r="A73" t="s">
        <v>11</v>
      </c>
      <c r="B73">
        <v>2040</v>
      </c>
      <c r="C73" t="s">
        <v>69</v>
      </c>
      <c r="D73" t="s">
        <v>56</v>
      </c>
      <c r="E73" s="1">
        <v>1.01538039504967E-9</v>
      </c>
      <c r="F73" s="1">
        <v>1.01538039504967E-9</v>
      </c>
      <c r="G73">
        <v>0</v>
      </c>
      <c r="H73">
        <v>0</v>
      </c>
      <c r="I73" t="s">
        <v>71</v>
      </c>
    </row>
    <row r="74" spans="1:9" hidden="1" x14ac:dyDescent="0.35">
      <c r="A74" t="s">
        <v>5</v>
      </c>
      <c r="B74">
        <v>2025</v>
      </c>
      <c r="C74" t="s">
        <v>69</v>
      </c>
      <c r="D74" t="s">
        <v>38</v>
      </c>
      <c r="E74" s="1">
        <v>6.5551048195217697E-6</v>
      </c>
      <c r="F74" s="1">
        <v>6.5551048195217697E-6</v>
      </c>
      <c r="G74">
        <v>0</v>
      </c>
      <c r="H74">
        <v>0</v>
      </c>
      <c r="I74" t="s">
        <v>70</v>
      </c>
    </row>
    <row r="75" spans="1:9" hidden="1" x14ac:dyDescent="0.35">
      <c r="A75" t="s">
        <v>5</v>
      </c>
      <c r="B75">
        <v>2025</v>
      </c>
      <c r="C75" t="s">
        <v>69</v>
      </c>
      <c r="D75" t="s">
        <v>40</v>
      </c>
      <c r="E75" s="1">
        <v>3.71666390083075E-5</v>
      </c>
      <c r="F75" s="1">
        <v>3.71666390083075E-5</v>
      </c>
      <c r="G75">
        <v>0</v>
      </c>
      <c r="H75">
        <v>0</v>
      </c>
      <c r="I75" t="s">
        <v>70</v>
      </c>
    </row>
    <row r="76" spans="1:9" hidden="1" x14ac:dyDescent="0.35">
      <c r="A76" t="s">
        <v>5</v>
      </c>
      <c r="B76">
        <v>2025</v>
      </c>
      <c r="C76" t="s">
        <v>69</v>
      </c>
      <c r="D76" t="s">
        <v>41</v>
      </c>
      <c r="E76">
        <v>2.04922856254391E-4</v>
      </c>
      <c r="F76">
        <v>2.04922856254391E-4</v>
      </c>
      <c r="G76">
        <v>0</v>
      </c>
      <c r="H76">
        <v>0</v>
      </c>
      <c r="I76" t="s">
        <v>70</v>
      </c>
    </row>
    <row r="77" spans="1:9" hidden="1" x14ac:dyDescent="0.35">
      <c r="A77" t="s">
        <v>5</v>
      </c>
      <c r="B77">
        <v>2025</v>
      </c>
      <c r="C77" t="s">
        <v>69</v>
      </c>
      <c r="D77" t="s">
        <v>42</v>
      </c>
      <c r="E77">
        <v>1.2961925402290299E-2</v>
      </c>
      <c r="F77">
        <v>1.2961925402290299E-2</v>
      </c>
      <c r="G77">
        <v>0</v>
      </c>
      <c r="H77">
        <v>0</v>
      </c>
      <c r="I77" t="s">
        <v>70</v>
      </c>
    </row>
    <row r="78" spans="1:9" hidden="1" x14ac:dyDescent="0.35">
      <c r="A78" t="s">
        <v>5</v>
      </c>
      <c r="B78">
        <v>2025</v>
      </c>
      <c r="C78" t="s">
        <v>69</v>
      </c>
      <c r="D78" t="s">
        <v>43</v>
      </c>
      <c r="E78" s="1">
        <v>7.1224459093534003E-5</v>
      </c>
      <c r="F78" s="1">
        <v>7.1224459093534003E-5</v>
      </c>
      <c r="G78">
        <v>0</v>
      </c>
      <c r="H78">
        <v>0</v>
      </c>
      <c r="I78" t="s">
        <v>70</v>
      </c>
    </row>
    <row r="79" spans="1:9" hidden="1" x14ac:dyDescent="0.35">
      <c r="A79" t="s">
        <v>5</v>
      </c>
      <c r="B79">
        <v>2025</v>
      </c>
      <c r="C79" t="s">
        <v>69</v>
      </c>
      <c r="D79" t="s">
        <v>136</v>
      </c>
      <c r="E79">
        <v>2.3722483814951501E-2</v>
      </c>
      <c r="F79">
        <v>2.3722483814951501E-2</v>
      </c>
      <c r="G79">
        <v>0</v>
      </c>
      <c r="H79">
        <v>0</v>
      </c>
      <c r="I79" t="s">
        <v>70</v>
      </c>
    </row>
    <row r="80" spans="1:9" hidden="1" x14ac:dyDescent="0.35">
      <c r="A80" t="s">
        <v>5</v>
      </c>
      <c r="B80">
        <v>2025</v>
      </c>
      <c r="C80" t="s">
        <v>69</v>
      </c>
      <c r="D80" t="s">
        <v>45</v>
      </c>
      <c r="E80">
        <v>1.5296864736371E-3</v>
      </c>
      <c r="F80">
        <v>1.5296864736371E-3</v>
      </c>
      <c r="G80">
        <v>0</v>
      </c>
      <c r="H80">
        <v>0</v>
      </c>
      <c r="I80" t="s">
        <v>70</v>
      </c>
    </row>
    <row r="81" spans="1:9" hidden="1" x14ac:dyDescent="0.35">
      <c r="A81" t="s">
        <v>5</v>
      </c>
      <c r="B81">
        <v>2025</v>
      </c>
      <c r="C81" t="s">
        <v>69</v>
      </c>
      <c r="D81" t="s">
        <v>46</v>
      </c>
      <c r="E81">
        <v>6.27842157284118E-4</v>
      </c>
      <c r="F81">
        <v>6.27842157284118E-4</v>
      </c>
      <c r="G81">
        <v>0</v>
      </c>
      <c r="H81">
        <v>0</v>
      </c>
      <c r="I81" t="s">
        <v>70</v>
      </c>
    </row>
    <row r="82" spans="1:9" hidden="1" x14ac:dyDescent="0.35">
      <c r="A82" t="s">
        <v>5</v>
      </c>
      <c r="B82">
        <v>2025</v>
      </c>
      <c r="C82" t="s">
        <v>69</v>
      </c>
      <c r="D82" t="s">
        <v>47</v>
      </c>
      <c r="E82" s="1">
        <v>1.5593954641978699E-5</v>
      </c>
      <c r="F82" s="1">
        <v>1.5593954641978699E-5</v>
      </c>
      <c r="G82">
        <v>0</v>
      </c>
      <c r="H82">
        <v>0</v>
      </c>
      <c r="I82" t="s">
        <v>70</v>
      </c>
    </row>
    <row r="83" spans="1:9" hidden="1" x14ac:dyDescent="0.35">
      <c r="A83" t="s">
        <v>5</v>
      </c>
      <c r="B83">
        <v>2025</v>
      </c>
      <c r="C83" t="s">
        <v>69</v>
      </c>
      <c r="D83" t="s">
        <v>48</v>
      </c>
      <c r="E83">
        <v>1.5753257439822901E-3</v>
      </c>
      <c r="F83">
        <v>1.5753257439822901E-3</v>
      </c>
      <c r="G83">
        <v>0</v>
      </c>
      <c r="H83">
        <v>0</v>
      </c>
      <c r="I83" t="s">
        <v>70</v>
      </c>
    </row>
    <row r="84" spans="1:9" hidden="1" x14ac:dyDescent="0.35">
      <c r="A84" t="s">
        <v>5</v>
      </c>
      <c r="B84">
        <v>2025</v>
      </c>
      <c r="C84" t="s">
        <v>69</v>
      </c>
      <c r="D84" t="s">
        <v>49</v>
      </c>
      <c r="E84">
        <v>2.1437514944265001E-4</v>
      </c>
      <c r="F84">
        <v>2.1437514944265001E-4</v>
      </c>
      <c r="G84">
        <v>0</v>
      </c>
      <c r="H84">
        <v>0</v>
      </c>
      <c r="I84" t="s">
        <v>70</v>
      </c>
    </row>
    <row r="85" spans="1:9" hidden="1" x14ac:dyDescent="0.35">
      <c r="A85" t="s">
        <v>5</v>
      </c>
      <c r="B85">
        <v>2025</v>
      </c>
      <c r="C85" t="s">
        <v>69</v>
      </c>
      <c r="D85" t="s">
        <v>50</v>
      </c>
      <c r="E85">
        <v>5.4893940429588596E-4</v>
      </c>
      <c r="F85">
        <v>5.4893940429588596E-4</v>
      </c>
      <c r="G85">
        <v>0</v>
      </c>
      <c r="H85">
        <v>0</v>
      </c>
      <c r="I85" t="s">
        <v>70</v>
      </c>
    </row>
    <row r="86" spans="1:9" hidden="1" x14ac:dyDescent="0.35">
      <c r="A86" t="s">
        <v>5</v>
      </c>
      <c r="B86">
        <v>2025</v>
      </c>
      <c r="C86" t="s">
        <v>69</v>
      </c>
      <c r="D86" t="s">
        <v>51</v>
      </c>
      <c r="E86">
        <v>9.5007849944245808E-3</v>
      </c>
      <c r="F86">
        <v>9.5007849944245808E-3</v>
      </c>
      <c r="G86">
        <v>0</v>
      </c>
      <c r="H86">
        <v>0</v>
      </c>
      <c r="I86" t="s">
        <v>70</v>
      </c>
    </row>
    <row r="87" spans="1:9" hidden="1" x14ac:dyDescent="0.35">
      <c r="A87" t="s">
        <v>5</v>
      </c>
      <c r="B87">
        <v>2025</v>
      </c>
      <c r="C87" t="s">
        <v>69</v>
      </c>
      <c r="D87" t="s">
        <v>52</v>
      </c>
      <c r="E87">
        <v>4.7007049297520601E-3</v>
      </c>
      <c r="F87">
        <v>4.7007049297520601E-3</v>
      </c>
      <c r="G87">
        <v>0</v>
      </c>
      <c r="H87">
        <v>0</v>
      </c>
      <c r="I87" t="s">
        <v>70</v>
      </c>
    </row>
    <row r="88" spans="1:9" hidden="1" x14ac:dyDescent="0.35">
      <c r="A88" t="s">
        <v>5</v>
      </c>
      <c r="B88">
        <v>2025</v>
      </c>
      <c r="C88" t="s">
        <v>69</v>
      </c>
      <c r="D88" t="s">
        <v>53</v>
      </c>
      <c r="E88">
        <v>6.1073196213079096E-3</v>
      </c>
      <c r="F88">
        <v>6.1073196213079096E-3</v>
      </c>
      <c r="G88">
        <v>0</v>
      </c>
      <c r="H88">
        <v>0</v>
      </c>
      <c r="I88" t="s">
        <v>70</v>
      </c>
    </row>
    <row r="89" spans="1:9" hidden="1" x14ac:dyDescent="0.35">
      <c r="A89" t="s">
        <v>5</v>
      </c>
      <c r="B89">
        <v>2025</v>
      </c>
      <c r="C89" t="s">
        <v>69</v>
      </c>
      <c r="D89" t="s">
        <v>54</v>
      </c>
      <c r="E89">
        <v>4.5858088144995501E-4</v>
      </c>
      <c r="F89">
        <v>4.5858088144995501E-4</v>
      </c>
      <c r="G89">
        <v>0</v>
      </c>
      <c r="H89">
        <v>0</v>
      </c>
      <c r="I89" t="s">
        <v>70</v>
      </c>
    </row>
    <row r="90" spans="1:9" hidden="1" x14ac:dyDescent="0.35">
      <c r="A90" t="s">
        <v>5</v>
      </c>
      <c r="B90">
        <v>2025</v>
      </c>
      <c r="C90" t="s">
        <v>69</v>
      </c>
      <c r="D90" t="s">
        <v>55</v>
      </c>
      <c r="E90">
        <v>4.33434943575915E-4</v>
      </c>
      <c r="F90">
        <v>4.33434943575915E-4</v>
      </c>
      <c r="G90">
        <v>0</v>
      </c>
      <c r="H90">
        <v>0</v>
      </c>
      <c r="I90" t="s">
        <v>70</v>
      </c>
    </row>
    <row r="91" spans="1:9" hidden="1" x14ac:dyDescent="0.35">
      <c r="A91" t="s">
        <v>5</v>
      </c>
      <c r="B91">
        <v>2025</v>
      </c>
      <c r="C91" t="s">
        <v>69</v>
      </c>
      <c r="D91" t="s">
        <v>56</v>
      </c>
      <c r="E91" s="1">
        <v>1.1591340308817E-9</v>
      </c>
      <c r="F91" s="1">
        <v>1.1591340308817E-9</v>
      </c>
      <c r="G91">
        <v>0</v>
      </c>
      <c r="H91">
        <v>0</v>
      </c>
      <c r="I91" t="s">
        <v>70</v>
      </c>
    </row>
    <row r="92" spans="1:9" hidden="1" x14ac:dyDescent="0.35">
      <c r="A92" t="s">
        <v>7</v>
      </c>
      <c r="B92">
        <v>2030</v>
      </c>
      <c r="C92" t="s">
        <v>69</v>
      </c>
      <c r="D92" t="s">
        <v>38</v>
      </c>
      <c r="E92" s="1">
        <v>7.54549190010759E-6</v>
      </c>
      <c r="F92" s="1">
        <v>7.54549190010759E-6</v>
      </c>
      <c r="G92">
        <v>0</v>
      </c>
      <c r="H92">
        <v>0</v>
      </c>
      <c r="I92" t="s">
        <v>70</v>
      </c>
    </row>
    <row r="93" spans="1:9" hidden="1" x14ac:dyDescent="0.35">
      <c r="A93" t="s">
        <v>7</v>
      </c>
      <c r="B93">
        <v>2030</v>
      </c>
      <c r="C93" t="s">
        <v>69</v>
      </c>
      <c r="D93" t="s">
        <v>40</v>
      </c>
      <c r="E93" s="1">
        <v>3.7272514612002898E-5</v>
      </c>
      <c r="F93" s="1">
        <v>3.7272514612002898E-5</v>
      </c>
      <c r="G93">
        <v>0</v>
      </c>
      <c r="H93">
        <v>0</v>
      </c>
      <c r="I93" t="s">
        <v>70</v>
      </c>
    </row>
    <row r="94" spans="1:9" hidden="1" x14ac:dyDescent="0.35">
      <c r="A94" t="s">
        <v>7</v>
      </c>
      <c r="B94">
        <v>2030</v>
      </c>
      <c r="C94" t="s">
        <v>69</v>
      </c>
      <c r="D94" t="s">
        <v>41</v>
      </c>
      <c r="E94">
        <v>2.0512006539873001E-4</v>
      </c>
      <c r="F94">
        <v>2.0512006539873001E-4</v>
      </c>
      <c r="G94">
        <v>0</v>
      </c>
      <c r="H94">
        <v>0</v>
      </c>
      <c r="I94" t="s">
        <v>70</v>
      </c>
    </row>
    <row r="95" spans="1:9" hidden="1" x14ac:dyDescent="0.35">
      <c r="A95" t="s">
        <v>7</v>
      </c>
      <c r="B95">
        <v>2030</v>
      </c>
      <c r="C95" t="s">
        <v>69</v>
      </c>
      <c r="D95" t="s">
        <v>42</v>
      </c>
      <c r="E95">
        <v>1.11868302885915E-2</v>
      </c>
      <c r="F95">
        <v>1.11868302885915E-2</v>
      </c>
      <c r="G95">
        <v>0</v>
      </c>
      <c r="H95">
        <v>0</v>
      </c>
      <c r="I95" t="s">
        <v>70</v>
      </c>
    </row>
    <row r="96" spans="1:9" hidden="1" x14ac:dyDescent="0.35">
      <c r="A96" t="s">
        <v>7</v>
      </c>
      <c r="B96">
        <v>2030</v>
      </c>
      <c r="C96" t="s">
        <v>69</v>
      </c>
      <c r="D96" t="s">
        <v>43</v>
      </c>
      <c r="E96" s="1">
        <v>7.0931568841857802E-5</v>
      </c>
      <c r="F96" s="1">
        <v>7.0931568841857802E-5</v>
      </c>
      <c r="G96">
        <v>0</v>
      </c>
      <c r="H96">
        <v>0</v>
      </c>
      <c r="I96" t="s">
        <v>70</v>
      </c>
    </row>
    <row r="97" spans="1:9" hidden="1" x14ac:dyDescent="0.35">
      <c r="A97" t="s">
        <v>7</v>
      </c>
      <c r="B97">
        <v>2030</v>
      </c>
      <c r="C97" t="s">
        <v>69</v>
      </c>
      <c r="D97" t="s">
        <v>136</v>
      </c>
      <c r="E97">
        <v>2.1995067110305199E-2</v>
      </c>
      <c r="F97">
        <v>2.1995067110305199E-2</v>
      </c>
      <c r="G97">
        <v>0</v>
      </c>
      <c r="H97">
        <v>0</v>
      </c>
      <c r="I97" t="s">
        <v>70</v>
      </c>
    </row>
    <row r="98" spans="1:9" hidden="1" x14ac:dyDescent="0.35">
      <c r="A98" t="s">
        <v>7</v>
      </c>
      <c r="B98">
        <v>2030</v>
      </c>
      <c r="C98" t="s">
        <v>69</v>
      </c>
      <c r="D98" t="s">
        <v>45</v>
      </c>
      <c r="E98">
        <v>1.5281605512081501E-3</v>
      </c>
      <c r="F98">
        <v>4.41808604168132E-4</v>
      </c>
      <c r="G98">
        <v>-1.0863519470400199E-3</v>
      </c>
      <c r="H98">
        <v>-71.088862108183605</v>
      </c>
      <c r="I98" t="s">
        <v>70</v>
      </c>
    </row>
    <row r="99" spans="1:9" hidden="1" x14ac:dyDescent="0.35">
      <c r="A99" t="s">
        <v>7</v>
      </c>
      <c r="B99">
        <v>2030</v>
      </c>
      <c r="C99" t="s">
        <v>69</v>
      </c>
      <c r="D99" t="s">
        <v>46</v>
      </c>
      <c r="E99">
        <v>8.8848276261217405E-4</v>
      </c>
      <c r="F99">
        <v>8.8848276261217405E-4</v>
      </c>
      <c r="G99">
        <v>0</v>
      </c>
      <c r="H99">
        <v>0</v>
      </c>
      <c r="I99" t="s">
        <v>70</v>
      </c>
    </row>
    <row r="100" spans="1:9" hidden="1" x14ac:dyDescent="0.35">
      <c r="A100" t="s">
        <v>7</v>
      </c>
      <c r="B100">
        <v>2030</v>
      </c>
      <c r="C100" t="s">
        <v>69</v>
      </c>
      <c r="D100" t="s">
        <v>47</v>
      </c>
      <c r="E100" s="1">
        <v>1.26644227837769E-5</v>
      </c>
      <c r="F100" s="1">
        <v>1.26644227837769E-5</v>
      </c>
      <c r="G100">
        <v>0</v>
      </c>
      <c r="H100">
        <v>0</v>
      </c>
      <c r="I100" t="s">
        <v>70</v>
      </c>
    </row>
    <row r="101" spans="1:9" hidden="1" x14ac:dyDescent="0.35">
      <c r="A101" t="s">
        <v>7</v>
      </c>
      <c r="B101">
        <v>2030</v>
      </c>
      <c r="C101" t="s">
        <v>69</v>
      </c>
      <c r="D101" t="s">
        <v>48</v>
      </c>
      <c r="E101">
        <v>1.57919983465096E-3</v>
      </c>
      <c r="F101">
        <v>1.57919983465096E-3</v>
      </c>
      <c r="G101">
        <v>0</v>
      </c>
      <c r="H101">
        <v>0</v>
      </c>
      <c r="I101" t="s">
        <v>70</v>
      </c>
    </row>
    <row r="102" spans="1:9" hidden="1" x14ac:dyDescent="0.35">
      <c r="A102" t="s">
        <v>7</v>
      </c>
      <c r="B102">
        <v>2030</v>
      </c>
      <c r="C102" t="s">
        <v>69</v>
      </c>
      <c r="D102" t="s">
        <v>49</v>
      </c>
      <c r="E102">
        <v>2.09554855176243E-4</v>
      </c>
      <c r="F102">
        <v>2.09554855176243E-4</v>
      </c>
      <c r="G102">
        <v>0</v>
      </c>
      <c r="H102">
        <v>0</v>
      </c>
      <c r="I102" t="s">
        <v>70</v>
      </c>
    </row>
    <row r="103" spans="1:9" hidden="1" x14ac:dyDescent="0.35">
      <c r="A103" t="s">
        <v>7</v>
      </c>
      <c r="B103">
        <v>2030</v>
      </c>
      <c r="C103" t="s">
        <v>69</v>
      </c>
      <c r="D103" t="s">
        <v>50</v>
      </c>
      <c r="E103">
        <v>5.3287559252839195E-4</v>
      </c>
      <c r="F103">
        <v>5.3287559252839195E-4</v>
      </c>
      <c r="G103">
        <v>0</v>
      </c>
      <c r="H103">
        <v>0</v>
      </c>
      <c r="I103" t="s">
        <v>70</v>
      </c>
    </row>
    <row r="104" spans="1:9" hidden="1" x14ac:dyDescent="0.35">
      <c r="A104" t="s">
        <v>7</v>
      </c>
      <c r="B104">
        <v>2030</v>
      </c>
      <c r="C104" t="s">
        <v>69</v>
      </c>
      <c r="D104" t="s">
        <v>51</v>
      </c>
      <c r="E104">
        <v>9.5283728943397396E-3</v>
      </c>
      <c r="F104">
        <v>9.5283728943397396E-3</v>
      </c>
      <c r="G104">
        <v>0</v>
      </c>
      <c r="H104">
        <v>0</v>
      </c>
      <c r="I104" t="s">
        <v>70</v>
      </c>
    </row>
    <row r="105" spans="1:9" hidden="1" x14ac:dyDescent="0.35">
      <c r="A105" t="s">
        <v>7</v>
      </c>
      <c r="B105">
        <v>2030</v>
      </c>
      <c r="C105" t="s">
        <v>69</v>
      </c>
      <c r="D105" t="s">
        <v>52</v>
      </c>
      <c r="E105">
        <v>4.0389542764329104E-3</v>
      </c>
      <c r="F105">
        <v>4.0389542764329104E-3</v>
      </c>
      <c r="G105">
        <v>0</v>
      </c>
      <c r="H105">
        <v>0</v>
      </c>
      <c r="I105" t="s">
        <v>70</v>
      </c>
    </row>
    <row r="106" spans="1:9" hidden="1" x14ac:dyDescent="0.35">
      <c r="A106" t="s">
        <v>7</v>
      </c>
      <c r="B106">
        <v>2030</v>
      </c>
      <c r="C106" t="s">
        <v>69</v>
      </c>
      <c r="D106" t="s">
        <v>53</v>
      </c>
      <c r="E106">
        <v>5.5642215296447797E-3</v>
      </c>
      <c r="F106">
        <v>5.5642215296447797E-3</v>
      </c>
      <c r="G106">
        <v>0</v>
      </c>
      <c r="H106">
        <v>0</v>
      </c>
      <c r="I106" t="s">
        <v>70</v>
      </c>
    </row>
    <row r="107" spans="1:9" hidden="1" x14ac:dyDescent="0.35">
      <c r="A107" t="s">
        <v>7</v>
      </c>
      <c r="B107">
        <v>2030</v>
      </c>
      <c r="C107" t="s">
        <v>69</v>
      </c>
      <c r="D107" t="s">
        <v>54</v>
      </c>
      <c r="E107">
        <v>4.22253394204445E-4</v>
      </c>
      <c r="F107">
        <v>4.22253394204445E-4</v>
      </c>
      <c r="G107">
        <v>0</v>
      </c>
      <c r="H107">
        <v>0</v>
      </c>
      <c r="I107" t="s">
        <v>70</v>
      </c>
    </row>
    <row r="108" spans="1:9" hidden="1" x14ac:dyDescent="0.35">
      <c r="A108" t="s">
        <v>7</v>
      </c>
      <c r="B108">
        <v>2030</v>
      </c>
      <c r="C108" t="s">
        <v>69</v>
      </c>
      <c r="D108" t="s">
        <v>55</v>
      </c>
      <c r="E108">
        <v>3.97796360710462E-4</v>
      </c>
      <c r="F108">
        <v>3.97796360710462E-4</v>
      </c>
      <c r="G108">
        <v>0</v>
      </c>
      <c r="H108">
        <v>0</v>
      </c>
      <c r="I108" t="s">
        <v>70</v>
      </c>
    </row>
    <row r="109" spans="1:9" hidden="1" x14ac:dyDescent="0.35">
      <c r="A109" t="s">
        <v>7</v>
      </c>
      <c r="B109">
        <v>2030</v>
      </c>
      <c r="C109" t="s">
        <v>69</v>
      </c>
      <c r="D109" t="s">
        <v>56</v>
      </c>
      <c r="E109" s="1">
        <v>1.0612456689122E-9</v>
      </c>
      <c r="F109" s="1">
        <v>1.0612456689122E-9</v>
      </c>
      <c r="G109">
        <v>0</v>
      </c>
      <c r="H109">
        <v>0</v>
      </c>
      <c r="I109" t="s">
        <v>70</v>
      </c>
    </row>
    <row r="110" spans="1:9" hidden="1" x14ac:dyDescent="0.35">
      <c r="A110" t="s">
        <v>9</v>
      </c>
      <c r="B110">
        <v>2035</v>
      </c>
      <c r="C110" t="s">
        <v>69</v>
      </c>
      <c r="D110" t="s">
        <v>38</v>
      </c>
      <c r="E110" s="1">
        <v>8.1076244233876593E-6</v>
      </c>
      <c r="F110" s="1">
        <v>8.1076244233876593E-6</v>
      </c>
      <c r="G110">
        <v>0</v>
      </c>
      <c r="H110">
        <v>0</v>
      </c>
      <c r="I110" t="s">
        <v>70</v>
      </c>
    </row>
    <row r="111" spans="1:9" hidden="1" x14ac:dyDescent="0.35">
      <c r="A111" t="s">
        <v>9</v>
      </c>
      <c r="B111">
        <v>2035</v>
      </c>
      <c r="C111" t="s">
        <v>69</v>
      </c>
      <c r="D111" t="s">
        <v>40</v>
      </c>
      <c r="E111" s="1">
        <v>3.76367057540657E-5</v>
      </c>
      <c r="F111" s="1">
        <v>3.76367057540657E-5</v>
      </c>
      <c r="G111">
        <v>0</v>
      </c>
      <c r="H111">
        <v>0</v>
      </c>
      <c r="I111" t="s">
        <v>70</v>
      </c>
    </row>
    <row r="112" spans="1:9" hidden="1" x14ac:dyDescent="0.35">
      <c r="A112" t="s">
        <v>9</v>
      </c>
      <c r="B112">
        <v>2035</v>
      </c>
      <c r="C112" t="s">
        <v>69</v>
      </c>
      <c r="D112" t="s">
        <v>41</v>
      </c>
      <c r="E112">
        <v>1.99876227873838E-4</v>
      </c>
      <c r="F112">
        <v>1.99876227873838E-4</v>
      </c>
      <c r="G112">
        <v>0</v>
      </c>
      <c r="H112">
        <v>0</v>
      </c>
      <c r="I112" t="s">
        <v>70</v>
      </c>
    </row>
    <row r="113" spans="1:9" hidden="1" x14ac:dyDescent="0.35">
      <c r="A113" t="s">
        <v>9</v>
      </c>
      <c r="B113">
        <v>2035</v>
      </c>
      <c r="C113" t="s">
        <v>69</v>
      </c>
      <c r="D113" t="s">
        <v>42</v>
      </c>
      <c r="E113">
        <v>8.3756533028334305E-3</v>
      </c>
      <c r="F113">
        <v>8.3756533028334305E-3</v>
      </c>
      <c r="G113">
        <v>0</v>
      </c>
      <c r="H113">
        <v>0</v>
      </c>
      <c r="I113" t="s">
        <v>70</v>
      </c>
    </row>
    <row r="114" spans="1:9" hidden="1" x14ac:dyDescent="0.35">
      <c r="A114" t="s">
        <v>9</v>
      </c>
      <c r="B114">
        <v>2035</v>
      </c>
      <c r="C114" t="s">
        <v>69</v>
      </c>
      <c r="D114" t="s">
        <v>43</v>
      </c>
      <c r="E114" s="1">
        <v>6.8278556025145698E-5</v>
      </c>
      <c r="F114" s="1">
        <v>6.8278556025145698E-5</v>
      </c>
      <c r="G114">
        <v>0</v>
      </c>
      <c r="H114">
        <v>0</v>
      </c>
      <c r="I114" t="s">
        <v>70</v>
      </c>
    </row>
    <row r="115" spans="1:9" hidden="1" x14ac:dyDescent="0.35">
      <c r="A115" t="s">
        <v>9</v>
      </c>
      <c r="B115">
        <v>2035</v>
      </c>
      <c r="C115" t="s">
        <v>69</v>
      </c>
      <c r="D115" t="s">
        <v>136</v>
      </c>
      <c r="E115">
        <v>1.9488896925542301E-2</v>
      </c>
      <c r="F115">
        <v>1.9488896925542301E-2</v>
      </c>
      <c r="G115">
        <v>0</v>
      </c>
      <c r="H115">
        <v>0</v>
      </c>
      <c r="I115" t="s">
        <v>70</v>
      </c>
    </row>
    <row r="116" spans="1:9" hidden="1" x14ac:dyDescent="0.35">
      <c r="A116" t="s">
        <v>9</v>
      </c>
      <c r="B116">
        <v>2035</v>
      </c>
      <c r="C116" t="s">
        <v>69</v>
      </c>
      <c r="D116" t="s">
        <v>45</v>
      </c>
      <c r="E116">
        <v>1.5250916527385001E-3</v>
      </c>
      <c r="F116">
        <v>1.23372862540929E-3</v>
      </c>
      <c r="G116">
        <v>-2.9136302732921002E-4</v>
      </c>
      <c r="H116">
        <v>-19.104624092986601</v>
      </c>
      <c r="I116" t="s">
        <v>70</v>
      </c>
    </row>
    <row r="117" spans="1:9" hidden="1" x14ac:dyDescent="0.35">
      <c r="A117" t="s">
        <v>9</v>
      </c>
      <c r="B117">
        <v>2035</v>
      </c>
      <c r="C117" t="s">
        <v>69</v>
      </c>
      <c r="D117" t="s">
        <v>46</v>
      </c>
      <c r="E117">
        <v>1.53241677758067E-3</v>
      </c>
      <c r="F117">
        <v>1.53241677758067E-3</v>
      </c>
      <c r="G117">
        <v>0</v>
      </c>
      <c r="H117">
        <v>0</v>
      </c>
      <c r="I117" t="s">
        <v>70</v>
      </c>
    </row>
    <row r="118" spans="1:9" hidden="1" x14ac:dyDescent="0.35">
      <c r="A118" t="s">
        <v>9</v>
      </c>
      <c r="B118">
        <v>2035</v>
      </c>
      <c r="C118" t="s">
        <v>69</v>
      </c>
      <c r="D118" t="s">
        <v>47</v>
      </c>
      <c r="E118" s="1">
        <v>7.9612281381462397E-6</v>
      </c>
      <c r="F118" s="1">
        <v>7.9612281381462397E-6</v>
      </c>
      <c r="G118">
        <v>0</v>
      </c>
      <c r="H118">
        <v>0</v>
      </c>
      <c r="I118" t="s">
        <v>70</v>
      </c>
    </row>
    <row r="119" spans="1:9" hidden="1" x14ac:dyDescent="0.35">
      <c r="A119" t="s">
        <v>9</v>
      </c>
      <c r="B119">
        <v>2035</v>
      </c>
      <c r="C119" t="s">
        <v>69</v>
      </c>
      <c r="D119" t="s">
        <v>48</v>
      </c>
      <c r="E119">
        <v>1.5802981218773901E-3</v>
      </c>
      <c r="F119">
        <v>1.5802981218773901E-3</v>
      </c>
      <c r="G119">
        <v>0</v>
      </c>
      <c r="H119">
        <v>0</v>
      </c>
      <c r="I119" t="s">
        <v>70</v>
      </c>
    </row>
    <row r="120" spans="1:9" hidden="1" x14ac:dyDescent="0.35">
      <c r="A120" t="s">
        <v>9</v>
      </c>
      <c r="B120">
        <v>2035</v>
      </c>
      <c r="C120" t="s">
        <v>69</v>
      </c>
      <c r="D120" t="s">
        <v>49</v>
      </c>
      <c r="E120">
        <v>1.9945771491028201E-4</v>
      </c>
      <c r="F120">
        <v>1.9945771491028201E-4</v>
      </c>
      <c r="G120">
        <v>0</v>
      </c>
      <c r="H120">
        <v>0</v>
      </c>
      <c r="I120" t="s">
        <v>70</v>
      </c>
    </row>
    <row r="121" spans="1:9" hidden="1" x14ac:dyDescent="0.35">
      <c r="A121" t="s">
        <v>9</v>
      </c>
      <c r="B121">
        <v>2035</v>
      </c>
      <c r="C121" t="s">
        <v>69</v>
      </c>
      <c r="D121" t="s">
        <v>50</v>
      </c>
      <c r="E121">
        <v>5.11910873660667E-4</v>
      </c>
      <c r="F121">
        <v>5.11910873660667E-4</v>
      </c>
      <c r="G121">
        <v>0</v>
      </c>
      <c r="H121">
        <v>0</v>
      </c>
      <c r="I121" t="s">
        <v>70</v>
      </c>
    </row>
    <row r="122" spans="1:9" hidden="1" x14ac:dyDescent="0.35">
      <c r="A122" t="s">
        <v>9</v>
      </c>
      <c r="B122">
        <v>2035</v>
      </c>
      <c r="C122" t="s">
        <v>69</v>
      </c>
      <c r="D122" t="s">
        <v>51</v>
      </c>
      <c r="E122">
        <v>9.5734972074908702E-3</v>
      </c>
      <c r="F122">
        <v>9.5734972074908702E-3</v>
      </c>
      <c r="G122">
        <v>0</v>
      </c>
      <c r="H122">
        <v>0</v>
      </c>
      <c r="I122" t="s">
        <v>70</v>
      </c>
    </row>
    <row r="123" spans="1:9" hidden="1" x14ac:dyDescent="0.35">
      <c r="A123" t="s">
        <v>9</v>
      </c>
      <c r="B123">
        <v>2035</v>
      </c>
      <c r="C123" t="s">
        <v>69</v>
      </c>
      <c r="D123" t="s">
        <v>52</v>
      </c>
      <c r="E123">
        <v>3.3901356061792299E-3</v>
      </c>
      <c r="F123">
        <v>3.3901356061792299E-3</v>
      </c>
      <c r="G123">
        <v>0</v>
      </c>
      <c r="H123">
        <v>0</v>
      </c>
      <c r="I123" t="s">
        <v>70</v>
      </c>
    </row>
    <row r="124" spans="1:9" hidden="1" x14ac:dyDescent="0.35">
      <c r="A124" t="s">
        <v>9</v>
      </c>
      <c r="B124">
        <v>2035</v>
      </c>
      <c r="C124" t="s">
        <v>69</v>
      </c>
      <c r="D124" t="s">
        <v>53</v>
      </c>
      <c r="E124">
        <v>4.7899919939195599E-3</v>
      </c>
      <c r="F124">
        <v>4.7899919939195599E-3</v>
      </c>
      <c r="G124">
        <v>0</v>
      </c>
      <c r="H124">
        <v>0</v>
      </c>
      <c r="I124" t="s">
        <v>70</v>
      </c>
    </row>
    <row r="125" spans="1:9" hidden="1" x14ac:dyDescent="0.35">
      <c r="A125" t="s">
        <v>9</v>
      </c>
      <c r="B125">
        <v>2035</v>
      </c>
      <c r="C125" t="s">
        <v>69</v>
      </c>
      <c r="D125" t="s">
        <v>54</v>
      </c>
      <c r="E125">
        <v>3.59621625345169E-4</v>
      </c>
      <c r="F125">
        <v>3.59621625345169E-4</v>
      </c>
      <c r="G125">
        <v>0</v>
      </c>
      <c r="H125">
        <v>0</v>
      </c>
      <c r="I125" t="s">
        <v>70</v>
      </c>
    </row>
    <row r="126" spans="1:9" hidden="1" x14ac:dyDescent="0.35">
      <c r="A126" t="s">
        <v>9</v>
      </c>
      <c r="B126">
        <v>2035</v>
      </c>
      <c r="C126" t="s">
        <v>69</v>
      </c>
      <c r="D126" t="s">
        <v>55</v>
      </c>
      <c r="E126">
        <v>3.3736580187090302E-4</v>
      </c>
      <c r="F126">
        <v>3.3736580187090302E-4</v>
      </c>
      <c r="G126">
        <v>0</v>
      </c>
      <c r="H126">
        <v>0</v>
      </c>
      <c r="I126" t="s">
        <v>70</v>
      </c>
    </row>
    <row r="127" spans="1:9" hidden="1" x14ac:dyDescent="0.35">
      <c r="A127" t="s">
        <v>9</v>
      </c>
      <c r="B127">
        <v>2035</v>
      </c>
      <c r="C127" t="s">
        <v>69</v>
      </c>
      <c r="D127" t="s">
        <v>56</v>
      </c>
      <c r="E127" s="1">
        <v>9.5809596549030195E-10</v>
      </c>
      <c r="F127" s="1">
        <v>9.5809596549030195E-10</v>
      </c>
      <c r="G127">
        <v>0</v>
      </c>
      <c r="H127">
        <v>0</v>
      </c>
      <c r="I127" t="s">
        <v>70</v>
      </c>
    </row>
    <row r="128" spans="1:9" hidden="1" x14ac:dyDescent="0.35">
      <c r="A128" t="s">
        <v>11</v>
      </c>
      <c r="B128">
        <v>2040</v>
      </c>
      <c r="C128" t="s">
        <v>69</v>
      </c>
      <c r="D128" t="s">
        <v>38</v>
      </c>
      <c r="E128" s="1">
        <v>7.3961801330007202E-6</v>
      </c>
      <c r="F128" s="1">
        <v>7.3961801330007202E-6</v>
      </c>
      <c r="G128">
        <v>0</v>
      </c>
      <c r="H128">
        <v>0</v>
      </c>
      <c r="I128" t="s">
        <v>70</v>
      </c>
    </row>
    <row r="129" spans="1:9" hidden="1" x14ac:dyDescent="0.35">
      <c r="A129" t="s">
        <v>11</v>
      </c>
      <c r="B129">
        <v>2040</v>
      </c>
      <c r="C129" t="s">
        <v>69</v>
      </c>
      <c r="D129" t="s">
        <v>40</v>
      </c>
      <c r="E129" s="1">
        <v>3.7964344498088298E-5</v>
      </c>
      <c r="F129" s="1">
        <v>3.7964344498088298E-5</v>
      </c>
      <c r="G129">
        <v>0</v>
      </c>
      <c r="H129">
        <v>0</v>
      </c>
      <c r="I129" t="s">
        <v>70</v>
      </c>
    </row>
    <row r="130" spans="1:9" hidden="1" x14ac:dyDescent="0.35">
      <c r="A130" t="s">
        <v>11</v>
      </c>
      <c r="B130">
        <v>2040</v>
      </c>
      <c r="C130" t="s">
        <v>69</v>
      </c>
      <c r="D130" t="s">
        <v>41</v>
      </c>
      <c r="E130">
        <v>1.9811858643987101E-4</v>
      </c>
      <c r="F130">
        <v>1.9811858643987101E-4</v>
      </c>
      <c r="G130">
        <v>0</v>
      </c>
      <c r="H130">
        <v>0</v>
      </c>
      <c r="I130" t="s">
        <v>70</v>
      </c>
    </row>
    <row r="131" spans="1:9" hidden="1" x14ac:dyDescent="0.35">
      <c r="A131" t="s">
        <v>11</v>
      </c>
      <c r="B131">
        <v>2040</v>
      </c>
      <c r="C131" t="s">
        <v>69</v>
      </c>
      <c r="D131" t="s">
        <v>42</v>
      </c>
      <c r="E131">
        <v>7.9143533827096303E-3</v>
      </c>
      <c r="F131">
        <v>7.9143533827096303E-3</v>
      </c>
      <c r="G131">
        <v>0</v>
      </c>
      <c r="H131">
        <v>0</v>
      </c>
      <c r="I131" t="s">
        <v>70</v>
      </c>
    </row>
    <row r="132" spans="1:9" hidden="1" x14ac:dyDescent="0.35">
      <c r="A132" t="s">
        <v>11</v>
      </c>
      <c r="B132">
        <v>2040</v>
      </c>
      <c r="C132" t="s">
        <v>69</v>
      </c>
      <c r="D132" t="s">
        <v>43</v>
      </c>
      <c r="E132" s="1">
        <v>6.7460232683943193E-5</v>
      </c>
      <c r="F132" s="1">
        <v>6.7460232683943193E-5</v>
      </c>
      <c r="G132">
        <v>0</v>
      </c>
      <c r="H132">
        <v>0</v>
      </c>
      <c r="I132" t="s">
        <v>70</v>
      </c>
    </row>
    <row r="133" spans="1:9" hidden="1" x14ac:dyDescent="0.35">
      <c r="A133" t="s">
        <v>11</v>
      </c>
      <c r="B133">
        <v>2040</v>
      </c>
      <c r="C133" t="s">
        <v>69</v>
      </c>
      <c r="D133" t="s">
        <v>136</v>
      </c>
      <c r="E133">
        <v>1.8524450962853399E-2</v>
      </c>
      <c r="F133">
        <v>1.8524450962853399E-2</v>
      </c>
      <c r="G133">
        <v>0</v>
      </c>
      <c r="H133">
        <v>0</v>
      </c>
      <c r="I133" t="s">
        <v>70</v>
      </c>
    </row>
    <row r="134" spans="1:9" hidden="1" x14ac:dyDescent="0.35">
      <c r="A134" t="s">
        <v>11</v>
      </c>
      <c r="B134">
        <v>2040</v>
      </c>
      <c r="C134" t="s">
        <v>69</v>
      </c>
      <c r="D134" t="s">
        <v>45</v>
      </c>
      <c r="E134">
        <v>1.52416217938065E-3</v>
      </c>
      <c r="F134">
        <v>1.4644719674799299E-4</v>
      </c>
      <c r="G134">
        <v>-1.3777149826326601E-3</v>
      </c>
      <c r="H134">
        <v>-90.3916263814194</v>
      </c>
      <c r="I134" t="s">
        <v>70</v>
      </c>
    </row>
    <row r="135" spans="1:9" hidden="1" x14ac:dyDescent="0.35">
      <c r="A135" t="s">
        <v>11</v>
      </c>
      <c r="B135">
        <v>2040</v>
      </c>
      <c r="C135" t="s">
        <v>69</v>
      </c>
      <c r="D135" t="s">
        <v>46</v>
      </c>
      <c r="E135">
        <v>2.49569686120776E-3</v>
      </c>
      <c r="F135">
        <v>2.49569686120776E-3</v>
      </c>
      <c r="G135">
        <v>0</v>
      </c>
      <c r="H135">
        <v>0</v>
      </c>
      <c r="I135" t="s">
        <v>70</v>
      </c>
    </row>
    <row r="136" spans="1:9" hidden="1" x14ac:dyDescent="0.35">
      <c r="A136" t="s">
        <v>11</v>
      </c>
      <c r="B136">
        <v>2040</v>
      </c>
      <c r="C136" t="s">
        <v>69</v>
      </c>
      <c r="D136" t="s">
        <v>47</v>
      </c>
      <c r="E136" s="1">
        <v>7.1741240598222604E-6</v>
      </c>
      <c r="F136" s="1">
        <v>7.1741240598222604E-6</v>
      </c>
      <c r="G136">
        <v>0</v>
      </c>
      <c r="H136">
        <v>0</v>
      </c>
      <c r="I136" t="s">
        <v>70</v>
      </c>
    </row>
    <row r="137" spans="1:9" hidden="1" x14ac:dyDescent="0.35">
      <c r="A137" t="s">
        <v>11</v>
      </c>
      <c r="B137">
        <v>2040</v>
      </c>
      <c r="C137" t="s">
        <v>69</v>
      </c>
      <c r="D137" t="s">
        <v>48</v>
      </c>
      <c r="E137">
        <v>1.5783634347368001E-3</v>
      </c>
      <c r="F137">
        <v>1.5783634347368001E-3</v>
      </c>
      <c r="G137">
        <v>0</v>
      </c>
      <c r="H137">
        <v>0</v>
      </c>
      <c r="I137" t="s">
        <v>70</v>
      </c>
    </row>
    <row r="138" spans="1:9" hidden="1" x14ac:dyDescent="0.35">
      <c r="A138" t="s">
        <v>11</v>
      </c>
      <c r="B138">
        <v>2040</v>
      </c>
      <c r="C138" t="s">
        <v>69</v>
      </c>
      <c r="D138" t="s">
        <v>49</v>
      </c>
      <c r="E138">
        <v>1.9665981722610701E-4</v>
      </c>
      <c r="F138">
        <v>1.9665981722610701E-4</v>
      </c>
      <c r="G138">
        <v>0</v>
      </c>
      <c r="H138">
        <v>0</v>
      </c>
      <c r="I138" t="s">
        <v>70</v>
      </c>
    </row>
    <row r="139" spans="1:9" hidden="1" x14ac:dyDescent="0.35">
      <c r="A139" t="s">
        <v>11</v>
      </c>
      <c r="B139">
        <v>2040</v>
      </c>
      <c r="C139" t="s">
        <v>69</v>
      </c>
      <c r="D139" t="s">
        <v>50</v>
      </c>
      <c r="E139">
        <v>4.9685446638365297E-4</v>
      </c>
      <c r="F139">
        <v>4.9685446638365297E-4</v>
      </c>
      <c r="G139">
        <v>0</v>
      </c>
      <c r="H139">
        <v>0</v>
      </c>
      <c r="I139" t="s">
        <v>70</v>
      </c>
    </row>
    <row r="140" spans="1:9" hidden="1" x14ac:dyDescent="0.35">
      <c r="A140" t="s">
        <v>11</v>
      </c>
      <c r="B140">
        <v>2040</v>
      </c>
      <c r="C140" t="s">
        <v>69</v>
      </c>
      <c r="D140" t="s">
        <v>51</v>
      </c>
      <c r="E140">
        <v>9.6299330588306593E-3</v>
      </c>
      <c r="F140">
        <v>9.6299330588306593E-3</v>
      </c>
      <c r="G140">
        <v>0</v>
      </c>
      <c r="H140">
        <v>0</v>
      </c>
      <c r="I140" t="s">
        <v>70</v>
      </c>
    </row>
    <row r="141" spans="1:9" hidden="1" x14ac:dyDescent="0.35">
      <c r="A141" t="s">
        <v>11</v>
      </c>
      <c r="B141">
        <v>2040</v>
      </c>
      <c r="C141" t="s">
        <v>69</v>
      </c>
      <c r="D141" t="s">
        <v>52</v>
      </c>
      <c r="E141">
        <v>2.64817667619142E-3</v>
      </c>
      <c r="F141">
        <v>2.64817667619142E-3</v>
      </c>
      <c r="G141">
        <v>0</v>
      </c>
      <c r="H141">
        <v>0</v>
      </c>
      <c r="I141" t="s">
        <v>70</v>
      </c>
    </row>
    <row r="142" spans="1:9" hidden="1" x14ac:dyDescent="0.35">
      <c r="A142" t="s">
        <v>11</v>
      </c>
      <c r="B142">
        <v>2040</v>
      </c>
      <c r="C142" t="s">
        <v>69</v>
      </c>
      <c r="D142" t="s">
        <v>53</v>
      </c>
      <c r="E142">
        <v>4.4085635588233599E-3</v>
      </c>
      <c r="F142">
        <v>4.4085635588233599E-3</v>
      </c>
      <c r="G142">
        <v>0</v>
      </c>
      <c r="H142">
        <v>0</v>
      </c>
      <c r="I142" t="s">
        <v>70</v>
      </c>
    </row>
    <row r="143" spans="1:9" hidden="1" x14ac:dyDescent="0.35">
      <c r="A143" t="s">
        <v>11</v>
      </c>
      <c r="B143">
        <v>2040</v>
      </c>
      <c r="C143" t="s">
        <v>69</v>
      </c>
      <c r="D143" t="s">
        <v>54</v>
      </c>
      <c r="E143">
        <v>3.5172626039817699E-4</v>
      </c>
      <c r="F143">
        <v>3.5172626039817699E-4</v>
      </c>
      <c r="G143">
        <v>0</v>
      </c>
      <c r="H143">
        <v>0</v>
      </c>
      <c r="I143" t="s">
        <v>70</v>
      </c>
    </row>
    <row r="144" spans="1:9" hidden="1" x14ac:dyDescent="0.35">
      <c r="A144" t="s">
        <v>11</v>
      </c>
      <c r="B144">
        <v>2040</v>
      </c>
      <c r="C144" t="s">
        <v>69</v>
      </c>
      <c r="D144" t="s">
        <v>55</v>
      </c>
      <c r="E144">
        <v>3.2999840190571099E-4</v>
      </c>
      <c r="F144">
        <v>3.2999840190571099E-4</v>
      </c>
      <c r="G144">
        <v>0</v>
      </c>
      <c r="H144">
        <v>0</v>
      </c>
      <c r="I144" t="s">
        <v>70</v>
      </c>
    </row>
    <row r="145" spans="1:9" hidden="1" x14ac:dyDescent="0.35">
      <c r="A145" t="s">
        <v>11</v>
      </c>
      <c r="B145">
        <v>2040</v>
      </c>
      <c r="C145" t="s">
        <v>69</v>
      </c>
      <c r="D145" t="s">
        <v>56</v>
      </c>
      <c r="E145" s="1">
        <v>8.50708448579452E-10</v>
      </c>
      <c r="F145" s="1">
        <v>8.50708448579452E-10</v>
      </c>
      <c r="G145">
        <v>0</v>
      </c>
      <c r="H145">
        <v>0</v>
      </c>
      <c r="I145" t="s">
        <v>70</v>
      </c>
    </row>
    <row r="146" spans="1:9" hidden="1" x14ac:dyDescent="0.35">
      <c r="A146" t="s">
        <v>5</v>
      </c>
      <c r="B146">
        <v>2025</v>
      </c>
      <c r="C146" t="s">
        <v>80</v>
      </c>
      <c r="D146" t="s">
        <v>38</v>
      </c>
      <c r="E146">
        <v>1.20475873155762E-3</v>
      </c>
      <c r="F146">
        <v>1.20475873155762E-3</v>
      </c>
      <c r="G146">
        <v>0</v>
      </c>
      <c r="H146">
        <v>0</v>
      </c>
      <c r="I146" t="s">
        <v>82</v>
      </c>
    </row>
    <row r="147" spans="1:9" hidden="1" x14ac:dyDescent="0.35">
      <c r="A147" t="s">
        <v>5</v>
      </c>
      <c r="B147">
        <v>2025</v>
      </c>
      <c r="C147" t="s">
        <v>80</v>
      </c>
      <c r="D147" t="s">
        <v>40</v>
      </c>
      <c r="E147">
        <v>4.5484511616500399E-4</v>
      </c>
      <c r="F147">
        <v>4.5484511616500399E-4</v>
      </c>
      <c r="G147">
        <v>0</v>
      </c>
      <c r="H147">
        <v>0</v>
      </c>
      <c r="I147" t="s">
        <v>82</v>
      </c>
    </row>
    <row r="148" spans="1:9" hidden="1" x14ac:dyDescent="0.35">
      <c r="A148" t="s">
        <v>5</v>
      </c>
      <c r="B148">
        <v>2025</v>
      </c>
      <c r="C148" t="s">
        <v>80</v>
      </c>
      <c r="D148" t="s">
        <v>41</v>
      </c>
      <c r="E148">
        <v>4.2466914373520404E-3</v>
      </c>
      <c r="F148">
        <v>4.2466914373520404E-3</v>
      </c>
      <c r="G148">
        <v>0</v>
      </c>
      <c r="H148">
        <v>0</v>
      </c>
      <c r="I148" t="s">
        <v>82</v>
      </c>
    </row>
    <row r="149" spans="1:9" hidden="1" x14ac:dyDescent="0.35">
      <c r="A149" t="s">
        <v>5</v>
      </c>
      <c r="B149">
        <v>2025</v>
      </c>
      <c r="C149" t="s">
        <v>80</v>
      </c>
      <c r="D149" t="s">
        <v>42</v>
      </c>
      <c r="E149">
        <v>0.68355026501420602</v>
      </c>
      <c r="F149">
        <v>0.68355026501420602</v>
      </c>
      <c r="G149">
        <v>0</v>
      </c>
      <c r="H149">
        <v>0</v>
      </c>
      <c r="I149" t="s">
        <v>82</v>
      </c>
    </row>
    <row r="150" spans="1:9" hidden="1" x14ac:dyDescent="0.35">
      <c r="A150" t="s">
        <v>5</v>
      </c>
      <c r="B150">
        <v>2025</v>
      </c>
      <c r="C150" t="s">
        <v>80</v>
      </c>
      <c r="D150" t="s">
        <v>43</v>
      </c>
      <c r="E150">
        <v>1.6590902697946001E-3</v>
      </c>
      <c r="F150">
        <v>1.6590902697946001E-3</v>
      </c>
      <c r="G150">
        <v>0</v>
      </c>
      <c r="H150">
        <v>0</v>
      </c>
      <c r="I150" t="s">
        <v>82</v>
      </c>
    </row>
    <row r="151" spans="1:9" hidden="1" x14ac:dyDescent="0.35">
      <c r="A151" t="s">
        <v>5</v>
      </c>
      <c r="B151">
        <v>2025</v>
      </c>
      <c r="C151" t="s">
        <v>80</v>
      </c>
      <c r="D151" t="s">
        <v>136</v>
      </c>
      <c r="E151">
        <v>2.1398803462925602</v>
      </c>
      <c r="F151">
        <v>2.1398803462925602</v>
      </c>
      <c r="G151">
        <v>0</v>
      </c>
      <c r="H151">
        <v>0</v>
      </c>
      <c r="I151" t="s">
        <v>82</v>
      </c>
    </row>
    <row r="152" spans="1:9" hidden="1" x14ac:dyDescent="0.35">
      <c r="A152" t="s">
        <v>5</v>
      </c>
      <c r="B152">
        <v>2025</v>
      </c>
      <c r="C152" t="s">
        <v>80</v>
      </c>
      <c r="D152" t="s">
        <v>45</v>
      </c>
      <c r="E152">
        <v>3.4338298493251799E-3</v>
      </c>
      <c r="F152">
        <v>3.4338298493251799E-3</v>
      </c>
      <c r="G152">
        <v>0</v>
      </c>
      <c r="H152">
        <v>0</v>
      </c>
      <c r="I152" t="s">
        <v>82</v>
      </c>
    </row>
    <row r="153" spans="1:9" hidden="1" x14ac:dyDescent="0.35">
      <c r="A153" t="s">
        <v>5</v>
      </c>
      <c r="B153">
        <v>2025</v>
      </c>
      <c r="C153" t="s">
        <v>80</v>
      </c>
      <c r="D153" t="s">
        <v>46</v>
      </c>
      <c r="E153">
        <v>7.7771407872910703E-2</v>
      </c>
      <c r="F153">
        <v>7.7771407872910703E-2</v>
      </c>
      <c r="G153">
        <v>0</v>
      </c>
      <c r="H153">
        <v>0</v>
      </c>
      <c r="I153" t="s">
        <v>82</v>
      </c>
    </row>
    <row r="154" spans="1:9" hidden="1" x14ac:dyDescent="0.35">
      <c r="A154" t="s">
        <v>5</v>
      </c>
      <c r="B154">
        <v>2025</v>
      </c>
      <c r="C154" t="s">
        <v>80</v>
      </c>
      <c r="D154" t="s">
        <v>47</v>
      </c>
      <c r="E154">
        <v>6.2673817250838795E-4</v>
      </c>
      <c r="F154">
        <v>6.2673817250838795E-4</v>
      </c>
      <c r="G154">
        <v>0</v>
      </c>
      <c r="H154">
        <v>0</v>
      </c>
      <c r="I154" t="s">
        <v>82</v>
      </c>
    </row>
    <row r="155" spans="1:9" hidden="1" x14ac:dyDescent="0.35">
      <c r="A155" t="s">
        <v>5</v>
      </c>
      <c r="B155">
        <v>2025</v>
      </c>
      <c r="C155" t="s">
        <v>80</v>
      </c>
      <c r="D155" t="s">
        <v>48</v>
      </c>
      <c r="E155">
        <v>80.554183559664693</v>
      </c>
      <c r="F155">
        <v>80.554183559664693</v>
      </c>
      <c r="G155">
        <v>0</v>
      </c>
      <c r="H155">
        <v>0</v>
      </c>
      <c r="I155" t="s">
        <v>82</v>
      </c>
    </row>
    <row r="156" spans="1:9" hidden="1" x14ac:dyDescent="0.35">
      <c r="A156" t="s">
        <v>5</v>
      </c>
      <c r="B156">
        <v>2025</v>
      </c>
      <c r="C156" t="s">
        <v>80</v>
      </c>
      <c r="D156" t="s">
        <v>49</v>
      </c>
      <c r="E156">
        <v>5.3149689769067497E-3</v>
      </c>
      <c r="F156">
        <v>5.3149689769067497E-3</v>
      </c>
      <c r="G156">
        <v>0</v>
      </c>
      <c r="H156">
        <v>0</v>
      </c>
      <c r="I156" t="s">
        <v>82</v>
      </c>
    </row>
    <row r="157" spans="1:9" hidden="1" x14ac:dyDescent="0.35">
      <c r="A157" t="s">
        <v>5</v>
      </c>
      <c r="B157">
        <v>2025</v>
      </c>
      <c r="C157" t="s">
        <v>80</v>
      </c>
      <c r="D157" t="s">
        <v>50</v>
      </c>
      <c r="E157">
        <v>1.16250944550827E-2</v>
      </c>
      <c r="F157">
        <v>1.16250944550827E-2</v>
      </c>
      <c r="G157">
        <v>0</v>
      </c>
      <c r="H157">
        <v>0</v>
      </c>
      <c r="I157" t="s">
        <v>82</v>
      </c>
    </row>
    <row r="158" spans="1:9" hidden="1" x14ac:dyDescent="0.35">
      <c r="A158" t="s">
        <v>5</v>
      </c>
      <c r="B158">
        <v>2025</v>
      </c>
      <c r="C158" t="s">
        <v>80</v>
      </c>
      <c r="D158" t="s">
        <v>51</v>
      </c>
      <c r="E158">
        <v>6.6670740360353697E-2</v>
      </c>
      <c r="F158">
        <v>6.6670740360353697E-2</v>
      </c>
      <c r="G158">
        <v>0</v>
      </c>
      <c r="H158">
        <v>0</v>
      </c>
      <c r="I158" t="s">
        <v>82</v>
      </c>
    </row>
    <row r="159" spans="1:9" hidden="1" x14ac:dyDescent="0.35">
      <c r="A159" t="s">
        <v>5</v>
      </c>
      <c r="B159">
        <v>2025</v>
      </c>
      <c r="C159" t="s">
        <v>80</v>
      </c>
      <c r="D159" t="s">
        <v>52</v>
      </c>
      <c r="E159">
        <v>0.157464532088126</v>
      </c>
      <c r="F159">
        <v>0.157464532088126</v>
      </c>
      <c r="G159">
        <v>0</v>
      </c>
      <c r="H159">
        <v>0</v>
      </c>
      <c r="I159" t="s">
        <v>82</v>
      </c>
    </row>
    <row r="160" spans="1:9" hidden="1" x14ac:dyDescent="0.35">
      <c r="A160" t="s">
        <v>5</v>
      </c>
      <c r="B160">
        <v>2025</v>
      </c>
      <c r="C160" t="s">
        <v>80</v>
      </c>
      <c r="D160" t="s">
        <v>53</v>
      </c>
      <c r="E160">
        <v>0.43176424705168998</v>
      </c>
      <c r="F160">
        <v>0.43176424705168998</v>
      </c>
      <c r="G160">
        <v>0</v>
      </c>
      <c r="H160">
        <v>0</v>
      </c>
      <c r="I160" t="s">
        <v>82</v>
      </c>
    </row>
    <row r="161" spans="1:9" hidden="1" x14ac:dyDescent="0.35">
      <c r="A161" t="s">
        <v>5</v>
      </c>
      <c r="B161">
        <v>2025</v>
      </c>
      <c r="C161" t="s">
        <v>80</v>
      </c>
      <c r="D161" t="s">
        <v>54</v>
      </c>
      <c r="E161">
        <v>5.112946575407E-2</v>
      </c>
      <c r="F161">
        <v>5.112946575407E-2</v>
      </c>
      <c r="G161">
        <v>0</v>
      </c>
      <c r="H161">
        <v>0</v>
      </c>
      <c r="I161" t="s">
        <v>82</v>
      </c>
    </row>
    <row r="162" spans="1:9" hidden="1" x14ac:dyDescent="0.35">
      <c r="A162" t="s">
        <v>5</v>
      </c>
      <c r="B162">
        <v>2025</v>
      </c>
      <c r="C162" t="s">
        <v>80</v>
      </c>
      <c r="D162" t="s">
        <v>55</v>
      </c>
      <c r="E162">
        <v>4.7276128851421899E-2</v>
      </c>
      <c r="F162">
        <v>4.7276128851421899E-2</v>
      </c>
      <c r="G162">
        <v>0</v>
      </c>
      <c r="H162">
        <v>0</v>
      </c>
      <c r="I162" t="s">
        <v>82</v>
      </c>
    </row>
    <row r="163" spans="1:9" hidden="1" x14ac:dyDescent="0.35">
      <c r="A163" t="s">
        <v>5</v>
      </c>
      <c r="B163">
        <v>2025</v>
      </c>
      <c r="C163" t="s">
        <v>80</v>
      </c>
      <c r="D163" t="s">
        <v>56</v>
      </c>
      <c r="E163" s="1">
        <v>7.4963549981497906E-8</v>
      </c>
      <c r="F163" s="1">
        <v>7.4963549981497906E-8</v>
      </c>
      <c r="G163">
        <v>0</v>
      </c>
      <c r="H163">
        <v>0</v>
      </c>
      <c r="I163" t="s">
        <v>82</v>
      </c>
    </row>
    <row r="164" spans="1:9" hidden="1" x14ac:dyDescent="0.35">
      <c r="A164" t="s">
        <v>7</v>
      </c>
      <c r="B164">
        <v>2030</v>
      </c>
      <c r="C164" t="s">
        <v>80</v>
      </c>
      <c r="D164" t="s">
        <v>38</v>
      </c>
      <c r="E164">
        <v>1.2021974999592299E-3</v>
      </c>
      <c r="F164">
        <v>1.2021974999592299E-3</v>
      </c>
      <c r="G164">
        <v>0</v>
      </c>
      <c r="H164">
        <v>0</v>
      </c>
      <c r="I164" t="s">
        <v>82</v>
      </c>
    </row>
    <row r="165" spans="1:9" hidden="1" x14ac:dyDescent="0.35">
      <c r="A165" t="s">
        <v>7</v>
      </c>
      <c r="B165">
        <v>2030</v>
      </c>
      <c r="C165" t="s">
        <v>80</v>
      </c>
      <c r="D165" t="s">
        <v>40</v>
      </c>
      <c r="E165">
        <v>4.12168553883342E-4</v>
      </c>
      <c r="F165">
        <v>4.12168553883342E-4</v>
      </c>
      <c r="G165">
        <v>0</v>
      </c>
      <c r="H165">
        <v>0</v>
      </c>
      <c r="I165" t="s">
        <v>82</v>
      </c>
    </row>
    <row r="166" spans="1:9" hidden="1" x14ac:dyDescent="0.35">
      <c r="A166" t="s">
        <v>7</v>
      </c>
      <c r="B166">
        <v>2030</v>
      </c>
      <c r="C166" t="s">
        <v>80</v>
      </c>
      <c r="D166" t="s">
        <v>41</v>
      </c>
      <c r="E166">
        <v>3.7276528263601198E-3</v>
      </c>
      <c r="F166">
        <v>3.7276528263601198E-3</v>
      </c>
      <c r="G166">
        <v>0</v>
      </c>
      <c r="H166">
        <v>0</v>
      </c>
      <c r="I166" t="s">
        <v>82</v>
      </c>
    </row>
    <row r="167" spans="1:9" hidden="1" x14ac:dyDescent="0.35">
      <c r="A167" t="s">
        <v>7</v>
      </c>
      <c r="B167">
        <v>2030</v>
      </c>
      <c r="C167" t="s">
        <v>80</v>
      </c>
      <c r="D167" t="s">
        <v>42</v>
      </c>
      <c r="E167">
        <v>0.594012481761792</v>
      </c>
      <c r="F167">
        <v>0.594012481761792</v>
      </c>
      <c r="G167">
        <v>0</v>
      </c>
      <c r="H167">
        <v>0</v>
      </c>
      <c r="I167" t="s">
        <v>82</v>
      </c>
    </row>
    <row r="168" spans="1:9" hidden="1" x14ac:dyDescent="0.35">
      <c r="A168" t="s">
        <v>7</v>
      </c>
      <c r="B168">
        <v>2030</v>
      </c>
      <c r="C168" t="s">
        <v>80</v>
      </c>
      <c r="D168" t="s">
        <v>43</v>
      </c>
      <c r="E168">
        <v>1.46273360002185E-3</v>
      </c>
      <c r="F168">
        <v>1.46273360002185E-3</v>
      </c>
      <c r="G168">
        <v>0</v>
      </c>
      <c r="H168">
        <v>0</v>
      </c>
      <c r="I168" t="s">
        <v>82</v>
      </c>
    </row>
    <row r="169" spans="1:9" hidden="1" x14ac:dyDescent="0.35">
      <c r="A169" t="s">
        <v>7</v>
      </c>
      <c r="B169">
        <v>2030</v>
      </c>
      <c r="C169" t="s">
        <v>80</v>
      </c>
      <c r="D169" t="s">
        <v>136</v>
      </c>
      <c r="E169">
        <v>1.8729213519583101</v>
      </c>
      <c r="F169">
        <v>1.66280132638509</v>
      </c>
      <c r="G169">
        <v>-0.21012002557321399</v>
      </c>
      <c r="H169">
        <v>-11.218838706361799</v>
      </c>
      <c r="I169" t="s">
        <v>82</v>
      </c>
    </row>
    <row r="170" spans="1:9" hidden="1" x14ac:dyDescent="0.35">
      <c r="A170" t="s">
        <v>7</v>
      </c>
      <c r="B170">
        <v>2030</v>
      </c>
      <c r="C170" t="s">
        <v>80</v>
      </c>
      <c r="D170" t="s">
        <v>45</v>
      </c>
      <c r="E170">
        <v>2.7194746033281899E-3</v>
      </c>
      <c r="F170">
        <v>2.7194746033281899E-3</v>
      </c>
      <c r="G170">
        <v>0</v>
      </c>
      <c r="H170">
        <v>0</v>
      </c>
      <c r="I170" t="s">
        <v>82</v>
      </c>
    </row>
    <row r="171" spans="1:9" hidden="1" x14ac:dyDescent="0.35">
      <c r="A171" t="s">
        <v>7</v>
      </c>
      <c r="B171">
        <v>2030</v>
      </c>
      <c r="C171" t="s">
        <v>80</v>
      </c>
      <c r="D171" t="s">
        <v>46</v>
      </c>
      <c r="E171">
        <v>7.9755560509628398E-2</v>
      </c>
      <c r="F171">
        <v>7.9755560509628398E-2</v>
      </c>
      <c r="G171">
        <v>0</v>
      </c>
      <c r="H171">
        <v>0</v>
      </c>
      <c r="I171" t="s">
        <v>82</v>
      </c>
    </row>
    <row r="172" spans="1:9" hidden="1" x14ac:dyDescent="0.35">
      <c r="A172" t="s">
        <v>7</v>
      </c>
      <c r="B172">
        <v>2030</v>
      </c>
      <c r="C172" t="s">
        <v>80</v>
      </c>
      <c r="D172" t="s">
        <v>47</v>
      </c>
      <c r="E172">
        <v>5.0069915782545904E-4</v>
      </c>
      <c r="F172">
        <v>5.0069915782545904E-4</v>
      </c>
      <c r="G172">
        <v>0</v>
      </c>
      <c r="H172">
        <v>0</v>
      </c>
      <c r="I172" t="s">
        <v>82</v>
      </c>
    </row>
    <row r="173" spans="1:9" hidden="1" x14ac:dyDescent="0.35">
      <c r="A173" t="s">
        <v>7</v>
      </c>
      <c r="B173">
        <v>2030</v>
      </c>
      <c r="C173" t="s">
        <v>80</v>
      </c>
      <c r="D173" t="s">
        <v>48</v>
      </c>
      <c r="E173">
        <v>80.555819487157095</v>
      </c>
      <c r="F173">
        <v>80.555819487157095</v>
      </c>
      <c r="G173">
        <v>0</v>
      </c>
      <c r="H173">
        <v>0</v>
      </c>
      <c r="I173" t="s">
        <v>82</v>
      </c>
    </row>
    <row r="174" spans="1:9" hidden="1" x14ac:dyDescent="0.35">
      <c r="A174" t="s">
        <v>7</v>
      </c>
      <c r="B174">
        <v>2030</v>
      </c>
      <c r="C174" t="s">
        <v>80</v>
      </c>
      <c r="D174" t="s">
        <v>49</v>
      </c>
      <c r="E174">
        <v>4.5310487156365398E-3</v>
      </c>
      <c r="F174">
        <v>4.5310487156365398E-3</v>
      </c>
      <c r="G174">
        <v>0</v>
      </c>
      <c r="H174">
        <v>0</v>
      </c>
      <c r="I174" t="s">
        <v>82</v>
      </c>
    </row>
    <row r="175" spans="1:9" hidden="1" x14ac:dyDescent="0.35">
      <c r="A175" t="s">
        <v>7</v>
      </c>
      <c r="B175">
        <v>2030</v>
      </c>
      <c r="C175" t="s">
        <v>80</v>
      </c>
      <c r="D175" t="s">
        <v>50</v>
      </c>
      <c r="E175">
        <v>1.06576318119461E-2</v>
      </c>
      <c r="F175">
        <v>1.06576318119461E-2</v>
      </c>
      <c r="G175">
        <v>0</v>
      </c>
      <c r="H175">
        <v>0</v>
      </c>
      <c r="I175" t="s">
        <v>82</v>
      </c>
    </row>
    <row r="176" spans="1:9" hidden="1" x14ac:dyDescent="0.35">
      <c r="A176" t="s">
        <v>7</v>
      </c>
      <c r="B176">
        <v>2030</v>
      </c>
      <c r="C176" t="s">
        <v>80</v>
      </c>
      <c r="D176" t="s">
        <v>51</v>
      </c>
      <c r="E176">
        <v>6.8198112801032204E-2</v>
      </c>
      <c r="F176">
        <v>6.8198112801032204E-2</v>
      </c>
      <c r="G176">
        <v>0</v>
      </c>
      <c r="H176">
        <v>0</v>
      </c>
      <c r="I176" t="s">
        <v>82</v>
      </c>
    </row>
    <row r="177" spans="1:9" hidden="1" x14ac:dyDescent="0.35">
      <c r="A177" t="s">
        <v>7</v>
      </c>
      <c r="B177">
        <v>2030</v>
      </c>
      <c r="C177" t="s">
        <v>80</v>
      </c>
      <c r="D177" t="s">
        <v>52</v>
      </c>
      <c r="E177">
        <v>0.13361895200130899</v>
      </c>
      <c r="F177">
        <v>0.13361895200130899</v>
      </c>
      <c r="G177">
        <v>0</v>
      </c>
      <c r="H177">
        <v>0</v>
      </c>
      <c r="I177" t="s">
        <v>82</v>
      </c>
    </row>
    <row r="178" spans="1:9" hidden="1" x14ac:dyDescent="0.35">
      <c r="A178" t="s">
        <v>7</v>
      </c>
      <c r="B178">
        <v>2030</v>
      </c>
      <c r="C178" t="s">
        <v>80</v>
      </c>
      <c r="D178" t="s">
        <v>53</v>
      </c>
      <c r="E178">
        <v>0.366806047982705</v>
      </c>
      <c r="F178">
        <v>0.366806047982705</v>
      </c>
      <c r="G178">
        <v>0</v>
      </c>
      <c r="H178">
        <v>0</v>
      </c>
      <c r="I178" t="s">
        <v>82</v>
      </c>
    </row>
    <row r="179" spans="1:9" hidden="1" x14ac:dyDescent="0.35">
      <c r="A179" t="s">
        <v>7</v>
      </c>
      <c r="B179">
        <v>2030</v>
      </c>
      <c r="C179" t="s">
        <v>80</v>
      </c>
      <c r="D179" t="s">
        <v>54</v>
      </c>
      <c r="E179">
        <v>5.1023385493225999E-2</v>
      </c>
      <c r="F179">
        <v>5.1023385493225999E-2</v>
      </c>
      <c r="G179">
        <v>0</v>
      </c>
      <c r="H179">
        <v>0</v>
      </c>
      <c r="I179" t="s">
        <v>82</v>
      </c>
    </row>
    <row r="180" spans="1:9" hidden="1" x14ac:dyDescent="0.35">
      <c r="A180" t="s">
        <v>7</v>
      </c>
      <c r="B180">
        <v>2030</v>
      </c>
      <c r="C180" t="s">
        <v>80</v>
      </c>
      <c r="D180" t="s">
        <v>55</v>
      </c>
      <c r="E180">
        <v>4.6948345728218599E-2</v>
      </c>
      <c r="F180">
        <v>4.6948345728218599E-2</v>
      </c>
      <c r="G180">
        <v>0</v>
      </c>
      <c r="H180">
        <v>0</v>
      </c>
      <c r="I180" t="s">
        <v>82</v>
      </c>
    </row>
    <row r="181" spans="1:9" hidden="1" x14ac:dyDescent="0.35">
      <c r="A181" t="s">
        <v>7</v>
      </c>
      <c r="B181">
        <v>2030</v>
      </c>
      <c r="C181" t="s">
        <v>80</v>
      </c>
      <c r="D181" t="s">
        <v>56</v>
      </c>
      <c r="E181" s="1">
        <v>6.5651815042659201E-8</v>
      </c>
      <c r="F181" s="1">
        <v>6.5651815042659201E-8</v>
      </c>
      <c r="G181">
        <v>0</v>
      </c>
      <c r="H181">
        <v>0</v>
      </c>
      <c r="I181" t="s">
        <v>82</v>
      </c>
    </row>
    <row r="182" spans="1:9" hidden="1" x14ac:dyDescent="0.35">
      <c r="A182" t="s">
        <v>9</v>
      </c>
      <c r="B182">
        <v>2035</v>
      </c>
      <c r="C182" t="s">
        <v>80</v>
      </c>
      <c r="D182" t="s">
        <v>38</v>
      </c>
      <c r="E182">
        <v>1.1627623616416701E-3</v>
      </c>
      <c r="F182">
        <v>1.1627623616416701E-3</v>
      </c>
      <c r="G182">
        <v>0</v>
      </c>
      <c r="H182">
        <v>0</v>
      </c>
      <c r="I182" t="s">
        <v>82</v>
      </c>
    </row>
    <row r="183" spans="1:9" hidden="1" x14ac:dyDescent="0.35">
      <c r="A183" t="s">
        <v>9</v>
      </c>
      <c r="B183">
        <v>2035</v>
      </c>
      <c r="C183" t="s">
        <v>80</v>
      </c>
      <c r="D183" t="s">
        <v>40</v>
      </c>
      <c r="E183">
        <v>3.7408712135641499E-4</v>
      </c>
      <c r="F183">
        <v>3.7408712135641499E-4</v>
      </c>
      <c r="G183">
        <v>0</v>
      </c>
      <c r="H183">
        <v>0</v>
      </c>
      <c r="I183" t="s">
        <v>82</v>
      </c>
    </row>
    <row r="184" spans="1:9" hidden="1" x14ac:dyDescent="0.35">
      <c r="A184" t="s">
        <v>9</v>
      </c>
      <c r="B184">
        <v>2035</v>
      </c>
      <c r="C184" t="s">
        <v>80</v>
      </c>
      <c r="D184" t="s">
        <v>41</v>
      </c>
      <c r="E184">
        <v>3.3754640456126598E-3</v>
      </c>
      <c r="F184">
        <v>3.3754640456126598E-3</v>
      </c>
      <c r="G184">
        <v>0</v>
      </c>
      <c r="H184">
        <v>0</v>
      </c>
      <c r="I184" t="s">
        <v>82</v>
      </c>
    </row>
    <row r="185" spans="1:9" hidden="1" x14ac:dyDescent="0.35">
      <c r="A185" t="s">
        <v>9</v>
      </c>
      <c r="B185">
        <v>2035</v>
      </c>
      <c r="C185" t="s">
        <v>80</v>
      </c>
      <c r="D185" t="s">
        <v>42</v>
      </c>
      <c r="E185">
        <v>0.53679314661283595</v>
      </c>
      <c r="F185">
        <v>0.53679314661283595</v>
      </c>
      <c r="G185">
        <v>0</v>
      </c>
      <c r="H185">
        <v>0</v>
      </c>
      <c r="I185" t="s">
        <v>82</v>
      </c>
    </row>
    <row r="186" spans="1:9" hidden="1" x14ac:dyDescent="0.35">
      <c r="A186" t="s">
        <v>9</v>
      </c>
      <c r="B186">
        <v>2035</v>
      </c>
      <c r="C186" t="s">
        <v>80</v>
      </c>
      <c r="D186" t="s">
        <v>43</v>
      </c>
      <c r="E186">
        <v>1.32300494013424E-3</v>
      </c>
      <c r="F186">
        <v>1.32300494013424E-3</v>
      </c>
      <c r="G186">
        <v>0</v>
      </c>
      <c r="H186">
        <v>0</v>
      </c>
      <c r="I186" t="s">
        <v>82</v>
      </c>
    </row>
    <row r="187" spans="1:9" hidden="1" x14ac:dyDescent="0.35">
      <c r="A187" t="s">
        <v>9</v>
      </c>
      <c r="B187">
        <v>2035</v>
      </c>
      <c r="C187" t="s">
        <v>80</v>
      </c>
      <c r="D187" t="s">
        <v>136</v>
      </c>
      <c r="E187">
        <v>1.67215616457198</v>
      </c>
      <c r="F187">
        <v>1.6426329105279101</v>
      </c>
      <c r="G187">
        <v>-2.9523254044071301E-2</v>
      </c>
      <c r="H187">
        <v>-1.76557995416823</v>
      </c>
      <c r="I187" t="s">
        <v>82</v>
      </c>
    </row>
    <row r="188" spans="1:9" hidden="1" x14ac:dyDescent="0.35">
      <c r="A188" t="s">
        <v>9</v>
      </c>
      <c r="B188">
        <v>2035</v>
      </c>
      <c r="C188" t="s">
        <v>80</v>
      </c>
      <c r="D188" t="s">
        <v>45</v>
      </c>
      <c r="E188">
        <v>2.2698107464554501E-3</v>
      </c>
      <c r="F188">
        <v>2.2698107464554501E-3</v>
      </c>
      <c r="G188">
        <v>0</v>
      </c>
      <c r="H188">
        <v>0</v>
      </c>
      <c r="I188" t="s">
        <v>82</v>
      </c>
    </row>
    <row r="189" spans="1:9" hidden="1" x14ac:dyDescent="0.35">
      <c r="A189" t="s">
        <v>9</v>
      </c>
      <c r="B189">
        <v>2035</v>
      </c>
      <c r="C189" t="s">
        <v>80</v>
      </c>
      <c r="D189" t="s">
        <v>46</v>
      </c>
      <c r="E189">
        <v>9.0657708072243395E-2</v>
      </c>
      <c r="F189">
        <v>9.0657708072243395E-2</v>
      </c>
      <c r="G189">
        <v>0</v>
      </c>
      <c r="H189">
        <v>0</v>
      </c>
      <c r="I189" t="s">
        <v>82</v>
      </c>
    </row>
    <row r="190" spans="1:9" hidden="1" x14ac:dyDescent="0.35">
      <c r="A190" t="s">
        <v>9</v>
      </c>
      <c r="B190">
        <v>2035</v>
      </c>
      <c r="C190" t="s">
        <v>80</v>
      </c>
      <c r="D190" t="s">
        <v>47</v>
      </c>
      <c r="E190">
        <v>4.1743058213348599E-4</v>
      </c>
      <c r="F190">
        <v>4.1743058213348599E-4</v>
      </c>
      <c r="G190">
        <v>0</v>
      </c>
      <c r="H190">
        <v>0</v>
      </c>
      <c r="I190" t="s">
        <v>82</v>
      </c>
    </row>
    <row r="191" spans="1:9" hidden="1" x14ac:dyDescent="0.35">
      <c r="A191" t="s">
        <v>9</v>
      </c>
      <c r="B191">
        <v>2035</v>
      </c>
      <c r="C191" t="s">
        <v>80</v>
      </c>
      <c r="D191" t="s">
        <v>48</v>
      </c>
      <c r="E191">
        <v>80.557582383751495</v>
      </c>
      <c r="F191">
        <v>80.557582383751495</v>
      </c>
      <c r="G191">
        <v>0</v>
      </c>
      <c r="H191">
        <v>0</v>
      </c>
      <c r="I191" t="s">
        <v>82</v>
      </c>
    </row>
    <row r="192" spans="1:9" hidden="1" x14ac:dyDescent="0.35">
      <c r="A192" t="s">
        <v>9</v>
      </c>
      <c r="B192">
        <v>2035</v>
      </c>
      <c r="C192" t="s">
        <v>80</v>
      </c>
      <c r="D192" t="s">
        <v>49</v>
      </c>
      <c r="E192">
        <v>3.9956459841371701E-3</v>
      </c>
      <c r="F192">
        <v>3.9956459841371701E-3</v>
      </c>
      <c r="G192">
        <v>0</v>
      </c>
      <c r="H192">
        <v>0</v>
      </c>
      <c r="I192" t="s">
        <v>82</v>
      </c>
    </row>
    <row r="193" spans="1:9" hidden="1" x14ac:dyDescent="0.35">
      <c r="A193" t="s">
        <v>9</v>
      </c>
      <c r="B193">
        <v>2035</v>
      </c>
      <c r="C193" t="s">
        <v>80</v>
      </c>
      <c r="D193" t="s">
        <v>50</v>
      </c>
      <c r="E193">
        <v>9.7366337339411108E-3</v>
      </c>
      <c r="F193">
        <v>9.7366337339411108E-3</v>
      </c>
      <c r="G193">
        <v>0</v>
      </c>
      <c r="H193">
        <v>0</v>
      </c>
      <c r="I193" t="s">
        <v>82</v>
      </c>
    </row>
    <row r="194" spans="1:9" hidden="1" x14ac:dyDescent="0.35">
      <c r="A194" t="s">
        <v>9</v>
      </c>
      <c r="B194">
        <v>2035</v>
      </c>
      <c r="C194" t="s">
        <v>80</v>
      </c>
      <c r="D194" t="s">
        <v>51</v>
      </c>
      <c r="E194">
        <v>7.0577032776415097E-2</v>
      </c>
      <c r="F194">
        <v>7.0577032776415097E-2</v>
      </c>
      <c r="G194">
        <v>0</v>
      </c>
      <c r="H194">
        <v>0</v>
      </c>
      <c r="I194" t="s">
        <v>82</v>
      </c>
    </row>
    <row r="195" spans="1:9" hidden="1" x14ac:dyDescent="0.35">
      <c r="A195" t="s">
        <v>9</v>
      </c>
      <c r="B195">
        <v>2035</v>
      </c>
      <c r="C195" t="s">
        <v>80</v>
      </c>
      <c r="D195" t="s">
        <v>52</v>
      </c>
      <c r="E195">
        <v>0.107610594216571</v>
      </c>
      <c r="F195">
        <v>0.107610594216571</v>
      </c>
      <c r="G195">
        <v>0</v>
      </c>
      <c r="H195">
        <v>0</v>
      </c>
      <c r="I195" t="s">
        <v>82</v>
      </c>
    </row>
    <row r="196" spans="1:9" hidden="1" x14ac:dyDescent="0.35">
      <c r="A196" t="s">
        <v>9</v>
      </c>
      <c r="B196">
        <v>2035</v>
      </c>
      <c r="C196" t="s">
        <v>80</v>
      </c>
      <c r="D196" t="s">
        <v>53</v>
      </c>
      <c r="E196">
        <v>0.31701941608836398</v>
      </c>
      <c r="F196">
        <v>0.31701941608836398</v>
      </c>
      <c r="G196">
        <v>0</v>
      </c>
      <c r="H196">
        <v>0</v>
      </c>
      <c r="I196" t="s">
        <v>82</v>
      </c>
    </row>
    <row r="197" spans="1:9" hidden="1" x14ac:dyDescent="0.35">
      <c r="A197" t="s">
        <v>9</v>
      </c>
      <c r="B197">
        <v>2035</v>
      </c>
      <c r="C197" t="s">
        <v>80</v>
      </c>
      <c r="D197" t="s">
        <v>54</v>
      </c>
      <c r="E197">
        <v>5.0990698149894098E-2</v>
      </c>
      <c r="F197">
        <v>5.0990698149894098E-2</v>
      </c>
      <c r="G197">
        <v>0</v>
      </c>
      <c r="H197">
        <v>0</v>
      </c>
      <c r="I197" t="s">
        <v>82</v>
      </c>
    </row>
    <row r="198" spans="1:9" hidden="1" x14ac:dyDescent="0.35">
      <c r="A198" t="s">
        <v>9</v>
      </c>
      <c r="B198">
        <v>2035</v>
      </c>
      <c r="C198" t="s">
        <v>80</v>
      </c>
      <c r="D198" t="s">
        <v>55</v>
      </c>
      <c r="E198">
        <v>4.6825661841508499E-2</v>
      </c>
      <c r="F198">
        <v>4.6825661841508499E-2</v>
      </c>
      <c r="G198">
        <v>0</v>
      </c>
      <c r="H198">
        <v>0</v>
      </c>
      <c r="I198" t="s">
        <v>82</v>
      </c>
    </row>
    <row r="199" spans="1:9" hidden="1" x14ac:dyDescent="0.35">
      <c r="A199" t="s">
        <v>9</v>
      </c>
      <c r="B199">
        <v>2035</v>
      </c>
      <c r="C199" t="s">
        <v>80</v>
      </c>
      <c r="D199" t="s">
        <v>56</v>
      </c>
      <c r="E199" s="1">
        <v>5.9968989285180997E-8</v>
      </c>
      <c r="F199" s="1">
        <v>5.9968989285180997E-8</v>
      </c>
      <c r="G199">
        <v>0</v>
      </c>
      <c r="H199">
        <v>0</v>
      </c>
      <c r="I199" t="s">
        <v>82</v>
      </c>
    </row>
    <row r="200" spans="1:9" hidden="1" x14ac:dyDescent="0.35">
      <c r="A200" t="s">
        <v>11</v>
      </c>
      <c r="B200">
        <v>2040</v>
      </c>
      <c r="C200" t="s">
        <v>80</v>
      </c>
      <c r="D200" t="s">
        <v>38</v>
      </c>
      <c r="E200">
        <v>1.01055665815688E-3</v>
      </c>
      <c r="F200">
        <v>1.01055665815688E-3</v>
      </c>
      <c r="G200">
        <v>0</v>
      </c>
      <c r="H200">
        <v>0</v>
      </c>
      <c r="I200" t="s">
        <v>82</v>
      </c>
    </row>
    <row r="201" spans="1:9" hidden="1" x14ac:dyDescent="0.35">
      <c r="A201" t="s">
        <v>11</v>
      </c>
      <c r="B201">
        <v>2040</v>
      </c>
      <c r="C201" t="s">
        <v>80</v>
      </c>
      <c r="D201" t="s">
        <v>40</v>
      </c>
      <c r="E201">
        <v>3.4552767271355E-4</v>
      </c>
      <c r="F201">
        <v>3.4552767271355E-4</v>
      </c>
      <c r="G201">
        <v>0</v>
      </c>
      <c r="H201">
        <v>0</v>
      </c>
      <c r="I201" t="s">
        <v>82</v>
      </c>
    </row>
    <row r="202" spans="1:9" hidden="1" x14ac:dyDescent="0.35">
      <c r="A202" t="s">
        <v>11</v>
      </c>
      <c r="B202">
        <v>2040</v>
      </c>
      <c r="C202" t="s">
        <v>80</v>
      </c>
      <c r="D202" t="s">
        <v>41</v>
      </c>
      <c r="E202">
        <v>3.1460666011142E-3</v>
      </c>
      <c r="F202">
        <v>3.1460666011142E-3</v>
      </c>
      <c r="G202">
        <v>0</v>
      </c>
      <c r="H202">
        <v>0</v>
      </c>
      <c r="I202" t="s">
        <v>82</v>
      </c>
    </row>
    <row r="203" spans="1:9" hidden="1" x14ac:dyDescent="0.35">
      <c r="A203" t="s">
        <v>11</v>
      </c>
      <c r="B203">
        <v>2040</v>
      </c>
      <c r="C203" t="s">
        <v>80</v>
      </c>
      <c r="D203" t="s">
        <v>42</v>
      </c>
      <c r="E203">
        <v>0.49918693424633098</v>
      </c>
      <c r="F203">
        <v>0.49918693424633098</v>
      </c>
      <c r="G203">
        <v>0</v>
      </c>
      <c r="H203">
        <v>0</v>
      </c>
      <c r="I203" t="s">
        <v>82</v>
      </c>
    </row>
    <row r="204" spans="1:9" hidden="1" x14ac:dyDescent="0.35">
      <c r="A204" t="s">
        <v>11</v>
      </c>
      <c r="B204">
        <v>2040</v>
      </c>
      <c r="C204" t="s">
        <v>80</v>
      </c>
      <c r="D204" t="s">
        <v>43</v>
      </c>
      <c r="E204">
        <v>1.2080730430158899E-3</v>
      </c>
      <c r="F204">
        <v>1.2080730430158899E-3</v>
      </c>
      <c r="G204">
        <v>0</v>
      </c>
      <c r="H204">
        <v>0</v>
      </c>
      <c r="I204" t="s">
        <v>82</v>
      </c>
    </row>
    <row r="205" spans="1:9" hidden="1" x14ac:dyDescent="0.35">
      <c r="A205" t="s">
        <v>11</v>
      </c>
      <c r="B205">
        <v>2040</v>
      </c>
      <c r="C205" t="s">
        <v>80</v>
      </c>
      <c r="D205" t="s">
        <v>136</v>
      </c>
      <c r="E205">
        <v>1.53837037755358</v>
      </c>
      <c r="F205">
        <v>1.2987270948652601</v>
      </c>
      <c r="G205">
        <v>-0.239643282688318</v>
      </c>
      <c r="H205">
        <v>-15.5777364271284</v>
      </c>
      <c r="I205" t="s">
        <v>82</v>
      </c>
    </row>
    <row r="206" spans="1:9" hidden="1" x14ac:dyDescent="0.35">
      <c r="A206" t="s">
        <v>11</v>
      </c>
      <c r="B206">
        <v>2040</v>
      </c>
      <c r="C206" t="s">
        <v>80</v>
      </c>
      <c r="D206" t="s">
        <v>45</v>
      </c>
      <c r="E206">
        <v>1.9765211359685001E-3</v>
      </c>
      <c r="F206">
        <v>1.9765211359685001E-3</v>
      </c>
      <c r="G206">
        <v>0</v>
      </c>
      <c r="H206">
        <v>0</v>
      </c>
      <c r="I206" t="s">
        <v>82</v>
      </c>
    </row>
    <row r="207" spans="1:9" hidden="1" x14ac:dyDescent="0.35">
      <c r="A207" t="s">
        <v>11</v>
      </c>
      <c r="B207">
        <v>2040</v>
      </c>
      <c r="C207" t="s">
        <v>80</v>
      </c>
      <c r="D207" t="s">
        <v>46</v>
      </c>
      <c r="E207">
        <v>0.10572074961252501</v>
      </c>
      <c r="F207">
        <v>0.10572074961252501</v>
      </c>
      <c r="G207">
        <v>0</v>
      </c>
      <c r="H207">
        <v>0</v>
      </c>
      <c r="I207" t="s">
        <v>82</v>
      </c>
    </row>
    <row r="208" spans="1:9" hidden="1" x14ac:dyDescent="0.35">
      <c r="A208" t="s">
        <v>11</v>
      </c>
      <c r="B208">
        <v>2040</v>
      </c>
      <c r="C208" t="s">
        <v>80</v>
      </c>
      <c r="D208" t="s">
        <v>47</v>
      </c>
      <c r="E208">
        <v>3.6137446447331498E-4</v>
      </c>
      <c r="F208">
        <v>3.6137446447331498E-4</v>
      </c>
      <c r="G208">
        <v>0</v>
      </c>
      <c r="H208">
        <v>0</v>
      </c>
      <c r="I208" t="s">
        <v>82</v>
      </c>
    </row>
    <row r="209" spans="1:9" hidden="1" x14ac:dyDescent="0.35">
      <c r="A209" t="s">
        <v>11</v>
      </c>
      <c r="B209">
        <v>2040</v>
      </c>
      <c r="C209" t="s">
        <v>80</v>
      </c>
      <c r="D209" t="s">
        <v>48</v>
      </c>
      <c r="E209">
        <v>80.559350899453904</v>
      </c>
      <c r="F209">
        <v>80.559350899453904</v>
      </c>
      <c r="G209">
        <v>0</v>
      </c>
      <c r="H209">
        <v>0</v>
      </c>
      <c r="I209" t="s">
        <v>82</v>
      </c>
    </row>
    <row r="210" spans="1:9" hidden="1" x14ac:dyDescent="0.35">
      <c r="A210" t="s">
        <v>11</v>
      </c>
      <c r="B210">
        <v>2040</v>
      </c>
      <c r="C210" t="s">
        <v>80</v>
      </c>
      <c r="D210" t="s">
        <v>49</v>
      </c>
      <c r="E210">
        <v>3.6293020462361699E-3</v>
      </c>
      <c r="F210">
        <v>3.6293020462361699E-3</v>
      </c>
      <c r="G210">
        <v>0</v>
      </c>
      <c r="H210">
        <v>0</v>
      </c>
      <c r="I210" t="s">
        <v>82</v>
      </c>
    </row>
    <row r="211" spans="1:9" hidden="1" x14ac:dyDescent="0.35">
      <c r="A211" t="s">
        <v>11</v>
      </c>
      <c r="B211">
        <v>2040</v>
      </c>
      <c r="C211" t="s">
        <v>80</v>
      </c>
      <c r="D211" t="s">
        <v>50</v>
      </c>
      <c r="E211">
        <v>8.6950783348484096E-3</v>
      </c>
      <c r="F211">
        <v>8.6950783348484096E-3</v>
      </c>
      <c r="G211">
        <v>0</v>
      </c>
      <c r="H211">
        <v>0</v>
      </c>
      <c r="I211" t="s">
        <v>82</v>
      </c>
    </row>
    <row r="212" spans="1:9" hidden="1" x14ac:dyDescent="0.35">
      <c r="A212" t="s">
        <v>11</v>
      </c>
      <c r="B212">
        <v>2040</v>
      </c>
      <c r="C212" t="s">
        <v>80</v>
      </c>
      <c r="D212" t="s">
        <v>51</v>
      </c>
      <c r="E212">
        <v>7.2571823253314696E-2</v>
      </c>
      <c r="F212">
        <v>7.2571823253314696E-2</v>
      </c>
      <c r="G212">
        <v>0</v>
      </c>
      <c r="H212">
        <v>0</v>
      </c>
      <c r="I212" t="s">
        <v>82</v>
      </c>
    </row>
    <row r="213" spans="1:9" hidden="1" x14ac:dyDescent="0.35">
      <c r="A213" t="s">
        <v>11</v>
      </c>
      <c r="B213">
        <v>2040</v>
      </c>
      <c r="C213" t="s">
        <v>80</v>
      </c>
      <c r="D213" t="s">
        <v>52</v>
      </c>
      <c r="E213">
        <v>8.5300043682527596E-2</v>
      </c>
      <c r="F213">
        <v>8.5300043682527596E-2</v>
      </c>
      <c r="G213">
        <v>0</v>
      </c>
      <c r="H213">
        <v>0</v>
      </c>
      <c r="I213" t="s">
        <v>82</v>
      </c>
    </row>
    <row r="214" spans="1:9" hidden="1" x14ac:dyDescent="0.35">
      <c r="A214" t="s">
        <v>11</v>
      </c>
      <c r="B214">
        <v>2040</v>
      </c>
      <c r="C214" t="s">
        <v>80</v>
      </c>
      <c r="D214" t="s">
        <v>53</v>
      </c>
      <c r="E214">
        <v>0.281619193396421</v>
      </c>
      <c r="F214">
        <v>0.281619193396421</v>
      </c>
      <c r="G214">
        <v>0</v>
      </c>
      <c r="H214">
        <v>0</v>
      </c>
      <c r="I214" t="s">
        <v>82</v>
      </c>
    </row>
    <row r="215" spans="1:9" hidden="1" x14ac:dyDescent="0.35">
      <c r="A215" t="s">
        <v>11</v>
      </c>
      <c r="B215">
        <v>2040</v>
      </c>
      <c r="C215" t="s">
        <v>80</v>
      </c>
      <c r="D215" t="s">
        <v>54</v>
      </c>
      <c r="E215">
        <v>5.0759861028679999E-2</v>
      </c>
      <c r="F215">
        <v>5.0759861028679999E-2</v>
      </c>
      <c r="G215">
        <v>0</v>
      </c>
      <c r="H215">
        <v>0</v>
      </c>
      <c r="I215" t="s">
        <v>82</v>
      </c>
    </row>
    <row r="216" spans="1:9" hidden="1" x14ac:dyDescent="0.35">
      <c r="A216" t="s">
        <v>11</v>
      </c>
      <c r="B216">
        <v>2040</v>
      </c>
      <c r="C216" t="s">
        <v>80</v>
      </c>
      <c r="D216" t="s">
        <v>55</v>
      </c>
      <c r="E216">
        <v>4.6590276943368099E-2</v>
      </c>
      <c r="F216">
        <v>4.6590276943368099E-2</v>
      </c>
      <c r="G216">
        <v>0</v>
      </c>
      <c r="H216">
        <v>0</v>
      </c>
      <c r="I216" t="s">
        <v>82</v>
      </c>
    </row>
    <row r="217" spans="1:9" hidden="1" x14ac:dyDescent="0.35">
      <c r="A217" t="s">
        <v>11</v>
      </c>
      <c r="B217">
        <v>2040</v>
      </c>
      <c r="C217" t="s">
        <v>80</v>
      </c>
      <c r="D217" t="s">
        <v>56</v>
      </c>
      <c r="E217" s="1">
        <v>5.6672771374735598E-8</v>
      </c>
      <c r="F217" s="1">
        <v>5.6672771374735598E-8</v>
      </c>
      <c r="G217">
        <v>0</v>
      </c>
      <c r="H217">
        <v>0</v>
      </c>
      <c r="I217" t="s">
        <v>82</v>
      </c>
    </row>
    <row r="218" spans="1:9" hidden="1" x14ac:dyDescent="0.35">
      <c r="A218" t="s">
        <v>5</v>
      </c>
      <c r="B218">
        <v>2025</v>
      </c>
      <c r="C218" t="s">
        <v>65</v>
      </c>
      <c r="D218" t="s">
        <v>38</v>
      </c>
      <c r="E218">
        <v>7.7507697847239404E-2</v>
      </c>
      <c r="F218">
        <v>7.7507697847239404E-2</v>
      </c>
      <c r="G218">
        <v>0</v>
      </c>
      <c r="H218">
        <v>0</v>
      </c>
      <c r="I218" t="s">
        <v>66</v>
      </c>
    </row>
    <row r="219" spans="1:9" hidden="1" x14ac:dyDescent="0.35">
      <c r="A219" t="s">
        <v>5</v>
      </c>
      <c r="B219">
        <v>2025</v>
      </c>
      <c r="C219" t="s">
        <v>65</v>
      </c>
      <c r="D219" t="s">
        <v>40</v>
      </c>
      <c r="E219">
        <v>9.6532540276190303E-3</v>
      </c>
      <c r="F219">
        <v>9.6532540276190303E-3</v>
      </c>
      <c r="G219">
        <v>0</v>
      </c>
      <c r="H219">
        <v>0</v>
      </c>
      <c r="I219" t="s">
        <v>66</v>
      </c>
    </row>
    <row r="220" spans="1:9" hidden="1" x14ac:dyDescent="0.35">
      <c r="A220" t="s">
        <v>5</v>
      </c>
      <c r="B220">
        <v>2025</v>
      </c>
      <c r="C220" t="s">
        <v>65</v>
      </c>
      <c r="D220" t="s">
        <v>41</v>
      </c>
      <c r="E220">
        <v>0.30662020899152997</v>
      </c>
      <c r="F220">
        <v>0.30662020899152997</v>
      </c>
      <c r="G220">
        <v>0</v>
      </c>
      <c r="H220">
        <v>0</v>
      </c>
      <c r="I220" t="s">
        <v>66</v>
      </c>
    </row>
    <row r="221" spans="1:9" hidden="1" x14ac:dyDescent="0.35">
      <c r="A221" t="s">
        <v>5</v>
      </c>
      <c r="B221">
        <v>2025</v>
      </c>
      <c r="C221" t="s">
        <v>65</v>
      </c>
      <c r="D221" t="s">
        <v>42</v>
      </c>
      <c r="E221">
        <v>52.811488904014503</v>
      </c>
      <c r="F221">
        <v>52.811488904014503</v>
      </c>
      <c r="G221">
        <v>0</v>
      </c>
      <c r="H221">
        <v>0</v>
      </c>
      <c r="I221" t="s">
        <v>66</v>
      </c>
    </row>
    <row r="222" spans="1:9" hidden="1" x14ac:dyDescent="0.35">
      <c r="A222" t="s">
        <v>5</v>
      </c>
      <c r="B222">
        <v>2025</v>
      </c>
      <c r="C222" t="s">
        <v>65</v>
      </c>
      <c r="D222" t="s">
        <v>43</v>
      </c>
      <c r="E222">
        <v>7.5621442708726005E-2</v>
      </c>
      <c r="F222">
        <v>7.5621442708726005E-2</v>
      </c>
      <c r="G222">
        <v>0</v>
      </c>
      <c r="H222">
        <v>0</v>
      </c>
      <c r="I222" t="s">
        <v>66</v>
      </c>
    </row>
    <row r="223" spans="1:9" hidden="1" x14ac:dyDescent="0.35">
      <c r="A223" t="s">
        <v>5</v>
      </c>
      <c r="B223">
        <v>2025</v>
      </c>
      <c r="C223" t="s">
        <v>65</v>
      </c>
      <c r="D223" t="s">
        <v>136</v>
      </c>
      <c r="E223">
        <v>44.614313876901697</v>
      </c>
      <c r="F223">
        <v>44.614313876901697</v>
      </c>
      <c r="G223">
        <v>0</v>
      </c>
      <c r="H223">
        <v>0</v>
      </c>
      <c r="I223" t="s">
        <v>66</v>
      </c>
    </row>
    <row r="224" spans="1:9" hidden="1" x14ac:dyDescent="0.35">
      <c r="A224" t="s">
        <v>5</v>
      </c>
      <c r="B224">
        <v>2025</v>
      </c>
      <c r="C224" t="s">
        <v>65</v>
      </c>
      <c r="D224" t="s">
        <v>45</v>
      </c>
      <c r="E224">
        <v>8.6049523260096905E-2</v>
      </c>
      <c r="F224">
        <v>8.6049523260096905E-2</v>
      </c>
      <c r="G224">
        <v>0</v>
      </c>
      <c r="H224">
        <v>0</v>
      </c>
      <c r="I224" t="s">
        <v>66</v>
      </c>
    </row>
    <row r="225" spans="1:9" hidden="1" x14ac:dyDescent="0.35">
      <c r="A225" t="s">
        <v>5</v>
      </c>
      <c r="B225">
        <v>2025</v>
      </c>
      <c r="C225" t="s">
        <v>65</v>
      </c>
      <c r="D225" t="s">
        <v>46</v>
      </c>
      <c r="E225">
        <v>1.25437080540584</v>
      </c>
      <c r="F225">
        <v>1.25437080540584</v>
      </c>
      <c r="G225">
        <v>0</v>
      </c>
      <c r="H225">
        <v>0</v>
      </c>
      <c r="I225" t="s">
        <v>66</v>
      </c>
    </row>
    <row r="226" spans="1:9" hidden="1" x14ac:dyDescent="0.35">
      <c r="A226" t="s">
        <v>5</v>
      </c>
      <c r="B226">
        <v>2025</v>
      </c>
      <c r="C226" t="s">
        <v>65</v>
      </c>
      <c r="D226" t="s">
        <v>47</v>
      </c>
      <c r="E226">
        <v>3.7082692330986503E-2</v>
      </c>
      <c r="F226">
        <v>3.7082692330986503E-2</v>
      </c>
      <c r="G226">
        <v>0</v>
      </c>
      <c r="H226">
        <v>0</v>
      </c>
      <c r="I226" t="s">
        <v>66</v>
      </c>
    </row>
    <row r="227" spans="1:9" hidden="1" x14ac:dyDescent="0.35">
      <c r="A227" t="s">
        <v>5</v>
      </c>
      <c r="B227">
        <v>2025</v>
      </c>
      <c r="C227" t="s">
        <v>65</v>
      </c>
      <c r="D227" t="s">
        <v>48</v>
      </c>
      <c r="E227">
        <v>15.338269266793001</v>
      </c>
      <c r="F227">
        <v>15.338269266793001</v>
      </c>
      <c r="G227">
        <v>0</v>
      </c>
      <c r="H227">
        <v>0</v>
      </c>
      <c r="I227" t="s">
        <v>66</v>
      </c>
    </row>
    <row r="228" spans="1:9" hidden="1" x14ac:dyDescent="0.35">
      <c r="A228" t="s">
        <v>5</v>
      </c>
      <c r="B228">
        <v>2025</v>
      </c>
      <c r="C228" t="s">
        <v>65</v>
      </c>
      <c r="D228" t="s">
        <v>49</v>
      </c>
      <c r="E228">
        <v>0.210589785144048</v>
      </c>
      <c r="F228">
        <v>0.210589785144048</v>
      </c>
      <c r="G228">
        <v>0</v>
      </c>
      <c r="H228">
        <v>0</v>
      </c>
      <c r="I228" t="s">
        <v>66</v>
      </c>
    </row>
    <row r="229" spans="1:9" hidden="1" x14ac:dyDescent="0.35">
      <c r="A229" t="s">
        <v>5</v>
      </c>
      <c r="B229">
        <v>2025</v>
      </c>
      <c r="C229" t="s">
        <v>65</v>
      </c>
      <c r="D229" t="s">
        <v>50</v>
      </c>
      <c r="E229">
        <v>0.109823772306313</v>
      </c>
      <c r="F229">
        <v>0.109823772306313</v>
      </c>
      <c r="G229">
        <v>0</v>
      </c>
      <c r="H229">
        <v>0</v>
      </c>
      <c r="I229" t="s">
        <v>66</v>
      </c>
    </row>
    <row r="230" spans="1:9" hidden="1" x14ac:dyDescent="0.35">
      <c r="A230" t="s">
        <v>5</v>
      </c>
      <c r="B230">
        <v>2025</v>
      </c>
      <c r="C230" t="s">
        <v>65</v>
      </c>
      <c r="D230" t="s">
        <v>51</v>
      </c>
      <c r="E230">
        <v>1.2358615165175399</v>
      </c>
      <c r="F230">
        <v>1.2358615165175399</v>
      </c>
      <c r="G230">
        <v>0</v>
      </c>
      <c r="H230">
        <v>0</v>
      </c>
      <c r="I230" t="s">
        <v>66</v>
      </c>
    </row>
    <row r="231" spans="1:9" hidden="1" x14ac:dyDescent="0.35">
      <c r="A231" t="s">
        <v>5</v>
      </c>
      <c r="B231">
        <v>2025</v>
      </c>
      <c r="C231" t="s">
        <v>65</v>
      </c>
      <c r="D231" t="s">
        <v>52</v>
      </c>
      <c r="E231">
        <v>0.64362975319205196</v>
      </c>
      <c r="F231">
        <v>0.64362975319205196</v>
      </c>
      <c r="G231">
        <v>0</v>
      </c>
      <c r="H231">
        <v>0</v>
      </c>
      <c r="I231" t="s">
        <v>66</v>
      </c>
    </row>
    <row r="232" spans="1:9" hidden="1" x14ac:dyDescent="0.35">
      <c r="A232" t="s">
        <v>5</v>
      </c>
      <c r="B232">
        <v>2025</v>
      </c>
      <c r="C232" t="s">
        <v>65</v>
      </c>
      <c r="D232" t="s">
        <v>53</v>
      </c>
      <c r="E232">
        <v>8.8138651135649297</v>
      </c>
      <c r="F232">
        <v>8.8138651135649297</v>
      </c>
      <c r="G232">
        <v>0</v>
      </c>
      <c r="H232">
        <v>0</v>
      </c>
      <c r="I232" t="s">
        <v>66</v>
      </c>
    </row>
    <row r="233" spans="1:9" hidden="1" x14ac:dyDescent="0.35">
      <c r="A233" t="s">
        <v>5</v>
      </c>
      <c r="B233">
        <v>2025</v>
      </c>
      <c r="C233" t="s">
        <v>65</v>
      </c>
      <c r="D233" t="s">
        <v>54</v>
      </c>
      <c r="E233">
        <v>22.795170480449499</v>
      </c>
      <c r="F233">
        <v>22.795170480449499</v>
      </c>
      <c r="G233">
        <v>0</v>
      </c>
      <c r="H233">
        <v>0</v>
      </c>
      <c r="I233" t="s">
        <v>66</v>
      </c>
    </row>
    <row r="234" spans="1:9" hidden="1" x14ac:dyDescent="0.35">
      <c r="A234" t="s">
        <v>5</v>
      </c>
      <c r="B234">
        <v>2025</v>
      </c>
      <c r="C234" t="s">
        <v>65</v>
      </c>
      <c r="D234" t="s">
        <v>55</v>
      </c>
      <c r="E234">
        <v>24.457226077267102</v>
      </c>
      <c r="F234">
        <v>24.457226077267102</v>
      </c>
      <c r="G234">
        <v>0</v>
      </c>
      <c r="H234">
        <v>0</v>
      </c>
      <c r="I234" t="s">
        <v>66</v>
      </c>
    </row>
    <row r="235" spans="1:9" hidden="1" x14ac:dyDescent="0.35">
      <c r="A235" t="s">
        <v>5</v>
      </c>
      <c r="B235">
        <v>2025</v>
      </c>
      <c r="C235" t="s">
        <v>65</v>
      </c>
      <c r="D235" t="s">
        <v>56</v>
      </c>
      <c r="E235" s="1">
        <v>2.20796582263327E-6</v>
      </c>
      <c r="F235" s="1">
        <v>2.20796582263327E-6</v>
      </c>
      <c r="G235">
        <v>0</v>
      </c>
      <c r="H235">
        <v>0</v>
      </c>
      <c r="I235" t="s">
        <v>66</v>
      </c>
    </row>
    <row r="236" spans="1:9" hidden="1" x14ac:dyDescent="0.35">
      <c r="A236" t="s">
        <v>7</v>
      </c>
      <c r="B236">
        <v>2030</v>
      </c>
      <c r="C236" t="s">
        <v>65</v>
      </c>
      <c r="D236" t="s">
        <v>38</v>
      </c>
      <c r="E236">
        <v>7.7418443950496005E-2</v>
      </c>
      <c r="F236">
        <v>7.7044436690620693E-2</v>
      </c>
      <c r="G236">
        <v>-3.7400725987522798E-4</v>
      </c>
      <c r="H236">
        <v>-0.48309839463368798</v>
      </c>
      <c r="I236" t="s">
        <v>66</v>
      </c>
    </row>
    <row r="237" spans="1:9" hidden="1" x14ac:dyDescent="0.35">
      <c r="A237" t="s">
        <v>7</v>
      </c>
      <c r="B237">
        <v>2030</v>
      </c>
      <c r="C237" t="s">
        <v>65</v>
      </c>
      <c r="D237" t="s">
        <v>40</v>
      </c>
      <c r="E237">
        <v>9.5152296295106208E-3</v>
      </c>
      <c r="F237">
        <v>9.5152296295106208E-3</v>
      </c>
      <c r="G237">
        <v>0</v>
      </c>
      <c r="H237">
        <v>0</v>
      </c>
      <c r="I237" t="s">
        <v>66</v>
      </c>
    </row>
    <row r="238" spans="1:9" hidden="1" x14ac:dyDescent="0.35">
      <c r="A238" t="s">
        <v>7</v>
      </c>
      <c r="B238">
        <v>2030</v>
      </c>
      <c r="C238" t="s">
        <v>65</v>
      </c>
      <c r="D238" t="s">
        <v>41</v>
      </c>
      <c r="E238">
        <v>0.30528313818158598</v>
      </c>
      <c r="F238">
        <v>0.19500568310261401</v>
      </c>
      <c r="G238">
        <v>-0.11027745507897101</v>
      </c>
      <c r="H238">
        <v>-36.123008868369503</v>
      </c>
      <c r="I238" t="s">
        <v>66</v>
      </c>
    </row>
    <row r="239" spans="1:9" hidden="1" x14ac:dyDescent="0.35">
      <c r="A239" t="s">
        <v>7</v>
      </c>
      <c r="B239">
        <v>2030</v>
      </c>
      <c r="C239" t="s">
        <v>65</v>
      </c>
      <c r="D239" t="s">
        <v>42</v>
      </c>
      <c r="E239">
        <v>52.6472231866748</v>
      </c>
      <c r="F239">
        <v>51.954045186373001</v>
      </c>
      <c r="G239">
        <v>-0.69317800030185595</v>
      </c>
      <c r="H239">
        <v>-1.3166468397469</v>
      </c>
      <c r="I239" t="s">
        <v>66</v>
      </c>
    </row>
    <row r="240" spans="1:9" hidden="1" x14ac:dyDescent="0.35">
      <c r="A240" t="s">
        <v>7</v>
      </c>
      <c r="B240">
        <v>2030</v>
      </c>
      <c r="C240" t="s">
        <v>65</v>
      </c>
      <c r="D240" t="s">
        <v>43</v>
      </c>
      <c r="E240">
        <v>7.5243823218458794E-2</v>
      </c>
      <c r="F240">
        <v>5.0268817834092303E-2</v>
      </c>
      <c r="G240">
        <v>-2.4975005384366401E-2</v>
      </c>
      <c r="H240">
        <v>-33.192100449036602</v>
      </c>
      <c r="I240" t="s">
        <v>66</v>
      </c>
    </row>
    <row r="241" spans="1:9" hidden="1" x14ac:dyDescent="0.35">
      <c r="A241" t="s">
        <v>7</v>
      </c>
      <c r="B241">
        <v>2030</v>
      </c>
      <c r="C241" t="s">
        <v>65</v>
      </c>
      <c r="D241" t="s">
        <v>136</v>
      </c>
      <c r="E241">
        <v>44.093810284590496</v>
      </c>
      <c r="F241">
        <v>34.783210827366901</v>
      </c>
      <c r="G241">
        <v>-9.3105994572235904</v>
      </c>
      <c r="H241">
        <v>-21.1154341099829</v>
      </c>
      <c r="I241" t="s">
        <v>66</v>
      </c>
    </row>
    <row r="242" spans="1:9" hidden="1" x14ac:dyDescent="0.35">
      <c r="A242" t="s">
        <v>7</v>
      </c>
      <c r="B242">
        <v>2030</v>
      </c>
      <c r="C242" t="s">
        <v>65</v>
      </c>
      <c r="D242" t="s">
        <v>45</v>
      </c>
      <c r="E242">
        <v>8.4229250535072894E-2</v>
      </c>
      <c r="F242">
        <v>5.3919586572435799E-2</v>
      </c>
      <c r="G242">
        <v>-3.0309663962637099E-2</v>
      </c>
      <c r="H242">
        <v>-35.984724748341698</v>
      </c>
      <c r="I242" t="s">
        <v>66</v>
      </c>
    </row>
    <row r="243" spans="1:9" hidden="1" x14ac:dyDescent="0.35">
      <c r="A243" t="s">
        <v>7</v>
      </c>
      <c r="B243">
        <v>2030</v>
      </c>
      <c r="C243" t="s">
        <v>65</v>
      </c>
      <c r="D243" t="s">
        <v>46</v>
      </c>
      <c r="E243">
        <v>1.3367785977453599</v>
      </c>
      <c r="F243">
        <v>1.3367785977453599</v>
      </c>
      <c r="G243">
        <v>0</v>
      </c>
      <c r="H243">
        <v>0</v>
      </c>
      <c r="I243" t="s">
        <v>66</v>
      </c>
    </row>
    <row r="244" spans="1:9" hidden="1" x14ac:dyDescent="0.35">
      <c r="A244" t="s">
        <v>7</v>
      </c>
      <c r="B244">
        <v>2030</v>
      </c>
      <c r="C244" t="s">
        <v>65</v>
      </c>
      <c r="D244" t="s">
        <v>47</v>
      </c>
      <c r="E244">
        <v>3.6994118250893201E-2</v>
      </c>
      <c r="F244">
        <v>3.6994118250893201E-2</v>
      </c>
      <c r="G244">
        <v>0</v>
      </c>
      <c r="H244">
        <v>0</v>
      </c>
      <c r="I244" t="s">
        <v>66</v>
      </c>
    </row>
    <row r="245" spans="1:9" hidden="1" x14ac:dyDescent="0.35">
      <c r="A245" t="s">
        <v>7</v>
      </c>
      <c r="B245">
        <v>2030</v>
      </c>
      <c r="C245" t="s">
        <v>65</v>
      </c>
      <c r="D245" t="s">
        <v>48</v>
      </c>
      <c r="E245">
        <v>15.3276238752773</v>
      </c>
      <c r="F245">
        <v>15.3276238752773</v>
      </c>
      <c r="G245">
        <v>0</v>
      </c>
      <c r="H245">
        <v>0</v>
      </c>
      <c r="I245" t="s">
        <v>66</v>
      </c>
    </row>
    <row r="246" spans="1:9" hidden="1" x14ac:dyDescent="0.35">
      <c r="A246" t="s">
        <v>7</v>
      </c>
      <c r="B246">
        <v>2030</v>
      </c>
      <c r="C246" t="s">
        <v>65</v>
      </c>
      <c r="D246" t="s">
        <v>49</v>
      </c>
      <c r="E246">
        <v>0.20925499742427001</v>
      </c>
      <c r="F246">
        <v>0.126370728871946</v>
      </c>
      <c r="G246">
        <v>-8.2884268552323698E-2</v>
      </c>
      <c r="H246">
        <v>-39.609218213447797</v>
      </c>
      <c r="I246" t="s">
        <v>66</v>
      </c>
    </row>
    <row r="247" spans="1:9" hidden="1" x14ac:dyDescent="0.35">
      <c r="A247" t="s">
        <v>7</v>
      </c>
      <c r="B247">
        <v>2030</v>
      </c>
      <c r="C247" t="s">
        <v>65</v>
      </c>
      <c r="D247" t="s">
        <v>50</v>
      </c>
      <c r="E247">
        <v>0.10912027303560599</v>
      </c>
      <c r="F247">
        <v>0.10912027303560599</v>
      </c>
      <c r="G247">
        <v>0</v>
      </c>
      <c r="H247">
        <v>0</v>
      </c>
      <c r="I247" t="s">
        <v>66</v>
      </c>
    </row>
    <row r="248" spans="1:9" hidden="1" x14ac:dyDescent="0.35">
      <c r="A248" t="s">
        <v>7</v>
      </c>
      <c r="B248">
        <v>2030</v>
      </c>
      <c r="C248" t="s">
        <v>65</v>
      </c>
      <c r="D248" t="s">
        <v>51</v>
      </c>
      <c r="E248">
        <v>1.23202100068145</v>
      </c>
      <c r="F248">
        <v>1.23202100068145</v>
      </c>
      <c r="G248">
        <v>0</v>
      </c>
      <c r="H248">
        <v>0</v>
      </c>
      <c r="I248" t="s">
        <v>66</v>
      </c>
    </row>
    <row r="249" spans="1:9" hidden="1" x14ac:dyDescent="0.35">
      <c r="A249" t="s">
        <v>7</v>
      </c>
      <c r="B249">
        <v>2030</v>
      </c>
      <c r="C249" t="s">
        <v>65</v>
      </c>
      <c r="D249" t="s">
        <v>52</v>
      </c>
      <c r="E249">
        <v>0.59295720247753603</v>
      </c>
      <c r="F249">
        <v>0.59295720247753603</v>
      </c>
      <c r="G249">
        <v>0</v>
      </c>
      <c r="H249">
        <v>0</v>
      </c>
      <c r="I249" t="s">
        <v>66</v>
      </c>
    </row>
    <row r="250" spans="1:9" hidden="1" x14ac:dyDescent="0.35">
      <c r="A250" t="s">
        <v>7</v>
      </c>
      <c r="B250">
        <v>2030</v>
      </c>
      <c r="C250" t="s">
        <v>65</v>
      </c>
      <c r="D250" t="s">
        <v>53</v>
      </c>
      <c r="E250">
        <v>8.6429671326324602</v>
      </c>
      <c r="F250">
        <v>8.6429671326324602</v>
      </c>
      <c r="G250">
        <v>0</v>
      </c>
      <c r="H250">
        <v>0</v>
      </c>
      <c r="I250" t="s">
        <v>66</v>
      </c>
    </row>
    <row r="251" spans="1:9" hidden="1" x14ac:dyDescent="0.35">
      <c r="A251" t="s">
        <v>7</v>
      </c>
      <c r="B251">
        <v>2030</v>
      </c>
      <c r="C251" t="s">
        <v>65</v>
      </c>
      <c r="D251" t="s">
        <v>54</v>
      </c>
      <c r="E251">
        <v>22.7999559793579</v>
      </c>
      <c r="F251">
        <v>22.799805312467601</v>
      </c>
      <c r="G251">
        <v>-1.5066689033460499E-4</v>
      </c>
      <c r="H251">
        <v>-6.6082097031683795E-4</v>
      </c>
      <c r="I251" t="s">
        <v>66</v>
      </c>
    </row>
    <row r="252" spans="1:9" hidden="1" x14ac:dyDescent="0.35">
      <c r="A252" t="s">
        <v>7</v>
      </c>
      <c r="B252">
        <v>2030</v>
      </c>
      <c r="C252" t="s">
        <v>65</v>
      </c>
      <c r="D252" t="s">
        <v>55</v>
      </c>
      <c r="E252">
        <v>24.459930057109599</v>
      </c>
      <c r="F252">
        <v>24.445188016477601</v>
      </c>
      <c r="G252">
        <v>-1.4742040631944E-2</v>
      </c>
      <c r="H252">
        <v>-6.0270166748326699E-2</v>
      </c>
      <c r="I252" t="s">
        <v>66</v>
      </c>
    </row>
    <row r="253" spans="1:9" hidden="1" x14ac:dyDescent="0.35">
      <c r="A253" t="s">
        <v>7</v>
      </c>
      <c r="B253">
        <v>2030</v>
      </c>
      <c r="C253" t="s">
        <v>65</v>
      </c>
      <c r="D253" t="s">
        <v>56</v>
      </c>
      <c r="E253" s="1">
        <v>2.0138016313609099E-6</v>
      </c>
      <c r="F253" s="1">
        <v>2.0138016313609099E-6</v>
      </c>
      <c r="G253">
        <v>0</v>
      </c>
      <c r="H253">
        <v>0</v>
      </c>
      <c r="I253" t="s">
        <v>66</v>
      </c>
    </row>
    <row r="254" spans="1:9" hidden="1" x14ac:dyDescent="0.35">
      <c r="A254" t="s">
        <v>9</v>
      </c>
      <c r="B254">
        <v>2035</v>
      </c>
      <c r="C254" t="s">
        <v>65</v>
      </c>
      <c r="D254" t="s">
        <v>38</v>
      </c>
      <c r="E254">
        <v>7.7438750765884495E-2</v>
      </c>
      <c r="F254">
        <v>7.7335507114277599E-2</v>
      </c>
      <c r="G254">
        <v>-1.03243651606937E-4</v>
      </c>
      <c r="H254">
        <v>-0.13332298182219801</v>
      </c>
      <c r="I254" t="s">
        <v>66</v>
      </c>
    </row>
    <row r="255" spans="1:9" hidden="1" x14ac:dyDescent="0.35">
      <c r="A255" t="s">
        <v>9</v>
      </c>
      <c r="B255">
        <v>2035</v>
      </c>
      <c r="C255" t="s">
        <v>65</v>
      </c>
      <c r="D255" t="s">
        <v>40</v>
      </c>
      <c r="E255">
        <v>9.4160587938109906E-3</v>
      </c>
      <c r="F255">
        <v>9.4160587938109906E-3</v>
      </c>
      <c r="G255">
        <v>0</v>
      </c>
      <c r="H255">
        <v>0</v>
      </c>
      <c r="I255" t="s">
        <v>66</v>
      </c>
    </row>
    <row r="256" spans="1:9" hidden="1" x14ac:dyDescent="0.35">
      <c r="A256" t="s">
        <v>9</v>
      </c>
      <c r="B256">
        <v>2035</v>
      </c>
      <c r="C256" t="s">
        <v>65</v>
      </c>
      <c r="D256" t="s">
        <v>41</v>
      </c>
      <c r="E256">
        <v>0.30467211467349398</v>
      </c>
      <c r="F256">
        <v>0.28018555406440598</v>
      </c>
      <c r="G256">
        <v>-2.4486560609087601E-2</v>
      </c>
      <c r="H256">
        <v>-8.0370205968238899</v>
      </c>
      <c r="I256" t="s">
        <v>66</v>
      </c>
    </row>
    <row r="257" spans="1:9" hidden="1" x14ac:dyDescent="0.35">
      <c r="A257" t="s">
        <v>9</v>
      </c>
      <c r="B257">
        <v>2035</v>
      </c>
      <c r="C257" t="s">
        <v>65</v>
      </c>
      <c r="D257" t="s">
        <v>42</v>
      </c>
      <c r="E257">
        <v>52.607143954156101</v>
      </c>
      <c r="F257">
        <v>52.409128114819097</v>
      </c>
      <c r="G257">
        <v>-0.19801583933701</v>
      </c>
      <c r="H257">
        <v>-0.37640484628773702</v>
      </c>
      <c r="I257" t="s">
        <v>66</v>
      </c>
    </row>
    <row r="258" spans="1:9" hidden="1" x14ac:dyDescent="0.35">
      <c r="A258" t="s">
        <v>9</v>
      </c>
      <c r="B258">
        <v>2035</v>
      </c>
      <c r="C258" t="s">
        <v>65</v>
      </c>
      <c r="D258" t="s">
        <v>43</v>
      </c>
      <c r="E258">
        <v>7.5073592031948799E-2</v>
      </c>
      <c r="F258">
        <v>6.8267109687011301E-2</v>
      </c>
      <c r="G258">
        <v>-6.8064823449374796E-3</v>
      </c>
      <c r="H258">
        <v>-9.06641358260954</v>
      </c>
      <c r="I258" t="s">
        <v>66</v>
      </c>
    </row>
    <row r="259" spans="1:9" hidden="1" x14ac:dyDescent="0.35">
      <c r="A259" t="s">
        <v>9</v>
      </c>
      <c r="B259">
        <v>2035</v>
      </c>
      <c r="C259" t="s">
        <v>65</v>
      </c>
      <c r="D259" t="s">
        <v>136</v>
      </c>
      <c r="E259">
        <v>43.761309149590097</v>
      </c>
      <c r="F259">
        <v>42.453089241857001</v>
      </c>
      <c r="G259">
        <v>-1.3082199077330401</v>
      </c>
      <c r="H259">
        <v>-2.9894441760440298</v>
      </c>
      <c r="I259" t="s">
        <v>66</v>
      </c>
    </row>
    <row r="260" spans="1:9" hidden="1" x14ac:dyDescent="0.35">
      <c r="A260" t="s">
        <v>9</v>
      </c>
      <c r="B260">
        <v>2035</v>
      </c>
      <c r="C260" t="s">
        <v>65</v>
      </c>
      <c r="D260" t="s">
        <v>45</v>
      </c>
      <c r="E260">
        <v>8.3354766620519799E-2</v>
      </c>
      <c r="F260">
        <v>7.51034685844163E-2</v>
      </c>
      <c r="G260">
        <v>-8.2512980361035201E-3</v>
      </c>
      <c r="H260">
        <v>-9.8990116230164809</v>
      </c>
      <c r="I260" t="s">
        <v>66</v>
      </c>
    </row>
    <row r="261" spans="1:9" hidden="1" x14ac:dyDescent="0.35">
      <c r="A261" t="s">
        <v>9</v>
      </c>
      <c r="B261">
        <v>2035</v>
      </c>
      <c r="C261" t="s">
        <v>65</v>
      </c>
      <c r="D261" t="s">
        <v>46</v>
      </c>
      <c r="E261">
        <v>1.57700785944759</v>
      </c>
      <c r="F261">
        <v>1.57700785944759</v>
      </c>
      <c r="G261">
        <v>0</v>
      </c>
      <c r="H261">
        <v>0</v>
      </c>
      <c r="I261" t="s">
        <v>66</v>
      </c>
    </row>
    <row r="262" spans="1:9" hidden="1" x14ac:dyDescent="0.35">
      <c r="A262" t="s">
        <v>9</v>
      </c>
      <c r="B262">
        <v>2035</v>
      </c>
      <c r="C262" t="s">
        <v>65</v>
      </c>
      <c r="D262" t="s">
        <v>47</v>
      </c>
      <c r="E262">
        <v>3.6954212266044E-2</v>
      </c>
      <c r="F262">
        <v>3.6954212266044E-2</v>
      </c>
      <c r="G262">
        <v>0</v>
      </c>
      <c r="H262">
        <v>0</v>
      </c>
      <c r="I262" t="s">
        <v>66</v>
      </c>
    </row>
    <row r="263" spans="1:9" hidden="1" x14ac:dyDescent="0.35">
      <c r="A263" t="s">
        <v>9</v>
      </c>
      <c r="B263">
        <v>2035</v>
      </c>
      <c r="C263" t="s">
        <v>65</v>
      </c>
      <c r="D263" t="s">
        <v>48</v>
      </c>
      <c r="E263">
        <v>15.3242977270731</v>
      </c>
      <c r="F263">
        <v>15.3242977270731</v>
      </c>
      <c r="G263">
        <v>0</v>
      </c>
      <c r="H263">
        <v>0</v>
      </c>
      <c r="I263" t="s">
        <v>66</v>
      </c>
    </row>
    <row r="264" spans="1:9" hidden="1" x14ac:dyDescent="0.35">
      <c r="A264" t="s">
        <v>9</v>
      </c>
      <c r="B264">
        <v>2035</v>
      </c>
      <c r="C264" t="s">
        <v>65</v>
      </c>
      <c r="D264" t="s">
        <v>49</v>
      </c>
      <c r="E264">
        <v>0.208481360524255</v>
      </c>
      <c r="F264">
        <v>0.18573188328491899</v>
      </c>
      <c r="G264">
        <v>-2.2749477239335899E-2</v>
      </c>
      <c r="H264">
        <v>-10.9119957688923</v>
      </c>
      <c r="I264" t="s">
        <v>66</v>
      </c>
    </row>
    <row r="265" spans="1:9" hidden="1" x14ac:dyDescent="0.35">
      <c r="A265" t="s">
        <v>9</v>
      </c>
      <c r="B265">
        <v>2035</v>
      </c>
      <c r="C265" t="s">
        <v>65</v>
      </c>
      <c r="D265" t="s">
        <v>50</v>
      </c>
      <c r="E265">
        <v>0.108498261938277</v>
      </c>
      <c r="F265">
        <v>0.108498261938277</v>
      </c>
      <c r="G265">
        <v>0</v>
      </c>
      <c r="H265">
        <v>0</v>
      </c>
      <c r="I265" t="s">
        <v>66</v>
      </c>
    </row>
    <row r="266" spans="1:9" hidden="1" x14ac:dyDescent="0.35">
      <c r="A266" t="s">
        <v>9</v>
      </c>
      <c r="B266">
        <v>2035</v>
      </c>
      <c r="C266" t="s">
        <v>65</v>
      </c>
      <c r="D266" t="s">
        <v>51</v>
      </c>
      <c r="E266">
        <v>1.2337349653258001</v>
      </c>
      <c r="F266">
        <v>1.2337349653258001</v>
      </c>
      <c r="G266">
        <v>0</v>
      </c>
      <c r="H266">
        <v>0</v>
      </c>
      <c r="I266" t="s">
        <v>66</v>
      </c>
    </row>
    <row r="267" spans="1:9" hidden="1" x14ac:dyDescent="0.35">
      <c r="A267" t="s">
        <v>9</v>
      </c>
      <c r="B267">
        <v>2035</v>
      </c>
      <c r="C267" t="s">
        <v>65</v>
      </c>
      <c r="D267" t="s">
        <v>52</v>
      </c>
      <c r="E267">
        <v>0.54963984443804703</v>
      </c>
      <c r="F267">
        <v>0.54963984443804703</v>
      </c>
      <c r="G267">
        <v>0</v>
      </c>
      <c r="H267">
        <v>0</v>
      </c>
      <c r="I267" t="s">
        <v>66</v>
      </c>
    </row>
    <row r="268" spans="1:9" hidden="1" x14ac:dyDescent="0.35">
      <c r="A268" t="s">
        <v>9</v>
      </c>
      <c r="B268">
        <v>2035</v>
      </c>
      <c r="C268" t="s">
        <v>65</v>
      </c>
      <c r="D268" t="s">
        <v>53</v>
      </c>
      <c r="E268">
        <v>8.5356302347505792</v>
      </c>
      <c r="F268">
        <v>8.5356302347505792</v>
      </c>
      <c r="G268">
        <v>0</v>
      </c>
      <c r="H268">
        <v>0</v>
      </c>
      <c r="I268" t="s">
        <v>66</v>
      </c>
    </row>
    <row r="269" spans="1:9" hidden="1" x14ac:dyDescent="0.35">
      <c r="A269" t="s">
        <v>9</v>
      </c>
      <c r="B269">
        <v>2035</v>
      </c>
      <c r="C269" t="s">
        <v>65</v>
      </c>
      <c r="D269" t="s">
        <v>54</v>
      </c>
      <c r="E269">
        <v>22.803672669568702</v>
      </c>
      <c r="F269">
        <v>22.803631185917499</v>
      </c>
      <c r="G269" s="1">
        <v>-4.1483651223472801E-5</v>
      </c>
      <c r="H269">
        <v>-1.81916535220364E-4</v>
      </c>
      <c r="I269" t="s">
        <v>66</v>
      </c>
    </row>
    <row r="270" spans="1:9" hidden="1" x14ac:dyDescent="0.35">
      <c r="A270" t="s">
        <v>9</v>
      </c>
      <c r="B270">
        <v>2035</v>
      </c>
      <c r="C270" t="s">
        <v>65</v>
      </c>
      <c r="D270" t="s">
        <v>55</v>
      </c>
      <c r="E270">
        <v>24.463144503067401</v>
      </c>
      <c r="F270">
        <v>24.458982127454</v>
      </c>
      <c r="G270">
        <v>-4.1623756134363497E-3</v>
      </c>
      <c r="H270">
        <v>-1.7014883809865201E-2</v>
      </c>
      <c r="I270" t="s">
        <v>66</v>
      </c>
    </row>
    <row r="271" spans="1:9" hidden="1" x14ac:dyDescent="0.35">
      <c r="A271" t="s">
        <v>9</v>
      </c>
      <c r="B271">
        <v>2035</v>
      </c>
      <c r="C271" t="s">
        <v>65</v>
      </c>
      <c r="D271" t="s">
        <v>56</v>
      </c>
      <c r="E271" s="1">
        <v>1.9198381696656799E-6</v>
      </c>
      <c r="F271" s="1">
        <v>1.9198381696656799E-6</v>
      </c>
      <c r="G271">
        <v>0</v>
      </c>
      <c r="H271">
        <v>0</v>
      </c>
      <c r="I271" t="s">
        <v>66</v>
      </c>
    </row>
    <row r="272" spans="1:9" hidden="1" x14ac:dyDescent="0.35">
      <c r="A272" t="s">
        <v>11</v>
      </c>
      <c r="B272">
        <v>2040</v>
      </c>
      <c r="C272" t="s">
        <v>65</v>
      </c>
      <c r="D272" t="s">
        <v>38</v>
      </c>
      <c r="E272">
        <v>7.56389084981684E-2</v>
      </c>
      <c r="F272">
        <v>7.5161657512113303E-2</v>
      </c>
      <c r="G272">
        <v>-4.7725098605513801E-4</v>
      </c>
      <c r="H272">
        <v>-0.63095964171230001</v>
      </c>
      <c r="I272" t="s">
        <v>66</v>
      </c>
    </row>
    <row r="273" spans="1:9" hidden="1" x14ac:dyDescent="0.35">
      <c r="A273" t="s">
        <v>11</v>
      </c>
      <c r="B273">
        <v>2040</v>
      </c>
      <c r="C273" t="s">
        <v>65</v>
      </c>
      <c r="D273" t="s">
        <v>40</v>
      </c>
      <c r="E273">
        <v>9.32661605708608E-3</v>
      </c>
      <c r="F273">
        <v>9.32661605708608E-3</v>
      </c>
      <c r="G273">
        <v>0</v>
      </c>
      <c r="H273">
        <v>0</v>
      </c>
      <c r="I273" t="s">
        <v>66</v>
      </c>
    </row>
    <row r="274" spans="1:9" hidden="1" x14ac:dyDescent="0.35">
      <c r="A274" t="s">
        <v>11</v>
      </c>
      <c r="B274">
        <v>2040</v>
      </c>
      <c r="C274" t="s">
        <v>65</v>
      </c>
      <c r="D274" t="s">
        <v>41</v>
      </c>
      <c r="E274">
        <v>0.304316928858408</v>
      </c>
      <c r="F274">
        <v>0.16955288291506701</v>
      </c>
      <c r="G274">
        <v>-0.13476404594333999</v>
      </c>
      <c r="H274">
        <v>-44.2841107949152</v>
      </c>
      <c r="I274" t="s">
        <v>66</v>
      </c>
    </row>
    <row r="275" spans="1:9" hidden="1" x14ac:dyDescent="0.35">
      <c r="A275" t="s">
        <v>11</v>
      </c>
      <c r="B275">
        <v>2040</v>
      </c>
      <c r="C275" t="s">
        <v>65</v>
      </c>
      <c r="D275" t="s">
        <v>42</v>
      </c>
      <c r="E275">
        <v>52.600003324908698</v>
      </c>
      <c r="F275">
        <v>51.708809375010802</v>
      </c>
      <c r="G275">
        <v>-0.891193949897918</v>
      </c>
      <c r="H275">
        <v>-1.69428496875378</v>
      </c>
      <c r="I275" t="s">
        <v>66</v>
      </c>
    </row>
    <row r="276" spans="1:9" hidden="1" x14ac:dyDescent="0.35">
      <c r="A276" t="s">
        <v>11</v>
      </c>
      <c r="B276">
        <v>2040</v>
      </c>
      <c r="C276" t="s">
        <v>65</v>
      </c>
      <c r="D276" t="s">
        <v>43</v>
      </c>
      <c r="E276">
        <v>7.4556589385779595E-2</v>
      </c>
      <c r="F276">
        <v>4.2775094175088402E-2</v>
      </c>
      <c r="G276">
        <v>-3.1781495210691103E-2</v>
      </c>
      <c r="H276">
        <v>-42.6273458489947</v>
      </c>
      <c r="I276" t="s">
        <v>66</v>
      </c>
    </row>
    <row r="277" spans="1:9" hidden="1" x14ac:dyDescent="0.35">
      <c r="A277" t="s">
        <v>11</v>
      </c>
      <c r="B277">
        <v>2040</v>
      </c>
      <c r="C277" t="s">
        <v>65</v>
      </c>
      <c r="D277" t="s">
        <v>136</v>
      </c>
      <c r="E277">
        <v>43.508875700439702</v>
      </c>
      <c r="F277">
        <v>32.889751812098901</v>
      </c>
      <c r="G277">
        <v>-10.6191238883408</v>
      </c>
      <c r="H277">
        <v>-24.4067991125624</v>
      </c>
      <c r="I277" t="s">
        <v>66</v>
      </c>
    </row>
    <row r="278" spans="1:9" hidden="1" x14ac:dyDescent="0.35">
      <c r="A278" t="s">
        <v>11</v>
      </c>
      <c r="B278">
        <v>2040</v>
      </c>
      <c r="C278" t="s">
        <v>65</v>
      </c>
      <c r="D278" t="s">
        <v>45</v>
      </c>
      <c r="E278">
        <v>8.2815596073770495E-2</v>
      </c>
      <c r="F278">
        <v>4.4254625957601698E-2</v>
      </c>
      <c r="G278">
        <v>-3.85609701161687E-2</v>
      </c>
      <c r="H278">
        <v>-46.562449519555898</v>
      </c>
      <c r="I278" t="s">
        <v>66</v>
      </c>
    </row>
    <row r="279" spans="1:9" hidden="1" x14ac:dyDescent="0.35">
      <c r="A279" t="s">
        <v>11</v>
      </c>
      <c r="B279">
        <v>2040</v>
      </c>
      <c r="C279" t="s">
        <v>65</v>
      </c>
      <c r="D279" t="s">
        <v>46</v>
      </c>
      <c r="E279">
        <v>1.8632234582649401</v>
      </c>
      <c r="F279">
        <v>1.8632234582649401</v>
      </c>
      <c r="G279">
        <v>0</v>
      </c>
      <c r="H279">
        <v>0</v>
      </c>
      <c r="I279" t="s">
        <v>66</v>
      </c>
    </row>
    <row r="280" spans="1:9" hidden="1" x14ac:dyDescent="0.35">
      <c r="A280" t="s">
        <v>11</v>
      </c>
      <c r="B280">
        <v>2040</v>
      </c>
      <c r="C280" t="s">
        <v>65</v>
      </c>
      <c r="D280" t="s">
        <v>47</v>
      </c>
      <c r="E280">
        <v>3.6938084975301898E-2</v>
      </c>
      <c r="F280">
        <v>3.6938084975301898E-2</v>
      </c>
      <c r="G280">
        <v>0</v>
      </c>
      <c r="H280">
        <v>0</v>
      </c>
      <c r="I280" t="s">
        <v>66</v>
      </c>
    </row>
    <row r="281" spans="1:9" hidden="1" x14ac:dyDescent="0.35">
      <c r="A281" t="s">
        <v>11</v>
      </c>
      <c r="B281">
        <v>2040</v>
      </c>
      <c r="C281" t="s">
        <v>65</v>
      </c>
      <c r="D281" t="s">
        <v>48</v>
      </c>
      <c r="E281">
        <v>15.325728213247899</v>
      </c>
      <c r="F281">
        <v>15.325728213247899</v>
      </c>
      <c r="G281">
        <v>0</v>
      </c>
      <c r="H281">
        <v>0</v>
      </c>
      <c r="I281" t="s">
        <v>66</v>
      </c>
    </row>
    <row r="282" spans="1:9" hidden="1" x14ac:dyDescent="0.35">
      <c r="A282" t="s">
        <v>11</v>
      </c>
      <c r="B282">
        <v>2040</v>
      </c>
      <c r="C282" t="s">
        <v>65</v>
      </c>
      <c r="D282" t="s">
        <v>49</v>
      </c>
      <c r="E282">
        <v>0.20770997088643001</v>
      </c>
      <c r="F282">
        <v>0.102076201994593</v>
      </c>
      <c r="G282">
        <v>-0.105633768891836</v>
      </c>
      <c r="H282">
        <v>-50.856378459363398</v>
      </c>
      <c r="I282" t="s">
        <v>66</v>
      </c>
    </row>
    <row r="283" spans="1:9" hidden="1" x14ac:dyDescent="0.35">
      <c r="A283" t="s">
        <v>11</v>
      </c>
      <c r="B283">
        <v>2040</v>
      </c>
      <c r="C283" t="s">
        <v>65</v>
      </c>
      <c r="D283" t="s">
        <v>50</v>
      </c>
      <c r="E283">
        <v>0.10136208780664401</v>
      </c>
      <c r="F283">
        <v>0.10136208780664401</v>
      </c>
      <c r="G283">
        <v>0</v>
      </c>
      <c r="H283">
        <v>0</v>
      </c>
      <c r="I283" t="s">
        <v>66</v>
      </c>
    </row>
    <row r="284" spans="1:9" hidden="1" x14ac:dyDescent="0.35">
      <c r="A284" t="s">
        <v>11</v>
      </c>
      <c r="B284">
        <v>2040</v>
      </c>
      <c r="C284" t="s">
        <v>65</v>
      </c>
      <c r="D284" t="s">
        <v>51</v>
      </c>
      <c r="E284">
        <v>1.2370769894314799</v>
      </c>
      <c r="F284">
        <v>1.2370769894314799</v>
      </c>
      <c r="G284">
        <v>0</v>
      </c>
      <c r="H284">
        <v>0</v>
      </c>
      <c r="I284" t="s">
        <v>66</v>
      </c>
    </row>
    <row r="285" spans="1:9" hidden="1" x14ac:dyDescent="0.35">
      <c r="A285" t="s">
        <v>11</v>
      </c>
      <c r="B285">
        <v>2040</v>
      </c>
      <c r="C285" t="s">
        <v>65</v>
      </c>
      <c r="D285" t="s">
        <v>52</v>
      </c>
      <c r="E285">
        <v>0.51095957561543304</v>
      </c>
      <c r="F285">
        <v>0.51095957561543304</v>
      </c>
      <c r="G285">
        <v>0</v>
      </c>
      <c r="H285">
        <v>0</v>
      </c>
      <c r="I285" t="s">
        <v>66</v>
      </c>
    </row>
    <row r="286" spans="1:9" hidden="1" x14ac:dyDescent="0.35">
      <c r="A286" t="s">
        <v>11</v>
      </c>
      <c r="B286">
        <v>2040</v>
      </c>
      <c r="C286" t="s">
        <v>65</v>
      </c>
      <c r="D286" t="s">
        <v>53</v>
      </c>
      <c r="E286">
        <v>8.4550296190686502</v>
      </c>
      <c r="F286">
        <v>8.4550296190686502</v>
      </c>
      <c r="G286">
        <v>0</v>
      </c>
      <c r="H286">
        <v>0</v>
      </c>
      <c r="I286" t="s">
        <v>66</v>
      </c>
    </row>
    <row r="287" spans="1:9" hidden="1" x14ac:dyDescent="0.35">
      <c r="A287" t="s">
        <v>11</v>
      </c>
      <c r="B287">
        <v>2040</v>
      </c>
      <c r="C287" t="s">
        <v>65</v>
      </c>
      <c r="D287" t="s">
        <v>54</v>
      </c>
      <c r="E287">
        <v>22.8069952815246</v>
      </c>
      <c r="F287">
        <v>22.806803130953298</v>
      </c>
      <c r="G287">
        <v>-1.9215057129429099E-4</v>
      </c>
      <c r="H287">
        <v>-8.4250717344580399E-4</v>
      </c>
      <c r="I287" t="s">
        <v>66</v>
      </c>
    </row>
    <row r="288" spans="1:9" hidden="1" x14ac:dyDescent="0.35">
      <c r="A288" t="s">
        <v>11</v>
      </c>
      <c r="B288">
        <v>2040</v>
      </c>
      <c r="C288" t="s">
        <v>65</v>
      </c>
      <c r="D288" t="s">
        <v>55</v>
      </c>
      <c r="E288">
        <v>24.466590186003302</v>
      </c>
      <c r="F288">
        <v>24.4476857666568</v>
      </c>
      <c r="G288">
        <v>-1.89044193465157E-2</v>
      </c>
      <c r="H288">
        <v>-7.7266260655031796E-2</v>
      </c>
      <c r="I288" t="s">
        <v>66</v>
      </c>
    </row>
    <row r="289" spans="1:9" hidden="1" x14ac:dyDescent="0.35">
      <c r="A289" t="s">
        <v>11</v>
      </c>
      <c r="B289">
        <v>2040</v>
      </c>
      <c r="C289" t="s">
        <v>65</v>
      </c>
      <c r="D289" t="s">
        <v>56</v>
      </c>
      <c r="E289" s="1">
        <v>1.8854436529686799E-6</v>
      </c>
      <c r="F289" s="1">
        <v>1.8854436529686799E-6</v>
      </c>
      <c r="G289">
        <v>0</v>
      </c>
      <c r="H289">
        <v>0</v>
      </c>
      <c r="I289" t="s">
        <v>66</v>
      </c>
    </row>
    <row r="290" spans="1:9" hidden="1" x14ac:dyDescent="0.35">
      <c r="A290" t="s">
        <v>5</v>
      </c>
      <c r="B290">
        <v>2025</v>
      </c>
      <c r="C290" t="s">
        <v>76</v>
      </c>
      <c r="D290" t="s">
        <v>38</v>
      </c>
      <c r="E290">
        <v>4.3283035948879396E-3</v>
      </c>
      <c r="F290">
        <v>4.3283035948879396E-3</v>
      </c>
      <c r="G290">
        <v>0</v>
      </c>
      <c r="H290">
        <v>0</v>
      </c>
      <c r="I290" t="s">
        <v>77</v>
      </c>
    </row>
    <row r="291" spans="1:9" hidden="1" x14ac:dyDescent="0.35">
      <c r="A291" t="s">
        <v>5</v>
      </c>
      <c r="B291">
        <v>2025</v>
      </c>
      <c r="C291" t="s">
        <v>76</v>
      </c>
      <c r="D291" t="s">
        <v>40</v>
      </c>
      <c r="E291">
        <v>6.7564717614757898E-4</v>
      </c>
      <c r="F291">
        <v>6.7564717614757898E-4</v>
      </c>
      <c r="G291">
        <v>0</v>
      </c>
      <c r="H291">
        <v>0</v>
      </c>
      <c r="I291" t="s">
        <v>77</v>
      </c>
    </row>
    <row r="292" spans="1:9" hidden="1" x14ac:dyDescent="0.35">
      <c r="A292" t="s">
        <v>5</v>
      </c>
      <c r="B292">
        <v>2025</v>
      </c>
      <c r="C292" t="s">
        <v>76</v>
      </c>
      <c r="D292" t="s">
        <v>41</v>
      </c>
      <c r="E292">
        <v>9.3894215345443708E-3</v>
      </c>
      <c r="F292">
        <v>9.3894215345443708E-3</v>
      </c>
      <c r="G292">
        <v>0</v>
      </c>
      <c r="H292">
        <v>0</v>
      </c>
      <c r="I292" t="s">
        <v>77</v>
      </c>
    </row>
    <row r="293" spans="1:9" hidden="1" x14ac:dyDescent="0.35">
      <c r="A293" t="s">
        <v>5</v>
      </c>
      <c r="B293">
        <v>2025</v>
      </c>
      <c r="C293" t="s">
        <v>76</v>
      </c>
      <c r="D293" t="s">
        <v>42</v>
      </c>
      <c r="E293">
        <v>1.7538461770932099</v>
      </c>
      <c r="F293">
        <v>1.7538461770932099</v>
      </c>
      <c r="G293">
        <v>0</v>
      </c>
      <c r="H293">
        <v>0</v>
      </c>
      <c r="I293" t="s">
        <v>77</v>
      </c>
    </row>
    <row r="294" spans="1:9" hidden="1" x14ac:dyDescent="0.35">
      <c r="A294" t="s">
        <v>5</v>
      </c>
      <c r="B294">
        <v>2025</v>
      </c>
      <c r="C294" t="s">
        <v>76</v>
      </c>
      <c r="D294" t="s">
        <v>43</v>
      </c>
      <c r="E294">
        <v>8.9793653710278296E-3</v>
      </c>
      <c r="F294">
        <v>8.9793653710278296E-3</v>
      </c>
      <c r="G294">
        <v>0</v>
      </c>
      <c r="H294">
        <v>0</v>
      </c>
      <c r="I294" t="s">
        <v>77</v>
      </c>
    </row>
    <row r="295" spans="1:9" hidden="1" x14ac:dyDescent="0.35">
      <c r="A295" t="s">
        <v>5</v>
      </c>
      <c r="B295">
        <v>2025</v>
      </c>
      <c r="C295" t="s">
        <v>76</v>
      </c>
      <c r="D295" t="s">
        <v>136</v>
      </c>
      <c r="E295">
        <v>2.0586930672521402</v>
      </c>
      <c r="F295">
        <v>2.0586930672521402</v>
      </c>
      <c r="G295">
        <v>0</v>
      </c>
      <c r="H295">
        <v>0</v>
      </c>
      <c r="I295" t="s">
        <v>77</v>
      </c>
    </row>
    <row r="296" spans="1:9" hidden="1" x14ac:dyDescent="0.35">
      <c r="A296" t="s">
        <v>5</v>
      </c>
      <c r="B296">
        <v>2025</v>
      </c>
      <c r="C296" t="s">
        <v>76</v>
      </c>
      <c r="D296" t="s">
        <v>45</v>
      </c>
      <c r="E296">
        <v>6.0596070728930404E-3</v>
      </c>
      <c r="F296">
        <v>6.0596070728930404E-3</v>
      </c>
      <c r="G296">
        <v>0</v>
      </c>
      <c r="H296">
        <v>0</v>
      </c>
      <c r="I296" t="s">
        <v>77</v>
      </c>
    </row>
    <row r="297" spans="1:9" hidden="1" x14ac:dyDescent="0.35">
      <c r="A297" t="s">
        <v>5</v>
      </c>
      <c r="B297">
        <v>2025</v>
      </c>
      <c r="C297" t="s">
        <v>76</v>
      </c>
      <c r="D297" t="s">
        <v>46</v>
      </c>
      <c r="E297">
        <v>0.27793094933513601</v>
      </c>
      <c r="F297">
        <v>0.27793094933513601</v>
      </c>
      <c r="G297">
        <v>0</v>
      </c>
      <c r="H297">
        <v>0</v>
      </c>
      <c r="I297" t="s">
        <v>77</v>
      </c>
    </row>
    <row r="298" spans="1:9" hidden="1" x14ac:dyDescent="0.35">
      <c r="A298" t="s">
        <v>5</v>
      </c>
      <c r="B298">
        <v>2025</v>
      </c>
      <c r="C298" t="s">
        <v>76</v>
      </c>
      <c r="D298" t="s">
        <v>47</v>
      </c>
      <c r="E298">
        <v>1.9672375914875301E-3</v>
      </c>
      <c r="F298">
        <v>1.9672375914875301E-3</v>
      </c>
      <c r="G298">
        <v>0</v>
      </c>
      <c r="H298">
        <v>0</v>
      </c>
      <c r="I298" t="s">
        <v>77</v>
      </c>
    </row>
    <row r="299" spans="1:9" hidden="1" x14ac:dyDescent="0.35">
      <c r="A299" t="s">
        <v>5</v>
      </c>
      <c r="B299">
        <v>2025</v>
      </c>
      <c r="C299" t="s">
        <v>76</v>
      </c>
      <c r="D299" t="s">
        <v>48</v>
      </c>
      <c r="E299">
        <v>0.27796770371787899</v>
      </c>
      <c r="F299">
        <v>0.27796770371787899</v>
      </c>
      <c r="G299">
        <v>0</v>
      </c>
      <c r="H299">
        <v>0</v>
      </c>
      <c r="I299" t="s">
        <v>77</v>
      </c>
    </row>
    <row r="300" spans="1:9" hidden="1" x14ac:dyDescent="0.35">
      <c r="A300" t="s">
        <v>5</v>
      </c>
      <c r="B300">
        <v>2025</v>
      </c>
      <c r="C300" t="s">
        <v>76</v>
      </c>
      <c r="D300" t="s">
        <v>49</v>
      </c>
      <c r="E300">
        <v>1.5536966295610201E-2</v>
      </c>
      <c r="F300">
        <v>1.5536966295610201E-2</v>
      </c>
      <c r="G300">
        <v>0</v>
      </c>
      <c r="H300">
        <v>0</v>
      </c>
      <c r="I300" t="s">
        <v>77</v>
      </c>
    </row>
    <row r="301" spans="1:9" hidden="1" x14ac:dyDescent="0.35">
      <c r="A301" t="s">
        <v>5</v>
      </c>
      <c r="B301">
        <v>2025</v>
      </c>
      <c r="C301" t="s">
        <v>76</v>
      </c>
      <c r="D301" t="s">
        <v>50</v>
      </c>
      <c r="E301">
        <v>1.84470081991964E-2</v>
      </c>
      <c r="F301">
        <v>1.84470081991964E-2</v>
      </c>
      <c r="G301">
        <v>0</v>
      </c>
      <c r="H301">
        <v>0</v>
      </c>
      <c r="I301" t="s">
        <v>77</v>
      </c>
    </row>
    <row r="302" spans="1:9" hidden="1" x14ac:dyDescent="0.35">
      <c r="A302" t="s">
        <v>5</v>
      </c>
      <c r="B302">
        <v>2025</v>
      </c>
      <c r="C302" t="s">
        <v>76</v>
      </c>
      <c r="D302" t="s">
        <v>51</v>
      </c>
      <c r="E302">
        <v>0.16950622205535801</v>
      </c>
      <c r="F302">
        <v>0.16950622205535801</v>
      </c>
      <c r="G302">
        <v>0</v>
      </c>
      <c r="H302">
        <v>0</v>
      </c>
      <c r="I302" t="s">
        <v>77</v>
      </c>
    </row>
    <row r="303" spans="1:9" hidden="1" x14ac:dyDescent="0.35">
      <c r="A303" t="s">
        <v>5</v>
      </c>
      <c r="B303">
        <v>2025</v>
      </c>
      <c r="C303" t="s">
        <v>76</v>
      </c>
      <c r="D303" t="s">
        <v>52</v>
      </c>
      <c r="E303">
        <v>0.171147769139853</v>
      </c>
      <c r="F303">
        <v>0.171147769139853</v>
      </c>
      <c r="G303">
        <v>0</v>
      </c>
      <c r="H303">
        <v>0</v>
      </c>
      <c r="I303" t="s">
        <v>77</v>
      </c>
    </row>
    <row r="304" spans="1:9" hidden="1" x14ac:dyDescent="0.35">
      <c r="A304" t="s">
        <v>5</v>
      </c>
      <c r="B304">
        <v>2025</v>
      </c>
      <c r="C304" t="s">
        <v>76</v>
      </c>
      <c r="D304" t="s">
        <v>53</v>
      </c>
      <c r="E304">
        <v>0.61570424389811595</v>
      </c>
      <c r="F304">
        <v>0.61570424389811595</v>
      </c>
      <c r="G304">
        <v>0</v>
      </c>
      <c r="H304">
        <v>0</v>
      </c>
      <c r="I304" t="s">
        <v>77</v>
      </c>
    </row>
    <row r="305" spans="1:9" hidden="1" x14ac:dyDescent="0.35">
      <c r="A305" t="s">
        <v>5</v>
      </c>
      <c r="B305">
        <v>2025</v>
      </c>
      <c r="C305" t="s">
        <v>76</v>
      </c>
      <c r="D305" t="s">
        <v>54</v>
      </c>
      <c r="E305">
        <v>0.11647952353926901</v>
      </c>
      <c r="F305">
        <v>0.11647952353926901</v>
      </c>
      <c r="G305">
        <v>0</v>
      </c>
      <c r="H305">
        <v>0</v>
      </c>
      <c r="I305" t="s">
        <v>77</v>
      </c>
    </row>
    <row r="306" spans="1:9" hidden="1" x14ac:dyDescent="0.35">
      <c r="A306" t="s">
        <v>5</v>
      </c>
      <c r="B306">
        <v>2025</v>
      </c>
      <c r="C306" t="s">
        <v>76</v>
      </c>
      <c r="D306" t="s">
        <v>55</v>
      </c>
      <c r="E306">
        <v>0.107385182097574</v>
      </c>
      <c r="F306">
        <v>0.107385182097574</v>
      </c>
      <c r="G306">
        <v>0</v>
      </c>
      <c r="H306">
        <v>0</v>
      </c>
      <c r="I306" t="s">
        <v>77</v>
      </c>
    </row>
    <row r="307" spans="1:9" hidden="1" x14ac:dyDescent="0.35">
      <c r="A307" t="s">
        <v>5</v>
      </c>
      <c r="B307">
        <v>2025</v>
      </c>
      <c r="C307" t="s">
        <v>76</v>
      </c>
      <c r="D307" t="s">
        <v>56</v>
      </c>
      <c r="E307" s="1">
        <v>2.45568052001262E-7</v>
      </c>
      <c r="F307" s="1">
        <v>2.45568052001262E-7</v>
      </c>
      <c r="G307">
        <v>0</v>
      </c>
      <c r="H307">
        <v>0</v>
      </c>
      <c r="I307" t="s">
        <v>77</v>
      </c>
    </row>
    <row r="308" spans="1:9" hidden="1" x14ac:dyDescent="0.35">
      <c r="A308" t="s">
        <v>7</v>
      </c>
      <c r="B308">
        <v>2030</v>
      </c>
      <c r="C308" t="s">
        <v>76</v>
      </c>
      <c r="D308" t="s">
        <v>38</v>
      </c>
      <c r="E308">
        <v>4.3923079772532798E-3</v>
      </c>
      <c r="F308">
        <v>4.3923079772532798E-3</v>
      </c>
      <c r="G308">
        <v>0</v>
      </c>
      <c r="H308">
        <v>0</v>
      </c>
      <c r="I308" t="s">
        <v>77</v>
      </c>
    </row>
    <row r="309" spans="1:9" hidden="1" x14ac:dyDescent="0.35">
      <c r="A309" t="s">
        <v>7</v>
      </c>
      <c r="B309">
        <v>2030</v>
      </c>
      <c r="C309" t="s">
        <v>76</v>
      </c>
      <c r="D309" t="s">
        <v>40</v>
      </c>
      <c r="E309">
        <v>6.3959048015342103E-4</v>
      </c>
      <c r="F309">
        <v>6.3959048015342103E-4</v>
      </c>
      <c r="G309">
        <v>0</v>
      </c>
      <c r="H309">
        <v>0</v>
      </c>
      <c r="I309" t="s">
        <v>77</v>
      </c>
    </row>
    <row r="310" spans="1:9" hidden="1" x14ac:dyDescent="0.35">
      <c r="A310" t="s">
        <v>7</v>
      </c>
      <c r="B310">
        <v>2030</v>
      </c>
      <c r="C310" t="s">
        <v>76</v>
      </c>
      <c r="D310" t="s">
        <v>41</v>
      </c>
      <c r="E310">
        <v>8.9997026051579897E-3</v>
      </c>
      <c r="F310">
        <v>8.9997026051579897E-3</v>
      </c>
      <c r="G310">
        <v>0</v>
      </c>
      <c r="H310">
        <v>0</v>
      </c>
      <c r="I310" t="s">
        <v>77</v>
      </c>
    </row>
    <row r="311" spans="1:9" hidden="1" x14ac:dyDescent="0.35">
      <c r="A311" t="s">
        <v>7</v>
      </c>
      <c r="B311">
        <v>2030</v>
      </c>
      <c r="C311" t="s">
        <v>76</v>
      </c>
      <c r="D311" t="s">
        <v>42</v>
      </c>
      <c r="E311">
        <v>1.70326399662373</v>
      </c>
      <c r="F311">
        <v>1.70326399662373</v>
      </c>
      <c r="G311">
        <v>0</v>
      </c>
      <c r="H311">
        <v>0</v>
      </c>
      <c r="I311" t="s">
        <v>77</v>
      </c>
    </row>
    <row r="312" spans="1:9" hidden="1" x14ac:dyDescent="0.35">
      <c r="A312" t="s">
        <v>7</v>
      </c>
      <c r="B312">
        <v>2030</v>
      </c>
      <c r="C312" t="s">
        <v>76</v>
      </c>
      <c r="D312" t="s">
        <v>43</v>
      </c>
      <c r="E312">
        <v>8.8414257428410005E-3</v>
      </c>
      <c r="F312">
        <v>8.8414257428410005E-3</v>
      </c>
      <c r="G312">
        <v>0</v>
      </c>
      <c r="H312">
        <v>0</v>
      </c>
      <c r="I312" t="s">
        <v>77</v>
      </c>
    </row>
    <row r="313" spans="1:9" hidden="1" x14ac:dyDescent="0.35">
      <c r="A313" t="s">
        <v>7</v>
      </c>
      <c r="B313">
        <v>2030</v>
      </c>
      <c r="C313" t="s">
        <v>76</v>
      </c>
      <c r="D313" t="s">
        <v>136</v>
      </c>
      <c r="E313">
        <v>1.91856852798806</v>
      </c>
      <c r="F313">
        <v>1.91856852798806</v>
      </c>
      <c r="G313">
        <v>0</v>
      </c>
      <c r="H313">
        <v>0</v>
      </c>
      <c r="I313" t="s">
        <v>77</v>
      </c>
    </row>
    <row r="314" spans="1:9" hidden="1" x14ac:dyDescent="0.35">
      <c r="A314" t="s">
        <v>7</v>
      </c>
      <c r="B314">
        <v>2030</v>
      </c>
      <c r="C314" t="s">
        <v>76</v>
      </c>
      <c r="D314" t="s">
        <v>45</v>
      </c>
      <c r="E314">
        <v>5.6610354221584801E-3</v>
      </c>
      <c r="F314">
        <v>5.6610354221584801E-3</v>
      </c>
      <c r="G314">
        <v>0</v>
      </c>
      <c r="H314">
        <v>0</v>
      </c>
      <c r="I314" t="s">
        <v>77</v>
      </c>
    </row>
    <row r="315" spans="1:9" hidden="1" x14ac:dyDescent="0.35">
      <c r="A315" t="s">
        <v>7</v>
      </c>
      <c r="B315">
        <v>2030</v>
      </c>
      <c r="C315" t="s">
        <v>76</v>
      </c>
      <c r="D315" t="s">
        <v>46</v>
      </c>
      <c r="E315">
        <v>0.29469384623732597</v>
      </c>
      <c r="F315">
        <v>0.29469384623732597</v>
      </c>
      <c r="G315">
        <v>0</v>
      </c>
      <c r="H315">
        <v>0</v>
      </c>
      <c r="I315" t="s">
        <v>77</v>
      </c>
    </row>
    <row r="316" spans="1:9" hidden="1" x14ac:dyDescent="0.35">
      <c r="A316" t="s">
        <v>7</v>
      </c>
      <c r="B316">
        <v>2030</v>
      </c>
      <c r="C316" t="s">
        <v>76</v>
      </c>
      <c r="D316" t="s">
        <v>47</v>
      </c>
      <c r="E316">
        <v>1.9152853322493299E-3</v>
      </c>
      <c r="F316">
        <v>1.9152853322493299E-3</v>
      </c>
      <c r="G316">
        <v>0</v>
      </c>
      <c r="H316">
        <v>0</v>
      </c>
      <c r="I316" t="s">
        <v>77</v>
      </c>
    </row>
    <row r="317" spans="1:9" hidden="1" x14ac:dyDescent="0.35">
      <c r="A317" t="s">
        <v>7</v>
      </c>
      <c r="B317">
        <v>2030</v>
      </c>
      <c r="C317" t="s">
        <v>76</v>
      </c>
      <c r="D317" t="s">
        <v>48</v>
      </c>
      <c r="E317">
        <v>0.277751671127207</v>
      </c>
      <c r="F317">
        <v>0.277751671127207</v>
      </c>
      <c r="G317">
        <v>0</v>
      </c>
      <c r="H317">
        <v>0</v>
      </c>
      <c r="I317" t="s">
        <v>77</v>
      </c>
    </row>
    <row r="318" spans="1:9" hidden="1" x14ac:dyDescent="0.35">
      <c r="A318" t="s">
        <v>7</v>
      </c>
      <c r="B318">
        <v>2030</v>
      </c>
      <c r="C318" t="s">
        <v>76</v>
      </c>
      <c r="D318" t="s">
        <v>49</v>
      </c>
      <c r="E318">
        <v>1.4994292027146999E-2</v>
      </c>
      <c r="F318">
        <v>1.4994292027146999E-2</v>
      </c>
      <c r="G318">
        <v>0</v>
      </c>
      <c r="H318">
        <v>0</v>
      </c>
      <c r="I318" t="s">
        <v>77</v>
      </c>
    </row>
    <row r="319" spans="1:9" hidden="1" x14ac:dyDescent="0.35">
      <c r="A319" t="s">
        <v>7</v>
      </c>
      <c r="B319">
        <v>2030</v>
      </c>
      <c r="C319" t="s">
        <v>76</v>
      </c>
      <c r="D319" t="s">
        <v>50</v>
      </c>
      <c r="E319">
        <v>1.7787206629326299E-2</v>
      </c>
      <c r="F319">
        <v>1.7787206629326299E-2</v>
      </c>
      <c r="G319">
        <v>0</v>
      </c>
      <c r="H319">
        <v>0</v>
      </c>
      <c r="I319" t="s">
        <v>77</v>
      </c>
    </row>
    <row r="320" spans="1:9" hidden="1" x14ac:dyDescent="0.35">
      <c r="A320" t="s">
        <v>7</v>
      </c>
      <c r="B320">
        <v>2030</v>
      </c>
      <c r="C320" t="s">
        <v>76</v>
      </c>
      <c r="D320" t="s">
        <v>51</v>
      </c>
      <c r="E320">
        <v>0.16960642451914901</v>
      </c>
      <c r="F320">
        <v>0.16960642451914901</v>
      </c>
      <c r="G320">
        <v>0</v>
      </c>
      <c r="H320">
        <v>0</v>
      </c>
      <c r="I320" t="s">
        <v>77</v>
      </c>
    </row>
    <row r="321" spans="1:9" hidden="1" x14ac:dyDescent="0.35">
      <c r="A321" t="s">
        <v>7</v>
      </c>
      <c r="B321">
        <v>2030</v>
      </c>
      <c r="C321" t="s">
        <v>76</v>
      </c>
      <c r="D321" t="s">
        <v>52</v>
      </c>
      <c r="E321">
        <v>0.14694550508760801</v>
      </c>
      <c r="F321">
        <v>0.14694550508760801</v>
      </c>
      <c r="G321">
        <v>0</v>
      </c>
      <c r="H321">
        <v>0</v>
      </c>
      <c r="I321" t="s">
        <v>77</v>
      </c>
    </row>
    <row r="322" spans="1:9" hidden="1" x14ac:dyDescent="0.35">
      <c r="A322" t="s">
        <v>7</v>
      </c>
      <c r="B322">
        <v>2030</v>
      </c>
      <c r="C322" t="s">
        <v>76</v>
      </c>
      <c r="D322" t="s">
        <v>53</v>
      </c>
      <c r="E322">
        <v>0.57278302687578497</v>
      </c>
      <c r="F322">
        <v>0.57278302687578497</v>
      </c>
      <c r="G322">
        <v>0</v>
      </c>
      <c r="H322">
        <v>0</v>
      </c>
      <c r="I322" t="s">
        <v>77</v>
      </c>
    </row>
    <row r="323" spans="1:9" hidden="1" x14ac:dyDescent="0.35">
      <c r="A323" t="s">
        <v>7</v>
      </c>
      <c r="B323">
        <v>2030</v>
      </c>
      <c r="C323" t="s">
        <v>76</v>
      </c>
      <c r="D323" t="s">
        <v>54</v>
      </c>
      <c r="E323">
        <v>0.117371280617556</v>
      </c>
      <c r="F323">
        <v>0.117371280617556</v>
      </c>
      <c r="G323">
        <v>0</v>
      </c>
      <c r="H323">
        <v>0</v>
      </c>
      <c r="I323" t="s">
        <v>77</v>
      </c>
    </row>
    <row r="324" spans="1:9" hidden="1" x14ac:dyDescent="0.35">
      <c r="A324" t="s">
        <v>7</v>
      </c>
      <c r="B324">
        <v>2030</v>
      </c>
      <c r="C324" t="s">
        <v>76</v>
      </c>
      <c r="D324" t="s">
        <v>55</v>
      </c>
      <c r="E324">
        <v>0.10785774798289199</v>
      </c>
      <c r="F324">
        <v>0.10785774798289199</v>
      </c>
      <c r="G324">
        <v>0</v>
      </c>
      <c r="H324">
        <v>0</v>
      </c>
      <c r="I324" t="s">
        <v>77</v>
      </c>
    </row>
    <row r="325" spans="1:9" hidden="1" x14ac:dyDescent="0.35">
      <c r="A325" t="s">
        <v>7</v>
      </c>
      <c r="B325">
        <v>2030</v>
      </c>
      <c r="C325" t="s">
        <v>76</v>
      </c>
      <c r="D325" t="s">
        <v>56</v>
      </c>
      <c r="E325" s="1">
        <v>2.20845346941298E-7</v>
      </c>
      <c r="F325" s="1">
        <v>2.20845346941298E-7</v>
      </c>
      <c r="G325">
        <v>0</v>
      </c>
      <c r="H325">
        <v>0</v>
      </c>
      <c r="I325" t="s">
        <v>77</v>
      </c>
    </row>
    <row r="326" spans="1:9" hidden="1" x14ac:dyDescent="0.35">
      <c r="A326" t="s">
        <v>9</v>
      </c>
      <c r="B326">
        <v>2035</v>
      </c>
      <c r="C326" t="s">
        <v>76</v>
      </c>
      <c r="D326" t="s">
        <v>38</v>
      </c>
      <c r="E326">
        <v>4.2929271694430197E-3</v>
      </c>
      <c r="F326">
        <v>4.2929271694430197E-3</v>
      </c>
      <c r="G326">
        <v>0</v>
      </c>
      <c r="H326">
        <v>0</v>
      </c>
      <c r="I326" t="s">
        <v>77</v>
      </c>
    </row>
    <row r="327" spans="1:9" hidden="1" x14ac:dyDescent="0.35">
      <c r="A327" t="s">
        <v>9</v>
      </c>
      <c r="B327">
        <v>2035</v>
      </c>
      <c r="C327" t="s">
        <v>76</v>
      </c>
      <c r="D327" t="s">
        <v>40</v>
      </c>
      <c r="E327">
        <v>6.0912078715565597E-4</v>
      </c>
      <c r="F327">
        <v>6.0912078715565597E-4</v>
      </c>
      <c r="G327">
        <v>0</v>
      </c>
      <c r="H327">
        <v>0</v>
      </c>
      <c r="I327" t="s">
        <v>77</v>
      </c>
    </row>
    <row r="328" spans="1:9" hidden="1" x14ac:dyDescent="0.35">
      <c r="A328" t="s">
        <v>9</v>
      </c>
      <c r="B328">
        <v>2035</v>
      </c>
      <c r="C328" t="s">
        <v>76</v>
      </c>
      <c r="D328" t="s">
        <v>41</v>
      </c>
      <c r="E328">
        <v>8.7545658453449804E-3</v>
      </c>
      <c r="F328">
        <v>8.7545658453449804E-3</v>
      </c>
      <c r="G328">
        <v>0</v>
      </c>
      <c r="H328">
        <v>0</v>
      </c>
      <c r="I328" t="s">
        <v>77</v>
      </c>
    </row>
    <row r="329" spans="1:9" hidden="1" x14ac:dyDescent="0.35">
      <c r="A329" t="s">
        <v>9</v>
      </c>
      <c r="B329">
        <v>2035</v>
      </c>
      <c r="C329" t="s">
        <v>76</v>
      </c>
      <c r="D329" t="s">
        <v>42</v>
      </c>
      <c r="E329">
        <v>1.68297642137811</v>
      </c>
      <c r="F329">
        <v>1.68297642137811</v>
      </c>
      <c r="G329">
        <v>0</v>
      </c>
      <c r="H329">
        <v>0</v>
      </c>
      <c r="I329" t="s">
        <v>77</v>
      </c>
    </row>
    <row r="330" spans="1:9" hidden="1" x14ac:dyDescent="0.35">
      <c r="A330" t="s">
        <v>9</v>
      </c>
      <c r="B330">
        <v>2035</v>
      </c>
      <c r="C330" t="s">
        <v>76</v>
      </c>
      <c r="D330" t="s">
        <v>43</v>
      </c>
      <c r="E330">
        <v>8.7145957860562603E-3</v>
      </c>
      <c r="F330">
        <v>8.7145957860562603E-3</v>
      </c>
      <c r="G330">
        <v>0</v>
      </c>
      <c r="H330">
        <v>0</v>
      </c>
      <c r="I330" t="s">
        <v>77</v>
      </c>
    </row>
    <row r="331" spans="1:9" hidden="1" x14ac:dyDescent="0.35">
      <c r="A331" t="s">
        <v>9</v>
      </c>
      <c r="B331">
        <v>2035</v>
      </c>
      <c r="C331" t="s">
        <v>76</v>
      </c>
      <c r="D331" t="s">
        <v>136</v>
      </c>
      <c r="E331">
        <v>1.81211508272317</v>
      </c>
      <c r="F331">
        <v>1.81211508272317</v>
      </c>
      <c r="G331">
        <v>0</v>
      </c>
      <c r="H331">
        <v>0</v>
      </c>
      <c r="I331" t="s">
        <v>77</v>
      </c>
    </row>
    <row r="332" spans="1:9" hidden="1" x14ac:dyDescent="0.35">
      <c r="A332" t="s">
        <v>9</v>
      </c>
      <c r="B332">
        <v>2035</v>
      </c>
      <c r="C332" t="s">
        <v>76</v>
      </c>
      <c r="D332" t="s">
        <v>45</v>
      </c>
      <c r="E332">
        <v>5.4053576932893803E-3</v>
      </c>
      <c r="F332">
        <v>5.4053576932893803E-3</v>
      </c>
      <c r="G332">
        <v>0</v>
      </c>
      <c r="H332">
        <v>0</v>
      </c>
      <c r="I332" t="s">
        <v>77</v>
      </c>
    </row>
    <row r="333" spans="1:9" hidden="1" x14ac:dyDescent="0.35">
      <c r="A333" t="s">
        <v>9</v>
      </c>
      <c r="B333">
        <v>2035</v>
      </c>
      <c r="C333" t="s">
        <v>76</v>
      </c>
      <c r="D333" t="s">
        <v>46</v>
      </c>
      <c r="E333">
        <v>0.34574810035617798</v>
      </c>
      <c r="F333">
        <v>0.34574810035617798</v>
      </c>
      <c r="G333">
        <v>0</v>
      </c>
      <c r="H333">
        <v>0</v>
      </c>
      <c r="I333" t="s">
        <v>77</v>
      </c>
    </row>
    <row r="334" spans="1:9" hidden="1" x14ac:dyDescent="0.35">
      <c r="A334" t="s">
        <v>9</v>
      </c>
      <c r="B334">
        <v>2035</v>
      </c>
      <c r="C334" t="s">
        <v>76</v>
      </c>
      <c r="D334" t="s">
        <v>47</v>
      </c>
      <c r="E334">
        <v>1.8855931434052699E-3</v>
      </c>
      <c r="F334">
        <v>1.8855931434052699E-3</v>
      </c>
      <c r="G334">
        <v>0</v>
      </c>
      <c r="H334">
        <v>0</v>
      </c>
      <c r="I334" t="s">
        <v>77</v>
      </c>
    </row>
    <row r="335" spans="1:9" hidden="1" x14ac:dyDescent="0.35">
      <c r="A335" t="s">
        <v>9</v>
      </c>
      <c r="B335">
        <v>2035</v>
      </c>
      <c r="C335" t="s">
        <v>76</v>
      </c>
      <c r="D335" t="s">
        <v>48</v>
      </c>
      <c r="E335">
        <v>0.280451607156744</v>
      </c>
      <c r="F335">
        <v>0.280451607156744</v>
      </c>
      <c r="G335">
        <v>0</v>
      </c>
      <c r="H335">
        <v>0</v>
      </c>
      <c r="I335" t="s">
        <v>77</v>
      </c>
    </row>
    <row r="336" spans="1:9" hidden="1" x14ac:dyDescent="0.35">
      <c r="A336" t="s">
        <v>9</v>
      </c>
      <c r="B336">
        <v>2035</v>
      </c>
      <c r="C336" t="s">
        <v>76</v>
      </c>
      <c r="D336" t="s">
        <v>49</v>
      </c>
      <c r="E336">
        <v>1.4644216881133799E-2</v>
      </c>
      <c r="F336">
        <v>1.4644216881133799E-2</v>
      </c>
      <c r="G336">
        <v>0</v>
      </c>
      <c r="H336">
        <v>0</v>
      </c>
      <c r="I336" t="s">
        <v>77</v>
      </c>
    </row>
    <row r="337" spans="1:9" hidden="1" x14ac:dyDescent="0.35">
      <c r="A337" t="s">
        <v>9</v>
      </c>
      <c r="B337">
        <v>2035</v>
      </c>
      <c r="C337" t="s">
        <v>76</v>
      </c>
      <c r="D337" t="s">
        <v>50</v>
      </c>
      <c r="E337">
        <v>1.66352639175299E-2</v>
      </c>
      <c r="F337">
        <v>1.66352639175299E-2</v>
      </c>
      <c r="G337">
        <v>0</v>
      </c>
      <c r="H337">
        <v>0</v>
      </c>
      <c r="I337" t="s">
        <v>77</v>
      </c>
    </row>
    <row r="338" spans="1:9" hidden="1" x14ac:dyDescent="0.35">
      <c r="A338" t="s">
        <v>9</v>
      </c>
      <c r="B338">
        <v>2035</v>
      </c>
      <c r="C338" t="s">
        <v>76</v>
      </c>
      <c r="D338" t="s">
        <v>51</v>
      </c>
      <c r="E338">
        <v>0.17082638363455699</v>
      </c>
      <c r="F338">
        <v>0.17082638363455699</v>
      </c>
      <c r="G338">
        <v>0</v>
      </c>
      <c r="H338">
        <v>0</v>
      </c>
      <c r="I338" t="s">
        <v>77</v>
      </c>
    </row>
    <row r="339" spans="1:9" hidden="1" x14ac:dyDescent="0.35">
      <c r="A339" t="s">
        <v>9</v>
      </c>
      <c r="B339">
        <v>2035</v>
      </c>
      <c r="C339" t="s">
        <v>76</v>
      </c>
      <c r="D339" t="s">
        <v>52</v>
      </c>
      <c r="E339">
        <v>0.122674968915333</v>
      </c>
      <c r="F339">
        <v>0.122674968915333</v>
      </c>
      <c r="G339">
        <v>0</v>
      </c>
      <c r="H339">
        <v>0</v>
      </c>
      <c r="I339" t="s">
        <v>77</v>
      </c>
    </row>
    <row r="340" spans="1:9" hidden="1" x14ac:dyDescent="0.35">
      <c r="A340" t="s">
        <v>9</v>
      </c>
      <c r="B340">
        <v>2035</v>
      </c>
      <c r="C340" t="s">
        <v>76</v>
      </c>
      <c r="D340" t="s">
        <v>53</v>
      </c>
      <c r="E340">
        <v>0.53983157358465295</v>
      </c>
      <c r="F340">
        <v>0.53983157358465295</v>
      </c>
      <c r="G340">
        <v>0</v>
      </c>
      <c r="H340">
        <v>0</v>
      </c>
      <c r="I340" t="s">
        <v>77</v>
      </c>
    </row>
    <row r="341" spans="1:9" hidden="1" x14ac:dyDescent="0.35">
      <c r="A341" t="s">
        <v>9</v>
      </c>
      <c r="B341">
        <v>2035</v>
      </c>
      <c r="C341" t="s">
        <v>76</v>
      </c>
      <c r="D341" t="s">
        <v>54</v>
      </c>
      <c r="E341">
        <v>0.118741824666314</v>
      </c>
      <c r="F341">
        <v>0.118741824666314</v>
      </c>
      <c r="G341">
        <v>0</v>
      </c>
      <c r="H341">
        <v>0</v>
      </c>
      <c r="I341" t="s">
        <v>77</v>
      </c>
    </row>
    <row r="342" spans="1:9" hidden="1" x14ac:dyDescent="0.35">
      <c r="A342" t="s">
        <v>9</v>
      </c>
      <c r="B342">
        <v>2035</v>
      </c>
      <c r="C342" t="s">
        <v>76</v>
      </c>
      <c r="D342" t="s">
        <v>55</v>
      </c>
      <c r="E342">
        <v>0.109033005514582</v>
      </c>
      <c r="F342">
        <v>0.109033005514582</v>
      </c>
      <c r="G342">
        <v>0</v>
      </c>
      <c r="H342">
        <v>0</v>
      </c>
      <c r="I342" t="s">
        <v>77</v>
      </c>
    </row>
    <row r="343" spans="1:9" hidden="1" x14ac:dyDescent="0.35">
      <c r="A343" t="s">
        <v>9</v>
      </c>
      <c r="B343">
        <v>2035</v>
      </c>
      <c r="C343" t="s">
        <v>76</v>
      </c>
      <c r="D343" t="s">
        <v>56</v>
      </c>
      <c r="E343" s="1">
        <v>2.0765522332567499E-7</v>
      </c>
      <c r="F343" s="1">
        <v>2.0765522332567499E-7</v>
      </c>
      <c r="G343">
        <v>0</v>
      </c>
      <c r="H343">
        <v>0</v>
      </c>
      <c r="I343" t="s">
        <v>77</v>
      </c>
    </row>
    <row r="344" spans="1:9" hidden="1" x14ac:dyDescent="0.35">
      <c r="A344" t="s">
        <v>11</v>
      </c>
      <c r="B344">
        <v>2040</v>
      </c>
      <c r="C344" t="s">
        <v>76</v>
      </c>
      <c r="D344" t="s">
        <v>38</v>
      </c>
      <c r="E344">
        <v>3.7158403936240702E-3</v>
      </c>
      <c r="F344">
        <v>3.7158403936240702E-3</v>
      </c>
      <c r="G344">
        <v>0</v>
      </c>
      <c r="H344">
        <v>0</v>
      </c>
      <c r="I344" t="s">
        <v>77</v>
      </c>
    </row>
    <row r="345" spans="1:9" hidden="1" x14ac:dyDescent="0.35">
      <c r="A345" t="s">
        <v>11</v>
      </c>
      <c r="B345">
        <v>2040</v>
      </c>
      <c r="C345" t="s">
        <v>76</v>
      </c>
      <c r="D345" t="s">
        <v>40</v>
      </c>
      <c r="E345">
        <v>5.8234889551640203E-4</v>
      </c>
      <c r="F345">
        <v>5.8234889551640203E-4</v>
      </c>
      <c r="G345">
        <v>0</v>
      </c>
      <c r="H345">
        <v>0</v>
      </c>
      <c r="I345" t="s">
        <v>77</v>
      </c>
    </row>
    <row r="346" spans="1:9" hidden="1" x14ac:dyDescent="0.35">
      <c r="A346" t="s">
        <v>11</v>
      </c>
      <c r="B346">
        <v>2040</v>
      </c>
      <c r="C346" t="s">
        <v>76</v>
      </c>
      <c r="D346" t="s">
        <v>41</v>
      </c>
      <c r="E346">
        <v>8.5925785393401403E-3</v>
      </c>
      <c r="F346">
        <v>8.5925785393401403E-3</v>
      </c>
      <c r="G346">
        <v>0</v>
      </c>
      <c r="H346">
        <v>0</v>
      </c>
      <c r="I346" t="s">
        <v>77</v>
      </c>
    </row>
    <row r="347" spans="1:9" hidden="1" x14ac:dyDescent="0.35">
      <c r="A347" t="s">
        <v>11</v>
      </c>
      <c r="B347">
        <v>2040</v>
      </c>
      <c r="C347" t="s">
        <v>76</v>
      </c>
      <c r="D347" t="s">
        <v>42</v>
      </c>
      <c r="E347">
        <v>1.67620869038524</v>
      </c>
      <c r="F347">
        <v>1.67620869038524</v>
      </c>
      <c r="G347">
        <v>0</v>
      </c>
      <c r="H347">
        <v>0</v>
      </c>
      <c r="I347" t="s">
        <v>77</v>
      </c>
    </row>
    <row r="348" spans="1:9" hidden="1" x14ac:dyDescent="0.35">
      <c r="A348" t="s">
        <v>11</v>
      </c>
      <c r="B348">
        <v>2040</v>
      </c>
      <c r="C348" t="s">
        <v>76</v>
      </c>
      <c r="D348" t="s">
        <v>43</v>
      </c>
      <c r="E348">
        <v>8.5345497911144506E-3</v>
      </c>
      <c r="F348">
        <v>8.5345497911144506E-3</v>
      </c>
      <c r="G348">
        <v>0</v>
      </c>
      <c r="H348">
        <v>0</v>
      </c>
      <c r="I348" t="s">
        <v>77</v>
      </c>
    </row>
    <row r="349" spans="1:9" hidden="1" x14ac:dyDescent="0.35">
      <c r="A349" t="s">
        <v>11</v>
      </c>
      <c r="B349">
        <v>2040</v>
      </c>
      <c r="C349" t="s">
        <v>76</v>
      </c>
      <c r="D349" t="s">
        <v>136</v>
      </c>
      <c r="E349">
        <v>1.72777411040055</v>
      </c>
      <c r="F349">
        <v>1.72777411040055</v>
      </c>
      <c r="G349">
        <v>0</v>
      </c>
      <c r="H349">
        <v>0</v>
      </c>
      <c r="I349" t="s">
        <v>77</v>
      </c>
    </row>
    <row r="350" spans="1:9" hidden="1" x14ac:dyDescent="0.35">
      <c r="A350" t="s">
        <v>11</v>
      </c>
      <c r="B350">
        <v>2040</v>
      </c>
      <c r="C350" t="s">
        <v>76</v>
      </c>
      <c r="D350" t="s">
        <v>45</v>
      </c>
      <c r="E350">
        <v>5.2576499270597203E-3</v>
      </c>
      <c r="F350">
        <v>5.2576499270597203E-3</v>
      </c>
      <c r="G350">
        <v>0</v>
      </c>
      <c r="H350">
        <v>0</v>
      </c>
      <c r="I350" t="s">
        <v>77</v>
      </c>
    </row>
    <row r="351" spans="1:9" hidden="1" x14ac:dyDescent="0.35">
      <c r="A351" t="s">
        <v>11</v>
      </c>
      <c r="B351">
        <v>2040</v>
      </c>
      <c r="C351" t="s">
        <v>76</v>
      </c>
      <c r="D351" t="s">
        <v>46</v>
      </c>
      <c r="E351">
        <v>0.42163324570245803</v>
      </c>
      <c r="F351">
        <v>0.42163324570245803</v>
      </c>
      <c r="G351">
        <v>0</v>
      </c>
      <c r="H351">
        <v>0</v>
      </c>
      <c r="I351" t="s">
        <v>77</v>
      </c>
    </row>
    <row r="352" spans="1:9" hidden="1" x14ac:dyDescent="0.35">
      <c r="A352" t="s">
        <v>11</v>
      </c>
      <c r="B352">
        <v>2040</v>
      </c>
      <c r="C352" t="s">
        <v>76</v>
      </c>
      <c r="D352" t="s">
        <v>47</v>
      </c>
      <c r="E352">
        <v>1.8712402345498001E-3</v>
      </c>
      <c r="F352">
        <v>1.8712402345498001E-3</v>
      </c>
      <c r="G352">
        <v>0</v>
      </c>
      <c r="H352">
        <v>0</v>
      </c>
      <c r="I352" t="s">
        <v>77</v>
      </c>
    </row>
    <row r="353" spans="1:9" hidden="1" x14ac:dyDescent="0.35">
      <c r="A353" t="s">
        <v>11</v>
      </c>
      <c r="B353">
        <v>2040</v>
      </c>
      <c r="C353" t="s">
        <v>76</v>
      </c>
      <c r="D353" t="s">
        <v>48</v>
      </c>
      <c r="E353">
        <v>0.28628515508547198</v>
      </c>
      <c r="F353">
        <v>0.28628515508547198</v>
      </c>
      <c r="G353">
        <v>0</v>
      </c>
      <c r="H353">
        <v>0</v>
      </c>
      <c r="I353" t="s">
        <v>77</v>
      </c>
    </row>
    <row r="354" spans="1:9" hidden="1" x14ac:dyDescent="0.35">
      <c r="A354" t="s">
        <v>11</v>
      </c>
      <c r="B354">
        <v>2040</v>
      </c>
      <c r="C354" t="s">
        <v>76</v>
      </c>
      <c r="D354" t="s">
        <v>49</v>
      </c>
      <c r="E354">
        <v>1.43907986628378E-2</v>
      </c>
      <c r="F354">
        <v>1.43907986628378E-2</v>
      </c>
      <c r="G354">
        <v>0</v>
      </c>
      <c r="H354">
        <v>0</v>
      </c>
      <c r="I354" t="s">
        <v>77</v>
      </c>
    </row>
    <row r="355" spans="1:9" hidden="1" x14ac:dyDescent="0.35">
      <c r="A355" t="s">
        <v>11</v>
      </c>
      <c r="B355">
        <v>2040</v>
      </c>
      <c r="C355" t="s">
        <v>76</v>
      </c>
      <c r="D355" t="s">
        <v>50</v>
      </c>
      <c r="E355">
        <v>1.4347574440129299E-2</v>
      </c>
      <c r="F355">
        <v>1.4347574440129299E-2</v>
      </c>
      <c r="G355">
        <v>0</v>
      </c>
      <c r="H355">
        <v>0</v>
      </c>
      <c r="I355" t="s">
        <v>77</v>
      </c>
    </row>
    <row r="356" spans="1:9" hidden="1" x14ac:dyDescent="0.35">
      <c r="A356" t="s">
        <v>11</v>
      </c>
      <c r="B356">
        <v>2040</v>
      </c>
      <c r="C356" t="s">
        <v>76</v>
      </c>
      <c r="D356" t="s">
        <v>51</v>
      </c>
      <c r="E356">
        <v>0.172460709958006</v>
      </c>
      <c r="F356">
        <v>0.172460709958006</v>
      </c>
      <c r="G356">
        <v>0</v>
      </c>
      <c r="H356">
        <v>0</v>
      </c>
      <c r="I356" t="s">
        <v>77</v>
      </c>
    </row>
    <row r="357" spans="1:9" hidden="1" x14ac:dyDescent="0.35">
      <c r="A357" t="s">
        <v>11</v>
      </c>
      <c r="B357">
        <v>2040</v>
      </c>
      <c r="C357" t="s">
        <v>76</v>
      </c>
      <c r="D357" t="s">
        <v>52</v>
      </c>
      <c r="E357">
        <v>0.10148465387512499</v>
      </c>
      <c r="F357">
        <v>0.10148465387512499</v>
      </c>
      <c r="G357">
        <v>0</v>
      </c>
      <c r="H357">
        <v>0</v>
      </c>
      <c r="I357" t="s">
        <v>77</v>
      </c>
    </row>
    <row r="358" spans="1:9" hidden="1" x14ac:dyDescent="0.35">
      <c r="A358" t="s">
        <v>11</v>
      </c>
      <c r="B358">
        <v>2040</v>
      </c>
      <c r="C358" t="s">
        <v>76</v>
      </c>
      <c r="D358" t="s">
        <v>53</v>
      </c>
      <c r="E358">
        <v>0.51239070894555505</v>
      </c>
      <c r="F358">
        <v>0.51239070894555505</v>
      </c>
      <c r="G358">
        <v>0</v>
      </c>
      <c r="H358">
        <v>0</v>
      </c>
      <c r="I358" t="s">
        <v>77</v>
      </c>
    </row>
    <row r="359" spans="1:9" hidden="1" x14ac:dyDescent="0.35">
      <c r="A359" t="s">
        <v>11</v>
      </c>
      <c r="B359">
        <v>2040</v>
      </c>
      <c r="C359" t="s">
        <v>76</v>
      </c>
      <c r="D359" t="s">
        <v>54</v>
      </c>
      <c r="E359">
        <v>0.120469062911864</v>
      </c>
      <c r="F359">
        <v>0.120469062911864</v>
      </c>
      <c r="G359">
        <v>0</v>
      </c>
      <c r="H359">
        <v>0</v>
      </c>
      <c r="I359" t="s">
        <v>77</v>
      </c>
    </row>
    <row r="360" spans="1:9" hidden="1" x14ac:dyDescent="0.35">
      <c r="A360" t="s">
        <v>11</v>
      </c>
      <c r="B360">
        <v>2040</v>
      </c>
      <c r="C360" t="s">
        <v>76</v>
      </c>
      <c r="D360" t="s">
        <v>55</v>
      </c>
      <c r="E360">
        <v>0.110629863036008</v>
      </c>
      <c r="F360">
        <v>0.110629863036008</v>
      </c>
      <c r="G360">
        <v>0</v>
      </c>
      <c r="H360">
        <v>0</v>
      </c>
      <c r="I360" t="s">
        <v>77</v>
      </c>
    </row>
    <row r="361" spans="1:9" hidden="1" x14ac:dyDescent="0.35">
      <c r="A361" t="s">
        <v>11</v>
      </c>
      <c r="B361">
        <v>2040</v>
      </c>
      <c r="C361" t="s">
        <v>76</v>
      </c>
      <c r="D361" t="s">
        <v>56</v>
      </c>
      <c r="E361" s="1">
        <v>2.01345760569646E-7</v>
      </c>
      <c r="F361" s="1">
        <v>2.01345760569646E-7</v>
      </c>
      <c r="G361">
        <v>0</v>
      </c>
      <c r="H361">
        <v>0</v>
      </c>
      <c r="I361" t="s">
        <v>77</v>
      </c>
    </row>
    <row r="362" spans="1:9" hidden="1" x14ac:dyDescent="0.35">
      <c r="A362" t="s">
        <v>5</v>
      </c>
      <c r="B362">
        <v>2025</v>
      </c>
      <c r="C362" t="s">
        <v>83</v>
      </c>
      <c r="D362" t="s">
        <v>38</v>
      </c>
      <c r="E362">
        <v>9.9630758043412707E-4</v>
      </c>
      <c r="F362">
        <v>9.9630758043412707E-4</v>
      </c>
      <c r="G362">
        <v>0</v>
      </c>
      <c r="H362">
        <v>0</v>
      </c>
      <c r="I362" t="s">
        <v>84</v>
      </c>
    </row>
    <row r="363" spans="1:9" hidden="1" x14ac:dyDescent="0.35">
      <c r="A363" t="s">
        <v>5</v>
      </c>
      <c r="B363">
        <v>2025</v>
      </c>
      <c r="C363" t="s">
        <v>83</v>
      </c>
      <c r="D363" t="s">
        <v>40</v>
      </c>
      <c r="E363">
        <v>2.4983400155576999E-4</v>
      </c>
      <c r="F363">
        <v>2.4983400155576999E-4</v>
      </c>
      <c r="G363">
        <v>0</v>
      </c>
      <c r="H363">
        <v>0</v>
      </c>
      <c r="I363" t="s">
        <v>84</v>
      </c>
    </row>
    <row r="364" spans="1:9" hidden="1" x14ac:dyDescent="0.35">
      <c r="A364" t="s">
        <v>5</v>
      </c>
      <c r="B364">
        <v>2025</v>
      </c>
      <c r="C364" t="s">
        <v>83</v>
      </c>
      <c r="D364" t="s">
        <v>41</v>
      </c>
      <c r="E364">
        <v>2.6950999191199302E-3</v>
      </c>
      <c r="F364">
        <v>2.6950999191199302E-3</v>
      </c>
      <c r="G364">
        <v>0</v>
      </c>
      <c r="H364">
        <v>0</v>
      </c>
      <c r="I364" t="s">
        <v>84</v>
      </c>
    </row>
    <row r="365" spans="1:9" hidden="1" x14ac:dyDescent="0.35">
      <c r="A365" t="s">
        <v>5</v>
      </c>
      <c r="B365">
        <v>2025</v>
      </c>
      <c r="C365" t="s">
        <v>83</v>
      </c>
      <c r="D365" t="s">
        <v>42</v>
      </c>
      <c r="E365">
        <v>2.1955406742819101</v>
      </c>
      <c r="F365">
        <v>2.1955406742819101</v>
      </c>
      <c r="G365">
        <v>0</v>
      </c>
      <c r="H365">
        <v>0</v>
      </c>
      <c r="I365" t="s">
        <v>84</v>
      </c>
    </row>
    <row r="366" spans="1:9" hidden="1" x14ac:dyDescent="0.35">
      <c r="A366" t="s">
        <v>5</v>
      </c>
      <c r="B366">
        <v>2025</v>
      </c>
      <c r="C366" t="s">
        <v>83</v>
      </c>
      <c r="D366" t="s">
        <v>43</v>
      </c>
      <c r="E366">
        <v>9.6950707738324899E-4</v>
      </c>
      <c r="F366">
        <v>9.6950707738324899E-4</v>
      </c>
      <c r="G366">
        <v>0</v>
      </c>
      <c r="H366">
        <v>0</v>
      </c>
      <c r="I366" t="s">
        <v>84</v>
      </c>
    </row>
    <row r="367" spans="1:9" hidden="1" x14ac:dyDescent="0.35">
      <c r="A367" t="s">
        <v>5</v>
      </c>
      <c r="B367">
        <v>2025</v>
      </c>
      <c r="C367" t="s">
        <v>83</v>
      </c>
      <c r="D367" t="s">
        <v>136</v>
      </c>
      <c r="E367">
        <v>0.89205535406048397</v>
      </c>
      <c r="F367">
        <v>0.89205535406048397</v>
      </c>
      <c r="G367">
        <v>0</v>
      </c>
      <c r="H367">
        <v>0</v>
      </c>
      <c r="I367" t="s">
        <v>84</v>
      </c>
    </row>
    <row r="368" spans="1:9" hidden="1" x14ac:dyDescent="0.35">
      <c r="A368" t="s">
        <v>5</v>
      </c>
      <c r="B368">
        <v>2025</v>
      </c>
      <c r="C368" t="s">
        <v>83</v>
      </c>
      <c r="D368" t="s">
        <v>45</v>
      </c>
      <c r="E368">
        <v>1.67940363321957E-3</v>
      </c>
      <c r="F368">
        <v>1.67940363321957E-3</v>
      </c>
      <c r="G368">
        <v>0</v>
      </c>
      <c r="H368">
        <v>0</v>
      </c>
      <c r="I368" t="s">
        <v>84</v>
      </c>
    </row>
    <row r="369" spans="1:9" hidden="1" x14ac:dyDescent="0.35">
      <c r="A369" t="s">
        <v>5</v>
      </c>
      <c r="B369">
        <v>2025</v>
      </c>
      <c r="C369" t="s">
        <v>83</v>
      </c>
      <c r="D369" t="s">
        <v>46</v>
      </c>
      <c r="E369">
        <v>5.4408182997472999E-2</v>
      </c>
      <c r="F369">
        <v>5.4408182997472999E-2</v>
      </c>
      <c r="G369">
        <v>0</v>
      </c>
      <c r="H369">
        <v>0</v>
      </c>
      <c r="I369" t="s">
        <v>84</v>
      </c>
    </row>
    <row r="370" spans="1:9" hidden="1" x14ac:dyDescent="0.35">
      <c r="A370" t="s">
        <v>5</v>
      </c>
      <c r="B370">
        <v>2025</v>
      </c>
      <c r="C370" t="s">
        <v>83</v>
      </c>
      <c r="D370" t="s">
        <v>47</v>
      </c>
      <c r="E370">
        <v>3.8010700639657102E-4</v>
      </c>
      <c r="F370">
        <v>3.8010700639657102E-4</v>
      </c>
      <c r="G370">
        <v>0</v>
      </c>
      <c r="H370">
        <v>0</v>
      </c>
      <c r="I370" t="s">
        <v>84</v>
      </c>
    </row>
    <row r="371" spans="1:9" hidden="1" x14ac:dyDescent="0.35">
      <c r="A371" t="s">
        <v>5</v>
      </c>
      <c r="B371">
        <v>2025</v>
      </c>
      <c r="C371" t="s">
        <v>83</v>
      </c>
      <c r="D371" t="s">
        <v>48</v>
      </c>
      <c r="E371">
        <v>36.276925818291197</v>
      </c>
      <c r="F371">
        <v>36.276925818291197</v>
      </c>
      <c r="G371">
        <v>0</v>
      </c>
      <c r="H371">
        <v>0</v>
      </c>
      <c r="I371" t="s">
        <v>84</v>
      </c>
    </row>
    <row r="372" spans="1:9" hidden="1" x14ac:dyDescent="0.35">
      <c r="A372" t="s">
        <v>5</v>
      </c>
      <c r="B372">
        <v>2025</v>
      </c>
      <c r="C372" t="s">
        <v>83</v>
      </c>
      <c r="D372" t="s">
        <v>49</v>
      </c>
      <c r="E372">
        <v>4.6957308730122297E-3</v>
      </c>
      <c r="F372">
        <v>4.6957308730122297E-3</v>
      </c>
      <c r="G372">
        <v>0</v>
      </c>
      <c r="H372">
        <v>0</v>
      </c>
      <c r="I372" t="s">
        <v>84</v>
      </c>
    </row>
    <row r="373" spans="1:9" hidden="1" x14ac:dyDescent="0.35">
      <c r="A373" t="s">
        <v>5</v>
      </c>
      <c r="B373">
        <v>2025</v>
      </c>
      <c r="C373" t="s">
        <v>83</v>
      </c>
      <c r="D373" t="s">
        <v>50</v>
      </c>
      <c r="E373">
        <v>7.5354435967179504E-3</v>
      </c>
      <c r="F373">
        <v>7.5354435967179504E-3</v>
      </c>
      <c r="G373">
        <v>0</v>
      </c>
      <c r="H373">
        <v>0</v>
      </c>
      <c r="I373" t="s">
        <v>84</v>
      </c>
    </row>
    <row r="374" spans="1:9" hidden="1" x14ac:dyDescent="0.35">
      <c r="A374" t="s">
        <v>5</v>
      </c>
      <c r="B374">
        <v>2025</v>
      </c>
      <c r="C374" t="s">
        <v>83</v>
      </c>
      <c r="D374" t="s">
        <v>51</v>
      </c>
      <c r="E374">
        <v>3.3660394226731699E-2</v>
      </c>
      <c r="F374">
        <v>3.3660394226731699E-2</v>
      </c>
      <c r="G374">
        <v>0</v>
      </c>
      <c r="H374">
        <v>0</v>
      </c>
      <c r="I374" t="s">
        <v>84</v>
      </c>
    </row>
    <row r="375" spans="1:9" hidden="1" x14ac:dyDescent="0.35">
      <c r="A375" t="s">
        <v>5</v>
      </c>
      <c r="B375">
        <v>2025</v>
      </c>
      <c r="C375" t="s">
        <v>83</v>
      </c>
      <c r="D375" t="s">
        <v>52</v>
      </c>
      <c r="E375">
        <v>0.227386287866818</v>
      </c>
      <c r="F375">
        <v>0.227386287866818</v>
      </c>
      <c r="G375">
        <v>0</v>
      </c>
      <c r="H375">
        <v>0</v>
      </c>
      <c r="I375" t="s">
        <v>84</v>
      </c>
    </row>
    <row r="376" spans="1:9" hidden="1" x14ac:dyDescent="0.35">
      <c r="A376" t="s">
        <v>5</v>
      </c>
      <c r="B376">
        <v>2025</v>
      </c>
      <c r="C376" t="s">
        <v>83</v>
      </c>
      <c r="D376" t="s">
        <v>53</v>
      </c>
      <c r="E376">
        <v>0.247066859889816</v>
      </c>
      <c r="F376">
        <v>0.247066859889816</v>
      </c>
      <c r="G376">
        <v>0</v>
      </c>
      <c r="H376">
        <v>0</v>
      </c>
      <c r="I376" t="s">
        <v>84</v>
      </c>
    </row>
    <row r="377" spans="1:9" hidden="1" x14ac:dyDescent="0.35">
      <c r="A377" t="s">
        <v>5</v>
      </c>
      <c r="B377">
        <v>2025</v>
      </c>
      <c r="C377" t="s">
        <v>83</v>
      </c>
      <c r="D377" t="s">
        <v>54</v>
      </c>
      <c r="E377">
        <v>6.4623820342781205E-2</v>
      </c>
      <c r="F377">
        <v>6.4623820342781205E-2</v>
      </c>
      <c r="G377">
        <v>0</v>
      </c>
      <c r="H377">
        <v>0</v>
      </c>
      <c r="I377" t="s">
        <v>84</v>
      </c>
    </row>
    <row r="378" spans="1:9" hidden="1" x14ac:dyDescent="0.35">
      <c r="A378" t="s">
        <v>5</v>
      </c>
      <c r="B378">
        <v>2025</v>
      </c>
      <c r="C378" t="s">
        <v>83</v>
      </c>
      <c r="D378" t="s">
        <v>55</v>
      </c>
      <c r="E378">
        <v>6.1419892071389398E-2</v>
      </c>
      <c r="F378">
        <v>6.1419892071389398E-2</v>
      </c>
      <c r="G378">
        <v>0</v>
      </c>
      <c r="H378">
        <v>0</v>
      </c>
      <c r="I378" t="s">
        <v>84</v>
      </c>
    </row>
    <row r="379" spans="1:9" hidden="1" x14ac:dyDescent="0.35">
      <c r="A379" t="s">
        <v>5</v>
      </c>
      <c r="B379">
        <v>2025</v>
      </c>
      <c r="C379" t="s">
        <v>83</v>
      </c>
      <c r="D379" t="s">
        <v>56</v>
      </c>
      <c r="E379" s="1">
        <v>6.7364648129715104E-8</v>
      </c>
      <c r="F379" s="1">
        <v>6.7364648129715104E-8</v>
      </c>
      <c r="G379">
        <v>0</v>
      </c>
      <c r="H379">
        <v>0</v>
      </c>
      <c r="I379" t="s">
        <v>84</v>
      </c>
    </row>
    <row r="380" spans="1:9" hidden="1" x14ac:dyDescent="0.35">
      <c r="A380" t="s">
        <v>7</v>
      </c>
      <c r="B380">
        <v>2030</v>
      </c>
      <c r="C380" t="s">
        <v>83</v>
      </c>
      <c r="D380" t="s">
        <v>38</v>
      </c>
      <c r="E380">
        <v>9.9013445277108705E-4</v>
      </c>
      <c r="F380">
        <v>9.9012575526873591E-4</v>
      </c>
      <c r="G380" s="1">
        <v>-8.6975023511417993E-9</v>
      </c>
      <c r="H380">
        <v>-8.7841629253482896E-4</v>
      </c>
      <c r="I380" t="s">
        <v>84</v>
      </c>
    </row>
    <row r="381" spans="1:9" hidden="1" x14ac:dyDescent="0.35">
      <c r="A381" t="s">
        <v>7</v>
      </c>
      <c r="B381">
        <v>2030</v>
      </c>
      <c r="C381" t="s">
        <v>83</v>
      </c>
      <c r="D381" t="s">
        <v>40</v>
      </c>
      <c r="E381">
        <v>2.3462765685974401E-4</v>
      </c>
      <c r="F381">
        <v>2.3462765685974401E-4</v>
      </c>
      <c r="G381">
        <v>0</v>
      </c>
      <c r="H381">
        <v>0</v>
      </c>
      <c r="I381" t="s">
        <v>84</v>
      </c>
    </row>
    <row r="382" spans="1:9" hidden="1" x14ac:dyDescent="0.35">
      <c r="A382" t="s">
        <v>7</v>
      </c>
      <c r="B382">
        <v>2030</v>
      </c>
      <c r="C382" t="s">
        <v>83</v>
      </c>
      <c r="D382" t="s">
        <v>41</v>
      </c>
      <c r="E382">
        <v>2.4559748446842302E-3</v>
      </c>
      <c r="F382">
        <v>2.4559748446842302E-3</v>
      </c>
      <c r="G382">
        <v>0</v>
      </c>
      <c r="H382">
        <v>0</v>
      </c>
      <c r="I382" t="s">
        <v>84</v>
      </c>
    </row>
    <row r="383" spans="1:9" hidden="1" x14ac:dyDescent="0.35">
      <c r="A383" t="s">
        <v>7</v>
      </c>
      <c r="B383">
        <v>2030</v>
      </c>
      <c r="C383" t="s">
        <v>83</v>
      </c>
      <c r="D383" t="s">
        <v>42</v>
      </c>
      <c r="E383">
        <v>2.1519136643419898</v>
      </c>
      <c r="F383">
        <v>0.98229077872427295</v>
      </c>
      <c r="G383">
        <v>-1.16962288561772</v>
      </c>
      <c r="H383">
        <v>-54.352686401820201</v>
      </c>
      <c r="I383" t="s">
        <v>84</v>
      </c>
    </row>
    <row r="384" spans="1:9" hidden="1" x14ac:dyDescent="0.35">
      <c r="A384" t="s">
        <v>7</v>
      </c>
      <c r="B384">
        <v>2030</v>
      </c>
      <c r="C384" t="s">
        <v>83</v>
      </c>
      <c r="D384" t="s">
        <v>43</v>
      </c>
      <c r="E384">
        <v>8.7990687340684204E-4</v>
      </c>
      <c r="F384">
        <v>8.7990687340684204E-4</v>
      </c>
      <c r="G384">
        <v>0</v>
      </c>
      <c r="H384">
        <v>0</v>
      </c>
      <c r="I384" t="s">
        <v>84</v>
      </c>
    </row>
    <row r="385" spans="1:9" hidden="1" x14ac:dyDescent="0.35">
      <c r="A385" t="s">
        <v>7</v>
      </c>
      <c r="B385">
        <v>2030</v>
      </c>
      <c r="C385" t="s">
        <v>83</v>
      </c>
      <c r="D385" t="s">
        <v>136</v>
      </c>
      <c r="E385">
        <v>0.80477149679818905</v>
      </c>
      <c r="F385">
        <v>0.80477149679818905</v>
      </c>
      <c r="G385">
        <v>0</v>
      </c>
      <c r="H385">
        <v>0</v>
      </c>
      <c r="I385" t="s">
        <v>84</v>
      </c>
    </row>
    <row r="386" spans="1:9" hidden="1" x14ac:dyDescent="0.35">
      <c r="A386" t="s">
        <v>7</v>
      </c>
      <c r="B386">
        <v>2030</v>
      </c>
      <c r="C386" t="s">
        <v>83</v>
      </c>
      <c r="D386" t="s">
        <v>45</v>
      </c>
      <c r="E386">
        <v>1.5229503710931401E-3</v>
      </c>
      <c r="F386">
        <v>1.5229503710931401E-3</v>
      </c>
      <c r="G386">
        <v>0</v>
      </c>
      <c r="H386">
        <v>0</v>
      </c>
      <c r="I386" t="s">
        <v>84</v>
      </c>
    </row>
    <row r="387" spans="1:9" hidden="1" x14ac:dyDescent="0.35">
      <c r="A387" t="s">
        <v>7</v>
      </c>
      <c r="B387">
        <v>2030</v>
      </c>
      <c r="C387" t="s">
        <v>83</v>
      </c>
      <c r="D387" t="s">
        <v>46</v>
      </c>
      <c r="E387">
        <v>5.6917201691854498E-2</v>
      </c>
      <c r="F387">
        <v>5.6917201691854498E-2</v>
      </c>
      <c r="G387">
        <v>0</v>
      </c>
      <c r="H387">
        <v>0</v>
      </c>
      <c r="I387" t="s">
        <v>84</v>
      </c>
    </row>
    <row r="388" spans="1:9" hidden="1" x14ac:dyDescent="0.35">
      <c r="A388" t="s">
        <v>7</v>
      </c>
      <c r="B388">
        <v>2030</v>
      </c>
      <c r="C388" t="s">
        <v>83</v>
      </c>
      <c r="D388" t="s">
        <v>47</v>
      </c>
      <c r="E388">
        <v>3.1915410830325898E-4</v>
      </c>
      <c r="F388">
        <v>3.1915410830325898E-4</v>
      </c>
      <c r="G388">
        <v>0</v>
      </c>
      <c r="H388">
        <v>0</v>
      </c>
      <c r="I388" t="s">
        <v>84</v>
      </c>
    </row>
    <row r="389" spans="1:9" hidden="1" x14ac:dyDescent="0.35">
      <c r="A389" t="s">
        <v>7</v>
      </c>
      <c r="B389">
        <v>2030</v>
      </c>
      <c r="C389" t="s">
        <v>83</v>
      </c>
      <c r="D389" t="s">
        <v>48</v>
      </c>
      <c r="E389">
        <v>36.277374014931397</v>
      </c>
      <c r="F389">
        <v>36.277374014931397</v>
      </c>
      <c r="G389">
        <v>0</v>
      </c>
      <c r="H389">
        <v>0</v>
      </c>
      <c r="I389" t="s">
        <v>84</v>
      </c>
    </row>
    <row r="390" spans="1:9" hidden="1" x14ac:dyDescent="0.35">
      <c r="A390" t="s">
        <v>7</v>
      </c>
      <c r="B390">
        <v>2030</v>
      </c>
      <c r="C390" t="s">
        <v>83</v>
      </c>
      <c r="D390" t="s">
        <v>49</v>
      </c>
      <c r="E390">
        <v>4.3642027087274198E-3</v>
      </c>
      <c r="F390">
        <v>4.3642027087274198E-3</v>
      </c>
      <c r="G390">
        <v>0</v>
      </c>
      <c r="H390">
        <v>0</v>
      </c>
      <c r="I390" t="s">
        <v>84</v>
      </c>
    </row>
    <row r="391" spans="1:9" hidden="1" x14ac:dyDescent="0.35">
      <c r="A391" t="s">
        <v>7</v>
      </c>
      <c r="B391">
        <v>2030</v>
      </c>
      <c r="C391" t="s">
        <v>83</v>
      </c>
      <c r="D391" t="s">
        <v>50</v>
      </c>
      <c r="E391">
        <v>7.07988573347728E-3</v>
      </c>
      <c r="F391">
        <v>7.07988573347728E-3</v>
      </c>
      <c r="G391">
        <v>0</v>
      </c>
      <c r="H391">
        <v>0</v>
      </c>
      <c r="I391" t="s">
        <v>84</v>
      </c>
    </row>
    <row r="392" spans="1:9" hidden="1" x14ac:dyDescent="0.35">
      <c r="A392" t="s">
        <v>7</v>
      </c>
      <c r="B392">
        <v>2030</v>
      </c>
      <c r="C392" t="s">
        <v>83</v>
      </c>
      <c r="D392" t="s">
        <v>51</v>
      </c>
      <c r="E392">
        <v>3.4205507578541697E-2</v>
      </c>
      <c r="F392">
        <v>3.4205507578541697E-2</v>
      </c>
      <c r="G392">
        <v>0</v>
      </c>
      <c r="H392">
        <v>0</v>
      </c>
      <c r="I392" t="s">
        <v>84</v>
      </c>
    </row>
    <row r="393" spans="1:9" hidden="1" x14ac:dyDescent="0.35">
      <c r="A393" t="s">
        <v>7</v>
      </c>
      <c r="B393">
        <v>2030</v>
      </c>
      <c r="C393" t="s">
        <v>83</v>
      </c>
      <c r="D393" t="s">
        <v>52</v>
      </c>
      <c r="E393">
        <v>0.185191541989812</v>
      </c>
      <c r="F393">
        <v>0.185191541989812</v>
      </c>
      <c r="G393">
        <v>0</v>
      </c>
      <c r="H393">
        <v>0</v>
      </c>
      <c r="I393" t="s">
        <v>84</v>
      </c>
    </row>
    <row r="394" spans="1:9" hidden="1" x14ac:dyDescent="0.35">
      <c r="A394" t="s">
        <v>7</v>
      </c>
      <c r="B394">
        <v>2030</v>
      </c>
      <c r="C394" t="s">
        <v>83</v>
      </c>
      <c r="D394" t="s">
        <v>53</v>
      </c>
      <c r="E394">
        <v>0.22126304704805799</v>
      </c>
      <c r="F394">
        <v>0.22126304704805799</v>
      </c>
      <c r="G394">
        <v>0</v>
      </c>
      <c r="H394">
        <v>0</v>
      </c>
      <c r="I394" t="s">
        <v>84</v>
      </c>
    </row>
    <row r="395" spans="1:9" hidden="1" x14ac:dyDescent="0.35">
      <c r="A395" t="s">
        <v>7</v>
      </c>
      <c r="B395">
        <v>2030</v>
      </c>
      <c r="C395" t="s">
        <v>83</v>
      </c>
      <c r="D395" t="s">
        <v>54</v>
      </c>
      <c r="E395">
        <v>6.44969208113782E-2</v>
      </c>
      <c r="F395">
        <v>6.1872390088307298E-2</v>
      </c>
      <c r="G395">
        <v>-2.62453072307086E-3</v>
      </c>
      <c r="H395">
        <v>-4.0692341433575097</v>
      </c>
      <c r="I395" t="s">
        <v>84</v>
      </c>
    </row>
    <row r="396" spans="1:9" hidden="1" x14ac:dyDescent="0.35">
      <c r="A396" t="s">
        <v>7</v>
      </c>
      <c r="B396">
        <v>2030</v>
      </c>
      <c r="C396" t="s">
        <v>83</v>
      </c>
      <c r="D396" t="s">
        <v>55</v>
      </c>
      <c r="E396">
        <v>6.1180971437146799E-2</v>
      </c>
      <c r="F396">
        <v>5.7440754261388699E-2</v>
      </c>
      <c r="G396">
        <v>-3.7402171757580302E-3</v>
      </c>
      <c r="H396">
        <v>-6.11336676731338</v>
      </c>
      <c r="I396" t="s">
        <v>84</v>
      </c>
    </row>
    <row r="397" spans="1:9" hidden="1" x14ac:dyDescent="0.35">
      <c r="A397" t="s">
        <v>7</v>
      </c>
      <c r="B397">
        <v>2030</v>
      </c>
      <c r="C397" t="s">
        <v>83</v>
      </c>
      <c r="D397" t="s">
        <v>56</v>
      </c>
      <c r="E397" s="1">
        <v>6.0179293515160995E-8</v>
      </c>
      <c r="F397" s="1">
        <v>6.0179293515160995E-8</v>
      </c>
      <c r="G397">
        <v>0</v>
      </c>
      <c r="H397">
        <v>0</v>
      </c>
      <c r="I397" t="s">
        <v>84</v>
      </c>
    </row>
    <row r="398" spans="1:9" hidden="1" x14ac:dyDescent="0.35">
      <c r="A398" t="s">
        <v>9</v>
      </c>
      <c r="B398">
        <v>2035</v>
      </c>
      <c r="C398" t="s">
        <v>83</v>
      </c>
      <c r="D398" t="s">
        <v>38</v>
      </c>
      <c r="E398">
        <v>9.5253168312285695E-4</v>
      </c>
      <c r="F398">
        <v>9.5252934222162997E-4</v>
      </c>
      <c r="G398" s="1">
        <v>-2.3409012273089002E-9</v>
      </c>
      <c r="H398">
        <v>-2.4575573377615101E-4</v>
      </c>
      <c r="I398" t="s">
        <v>84</v>
      </c>
    </row>
    <row r="399" spans="1:9" hidden="1" x14ac:dyDescent="0.35">
      <c r="A399" t="s">
        <v>9</v>
      </c>
      <c r="B399">
        <v>2035</v>
      </c>
      <c r="C399" t="s">
        <v>83</v>
      </c>
      <c r="D399" t="s">
        <v>40</v>
      </c>
      <c r="E399">
        <v>2.1897785113319599E-4</v>
      </c>
      <c r="F399">
        <v>2.1897785113319599E-4</v>
      </c>
      <c r="G399">
        <v>0</v>
      </c>
      <c r="H399">
        <v>0</v>
      </c>
      <c r="I399" t="s">
        <v>84</v>
      </c>
    </row>
    <row r="400" spans="1:9" hidden="1" x14ac:dyDescent="0.35">
      <c r="A400" t="s">
        <v>9</v>
      </c>
      <c r="B400">
        <v>2035</v>
      </c>
      <c r="C400" t="s">
        <v>83</v>
      </c>
      <c r="D400" t="s">
        <v>41</v>
      </c>
      <c r="E400">
        <v>2.2811480897988999E-3</v>
      </c>
      <c r="F400">
        <v>2.2811480897988999E-3</v>
      </c>
      <c r="G400">
        <v>0</v>
      </c>
      <c r="H400">
        <v>0</v>
      </c>
      <c r="I400" t="s">
        <v>84</v>
      </c>
    </row>
    <row r="401" spans="1:9" hidden="1" x14ac:dyDescent="0.35">
      <c r="A401" t="s">
        <v>9</v>
      </c>
      <c r="B401">
        <v>2035</v>
      </c>
      <c r="C401" t="s">
        <v>83</v>
      </c>
      <c r="D401" t="s">
        <v>42</v>
      </c>
      <c r="E401">
        <v>2.12097949522675</v>
      </c>
      <c r="F401">
        <v>1.8061797097778101</v>
      </c>
      <c r="G401">
        <v>-0.314799785448934</v>
      </c>
      <c r="H401">
        <v>-14.842189005475401</v>
      </c>
      <c r="I401" t="s">
        <v>84</v>
      </c>
    </row>
    <row r="402" spans="1:9" hidden="1" x14ac:dyDescent="0.35">
      <c r="A402" t="s">
        <v>9</v>
      </c>
      <c r="B402">
        <v>2035</v>
      </c>
      <c r="C402" t="s">
        <v>83</v>
      </c>
      <c r="D402" t="s">
        <v>43</v>
      </c>
      <c r="E402">
        <v>8.1090755741429195E-4</v>
      </c>
      <c r="F402">
        <v>8.1090755741429195E-4</v>
      </c>
      <c r="G402">
        <v>0</v>
      </c>
      <c r="H402">
        <v>0</v>
      </c>
      <c r="I402" t="s">
        <v>84</v>
      </c>
    </row>
    <row r="403" spans="1:9" hidden="1" x14ac:dyDescent="0.35">
      <c r="A403" t="s">
        <v>9</v>
      </c>
      <c r="B403">
        <v>2035</v>
      </c>
      <c r="C403" t="s">
        <v>83</v>
      </c>
      <c r="D403" t="s">
        <v>136</v>
      </c>
      <c r="E403">
        <v>0.73436804459429394</v>
      </c>
      <c r="F403">
        <v>0.73436804459429394</v>
      </c>
      <c r="G403">
        <v>0</v>
      </c>
      <c r="H403">
        <v>0</v>
      </c>
      <c r="I403" t="s">
        <v>84</v>
      </c>
    </row>
    <row r="404" spans="1:9" hidden="1" x14ac:dyDescent="0.35">
      <c r="A404" t="s">
        <v>9</v>
      </c>
      <c r="B404">
        <v>2035</v>
      </c>
      <c r="C404" t="s">
        <v>83</v>
      </c>
      <c r="D404" t="s">
        <v>45</v>
      </c>
      <c r="E404">
        <v>1.4170478734165401E-3</v>
      </c>
      <c r="F404">
        <v>1.4170478734165401E-3</v>
      </c>
      <c r="G404">
        <v>0</v>
      </c>
      <c r="H404">
        <v>0</v>
      </c>
      <c r="I404" t="s">
        <v>84</v>
      </c>
    </row>
    <row r="405" spans="1:9" hidden="1" x14ac:dyDescent="0.35">
      <c r="A405" t="s">
        <v>9</v>
      </c>
      <c r="B405">
        <v>2035</v>
      </c>
      <c r="C405" t="s">
        <v>83</v>
      </c>
      <c r="D405" t="s">
        <v>46</v>
      </c>
      <c r="E405">
        <v>6.4655340191698801E-2</v>
      </c>
      <c r="F405">
        <v>6.4655340191698801E-2</v>
      </c>
      <c r="G405">
        <v>0</v>
      </c>
      <c r="H405">
        <v>0</v>
      </c>
      <c r="I405" t="s">
        <v>84</v>
      </c>
    </row>
    <row r="406" spans="1:9" hidden="1" x14ac:dyDescent="0.35">
      <c r="A406" t="s">
        <v>9</v>
      </c>
      <c r="B406">
        <v>2035</v>
      </c>
      <c r="C406" t="s">
        <v>83</v>
      </c>
      <c r="D406" t="s">
        <v>47</v>
      </c>
      <c r="E406">
        <v>2.73050428368852E-4</v>
      </c>
      <c r="F406">
        <v>2.73050428368852E-4</v>
      </c>
      <c r="G406">
        <v>0</v>
      </c>
      <c r="H406">
        <v>0</v>
      </c>
      <c r="I406" t="s">
        <v>84</v>
      </c>
    </row>
    <row r="407" spans="1:9" hidden="1" x14ac:dyDescent="0.35">
      <c r="A407" t="s">
        <v>9</v>
      </c>
      <c r="B407">
        <v>2035</v>
      </c>
      <c r="C407" t="s">
        <v>83</v>
      </c>
      <c r="D407" t="s">
        <v>48</v>
      </c>
      <c r="E407">
        <v>36.278315292828303</v>
      </c>
      <c r="F407">
        <v>36.278315292828303</v>
      </c>
      <c r="G407">
        <v>0</v>
      </c>
      <c r="H407">
        <v>0</v>
      </c>
      <c r="I407" t="s">
        <v>84</v>
      </c>
    </row>
    <row r="408" spans="1:9" hidden="1" x14ac:dyDescent="0.35">
      <c r="A408" t="s">
        <v>9</v>
      </c>
      <c r="B408">
        <v>2035</v>
      </c>
      <c r="C408" t="s">
        <v>83</v>
      </c>
      <c r="D408" t="s">
        <v>49</v>
      </c>
      <c r="E408">
        <v>4.12813910925495E-3</v>
      </c>
      <c r="F408">
        <v>4.12813910925495E-3</v>
      </c>
      <c r="G408">
        <v>0</v>
      </c>
      <c r="H408">
        <v>0</v>
      </c>
      <c r="I408" t="s">
        <v>84</v>
      </c>
    </row>
    <row r="409" spans="1:9" hidden="1" x14ac:dyDescent="0.35">
      <c r="A409" t="s">
        <v>9</v>
      </c>
      <c r="B409">
        <v>2035</v>
      </c>
      <c r="C409" t="s">
        <v>83</v>
      </c>
      <c r="D409" t="s">
        <v>50</v>
      </c>
      <c r="E409">
        <v>6.5177327651282698E-3</v>
      </c>
      <c r="F409">
        <v>6.5177327651282698E-3</v>
      </c>
      <c r="G409">
        <v>0</v>
      </c>
      <c r="H409">
        <v>0</v>
      </c>
      <c r="I409" t="s">
        <v>84</v>
      </c>
    </row>
    <row r="410" spans="1:9" hidden="1" x14ac:dyDescent="0.35">
      <c r="A410" t="s">
        <v>9</v>
      </c>
      <c r="B410">
        <v>2035</v>
      </c>
      <c r="C410" t="s">
        <v>83</v>
      </c>
      <c r="D410" t="s">
        <v>51</v>
      </c>
      <c r="E410">
        <v>3.5041198843894603E-2</v>
      </c>
      <c r="F410">
        <v>3.5041198843894603E-2</v>
      </c>
      <c r="G410">
        <v>0</v>
      </c>
      <c r="H410">
        <v>0</v>
      </c>
      <c r="I410" t="s">
        <v>84</v>
      </c>
    </row>
    <row r="411" spans="1:9" hidden="1" x14ac:dyDescent="0.35">
      <c r="A411" t="s">
        <v>9</v>
      </c>
      <c r="B411">
        <v>2035</v>
      </c>
      <c r="C411" t="s">
        <v>83</v>
      </c>
      <c r="D411" t="s">
        <v>52</v>
      </c>
      <c r="E411">
        <v>0.14322106849232399</v>
      </c>
      <c r="F411">
        <v>0.14322106849232399</v>
      </c>
      <c r="G411">
        <v>0</v>
      </c>
      <c r="H411">
        <v>0</v>
      </c>
      <c r="I411" t="s">
        <v>84</v>
      </c>
    </row>
    <row r="412" spans="1:9" hidden="1" x14ac:dyDescent="0.35">
      <c r="A412" t="s">
        <v>9</v>
      </c>
      <c r="B412">
        <v>2035</v>
      </c>
      <c r="C412" t="s">
        <v>83</v>
      </c>
      <c r="D412" t="s">
        <v>53</v>
      </c>
      <c r="E412">
        <v>0.19642574852509501</v>
      </c>
      <c r="F412">
        <v>0.19642574852509501</v>
      </c>
      <c r="G412">
        <v>0</v>
      </c>
      <c r="H412">
        <v>0</v>
      </c>
      <c r="I412" t="s">
        <v>84</v>
      </c>
    </row>
    <row r="413" spans="1:9" hidden="1" x14ac:dyDescent="0.35">
      <c r="A413" t="s">
        <v>9</v>
      </c>
      <c r="B413">
        <v>2035</v>
      </c>
      <c r="C413" t="s">
        <v>83</v>
      </c>
      <c r="D413" t="s">
        <v>54</v>
      </c>
      <c r="E413">
        <v>6.4612995936191103E-2</v>
      </c>
      <c r="F413">
        <v>6.3906612843185398E-2</v>
      </c>
      <c r="G413">
        <v>-7.06383093005746E-4</v>
      </c>
      <c r="H413">
        <v>-1.09325234462636</v>
      </c>
      <c r="I413" t="s">
        <v>84</v>
      </c>
    </row>
    <row r="414" spans="1:9" hidden="1" x14ac:dyDescent="0.35">
      <c r="A414" t="s">
        <v>9</v>
      </c>
      <c r="B414">
        <v>2035</v>
      </c>
      <c r="C414" t="s">
        <v>83</v>
      </c>
      <c r="D414" t="s">
        <v>55</v>
      </c>
      <c r="E414">
        <v>6.1233749651614003E-2</v>
      </c>
      <c r="F414">
        <v>6.0227083604506203E-2</v>
      </c>
      <c r="G414">
        <v>-1.0066660471077899E-3</v>
      </c>
      <c r="H414">
        <v>-1.64397256877973</v>
      </c>
      <c r="I414" t="s">
        <v>84</v>
      </c>
    </row>
    <row r="415" spans="1:9" hidden="1" x14ac:dyDescent="0.35">
      <c r="A415" t="s">
        <v>9</v>
      </c>
      <c r="B415">
        <v>2035</v>
      </c>
      <c r="C415" t="s">
        <v>83</v>
      </c>
      <c r="D415" t="s">
        <v>56</v>
      </c>
      <c r="E415" s="1">
        <v>5.5142040903220101E-8</v>
      </c>
      <c r="F415" s="1">
        <v>5.5142040903220101E-8</v>
      </c>
      <c r="G415">
        <v>0</v>
      </c>
      <c r="H415">
        <v>0</v>
      </c>
      <c r="I415" t="s">
        <v>84</v>
      </c>
    </row>
    <row r="416" spans="1:9" hidden="1" x14ac:dyDescent="0.35">
      <c r="A416" t="s">
        <v>11</v>
      </c>
      <c r="B416">
        <v>2040</v>
      </c>
      <c r="C416" t="s">
        <v>83</v>
      </c>
      <c r="D416" t="s">
        <v>38</v>
      </c>
      <c r="E416">
        <v>8.2702135320946401E-4</v>
      </c>
      <c r="F416">
        <v>8.2701031480100404E-4</v>
      </c>
      <c r="G416" s="1">
        <v>-1.10384084601794E-8</v>
      </c>
      <c r="H416">
        <v>-1.3347186765301799E-3</v>
      </c>
      <c r="I416" t="s">
        <v>84</v>
      </c>
    </row>
    <row r="417" spans="1:9" hidden="1" x14ac:dyDescent="0.35">
      <c r="A417" t="s">
        <v>11</v>
      </c>
      <c r="B417">
        <v>2040</v>
      </c>
      <c r="C417" t="s">
        <v>83</v>
      </c>
      <c r="D417" t="s">
        <v>40</v>
      </c>
      <c r="E417">
        <v>2.0447780879860101E-4</v>
      </c>
      <c r="F417">
        <v>2.0447780879860101E-4</v>
      </c>
      <c r="G417">
        <v>0</v>
      </c>
      <c r="H417">
        <v>0</v>
      </c>
      <c r="I417" t="s">
        <v>84</v>
      </c>
    </row>
    <row r="418" spans="1:9" hidden="1" x14ac:dyDescent="0.35">
      <c r="A418" t="s">
        <v>11</v>
      </c>
      <c r="B418">
        <v>2040</v>
      </c>
      <c r="C418" t="s">
        <v>83</v>
      </c>
      <c r="D418" t="s">
        <v>41</v>
      </c>
      <c r="E418">
        <v>2.13952128888184E-3</v>
      </c>
      <c r="F418">
        <v>2.13952128888184E-3</v>
      </c>
      <c r="G418">
        <v>0</v>
      </c>
      <c r="H418">
        <v>0</v>
      </c>
      <c r="I418" t="s">
        <v>84</v>
      </c>
    </row>
    <row r="419" spans="1:9" hidden="1" x14ac:dyDescent="0.35">
      <c r="A419" t="s">
        <v>11</v>
      </c>
      <c r="B419">
        <v>2040</v>
      </c>
      <c r="C419" t="s">
        <v>83</v>
      </c>
      <c r="D419" t="s">
        <v>42</v>
      </c>
      <c r="E419">
        <v>2.0969708611901501</v>
      </c>
      <c r="F419">
        <v>0.61254757018115302</v>
      </c>
      <c r="G419">
        <v>-1.4844232910090001</v>
      </c>
      <c r="H419">
        <v>-70.788932668644804</v>
      </c>
      <c r="I419" t="s">
        <v>84</v>
      </c>
    </row>
    <row r="420" spans="1:9" hidden="1" x14ac:dyDescent="0.35">
      <c r="A420" t="s">
        <v>11</v>
      </c>
      <c r="B420">
        <v>2040</v>
      </c>
      <c r="C420" t="s">
        <v>83</v>
      </c>
      <c r="D420" t="s">
        <v>43</v>
      </c>
      <c r="E420">
        <v>7.3811263675099901E-4</v>
      </c>
      <c r="F420">
        <v>7.3811263675099901E-4</v>
      </c>
      <c r="G420">
        <v>0</v>
      </c>
      <c r="H420">
        <v>0</v>
      </c>
      <c r="I420" t="s">
        <v>84</v>
      </c>
    </row>
    <row r="421" spans="1:9" hidden="1" x14ac:dyDescent="0.35">
      <c r="A421" t="s">
        <v>11</v>
      </c>
      <c r="B421">
        <v>2040</v>
      </c>
      <c r="C421" t="s">
        <v>83</v>
      </c>
      <c r="D421" t="s">
        <v>136</v>
      </c>
      <c r="E421">
        <v>0.66524497197199195</v>
      </c>
      <c r="F421">
        <v>0.66524497197199195</v>
      </c>
      <c r="G421">
        <v>0</v>
      </c>
      <c r="H421">
        <v>0</v>
      </c>
      <c r="I421" t="s">
        <v>84</v>
      </c>
    </row>
    <row r="422" spans="1:9" hidden="1" x14ac:dyDescent="0.35">
      <c r="A422" t="s">
        <v>11</v>
      </c>
      <c r="B422">
        <v>2040</v>
      </c>
      <c r="C422" t="s">
        <v>83</v>
      </c>
      <c r="D422" t="s">
        <v>45</v>
      </c>
      <c r="E422">
        <v>1.3451468638885199E-3</v>
      </c>
      <c r="F422">
        <v>1.3451468638885199E-3</v>
      </c>
      <c r="G422">
        <v>0</v>
      </c>
      <c r="H422">
        <v>0</v>
      </c>
      <c r="I422" t="s">
        <v>84</v>
      </c>
    </row>
    <row r="423" spans="1:9" hidden="1" x14ac:dyDescent="0.35">
      <c r="A423" t="s">
        <v>11</v>
      </c>
      <c r="B423">
        <v>2040</v>
      </c>
      <c r="C423" t="s">
        <v>83</v>
      </c>
      <c r="D423" t="s">
        <v>46</v>
      </c>
      <c r="E423">
        <v>7.58737720522068E-2</v>
      </c>
      <c r="F423">
        <v>7.58737720522068E-2</v>
      </c>
      <c r="G423">
        <v>0</v>
      </c>
      <c r="H423">
        <v>0</v>
      </c>
      <c r="I423" t="s">
        <v>84</v>
      </c>
    </row>
    <row r="424" spans="1:9" hidden="1" x14ac:dyDescent="0.35">
      <c r="A424" t="s">
        <v>11</v>
      </c>
      <c r="B424">
        <v>2040</v>
      </c>
      <c r="C424" t="s">
        <v>83</v>
      </c>
      <c r="D424" t="s">
        <v>47</v>
      </c>
      <c r="E424">
        <v>2.36867595691337E-4</v>
      </c>
      <c r="F424">
        <v>2.36867595691337E-4</v>
      </c>
      <c r="G424">
        <v>0</v>
      </c>
      <c r="H424">
        <v>0</v>
      </c>
      <c r="I424" t="s">
        <v>84</v>
      </c>
    </row>
    <row r="425" spans="1:9" hidden="1" x14ac:dyDescent="0.35">
      <c r="A425" t="s">
        <v>11</v>
      </c>
      <c r="B425">
        <v>2040</v>
      </c>
      <c r="C425" t="s">
        <v>83</v>
      </c>
      <c r="D425" t="s">
        <v>48</v>
      </c>
      <c r="E425">
        <v>36.279750826476999</v>
      </c>
      <c r="F425">
        <v>36.279750826476999</v>
      </c>
      <c r="G425">
        <v>0</v>
      </c>
      <c r="H425">
        <v>0</v>
      </c>
      <c r="I425" t="s">
        <v>84</v>
      </c>
    </row>
    <row r="426" spans="1:9" hidden="1" x14ac:dyDescent="0.35">
      <c r="A426" t="s">
        <v>11</v>
      </c>
      <c r="B426">
        <v>2040</v>
      </c>
      <c r="C426" t="s">
        <v>83</v>
      </c>
      <c r="D426" t="s">
        <v>49</v>
      </c>
      <c r="E426">
        <v>3.9463326354697301E-3</v>
      </c>
      <c r="F426">
        <v>3.9463326354697301E-3</v>
      </c>
      <c r="G426">
        <v>0</v>
      </c>
      <c r="H426">
        <v>0</v>
      </c>
      <c r="I426" t="s">
        <v>84</v>
      </c>
    </row>
    <row r="427" spans="1:9" hidden="1" x14ac:dyDescent="0.35">
      <c r="A427" t="s">
        <v>11</v>
      </c>
      <c r="B427">
        <v>2040</v>
      </c>
      <c r="C427" t="s">
        <v>83</v>
      </c>
      <c r="D427" t="s">
        <v>50</v>
      </c>
      <c r="E427">
        <v>5.7182708386548098E-3</v>
      </c>
      <c r="F427">
        <v>5.7182708386548098E-3</v>
      </c>
      <c r="G427">
        <v>0</v>
      </c>
      <c r="H427">
        <v>0</v>
      </c>
      <c r="I427" t="s">
        <v>84</v>
      </c>
    </row>
    <row r="428" spans="1:9" hidden="1" x14ac:dyDescent="0.35">
      <c r="A428" t="s">
        <v>11</v>
      </c>
      <c r="B428">
        <v>2040</v>
      </c>
      <c r="C428" t="s">
        <v>83</v>
      </c>
      <c r="D428" t="s">
        <v>51</v>
      </c>
      <c r="E428">
        <v>3.59598556566278E-2</v>
      </c>
      <c r="F428">
        <v>3.59598556566278E-2</v>
      </c>
      <c r="G428">
        <v>0</v>
      </c>
      <c r="H428">
        <v>0</v>
      </c>
      <c r="I428" t="s">
        <v>84</v>
      </c>
    </row>
    <row r="429" spans="1:9" hidden="1" x14ac:dyDescent="0.35">
      <c r="A429" t="s">
        <v>11</v>
      </c>
      <c r="B429">
        <v>2040</v>
      </c>
      <c r="C429" t="s">
        <v>83</v>
      </c>
      <c r="D429" t="s">
        <v>52</v>
      </c>
      <c r="E429">
        <v>0.10582179335598101</v>
      </c>
      <c r="F429">
        <v>0.10582179335598101</v>
      </c>
      <c r="G429">
        <v>0</v>
      </c>
      <c r="H429">
        <v>0</v>
      </c>
      <c r="I429" t="s">
        <v>84</v>
      </c>
    </row>
    <row r="430" spans="1:9" hidden="1" x14ac:dyDescent="0.35">
      <c r="A430" t="s">
        <v>11</v>
      </c>
      <c r="B430">
        <v>2040</v>
      </c>
      <c r="C430" t="s">
        <v>83</v>
      </c>
      <c r="D430" t="s">
        <v>53</v>
      </c>
      <c r="E430">
        <v>0.173803402680132</v>
      </c>
      <c r="F430">
        <v>0.173803402680132</v>
      </c>
      <c r="G430">
        <v>0</v>
      </c>
      <c r="H430">
        <v>0</v>
      </c>
      <c r="I430" t="s">
        <v>84</v>
      </c>
    </row>
    <row r="431" spans="1:9" hidden="1" x14ac:dyDescent="0.35">
      <c r="A431" t="s">
        <v>11</v>
      </c>
      <c r="B431">
        <v>2040</v>
      </c>
      <c r="C431" t="s">
        <v>83</v>
      </c>
      <c r="D431" t="s">
        <v>54</v>
      </c>
      <c r="E431">
        <v>6.4810289474494104E-2</v>
      </c>
      <c r="F431">
        <v>6.1479374415361103E-2</v>
      </c>
      <c r="G431">
        <v>-3.33091505913299E-3</v>
      </c>
      <c r="H431">
        <v>-5.1394849276886196</v>
      </c>
      <c r="I431" t="s">
        <v>84</v>
      </c>
    </row>
    <row r="432" spans="1:9" hidden="1" x14ac:dyDescent="0.35">
      <c r="A432" t="s">
        <v>11</v>
      </c>
      <c r="B432">
        <v>2040</v>
      </c>
      <c r="C432" t="s">
        <v>83</v>
      </c>
      <c r="D432" t="s">
        <v>55</v>
      </c>
      <c r="E432">
        <v>6.1391092862162898E-2</v>
      </c>
      <c r="F432">
        <v>5.6644207755980898E-2</v>
      </c>
      <c r="G432">
        <v>-4.7468851061819696E-3</v>
      </c>
      <c r="H432">
        <v>-7.7322049256230301</v>
      </c>
      <c r="I432" t="s">
        <v>84</v>
      </c>
    </row>
    <row r="433" spans="1:9" hidden="1" x14ac:dyDescent="0.35">
      <c r="A433" t="s">
        <v>11</v>
      </c>
      <c r="B433">
        <v>2040</v>
      </c>
      <c r="C433" t="s">
        <v>83</v>
      </c>
      <c r="D433" t="s">
        <v>56</v>
      </c>
      <c r="E433" s="1">
        <v>5.17891401612391E-8</v>
      </c>
      <c r="F433" s="1">
        <v>5.17891401612391E-8</v>
      </c>
      <c r="G433">
        <v>0</v>
      </c>
      <c r="H433">
        <v>0</v>
      </c>
      <c r="I433" t="s">
        <v>84</v>
      </c>
    </row>
    <row r="434" spans="1:9" hidden="1" x14ac:dyDescent="0.35">
      <c r="A434" t="s">
        <v>5</v>
      </c>
      <c r="B434">
        <v>2025</v>
      </c>
      <c r="C434" t="s">
        <v>78</v>
      </c>
      <c r="D434" t="s">
        <v>38</v>
      </c>
      <c r="E434" s="1">
        <v>2.2969652143693702E-5</v>
      </c>
      <c r="F434" s="1">
        <v>2.2969652143693702E-5</v>
      </c>
      <c r="G434">
        <v>0</v>
      </c>
      <c r="H434">
        <v>0</v>
      </c>
      <c r="I434" t="s">
        <v>79</v>
      </c>
    </row>
    <row r="435" spans="1:9" hidden="1" x14ac:dyDescent="0.35">
      <c r="A435" t="s">
        <v>5</v>
      </c>
      <c r="B435">
        <v>2025</v>
      </c>
      <c r="C435" t="s">
        <v>78</v>
      </c>
      <c r="D435" t="s">
        <v>40</v>
      </c>
      <c r="E435" s="1">
        <v>7.7813618135632098E-5</v>
      </c>
      <c r="F435" s="1">
        <v>7.7813618135632098E-5</v>
      </c>
      <c r="G435">
        <v>0</v>
      </c>
      <c r="H435">
        <v>0</v>
      </c>
      <c r="I435" t="s">
        <v>79</v>
      </c>
    </row>
    <row r="436" spans="1:9" hidden="1" x14ac:dyDescent="0.35">
      <c r="A436" t="s">
        <v>5</v>
      </c>
      <c r="B436">
        <v>2025</v>
      </c>
      <c r="C436" t="s">
        <v>78</v>
      </c>
      <c r="D436" t="s">
        <v>41</v>
      </c>
      <c r="E436">
        <v>3.1261125835446301E-4</v>
      </c>
      <c r="F436">
        <v>3.1261125835446301E-4</v>
      </c>
      <c r="G436">
        <v>0</v>
      </c>
      <c r="H436">
        <v>0</v>
      </c>
      <c r="I436" t="s">
        <v>79</v>
      </c>
    </row>
    <row r="437" spans="1:9" hidden="1" x14ac:dyDescent="0.35">
      <c r="A437" t="s">
        <v>5</v>
      </c>
      <c r="B437">
        <v>2025</v>
      </c>
      <c r="C437" t="s">
        <v>78</v>
      </c>
      <c r="D437" t="s">
        <v>42</v>
      </c>
      <c r="E437">
        <v>1.38236401369303E-2</v>
      </c>
      <c r="F437">
        <v>1.38236401369303E-2</v>
      </c>
      <c r="G437">
        <v>0</v>
      </c>
      <c r="H437">
        <v>0</v>
      </c>
      <c r="I437" t="s">
        <v>79</v>
      </c>
    </row>
    <row r="438" spans="1:9" hidden="1" x14ac:dyDescent="0.35">
      <c r="A438" t="s">
        <v>5</v>
      </c>
      <c r="B438">
        <v>2025</v>
      </c>
      <c r="C438" t="s">
        <v>78</v>
      </c>
      <c r="D438" t="s">
        <v>43</v>
      </c>
      <c r="E438">
        <v>1.08619109688175E-4</v>
      </c>
      <c r="F438">
        <v>1.08619109688175E-4</v>
      </c>
      <c r="G438">
        <v>0</v>
      </c>
      <c r="H438">
        <v>0</v>
      </c>
      <c r="I438" t="s">
        <v>79</v>
      </c>
    </row>
    <row r="439" spans="1:9" hidden="1" x14ac:dyDescent="0.35">
      <c r="A439" t="s">
        <v>5</v>
      </c>
      <c r="B439">
        <v>2025</v>
      </c>
      <c r="C439" t="s">
        <v>78</v>
      </c>
      <c r="D439" t="s">
        <v>136</v>
      </c>
      <c r="E439">
        <v>1.6500410149392099E-2</v>
      </c>
      <c r="F439">
        <v>1.6500410149392099E-2</v>
      </c>
      <c r="G439">
        <v>0</v>
      </c>
      <c r="H439">
        <v>0</v>
      </c>
      <c r="I439" t="s">
        <v>79</v>
      </c>
    </row>
    <row r="440" spans="1:9" hidden="1" x14ac:dyDescent="0.35">
      <c r="A440" t="s">
        <v>5</v>
      </c>
      <c r="B440">
        <v>2025</v>
      </c>
      <c r="C440" t="s">
        <v>78</v>
      </c>
      <c r="D440" t="s">
        <v>45</v>
      </c>
      <c r="E440">
        <v>1.0946662553495399E-4</v>
      </c>
      <c r="F440">
        <v>1.0946662553495399E-4</v>
      </c>
      <c r="G440">
        <v>0</v>
      </c>
      <c r="H440">
        <v>0</v>
      </c>
      <c r="I440" t="s">
        <v>79</v>
      </c>
    </row>
    <row r="441" spans="1:9" hidden="1" x14ac:dyDescent="0.35">
      <c r="A441" t="s">
        <v>5</v>
      </c>
      <c r="B441">
        <v>2025</v>
      </c>
      <c r="C441" t="s">
        <v>78</v>
      </c>
      <c r="D441" t="s">
        <v>46</v>
      </c>
      <c r="E441">
        <v>2.7088796370846701E-3</v>
      </c>
      <c r="F441">
        <v>2.7088796370846701E-3</v>
      </c>
      <c r="G441">
        <v>0</v>
      </c>
      <c r="H441">
        <v>0</v>
      </c>
      <c r="I441" t="s">
        <v>79</v>
      </c>
    </row>
    <row r="442" spans="1:9" hidden="1" x14ac:dyDescent="0.35">
      <c r="A442" t="s">
        <v>5</v>
      </c>
      <c r="B442">
        <v>2025</v>
      </c>
      <c r="C442" t="s">
        <v>78</v>
      </c>
      <c r="D442" t="s">
        <v>47</v>
      </c>
      <c r="E442" s="1">
        <v>6.4907450048174297E-6</v>
      </c>
      <c r="F442" s="1">
        <v>6.4907450048174297E-6</v>
      </c>
      <c r="G442">
        <v>0</v>
      </c>
      <c r="H442">
        <v>0</v>
      </c>
      <c r="I442" t="s">
        <v>79</v>
      </c>
    </row>
    <row r="443" spans="1:9" hidden="1" x14ac:dyDescent="0.35">
      <c r="A443" t="s">
        <v>5</v>
      </c>
      <c r="B443">
        <v>2025</v>
      </c>
      <c r="C443" t="s">
        <v>78</v>
      </c>
      <c r="D443" t="s">
        <v>48</v>
      </c>
      <c r="E443">
        <v>46.972680827406897</v>
      </c>
      <c r="F443">
        <v>46.972680827406897</v>
      </c>
      <c r="G443">
        <v>0</v>
      </c>
      <c r="H443">
        <v>0</v>
      </c>
      <c r="I443" t="s">
        <v>79</v>
      </c>
    </row>
    <row r="444" spans="1:9" hidden="1" x14ac:dyDescent="0.35">
      <c r="A444" t="s">
        <v>5</v>
      </c>
      <c r="B444">
        <v>2025</v>
      </c>
      <c r="C444" t="s">
        <v>78</v>
      </c>
      <c r="D444" t="s">
        <v>49</v>
      </c>
      <c r="E444">
        <v>2.7337425524215299E-4</v>
      </c>
      <c r="F444">
        <v>2.7337425524215299E-4</v>
      </c>
      <c r="G444">
        <v>0</v>
      </c>
      <c r="H444">
        <v>0</v>
      </c>
      <c r="I444" t="s">
        <v>79</v>
      </c>
    </row>
    <row r="445" spans="1:9" hidden="1" x14ac:dyDescent="0.35">
      <c r="A445" t="s">
        <v>5</v>
      </c>
      <c r="B445">
        <v>2025</v>
      </c>
      <c r="C445" t="s">
        <v>78</v>
      </c>
      <c r="D445" t="s">
        <v>50</v>
      </c>
      <c r="E445">
        <v>1.51480010052919E-3</v>
      </c>
      <c r="F445">
        <v>1.51480010052919E-3</v>
      </c>
      <c r="G445">
        <v>0</v>
      </c>
      <c r="H445">
        <v>0</v>
      </c>
      <c r="I445" t="s">
        <v>79</v>
      </c>
    </row>
    <row r="446" spans="1:9" hidden="1" x14ac:dyDescent="0.35">
      <c r="A446" t="s">
        <v>5</v>
      </c>
      <c r="B446">
        <v>2025</v>
      </c>
      <c r="C446" t="s">
        <v>78</v>
      </c>
      <c r="D446" t="s">
        <v>51</v>
      </c>
      <c r="E446">
        <v>2.2958001143595998E-2</v>
      </c>
      <c r="F446">
        <v>2.2958001143595998E-2</v>
      </c>
      <c r="G446">
        <v>0</v>
      </c>
      <c r="H446">
        <v>0</v>
      </c>
      <c r="I446" t="s">
        <v>79</v>
      </c>
    </row>
    <row r="447" spans="1:9" hidden="1" x14ac:dyDescent="0.35">
      <c r="A447" t="s">
        <v>5</v>
      </c>
      <c r="B447">
        <v>2025</v>
      </c>
      <c r="C447" t="s">
        <v>78</v>
      </c>
      <c r="D447" t="s">
        <v>52</v>
      </c>
      <c r="E447">
        <v>1.2258534261302E-3</v>
      </c>
      <c r="F447">
        <v>1.2258534261302E-3</v>
      </c>
      <c r="G447">
        <v>0</v>
      </c>
      <c r="H447">
        <v>0</v>
      </c>
      <c r="I447" t="s">
        <v>79</v>
      </c>
    </row>
    <row r="448" spans="1:9" hidden="1" x14ac:dyDescent="0.35">
      <c r="A448" t="s">
        <v>5</v>
      </c>
      <c r="B448">
        <v>2025</v>
      </c>
      <c r="C448" t="s">
        <v>78</v>
      </c>
      <c r="D448" t="s">
        <v>53</v>
      </c>
      <c r="E448">
        <v>4.9051265206476596E-3</v>
      </c>
      <c r="F448">
        <v>4.9051265206476596E-3</v>
      </c>
      <c r="G448">
        <v>0</v>
      </c>
      <c r="H448">
        <v>0</v>
      </c>
      <c r="I448" t="s">
        <v>79</v>
      </c>
    </row>
    <row r="449" spans="1:9" hidden="1" x14ac:dyDescent="0.35">
      <c r="A449" t="s">
        <v>5</v>
      </c>
      <c r="B449">
        <v>2025</v>
      </c>
      <c r="C449" t="s">
        <v>78</v>
      </c>
      <c r="D449" t="s">
        <v>54</v>
      </c>
      <c r="E449">
        <v>1.9854703711014499E-3</v>
      </c>
      <c r="F449">
        <v>1.9854703711014499E-3</v>
      </c>
      <c r="G449">
        <v>0</v>
      </c>
      <c r="H449">
        <v>0</v>
      </c>
      <c r="I449" t="s">
        <v>79</v>
      </c>
    </row>
    <row r="450" spans="1:9" hidden="1" x14ac:dyDescent="0.35">
      <c r="A450" t="s">
        <v>5</v>
      </c>
      <c r="B450">
        <v>2025</v>
      </c>
      <c r="C450" t="s">
        <v>78</v>
      </c>
      <c r="D450" t="s">
        <v>55</v>
      </c>
      <c r="E450">
        <v>1.8171093826440401E-3</v>
      </c>
      <c r="F450">
        <v>1.8171093826440401E-3</v>
      </c>
      <c r="G450">
        <v>0</v>
      </c>
      <c r="H450">
        <v>0</v>
      </c>
      <c r="I450" t="s">
        <v>79</v>
      </c>
    </row>
    <row r="451" spans="1:9" hidden="1" x14ac:dyDescent="0.35">
      <c r="A451" t="s">
        <v>5</v>
      </c>
      <c r="B451">
        <v>2025</v>
      </c>
      <c r="C451" t="s">
        <v>78</v>
      </c>
      <c r="D451" t="s">
        <v>56</v>
      </c>
      <c r="E451" s="1">
        <v>1.68593883295721E-9</v>
      </c>
      <c r="F451" s="1">
        <v>1.68593883295721E-9</v>
      </c>
      <c r="G451">
        <v>0</v>
      </c>
      <c r="H451">
        <v>0</v>
      </c>
      <c r="I451" t="s">
        <v>79</v>
      </c>
    </row>
    <row r="452" spans="1:9" hidden="1" x14ac:dyDescent="0.35">
      <c r="A452" t="s">
        <v>7</v>
      </c>
      <c r="B452">
        <v>2030</v>
      </c>
      <c r="C452" t="s">
        <v>78</v>
      </c>
      <c r="D452" t="s">
        <v>38</v>
      </c>
      <c r="E452" s="1">
        <v>2.8038564552522002E-5</v>
      </c>
      <c r="F452" s="1">
        <v>2.80385569991617E-5</v>
      </c>
      <c r="G452" s="1">
        <v>-7.5533603724725103E-12</v>
      </c>
      <c r="H452" s="1">
        <v>-2.69391835602835E-5</v>
      </c>
      <c r="I452" t="s">
        <v>79</v>
      </c>
    </row>
    <row r="453" spans="1:9" hidden="1" x14ac:dyDescent="0.35">
      <c r="A453" t="s">
        <v>7</v>
      </c>
      <c r="B453">
        <v>2030</v>
      </c>
      <c r="C453" t="s">
        <v>78</v>
      </c>
      <c r="D453" t="s">
        <v>40</v>
      </c>
      <c r="E453" s="1">
        <v>7.7618491683219897E-5</v>
      </c>
      <c r="F453" s="1">
        <v>7.7618491683219897E-5</v>
      </c>
      <c r="G453">
        <v>0</v>
      </c>
      <c r="H453">
        <v>0</v>
      </c>
      <c r="I453" t="s">
        <v>79</v>
      </c>
    </row>
    <row r="454" spans="1:9" hidden="1" x14ac:dyDescent="0.35">
      <c r="A454" t="s">
        <v>7</v>
      </c>
      <c r="B454">
        <v>2030</v>
      </c>
      <c r="C454" t="s">
        <v>78</v>
      </c>
      <c r="D454" t="s">
        <v>41</v>
      </c>
      <c r="E454">
        <v>3.1110862291926602E-4</v>
      </c>
      <c r="F454">
        <v>3.1110862291926602E-4</v>
      </c>
      <c r="G454">
        <v>0</v>
      </c>
      <c r="H454">
        <v>0</v>
      </c>
      <c r="I454" t="s">
        <v>79</v>
      </c>
    </row>
    <row r="455" spans="1:9" hidden="1" x14ac:dyDescent="0.35">
      <c r="A455" t="s">
        <v>7</v>
      </c>
      <c r="B455">
        <v>2030</v>
      </c>
      <c r="C455" t="s">
        <v>78</v>
      </c>
      <c r="D455" t="s">
        <v>42</v>
      </c>
      <c r="E455">
        <v>1.3759593318835899E-2</v>
      </c>
      <c r="F455">
        <v>1.37595932915489E-2</v>
      </c>
      <c r="G455" s="1">
        <v>-2.7286908843571199E-11</v>
      </c>
      <c r="H455" s="1">
        <v>-1.9831188474311501E-7</v>
      </c>
      <c r="I455" t="s">
        <v>79</v>
      </c>
    </row>
    <row r="456" spans="1:9" hidden="1" x14ac:dyDescent="0.35">
      <c r="A456" t="s">
        <v>7</v>
      </c>
      <c r="B456">
        <v>2030</v>
      </c>
      <c r="C456" t="s">
        <v>78</v>
      </c>
      <c r="D456" t="s">
        <v>43</v>
      </c>
      <c r="E456">
        <v>1.08347739317519E-4</v>
      </c>
      <c r="F456">
        <v>1.08347739317519E-4</v>
      </c>
      <c r="G456">
        <v>0</v>
      </c>
      <c r="H456">
        <v>0</v>
      </c>
      <c r="I456" t="s">
        <v>79</v>
      </c>
    </row>
    <row r="457" spans="1:9" hidden="1" x14ac:dyDescent="0.35">
      <c r="A457" t="s">
        <v>7</v>
      </c>
      <c r="B457">
        <v>2030</v>
      </c>
      <c r="C457" t="s">
        <v>78</v>
      </c>
      <c r="D457" t="s">
        <v>136</v>
      </c>
      <c r="E457">
        <v>1.5979944376389499E-2</v>
      </c>
      <c r="F457">
        <v>1.5979944376389499E-2</v>
      </c>
      <c r="G457">
        <v>0</v>
      </c>
      <c r="H457">
        <v>0</v>
      </c>
      <c r="I457" t="s">
        <v>79</v>
      </c>
    </row>
    <row r="458" spans="1:9" hidden="1" x14ac:dyDescent="0.35">
      <c r="A458" t="s">
        <v>7</v>
      </c>
      <c r="B458">
        <v>2030</v>
      </c>
      <c r="C458" t="s">
        <v>78</v>
      </c>
      <c r="D458" t="s">
        <v>45</v>
      </c>
      <c r="E458">
        <v>1.07378100763663E-4</v>
      </c>
      <c r="F458">
        <v>1.07293475998837E-4</v>
      </c>
      <c r="G458" s="1">
        <v>-8.4624764825982097E-8</v>
      </c>
      <c r="H458">
        <v>-7.8810077868893505E-2</v>
      </c>
      <c r="I458" t="s">
        <v>79</v>
      </c>
    </row>
    <row r="459" spans="1:9" hidden="1" x14ac:dyDescent="0.35">
      <c r="A459" t="s">
        <v>7</v>
      </c>
      <c r="B459">
        <v>2030</v>
      </c>
      <c r="C459" t="s">
        <v>78</v>
      </c>
      <c r="D459" t="s">
        <v>46</v>
      </c>
      <c r="E459">
        <v>3.14985246551966E-3</v>
      </c>
      <c r="F459">
        <v>3.14985246551966E-3</v>
      </c>
      <c r="G459">
        <v>0</v>
      </c>
      <c r="H459">
        <v>0</v>
      </c>
      <c r="I459" t="s">
        <v>79</v>
      </c>
    </row>
    <row r="460" spans="1:9" hidden="1" x14ac:dyDescent="0.35">
      <c r="A460" t="s">
        <v>7</v>
      </c>
      <c r="B460">
        <v>2030</v>
      </c>
      <c r="C460" t="s">
        <v>78</v>
      </c>
      <c r="D460" t="s">
        <v>47</v>
      </c>
      <c r="E460" s="1">
        <v>6.4295101598081297E-6</v>
      </c>
      <c r="F460" s="1">
        <v>6.4295101598081297E-6</v>
      </c>
      <c r="G460">
        <v>0</v>
      </c>
      <c r="H460">
        <v>0</v>
      </c>
      <c r="I460" t="s">
        <v>79</v>
      </c>
    </row>
    <row r="461" spans="1:9" hidden="1" x14ac:dyDescent="0.35">
      <c r="A461" t="s">
        <v>7</v>
      </c>
      <c r="B461">
        <v>2030</v>
      </c>
      <c r="C461" t="s">
        <v>78</v>
      </c>
      <c r="D461" t="s">
        <v>48</v>
      </c>
      <c r="E461">
        <v>46.972686157364798</v>
      </c>
      <c r="F461">
        <v>46.972686157364798</v>
      </c>
      <c r="G461">
        <v>0</v>
      </c>
      <c r="H461">
        <v>0</v>
      </c>
      <c r="I461" t="s">
        <v>79</v>
      </c>
    </row>
    <row r="462" spans="1:9" hidden="1" x14ac:dyDescent="0.35">
      <c r="A462" t="s">
        <v>7</v>
      </c>
      <c r="B462">
        <v>2030</v>
      </c>
      <c r="C462" t="s">
        <v>78</v>
      </c>
      <c r="D462" t="s">
        <v>49</v>
      </c>
      <c r="E462">
        <v>2.7100567129594998E-4</v>
      </c>
      <c r="F462">
        <v>2.7100567129594998E-4</v>
      </c>
      <c r="G462">
        <v>0</v>
      </c>
      <c r="H462">
        <v>0</v>
      </c>
      <c r="I462" t="s">
        <v>79</v>
      </c>
    </row>
    <row r="463" spans="1:9" hidden="1" x14ac:dyDescent="0.35">
      <c r="A463" t="s">
        <v>7</v>
      </c>
      <c r="B463">
        <v>2030</v>
      </c>
      <c r="C463" t="s">
        <v>78</v>
      </c>
      <c r="D463" t="s">
        <v>50</v>
      </c>
      <c r="E463">
        <v>1.5130081548643301E-3</v>
      </c>
      <c r="F463">
        <v>1.5130081548643301E-3</v>
      </c>
      <c r="G463">
        <v>0</v>
      </c>
      <c r="H463">
        <v>0</v>
      </c>
      <c r="I463" t="s">
        <v>79</v>
      </c>
    </row>
    <row r="464" spans="1:9" hidden="1" x14ac:dyDescent="0.35">
      <c r="A464" t="s">
        <v>7</v>
      </c>
      <c r="B464">
        <v>2030</v>
      </c>
      <c r="C464" t="s">
        <v>78</v>
      </c>
      <c r="D464" t="s">
        <v>51</v>
      </c>
      <c r="E464">
        <v>2.29709804790168E-2</v>
      </c>
      <c r="F464">
        <v>2.29709804790168E-2</v>
      </c>
      <c r="G464">
        <v>0</v>
      </c>
      <c r="H464">
        <v>0</v>
      </c>
      <c r="I464" t="s">
        <v>79</v>
      </c>
    </row>
    <row r="465" spans="1:9" hidden="1" x14ac:dyDescent="0.35">
      <c r="A465" t="s">
        <v>7</v>
      </c>
      <c r="B465">
        <v>2030</v>
      </c>
      <c r="C465" t="s">
        <v>78</v>
      </c>
      <c r="D465" t="s">
        <v>52</v>
      </c>
      <c r="E465">
        <v>1.1056149335003701E-3</v>
      </c>
      <c r="F465">
        <v>1.1056149335003701E-3</v>
      </c>
      <c r="G465">
        <v>0</v>
      </c>
      <c r="H465">
        <v>0</v>
      </c>
      <c r="I465" t="s">
        <v>79</v>
      </c>
    </row>
    <row r="466" spans="1:9" hidden="1" x14ac:dyDescent="0.35">
      <c r="A466" t="s">
        <v>7</v>
      </c>
      <c r="B466">
        <v>2030</v>
      </c>
      <c r="C466" t="s">
        <v>78</v>
      </c>
      <c r="D466" t="s">
        <v>53</v>
      </c>
      <c r="E466">
        <v>4.7443715691045099E-3</v>
      </c>
      <c r="F466">
        <v>4.7443715691045099E-3</v>
      </c>
      <c r="G466">
        <v>0</v>
      </c>
      <c r="H466">
        <v>0</v>
      </c>
      <c r="I466" t="s">
        <v>79</v>
      </c>
    </row>
    <row r="467" spans="1:9" hidden="1" x14ac:dyDescent="0.35">
      <c r="A467" t="s">
        <v>7</v>
      </c>
      <c r="B467">
        <v>2030</v>
      </c>
      <c r="C467" t="s">
        <v>78</v>
      </c>
      <c r="D467" t="s">
        <v>54</v>
      </c>
      <c r="E467">
        <v>1.9946134508271301E-3</v>
      </c>
      <c r="F467">
        <v>1.9946134489503102E-3</v>
      </c>
      <c r="G467" s="1">
        <v>-1.8768151095749299E-12</v>
      </c>
      <c r="H467" s="1">
        <v>-9.4094176934215096E-8</v>
      </c>
      <c r="I467" t="s">
        <v>79</v>
      </c>
    </row>
    <row r="468" spans="1:9" hidden="1" x14ac:dyDescent="0.35">
      <c r="A468" t="s">
        <v>7</v>
      </c>
      <c r="B468">
        <v>2030</v>
      </c>
      <c r="C468" t="s">
        <v>78</v>
      </c>
      <c r="D468" t="s">
        <v>55</v>
      </c>
      <c r="E468">
        <v>1.82416681795742E-3</v>
      </c>
      <c r="F468">
        <v>1.8241661383725299E-3</v>
      </c>
      <c r="G468" s="1">
        <v>-6.7958488337606298E-10</v>
      </c>
      <c r="H468" s="1">
        <v>-3.7254535971497198E-5</v>
      </c>
      <c r="I468" t="s">
        <v>79</v>
      </c>
    </row>
    <row r="469" spans="1:9" hidden="1" x14ac:dyDescent="0.35">
      <c r="A469" t="s">
        <v>7</v>
      </c>
      <c r="B469">
        <v>2030</v>
      </c>
      <c r="C469" t="s">
        <v>78</v>
      </c>
      <c r="D469" t="s">
        <v>56</v>
      </c>
      <c r="E469" s="1">
        <v>1.5813259019238799E-9</v>
      </c>
      <c r="F469" s="1">
        <v>1.5813259019238799E-9</v>
      </c>
      <c r="G469">
        <v>0</v>
      </c>
      <c r="H469">
        <v>0</v>
      </c>
      <c r="I469" t="s">
        <v>79</v>
      </c>
    </row>
    <row r="470" spans="1:9" hidden="1" x14ac:dyDescent="0.35">
      <c r="A470" t="s">
        <v>9</v>
      </c>
      <c r="B470">
        <v>2035</v>
      </c>
      <c r="C470" t="s">
        <v>78</v>
      </c>
      <c r="D470" t="s">
        <v>38</v>
      </c>
      <c r="E470" s="1">
        <v>3.0697224673871197E-5</v>
      </c>
      <c r="F470" s="1">
        <v>3.0697222764082701E-5</v>
      </c>
      <c r="G470" s="1">
        <v>-1.9097884555794899E-12</v>
      </c>
      <c r="H470" s="1">
        <v>-6.2213717229136402E-6</v>
      </c>
      <c r="I470" t="s">
        <v>79</v>
      </c>
    </row>
    <row r="471" spans="1:9" hidden="1" x14ac:dyDescent="0.35">
      <c r="A471" t="s">
        <v>9</v>
      </c>
      <c r="B471">
        <v>2035</v>
      </c>
      <c r="C471" t="s">
        <v>78</v>
      </c>
      <c r="D471" t="s">
        <v>40</v>
      </c>
      <c r="E471" s="1">
        <v>7.7399012554052506E-5</v>
      </c>
      <c r="F471" s="1">
        <v>7.7399012554052506E-5</v>
      </c>
      <c r="G471">
        <v>0</v>
      </c>
      <c r="H471">
        <v>0</v>
      </c>
      <c r="I471" t="s">
        <v>79</v>
      </c>
    </row>
    <row r="472" spans="1:9" hidden="1" x14ac:dyDescent="0.35">
      <c r="A472" t="s">
        <v>9</v>
      </c>
      <c r="B472">
        <v>2035</v>
      </c>
      <c r="C472" t="s">
        <v>78</v>
      </c>
      <c r="D472" t="s">
        <v>41</v>
      </c>
      <c r="E472">
        <v>3.09969472142901E-4</v>
      </c>
      <c r="F472">
        <v>3.09969472142901E-4</v>
      </c>
      <c r="G472">
        <v>0</v>
      </c>
      <c r="H472">
        <v>0</v>
      </c>
      <c r="I472" t="s">
        <v>79</v>
      </c>
    </row>
    <row r="473" spans="1:9" hidden="1" x14ac:dyDescent="0.35">
      <c r="A473" t="s">
        <v>9</v>
      </c>
      <c r="B473">
        <v>2035</v>
      </c>
      <c r="C473" t="s">
        <v>78</v>
      </c>
      <c r="D473" t="s">
        <v>42</v>
      </c>
      <c r="E473">
        <v>1.3781951068631299E-2</v>
      </c>
      <c r="F473">
        <v>1.3781951061732099E-2</v>
      </c>
      <c r="G473" s="1">
        <v>-6.8992086349472997E-12</v>
      </c>
      <c r="H473" s="1">
        <v>-5.0059738280818397E-8</v>
      </c>
      <c r="I473" t="s">
        <v>79</v>
      </c>
    </row>
    <row r="474" spans="1:9" hidden="1" x14ac:dyDescent="0.35">
      <c r="A474" t="s">
        <v>9</v>
      </c>
      <c r="B474">
        <v>2035</v>
      </c>
      <c r="C474" t="s">
        <v>78</v>
      </c>
      <c r="D474" t="s">
        <v>43</v>
      </c>
      <c r="E474">
        <v>1.07885271625858E-4</v>
      </c>
      <c r="F474">
        <v>1.07885271625858E-4</v>
      </c>
      <c r="G474">
        <v>0</v>
      </c>
      <c r="H474">
        <v>0</v>
      </c>
      <c r="I474" t="s">
        <v>79</v>
      </c>
    </row>
    <row r="475" spans="1:9" hidden="1" x14ac:dyDescent="0.35">
      <c r="A475" t="s">
        <v>9</v>
      </c>
      <c r="B475">
        <v>2035</v>
      </c>
      <c r="C475" t="s">
        <v>78</v>
      </c>
      <c r="D475" t="s">
        <v>136</v>
      </c>
      <c r="E475">
        <v>1.54426987147895E-2</v>
      </c>
      <c r="F475">
        <v>1.54426987147895E-2</v>
      </c>
      <c r="G475">
        <v>0</v>
      </c>
      <c r="H475">
        <v>0</v>
      </c>
      <c r="I475" t="s">
        <v>79</v>
      </c>
    </row>
    <row r="476" spans="1:9" hidden="1" x14ac:dyDescent="0.35">
      <c r="A476" t="s">
        <v>9</v>
      </c>
      <c r="B476">
        <v>2035</v>
      </c>
      <c r="C476" t="s">
        <v>78</v>
      </c>
      <c r="D476" t="s">
        <v>45</v>
      </c>
      <c r="E476">
        <v>1.05946330331199E-4</v>
      </c>
      <c r="F476">
        <v>1.0592493384876301E-4</v>
      </c>
      <c r="G476" s="1">
        <v>-2.1396482436270302E-8</v>
      </c>
      <c r="H476">
        <v>-2.0195586170264301E-2</v>
      </c>
      <c r="I476" t="s">
        <v>79</v>
      </c>
    </row>
    <row r="477" spans="1:9" hidden="1" x14ac:dyDescent="0.35">
      <c r="A477" t="s">
        <v>9</v>
      </c>
      <c r="B477">
        <v>2035</v>
      </c>
      <c r="C477" t="s">
        <v>78</v>
      </c>
      <c r="D477" t="s">
        <v>46</v>
      </c>
      <c r="E477">
        <v>4.1973242430228203E-3</v>
      </c>
      <c r="F477">
        <v>4.1973242430228203E-3</v>
      </c>
      <c r="G477">
        <v>0</v>
      </c>
      <c r="H477">
        <v>0</v>
      </c>
      <c r="I477" t="s">
        <v>79</v>
      </c>
    </row>
    <row r="478" spans="1:9" hidden="1" x14ac:dyDescent="0.35">
      <c r="A478" t="s">
        <v>9</v>
      </c>
      <c r="B478">
        <v>2035</v>
      </c>
      <c r="C478" t="s">
        <v>78</v>
      </c>
      <c r="D478" t="s">
        <v>47</v>
      </c>
      <c r="E478" s="1">
        <v>6.4568899368280203E-6</v>
      </c>
      <c r="F478" s="1">
        <v>6.4568899368280203E-6</v>
      </c>
      <c r="G478">
        <v>0</v>
      </c>
      <c r="H478">
        <v>0</v>
      </c>
      <c r="I478" t="s">
        <v>79</v>
      </c>
    </row>
    <row r="479" spans="1:9" hidden="1" x14ac:dyDescent="0.35">
      <c r="A479" t="s">
        <v>9</v>
      </c>
      <c r="B479">
        <v>2035</v>
      </c>
      <c r="C479" t="s">
        <v>78</v>
      </c>
      <c r="D479" t="s">
        <v>48</v>
      </c>
      <c r="E479">
        <v>46.972691552559297</v>
      </c>
      <c r="F479">
        <v>46.972691552559297</v>
      </c>
      <c r="G479">
        <v>0</v>
      </c>
      <c r="H479">
        <v>0</v>
      </c>
      <c r="I479" t="s">
        <v>79</v>
      </c>
    </row>
    <row r="480" spans="1:9" hidden="1" x14ac:dyDescent="0.35">
      <c r="A480" t="s">
        <v>9</v>
      </c>
      <c r="B480">
        <v>2035</v>
      </c>
      <c r="C480" t="s">
        <v>78</v>
      </c>
      <c r="D480" t="s">
        <v>49</v>
      </c>
      <c r="E480">
        <v>2.6899992263248302E-4</v>
      </c>
      <c r="F480">
        <v>2.6899992263248302E-4</v>
      </c>
      <c r="G480">
        <v>0</v>
      </c>
      <c r="H480">
        <v>0</v>
      </c>
      <c r="I480" t="s">
        <v>79</v>
      </c>
    </row>
    <row r="481" spans="1:9" hidden="1" x14ac:dyDescent="0.35">
      <c r="A481" t="s">
        <v>9</v>
      </c>
      <c r="B481">
        <v>2035</v>
      </c>
      <c r="C481" t="s">
        <v>78</v>
      </c>
      <c r="D481" t="s">
        <v>50</v>
      </c>
      <c r="E481">
        <v>1.5069281958209799E-3</v>
      </c>
      <c r="F481">
        <v>1.5069281958209799E-3</v>
      </c>
      <c r="G481">
        <v>0</v>
      </c>
      <c r="H481">
        <v>0</v>
      </c>
      <c r="I481" t="s">
        <v>79</v>
      </c>
    </row>
    <row r="482" spans="1:9" hidden="1" x14ac:dyDescent="0.35">
      <c r="A482" t="s">
        <v>9</v>
      </c>
      <c r="B482">
        <v>2035</v>
      </c>
      <c r="C482" t="s">
        <v>78</v>
      </c>
      <c r="D482" t="s">
        <v>51</v>
      </c>
      <c r="E482">
        <v>2.2991567960736699E-2</v>
      </c>
      <c r="F482">
        <v>2.2991567960736699E-2</v>
      </c>
      <c r="G482">
        <v>0</v>
      </c>
      <c r="H482">
        <v>0</v>
      </c>
      <c r="I482" t="s">
        <v>79</v>
      </c>
    </row>
    <row r="483" spans="1:9" hidden="1" x14ac:dyDescent="0.35">
      <c r="A483" t="s">
        <v>9</v>
      </c>
      <c r="B483">
        <v>2035</v>
      </c>
      <c r="C483" t="s">
        <v>78</v>
      </c>
      <c r="D483" t="s">
        <v>52</v>
      </c>
      <c r="E483">
        <v>9.6174806593448303E-4</v>
      </c>
      <c r="F483">
        <v>9.6174806593448303E-4</v>
      </c>
      <c r="G483">
        <v>0</v>
      </c>
      <c r="H483">
        <v>0</v>
      </c>
      <c r="I483" t="s">
        <v>79</v>
      </c>
    </row>
    <row r="484" spans="1:9" hidden="1" x14ac:dyDescent="0.35">
      <c r="A484" t="s">
        <v>9</v>
      </c>
      <c r="B484">
        <v>2035</v>
      </c>
      <c r="C484" t="s">
        <v>78</v>
      </c>
      <c r="D484" t="s">
        <v>53</v>
      </c>
      <c r="E484">
        <v>4.5667406844275603E-3</v>
      </c>
      <c r="F484">
        <v>4.5667406844275603E-3</v>
      </c>
      <c r="G484">
        <v>0</v>
      </c>
      <c r="H484">
        <v>0</v>
      </c>
      <c r="I484" t="s">
        <v>79</v>
      </c>
    </row>
    <row r="485" spans="1:9" hidden="1" x14ac:dyDescent="0.35">
      <c r="A485" t="s">
        <v>9</v>
      </c>
      <c r="B485">
        <v>2035</v>
      </c>
      <c r="C485" t="s">
        <v>78</v>
      </c>
      <c r="D485" t="s">
        <v>54</v>
      </c>
      <c r="E485">
        <v>2.0048752949242202E-3</v>
      </c>
      <c r="F485">
        <v>2.00487529444969E-3</v>
      </c>
      <c r="G485" s="1">
        <v>-4.7453317317258598E-13</v>
      </c>
      <c r="H485" s="1">
        <v>-2.36689620733005E-8</v>
      </c>
      <c r="I485" t="s">
        <v>79</v>
      </c>
    </row>
    <row r="486" spans="1:9" hidden="1" x14ac:dyDescent="0.35">
      <c r="A486" t="s">
        <v>9</v>
      </c>
      <c r="B486">
        <v>2035</v>
      </c>
      <c r="C486" t="s">
        <v>78</v>
      </c>
      <c r="D486" t="s">
        <v>55</v>
      </c>
      <c r="E486">
        <v>1.83321633482726E-3</v>
      </c>
      <c r="F486">
        <v>1.8332161630013101E-3</v>
      </c>
      <c r="G486" s="1">
        <v>-1.71825955807419E-10</v>
      </c>
      <c r="H486" s="1">
        <v>-9.3729230174904503E-6</v>
      </c>
      <c r="I486" t="s">
        <v>79</v>
      </c>
    </row>
    <row r="487" spans="1:9" hidden="1" x14ac:dyDescent="0.35">
      <c r="A487" t="s">
        <v>9</v>
      </c>
      <c r="B487">
        <v>2035</v>
      </c>
      <c r="C487" t="s">
        <v>78</v>
      </c>
      <c r="D487" t="s">
        <v>56</v>
      </c>
      <c r="E487" s="1">
        <v>1.47338316519414E-9</v>
      </c>
      <c r="F487" s="1">
        <v>1.47338316519414E-9</v>
      </c>
      <c r="G487">
        <v>0</v>
      </c>
      <c r="H487">
        <v>0</v>
      </c>
      <c r="I487" t="s">
        <v>79</v>
      </c>
    </row>
    <row r="488" spans="1:9" hidden="1" x14ac:dyDescent="0.35">
      <c r="A488" t="s">
        <v>11</v>
      </c>
      <c r="B488">
        <v>2040</v>
      </c>
      <c r="C488" t="s">
        <v>78</v>
      </c>
      <c r="D488" t="s">
        <v>38</v>
      </c>
      <c r="E488" s="1">
        <v>2.7403301220501601E-5</v>
      </c>
      <c r="F488" s="1">
        <v>2.7403291757358099E-5</v>
      </c>
      <c r="G488" s="1">
        <v>-9.4631434748037805E-12</v>
      </c>
      <c r="H488" s="1">
        <v>-3.4532859375803803E-5</v>
      </c>
      <c r="I488" t="s">
        <v>79</v>
      </c>
    </row>
    <row r="489" spans="1:9" hidden="1" x14ac:dyDescent="0.35">
      <c r="A489" t="s">
        <v>11</v>
      </c>
      <c r="B489">
        <v>2040</v>
      </c>
      <c r="C489" t="s">
        <v>78</v>
      </c>
      <c r="D489" t="s">
        <v>40</v>
      </c>
      <c r="E489" s="1">
        <v>7.7168494616088406E-5</v>
      </c>
      <c r="F489" s="1">
        <v>7.7168494616088406E-5</v>
      </c>
      <c r="G489">
        <v>0</v>
      </c>
      <c r="H489">
        <v>0</v>
      </c>
      <c r="I489" t="s">
        <v>79</v>
      </c>
    </row>
    <row r="490" spans="1:9" hidden="1" x14ac:dyDescent="0.35">
      <c r="A490" t="s">
        <v>11</v>
      </c>
      <c r="B490">
        <v>2040</v>
      </c>
      <c r="C490" t="s">
        <v>78</v>
      </c>
      <c r="D490" t="s">
        <v>41</v>
      </c>
      <c r="E490">
        <v>3.09143798636076E-4</v>
      </c>
      <c r="F490">
        <v>3.09143798636076E-4</v>
      </c>
      <c r="G490">
        <v>0</v>
      </c>
      <c r="H490">
        <v>0</v>
      </c>
      <c r="I490" t="s">
        <v>79</v>
      </c>
    </row>
    <row r="491" spans="1:9" hidden="1" x14ac:dyDescent="0.35">
      <c r="A491" t="s">
        <v>11</v>
      </c>
      <c r="B491">
        <v>2040</v>
      </c>
      <c r="C491" t="s">
        <v>78</v>
      </c>
      <c r="D491" t="s">
        <v>42</v>
      </c>
      <c r="E491">
        <v>1.38149918959768E-2</v>
      </c>
      <c r="F491">
        <v>1.38149918617907E-2</v>
      </c>
      <c r="G491" s="1">
        <v>-3.4186098396560199E-11</v>
      </c>
      <c r="H491" s="1">
        <v>-2.47456521538141E-7</v>
      </c>
      <c r="I491" t="s">
        <v>79</v>
      </c>
    </row>
    <row r="492" spans="1:9" hidden="1" x14ac:dyDescent="0.35">
      <c r="A492" t="s">
        <v>11</v>
      </c>
      <c r="B492">
        <v>2040</v>
      </c>
      <c r="C492" t="s">
        <v>78</v>
      </c>
      <c r="D492" t="s">
        <v>43</v>
      </c>
      <c r="E492">
        <v>1.07066894424765E-4</v>
      </c>
      <c r="F492">
        <v>1.07066894424765E-4</v>
      </c>
      <c r="G492">
        <v>0</v>
      </c>
      <c r="H492">
        <v>0</v>
      </c>
      <c r="I492" t="s">
        <v>79</v>
      </c>
    </row>
    <row r="493" spans="1:9" hidden="1" x14ac:dyDescent="0.35">
      <c r="A493" t="s">
        <v>11</v>
      </c>
      <c r="B493">
        <v>2040</v>
      </c>
      <c r="C493" t="s">
        <v>78</v>
      </c>
      <c r="D493" t="s">
        <v>136</v>
      </c>
      <c r="E493">
        <v>1.4837129469831701E-2</v>
      </c>
      <c r="F493">
        <v>1.4837129469831701E-2</v>
      </c>
      <c r="G493">
        <v>0</v>
      </c>
      <c r="H493">
        <v>0</v>
      </c>
      <c r="I493" t="s">
        <v>79</v>
      </c>
    </row>
    <row r="494" spans="1:9" hidden="1" x14ac:dyDescent="0.35">
      <c r="A494" t="s">
        <v>11</v>
      </c>
      <c r="B494">
        <v>2040</v>
      </c>
      <c r="C494" t="s">
        <v>78</v>
      </c>
      <c r="D494" t="s">
        <v>45</v>
      </c>
      <c r="E494">
        <v>1.04968416663087E-4</v>
      </c>
      <c r="F494">
        <v>1.04862395469862E-4</v>
      </c>
      <c r="G494" s="1">
        <v>-1.06021193224938E-7</v>
      </c>
      <c r="H494">
        <v>-0.10100294602444999</v>
      </c>
      <c r="I494" t="s">
        <v>79</v>
      </c>
    </row>
    <row r="495" spans="1:9" hidden="1" x14ac:dyDescent="0.35">
      <c r="A495" t="s">
        <v>11</v>
      </c>
      <c r="B495">
        <v>2040</v>
      </c>
      <c r="C495" t="s">
        <v>78</v>
      </c>
      <c r="D495" t="s">
        <v>46</v>
      </c>
      <c r="E495">
        <v>5.7595267043151401E-3</v>
      </c>
      <c r="F495">
        <v>5.7595267043151401E-3</v>
      </c>
      <c r="G495">
        <v>0</v>
      </c>
      <c r="H495">
        <v>0</v>
      </c>
      <c r="I495" t="s">
        <v>79</v>
      </c>
    </row>
    <row r="496" spans="1:9" hidden="1" x14ac:dyDescent="0.35">
      <c r="A496" t="s">
        <v>11</v>
      </c>
      <c r="B496">
        <v>2040</v>
      </c>
      <c r="C496" t="s">
        <v>78</v>
      </c>
      <c r="D496" t="s">
        <v>47</v>
      </c>
      <c r="E496" s="1">
        <v>6.4863431842021097E-6</v>
      </c>
      <c r="F496" s="1">
        <v>6.4863431842021097E-6</v>
      </c>
      <c r="G496">
        <v>0</v>
      </c>
      <c r="H496">
        <v>0</v>
      </c>
      <c r="I496" t="s">
        <v>79</v>
      </c>
    </row>
    <row r="497" spans="1:9" hidden="1" x14ac:dyDescent="0.35">
      <c r="A497" t="s">
        <v>11</v>
      </c>
      <c r="B497">
        <v>2040</v>
      </c>
      <c r="C497" t="s">
        <v>78</v>
      </c>
      <c r="D497" t="s">
        <v>48</v>
      </c>
      <c r="E497">
        <v>46.972701612584103</v>
      </c>
      <c r="F497">
        <v>46.972701612584103</v>
      </c>
      <c r="G497">
        <v>0</v>
      </c>
      <c r="H497">
        <v>0</v>
      </c>
      <c r="I497" t="s">
        <v>79</v>
      </c>
    </row>
    <row r="498" spans="1:9" hidden="1" x14ac:dyDescent="0.35">
      <c r="A498" t="s">
        <v>11</v>
      </c>
      <c r="B498">
        <v>2040</v>
      </c>
      <c r="C498" t="s">
        <v>78</v>
      </c>
      <c r="D498" t="s">
        <v>49</v>
      </c>
      <c r="E498">
        <v>2.6722307423996002E-4</v>
      </c>
      <c r="F498">
        <v>2.6722307423996002E-4</v>
      </c>
      <c r="G498">
        <v>0</v>
      </c>
      <c r="H498">
        <v>0</v>
      </c>
      <c r="I498" t="s">
        <v>79</v>
      </c>
    </row>
    <row r="499" spans="1:9" hidden="1" x14ac:dyDescent="0.35">
      <c r="A499" t="s">
        <v>11</v>
      </c>
      <c r="B499">
        <v>2040</v>
      </c>
      <c r="C499" t="s">
        <v>78</v>
      </c>
      <c r="D499" t="s">
        <v>50</v>
      </c>
      <c r="E499">
        <v>1.4965059146977799E-3</v>
      </c>
      <c r="F499">
        <v>1.4965059146977799E-3</v>
      </c>
      <c r="G499">
        <v>0</v>
      </c>
      <c r="H499">
        <v>0</v>
      </c>
      <c r="I499" t="s">
        <v>79</v>
      </c>
    </row>
    <row r="500" spans="1:9" hidden="1" x14ac:dyDescent="0.35">
      <c r="A500" t="s">
        <v>11</v>
      </c>
      <c r="B500">
        <v>2040</v>
      </c>
      <c r="C500" t="s">
        <v>78</v>
      </c>
      <c r="D500" t="s">
        <v>51</v>
      </c>
      <c r="E500">
        <v>2.3013546847347299E-2</v>
      </c>
      <c r="F500">
        <v>2.3013546847347299E-2</v>
      </c>
      <c r="G500">
        <v>0</v>
      </c>
      <c r="H500">
        <v>0</v>
      </c>
      <c r="I500" t="s">
        <v>79</v>
      </c>
    </row>
    <row r="501" spans="1:9" hidden="1" x14ac:dyDescent="0.35">
      <c r="A501" t="s">
        <v>11</v>
      </c>
      <c r="B501">
        <v>2040</v>
      </c>
      <c r="C501" t="s">
        <v>78</v>
      </c>
      <c r="D501" t="s">
        <v>52</v>
      </c>
      <c r="E501">
        <v>8.2158832010138599E-4</v>
      </c>
      <c r="F501">
        <v>8.2158832010138599E-4</v>
      </c>
      <c r="G501">
        <v>0</v>
      </c>
      <c r="H501">
        <v>0</v>
      </c>
      <c r="I501" t="s">
        <v>79</v>
      </c>
    </row>
    <row r="502" spans="1:9" hidden="1" x14ac:dyDescent="0.35">
      <c r="A502" t="s">
        <v>11</v>
      </c>
      <c r="B502">
        <v>2040</v>
      </c>
      <c r="C502" t="s">
        <v>78</v>
      </c>
      <c r="D502" t="s">
        <v>53</v>
      </c>
      <c r="E502">
        <v>4.3568377872099098E-3</v>
      </c>
      <c r="F502">
        <v>4.3568377872099098E-3</v>
      </c>
      <c r="G502">
        <v>0</v>
      </c>
      <c r="H502">
        <v>0</v>
      </c>
      <c r="I502" t="s">
        <v>79</v>
      </c>
    </row>
    <row r="503" spans="1:9" hidden="1" x14ac:dyDescent="0.35">
      <c r="A503" t="s">
        <v>11</v>
      </c>
      <c r="B503">
        <v>2040</v>
      </c>
      <c r="C503" t="s">
        <v>78</v>
      </c>
      <c r="D503" t="s">
        <v>54</v>
      </c>
      <c r="E503">
        <v>2.0134437245883799E-3</v>
      </c>
      <c r="F503">
        <v>2.0134437222370299E-3</v>
      </c>
      <c r="G503" s="1">
        <v>-2.3513474153857801E-12</v>
      </c>
      <c r="H503" s="1">
        <v>-1.16782375721302E-7</v>
      </c>
      <c r="I503" t="s">
        <v>79</v>
      </c>
    </row>
    <row r="504" spans="1:9" hidden="1" x14ac:dyDescent="0.35">
      <c r="A504" t="s">
        <v>11</v>
      </c>
      <c r="B504">
        <v>2040</v>
      </c>
      <c r="C504" t="s">
        <v>78</v>
      </c>
      <c r="D504" t="s">
        <v>55</v>
      </c>
      <c r="E504">
        <v>1.8418013525520101E-3</v>
      </c>
      <c r="F504">
        <v>1.8418005011416501E-3</v>
      </c>
      <c r="G504" s="1">
        <v>-8.5141035714719697E-10</v>
      </c>
      <c r="H504" s="1">
        <v>-4.6227045928024502E-5</v>
      </c>
      <c r="I504" t="s">
        <v>79</v>
      </c>
    </row>
    <row r="505" spans="1:9" hidden="1" x14ac:dyDescent="0.35">
      <c r="A505" t="s">
        <v>11</v>
      </c>
      <c r="B505">
        <v>2040</v>
      </c>
      <c r="C505" t="s">
        <v>78</v>
      </c>
      <c r="D505" t="s">
        <v>56</v>
      </c>
      <c r="E505" s="1">
        <v>1.37035108533446E-9</v>
      </c>
      <c r="F505" s="1">
        <v>1.37035108533446E-9</v>
      </c>
      <c r="G505">
        <v>0</v>
      </c>
      <c r="H505">
        <v>0</v>
      </c>
      <c r="I505" t="s">
        <v>79</v>
      </c>
    </row>
    <row r="506" spans="1:9" hidden="1" x14ac:dyDescent="0.35">
      <c r="A506" t="s">
        <v>5</v>
      </c>
      <c r="B506">
        <v>2025</v>
      </c>
      <c r="C506" t="s">
        <v>37</v>
      </c>
      <c r="D506" t="s">
        <v>38</v>
      </c>
      <c r="E506">
        <v>3.6965923892265801E-3</v>
      </c>
      <c r="F506">
        <v>3.6965923892265801E-3</v>
      </c>
      <c r="G506">
        <v>0</v>
      </c>
      <c r="H506">
        <v>0</v>
      </c>
      <c r="I506" t="s">
        <v>39</v>
      </c>
    </row>
    <row r="507" spans="1:9" hidden="1" x14ac:dyDescent="0.35">
      <c r="A507" t="s">
        <v>5</v>
      </c>
      <c r="B507">
        <v>2025</v>
      </c>
      <c r="C507" t="s">
        <v>37</v>
      </c>
      <c r="D507" t="s">
        <v>40</v>
      </c>
      <c r="E507">
        <v>8.3387029617258701E-4</v>
      </c>
      <c r="F507">
        <v>8.3387029617258701E-4</v>
      </c>
      <c r="G507">
        <v>0</v>
      </c>
      <c r="H507">
        <v>0</v>
      </c>
      <c r="I507" t="s">
        <v>39</v>
      </c>
    </row>
    <row r="508" spans="1:9" hidden="1" x14ac:dyDescent="0.35">
      <c r="A508" t="s">
        <v>5</v>
      </c>
      <c r="B508">
        <v>2025</v>
      </c>
      <c r="C508" t="s">
        <v>37</v>
      </c>
      <c r="D508" t="s">
        <v>41</v>
      </c>
      <c r="E508">
        <v>0.61196649730706398</v>
      </c>
      <c r="F508">
        <v>0.61196649730706398</v>
      </c>
      <c r="G508">
        <v>0</v>
      </c>
      <c r="H508">
        <v>0</v>
      </c>
      <c r="I508" t="s">
        <v>39</v>
      </c>
    </row>
    <row r="509" spans="1:9" hidden="1" x14ac:dyDescent="0.35">
      <c r="A509" t="s">
        <v>5</v>
      </c>
      <c r="B509">
        <v>2025</v>
      </c>
      <c r="C509" t="s">
        <v>37</v>
      </c>
      <c r="D509" t="s">
        <v>42</v>
      </c>
      <c r="E509">
        <v>11.2230944421483</v>
      </c>
      <c r="F509">
        <v>11.2230944421483</v>
      </c>
      <c r="G509">
        <v>0</v>
      </c>
      <c r="H509">
        <v>0</v>
      </c>
      <c r="I509" t="s">
        <v>39</v>
      </c>
    </row>
    <row r="510" spans="1:9" hidden="1" x14ac:dyDescent="0.35">
      <c r="A510" t="s">
        <v>5</v>
      </c>
      <c r="B510">
        <v>2025</v>
      </c>
      <c r="C510" t="s">
        <v>37</v>
      </c>
      <c r="D510" t="s">
        <v>43</v>
      </c>
      <c r="E510">
        <v>6.7877350016879801E-3</v>
      </c>
      <c r="F510">
        <v>6.7877350016879801E-3</v>
      </c>
      <c r="G510">
        <v>0</v>
      </c>
      <c r="H510">
        <v>0</v>
      </c>
      <c r="I510" t="s">
        <v>39</v>
      </c>
    </row>
    <row r="511" spans="1:9" hidden="1" x14ac:dyDescent="0.35">
      <c r="A511" t="s">
        <v>5</v>
      </c>
      <c r="B511">
        <v>2025</v>
      </c>
      <c r="C511" t="s">
        <v>37</v>
      </c>
      <c r="D511" t="s">
        <v>136</v>
      </c>
      <c r="E511">
        <v>8.21640732724169</v>
      </c>
      <c r="F511">
        <v>8.21640732724169</v>
      </c>
      <c r="G511">
        <v>0</v>
      </c>
      <c r="H511">
        <v>0</v>
      </c>
      <c r="I511" t="s">
        <v>39</v>
      </c>
    </row>
    <row r="512" spans="1:9" hidden="1" x14ac:dyDescent="0.35">
      <c r="A512" t="s">
        <v>5</v>
      </c>
      <c r="B512">
        <v>2025</v>
      </c>
      <c r="C512" t="s">
        <v>37</v>
      </c>
      <c r="D512" t="s">
        <v>45</v>
      </c>
      <c r="E512">
        <v>1.4740466823582099</v>
      </c>
      <c r="F512">
        <v>1.4740466823582099</v>
      </c>
      <c r="G512">
        <v>0</v>
      </c>
      <c r="H512">
        <v>0</v>
      </c>
      <c r="I512" t="s">
        <v>39</v>
      </c>
    </row>
    <row r="513" spans="1:9" hidden="1" x14ac:dyDescent="0.35">
      <c r="A513" t="s">
        <v>5</v>
      </c>
      <c r="B513">
        <v>2025</v>
      </c>
      <c r="C513" t="s">
        <v>37</v>
      </c>
      <c r="D513" t="s">
        <v>46</v>
      </c>
      <c r="E513">
        <v>0.24711655341407601</v>
      </c>
      <c r="F513">
        <v>0.24711655341407601</v>
      </c>
      <c r="G513">
        <v>0</v>
      </c>
      <c r="H513">
        <v>0</v>
      </c>
      <c r="I513" t="s">
        <v>39</v>
      </c>
    </row>
    <row r="514" spans="1:9" hidden="1" x14ac:dyDescent="0.35">
      <c r="A514" t="s">
        <v>5</v>
      </c>
      <c r="B514">
        <v>2025</v>
      </c>
      <c r="C514" t="s">
        <v>37</v>
      </c>
      <c r="D514" t="s">
        <v>47</v>
      </c>
      <c r="E514">
        <v>4.3137537673162999E-3</v>
      </c>
      <c r="F514">
        <v>4.3137537673162999E-3</v>
      </c>
      <c r="G514">
        <v>0</v>
      </c>
      <c r="H514">
        <v>0</v>
      </c>
      <c r="I514" t="s">
        <v>39</v>
      </c>
    </row>
    <row r="515" spans="1:9" hidden="1" x14ac:dyDescent="0.35">
      <c r="A515" t="s">
        <v>5</v>
      </c>
      <c r="B515">
        <v>2025</v>
      </c>
      <c r="C515" t="s">
        <v>37</v>
      </c>
      <c r="D515" t="s">
        <v>48</v>
      </c>
      <c r="E515">
        <v>57.888107976875901</v>
      </c>
      <c r="F515">
        <v>57.888107976875901</v>
      </c>
      <c r="G515">
        <v>0</v>
      </c>
      <c r="H515">
        <v>0</v>
      </c>
      <c r="I515" t="s">
        <v>39</v>
      </c>
    </row>
    <row r="516" spans="1:9" hidden="1" x14ac:dyDescent="0.35">
      <c r="A516" t="s">
        <v>5</v>
      </c>
      <c r="B516">
        <v>2025</v>
      </c>
      <c r="C516" t="s">
        <v>37</v>
      </c>
      <c r="D516" t="s">
        <v>49</v>
      </c>
      <c r="E516">
        <v>7.3052132852642702</v>
      </c>
      <c r="F516">
        <v>7.3052132852642702</v>
      </c>
      <c r="G516">
        <v>0</v>
      </c>
      <c r="H516">
        <v>0</v>
      </c>
      <c r="I516" t="s">
        <v>39</v>
      </c>
    </row>
    <row r="517" spans="1:9" hidden="1" x14ac:dyDescent="0.35">
      <c r="A517" t="s">
        <v>5</v>
      </c>
      <c r="B517">
        <v>2025</v>
      </c>
      <c r="C517" t="s">
        <v>37</v>
      </c>
      <c r="D517" t="s">
        <v>50</v>
      </c>
      <c r="E517">
        <v>0.27617322637221298</v>
      </c>
      <c r="F517">
        <v>0.27617322637221298</v>
      </c>
      <c r="G517">
        <v>0</v>
      </c>
      <c r="H517">
        <v>0</v>
      </c>
      <c r="I517" t="s">
        <v>39</v>
      </c>
    </row>
    <row r="518" spans="1:9" hidden="1" x14ac:dyDescent="0.35">
      <c r="A518" t="s">
        <v>5</v>
      </c>
      <c r="B518">
        <v>2025</v>
      </c>
      <c r="C518" t="s">
        <v>37</v>
      </c>
      <c r="D518" t="s">
        <v>51</v>
      </c>
      <c r="E518">
        <v>0.190716890871517</v>
      </c>
      <c r="F518">
        <v>0.190716890871517</v>
      </c>
      <c r="G518">
        <v>0</v>
      </c>
      <c r="H518">
        <v>0</v>
      </c>
      <c r="I518" t="s">
        <v>39</v>
      </c>
    </row>
    <row r="519" spans="1:9" hidden="1" x14ac:dyDescent="0.35">
      <c r="A519" t="s">
        <v>5</v>
      </c>
      <c r="B519">
        <v>2025</v>
      </c>
      <c r="C519" t="s">
        <v>37</v>
      </c>
      <c r="D519" t="s">
        <v>52</v>
      </c>
      <c r="E519">
        <v>1.55774842492891</v>
      </c>
      <c r="F519">
        <v>1.55774842492891</v>
      </c>
      <c r="G519">
        <v>0</v>
      </c>
      <c r="H519">
        <v>0</v>
      </c>
      <c r="I519" t="s">
        <v>39</v>
      </c>
    </row>
    <row r="520" spans="1:9" hidden="1" x14ac:dyDescent="0.35">
      <c r="A520" t="s">
        <v>5</v>
      </c>
      <c r="B520">
        <v>2025</v>
      </c>
      <c r="C520" t="s">
        <v>37</v>
      </c>
      <c r="D520" t="s">
        <v>53</v>
      </c>
      <c r="E520">
        <v>2.93537254557403</v>
      </c>
      <c r="F520">
        <v>2.93537254557403</v>
      </c>
      <c r="G520">
        <v>0</v>
      </c>
      <c r="H520">
        <v>0</v>
      </c>
      <c r="I520" t="s">
        <v>39</v>
      </c>
    </row>
    <row r="521" spans="1:9" hidden="1" x14ac:dyDescent="0.35">
      <c r="A521" t="s">
        <v>5</v>
      </c>
      <c r="B521">
        <v>2025</v>
      </c>
      <c r="C521" t="s">
        <v>37</v>
      </c>
      <c r="D521" t="s">
        <v>54</v>
      </c>
      <c r="E521">
        <v>1.5496865306693</v>
      </c>
      <c r="F521">
        <v>1.5496865306693</v>
      </c>
      <c r="G521">
        <v>0</v>
      </c>
      <c r="H521">
        <v>0</v>
      </c>
      <c r="I521" t="s">
        <v>39</v>
      </c>
    </row>
    <row r="522" spans="1:9" hidden="1" x14ac:dyDescent="0.35">
      <c r="A522" t="s">
        <v>5</v>
      </c>
      <c r="B522">
        <v>2025</v>
      </c>
      <c r="C522" t="s">
        <v>37</v>
      </c>
      <c r="D522" t="s">
        <v>55</v>
      </c>
      <c r="E522">
        <v>1.46858208163302</v>
      </c>
      <c r="F522">
        <v>1.46858208163302</v>
      </c>
      <c r="G522">
        <v>0</v>
      </c>
      <c r="H522">
        <v>0</v>
      </c>
      <c r="I522" t="s">
        <v>39</v>
      </c>
    </row>
    <row r="523" spans="1:9" hidden="1" x14ac:dyDescent="0.35">
      <c r="A523" t="s">
        <v>5</v>
      </c>
      <c r="B523">
        <v>2025</v>
      </c>
      <c r="C523" t="s">
        <v>37</v>
      </c>
      <c r="D523" t="s">
        <v>56</v>
      </c>
      <c r="E523" s="1">
        <v>6.7066193238955899E-7</v>
      </c>
      <c r="F523" s="1">
        <v>6.7066193238955899E-7</v>
      </c>
      <c r="G523">
        <v>0</v>
      </c>
      <c r="H523">
        <v>0</v>
      </c>
      <c r="I523" t="s">
        <v>39</v>
      </c>
    </row>
    <row r="524" spans="1:9" hidden="1" x14ac:dyDescent="0.35">
      <c r="A524" t="s">
        <v>7</v>
      </c>
      <c r="B524">
        <v>2030</v>
      </c>
      <c r="C524" t="s">
        <v>37</v>
      </c>
      <c r="D524" t="s">
        <v>38</v>
      </c>
      <c r="E524">
        <v>3.7372431217342402E-3</v>
      </c>
      <c r="F524">
        <v>3.05060837683775E-3</v>
      </c>
      <c r="G524">
        <v>-6.8663474489649603E-4</v>
      </c>
      <c r="H524">
        <v>-18.3727609505336</v>
      </c>
      <c r="I524" t="s">
        <v>39</v>
      </c>
    </row>
    <row r="525" spans="1:9" hidden="1" x14ac:dyDescent="0.35">
      <c r="A525" t="s">
        <v>7</v>
      </c>
      <c r="B525">
        <v>2030</v>
      </c>
      <c r="C525" t="s">
        <v>37</v>
      </c>
      <c r="D525" t="s">
        <v>40</v>
      </c>
      <c r="E525">
        <v>8.16562755910189E-4</v>
      </c>
      <c r="F525">
        <v>8.16562755910189E-4</v>
      </c>
      <c r="G525">
        <v>0</v>
      </c>
      <c r="H525">
        <v>0</v>
      </c>
      <c r="I525" t="s">
        <v>39</v>
      </c>
    </row>
    <row r="526" spans="1:9" hidden="1" x14ac:dyDescent="0.35">
      <c r="A526" t="s">
        <v>7</v>
      </c>
      <c r="B526">
        <v>2030</v>
      </c>
      <c r="C526" t="s">
        <v>37</v>
      </c>
      <c r="D526" t="s">
        <v>41</v>
      </c>
      <c r="E526">
        <v>0.611176225783711</v>
      </c>
      <c r="F526">
        <v>0.163670307305359</v>
      </c>
      <c r="G526">
        <v>-0.44750591847835203</v>
      </c>
      <c r="H526">
        <v>-73.220439473821997</v>
      </c>
      <c r="I526" t="s">
        <v>39</v>
      </c>
    </row>
    <row r="527" spans="1:9" hidden="1" x14ac:dyDescent="0.35">
      <c r="A527" t="s">
        <v>7</v>
      </c>
      <c r="B527">
        <v>2030</v>
      </c>
      <c r="C527" t="s">
        <v>37</v>
      </c>
      <c r="D527" t="s">
        <v>42</v>
      </c>
      <c r="E527">
        <v>10.9670162248989</v>
      </c>
      <c r="F527">
        <v>9.9088728846529595</v>
      </c>
      <c r="G527">
        <v>-1.0581433402459499</v>
      </c>
      <c r="H527">
        <v>-9.6484159277854094</v>
      </c>
      <c r="I527" t="s">
        <v>39</v>
      </c>
    </row>
    <row r="528" spans="1:9" hidden="1" x14ac:dyDescent="0.35">
      <c r="A528" t="s">
        <v>7</v>
      </c>
      <c r="B528">
        <v>2030</v>
      </c>
      <c r="C528" t="s">
        <v>37</v>
      </c>
      <c r="D528" t="s">
        <v>43</v>
      </c>
      <c r="E528">
        <v>6.4134363908687599E-3</v>
      </c>
      <c r="F528">
        <v>6.1925000990787201E-3</v>
      </c>
      <c r="G528">
        <v>-2.20936291790044E-4</v>
      </c>
      <c r="H528">
        <v>-3.4448972177319201</v>
      </c>
      <c r="I528" t="s">
        <v>39</v>
      </c>
    </row>
    <row r="529" spans="1:9" hidden="1" x14ac:dyDescent="0.35">
      <c r="A529" t="s">
        <v>7</v>
      </c>
      <c r="B529">
        <v>2030</v>
      </c>
      <c r="C529" t="s">
        <v>37</v>
      </c>
      <c r="D529" t="s">
        <v>136</v>
      </c>
      <c r="E529">
        <v>7.9713906396939498</v>
      </c>
      <c r="F529">
        <v>7.8796243806745299</v>
      </c>
      <c r="G529">
        <v>-9.1766259019426102E-2</v>
      </c>
      <c r="H529">
        <v>-1.1511951071933499</v>
      </c>
      <c r="I529" t="s">
        <v>39</v>
      </c>
    </row>
    <row r="530" spans="1:9" hidden="1" x14ac:dyDescent="0.35">
      <c r="A530" t="s">
        <v>7</v>
      </c>
      <c r="B530">
        <v>2030</v>
      </c>
      <c r="C530" t="s">
        <v>37</v>
      </c>
      <c r="D530" t="s">
        <v>45</v>
      </c>
      <c r="E530">
        <v>1.4721968511786601</v>
      </c>
      <c r="F530">
        <v>0.36487896062951097</v>
      </c>
      <c r="G530">
        <v>-1.1073178905491501</v>
      </c>
      <c r="H530">
        <v>-75.215341593932706</v>
      </c>
      <c r="I530" t="s">
        <v>39</v>
      </c>
    </row>
    <row r="531" spans="1:9" hidden="1" x14ac:dyDescent="0.35">
      <c r="A531" t="s">
        <v>7</v>
      </c>
      <c r="B531">
        <v>2030</v>
      </c>
      <c r="C531" t="s">
        <v>37</v>
      </c>
      <c r="D531" t="s">
        <v>46</v>
      </c>
      <c r="E531">
        <v>0.26838636935680199</v>
      </c>
      <c r="F531">
        <v>0.26838636935680199</v>
      </c>
      <c r="G531">
        <v>0</v>
      </c>
      <c r="H531">
        <v>0</v>
      </c>
      <c r="I531" t="s">
        <v>39</v>
      </c>
    </row>
    <row r="532" spans="1:9" hidden="1" x14ac:dyDescent="0.35">
      <c r="A532" t="s">
        <v>7</v>
      </c>
      <c r="B532">
        <v>2030</v>
      </c>
      <c r="C532" t="s">
        <v>37</v>
      </c>
      <c r="D532" t="s">
        <v>47</v>
      </c>
      <c r="E532">
        <v>3.94815798671637E-3</v>
      </c>
      <c r="F532">
        <v>3.94815798671637E-3</v>
      </c>
      <c r="G532">
        <v>0</v>
      </c>
      <c r="H532">
        <v>0</v>
      </c>
      <c r="I532" t="s">
        <v>39</v>
      </c>
    </row>
    <row r="533" spans="1:9" hidden="1" x14ac:dyDescent="0.35">
      <c r="A533" t="s">
        <v>7</v>
      </c>
      <c r="B533">
        <v>2030</v>
      </c>
      <c r="C533" t="s">
        <v>37</v>
      </c>
      <c r="D533" t="s">
        <v>48</v>
      </c>
      <c r="E533">
        <v>57.890912734189399</v>
      </c>
      <c r="F533">
        <v>57.890912734189399</v>
      </c>
      <c r="G533">
        <v>0</v>
      </c>
      <c r="H533">
        <v>0</v>
      </c>
      <c r="I533" t="s">
        <v>39</v>
      </c>
    </row>
    <row r="534" spans="1:9" hidden="1" x14ac:dyDescent="0.35">
      <c r="A534" t="s">
        <v>7</v>
      </c>
      <c r="B534">
        <v>2030</v>
      </c>
      <c r="C534" t="s">
        <v>37</v>
      </c>
      <c r="D534" t="s">
        <v>49</v>
      </c>
      <c r="E534">
        <v>7.3008876077139897</v>
      </c>
      <c r="F534">
        <v>1.7817246412903101</v>
      </c>
      <c r="G534">
        <v>-5.5191629664236697</v>
      </c>
      <c r="H534">
        <v>-75.595780444452004</v>
      </c>
      <c r="I534" t="s">
        <v>39</v>
      </c>
    </row>
    <row r="535" spans="1:9" hidden="1" x14ac:dyDescent="0.35">
      <c r="A535" t="s">
        <v>7</v>
      </c>
      <c r="B535">
        <v>2030</v>
      </c>
      <c r="C535" t="s">
        <v>37</v>
      </c>
      <c r="D535" t="s">
        <v>50</v>
      </c>
      <c r="E535">
        <v>0.27474657272580599</v>
      </c>
      <c r="F535">
        <v>0.27474657272580599</v>
      </c>
      <c r="G535">
        <v>0</v>
      </c>
      <c r="H535">
        <v>0</v>
      </c>
      <c r="I535" t="s">
        <v>39</v>
      </c>
    </row>
    <row r="536" spans="1:9" hidden="1" x14ac:dyDescent="0.35">
      <c r="A536" t="s">
        <v>7</v>
      </c>
      <c r="B536">
        <v>2030</v>
      </c>
      <c r="C536" t="s">
        <v>37</v>
      </c>
      <c r="D536" t="s">
        <v>51</v>
      </c>
      <c r="E536">
        <v>0.189515459224217</v>
      </c>
      <c r="F536">
        <v>0.189515459224217</v>
      </c>
      <c r="G536">
        <v>0</v>
      </c>
      <c r="H536">
        <v>0</v>
      </c>
      <c r="I536" t="s">
        <v>39</v>
      </c>
    </row>
    <row r="537" spans="1:9" hidden="1" x14ac:dyDescent="0.35">
      <c r="A537" t="s">
        <v>7</v>
      </c>
      <c r="B537">
        <v>2030</v>
      </c>
      <c r="C537" t="s">
        <v>37</v>
      </c>
      <c r="D537" t="s">
        <v>52</v>
      </c>
      <c r="E537">
        <v>1.35969159191626</v>
      </c>
      <c r="F537">
        <v>1.35969159191626</v>
      </c>
      <c r="G537">
        <v>0</v>
      </c>
      <c r="H537">
        <v>0</v>
      </c>
      <c r="I537" t="s">
        <v>39</v>
      </c>
    </row>
    <row r="538" spans="1:9" hidden="1" x14ac:dyDescent="0.35">
      <c r="A538" t="s">
        <v>7</v>
      </c>
      <c r="B538">
        <v>2030</v>
      </c>
      <c r="C538" t="s">
        <v>37</v>
      </c>
      <c r="D538" t="s">
        <v>53</v>
      </c>
      <c r="E538">
        <v>2.9210043344832499</v>
      </c>
      <c r="F538">
        <v>2.9210043344832499</v>
      </c>
      <c r="G538">
        <v>0</v>
      </c>
      <c r="H538">
        <v>0</v>
      </c>
      <c r="I538" t="s">
        <v>39</v>
      </c>
    </row>
    <row r="539" spans="1:9" hidden="1" x14ac:dyDescent="0.35">
      <c r="A539" t="s">
        <v>7</v>
      </c>
      <c r="B539">
        <v>2030</v>
      </c>
      <c r="C539" t="s">
        <v>37</v>
      </c>
      <c r="D539" t="s">
        <v>54</v>
      </c>
      <c r="E539">
        <v>1.54557572157351</v>
      </c>
      <c r="F539">
        <v>1.54533981538799</v>
      </c>
      <c r="G539">
        <v>-2.35906185522161E-4</v>
      </c>
      <c r="H539">
        <v>-1.5263321119070699E-2</v>
      </c>
      <c r="I539" t="s">
        <v>39</v>
      </c>
    </row>
    <row r="540" spans="1:9" hidden="1" x14ac:dyDescent="0.35">
      <c r="A540" t="s">
        <v>7</v>
      </c>
      <c r="B540">
        <v>2030</v>
      </c>
      <c r="C540" t="s">
        <v>37</v>
      </c>
      <c r="D540" t="s">
        <v>55</v>
      </c>
      <c r="E540">
        <v>1.4643159740975999</v>
      </c>
      <c r="F540">
        <v>1.4392688596119401</v>
      </c>
      <c r="G540">
        <v>-2.5047114485661801E-2</v>
      </c>
      <c r="H540">
        <v>-1.7104992999272099</v>
      </c>
      <c r="I540" t="s">
        <v>39</v>
      </c>
    </row>
    <row r="541" spans="1:9" hidden="1" x14ac:dyDescent="0.35">
      <c r="A541" t="s">
        <v>7</v>
      </c>
      <c r="B541">
        <v>2030</v>
      </c>
      <c r="C541" t="s">
        <v>37</v>
      </c>
      <c r="D541" t="s">
        <v>56</v>
      </c>
      <c r="E541" s="1">
        <v>6.82945797425414E-7</v>
      </c>
      <c r="F541" s="1">
        <v>6.82945797425414E-7</v>
      </c>
      <c r="G541">
        <v>0</v>
      </c>
      <c r="H541">
        <v>0</v>
      </c>
      <c r="I541" t="s">
        <v>39</v>
      </c>
    </row>
    <row r="542" spans="1:9" hidden="1" x14ac:dyDescent="0.35">
      <c r="A542" t="s">
        <v>9</v>
      </c>
      <c r="B542">
        <v>2035</v>
      </c>
      <c r="C542" t="s">
        <v>37</v>
      </c>
      <c r="D542" t="s">
        <v>38</v>
      </c>
      <c r="E542">
        <v>3.68884660527852E-3</v>
      </c>
      <c r="F542">
        <v>3.5002663944609098E-3</v>
      </c>
      <c r="G542">
        <v>-1.88580210817614E-4</v>
      </c>
      <c r="H542">
        <v>-5.11217274656439</v>
      </c>
      <c r="I542" t="s">
        <v>39</v>
      </c>
    </row>
    <row r="543" spans="1:9" hidden="1" x14ac:dyDescent="0.35">
      <c r="A543" t="s">
        <v>9</v>
      </c>
      <c r="B543">
        <v>2035</v>
      </c>
      <c r="C543" t="s">
        <v>37</v>
      </c>
      <c r="D543" t="s">
        <v>40</v>
      </c>
      <c r="E543">
        <v>8.0291093166031703E-4</v>
      </c>
      <c r="F543">
        <v>8.0291093166031703E-4</v>
      </c>
      <c r="G543">
        <v>0</v>
      </c>
      <c r="H543">
        <v>0</v>
      </c>
      <c r="I543" t="s">
        <v>39</v>
      </c>
    </row>
    <row r="544" spans="1:9" hidden="1" x14ac:dyDescent="0.35">
      <c r="A544" t="s">
        <v>9</v>
      </c>
      <c r="B544">
        <v>2035</v>
      </c>
      <c r="C544" t="s">
        <v>37</v>
      </c>
      <c r="D544" t="s">
        <v>41</v>
      </c>
      <c r="E544">
        <v>0.61061573980616501</v>
      </c>
      <c r="F544">
        <v>0.48712206683231601</v>
      </c>
      <c r="G544">
        <v>-0.123493672973849</v>
      </c>
      <c r="H544">
        <v>-20.224449669943098</v>
      </c>
      <c r="I544" t="s">
        <v>39</v>
      </c>
    </row>
    <row r="545" spans="1:9" hidden="1" x14ac:dyDescent="0.35">
      <c r="A545" t="s">
        <v>9</v>
      </c>
      <c r="B545">
        <v>2035</v>
      </c>
      <c r="C545" t="s">
        <v>37</v>
      </c>
      <c r="D545" t="s">
        <v>42</v>
      </c>
      <c r="E545">
        <v>10.7229801761218</v>
      </c>
      <c r="F545">
        <v>10.422693083409699</v>
      </c>
      <c r="G545">
        <v>-0.30028709271207998</v>
      </c>
      <c r="H545">
        <v>-2.8004070489728901</v>
      </c>
      <c r="I545" t="s">
        <v>39</v>
      </c>
    </row>
    <row r="546" spans="1:9" hidden="1" x14ac:dyDescent="0.35">
      <c r="A546" t="s">
        <v>9</v>
      </c>
      <c r="B546">
        <v>2035</v>
      </c>
      <c r="C546" t="s">
        <v>37</v>
      </c>
      <c r="D546" t="s">
        <v>43</v>
      </c>
      <c r="E546">
        <v>6.0959528068119401E-3</v>
      </c>
      <c r="F546">
        <v>6.0334662924166E-3</v>
      </c>
      <c r="G546" s="1">
        <v>-6.2486514395347103E-5</v>
      </c>
      <c r="H546">
        <v>-1.0250491822299099</v>
      </c>
      <c r="I546" t="s">
        <v>39</v>
      </c>
    </row>
    <row r="547" spans="1:9" hidden="1" x14ac:dyDescent="0.35">
      <c r="A547" t="s">
        <v>9</v>
      </c>
      <c r="B547">
        <v>2035</v>
      </c>
      <c r="C547" t="s">
        <v>37</v>
      </c>
      <c r="D547" t="s">
        <v>136</v>
      </c>
      <c r="E547">
        <v>7.7706408750484197</v>
      </c>
      <c r="F547">
        <v>7.75774710238524</v>
      </c>
      <c r="G547">
        <v>-1.2893772663184999E-2</v>
      </c>
      <c r="H547">
        <v>-0.165929334150378</v>
      </c>
      <c r="I547" t="s">
        <v>39</v>
      </c>
    </row>
    <row r="548" spans="1:9" hidden="1" x14ac:dyDescent="0.35">
      <c r="A548" t="s">
        <v>9</v>
      </c>
      <c r="B548">
        <v>2035</v>
      </c>
      <c r="C548" t="s">
        <v>37</v>
      </c>
      <c r="D548" t="s">
        <v>45</v>
      </c>
      <c r="E548">
        <v>1.47043786325908</v>
      </c>
      <c r="F548">
        <v>1.1649430812716799</v>
      </c>
      <c r="G548">
        <v>-0.30549478198740099</v>
      </c>
      <c r="H548">
        <v>-20.775769559571899</v>
      </c>
      <c r="I548" t="s">
        <v>39</v>
      </c>
    </row>
    <row r="549" spans="1:9" hidden="1" x14ac:dyDescent="0.35">
      <c r="A549" t="s">
        <v>9</v>
      </c>
      <c r="B549">
        <v>2035</v>
      </c>
      <c r="C549" t="s">
        <v>37</v>
      </c>
      <c r="D549" t="s">
        <v>46</v>
      </c>
      <c r="E549">
        <v>0.32684303140099902</v>
      </c>
      <c r="F549">
        <v>0.32684303140099902</v>
      </c>
      <c r="G549">
        <v>0</v>
      </c>
      <c r="H549">
        <v>0</v>
      </c>
      <c r="I549" t="s">
        <v>39</v>
      </c>
    </row>
    <row r="550" spans="1:9" hidden="1" x14ac:dyDescent="0.35">
      <c r="A550" t="s">
        <v>9</v>
      </c>
      <c r="B550">
        <v>2035</v>
      </c>
      <c r="C550" t="s">
        <v>37</v>
      </c>
      <c r="D550" t="s">
        <v>47</v>
      </c>
      <c r="E550">
        <v>3.5897633271806898E-3</v>
      </c>
      <c r="F550">
        <v>3.5897633271806898E-3</v>
      </c>
      <c r="G550">
        <v>0</v>
      </c>
      <c r="H550">
        <v>0</v>
      </c>
      <c r="I550" t="s">
        <v>39</v>
      </c>
    </row>
    <row r="551" spans="1:9" hidden="1" x14ac:dyDescent="0.35">
      <c r="A551" t="s">
        <v>9</v>
      </c>
      <c r="B551">
        <v>2035</v>
      </c>
      <c r="C551" t="s">
        <v>37</v>
      </c>
      <c r="D551" t="s">
        <v>48</v>
      </c>
      <c r="E551">
        <v>57.894708000414298</v>
      </c>
      <c r="F551">
        <v>57.894708000414298</v>
      </c>
      <c r="G551">
        <v>0</v>
      </c>
      <c r="H551">
        <v>0</v>
      </c>
      <c r="I551" t="s">
        <v>39</v>
      </c>
    </row>
    <row r="552" spans="1:9" hidden="1" x14ac:dyDescent="0.35">
      <c r="A552" t="s">
        <v>9</v>
      </c>
      <c r="B552">
        <v>2035</v>
      </c>
      <c r="C552" t="s">
        <v>37</v>
      </c>
      <c r="D552" t="s">
        <v>49</v>
      </c>
      <c r="E552">
        <v>7.2966355840089996</v>
      </c>
      <c r="F552">
        <v>5.7735678515931301</v>
      </c>
      <c r="G552">
        <v>-1.5230677324158699</v>
      </c>
      <c r="H552">
        <v>-20.873561724169999</v>
      </c>
      <c r="I552" t="s">
        <v>39</v>
      </c>
    </row>
    <row r="553" spans="1:9" hidden="1" x14ac:dyDescent="0.35">
      <c r="A553" t="s">
        <v>9</v>
      </c>
      <c r="B553">
        <v>2035</v>
      </c>
      <c r="C553" t="s">
        <v>37</v>
      </c>
      <c r="D553" t="s">
        <v>50</v>
      </c>
      <c r="E553">
        <v>0.27307529999583002</v>
      </c>
      <c r="F553">
        <v>0.27307529999583002</v>
      </c>
      <c r="G553">
        <v>0</v>
      </c>
      <c r="H553">
        <v>0</v>
      </c>
      <c r="I553" t="s">
        <v>39</v>
      </c>
    </row>
    <row r="554" spans="1:9" hidden="1" x14ac:dyDescent="0.35">
      <c r="A554" t="s">
        <v>9</v>
      </c>
      <c r="B554">
        <v>2035</v>
      </c>
      <c r="C554" t="s">
        <v>37</v>
      </c>
      <c r="D554" t="s">
        <v>51</v>
      </c>
      <c r="E554">
        <v>0.18903783889637399</v>
      </c>
      <c r="F554">
        <v>0.18903783889637399</v>
      </c>
      <c r="G554">
        <v>0</v>
      </c>
      <c r="H554">
        <v>0</v>
      </c>
      <c r="I554" t="s">
        <v>39</v>
      </c>
    </row>
    <row r="555" spans="1:9" hidden="1" x14ac:dyDescent="0.35">
      <c r="A555" t="s">
        <v>9</v>
      </c>
      <c r="B555">
        <v>2035</v>
      </c>
      <c r="C555" t="s">
        <v>37</v>
      </c>
      <c r="D555" t="s">
        <v>52</v>
      </c>
      <c r="E555">
        <v>1.14078676197819</v>
      </c>
      <c r="F555">
        <v>1.14078676197819</v>
      </c>
      <c r="G555">
        <v>0</v>
      </c>
      <c r="H555">
        <v>0</v>
      </c>
      <c r="I555" t="s">
        <v>39</v>
      </c>
    </row>
    <row r="556" spans="1:9" hidden="1" x14ac:dyDescent="0.35">
      <c r="A556" t="s">
        <v>9</v>
      </c>
      <c r="B556">
        <v>2035</v>
      </c>
      <c r="C556" t="s">
        <v>37</v>
      </c>
      <c r="D556" t="s">
        <v>53</v>
      </c>
      <c r="E556">
        <v>2.9173998892094199</v>
      </c>
      <c r="F556">
        <v>2.9173998892094199</v>
      </c>
      <c r="G556">
        <v>0</v>
      </c>
      <c r="H556">
        <v>0</v>
      </c>
      <c r="I556" t="s">
        <v>39</v>
      </c>
    </row>
    <row r="557" spans="1:9" hidden="1" x14ac:dyDescent="0.35">
      <c r="A557" t="s">
        <v>9</v>
      </c>
      <c r="B557">
        <v>2035</v>
      </c>
      <c r="C557" t="s">
        <v>37</v>
      </c>
      <c r="D557" t="s">
        <v>54</v>
      </c>
      <c r="E557">
        <v>1.5413666320250601</v>
      </c>
      <c r="F557">
        <v>1.5413017816803001</v>
      </c>
      <c r="G557" s="1">
        <v>-6.4850344762001897E-5</v>
      </c>
      <c r="H557">
        <v>-4.2073276671884697E-3</v>
      </c>
      <c r="I557" t="s">
        <v>39</v>
      </c>
    </row>
    <row r="558" spans="1:9" hidden="1" x14ac:dyDescent="0.35">
      <c r="A558" t="s">
        <v>9</v>
      </c>
      <c r="B558">
        <v>2035</v>
      </c>
      <c r="C558" t="s">
        <v>37</v>
      </c>
      <c r="D558" t="s">
        <v>55</v>
      </c>
      <c r="E558">
        <v>1.4601338875943399</v>
      </c>
      <c r="F558">
        <v>1.4531088774979499</v>
      </c>
      <c r="G558">
        <v>-7.0250100963868897E-3</v>
      </c>
      <c r="H558">
        <v>-0.48112095445993802</v>
      </c>
      <c r="I558" t="s">
        <v>39</v>
      </c>
    </row>
    <row r="559" spans="1:9" hidden="1" x14ac:dyDescent="0.35">
      <c r="A559" t="s">
        <v>9</v>
      </c>
      <c r="B559">
        <v>2035</v>
      </c>
      <c r="C559" t="s">
        <v>37</v>
      </c>
      <c r="D559" t="s">
        <v>56</v>
      </c>
      <c r="E559" s="1">
        <v>7.0415564438257895E-7</v>
      </c>
      <c r="F559" s="1">
        <v>7.0415564438257895E-7</v>
      </c>
      <c r="G559">
        <v>0</v>
      </c>
      <c r="H559">
        <v>0</v>
      </c>
      <c r="I559" t="s">
        <v>39</v>
      </c>
    </row>
    <row r="560" spans="1:9" hidden="1" x14ac:dyDescent="0.35">
      <c r="A560" t="s">
        <v>11</v>
      </c>
      <c r="B560">
        <v>2040</v>
      </c>
      <c r="C560" t="s">
        <v>37</v>
      </c>
      <c r="D560" t="s">
        <v>38</v>
      </c>
      <c r="E560">
        <v>3.3786821220219698E-3</v>
      </c>
      <c r="F560">
        <v>2.5034670098800899E-3</v>
      </c>
      <c r="G560">
        <v>-8.7521511214188696E-4</v>
      </c>
      <c r="H560">
        <v>-25.9040383360513</v>
      </c>
      <c r="I560" t="s">
        <v>39</v>
      </c>
    </row>
    <row r="561" spans="1:9" hidden="1" x14ac:dyDescent="0.35">
      <c r="A561" t="s">
        <v>11</v>
      </c>
      <c r="B561">
        <v>2040</v>
      </c>
      <c r="C561" t="s">
        <v>37</v>
      </c>
      <c r="D561" t="s">
        <v>40</v>
      </c>
      <c r="E561">
        <v>7.8103817223948901E-4</v>
      </c>
      <c r="F561">
        <v>7.8103817223948901E-4</v>
      </c>
      <c r="G561">
        <v>0</v>
      </c>
      <c r="H561">
        <v>0</v>
      </c>
      <c r="I561" t="s">
        <v>39</v>
      </c>
    </row>
    <row r="562" spans="1:9" hidden="1" x14ac:dyDescent="0.35">
      <c r="A562" t="s">
        <v>11</v>
      </c>
      <c r="B562">
        <v>2040</v>
      </c>
      <c r="C562" t="s">
        <v>37</v>
      </c>
      <c r="D562" t="s">
        <v>41</v>
      </c>
      <c r="E562">
        <v>0.60997351599653205</v>
      </c>
      <c r="F562">
        <v>3.8973862869507298E-2</v>
      </c>
      <c r="G562">
        <v>-0.57099965312702505</v>
      </c>
      <c r="H562">
        <v>-93.610564746268594</v>
      </c>
      <c r="I562" t="s">
        <v>39</v>
      </c>
    </row>
    <row r="563" spans="1:9" hidden="1" x14ac:dyDescent="0.35">
      <c r="A563" t="s">
        <v>11</v>
      </c>
      <c r="B563">
        <v>2040</v>
      </c>
      <c r="C563" t="s">
        <v>37</v>
      </c>
      <c r="D563" t="s">
        <v>42</v>
      </c>
      <c r="E563">
        <v>10.5146816906714</v>
      </c>
      <c r="F563">
        <v>9.1562510610548404</v>
      </c>
      <c r="G563">
        <v>-1.35843062961662</v>
      </c>
      <c r="H563">
        <v>-12.9193699779025</v>
      </c>
      <c r="I563" t="s">
        <v>39</v>
      </c>
    </row>
    <row r="564" spans="1:9" hidden="1" x14ac:dyDescent="0.35">
      <c r="A564" t="s">
        <v>11</v>
      </c>
      <c r="B564">
        <v>2040</v>
      </c>
      <c r="C564" t="s">
        <v>37</v>
      </c>
      <c r="D564" t="s">
        <v>43</v>
      </c>
      <c r="E564">
        <v>5.7600997152640401E-3</v>
      </c>
      <c r="F564">
        <v>5.4766768498613304E-3</v>
      </c>
      <c r="G564">
        <v>-2.8342286540270102E-4</v>
      </c>
      <c r="H564">
        <v>-4.9204506764291303</v>
      </c>
      <c r="I564" t="s">
        <v>39</v>
      </c>
    </row>
    <row r="565" spans="1:9" hidden="1" x14ac:dyDescent="0.35">
      <c r="A565" t="s">
        <v>11</v>
      </c>
      <c r="B565">
        <v>2040</v>
      </c>
      <c r="C565" t="s">
        <v>37</v>
      </c>
      <c r="D565" t="s">
        <v>136</v>
      </c>
      <c r="E565">
        <v>7.5264087295280397</v>
      </c>
      <c r="F565">
        <v>7.4217486639406198</v>
      </c>
      <c r="G565">
        <v>-0.10466006558742499</v>
      </c>
      <c r="H565">
        <v>-1.39057111231305</v>
      </c>
      <c r="I565" t="s">
        <v>39</v>
      </c>
    </row>
    <row r="566" spans="1:9" hidden="1" x14ac:dyDescent="0.35">
      <c r="A566" t="s">
        <v>11</v>
      </c>
      <c r="B566">
        <v>2040</v>
      </c>
      <c r="C566" t="s">
        <v>37</v>
      </c>
      <c r="D566" t="s">
        <v>45</v>
      </c>
      <c r="E566">
        <v>1.4689063824315201</v>
      </c>
      <c r="F566">
        <v>5.6093556964297901E-2</v>
      </c>
      <c r="G566">
        <v>-1.4128128254672301</v>
      </c>
      <c r="H566">
        <v>-96.181270798793506</v>
      </c>
      <c r="I566" t="s">
        <v>39</v>
      </c>
    </row>
    <row r="567" spans="1:9" hidden="1" x14ac:dyDescent="0.35">
      <c r="A567" t="s">
        <v>11</v>
      </c>
      <c r="B567">
        <v>2040</v>
      </c>
      <c r="C567" t="s">
        <v>37</v>
      </c>
      <c r="D567" t="s">
        <v>46</v>
      </c>
      <c r="E567">
        <v>0.407851465997283</v>
      </c>
      <c r="F567">
        <v>0.407851465997283</v>
      </c>
      <c r="G567">
        <v>0</v>
      </c>
      <c r="H567">
        <v>0</v>
      </c>
      <c r="I567" t="s">
        <v>39</v>
      </c>
    </row>
    <row r="568" spans="1:9" hidden="1" x14ac:dyDescent="0.35">
      <c r="A568" t="s">
        <v>11</v>
      </c>
      <c r="B568">
        <v>2040</v>
      </c>
      <c r="C568" t="s">
        <v>37</v>
      </c>
      <c r="D568" t="s">
        <v>47</v>
      </c>
      <c r="E568">
        <v>3.2809663681212099E-3</v>
      </c>
      <c r="F568">
        <v>3.2809663681212099E-3</v>
      </c>
      <c r="G568">
        <v>0</v>
      </c>
      <c r="H568">
        <v>0</v>
      </c>
      <c r="I568" t="s">
        <v>39</v>
      </c>
    </row>
    <row r="569" spans="1:9" hidden="1" x14ac:dyDescent="0.35">
      <c r="A569" t="s">
        <v>11</v>
      </c>
      <c r="B569">
        <v>2040</v>
      </c>
      <c r="C569" t="s">
        <v>37</v>
      </c>
      <c r="D569" t="s">
        <v>48</v>
      </c>
      <c r="E569">
        <v>57.8987340098167</v>
      </c>
      <c r="F569">
        <v>57.8987340098167</v>
      </c>
      <c r="G569">
        <v>0</v>
      </c>
      <c r="H569">
        <v>0</v>
      </c>
      <c r="I569" t="s">
        <v>39</v>
      </c>
    </row>
    <row r="570" spans="1:9" hidden="1" x14ac:dyDescent="0.35">
      <c r="A570" t="s">
        <v>11</v>
      </c>
      <c r="B570">
        <v>2040</v>
      </c>
      <c r="C570" t="s">
        <v>37</v>
      </c>
      <c r="D570" t="s">
        <v>49</v>
      </c>
      <c r="E570">
        <v>7.2927669710027496</v>
      </c>
      <c r="F570">
        <v>0.250535511527398</v>
      </c>
      <c r="G570">
        <v>-7.0422314594753601</v>
      </c>
      <c r="H570">
        <v>-96.564602810927994</v>
      </c>
      <c r="I570" t="s">
        <v>39</v>
      </c>
    </row>
    <row r="571" spans="1:9" hidden="1" x14ac:dyDescent="0.35">
      <c r="A571" t="s">
        <v>11</v>
      </c>
      <c r="B571">
        <v>2040</v>
      </c>
      <c r="C571" t="s">
        <v>37</v>
      </c>
      <c r="D571" t="s">
        <v>50</v>
      </c>
      <c r="E571">
        <v>0.27070418433895799</v>
      </c>
      <c r="F571">
        <v>0.27070418433895799</v>
      </c>
      <c r="G571">
        <v>0</v>
      </c>
      <c r="H571">
        <v>0</v>
      </c>
      <c r="I571" t="s">
        <v>39</v>
      </c>
    </row>
    <row r="572" spans="1:9" hidden="1" x14ac:dyDescent="0.35">
      <c r="A572" t="s">
        <v>11</v>
      </c>
      <c r="B572">
        <v>2040</v>
      </c>
      <c r="C572" t="s">
        <v>37</v>
      </c>
      <c r="D572" t="s">
        <v>51</v>
      </c>
      <c r="E572">
        <v>0.188751458112833</v>
      </c>
      <c r="F572">
        <v>0.188751458112833</v>
      </c>
      <c r="G572">
        <v>0</v>
      </c>
      <c r="H572">
        <v>0</v>
      </c>
      <c r="I572" t="s">
        <v>39</v>
      </c>
    </row>
    <row r="573" spans="1:9" hidden="1" x14ac:dyDescent="0.35">
      <c r="A573" t="s">
        <v>11</v>
      </c>
      <c r="B573">
        <v>2040</v>
      </c>
      <c r="C573" t="s">
        <v>37</v>
      </c>
      <c r="D573" t="s">
        <v>52</v>
      </c>
      <c r="E573">
        <v>0.95630940125562303</v>
      </c>
      <c r="F573">
        <v>0.95630940125562303</v>
      </c>
      <c r="G573">
        <v>0</v>
      </c>
      <c r="H573">
        <v>0</v>
      </c>
      <c r="I573" t="s">
        <v>39</v>
      </c>
    </row>
    <row r="574" spans="1:9" hidden="1" x14ac:dyDescent="0.35">
      <c r="A574" t="s">
        <v>11</v>
      </c>
      <c r="B574">
        <v>2040</v>
      </c>
      <c r="C574" t="s">
        <v>37</v>
      </c>
      <c r="D574" t="s">
        <v>53</v>
      </c>
      <c r="E574">
        <v>2.87262684576466</v>
      </c>
      <c r="F574">
        <v>2.87262684576466</v>
      </c>
      <c r="G574">
        <v>0</v>
      </c>
      <c r="H574">
        <v>0</v>
      </c>
      <c r="I574" t="s">
        <v>39</v>
      </c>
    </row>
    <row r="575" spans="1:9" hidden="1" x14ac:dyDescent="0.35">
      <c r="A575" t="s">
        <v>11</v>
      </c>
      <c r="B575">
        <v>2040</v>
      </c>
      <c r="C575" t="s">
        <v>37</v>
      </c>
      <c r="D575" t="s">
        <v>54</v>
      </c>
      <c r="E575">
        <v>1.5379148551792099</v>
      </c>
      <c r="F575">
        <v>1.5376140985921201</v>
      </c>
      <c r="G575">
        <v>-3.0075658708739102E-4</v>
      </c>
      <c r="H575">
        <v>-1.9556127315796298E-2</v>
      </c>
      <c r="I575" t="s">
        <v>39</v>
      </c>
    </row>
    <row r="576" spans="1:9" hidden="1" x14ac:dyDescent="0.35">
      <c r="A576" t="s">
        <v>11</v>
      </c>
      <c r="B576">
        <v>2040</v>
      </c>
      <c r="C576" t="s">
        <v>37</v>
      </c>
      <c r="D576" t="s">
        <v>55</v>
      </c>
      <c r="E576">
        <v>1.45675277068148</v>
      </c>
      <c r="F576">
        <v>1.4246806399555101</v>
      </c>
      <c r="G576">
        <v>-3.2072130725964799E-2</v>
      </c>
      <c r="H576">
        <v>-2.2016179664419799</v>
      </c>
      <c r="I576" t="s">
        <v>39</v>
      </c>
    </row>
    <row r="577" spans="1:9" hidden="1" x14ac:dyDescent="0.35">
      <c r="A577" t="s">
        <v>11</v>
      </c>
      <c r="B577">
        <v>2040</v>
      </c>
      <c r="C577" t="s">
        <v>37</v>
      </c>
      <c r="D577" t="s">
        <v>56</v>
      </c>
      <c r="E577" s="1">
        <v>7.1828062991988795E-7</v>
      </c>
      <c r="F577" s="1">
        <v>7.1828062991988795E-7</v>
      </c>
      <c r="G577">
        <v>0</v>
      </c>
      <c r="H577">
        <v>0</v>
      </c>
      <c r="I577" t="s">
        <v>39</v>
      </c>
    </row>
    <row r="578" spans="1:9" hidden="1" x14ac:dyDescent="0.35">
      <c r="A578" t="s">
        <v>5</v>
      </c>
      <c r="B578">
        <v>2025</v>
      </c>
      <c r="C578" t="s">
        <v>125</v>
      </c>
      <c r="D578" t="s">
        <v>38</v>
      </c>
      <c r="E578">
        <v>2.26464731347488E-3</v>
      </c>
      <c r="F578">
        <v>2.26464731347488E-3</v>
      </c>
      <c r="G578">
        <v>0</v>
      </c>
      <c r="H578">
        <v>0</v>
      </c>
      <c r="I578" t="s">
        <v>126</v>
      </c>
    </row>
    <row r="579" spans="1:9" hidden="1" x14ac:dyDescent="0.35">
      <c r="A579" t="s">
        <v>5</v>
      </c>
      <c r="B579">
        <v>2025</v>
      </c>
      <c r="C579" t="s">
        <v>125</v>
      </c>
      <c r="D579" t="s">
        <v>40</v>
      </c>
      <c r="E579">
        <v>1.2514275961541199E-2</v>
      </c>
      <c r="F579">
        <v>1.2514275961541199E-2</v>
      </c>
      <c r="G579">
        <v>0</v>
      </c>
      <c r="H579">
        <v>0</v>
      </c>
      <c r="I579" t="s">
        <v>126</v>
      </c>
    </row>
    <row r="580" spans="1:9" hidden="1" x14ac:dyDescent="0.35">
      <c r="A580" t="s">
        <v>5</v>
      </c>
      <c r="B580">
        <v>2025</v>
      </c>
      <c r="C580" t="s">
        <v>125</v>
      </c>
      <c r="D580" t="s">
        <v>41</v>
      </c>
      <c r="E580">
        <v>0.16752479761606101</v>
      </c>
      <c r="F580">
        <v>0.16752479761606101</v>
      </c>
      <c r="G580">
        <v>0</v>
      </c>
      <c r="H580">
        <v>0</v>
      </c>
      <c r="I580" t="s">
        <v>126</v>
      </c>
    </row>
    <row r="581" spans="1:9" hidden="1" x14ac:dyDescent="0.35">
      <c r="A581" t="s">
        <v>5</v>
      </c>
      <c r="B581">
        <v>2025</v>
      </c>
      <c r="C581" t="s">
        <v>125</v>
      </c>
      <c r="D581" t="s">
        <v>42</v>
      </c>
      <c r="E581">
        <v>43.335178399327603</v>
      </c>
      <c r="F581">
        <v>43.335178399327603</v>
      </c>
      <c r="G581">
        <v>0</v>
      </c>
      <c r="H581">
        <v>0</v>
      </c>
      <c r="I581" t="s">
        <v>126</v>
      </c>
    </row>
    <row r="582" spans="1:9" hidden="1" x14ac:dyDescent="0.35">
      <c r="A582" t="s">
        <v>5</v>
      </c>
      <c r="B582">
        <v>2025</v>
      </c>
      <c r="C582" t="s">
        <v>125</v>
      </c>
      <c r="D582" t="s">
        <v>43</v>
      </c>
      <c r="E582">
        <v>5.5382433955091903E-2</v>
      </c>
      <c r="F582">
        <v>5.5382433955091903E-2</v>
      </c>
      <c r="G582">
        <v>0</v>
      </c>
      <c r="H582">
        <v>0</v>
      </c>
      <c r="I582" t="s">
        <v>126</v>
      </c>
    </row>
    <row r="583" spans="1:9" hidden="1" x14ac:dyDescent="0.35">
      <c r="A583" t="s">
        <v>5</v>
      </c>
      <c r="B583">
        <v>2025</v>
      </c>
      <c r="C583" t="s">
        <v>125</v>
      </c>
      <c r="D583" t="s">
        <v>136</v>
      </c>
      <c r="E583">
        <v>4.6368287121901597</v>
      </c>
      <c r="F583">
        <v>4.6368287121901597</v>
      </c>
      <c r="G583">
        <v>0</v>
      </c>
      <c r="H583">
        <v>0</v>
      </c>
      <c r="I583" t="s">
        <v>126</v>
      </c>
    </row>
    <row r="584" spans="1:9" hidden="1" x14ac:dyDescent="0.35">
      <c r="A584" t="s">
        <v>5</v>
      </c>
      <c r="B584">
        <v>2025</v>
      </c>
      <c r="C584" t="s">
        <v>125</v>
      </c>
      <c r="D584" t="s">
        <v>45</v>
      </c>
      <c r="E584">
        <v>5.3232029845115603E-2</v>
      </c>
      <c r="F584">
        <v>5.3232029845115603E-2</v>
      </c>
      <c r="G584">
        <v>0</v>
      </c>
      <c r="H584">
        <v>0</v>
      </c>
      <c r="I584" t="s">
        <v>126</v>
      </c>
    </row>
    <row r="585" spans="1:9" hidden="1" x14ac:dyDescent="0.35">
      <c r="A585" t="s">
        <v>5</v>
      </c>
      <c r="B585">
        <v>2025</v>
      </c>
      <c r="C585" t="s">
        <v>125</v>
      </c>
      <c r="D585" t="s">
        <v>46</v>
      </c>
      <c r="E585">
        <v>0.17799058596204201</v>
      </c>
      <c r="F585">
        <v>0.17799058596204201</v>
      </c>
      <c r="G585">
        <v>0</v>
      </c>
      <c r="H585">
        <v>0</v>
      </c>
      <c r="I585" t="s">
        <v>126</v>
      </c>
    </row>
    <row r="586" spans="1:9" hidden="1" x14ac:dyDescent="0.35">
      <c r="A586" t="s">
        <v>5</v>
      </c>
      <c r="B586">
        <v>2025</v>
      </c>
      <c r="C586" t="s">
        <v>125</v>
      </c>
      <c r="D586" t="s">
        <v>47</v>
      </c>
      <c r="E586">
        <v>1.00368771299026E-2</v>
      </c>
      <c r="F586">
        <v>1.00368771299026E-2</v>
      </c>
      <c r="G586">
        <v>0</v>
      </c>
      <c r="H586">
        <v>0</v>
      </c>
      <c r="I586" t="s">
        <v>126</v>
      </c>
    </row>
    <row r="587" spans="1:9" hidden="1" x14ac:dyDescent="0.35">
      <c r="A587" t="s">
        <v>5</v>
      </c>
      <c r="B587">
        <v>2025</v>
      </c>
      <c r="C587" t="s">
        <v>125</v>
      </c>
      <c r="D587" t="s">
        <v>48</v>
      </c>
      <c r="E587">
        <v>19.614967993837599</v>
      </c>
      <c r="F587">
        <v>19.614967993837599</v>
      </c>
      <c r="G587">
        <v>0</v>
      </c>
      <c r="H587">
        <v>0</v>
      </c>
      <c r="I587" t="s">
        <v>126</v>
      </c>
    </row>
    <row r="588" spans="1:9" hidden="1" x14ac:dyDescent="0.35">
      <c r="A588" t="s">
        <v>5</v>
      </c>
      <c r="B588">
        <v>2025</v>
      </c>
      <c r="C588" t="s">
        <v>125</v>
      </c>
      <c r="D588" t="s">
        <v>49</v>
      </c>
      <c r="E588">
        <v>0.19294747651845101</v>
      </c>
      <c r="F588">
        <v>0.19294747651845101</v>
      </c>
      <c r="G588">
        <v>0</v>
      </c>
      <c r="H588">
        <v>0</v>
      </c>
      <c r="I588" t="s">
        <v>126</v>
      </c>
    </row>
    <row r="589" spans="1:9" hidden="1" x14ac:dyDescent="0.35">
      <c r="A589" t="s">
        <v>5</v>
      </c>
      <c r="B589">
        <v>2025</v>
      </c>
      <c r="C589" t="s">
        <v>125</v>
      </c>
      <c r="D589" t="s">
        <v>50</v>
      </c>
      <c r="E589">
        <v>8.70270517832301E-2</v>
      </c>
      <c r="F589">
        <v>8.70270517832301E-2</v>
      </c>
      <c r="G589">
        <v>0</v>
      </c>
      <c r="H589">
        <v>0</v>
      </c>
      <c r="I589" t="s">
        <v>126</v>
      </c>
    </row>
    <row r="590" spans="1:9" hidden="1" x14ac:dyDescent="0.35">
      <c r="A590" t="s">
        <v>5</v>
      </c>
      <c r="B590">
        <v>2025</v>
      </c>
      <c r="C590" t="s">
        <v>125</v>
      </c>
      <c r="D590" t="s">
        <v>51</v>
      </c>
      <c r="E590">
        <v>0.33175305716014197</v>
      </c>
      <c r="F590">
        <v>0.33175305716014197</v>
      </c>
      <c r="G590">
        <v>0</v>
      </c>
      <c r="H590">
        <v>0</v>
      </c>
      <c r="I590" t="s">
        <v>126</v>
      </c>
    </row>
    <row r="591" spans="1:9" hidden="1" x14ac:dyDescent="0.35">
      <c r="A591" t="s">
        <v>5</v>
      </c>
      <c r="B591">
        <v>2025</v>
      </c>
      <c r="C591" t="s">
        <v>125</v>
      </c>
      <c r="D591" t="s">
        <v>52</v>
      </c>
      <c r="E591">
        <v>0.21806371337328401</v>
      </c>
      <c r="F591">
        <v>0.21806371337328401</v>
      </c>
      <c r="G591">
        <v>0</v>
      </c>
      <c r="H591">
        <v>0</v>
      </c>
      <c r="I591" t="s">
        <v>126</v>
      </c>
    </row>
    <row r="592" spans="1:9" hidden="1" x14ac:dyDescent="0.35">
      <c r="A592" t="s">
        <v>5</v>
      </c>
      <c r="B592">
        <v>2025</v>
      </c>
      <c r="C592" t="s">
        <v>125</v>
      </c>
      <c r="D592" t="s">
        <v>53</v>
      </c>
      <c r="E592">
        <v>1.3696426352610001</v>
      </c>
      <c r="F592">
        <v>1.3696426352610001</v>
      </c>
      <c r="G592">
        <v>0</v>
      </c>
      <c r="H592">
        <v>0</v>
      </c>
      <c r="I592" t="s">
        <v>126</v>
      </c>
    </row>
    <row r="593" spans="1:9" hidden="1" x14ac:dyDescent="0.35">
      <c r="A593" t="s">
        <v>5</v>
      </c>
      <c r="B593">
        <v>2025</v>
      </c>
      <c r="C593" t="s">
        <v>125</v>
      </c>
      <c r="D593" t="s">
        <v>54</v>
      </c>
      <c r="E593">
        <v>3.4611001173004898</v>
      </c>
      <c r="F593">
        <v>3.4611001173004898</v>
      </c>
      <c r="G593">
        <v>0</v>
      </c>
      <c r="H593">
        <v>0</v>
      </c>
      <c r="I593" t="s">
        <v>126</v>
      </c>
    </row>
    <row r="594" spans="1:9" hidden="1" x14ac:dyDescent="0.35">
      <c r="A594" t="s">
        <v>5</v>
      </c>
      <c r="B594">
        <v>2025</v>
      </c>
      <c r="C594" t="s">
        <v>125</v>
      </c>
      <c r="D594" t="s">
        <v>55</v>
      </c>
      <c r="E594">
        <v>2.9958941145517999</v>
      </c>
      <c r="F594">
        <v>2.9958941145517999</v>
      </c>
      <c r="G594">
        <v>0</v>
      </c>
      <c r="H594">
        <v>0</v>
      </c>
      <c r="I594" t="s">
        <v>126</v>
      </c>
    </row>
    <row r="595" spans="1:9" hidden="1" x14ac:dyDescent="0.35">
      <c r="A595" t="s">
        <v>5</v>
      </c>
      <c r="B595">
        <v>2025</v>
      </c>
      <c r="C595" t="s">
        <v>125</v>
      </c>
      <c r="D595" t="s">
        <v>56</v>
      </c>
      <c r="E595" s="1">
        <v>2.9484748129551798E-7</v>
      </c>
      <c r="F595" s="1">
        <v>2.9484748129551798E-7</v>
      </c>
      <c r="G595">
        <v>0</v>
      </c>
      <c r="H595">
        <v>0</v>
      </c>
      <c r="I595" t="s">
        <v>126</v>
      </c>
    </row>
    <row r="596" spans="1:9" hidden="1" x14ac:dyDescent="0.35">
      <c r="A596" t="s">
        <v>7</v>
      </c>
      <c r="B596">
        <v>2030</v>
      </c>
      <c r="C596" t="s">
        <v>125</v>
      </c>
      <c r="D596" t="s">
        <v>38</v>
      </c>
      <c r="E596">
        <v>2.31680641095274E-3</v>
      </c>
      <c r="F596">
        <v>2.27726610681638E-3</v>
      </c>
      <c r="G596" s="1">
        <v>-3.9540304136365998E-5</v>
      </c>
      <c r="H596">
        <v>-1.7066727694397901</v>
      </c>
      <c r="I596" t="s">
        <v>126</v>
      </c>
    </row>
    <row r="597" spans="1:9" hidden="1" x14ac:dyDescent="0.35">
      <c r="A597" t="s">
        <v>7</v>
      </c>
      <c r="B597">
        <v>2030</v>
      </c>
      <c r="C597" t="s">
        <v>125</v>
      </c>
      <c r="D597" t="s">
        <v>40</v>
      </c>
      <c r="E597">
        <v>1.2575254693693199E-2</v>
      </c>
      <c r="F597">
        <v>1.2575254693693199E-2</v>
      </c>
      <c r="G597">
        <v>0</v>
      </c>
      <c r="H597">
        <v>0</v>
      </c>
      <c r="I597" t="s">
        <v>126</v>
      </c>
    </row>
    <row r="598" spans="1:9" hidden="1" x14ac:dyDescent="0.35">
      <c r="A598" t="s">
        <v>7</v>
      </c>
      <c r="B598">
        <v>2030</v>
      </c>
      <c r="C598" t="s">
        <v>125</v>
      </c>
      <c r="D598" t="s">
        <v>41</v>
      </c>
      <c r="E598">
        <v>0.16580342012235599</v>
      </c>
      <c r="F598">
        <v>0.16311230132826299</v>
      </c>
      <c r="G598">
        <v>-2.6911187940928602E-3</v>
      </c>
      <c r="H598">
        <v>-1.62307797517501</v>
      </c>
      <c r="I598" t="s">
        <v>126</v>
      </c>
    </row>
    <row r="599" spans="1:9" hidden="1" x14ac:dyDescent="0.35">
      <c r="A599" t="s">
        <v>7</v>
      </c>
      <c r="B599">
        <v>2030</v>
      </c>
      <c r="C599" t="s">
        <v>125</v>
      </c>
      <c r="D599" t="s">
        <v>42</v>
      </c>
      <c r="E599">
        <v>43.015020092601503</v>
      </c>
      <c r="F599">
        <v>42.996509185683799</v>
      </c>
      <c r="G599">
        <v>-1.8510906917654699E-2</v>
      </c>
      <c r="H599">
        <v>-4.3033588913372597E-2</v>
      </c>
      <c r="I599" t="s">
        <v>126</v>
      </c>
    </row>
    <row r="600" spans="1:9" hidden="1" x14ac:dyDescent="0.35">
      <c r="A600" t="s">
        <v>7</v>
      </c>
      <c r="B600">
        <v>2030</v>
      </c>
      <c r="C600" t="s">
        <v>125</v>
      </c>
      <c r="D600" t="s">
        <v>43</v>
      </c>
      <c r="E600">
        <v>5.4694354743066997E-2</v>
      </c>
      <c r="F600">
        <v>5.4694319524363599E-2</v>
      </c>
      <c r="G600" s="1">
        <v>-3.5218703405004397E-8</v>
      </c>
      <c r="H600" s="1">
        <v>-6.4391843674632001E-5</v>
      </c>
      <c r="I600" t="s">
        <v>126</v>
      </c>
    </row>
    <row r="601" spans="1:9" hidden="1" x14ac:dyDescent="0.35">
      <c r="A601" t="s">
        <v>7</v>
      </c>
      <c r="B601">
        <v>2030</v>
      </c>
      <c r="C601" t="s">
        <v>125</v>
      </c>
      <c r="D601" t="s">
        <v>136</v>
      </c>
      <c r="E601">
        <v>3.95913721714042</v>
      </c>
      <c r="F601">
        <v>3.9587824035744199</v>
      </c>
      <c r="G601">
        <v>-3.54813565991651E-4</v>
      </c>
      <c r="H601">
        <v>-8.9618911023226396E-3</v>
      </c>
      <c r="I601" t="s">
        <v>126</v>
      </c>
    </row>
    <row r="602" spans="1:9" hidden="1" x14ac:dyDescent="0.35">
      <c r="A602" t="s">
        <v>7</v>
      </c>
      <c r="B602">
        <v>2030</v>
      </c>
      <c r="C602" t="s">
        <v>125</v>
      </c>
      <c r="D602" t="s">
        <v>45</v>
      </c>
      <c r="E602">
        <v>5.15543209837033E-2</v>
      </c>
      <c r="F602">
        <v>4.4903858369313397E-2</v>
      </c>
      <c r="G602">
        <v>-6.6504626143899098E-3</v>
      </c>
      <c r="H602">
        <v>-12.899913115899899</v>
      </c>
      <c r="I602" t="s">
        <v>126</v>
      </c>
    </row>
    <row r="603" spans="1:9" hidden="1" x14ac:dyDescent="0.35">
      <c r="A603" t="s">
        <v>7</v>
      </c>
      <c r="B603">
        <v>2030</v>
      </c>
      <c r="C603" t="s">
        <v>125</v>
      </c>
      <c r="D603" t="s">
        <v>46</v>
      </c>
      <c r="E603">
        <v>0.19471754262147101</v>
      </c>
      <c r="F603">
        <v>0.19471754262147101</v>
      </c>
      <c r="G603">
        <v>0</v>
      </c>
      <c r="H603">
        <v>0</v>
      </c>
      <c r="I603" t="s">
        <v>126</v>
      </c>
    </row>
    <row r="604" spans="1:9" hidden="1" x14ac:dyDescent="0.35">
      <c r="A604" t="s">
        <v>7</v>
      </c>
      <c r="B604">
        <v>2030</v>
      </c>
      <c r="C604" t="s">
        <v>125</v>
      </c>
      <c r="D604" t="s">
        <v>47</v>
      </c>
      <c r="E604">
        <v>9.6049289306902996E-3</v>
      </c>
      <c r="F604">
        <v>9.6049289306902996E-3</v>
      </c>
      <c r="G604">
        <v>0</v>
      </c>
      <c r="H604">
        <v>0</v>
      </c>
      <c r="I604" t="s">
        <v>126</v>
      </c>
    </row>
    <row r="605" spans="1:9" hidden="1" x14ac:dyDescent="0.35">
      <c r="A605" t="s">
        <v>7</v>
      </c>
      <c r="B605">
        <v>2030</v>
      </c>
      <c r="C605" t="s">
        <v>125</v>
      </c>
      <c r="D605" t="s">
        <v>48</v>
      </c>
      <c r="E605">
        <v>19.6184733976304</v>
      </c>
      <c r="F605">
        <v>19.6184733976304</v>
      </c>
      <c r="G605">
        <v>0</v>
      </c>
      <c r="H605">
        <v>0</v>
      </c>
      <c r="I605" t="s">
        <v>126</v>
      </c>
    </row>
    <row r="606" spans="1:9" hidden="1" x14ac:dyDescent="0.35">
      <c r="A606" t="s">
        <v>7</v>
      </c>
      <c r="B606">
        <v>2030</v>
      </c>
      <c r="C606" t="s">
        <v>125</v>
      </c>
      <c r="D606" t="s">
        <v>49</v>
      </c>
      <c r="E606">
        <v>0.186425941012834</v>
      </c>
      <c r="F606">
        <v>0.15323654031855499</v>
      </c>
      <c r="G606">
        <v>-3.3189400694279399E-2</v>
      </c>
      <c r="H606">
        <v>-17.802994858958101</v>
      </c>
      <c r="I606" t="s">
        <v>126</v>
      </c>
    </row>
    <row r="607" spans="1:9" hidden="1" x14ac:dyDescent="0.35">
      <c r="A607" t="s">
        <v>7</v>
      </c>
      <c r="B607">
        <v>2030</v>
      </c>
      <c r="C607" t="s">
        <v>125</v>
      </c>
      <c r="D607" t="s">
        <v>50</v>
      </c>
      <c r="E607">
        <v>8.5916169654691496E-2</v>
      </c>
      <c r="F607">
        <v>8.5916169654691496E-2</v>
      </c>
      <c r="G607">
        <v>0</v>
      </c>
      <c r="H607">
        <v>0</v>
      </c>
      <c r="I607" t="s">
        <v>126</v>
      </c>
    </row>
    <row r="608" spans="1:9" hidden="1" x14ac:dyDescent="0.35">
      <c r="A608" t="s">
        <v>7</v>
      </c>
      <c r="B608">
        <v>2030</v>
      </c>
      <c r="C608" t="s">
        <v>125</v>
      </c>
      <c r="D608" t="s">
        <v>51</v>
      </c>
      <c r="E608">
        <v>0.33082923424685601</v>
      </c>
      <c r="F608">
        <v>0.33082923424685601</v>
      </c>
      <c r="G608">
        <v>0</v>
      </c>
      <c r="H608">
        <v>0</v>
      </c>
      <c r="I608" t="s">
        <v>126</v>
      </c>
    </row>
    <row r="609" spans="1:9" hidden="1" x14ac:dyDescent="0.35">
      <c r="A609" t="s">
        <v>7</v>
      </c>
      <c r="B609">
        <v>2030</v>
      </c>
      <c r="C609" t="s">
        <v>125</v>
      </c>
      <c r="D609" t="s">
        <v>52</v>
      </c>
      <c r="E609">
        <v>0.18933043323580201</v>
      </c>
      <c r="F609">
        <v>0.18933043323580201</v>
      </c>
      <c r="G609">
        <v>0</v>
      </c>
      <c r="H609">
        <v>0</v>
      </c>
      <c r="I609" t="s">
        <v>126</v>
      </c>
    </row>
    <row r="610" spans="1:9" hidden="1" x14ac:dyDescent="0.35">
      <c r="A610" t="s">
        <v>7</v>
      </c>
      <c r="B610">
        <v>2030</v>
      </c>
      <c r="C610" t="s">
        <v>125</v>
      </c>
      <c r="D610" t="s">
        <v>53</v>
      </c>
      <c r="E610">
        <v>1.2409446148911101</v>
      </c>
      <c r="F610">
        <v>1.2409446148911101</v>
      </c>
      <c r="G610">
        <v>0</v>
      </c>
      <c r="H610">
        <v>0</v>
      </c>
      <c r="I610" t="s">
        <v>126</v>
      </c>
    </row>
    <row r="611" spans="1:9" hidden="1" x14ac:dyDescent="0.35">
      <c r="A611" t="s">
        <v>7</v>
      </c>
      <c r="B611">
        <v>2030</v>
      </c>
      <c r="C611" t="s">
        <v>125</v>
      </c>
      <c r="D611" t="s">
        <v>54</v>
      </c>
      <c r="E611">
        <v>3.45707407167074</v>
      </c>
      <c r="F611">
        <v>3.4550500062215601</v>
      </c>
      <c r="G611">
        <v>-2.0240654491723198E-3</v>
      </c>
      <c r="H611">
        <v>-5.8548512621082897E-2</v>
      </c>
      <c r="I611" t="s">
        <v>126</v>
      </c>
    </row>
    <row r="612" spans="1:9" hidden="1" x14ac:dyDescent="0.35">
      <c r="A612" t="s">
        <v>7</v>
      </c>
      <c r="B612">
        <v>2030</v>
      </c>
      <c r="C612" t="s">
        <v>125</v>
      </c>
      <c r="D612" t="s">
        <v>55</v>
      </c>
      <c r="E612">
        <v>2.9913038606025601</v>
      </c>
      <c r="F612">
        <v>2.9909510835207</v>
      </c>
      <c r="G612">
        <v>-3.52777081863209E-4</v>
      </c>
      <c r="H612">
        <v>-1.17934218087809E-2</v>
      </c>
      <c r="I612" t="s">
        <v>126</v>
      </c>
    </row>
    <row r="613" spans="1:9" hidden="1" x14ac:dyDescent="0.35">
      <c r="A613" t="s">
        <v>7</v>
      </c>
      <c r="B613">
        <v>2030</v>
      </c>
      <c r="C613" t="s">
        <v>125</v>
      </c>
      <c r="D613" t="s">
        <v>56</v>
      </c>
      <c r="E613" s="1">
        <v>2.9849818709574402E-7</v>
      </c>
      <c r="F613" s="1">
        <v>2.9849818709574402E-7</v>
      </c>
      <c r="G613">
        <v>0</v>
      </c>
      <c r="H613">
        <v>0</v>
      </c>
      <c r="I613" t="s">
        <v>126</v>
      </c>
    </row>
    <row r="614" spans="1:9" hidden="1" x14ac:dyDescent="0.35">
      <c r="A614" t="s">
        <v>9</v>
      </c>
      <c r="B614">
        <v>2035</v>
      </c>
      <c r="C614" t="s">
        <v>125</v>
      </c>
      <c r="D614" t="s">
        <v>38</v>
      </c>
      <c r="E614">
        <v>2.3040321209550599E-3</v>
      </c>
      <c r="F614">
        <v>2.2928577041724401E-3</v>
      </c>
      <c r="G614" s="1">
        <v>-1.11744167826249E-5</v>
      </c>
      <c r="H614">
        <v>-0.48499396692407898</v>
      </c>
      <c r="I614" t="s">
        <v>126</v>
      </c>
    </row>
    <row r="615" spans="1:9" hidden="1" x14ac:dyDescent="0.35">
      <c r="A615" t="s">
        <v>9</v>
      </c>
      <c r="B615">
        <v>2035</v>
      </c>
      <c r="C615" t="s">
        <v>125</v>
      </c>
      <c r="D615" t="s">
        <v>40</v>
      </c>
      <c r="E615">
        <v>1.25548446652311E-2</v>
      </c>
      <c r="F615">
        <v>1.25548446652311E-2</v>
      </c>
      <c r="G615">
        <v>0</v>
      </c>
      <c r="H615">
        <v>0</v>
      </c>
      <c r="I615" t="s">
        <v>126</v>
      </c>
    </row>
    <row r="616" spans="1:9" hidden="1" x14ac:dyDescent="0.35">
      <c r="A616" t="s">
        <v>9</v>
      </c>
      <c r="B616">
        <v>2035</v>
      </c>
      <c r="C616" t="s">
        <v>125</v>
      </c>
      <c r="D616" t="s">
        <v>41</v>
      </c>
      <c r="E616">
        <v>0.16443935364718301</v>
      </c>
      <c r="F616">
        <v>0.163696702581134</v>
      </c>
      <c r="G616">
        <v>-7.4265106604934296E-4</v>
      </c>
      <c r="H616">
        <v>-0.45162611599821401</v>
      </c>
      <c r="I616" t="s">
        <v>126</v>
      </c>
    </row>
    <row r="617" spans="1:9" hidden="1" x14ac:dyDescent="0.35">
      <c r="A617" t="s">
        <v>9</v>
      </c>
      <c r="B617">
        <v>2035</v>
      </c>
      <c r="C617" t="s">
        <v>125</v>
      </c>
      <c r="D617" t="s">
        <v>42</v>
      </c>
      <c r="E617">
        <v>42.813839039722403</v>
      </c>
      <c r="F617">
        <v>42.8086132717889</v>
      </c>
      <c r="G617">
        <v>-5.2257679334744003E-3</v>
      </c>
      <c r="H617">
        <v>-1.22057915166775E-2</v>
      </c>
      <c r="I617" t="s">
        <v>126</v>
      </c>
    </row>
    <row r="618" spans="1:9" hidden="1" x14ac:dyDescent="0.35">
      <c r="A618" t="s">
        <v>9</v>
      </c>
      <c r="B618">
        <v>2035</v>
      </c>
      <c r="C618" t="s">
        <v>125</v>
      </c>
      <c r="D618" t="s">
        <v>43</v>
      </c>
      <c r="E618">
        <v>5.4188718882965302E-2</v>
      </c>
      <c r="F618">
        <v>5.4188709284611801E-2</v>
      </c>
      <c r="G618" s="1">
        <v>-9.5983535217114508E-9</v>
      </c>
      <c r="H618" s="1">
        <v>-1.7712826063376E-5</v>
      </c>
      <c r="I618" t="s">
        <v>126</v>
      </c>
    </row>
    <row r="619" spans="1:9" hidden="1" x14ac:dyDescent="0.35">
      <c r="A619" t="s">
        <v>9</v>
      </c>
      <c r="B619">
        <v>2035</v>
      </c>
      <c r="C619" t="s">
        <v>125</v>
      </c>
      <c r="D619" t="s">
        <v>136</v>
      </c>
      <c r="E619">
        <v>3.4573621806540502</v>
      </c>
      <c r="F619">
        <v>3.4573123262516701</v>
      </c>
      <c r="G619" s="1">
        <v>-4.98544023779246E-5</v>
      </c>
      <c r="H619">
        <v>-1.44197801019774E-3</v>
      </c>
      <c r="I619" t="s">
        <v>126</v>
      </c>
    </row>
    <row r="620" spans="1:9" hidden="1" x14ac:dyDescent="0.35">
      <c r="A620" t="s">
        <v>9</v>
      </c>
      <c r="B620">
        <v>2035</v>
      </c>
      <c r="C620" t="s">
        <v>125</v>
      </c>
      <c r="D620" t="s">
        <v>45</v>
      </c>
      <c r="E620">
        <v>5.0460742607652202E-2</v>
      </c>
      <c r="F620">
        <v>4.8625746407466301E-2</v>
      </c>
      <c r="G620">
        <v>-1.8349962001859099E-3</v>
      </c>
      <c r="H620">
        <v>-3.6364827494782799</v>
      </c>
      <c r="I620" t="s">
        <v>126</v>
      </c>
    </row>
    <row r="621" spans="1:9" hidden="1" x14ac:dyDescent="0.35">
      <c r="A621" t="s">
        <v>9</v>
      </c>
      <c r="B621">
        <v>2035</v>
      </c>
      <c r="C621" t="s">
        <v>125</v>
      </c>
      <c r="D621" t="s">
        <v>46</v>
      </c>
      <c r="E621">
        <v>0.25387463867763699</v>
      </c>
      <c r="F621">
        <v>0.25387463867763699</v>
      </c>
      <c r="G621">
        <v>0</v>
      </c>
      <c r="H621">
        <v>0</v>
      </c>
      <c r="I621" t="s">
        <v>126</v>
      </c>
    </row>
    <row r="622" spans="1:9" hidden="1" x14ac:dyDescent="0.35">
      <c r="A622" t="s">
        <v>9</v>
      </c>
      <c r="B622">
        <v>2035</v>
      </c>
      <c r="C622" t="s">
        <v>125</v>
      </c>
      <c r="D622" t="s">
        <v>47</v>
      </c>
      <c r="E622">
        <v>9.3248766520798599E-3</v>
      </c>
      <c r="F622">
        <v>9.3248766520798599E-3</v>
      </c>
      <c r="G622">
        <v>0</v>
      </c>
      <c r="H622">
        <v>0</v>
      </c>
      <c r="I622" t="s">
        <v>126</v>
      </c>
    </row>
    <row r="623" spans="1:9" hidden="1" x14ac:dyDescent="0.35">
      <c r="A623" t="s">
        <v>9</v>
      </c>
      <c r="B623">
        <v>2035</v>
      </c>
      <c r="C623" t="s">
        <v>125</v>
      </c>
      <c r="D623" t="s">
        <v>48</v>
      </c>
      <c r="E623">
        <v>19.622961325289001</v>
      </c>
      <c r="F623">
        <v>19.622961325289001</v>
      </c>
      <c r="G623">
        <v>0</v>
      </c>
      <c r="H623">
        <v>0</v>
      </c>
      <c r="I623" t="s">
        <v>126</v>
      </c>
    </row>
    <row r="624" spans="1:9" hidden="1" x14ac:dyDescent="0.35">
      <c r="A624" t="s">
        <v>9</v>
      </c>
      <c r="B624">
        <v>2035</v>
      </c>
      <c r="C624" t="s">
        <v>125</v>
      </c>
      <c r="D624" t="s">
        <v>49</v>
      </c>
      <c r="E624">
        <v>0.18218781480287399</v>
      </c>
      <c r="F624">
        <v>0.173028741745787</v>
      </c>
      <c r="G624">
        <v>-9.1590730570862405E-3</v>
      </c>
      <c r="H624">
        <v>-5.0272698352501202</v>
      </c>
      <c r="I624" t="s">
        <v>126</v>
      </c>
    </row>
    <row r="625" spans="1:9" hidden="1" x14ac:dyDescent="0.35">
      <c r="A625" t="s">
        <v>9</v>
      </c>
      <c r="B625">
        <v>2035</v>
      </c>
      <c r="C625" t="s">
        <v>125</v>
      </c>
      <c r="D625" t="s">
        <v>50</v>
      </c>
      <c r="E625">
        <v>8.47450661079555E-2</v>
      </c>
      <c r="F625">
        <v>8.47450661079555E-2</v>
      </c>
      <c r="G625">
        <v>0</v>
      </c>
      <c r="H625">
        <v>0</v>
      </c>
      <c r="I625" t="s">
        <v>126</v>
      </c>
    </row>
    <row r="626" spans="1:9" hidden="1" x14ac:dyDescent="0.35">
      <c r="A626" t="s">
        <v>9</v>
      </c>
      <c r="B626">
        <v>2035</v>
      </c>
      <c r="C626" t="s">
        <v>125</v>
      </c>
      <c r="D626" t="s">
        <v>51</v>
      </c>
      <c r="E626">
        <v>0.334300661180916</v>
      </c>
      <c r="F626">
        <v>0.334300661180916</v>
      </c>
      <c r="G626">
        <v>0</v>
      </c>
      <c r="H626">
        <v>0</v>
      </c>
      <c r="I626" t="s">
        <v>126</v>
      </c>
    </row>
    <row r="627" spans="1:9" hidden="1" x14ac:dyDescent="0.35">
      <c r="A627" t="s">
        <v>9</v>
      </c>
      <c r="B627">
        <v>2035</v>
      </c>
      <c r="C627" t="s">
        <v>125</v>
      </c>
      <c r="D627" t="s">
        <v>52</v>
      </c>
      <c r="E627">
        <v>0.16194895090486</v>
      </c>
      <c r="F627">
        <v>0.16194895090486</v>
      </c>
      <c r="G627">
        <v>0</v>
      </c>
      <c r="H627">
        <v>0</v>
      </c>
      <c r="I627" t="s">
        <v>126</v>
      </c>
    </row>
    <row r="628" spans="1:9" hidden="1" x14ac:dyDescent="0.35">
      <c r="A628" t="s">
        <v>9</v>
      </c>
      <c r="B628">
        <v>2035</v>
      </c>
      <c r="C628" t="s">
        <v>125</v>
      </c>
      <c r="D628" t="s">
        <v>53</v>
      </c>
      <c r="E628">
        <v>1.12438508886003</v>
      </c>
      <c r="F628">
        <v>1.12438508886003</v>
      </c>
      <c r="G628">
        <v>0</v>
      </c>
      <c r="H628">
        <v>0</v>
      </c>
      <c r="I628" t="s">
        <v>126</v>
      </c>
    </row>
    <row r="629" spans="1:9" hidden="1" x14ac:dyDescent="0.35">
      <c r="A629" t="s">
        <v>9</v>
      </c>
      <c r="B629">
        <v>2035</v>
      </c>
      <c r="C629" t="s">
        <v>125</v>
      </c>
      <c r="D629" t="s">
        <v>54</v>
      </c>
      <c r="E629">
        <v>3.4556224642152098</v>
      </c>
      <c r="F629">
        <v>3.45504979455864</v>
      </c>
      <c r="G629">
        <v>-5.7266965656799197E-4</v>
      </c>
      <c r="H629">
        <v>-1.6572112911589301E-2</v>
      </c>
      <c r="I629" t="s">
        <v>126</v>
      </c>
    </row>
    <row r="630" spans="1:9" hidden="1" x14ac:dyDescent="0.35">
      <c r="A630" t="s">
        <v>9</v>
      </c>
      <c r="B630">
        <v>2035</v>
      </c>
      <c r="C630" t="s">
        <v>125</v>
      </c>
      <c r="D630" t="s">
        <v>55</v>
      </c>
      <c r="E630">
        <v>2.9894386032894502</v>
      </c>
      <c r="F630">
        <v>2.9893395074473799</v>
      </c>
      <c r="G630" s="1">
        <v>-9.9095842065910394E-5</v>
      </c>
      <c r="H630">
        <v>-3.3148646022323198E-3</v>
      </c>
      <c r="I630" t="s">
        <v>126</v>
      </c>
    </row>
    <row r="631" spans="1:9" hidden="1" x14ac:dyDescent="0.35">
      <c r="A631" t="s">
        <v>9</v>
      </c>
      <c r="B631">
        <v>2035</v>
      </c>
      <c r="C631" t="s">
        <v>125</v>
      </c>
      <c r="D631" t="s">
        <v>56</v>
      </c>
      <c r="E631" s="1">
        <v>2.92563694222976E-7</v>
      </c>
      <c r="F631" s="1">
        <v>2.92563694222976E-7</v>
      </c>
      <c r="G631">
        <v>0</v>
      </c>
      <c r="H631">
        <v>0</v>
      </c>
      <c r="I631" t="s">
        <v>126</v>
      </c>
    </row>
    <row r="632" spans="1:9" hidden="1" x14ac:dyDescent="0.35">
      <c r="A632" t="s">
        <v>11</v>
      </c>
      <c r="B632">
        <v>2040</v>
      </c>
      <c r="C632" t="s">
        <v>125</v>
      </c>
      <c r="D632" t="s">
        <v>38</v>
      </c>
      <c r="E632">
        <v>2.01872438418406E-3</v>
      </c>
      <c r="F632">
        <v>1.9680075367458799E-3</v>
      </c>
      <c r="G632" s="1">
        <v>-5.0716847438177398E-5</v>
      </c>
      <c r="H632">
        <v>-2.5123215351003201</v>
      </c>
      <c r="I632" t="s">
        <v>126</v>
      </c>
    </row>
    <row r="633" spans="1:9" hidden="1" x14ac:dyDescent="0.35">
      <c r="A633" t="s">
        <v>11</v>
      </c>
      <c r="B633">
        <v>2040</v>
      </c>
      <c r="C633" t="s">
        <v>125</v>
      </c>
      <c r="D633" t="s">
        <v>40</v>
      </c>
      <c r="E633">
        <v>1.2454658775994699E-2</v>
      </c>
      <c r="F633">
        <v>1.2454658775994699E-2</v>
      </c>
      <c r="G633">
        <v>0</v>
      </c>
      <c r="H633">
        <v>0</v>
      </c>
      <c r="I633" t="s">
        <v>126</v>
      </c>
    </row>
    <row r="634" spans="1:9" hidden="1" x14ac:dyDescent="0.35">
      <c r="A634" t="s">
        <v>11</v>
      </c>
      <c r="B634">
        <v>2040</v>
      </c>
      <c r="C634" t="s">
        <v>125</v>
      </c>
      <c r="D634" t="s">
        <v>41</v>
      </c>
      <c r="E634">
        <v>0.16338341132895401</v>
      </c>
      <c r="F634">
        <v>0.159949497315404</v>
      </c>
      <c r="G634">
        <v>-3.4339140135499998E-3</v>
      </c>
      <c r="H634">
        <v>-2.1017519377387699</v>
      </c>
      <c r="I634" t="s">
        <v>126</v>
      </c>
    </row>
    <row r="635" spans="1:9" hidden="1" x14ac:dyDescent="0.35">
      <c r="A635" t="s">
        <v>11</v>
      </c>
      <c r="B635">
        <v>2040</v>
      </c>
      <c r="C635" t="s">
        <v>125</v>
      </c>
      <c r="D635" t="s">
        <v>42</v>
      </c>
      <c r="E635">
        <v>42.720671179056502</v>
      </c>
      <c r="F635">
        <v>42.696933508820798</v>
      </c>
      <c r="G635">
        <v>-2.3737670235739399E-2</v>
      </c>
      <c r="H635">
        <v>-5.55648344948678E-2</v>
      </c>
      <c r="I635" t="s">
        <v>126</v>
      </c>
    </row>
    <row r="636" spans="1:9" hidden="1" x14ac:dyDescent="0.35">
      <c r="A636" t="s">
        <v>11</v>
      </c>
      <c r="B636">
        <v>2040</v>
      </c>
      <c r="C636" t="s">
        <v>125</v>
      </c>
      <c r="D636" t="s">
        <v>43</v>
      </c>
      <c r="E636">
        <v>5.3841474625514203E-2</v>
      </c>
      <c r="F636">
        <v>5.3841429806571903E-2</v>
      </c>
      <c r="G636" s="1">
        <v>-4.4818942300517397E-8</v>
      </c>
      <c r="H636" s="1">
        <v>-8.3242412308073697E-5</v>
      </c>
      <c r="I636" t="s">
        <v>126</v>
      </c>
    </row>
    <row r="637" spans="1:9" hidden="1" x14ac:dyDescent="0.35">
      <c r="A637" t="s">
        <v>11</v>
      </c>
      <c r="B637">
        <v>2040</v>
      </c>
      <c r="C637" t="s">
        <v>125</v>
      </c>
      <c r="D637" t="s">
        <v>136</v>
      </c>
      <c r="E637">
        <v>3.0839199739016299</v>
      </c>
      <c r="F637">
        <v>3.0835152883934001</v>
      </c>
      <c r="G637">
        <v>-4.04685508235136E-4</v>
      </c>
      <c r="H637">
        <v>-1.3122438703334601E-2</v>
      </c>
      <c r="I637" t="s">
        <v>126</v>
      </c>
    </row>
    <row r="638" spans="1:9" hidden="1" x14ac:dyDescent="0.35">
      <c r="A638" t="s">
        <v>11</v>
      </c>
      <c r="B638">
        <v>2040</v>
      </c>
      <c r="C638" t="s">
        <v>125</v>
      </c>
      <c r="D638" t="s">
        <v>45</v>
      </c>
      <c r="E638">
        <v>4.9866122594642903E-2</v>
      </c>
      <c r="F638">
        <v>4.1380307547976697E-2</v>
      </c>
      <c r="G638">
        <v>-8.4858150466662202E-3</v>
      </c>
      <c r="H638">
        <v>-17.017194450121199</v>
      </c>
      <c r="I638" t="s">
        <v>126</v>
      </c>
    </row>
    <row r="639" spans="1:9" hidden="1" x14ac:dyDescent="0.35">
      <c r="A639" t="s">
        <v>11</v>
      </c>
      <c r="B639">
        <v>2040</v>
      </c>
      <c r="C639" t="s">
        <v>125</v>
      </c>
      <c r="D639" t="s">
        <v>46</v>
      </c>
      <c r="E639">
        <v>0.34773980054964798</v>
      </c>
      <c r="F639">
        <v>0.34773980054964798</v>
      </c>
      <c r="G639">
        <v>0</v>
      </c>
      <c r="H639">
        <v>0</v>
      </c>
      <c r="I639" t="s">
        <v>126</v>
      </c>
    </row>
    <row r="640" spans="1:9" hidden="1" x14ac:dyDescent="0.35">
      <c r="A640" t="s">
        <v>11</v>
      </c>
      <c r="B640">
        <v>2040</v>
      </c>
      <c r="C640" t="s">
        <v>125</v>
      </c>
      <c r="D640" t="s">
        <v>47</v>
      </c>
      <c r="E640">
        <v>9.1892132322372606E-3</v>
      </c>
      <c r="F640">
        <v>9.1892132322372606E-3</v>
      </c>
      <c r="G640">
        <v>0</v>
      </c>
      <c r="H640">
        <v>0</v>
      </c>
      <c r="I640" t="s">
        <v>126</v>
      </c>
    </row>
    <row r="641" spans="1:9" hidden="1" x14ac:dyDescent="0.35">
      <c r="A641" t="s">
        <v>11</v>
      </c>
      <c r="B641">
        <v>2040</v>
      </c>
      <c r="C641" t="s">
        <v>125</v>
      </c>
      <c r="D641" t="s">
        <v>48</v>
      </c>
      <c r="E641">
        <v>19.628161089830002</v>
      </c>
      <c r="F641">
        <v>19.628161089830002</v>
      </c>
      <c r="G641">
        <v>0</v>
      </c>
      <c r="H641">
        <v>0</v>
      </c>
      <c r="I641" t="s">
        <v>126</v>
      </c>
    </row>
    <row r="642" spans="1:9" hidden="1" x14ac:dyDescent="0.35">
      <c r="A642" t="s">
        <v>11</v>
      </c>
      <c r="B642">
        <v>2040</v>
      </c>
      <c r="C642" t="s">
        <v>125</v>
      </c>
      <c r="D642" t="s">
        <v>49</v>
      </c>
      <c r="E642">
        <v>0.17994671330621601</v>
      </c>
      <c r="F642">
        <v>0.137596461719804</v>
      </c>
      <c r="G642">
        <v>-4.2350251586412001E-2</v>
      </c>
      <c r="H642">
        <v>-23.5348847491002</v>
      </c>
      <c r="I642" t="s">
        <v>126</v>
      </c>
    </row>
    <row r="643" spans="1:9" hidden="1" x14ac:dyDescent="0.35">
      <c r="A643" t="s">
        <v>11</v>
      </c>
      <c r="B643">
        <v>2040</v>
      </c>
      <c r="C643" t="s">
        <v>125</v>
      </c>
      <c r="D643" t="s">
        <v>50</v>
      </c>
      <c r="E643">
        <v>8.32343088161559E-2</v>
      </c>
      <c r="F643">
        <v>8.32343088161559E-2</v>
      </c>
      <c r="G643">
        <v>0</v>
      </c>
      <c r="H643">
        <v>0</v>
      </c>
      <c r="I643" t="s">
        <v>126</v>
      </c>
    </row>
    <row r="644" spans="1:9" hidden="1" x14ac:dyDescent="0.35">
      <c r="A644" t="s">
        <v>11</v>
      </c>
      <c r="B644">
        <v>2040</v>
      </c>
      <c r="C644" t="s">
        <v>125</v>
      </c>
      <c r="D644" t="s">
        <v>51</v>
      </c>
      <c r="E644">
        <v>0.34144633133355601</v>
      </c>
      <c r="F644">
        <v>0.34144633133355601</v>
      </c>
      <c r="G644">
        <v>0</v>
      </c>
      <c r="H644">
        <v>0</v>
      </c>
      <c r="I644" t="s">
        <v>126</v>
      </c>
    </row>
    <row r="645" spans="1:9" hidden="1" x14ac:dyDescent="0.35">
      <c r="A645" t="s">
        <v>11</v>
      </c>
      <c r="B645">
        <v>2040</v>
      </c>
      <c r="C645" t="s">
        <v>125</v>
      </c>
      <c r="D645" t="s">
        <v>52</v>
      </c>
      <c r="E645">
        <v>0.13550433820680299</v>
      </c>
      <c r="F645">
        <v>0.13550433820680299</v>
      </c>
      <c r="G645">
        <v>0</v>
      </c>
      <c r="H645">
        <v>0</v>
      </c>
      <c r="I645" t="s">
        <v>126</v>
      </c>
    </row>
    <row r="646" spans="1:9" hidden="1" x14ac:dyDescent="0.35">
      <c r="A646" t="s">
        <v>11</v>
      </c>
      <c r="B646">
        <v>2040</v>
      </c>
      <c r="C646" t="s">
        <v>125</v>
      </c>
      <c r="D646" t="s">
        <v>53</v>
      </c>
      <c r="E646">
        <v>1.00722293549408</v>
      </c>
      <c r="F646">
        <v>1.00722293549408</v>
      </c>
      <c r="G646">
        <v>0</v>
      </c>
      <c r="H646">
        <v>0</v>
      </c>
      <c r="I646" t="s">
        <v>126</v>
      </c>
    </row>
    <row r="647" spans="1:9" hidden="1" x14ac:dyDescent="0.35">
      <c r="A647" t="s">
        <v>11</v>
      </c>
      <c r="B647">
        <v>2040</v>
      </c>
      <c r="C647" t="s">
        <v>125</v>
      </c>
      <c r="D647" t="s">
        <v>54</v>
      </c>
      <c r="E647">
        <v>3.45622044466189</v>
      </c>
      <c r="F647">
        <v>3.4536236006788399</v>
      </c>
      <c r="G647">
        <v>-2.5968439830501501E-3</v>
      </c>
      <c r="H647">
        <v>-7.5135368956599904E-2</v>
      </c>
      <c r="I647" t="s">
        <v>126</v>
      </c>
    </row>
    <row r="648" spans="1:9" hidden="1" x14ac:dyDescent="0.35">
      <c r="A648" t="s">
        <v>11</v>
      </c>
      <c r="B648">
        <v>2040</v>
      </c>
      <c r="C648" t="s">
        <v>125</v>
      </c>
      <c r="D648" t="s">
        <v>55</v>
      </c>
      <c r="E648">
        <v>2.9897723711330202</v>
      </c>
      <c r="F648">
        <v>2.9893204792553498</v>
      </c>
      <c r="G648">
        <v>-4.5189187766814199E-4</v>
      </c>
      <c r="H648">
        <v>-1.5114591399374299E-2</v>
      </c>
      <c r="I648" t="s">
        <v>126</v>
      </c>
    </row>
    <row r="649" spans="1:9" hidden="1" x14ac:dyDescent="0.35">
      <c r="A649" t="s">
        <v>11</v>
      </c>
      <c r="B649">
        <v>2040</v>
      </c>
      <c r="C649" t="s">
        <v>125</v>
      </c>
      <c r="D649" t="s">
        <v>56</v>
      </c>
      <c r="E649" s="1">
        <v>2.71812606778552E-7</v>
      </c>
      <c r="F649" s="1">
        <v>2.71812606778552E-7</v>
      </c>
      <c r="G649">
        <v>0</v>
      </c>
      <c r="H649">
        <v>0</v>
      </c>
      <c r="I649" t="s">
        <v>126</v>
      </c>
    </row>
    <row r="650" spans="1:9" hidden="1" x14ac:dyDescent="0.35">
      <c r="A650" t="s">
        <v>5</v>
      </c>
      <c r="B650">
        <v>2025</v>
      </c>
      <c r="C650" t="s">
        <v>85</v>
      </c>
      <c r="D650" t="s">
        <v>38</v>
      </c>
      <c r="E650">
        <v>6.9507568149273298E-4</v>
      </c>
      <c r="F650">
        <v>6.9507568149273298E-4</v>
      </c>
      <c r="G650">
        <v>0</v>
      </c>
      <c r="H650">
        <v>0</v>
      </c>
      <c r="I650" t="s">
        <v>86</v>
      </c>
    </row>
    <row r="651" spans="1:9" hidden="1" x14ac:dyDescent="0.35">
      <c r="A651" t="s">
        <v>5</v>
      </c>
      <c r="B651">
        <v>2025</v>
      </c>
      <c r="C651" t="s">
        <v>85</v>
      </c>
      <c r="D651" t="s">
        <v>40</v>
      </c>
      <c r="E651">
        <v>2.6860087388663501E-4</v>
      </c>
      <c r="F651">
        <v>2.6860087388663501E-4</v>
      </c>
      <c r="G651">
        <v>0</v>
      </c>
      <c r="H651">
        <v>0</v>
      </c>
      <c r="I651" t="s">
        <v>86</v>
      </c>
    </row>
    <row r="652" spans="1:9" hidden="1" x14ac:dyDescent="0.35">
      <c r="A652" t="s">
        <v>5</v>
      </c>
      <c r="B652">
        <v>2025</v>
      </c>
      <c r="C652" t="s">
        <v>85</v>
      </c>
      <c r="D652" t="s">
        <v>41</v>
      </c>
      <c r="E652">
        <v>4.1443607309380398E-3</v>
      </c>
      <c r="F652">
        <v>4.1443607309380398E-3</v>
      </c>
      <c r="G652">
        <v>0</v>
      </c>
      <c r="H652">
        <v>0</v>
      </c>
      <c r="I652" t="s">
        <v>86</v>
      </c>
    </row>
    <row r="653" spans="1:9" hidden="1" x14ac:dyDescent="0.35">
      <c r="A653" t="s">
        <v>5</v>
      </c>
      <c r="B653">
        <v>2025</v>
      </c>
      <c r="C653" t="s">
        <v>85</v>
      </c>
      <c r="D653" t="s">
        <v>42</v>
      </c>
      <c r="E653">
        <v>1.8736070212053699</v>
      </c>
      <c r="F653">
        <v>1.8736070212053699</v>
      </c>
      <c r="G653">
        <v>0</v>
      </c>
      <c r="H653">
        <v>0</v>
      </c>
      <c r="I653" t="s">
        <v>86</v>
      </c>
    </row>
    <row r="654" spans="1:9" hidden="1" x14ac:dyDescent="0.35">
      <c r="A654" t="s">
        <v>5</v>
      </c>
      <c r="B654">
        <v>2025</v>
      </c>
      <c r="C654" t="s">
        <v>85</v>
      </c>
      <c r="D654" t="s">
        <v>43</v>
      </c>
      <c r="E654">
        <v>8.40355699959888E-4</v>
      </c>
      <c r="F654">
        <v>8.40355699959888E-4</v>
      </c>
      <c r="G654">
        <v>0</v>
      </c>
      <c r="H654">
        <v>0</v>
      </c>
      <c r="I654" t="s">
        <v>86</v>
      </c>
    </row>
    <row r="655" spans="1:9" hidden="1" x14ac:dyDescent="0.35">
      <c r="A655" t="s">
        <v>5</v>
      </c>
      <c r="B655">
        <v>2025</v>
      </c>
      <c r="C655" t="s">
        <v>85</v>
      </c>
      <c r="D655" t="s">
        <v>136</v>
      </c>
      <c r="E655">
        <v>0.605216303517774</v>
      </c>
      <c r="F655">
        <v>0.605216303517774</v>
      </c>
      <c r="G655">
        <v>0</v>
      </c>
      <c r="H655">
        <v>0</v>
      </c>
      <c r="I655" t="s">
        <v>86</v>
      </c>
    </row>
    <row r="656" spans="1:9" hidden="1" x14ac:dyDescent="0.35">
      <c r="A656" t="s">
        <v>5</v>
      </c>
      <c r="B656">
        <v>2025</v>
      </c>
      <c r="C656" t="s">
        <v>85</v>
      </c>
      <c r="D656" t="s">
        <v>45</v>
      </c>
      <c r="E656">
        <v>5.7236018472911999E-3</v>
      </c>
      <c r="F656">
        <v>5.7236018472911999E-3</v>
      </c>
      <c r="G656">
        <v>0</v>
      </c>
      <c r="H656">
        <v>0</v>
      </c>
      <c r="I656" t="s">
        <v>86</v>
      </c>
    </row>
    <row r="657" spans="1:9" hidden="1" x14ac:dyDescent="0.35">
      <c r="A657" t="s">
        <v>5</v>
      </c>
      <c r="B657">
        <v>2025</v>
      </c>
      <c r="C657" t="s">
        <v>85</v>
      </c>
      <c r="D657" t="s">
        <v>46</v>
      </c>
      <c r="E657">
        <v>4.7748387678858903E-2</v>
      </c>
      <c r="F657">
        <v>4.7748387678858903E-2</v>
      </c>
      <c r="G657">
        <v>0</v>
      </c>
      <c r="H657">
        <v>0</v>
      </c>
      <c r="I657" t="s">
        <v>86</v>
      </c>
    </row>
    <row r="658" spans="1:9" hidden="1" x14ac:dyDescent="0.35">
      <c r="A658" t="s">
        <v>5</v>
      </c>
      <c r="B658">
        <v>2025</v>
      </c>
      <c r="C658" t="s">
        <v>85</v>
      </c>
      <c r="D658" t="s">
        <v>47</v>
      </c>
      <c r="E658">
        <v>2.7664386549445798E-4</v>
      </c>
      <c r="F658">
        <v>2.7664386549445798E-4</v>
      </c>
      <c r="G658">
        <v>0</v>
      </c>
      <c r="H658">
        <v>0</v>
      </c>
      <c r="I658" t="s">
        <v>86</v>
      </c>
    </row>
    <row r="659" spans="1:9" hidden="1" x14ac:dyDescent="0.35">
      <c r="A659" t="s">
        <v>5</v>
      </c>
      <c r="B659">
        <v>2025</v>
      </c>
      <c r="C659" t="s">
        <v>85</v>
      </c>
      <c r="D659" t="s">
        <v>48</v>
      </c>
      <c r="E659">
        <v>42.687615463159702</v>
      </c>
      <c r="F659">
        <v>42.687615463159702</v>
      </c>
      <c r="G659">
        <v>0</v>
      </c>
      <c r="H659">
        <v>0</v>
      </c>
      <c r="I659" t="s">
        <v>86</v>
      </c>
    </row>
    <row r="660" spans="1:9" hidden="1" x14ac:dyDescent="0.35">
      <c r="A660" t="s">
        <v>5</v>
      </c>
      <c r="B660">
        <v>2025</v>
      </c>
      <c r="C660" t="s">
        <v>85</v>
      </c>
      <c r="D660" t="s">
        <v>49</v>
      </c>
      <c r="E660">
        <v>2.3910618036400901E-2</v>
      </c>
      <c r="F660">
        <v>2.3910618036400901E-2</v>
      </c>
      <c r="G660">
        <v>0</v>
      </c>
      <c r="H660">
        <v>0</v>
      </c>
      <c r="I660" t="s">
        <v>86</v>
      </c>
    </row>
    <row r="661" spans="1:9" hidden="1" x14ac:dyDescent="0.35">
      <c r="A661" t="s">
        <v>5</v>
      </c>
      <c r="B661">
        <v>2025</v>
      </c>
      <c r="C661" t="s">
        <v>85</v>
      </c>
      <c r="D661" t="s">
        <v>50</v>
      </c>
      <c r="E661">
        <v>7.4394948258330604E-3</v>
      </c>
      <c r="F661">
        <v>7.4394948258330604E-3</v>
      </c>
      <c r="G661">
        <v>0</v>
      </c>
      <c r="H661">
        <v>0</v>
      </c>
      <c r="I661" t="s">
        <v>86</v>
      </c>
    </row>
    <row r="662" spans="1:9" hidden="1" x14ac:dyDescent="0.35">
      <c r="A662" t="s">
        <v>5</v>
      </c>
      <c r="B662">
        <v>2025</v>
      </c>
      <c r="C662" t="s">
        <v>85</v>
      </c>
      <c r="D662" t="s">
        <v>51</v>
      </c>
      <c r="E662">
        <v>3.69428669341847E-2</v>
      </c>
      <c r="F662">
        <v>3.69428669341847E-2</v>
      </c>
      <c r="G662">
        <v>0</v>
      </c>
      <c r="H662">
        <v>0</v>
      </c>
      <c r="I662" t="s">
        <v>86</v>
      </c>
    </row>
    <row r="663" spans="1:9" hidden="1" x14ac:dyDescent="0.35">
      <c r="A663" t="s">
        <v>5</v>
      </c>
      <c r="B663">
        <v>2025</v>
      </c>
      <c r="C663" t="s">
        <v>85</v>
      </c>
      <c r="D663" t="s">
        <v>52</v>
      </c>
      <c r="E663">
        <v>9.4348696076446706E-2</v>
      </c>
      <c r="F663">
        <v>9.4348696076446706E-2</v>
      </c>
      <c r="G663">
        <v>0</v>
      </c>
      <c r="H663">
        <v>0</v>
      </c>
      <c r="I663" t="s">
        <v>86</v>
      </c>
    </row>
    <row r="664" spans="1:9" hidden="1" x14ac:dyDescent="0.35">
      <c r="A664" t="s">
        <v>5</v>
      </c>
      <c r="B664">
        <v>2025</v>
      </c>
      <c r="C664" t="s">
        <v>85</v>
      </c>
      <c r="D664" t="s">
        <v>53</v>
      </c>
      <c r="E664">
        <v>0.25521084045120601</v>
      </c>
      <c r="F664">
        <v>0.25521084045120601</v>
      </c>
      <c r="G664">
        <v>0</v>
      </c>
      <c r="H664">
        <v>0</v>
      </c>
      <c r="I664" t="s">
        <v>86</v>
      </c>
    </row>
    <row r="665" spans="1:9" hidden="1" x14ac:dyDescent="0.35">
      <c r="A665" t="s">
        <v>5</v>
      </c>
      <c r="B665">
        <v>2025</v>
      </c>
      <c r="C665" t="s">
        <v>85</v>
      </c>
      <c r="D665" t="s">
        <v>54</v>
      </c>
      <c r="E665">
        <v>4.9326453127163702E-2</v>
      </c>
      <c r="F665">
        <v>4.9326453127163702E-2</v>
      </c>
      <c r="G665">
        <v>0</v>
      </c>
      <c r="H665">
        <v>0</v>
      </c>
      <c r="I665" t="s">
        <v>86</v>
      </c>
    </row>
    <row r="666" spans="1:9" hidden="1" x14ac:dyDescent="0.35">
      <c r="A666" t="s">
        <v>5</v>
      </c>
      <c r="B666">
        <v>2025</v>
      </c>
      <c r="C666" t="s">
        <v>85</v>
      </c>
      <c r="D666" t="s">
        <v>55</v>
      </c>
      <c r="E666">
        <v>4.5690724530163401E-2</v>
      </c>
      <c r="F666">
        <v>4.5690724530163401E-2</v>
      </c>
      <c r="G666">
        <v>0</v>
      </c>
      <c r="H666">
        <v>0</v>
      </c>
      <c r="I666" t="s">
        <v>86</v>
      </c>
    </row>
    <row r="667" spans="1:9" hidden="1" x14ac:dyDescent="0.35">
      <c r="A667" t="s">
        <v>5</v>
      </c>
      <c r="B667">
        <v>2025</v>
      </c>
      <c r="C667" t="s">
        <v>85</v>
      </c>
      <c r="D667" t="s">
        <v>56</v>
      </c>
      <c r="E667" s="1">
        <v>5.0608348823941999E-8</v>
      </c>
      <c r="F667" s="1">
        <v>5.0608348823941999E-8</v>
      </c>
      <c r="G667">
        <v>0</v>
      </c>
      <c r="H667">
        <v>0</v>
      </c>
      <c r="I667" t="s">
        <v>86</v>
      </c>
    </row>
    <row r="668" spans="1:9" hidden="1" x14ac:dyDescent="0.35">
      <c r="A668" t="s">
        <v>7</v>
      </c>
      <c r="B668">
        <v>2030</v>
      </c>
      <c r="C668" t="s">
        <v>85</v>
      </c>
      <c r="D668" t="s">
        <v>38</v>
      </c>
      <c r="E668">
        <v>6.9902535851661595E-4</v>
      </c>
      <c r="F668">
        <v>6.9902535851661595E-4</v>
      </c>
      <c r="G668">
        <v>0</v>
      </c>
      <c r="H668">
        <v>0</v>
      </c>
      <c r="I668" t="s">
        <v>86</v>
      </c>
    </row>
    <row r="669" spans="1:9" hidden="1" x14ac:dyDescent="0.35">
      <c r="A669" t="s">
        <v>7</v>
      </c>
      <c r="B669">
        <v>2030</v>
      </c>
      <c r="C669" t="s">
        <v>85</v>
      </c>
      <c r="D669" t="s">
        <v>40</v>
      </c>
      <c r="E669">
        <v>2.5527240108779998E-4</v>
      </c>
      <c r="F669">
        <v>2.5527240108779998E-4</v>
      </c>
      <c r="G669">
        <v>0</v>
      </c>
      <c r="H669">
        <v>0</v>
      </c>
      <c r="I669" t="s">
        <v>86</v>
      </c>
    </row>
    <row r="670" spans="1:9" hidden="1" x14ac:dyDescent="0.35">
      <c r="A670" t="s">
        <v>7</v>
      </c>
      <c r="B670">
        <v>2030</v>
      </c>
      <c r="C670" t="s">
        <v>85</v>
      </c>
      <c r="D670" t="s">
        <v>41</v>
      </c>
      <c r="E670">
        <v>3.9562540025519996E-3</v>
      </c>
      <c r="F670">
        <v>3.9562540025519996E-3</v>
      </c>
      <c r="G670">
        <v>0</v>
      </c>
      <c r="H670">
        <v>0</v>
      </c>
      <c r="I670" t="s">
        <v>86</v>
      </c>
    </row>
    <row r="671" spans="1:9" hidden="1" x14ac:dyDescent="0.35">
      <c r="A671" t="s">
        <v>7</v>
      </c>
      <c r="B671">
        <v>2030</v>
      </c>
      <c r="C671" t="s">
        <v>85</v>
      </c>
      <c r="D671" t="s">
        <v>42</v>
      </c>
      <c r="E671">
        <v>1.84394998221091</v>
      </c>
      <c r="F671">
        <v>1.84394998221091</v>
      </c>
      <c r="G671">
        <v>0</v>
      </c>
      <c r="H671">
        <v>0</v>
      </c>
      <c r="I671" t="s">
        <v>86</v>
      </c>
    </row>
    <row r="672" spans="1:9" hidden="1" x14ac:dyDescent="0.35">
      <c r="A672" t="s">
        <v>7</v>
      </c>
      <c r="B672">
        <v>2030</v>
      </c>
      <c r="C672" t="s">
        <v>85</v>
      </c>
      <c r="D672" t="s">
        <v>43</v>
      </c>
      <c r="E672">
        <v>7.7177081556377002E-4</v>
      </c>
      <c r="F672">
        <v>7.7177081556377002E-4</v>
      </c>
      <c r="G672">
        <v>0</v>
      </c>
      <c r="H672">
        <v>0</v>
      </c>
      <c r="I672" t="s">
        <v>86</v>
      </c>
    </row>
    <row r="673" spans="1:9" hidden="1" x14ac:dyDescent="0.35">
      <c r="A673" t="s">
        <v>7</v>
      </c>
      <c r="B673">
        <v>2030</v>
      </c>
      <c r="C673" t="s">
        <v>85</v>
      </c>
      <c r="D673" t="s">
        <v>136</v>
      </c>
      <c r="E673">
        <v>0.533869121043405</v>
      </c>
      <c r="F673">
        <v>0.533869121043405</v>
      </c>
      <c r="G673">
        <v>0</v>
      </c>
      <c r="H673">
        <v>0</v>
      </c>
      <c r="I673" t="s">
        <v>86</v>
      </c>
    </row>
    <row r="674" spans="1:9" hidden="1" x14ac:dyDescent="0.35">
      <c r="A674" t="s">
        <v>7</v>
      </c>
      <c r="B674">
        <v>2030</v>
      </c>
      <c r="C674" t="s">
        <v>85</v>
      </c>
      <c r="D674" t="s">
        <v>45</v>
      </c>
      <c r="E674">
        <v>5.5028035721791397E-3</v>
      </c>
      <c r="F674">
        <v>5.5028035721791397E-3</v>
      </c>
      <c r="G674">
        <v>0</v>
      </c>
      <c r="H674">
        <v>0</v>
      </c>
      <c r="I674" t="s">
        <v>86</v>
      </c>
    </row>
    <row r="675" spans="1:9" hidden="1" x14ac:dyDescent="0.35">
      <c r="A675" t="s">
        <v>7</v>
      </c>
      <c r="B675">
        <v>2030</v>
      </c>
      <c r="C675" t="s">
        <v>85</v>
      </c>
      <c r="D675" t="s">
        <v>46</v>
      </c>
      <c r="E675">
        <v>4.9930150326397603E-2</v>
      </c>
      <c r="F675">
        <v>4.9930150326397603E-2</v>
      </c>
      <c r="G675">
        <v>0</v>
      </c>
      <c r="H675">
        <v>0</v>
      </c>
      <c r="I675" t="s">
        <v>86</v>
      </c>
    </row>
    <row r="676" spans="1:9" hidden="1" x14ac:dyDescent="0.35">
      <c r="A676" t="s">
        <v>7</v>
      </c>
      <c r="B676">
        <v>2030</v>
      </c>
      <c r="C676" t="s">
        <v>85</v>
      </c>
      <c r="D676" t="s">
        <v>47</v>
      </c>
      <c r="E676">
        <v>2.3508735803937799E-4</v>
      </c>
      <c r="F676">
        <v>2.3508735803937799E-4</v>
      </c>
      <c r="G676">
        <v>0</v>
      </c>
      <c r="H676">
        <v>0</v>
      </c>
      <c r="I676" t="s">
        <v>86</v>
      </c>
    </row>
    <row r="677" spans="1:9" hidden="1" x14ac:dyDescent="0.35">
      <c r="A677" t="s">
        <v>7</v>
      </c>
      <c r="B677">
        <v>2030</v>
      </c>
      <c r="C677" t="s">
        <v>85</v>
      </c>
      <c r="D677" t="s">
        <v>48</v>
      </c>
      <c r="E677">
        <v>42.687877560768698</v>
      </c>
      <c r="F677">
        <v>42.687877560768698</v>
      </c>
      <c r="G677">
        <v>0</v>
      </c>
      <c r="H677">
        <v>0</v>
      </c>
      <c r="I677" t="s">
        <v>86</v>
      </c>
    </row>
    <row r="678" spans="1:9" hidden="1" x14ac:dyDescent="0.35">
      <c r="A678" t="s">
        <v>7</v>
      </c>
      <c r="B678">
        <v>2030</v>
      </c>
      <c r="C678" t="s">
        <v>85</v>
      </c>
      <c r="D678" t="s">
        <v>49</v>
      </c>
      <c r="E678">
        <v>2.36292275698681E-2</v>
      </c>
      <c r="F678">
        <v>2.36292275698681E-2</v>
      </c>
      <c r="G678">
        <v>0</v>
      </c>
      <c r="H678">
        <v>0</v>
      </c>
      <c r="I678" t="s">
        <v>86</v>
      </c>
    </row>
    <row r="679" spans="1:9" hidden="1" x14ac:dyDescent="0.35">
      <c r="A679" t="s">
        <v>7</v>
      </c>
      <c r="B679">
        <v>2030</v>
      </c>
      <c r="C679" t="s">
        <v>85</v>
      </c>
      <c r="D679" t="s">
        <v>50</v>
      </c>
      <c r="E679">
        <v>7.1503741694033396E-3</v>
      </c>
      <c r="F679">
        <v>7.1503741694033396E-3</v>
      </c>
      <c r="G679">
        <v>0</v>
      </c>
      <c r="H679">
        <v>0</v>
      </c>
      <c r="I679" t="s">
        <v>86</v>
      </c>
    </row>
    <row r="680" spans="1:9" hidden="1" x14ac:dyDescent="0.35">
      <c r="A680" t="s">
        <v>7</v>
      </c>
      <c r="B680">
        <v>2030</v>
      </c>
      <c r="C680" t="s">
        <v>85</v>
      </c>
      <c r="D680" t="s">
        <v>51</v>
      </c>
      <c r="E680">
        <v>3.7323329996922103E-2</v>
      </c>
      <c r="F680">
        <v>3.7323329996922103E-2</v>
      </c>
      <c r="G680">
        <v>0</v>
      </c>
      <c r="H680">
        <v>0</v>
      </c>
      <c r="I680" t="s">
        <v>86</v>
      </c>
    </row>
    <row r="681" spans="1:9" hidden="1" x14ac:dyDescent="0.35">
      <c r="A681" t="s">
        <v>7</v>
      </c>
      <c r="B681">
        <v>2030</v>
      </c>
      <c r="C681" t="s">
        <v>85</v>
      </c>
      <c r="D681" t="s">
        <v>52</v>
      </c>
      <c r="E681">
        <v>8.0486243491327894E-2</v>
      </c>
      <c r="F681">
        <v>8.0486243491327894E-2</v>
      </c>
      <c r="G681">
        <v>0</v>
      </c>
      <c r="H681">
        <v>0</v>
      </c>
      <c r="I681" t="s">
        <v>86</v>
      </c>
    </row>
    <row r="682" spans="1:9" hidden="1" x14ac:dyDescent="0.35">
      <c r="A682" t="s">
        <v>7</v>
      </c>
      <c r="B682">
        <v>2030</v>
      </c>
      <c r="C682" t="s">
        <v>85</v>
      </c>
      <c r="D682" t="s">
        <v>53</v>
      </c>
      <c r="E682">
        <v>0.23503204342391501</v>
      </c>
      <c r="F682">
        <v>0.23503204342391501</v>
      </c>
      <c r="G682">
        <v>0</v>
      </c>
      <c r="H682">
        <v>0</v>
      </c>
      <c r="I682" t="s">
        <v>86</v>
      </c>
    </row>
    <row r="683" spans="1:9" hidden="1" x14ac:dyDescent="0.35">
      <c r="A683" t="s">
        <v>7</v>
      </c>
      <c r="B683">
        <v>2030</v>
      </c>
      <c r="C683" t="s">
        <v>85</v>
      </c>
      <c r="D683" t="s">
        <v>54</v>
      </c>
      <c r="E683">
        <v>4.9243031240965303E-2</v>
      </c>
      <c r="F683">
        <v>4.9243031240965303E-2</v>
      </c>
      <c r="G683">
        <v>0</v>
      </c>
      <c r="H683">
        <v>0</v>
      </c>
      <c r="I683" t="s">
        <v>86</v>
      </c>
    </row>
    <row r="684" spans="1:9" hidden="1" x14ac:dyDescent="0.35">
      <c r="A684" t="s">
        <v>7</v>
      </c>
      <c r="B684">
        <v>2030</v>
      </c>
      <c r="C684" t="s">
        <v>85</v>
      </c>
      <c r="D684" t="s">
        <v>55</v>
      </c>
      <c r="E684">
        <v>4.5531419073796701E-2</v>
      </c>
      <c r="F684">
        <v>4.5531419073796701E-2</v>
      </c>
      <c r="G684">
        <v>0</v>
      </c>
      <c r="H684">
        <v>0</v>
      </c>
      <c r="I684" t="s">
        <v>86</v>
      </c>
    </row>
    <row r="685" spans="1:9" hidden="1" x14ac:dyDescent="0.35">
      <c r="A685" t="s">
        <v>7</v>
      </c>
      <c r="B685">
        <v>2030</v>
      </c>
      <c r="C685" t="s">
        <v>85</v>
      </c>
      <c r="D685" t="s">
        <v>56</v>
      </c>
      <c r="E685" s="1">
        <v>4.5801263510031197E-8</v>
      </c>
      <c r="F685" s="1">
        <v>4.5801263510031197E-8</v>
      </c>
      <c r="G685">
        <v>0</v>
      </c>
      <c r="H685">
        <v>0</v>
      </c>
      <c r="I685" t="s">
        <v>86</v>
      </c>
    </row>
    <row r="686" spans="1:9" hidden="1" x14ac:dyDescent="0.35">
      <c r="A686" t="s">
        <v>9</v>
      </c>
      <c r="B686">
        <v>2035</v>
      </c>
      <c r="C686" t="s">
        <v>85</v>
      </c>
      <c r="D686" t="s">
        <v>38</v>
      </c>
      <c r="E686">
        <v>6.80129954960729E-4</v>
      </c>
      <c r="F686">
        <v>6.80129954960729E-4</v>
      </c>
      <c r="G686">
        <v>0</v>
      </c>
      <c r="H686">
        <v>0</v>
      </c>
      <c r="I686" t="s">
        <v>86</v>
      </c>
    </row>
    <row r="687" spans="1:9" hidden="1" x14ac:dyDescent="0.35">
      <c r="A687" t="s">
        <v>9</v>
      </c>
      <c r="B687">
        <v>2035</v>
      </c>
      <c r="C687" t="s">
        <v>85</v>
      </c>
      <c r="D687" t="s">
        <v>40</v>
      </c>
      <c r="E687">
        <v>2.4387281919955E-4</v>
      </c>
      <c r="F687">
        <v>2.4387281919955E-4</v>
      </c>
      <c r="G687">
        <v>0</v>
      </c>
      <c r="H687">
        <v>0</v>
      </c>
      <c r="I687" t="s">
        <v>86</v>
      </c>
    </row>
    <row r="688" spans="1:9" hidden="1" x14ac:dyDescent="0.35">
      <c r="A688" t="s">
        <v>9</v>
      </c>
      <c r="B688">
        <v>2035</v>
      </c>
      <c r="C688" t="s">
        <v>85</v>
      </c>
      <c r="D688" t="s">
        <v>41</v>
      </c>
      <c r="E688">
        <v>3.8304864444225601E-3</v>
      </c>
      <c r="F688">
        <v>3.8304864444225601E-3</v>
      </c>
      <c r="G688">
        <v>0</v>
      </c>
      <c r="H688">
        <v>0</v>
      </c>
      <c r="I688" t="s">
        <v>86</v>
      </c>
    </row>
    <row r="689" spans="1:9" hidden="1" x14ac:dyDescent="0.35">
      <c r="A689" t="s">
        <v>9</v>
      </c>
      <c r="B689">
        <v>2035</v>
      </c>
      <c r="C689" t="s">
        <v>85</v>
      </c>
      <c r="D689" t="s">
        <v>42</v>
      </c>
      <c r="E689">
        <v>1.8239185433932299</v>
      </c>
      <c r="F689">
        <v>1.8239185433932299</v>
      </c>
      <c r="G689">
        <v>0</v>
      </c>
      <c r="H689">
        <v>0</v>
      </c>
      <c r="I689" t="s">
        <v>86</v>
      </c>
    </row>
    <row r="690" spans="1:9" hidden="1" x14ac:dyDescent="0.35">
      <c r="A690" t="s">
        <v>9</v>
      </c>
      <c r="B690">
        <v>2035</v>
      </c>
      <c r="C690" t="s">
        <v>85</v>
      </c>
      <c r="D690" t="s">
        <v>43</v>
      </c>
      <c r="E690">
        <v>7.2095960708728698E-4</v>
      </c>
      <c r="F690">
        <v>7.2095960708728698E-4</v>
      </c>
      <c r="G690">
        <v>0</v>
      </c>
      <c r="H690">
        <v>0</v>
      </c>
      <c r="I690" t="s">
        <v>86</v>
      </c>
    </row>
    <row r="691" spans="1:9" hidden="1" x14ac:dyDescent="0.35">
      <c r="A691" t="s">
        <v>9</v>
      </c>
      <c r="B691">
        <v>2035</v>
      </c>
      <c r="C691" t="s">
        <v>85</v>
      </c>
      <c r="D691" t="s">
        <v>136</v>
      </c>
      <c r="E691">
        <v>0.47677427020471302</v>
      </c>
      <c r="F691">
        <v>0.47677427020471302</v>
      </c>
      <c r="G691">
        <v>0</v>
      </c>
      <c r="H691">
        <v>0</v>
      </c>
      <c r="I691" t="s">
        <v>86</v>
      </c>
    </row>
    <row r="692" spans="1:9" hidden="1" x14ac:dyDescent="0.35">
      <c r="A692" t="s">
        <v>9</v>
      </c>
      <c r="B692">
        <v>2035</v>
      </c>
      <c r="C692" t="s">
        <v>85</v>
      </c>
      <c r="D692" t="s">
        <v>45</v>
      </c>
      <c r="E692">
        <v>5.3572549519832098E-3</v>
      </c>
      <c r="F692">
        <v>5.3572549519832098E-3</v>
      </c>
      <c r="G692">
        <v>0</v>
      </c>
      <c r="H692">
        <v>0</v>
      </c>
      <c r="I692" t="s">
        <v>86</v>
      </c>
    </row>
    <row r="693" spans="1:9" hidden="1" x14ac:dyDescent="0.35">
      <c r="A693" t="s">
        <v>9</v>
      </c>
      <c r="B693">
        <v>2035</v>
      </c>
      <c r="C693" t="s">
        <v>85</v>
      </c>
      <c r="D693" t="s">
        <v>46</v>
      </c>
      <c r="E693">
        <v>5.65002283952558E-2</v>
      </c>
      <c r="F693">
        <v>5.65002283952558E-2</v>
      </c>
      <c r="G693">
        <v>0</v>
      </c>
      <c r="H693">
        <v>0</v>
      </c>
      <c r="I693" t="s">
        <v>86</v>
      </c>
    </row>
    <row r="694" spans="1:9" hidden="1" x14ac:dyDescent="0.35">
      <c r="A694" t="s">
        <v>9</v>
      </c>
      <c r="B694">
        <v>2035</v>
      </c>
      <c r="C694" t="s">
        <v>85</v>
      </c>
      <c r="D694" t="s">
        <v>47</v>
      </c>
      <c r="E694">
        <v>2.05087902925601E-4</v>
      </c>
      <c r="F694">
        <v>2.05087902925601E-4</v>
      </c>
      <c r="G694">
        <v>0</v>
      </c>
      <c r="H694">
        <v>0</v>
      </c>
      <c r="I694" t="s">
        <v>86</v>
      </c>
    </row>
    <row r="695" spans="1:9" hidden="1" x14ac:dyDescent="0.35">
      <c r="A695" t="s">
        <v>9</v>
      </c>
      <c r="B695">
        <v>2035</v>
      </c>
      <c r="C695" t="s">
        <v>85</v>
      </c>
      <c r="D695" t="s">
        <v>48</v>
      </c>
      <c r="E695">
        <v>42.688392984686097</v>
      </c>
      <c r="F695">
        <v>42.688392984686097</v>
      </c>
      <c r="G695">
        <v>0</v>
      </c>
      <c r="H695">
        <v>0</v>
      </c>
      <c r="I695" t="s">
        <v>86</v>
      </c>
    </row>
    <row r="696" spans="1:9" hidden="1" x14ac:dyDescent="0.35">
      <c r="A696" t="s">
        <v>9</v>
      </c>
      <c r="B696">
        <v>2035</v>
      </c>
      <c r="C696" t="s">
        <v>85</v>
      </c>
      <c r="D696" t="s">
        <v>49</v>
      </c>
      <c r="E696">
        <v>2.3427145631567701E-2</v>
      </c>
      <c r="F696">
        <v>2.3427145631567701E-2</v>
      </c>
      <c r="G696">
        <v>0</v>
      </c>
      <c r="H696">
        <v>0</v>
      </c>
      <c r="I696" t="s">
        <v>86</v>
      </c>
    </row>
    <row r="697" spans="1:9" hidden="1" x14ac:dyDescent="0.35">
      <c r="A697" t="s">
        <v>9</v>
      </c>
      <c r="B697">
        <v>2035</v>
      </c>
      <c r="C697" t="s">
        <v>85</v>
      </c>
      <c r="D697" t="s">
        <v>50</v>
      </c>
      <c r="E697">
        <v>6.8127872523840701E-3</v>
      </c>
      <c r="F697">
        <v>6.8127872523840701E-3</v>
      </c>
      <c r="G697">
        <v>0</v>
      </c>
      <c r="H697">
        <v>0</v>
      </c>
      <c r="I697" t="s">
        <v>86</v>
      </c>
    </row>
    <row r="698" spans="1:9" hidden="1" x14ac:dyDescent="0.35">
      <c r="A698" t="s">
        <v>9</v>
      </c>
      <c r="B698">
        <v>2035</v>
      </c>
      <c r="C698" t="s">
        <v>85</v>
      </c>
      <c r="D698" t="s">
        <v>51</v>
      </c>
      <c r="E698">
        <v>3.7944819256213499E-2</v>
      </c>
      <c r="F698">
        <v>3.7944819256213499E-2</v>
      </c>
      <c r="G698">
        <v>0</v>
      </c>
      <c r="H698">
        <v>0</v>
      </c>
      <c r="I698" t="s">
        <v>86</v>
      </c>
    </row>
    <row r="699" spans="1:9" hidden="1" x14ac:dyDescent="0.35">
      <c r="A699" t="s">
        <v>9</v>
      </c>
      <c r="B699">
        <v>2035</v>
      </c>
      <c r="C699" t="s">
        <v>85</v>
      </c>
      <c r="D699" t="s">
        <v>52</v>
      </c>
      <c r="E699">
        <v>6.6248748682618694E-2</v>
      </c>
      <c r="F699">
        <v>6.6248748682618694E-2</v>
      </c>
      <c r="G699">
        <v>0</v>
      </c>
      <c r="H699">
        <v>0</v>
      </c>
      <c r="I699" t="s">
        <v>86</v>
      </c>
    </row>
    <row r="700" spans="1:9" hidden="1" x14ac:dyDescent="0.35">
      <c r="A700" t="s">
        <v>9</v>
      </c>
      <c r="B700">
        <v>2035</v>
      </c>
      <c r="C700" t="s">
        <v>85</v>
      </c>
      <c r="D700" t="s">
        <v>53</v>
      </c>
      <c r="E700">
        <v>0.218780715700614</v>
      </c>
      <c r="F700">
        <v>0.218780715700614</v>
      </c>
      <c r="G700">
        <v>0</v>
      </c>
      <c r="H700">
        <v>0</v>
      </c>
      <c r="I700" t="s">
        <v>86</v>
      </c>
    </row>
    <row r="701" spans="1:9" hidden="1" x14ac:dyDescent="0.35">
      <c r="A701" t="s">
        <v>9</v>
      </c>
      <c r="B701">
        <v>2035</v>
      </c>
      <c r="C701" t="s">
        <v>85</v>
      </c>
      <c r="D701" t="s">
        <v>54</v>
      </c>
      <c r="E701">
        <v>4.9263486510323001E-2</v>
      </c>
      <c r="F701">
        <v>4.9263486510323001E-2</v>
      </c>
      <c r="G701">
        <v>0</v>
      </c>
      <c r="H701">
        <v>0</v>
      </c>
      <c r="I701" t="s">
        <v>86</v>
      </c>
    </row>
    <row r="702" spans="1:9" hidden="1" x14ac:dyDescent="0.35">
      <c r="A702" t="s">
        <v>9</v>
      </c>
      <c r="B702">
        <v>2035</v>
      </c>
      <c r="C702" t="s">
        <v>85</v>
      </c>
      <c r="D702" t="s">
        <v>55</v>
      </c>
      <c r="E702">
        <v>4.5517347463057099E-2</v>
      </c>
      <c r="F702">
        <v>4.5517347463057099E-2</v>
      </c>
      <c r="G702">
        <v>0</v>
      </c>
      <c r="H702">
        <v>0</v>
      </c>
      <c r="I702" t="s">
        <v>86</v>
      </c>
    </row>
    <row r="703" spans="1:9" hidden="1" x14ac:dyDescent="0.35">
      <c r="A703" t="s">
        <v>9</v>
      </c>
      <c r="B703">
        <v>2035</v>
      </c>
      <c r="C703" t="s">
        <v>85</v>
      </c>
      <c r="D703" t="s">
        <v>56</v>
      </c>
      <c r="E703" s="1">
        <v>4.3002849371623E-8</v>
      </c>
      <c r="F703" s="1">
        <v>4.3002849371623E-8</v>
      </c>
      <c r="G703">
        <v>0</v>
      </c>
      <c r="H703">
        <v>0</v>
      </c>
      <c r="I703" t="s">
        <v>86</v>
      </c>
    </row>
    <row r="704" spans="1:9" hidden="1" x14ac:dyDescent="0.35">
      <c r="A704" t="s">
        <v>11</v>
      </c>
      <c r="B704">
        <v>2040</v>
      </c>
      <c r="C704" t="s">
        <v>85</v>
      </c>
      <c r="D704" t="s">
        <v>38</v>
      </c>
      <c r="E704">
        <v>5.9661325702108602E-4</v>
      </c>
      <c r="F704">
        <v>5.9661092831638201E-4</v>
      </c>
      <c r="G704" s="1">
        <v>-2.3287047038952902E-9</v>
      </c>
      <c r="H704">
        <v>-3.9032064348060299E-4</v>
      </c>
      <c r="I704" t="s">
        <v>86</v>
      </c>
    </row>
    <row r="705" spans="1:9" hidden="1" x14ac:dyDescent="0.35">
      <c r="A705" t="s">
        <v>11</v>
      </c>
      <c r="B705">
        <v>2040</v>
      </c>
      <c r="C705" t="s">
        <v>85</v>
      </c>
      <c r="D705" t="s">
        <v>40</v>
      </c>
      <c r="E705">
        <v>2.34824387022274E-4</v>
      </c>
      <c r="F705">
        <v>2.34824387022274E-4</v>
      </c>
      <c r="G705">
        <v>0</v>
      </c>
      <c r="H705">
        <v>0</v>
      </c>
      <c r="I705" t="s">
        <v>86</v>
      </c>
    </row>
    <row r="706" spans="1:9" hidden="1" x14ac:dyDescent="0.35">
      <c r="A706" t="s">
        <v>11</v>
      </c>
      <c r="B706">
        <v>2040</v>
      </c>
      <c r="C706" t="s">
        <v>85</v>
      </c>
      <c r="D706" t="s">
        <v>41</v>
      </c>
      <c r="E706">
        <v>3.7460453286348701E-3</v>
      </c>
      <c r="F706">
        <v>3.6757976882164701E-3</v>
      </c>
      <c r="G706" s="1">
        <v>-7.0247640418407304E-5</v>
      </c>
      <c r="H706">
        <v>-1.87524800838453</v>
      </c>
      <c r="I706" t="s">
        <v>86</v>
      </c>
    </row>
    <row r="707" spans="1:9" hidden="1" x14ac:dyDescent="0.35">
      <c r="A707" t="s">
        <v>11</v>
      </c>
      <c r="B707">
        <v>2040</v>
      </c>
      <c r="C707" t="s">
        <v>85</v>
      </c>
      <c r="D707" t="s">
        <v>42</v>
      </c>
      <c r="E707">
        <v>1.811469588687</v>
      </c>
      <c r="F707">
        <v>0.45875823735355697</v>
      </c>
      <c r="G707">
        <v>-1.3527113513334399</v>
      </c>
      <c r="H707">
        <v>-74.674803252640999</v>
      </c>
      <c r="I707" t="s">
        <v>86</v>
      </c>
    </row>
    <row r="708" spans="1:9" hidden="1" x14ac:dyDescent="0.35">
      <c r="A708" t="s">
        <v>11</v>
      </c>
      <c r="B708">
        <v>2040</v>
      </c>
      <c r="C708" t="s">
        <v>85</v>
      </c>
      <c r="D708" t="s">
        <v>43</v>
      </c>
      <c r="E708">
        <v>6.7388972762998502E-4</v>
      </c>
      <c r="F708">
        <v>6.7388972762998502E-4</v>
      </c>
      <c r="G708">
        <v>0</v>
      </c>
      <c r="H708">
        <v>0</v>
      </c>
      <c r="I708" t="s">
        <v>86</v>
      </c>
    </row>
    <row r="709" spans="1:9" hidden="1" x14ac:dyDescent="0.35">
      <c r="A709" t="s">
        <v>11</v>
      </c>
      <c r="B709">
        <v>2040</v>
      </c>
      <c r="C709" t="s">
        <v>85</v>
      </c>
      <c r="D709" t="s">
        <v>136</v>
      </c>
      <c r="E709">
        <v>0.43483663333373901</v>
      </c>
      <c r="F709">
        <v>0.43483663333373901</v>
      </c>
      <c r="G709">
        <v>0</v>
      </c>
      <c r="H709">
        <v>0</v>
      </c>
      <c r="I709" t="s">
        <v>86</v>
      </c>
    </row>
    <row r="710" spans="1:9" hidden="1" x14ac:dyDescent="0.35">
      <c r="A710" t="s">
        <v>11</v>
      </c>
      <c r="B710">
        <v>2040</v>
      </c>
      <c r="C710" t="s">
        <v>85</v>
      </c>
      <c r="D710" t="s">
        <v>45</v>
      </c>
      <c r="E710">
        <v>5.2647012691494997E-3</v>
      </c>
      <c r="F710">
        <v>5.0914237457892796E-3</v>
      </c>
      <c r="G710">
        <v>-1.7327752336021701E-4</v>
      </c>
      <c r="H710">
        <v>-3.2913077969988902</v>
      </c>
      <c r="I710" t="s">
        <v>86</v>
      </c>
    </row>
    <row r="711" spans="1:9" hidden="1" x14ac:dyDescent="0.35">
      <c r="A711" t="s">
        <v>11</v>
      </c>
      <c r="B711">
        <v>2040</v>
      </c>
      <c r="C711" t="s">
        <v>85</v>
      </c>
      <c r="D711" t="s">
        <v>46</v>
      </c>
      <c r="E711">
        <v>6.54486896264352E-2</v>
      </c>
      <c r="F711">
        <v>6.54486896264352E-2</v>
      </c>
      <c r="G711">
        <v>0</v>
      </c>
      <c r="H711">
        <v>0</v>
      </c>
      <c r="I711" t="s">
        <v>86</v>
      </c>
    </row>
    <row r="712" spans="1:9" hidden="1" x14ac:dyDescent="0.35">
      <c r="A712" t="s">
        <v>11</v>
      </c>
      <c r="B712">
        <v>2040</v>
      </c>
      <c r="C712" t="s">
        <v>85</v>
      </c>
      <c r="D712" t="s">
        <v>47</v>
      </c>
      <c r="E712">
        <v>1.8605853165791199E-4</v>
      </c>
      <c r="F712">
        <v>1.8605853165791199E-4</v>
      </c>
      <c r="G712">
        <v>0</v>
      </c>
      <c r="H712">
        <v>0</v>
      </c>
      <c r="I712" t="s">
        <v>86</v>
      </c>
    </row>
    <row r="713" spans="1:9" hidden="1" x14ac:dyDescent="0.35">
      <c r="A713" t="s">
        <v>11</v>
      </c>
      <c r="B713">
        <v>2040</v>
      </c>
      <c r="C713" t="s">
        <v>85</v>
      </c>
      <c r="D713" t="s">
        <v>48</v>
      </c>
      <c r="E713">
        <v>42.689197313289803</v>
      </c>
      <c r="F713">
        <v>42.689197313289803</v>
      </c>
      <c r="G713">
        <v>0</v>
      </c>
      <c r="H713">
        <v>0</v>
      </c>
      <c r="I713" t="s">
        <v>86</v>
      </c>
    </row>
    <row r="714" spans="1:9" hidden="1" x14ac:dyDescent="0.35">
      <c r="A714" t="s">
        <v>11</v>
      </c>
      <c r="B714">
        <v>2040</v>
      </c>
      <c r="C714" t="s">
        <v>85</v>
      </c>
      <c r="D714" t="s">
        <v>49</v>
      </c>
      <c r="E714">
        <v>2.3285361954780599E-2</v>
      </c>
      <c r="F714">
        <v>2.24189743508897E-2</v>
      </c>
      <c r="G714">
        <v>-8.6638760389090195E-4</v>
      </c>
      <c r="H714">
        <v>-3.7207392591680399</v>
      </c>
      <c r="I714" t="s">
        <v>86</v>
      </c>
    </row>
    <row r="715" spans="1:9" hidden="1" x14ac:dyDescent="0.35">
      <c r="A715" t="s">
        <v>11</v>
      </c>
      <c r="B715">
        <v>2040</v>
      </c>
      <c r="C715" t="s">
        <v>85</v>
      </c>
      <c r="D715" t="s">
        <v>50</v>
      </c>
      <c r="E715">
        <v>6.3413457693622102E-3</v>
      </c>
      <c r="F715">
        <v>6.3413457693622102E-3</v>
      </c>
      <c r="G715">
        <v>0</v>
      </c>
      <c r="H715">
        <v>0</v>
      </c>
      <c r="I715" t="s">
        <v>86</v>
      </c>
    </row>
    <row r="716" spans="1:9" hidden="1" x14ac:dyDescent="0.35">
      <c r="A716" t="s">
        <v>11</v>
      </c>
      <c r="B716">
        <v>2040</v>
      </c>
      <c r="C716" t="s">
        <v>85</v>
      </c>
      <c r="D716" t="s">
        <v>51</v>
      </c>
      <c r="E716">
        <v>3.8537761618362303E-2</v>
      </c>
      <c r="F716">
        <v>3.8537761618362303E-2</v>
      </c>
      <c r="G716">
        <v>0</v>
      </c>
      <c r="H716">
        <v>0</v>
      </c>
      <c r="I716" t="s">
        <v>86</v>
      </c>
    </row>
    <row r="717" spans="1:9" hidden="1" x14ac:dyDescent="0.35">
      <c r="A717" t="s">
        <v>11</v>
      </c>
      <c r="B717">
        <v>2040</v>
      </c>
      <c r="C717" t="s">
        <v>85</v>
      </c>
      <c r="D717" t="s">
        <v>52</v>
      </c>
      <c r="E717">
        <v>5.4192808045039099E-2</v>
      </c>
      <c r="F717">
        <v>5.4192808045039099E-2</v>
      </c>
      <c r="G717">
        <v>0</v>
      </c>
      <c r="H717">
        <v>0</v>
      </c>
      <c r="I717" t="s">
        <v>86</v>
      </c>
    </row>
    <row r="718" spans="1:9" hidden="1" x14ac:dyDescent="0.35">
      <c r="A718" t="s">
        <v>11</v>
      </c>
      <c r="B718">
        <v>2040</v>
      </c>
      <c r="C718" t="s">
        <v>85</v>
      </c>
      <c r="D718" t="s">
        <v>53</v>
      </c>
      <c r="E718">
        <v>0.20610822659296801</v>
      </c>
      <c r="F718">
        <v>0.20610822659296801</v>
      </c>
      <c r="G718">
        <v>0</v>
      </c>
      <c r="H718">
        <v>0</v>
      </c>
      <c r="I718" t="s">
        <v>86</v>
      </c>
    </row>
    <row r="719" spans="1:9" hidden="1" x14ac:dyDescent="0.35">
      <c r="A719" t="s">
        <v>11</v>
      </c>
      <c r="B719">
        <v>2040</v>
      </c>
      <c r="C719" t="s">
        <v>85</v>
      </c>
      <c r="D719" t="s">
        <v>54</v>
      </c>
      <c r="E719">
        <v>4.9335554030925599E-2</v>
      </c>
      <c r="F719">
        <v>4.2085473923771197E-2</v>
      </c>
      <c r="G719">
        <v>-7.2500801071543703E-3</v>
      </c>
      <c r="H719">
        <v>-14.6954468224066</v>
      </c>
      <c r="I719" t="s">
        <v>86</v>
      </c>
    </row>
    <row r="720" spans="1:9" hidden="1" x14ac:dyDescent="0.35">
      <c r="A720" t="s">
        <v>11</v>
      </c>
      <c r="B720">
        <v>2040</v>
      </c>
      <c r="C720" t="s">
        <v>85</v>
      </c>
      <c r="D720" t="s">
        <v>55</v>
      </c>
      <c r="E720">
        <v>4.5578381956650003E-2</v>
      </c>
      <c r="F720">
        <v>3.84303237112332E-2</v>
      </c>
      <c r="G720">
        <v>-7.1480582454167196E-3</v>
      </c>
      <c r="H720">
        <v>-15.683001323336301</v>
      </c>
      <c r="I720" t="s">
        <v>86</v>
      </c>
    </row>
    <row r="721" spans="1:9" hidden="1" x14ac:dyDescent="0.35">
      <c r="A721" t="s">
        <v>11</v>
      </c>
      <c r="B721">
        <v>2040</v>
      </c>
      <c r="C721" t="s">
        <v>85</v>
      </c>
      <c r="D721" t="s">
        <v>56</v>
      </c>
      <c r="E721" s="1">
        <v>4.1448074784181698E-8</v>
      </c>
      <c r="F721" s="1">
        <v>4.1448074784181698E-8</v>
      </c>
      <c r="G721">
        <v>0</v>
      </c>
      <c r="H721">
        <v>0</v>
      </c>
      <c r="I721" t="s">
        <v>86</v>
      </c>
    </row>
    <row r="722" spans="1:9" x14ac:dyDescent="0.35">
      <c r="A722" t="s">
        <v>5</v>
      </c>
      <c r="B722">
        <v>2025</v>
      </c>
      <c r="C722" t="s">
        <v>72</v>
      </c>
      <c r="D722" t="s">
        <v>38</v>
      </c>
      <c r="E722">
        <v>5.3460131968067698E-3</v>
      </c>
      <c r="F722">
        <v>5.3460131968067698E-3</v>
      </c>
      <c r="G722">
        <v>0</v>
      </c>
      <c r="H722">
        <v>0</v>
      </c>
      <c r="I722" t="s">
        <v>73</v>
      </c>
    </row>
    <row r="723" spans="1:9" x14ac:dyDescent="0.35">
      <c r="A723" t="s">
        <v>5</v>
      </c>
      <c r="B723">
        <v>2025</v>
      </c>
      <c r="C723" t="s">
        <v>72</v>
      </c>
      <c r="D723" t="s">
        <v>40</v>
      </c>
      <c r="E723">
        <v>1.26720659417623E-3</v>
      </c>
      <c r="F723">
        <v>1.26720659417623E-3</v>
      </c>
      <c r="G723">
        <v>0</v>
      </c>
      <c r="H723">
        <v>0</v>
      </c>
      <c r="I723" t="s">
        <v>73</v>
      </c>
    </row>
    <row r="724" spans="1:9" x14ac:dyDescent="0.35">
      <c r="A724" t="s">
        <v>5</v>
      </c>
      <c r="B724">
        <v>2025</v>
      </c>
      <c r="C724" t="s">
        <v>72</v>
      </c>
      <c r="D724" t="s">
        <v>41</v>
      </c>
      <c r="E724">
        <v>3.5779005926085301E-2</v>
      </c>
      <c r="F724">
        <v>3.5779005926085301E-2</v>
      </c>
      <c r="G724">
        <v>0</v>
      </c>
      <c r="H724">
        <v>0</v>
      </c>
      <c r="I724" t="s">
        <v>73</v>
      </c>
    </row>
    <row r="725" spans="1:9" x14ac:dyDescent="0.35">
      <c r="A725" t="s">
        <v>5</v>
      </c>
      <c r="B725">
        <v>2025</v>
      </c>
      <c r="C725" t="s">
        <v>72</v>
      </c>
      <c r="D725" t="s">
        <v>42</v>
      </c>
      <c r="E725">
        <v>5.4044052289791802</v>
      </c>
      <c r="F725">
        <v>5.4044052289791802</v>
      </c>
      <c r="G725">
        <v>0</v>
      </c>
      <c r="H725">
        <v>0</v>
      </c>
      <c r="I725" t="s">
        <v>73</v>
      </c>
    </row>
    <row r="726" spans="1:9" x14ac:dyDescent="0.35">
      <c r="A726" t="s">
        <v>5</v>
      </c>
      <c r="B726">
        <v>2025</v>
      </c>
      <c r="C726" t="s">
        <v>72</v>
      </c>
      <c r="D726" t="s">
        <v>43</v>
      </c>
      <c r="E726">
        <v>4.0289099706645098E-2</v>
      </c>
      <c r="F726">
        <v>4.0289099706645098E-2</v>
      </c>
      <c r="G726">
        <v>0</v>
      </c>
      <c r="H726">
        <v>0</v>
      </c>
      <c r="I726" t="s">
        <v>73</v>
      </c>
    </row>
    <row r="727" spans="1:9" x14ac:dyDescent="0.35">
      <c r="A727" t="s">
        <v>5</v>
      </c>
      <c r="B727">
        <v>2025</v>
      </c>
      <c r="C727" t="s">
        <v>72</v>
      </c>
      <c r="D727" t="s">
        <v>136</v>
      </c>
      <c r="E727">
        <v>8.3785400389772793</v>
      </c>
      <c r="F727">
        <v>8.3785400389772793</v>
      </c>
      <c r="G727">
        <v>0</v>
      </c>
      <c r="H727">
        <v>0</v>
      </c>
      <c r="I727" t="s">
        <v>73</v>
      </c>
    </row>
    <row r="728" spans="1:9" x14ac:dyDescent="0.35">
      <c r="A728" t="s">
        <v>5</v>
      </c>
      <c r="B728">
        <v>2025</v>
      </c>
      <c r="C728" t="s">
        <v>72</v>
      </c>
      <c r="D728" t="s">
        <v>45</v>
      </c>
      <c r="E728">
        <v>3.43771823554389E-2</v>
      </c>
      <c r="F728">
        <v>3.43771823554389E-2</v>
      </c>
      <c r="G728">
        <v>0</v>
      </c>
      <c r="H728">
        <v>0</v>
      </c>
      <c r="I728" t="s">
        <v>73</v>
      </c>
    </row>
    <row r="729" spans="1:9" x14ac:dyDescent="0.35">
      <c r="A729" t="s">
        <v>5</v>
      </c>
      <c r="B729">
        <v>2025</v>
      </c>
      <c r="C729" t="s">
        <v>72</v>
      </c>
      <c r="D729" t="s">
        <v>46</v>
      </c>
      <c r="E729">
        <v>0.36120736370512901</v>
      </c>
      <c r="F729">
        <v>0.36120736370512901</v>
      </c>
      <c r="G729">
        <v>0</v>
      </c>
      <c r="H729">
        <v>0</v>
      </c>
      <c r="I729" t="s">
        <v>73</v>
      </c>
    </row>
    <row r="730" spans="1:9" x14ac:dyDescent="0.35">
      <c r="A730" t="s">
        <v>5</v>
      </c>
      <c r="B730">
        <v>2025</v>
      </c>
      <c r="C730" t="s">
        <v>72</v>
      </c>
      <c r="D730" t="s">
        <v>47</v>
      </c>
      <c r="E730">
        <v>5.4195047764593997E-3</v>
      </c>
      <c r="F730">
        <v>5.4195047764593997E-3</v>
      </c>
      <c r="G730">
        <v>0</v>
      </c>
      <c r="H730">
        <v>0</v>
      </c>
      <c r="I730" t="s">
        <v>73</v>
      </c>
    </row>
    <row r="731" spans="1:9" x14ac:dyDescent="0.35">
      <c r="A731" t="s">
        <v>5</v>
      </c>
      <c r="B731">
        <v>2025</v>
      </c>
      <c r="C731" t="s">
        <v>72</v>
      </c>
      <c r="D731" t="s">
        <v>48</v>
      </c>
      <c r="E731">
        <v>1.1948303115407299</v>
      </c>
      <c r="F731">
        <v>1.1948303115407299</v>
      </c>
      <c r="G731">
        <v>0</v>
      </c>
      <c r="H731">
        <v>0</v>
      </c>
      <c r="I731" t="s">
        <v>73</v>
      </c>
    </row>
    <row r="732" spans="1:9" x14ac:dyDescent="0.35">
      <c r="A732" t="s">
        <v>5</v>
      </c>
      <c r="B732">
        <v>2025</v>
      </c>
      <c r="C732" t="s">
        <v>72</v>
      </c>
      <c r="D732" t="s">
        <v>49</v>
      </c>
      <c r="E732">
        <v>6.2467236408996499E-2</v>
      </c>
      <c r="F732">
        <v>6.2467236408996499E-2</v>
      </c>
      <c r="G732">
        <v>0</v>
      </c>
      <c r="H732">
        <v>0</v>
      </c>
      <c r="I732" t="s">
        <v>73</v>
      </c>
    </row>
    <row r="733" spans="1:9" x14ac:dyDescent="0.35">
      <c r="A733" t="s">
        <v>5</v>
      </c>
      <c r="B733">
        <v>2025</v>
      </c>
      <c r="C733" t="s">
        <v>72</v>
      </c>
      <c r="D733" t="s">
        <v>50</v>
      </c>
      <c r="E733">
        <v>0.147481264632049</v>
      </c>
      <c r="F733">
        <v>0.147481264632049</v>
      </c>
      <c r="G733">
        <v>0</v>
      </c>
      <c r="H733">
        <v>0</v>
      </c>
      <c r="I733" t="s">
        <v>73</v>
      </c>
    </row>
    <row r="734" spans="1:9" x14ac:dyDescent="0.35">
      <c r="A734" t="s">
        <v>5</v>
      </c>
      <c r="B734">
        <v>2025</v>
      </c>
      <c r="C734" t="s">
        <v>72</v>
      </c>
      <c r="D734" t="s">
        <v>51</v>
      </c>
      <c r="E734">
        <v>0.235324628538361</v>
      </c>
      <c r="F734">
        <v>0.235324628538361</v>
      </c>
      <c r="G734">
        <v>0</v>
      </c>
      <c r="H734">
        <v>0</v>
      </c>
      <c r="I734" t="s">
        <v>73</v>
      </c>
    </row>
    <row r="735" spans="1:9" x14ac:dyDescent="0.35">
      <c r="A735" t="s">
        <v>5</v>
      </c>
      <c r="B735">
        <v>2025</v>
      </c>
      <c r="C735" t="s">
        <v>72</v>
      </c>
      <c r="D735" t="s">
        <v>52</v>
      </c>
      <c r="E735">
        <v>0.47866462925893599</v>
      </c>
      <c r="F735">
        <v>0.47866462925893599</v>
      </c>
      <c r="G735">
        <v>0</v>
      </c>
      <c r="H735">
        <v>0</v>
      </c>
      <c r="I735" t="s">
        <v>73</v>
      </c>
    </row>
    <row r="736" spans="1:9" x14ac:dyDescent="0.35">
      <c r="A736" t="s">
        <v>5</v>
      </c>
      <c r="B736">
        <v>2025</v>
      </c>
      <c r="C736" t="s">
        <v>72</v>
      </c>
      <c r="D736" t="s">
        <v>53</v>
      </c>
      <c r="E736">
        <v>2.6158382172392201</v>
      </c>
      <c r="F736">
        <v>2.6158382172392201</v>
      </c>
      <c r="G736">
        <v>0</v>
      </c>
      <c r="H736">
        <v>0</v>
      </c>
      <c r="I736" t="s">
        <v>73</v>
      </c>
    </row>
    <row r="737" spans="1:9" x14ac:dyDescent="0.35">
      <c r="A737" t="s">
        <v>5</v>
      </c>
      <c r="B737">
        <v>2025</v>
      </c>
      <c r="C737" t="s">
        <v>72</v>
      </c>
      <c r="D737" t="s">
        <v>54</v>
      </c>
      <c r="E737">
        <v>0.87765469077804703</v>
      </c>
      <c r="F737">
        <v>0.87765469077804703</v>
      </c>
      <c r="G737">
        <v>0</v>
      </c>
      <c r="H737">
        <v>0</v>
      </c>
      <c r="I737" t="s">
        <v>73</v>
      </c>
    </row>
    <row r="738" spans="1:9" x14ac:dyDescent="0.35">
      <c r="A738" t="s">
        <v>5</v>
      </c>
      <c r="B738">
        <v>2025</v>
      </c>
      <c r="C738" t="s">
        <v>72</v>
      </c>
      <c r="D738" t="s">
        <v>55</v>
      </c>
      <c r="E738">
        <v>0.52810310367120605</v>
      </c>
      <c r="F738">
        <v>0.52810310367120605</v>
      </c>
      <c r="G738">
        <v>0</v>
      </c>
      <c r="H738">
        <v>0</v>
      </c>
      <c r="I738" t="s">
        <v>73</v>
      </c>
    </row>
    <row r="739" spans="1:9" x14ac:dyDescent="0.35">
      <c r="A739" t="s">
        <v>5</v>
      </c>
      <c r="B739">
        <v>2025</v>
      </c>
      <c r="C739" t="s">
        <v>72</v>
      </c>
      <c r="D739" t="s">
        <v>56</v>
      </c>
      <c r="E739" s="1">
        <v>1.0062344782693299E-6</v>
      </c>
      <c r="F739" s="1">
        <v>1.0062344782693299E-6</v>
      </c>
      <c r="G739">
        <v>0</v>
      </c>
      <c r="H739">
        <v>0</v>
      </c>
      <c r="I739" t="s">
        <v>73</v>
      </c>
    </row>
    <row r="740" spans="1:9" x14ac:dyDescent="0.35">
      <c r="A740" t="s">
        <v>7</v>
      </c>
      <c r="B740">
        <v>2030</v>
      </c>
      <c r="C740" t="s">
        <v>72</v>
      </c>
      <c r="D740" t="s">
        <v>38</v>
      </c>
      <c r="E740">
        <v>5.3080092862966902E-3</v>
      </c>
      <c r="F740">
        <v>5.3080092862966902E-3</v>
      </c>
      <c r="G740">
        <v>0</v>
      </c>
      <c r="H740">
        <v>0</v>
      </c>
      <c r="I740" t="s">
        <v>73</v>
      </c>
    </row>
    <row r="741" spans="1:9" x14ac:dyDescent="0.35">
      <c r="A741" t="s">
        <v>7</v>
      </c>
      <c r="B741">
        <v>2030</v>
      </c>
      <c r="C741" t="s">
        <v>72</v>
      </c>
      <c r="D741" t="s">
        <v>40</v>
      </c>
      <c r="E741">
        <v>1.1949374392779999E-3</v>
      </c>
      <c r="F741">
        <v>1.1949374392779999E-3</v>
      </c>
      <c r="G741">
        <v>0</v>
      </c>
      <c r="H741">
        <v>0</v>
      </c>
      <c r="I741" t="s">
        <v>73</v>
      </c>
    </row>
    <row r="742" spans="1:9" x14ac:dyDescent="0.35">
      <c r="A742" t="s">
        <v>7</v>
      </c>
      <c r="B742">
        <v>2030</v>
      </c>
      <c r="C742" t="s">
        <v>72</v>
      </c>
      <c r="D742" t="s">
        <v>41</v>
      </c>
      <c r="E742">
        <v>3.4468913950888302E-2</v>
      </c>
      <c r="F742">
        <v>3.3517578749157499E-2</v>
      </c>
      <c r="G742">
        <v>-9.5133520173079601E-4</v>
      </c>
      <c r="H742">
        <v>-2.75998020444238</v>
      </c>
      <c r="I742" t="s">
        <v>73</v>
      </c>
    </row>
    <row r="743" spans="1:9" x14ac:dyDescent="0.35">
      <c r="A743" t="s">
        <v>7</v>
      </c>
      <c r="B743">
        <v>2030</v>
      </c>
      <c r="C743" t="s">
        <v>72</v>
      </c>
      <c r="D743" t="s">
        <v>42</v>
      </c>
      <c r="E743">
        <v>5.2511786280560404</v>
      </c>
      <c r="F743">
        <v>5.2511786280560404</v>
      </c>
      <c r="G743">
        <v>0</v>
      </c>
      <c r="H743">
        <v>0</v>
      </c>
      <c r="I743" t="s">
        <v>73</v>
      </c>
    </row>
    <row r="744" spans="1:9" x14ac:dyDescent="0.35">
      <c r="A744" t="s">
        <v>7</v>
      </c>
      <c r="B744">
        <v>2030</v>
      </c>
      <c r="C744" t="s">
        <v>72</v>
      </c>
      <c r="D744" t="s">
        <v>43</v>
      </c>
      <c r="E744">
        <v>3.9813510349944098E-2</v>
      </c>
      <c r="F744">
        <v>1.9111508823714801E-2</v>
      </c>
      <c r="G744">
        <v>-2.07020015262292E-2</v>
      </c>
      <c r="H744">
        <v>-51.997428371091303</v>
      </c>
      <c r="I744" t="s">
        <v>73</v>
      </c>
    </row>
    <row r="745" spans="1:9" x14ac:dyDescent="0.35">
      <c r="A745" t="s">
        <v>7</v>
      </c>
      <c r="B745">
        <v>2030</v>
      </c>
      <c r="C745" t="s">
        <v>72</v>
      </c>
      <c r="D745" t="s">
        <v>136</v>
      </c>
      <c r="E745">
        <v>7.6788741795940298</v>
      </c>
      <c r="F745">
        <v>7.6788741795940298</v>
      </c>
      <c r="G745">
        <v>0</v>
      </c>
      <c r="H745">
        <v>0</v>
      </c>
      <c r="I745" t="s">
        <v>73</v>
      </c>
    </row>
    <row r="746" spans="1:9" x14ac:dyDescent="0.35">
      <c r="A746" t="s">
        <v>7</v>
      </c>
      <c r="B746">
        <v>2030</v>
      </c>
      <c r="C746" t="s">
        <v>72</v>
      </c>
      <c r="D746" t="s">
        <v>45</v>
      </c>
      <c r="E746">
        <v>2.3897771464548599E-2</v>
      </c>
      <c r="F746">
        <v>2.3308267267075002E-2</v>
      </c>
      <c r="G746">
        <v>-5.8950419747355598E-4</v>
      </c>
      <c r="H746">
        <v>-2.4667747716478998</v>
      </c>
      <c r="I746" t="s">
        <v>73</v>
      </c>
    </row>
    <row r="747" spans="1:9" x14ac:dyDescent="0.35">
      <c r="A747" t="s">
        <v>7</v>
      </c>
      <c r="B747">
        <v>2030</v>
      </c>
      <c r="C747" t="s">
        <v>72</v>
      </c>
      <c r="D747" t="s">
        <v>46</v>
      </c>
      <c r="E747">
        <v>0.36742587477616501</v>
      </c>
      <c r="F747">
        <v>0.36742587477616501</v>
      </c>
      <c r="G747">
        <v>0</v>
      </c>
      <c r="H747">
        <v>0</v>
      </c>
      <c r="I747" t="s">
        <v>73</v>
      </c>
    </row>
    <row r="748" spans="1:9" x14ac:dyDescent="0.35">
      <c r="A748" t="s">
        <v>7</v>
      </c>
      <c r="B748">
        <v>2030</v>
      </c>
      <c r="C748" t="s">
        <v>72</v>
      </c>
      <c r="D748" t="s">
        <v>47</v>
      </c>
      <c r="E748">
        <v>5.2388835026340001E-3</v>
      </c>
      <c r="F748">
        <v>3.1320859656502899E-3</v>
      </c>
      <c r="G748">
        <v>-2.1067975369837102E-3</v>
      </c>
      <c r="H748">
        <v>-40.2146284780804</v>
      </c>
      <c r="I748" t="s">
        <v>73</v>
      </c>
    </row>
    <row r="749" spans="1:9" x14ac:dyDescent="0.35">
      <c r="A749" t="s">
        <v>7</v>
      </c>
      <c r="B749">
        <v>2030</v>
      </c>
      <c r="C749" t="s">
        <v>72</v>
      </c>
      <c r="D749" t="s">
        <v>48</v>
      </c>
      <c r="E749">
        <v>1.1986031804030499</v>
      </c>
      <c r="F749">
        <v>1.1986031804030499</v>
      </c>
      <c r="G749">
        <v>0</v>
      </c>
      <c r="H749">
        <v>0</v>
      </c>
      <c r="I749" t="s">
        <v>73</v>
      </c>
    </row>
    <row r="750" spans="1:9" x14ac:dyDescent="0.35">
      <c r="A750" t="s">
        <v>7</v>
      </c>
      <c r="B750">
        <v>2030</v>
      </c>
      <c r="C750" t="s">
        <v>72</v>
      </c>
      <c r="D750" t="s">
        <v>49</v>
      </c>
      <c r="E750">
        <v>6.0581289113840302E-2</v>
      </c>
      <c r="F750">
        <v>5.99860205507141E-2</v>
      </c>
      <c r="G750">
        <v>-5.9526856312620802E-4</v>
      </c>
      <c r="H750">
        <v>-0.98259474473648001</v>
      </c>
      <c r="I750" t="s">
        <v>73</v>
      </c>
    </row>
    <row r="751" spans="1:9" x14ac:dyDescent="0.35">
      <c r="A751" t="s">
        <v>7</v>
      </c>
      <c r="B751">
        <v>2030</v>
      </c>
      <c r="C751" t="s">
        <v>72</v>
      </c>
      <c r="D751" t="s">
        <v>50</v>
      </c>
      <c r="E751">
        <v>0.14493237067964901</v>
      </c>
      <c r="F751">
        <v>0.14493237067964901</v>
      </c>
      <c r="G751">
        <v>0</v>
      </c>
      <c r="H751">
        <v>0</v>
      </c>
      <c r="I751" t="s">
        <v>73</v>
      </c>
    </row>
    <row r="752" spans="1:9" x14ac:dyDescent="0.35">
      <c r="A752" t="s">
        <v>7</v>
      </c>
      <c r="B752">
        <v>2030</v>
      </c>
      <c r="C752" t="s">
        <v>72</v>
      </c>
      <c r="D752" t="s">
        <v>51</v>
      </c>
      <c r="E752">
        <v>0.23829707632641101</v>
      </c>
      <c r="F752">
        <v>0.23829707632641101</v>
      </c>
      <c r="G752">
        <v>0</v>
      </c>
      <c r="H752">
        <v>0</v>
      </c>
      <c r="I752" t="s">
        <v>73</v>
      </c>
    </row>
    <row r="753" spans="1:9" x14ac:dyDescent="0.35">
      <c r="A753" t="s">
        <v>7</v>
      </c>
      <c r="B753">
        <v>2030</v>
      </c>
      <c r="C753" t="s">
        <v>72</v>
      </c>
      <c r="D753" t="s">
        <v>52</v>
      </c>
      <c r="E753">
        <v>0.423869056217897</v>
      </c>
      <c r="F753">
        <v>0.423869056217897</v>
      </c>
      <c r="G753">
        <v>0</v>
      </c>
      <c r="H753">
        <v>0</v>
      </c>
      <c r="I753" t="s">
        <v>73</v>
      </c>
    </row>
    <row r="754" spans="1:9" x14ac:dyDescent="0.35">
      <c r="A754" t="s">
        <v>7</v>
      </c>
      <c r="B754">
        <v>2030</v>
      </c>
      <c r="C754" t="s">
        <v>72</v>
      </c>
      <c r="D754" t="s">
        <v>53</v>
      </c>
      <c r="E754">
        <v>2.4607739988856601</v>
      </c>
      <c r="F754">
        <v>2.4607739988856601</v>
      </c>
      <c r="G754">
        <v>0</v>
      </c>
      <c r="H754">
        <v>0</v>
      </c>
      <c r="I754" t="s">
        <v>73</v>
      </c>
    </row>
    <row r="755" spans="1:9" x14ac:dyDescent="0.35">
      <c r="A755" t="s">
        <v>7</v>
      </c>
      <c r="B755">
        <v>2030</v>
      </c>
      <c r="C755" t="s">
        <v>72</v>
      </c>
      <c r="D755" t="s">
        <v>54</v>
      </c>
      <c r="E755">
        <v>0.88044746507239002</v>
      </c>
      <c r="F755">
        <v>0.64903168777674802</v>
      </c>
      <c r="G755">
        <v>-0.231415777295642</v>
      </c>
      <c r="H755">
        <v>-26.283882511560801</v>
      </c>
      <c r="I755" t="s">
        <v>73</v>
      </c>
    </row>
    <row r="756" spans="1:9" x14ac:dyDescent="0.35">
      <c r="A756" t="s">
        <v>7</v>
      </c>
      <c r="B756">
        <v>2030</v>
      </c>
      <c r="C756" t="s">
        <v>72</v>
      </c>
      <c r="D756" t="s">
        <v>55</v>
      </c>
      <c r="E756">
        <v>0.52991650212873398</v>
      </c>
      <c r="F756">
        <v>0.515782929488241</v>
      </c>
      <c r="G756">
        <v>-1.4133572640493501E-2</v>
      </c>
      <c r="H756">
        <v>-2.6671320073478202</v>
      </c>
      <c r="I756" t="s">
        <v>73</v>
      </c>
    </row>
    <row r="757" spans="1:9" x14ac:dyDescent="0.35">
      <c r="A757" t="s">
        <v>7</v>
      </c>
      <c r="B757">
        <v>2030</v>
      </c>
      <c r="C757" t="s">
        <v>72</v>
      </c>
      <c r="D757" t="s">
        <v>56</v>
      </c>
      <c r="E757" s="1">
        <v>9.7732648819807706E-7</v>
      </c>
      <c r="F757" s="1">
        <v>9.7732648819807706E-7</v>
      </c>
      <c r="G757">
        <v>0</v>
      </c>
      <c r="H757">
        <v>0</v>
      </c>
      <c r="I757" t="s">
        <v>73</v>
      </c>
    </row>
    <row r="758" spans="1:9" x14ac:dyDescent="0.35">
      <c r="A758" t="s">
        <v>9</v>
      </c>
      <c r="B758">
        <v>2035</v>
      </c>
      <c r="C758" t="s">
        <v>72</v>
      </c>
      <c r="D758" t="s">
        <v>38</v>
      </c>
      <c r="E758">
        <v>5.1416172097388298E-3</v>
      </c>
      <c r="F758">
        <v>5.1416172097388298E-3</v>
      </c>
      <c r="G758">
        <v>0</v>
      </c>
      <c r="H758">
        <v>0</v>
      </c>
      <c r="I758" t="s">
        <v>73</v>
      </c>
    </row>
    <row r="759" spans="1:9" x14ac:dyDescent="0.35">
      <c r="A759" t="s">
        <v>9</v>
      </c>
      <c r="B759">
        <v>2035</v>
      </c>
      <c r="C759" t="s">
        <v>72</v>
      </c>
      <c r="D759" t="s">
        <v>40</v>
      </c>
      <c r="E759">
        <v>1.1361316138470299E-3</v>
      </c>
      <c r="F759">
        <v>1.1361316138470299E-3</v>
      </c>
      <c r="G759">
        <v>0</v>
      </c>
      <c r="H759">
        <v>0</v>
      </c>
      <c r="I759" t="s">
        <v>73</v>
      </c>
    </row>
    <row r="760" spans="1:9" x14ac:dyDescent="0.35">
      <c r="A760" t="s">
        <v>9</v>
      </c>
      <c r="B760">
        <v>2035</v>
      </c>
      <c r="C760" t="s">
        <v>72</v>
      </c>
      <c r="D760" t="s">
        <v>41</v>
      </c>
      <c r="E760">
        <v>3.3528441198554602E-2</v>
      </c>
      <c r="F760">
        <v>3.3269153794555299E-2</v>
      </c>
      <c r="G760">
        <v>-2.5928740399926799E-4</v>
      </c>
      <c r="H760">
        <v>-0.77333569569719796</v>
      </c>
      <c r="I760" t="s">
        <v>73</v>
      </c>
    </row>
    <row r="761" spans="1:9" x14ac:dyDescent="0.35">
      <c r="A761" t="s">
        <v>9</v>
      </c>
      <c r="B761">
        <v>2035</v>
      </c>
      <c r="C761" t="s">
        <v>72</v>
      </c>
      <c r="D761" t="s">
        <v>42</v>
      </c>
      <c r="E761">
        <v>5.1498345846211198</v>
      </c>
      <c r="F761">
        <v>5.1498345846211198</v>
      </c>
      <c r="G761">
        <v>0</v>
      </c>
      <c r="H761">
        <v>0</v>
      </c>
      <c r="I761" t="s">
        <v>73</v>
      </c>
    </row>
    <row r="762" spans="1:9" x14ac:dyDescent="0.35">
      <c r="A762" t="s">
        <v>9</v>
      </c>
      <c r="B762">
        <v>2035</v>
      </c>
      <c r="C762" t="s">
        <v>72</v>
      </c>
      <c r="D762" t="s">
        <v>43</v>
      </c>
      <c r="E762">
        <v>3.9434272007609801E-2</v>
      </c>
      <c r="F762">
        <v>3.3861154811106998E-2</v>
      </c>
      <c r="G762">
        <v>-5.5731171965027297E-3</v>
      </c>
      <c r="H762">
        <v>-14.132674226691</v>
      </c>
      <c r="I762" t="s">
        <v>73</v>
      </c>
    </row>
    <row r="763" spans="1:9" x14ac:dyDescent="0.35">
      <c r="A763" t="s">
        <v>9</v>
      </c>
      <c r="B763">
        <v>2035</v>
      </c>
      <c r="C763" t="s">
        <v>72</v>
      </c>
      <c r="D763" t="s">
        <v>136</v>
      </c>
      <c r="E763">
        <v>7.1390881478130401</v>
      </c>
      <c r="F763">
        <v>7.1390881478130401</v>
      </c>
      <c r="G763">
        <v>0</v>
      </c>
      <c r="H763">
        <v>0</v>
      </c>
      <c r="I763" t="s">
        <v>73</v>
      </c>
    </row>
    <row r="764" spans="1:9" x14ac:dyDescent="0.35">
      <c r="A764" t="s">
        <v>9</v>
      </c>
      <c r="B764">
        <v>2035</v>
      </c>
      <c r="C764" t="s">
        <v>72</v>
      </c>
      <c r="D764" t="s">
        <v>45</v>
      </c>
      <c r="E764">
        <v>2.9556695400747901E-2</v>
      </c>
      <c r="F764">
        <v>2.9392026207716099E-2</v>
      </c>
      <c r="G764">
        <v>-1.6466919303182901E-4</v>
      </c>
      <c r="H764">
        <v>-0.55712991861621397</v>
      </c>
      <c r="I764" t="s">
        <v>73</v>
      </c>
    </row>
    <row r="765" spans="1:9" x14ac:dyDescent="0.35">
      <c r="A765" t="s">
        <v>9</v>
      </c>
      <c r="B765">
        <v>2035</v>
      </c>
      <c r="C765" t="s">
        <v>72</v>
      </c>
      <c r="D765" t="s">
        <v>46</v>
      </c>
      <c r="E765">
        <v>0.40767453897545203</v>
      </c>
      <c r="F765">
        <v>0.40767453897545203</v>
      </c>
      <c r="G765">
        <v>0</v>
      </c>
      <c r="H765">
        <v>0</v>
      </c>
      <c r="I765" t="s">
        <v>73</v>
      </c>
    </row>
    <row r="766" spans="1:9" x14ac:dyDescent="0.35">
      <c r="A766" t="s">
        <v>9</v>
      </c>
      <c r="B766">
        <v>2035</v>
      </c>
      <c r="C766" t="s">
        <v>72</v>
      </c>
      <c r="D766" t="s">
        <v>47</v>
      </c>
      <c r="E766">
        <v>5.1065803127393599E-3</v>
      </c>
      <c r="F766">
        <v>4.5569891620847701E-3</v>
      </c>
      <c r="G766">
        <v>-5.4959115065458797E-4</v>
      </c>
      <c r="H766">
        <v>-10.7624107914943</v>
      </c>
      <c r="I766" t="s">
        <v>73</v>
      </c>
    </row>
    <row r="767" spans="1:9" x14ac:dyDescent="0.35">
      <c r="A767" t="s">
        <v>9</v>
      </c>
      <c r="B767">
        <v>2035</v>
      </c>
      <c r="C767" t="s">
        <v>72</v>
      </c>
      <c r="D767" t="s">
        <v>48</v>
      </c>
      <c r="E767">
        <v>1.2032475967467</v>
      </c>
      <c r="F767">
        <v>1.2032475967467</v>
      </c>
      <c r="G767">
        <v>0</v>
      </c>
      <c r="H767">
        <v>0</v>
      </c>
      <c r="I767" t="s">
        <v>73</v>
      </c>
    </row>
    <row r="768" spans="1:9" x14ac:dyDescent="0.35">
      <c r="A768" t="s">
        <v>9</v>
      </c>
      <c r="B768">
        <v>2035</v>
      </c>
      <c r="C768" t="s">
        <v>72</v>
      </c>
      <c r="D768" t="s">
        <v>49</v>
      </c>
      <c r="E768">
        <v>5.9264648366495302E-2</v>
      </c>
      <c r="F768">
        <v>5.91021941697231E-2</v>
      </c>
      <c r="G768">
        <v>-1.6245419677217399E-4</v>
      </c>
      <c r="H768">
        <v>-0.27411652857121499</v>
      </c>
      <c r="I768" t="s">
        <v>73</v>
      </c>
    </row>
    <row r="769" spans="1:9" x14ac:dyDescent="0.35">
      <c r="A769" t="s">
        <v>9</v>
      </c>
      <c r="B769">
        <v>2035</v>
      </c>
      <c r="C769" t="s">
        <v>72</v>
      </c>
      <c r="D769" t="s">
        <v>50</v>
      </c>
      <c r="E769">
        <v>0.14229223068163699</v>
      </c>
      <c r="F769">
        <v>0.14229223068163699</v>
      </c>
      <c r="G769">
        <v>0</v>
      </c>
      <c r="H769">
        <v>0</v>
      </c>
      <c r="I769" t="s">
        <v>73</v>
      </c>
    </row>
    <row r="770" spans="1:9" x14ac:dyDescent="0.35">
      <c r="A770" t="s">
        <v>9</v>
      </c>
      <c r="B770">
        <v>2035</v>
      </c>
      <c r="C770" t="s">
        <v>72</v>
      </c>
      <c r="D770" t="s">
        <v>51</v>
      </c>
      <c r="E770">
        <v>0.243945631310791</v>
      </c>
      <c r="F770">
        <v>0.243945631310791</v>
      </c>
      <c r="G770">
        <v>0</v>
      </c>
      <c r="H770">
        <v>0</v>
      </c>
      <c r="I770" t="s">
        <v>73</v>
      </c>
    </row>
    <row r="771" spans="1:9" x14ac:dyDescent="0.35">
      <c r="A771" t="s">
        <v>9</v>
      </c>
      <c r="B771">
        <v>2035</v>
      </c>
      <c r="C771" t="s">
        <v>72</v>
      </c>
      <c r="D771" t="s">
        <v>52</v>
      </c>
      <c r="E771">
        <v>0.36963258884799899</v>
      </c>
      <c r="F771">
        <v>0.36963258884799899</v>
      </c>
      <c r="G771">
        <v>0</v>
      </c>
      <c r="H771">
        <v>0</v>
      </c>
      <c r="I771" t="s">
        <v>73</v>
      </c>
    </row>
    <row r="772" spans="1:9" x14ac:dyDescent="0.35">
      <c r="A772" t="s">
        <v>9</v>
      </c>
      <c r="B772">
        <v>2035</v>
      </c>
      <c r="C772" t="s">
        <v>72</v>
      </c>
      <c r="D772" t="s">
        <v>53</v>
      </c>
      <c r="E772">
        <v>2.3401737799232598</v>
      </c>
      <c r="F772">
        <v>2.3401737799232598</v>
      </c>
      <c r="G772">
        <v>0</v>
      </c>
      <c r="H772">
        <v>0</v>
      </c>
      <c r="I772" t="s">
        <v>73</v>
      </c>
    </row>
    <row r="773" spans="1:9" x14ac:dyDescent="0.35">
      <c r="A773" t="s">
        <v>9</v>
      </c>
      <c r="B773">
        <v>2035</v>
      </c>
      <c r="C773" t="s">
        <v>72</v>
      </c>
      <c r="D773" t="s">
        <v>54</v>
      </c>
      <c r="E773">
        <v>0.88208345252825304</v>
      </c>
      <c r="F773">
        <v>0.82171502077774605</v>
      </c>
      <c r="G773">
        <v>-6.0368431750507198E-2</v>
      </c>
      <c r="H773">
        <v>-6.8438458489927898</v>
      </c>
      <c r="I773" t="s">
        <v>73</v>
      </c>
    </row>
    <row r="774" spans="1:9" x14ac:dyDescent="0.35">
      <c r="A774" t="s">
        <v>9</v>
      </c>
      <c r="B774">
        <v>2035</v>
      </c>
      <c r="C774" t="s">
        <v>72</v>
      </c>
      <c r="D774" t="s">
        <v>55</v>
      </c>
      <c r="E774">
        <v>0.53109357749264297</v>
      </c>
      <c r="F774">
        <v>0.52740661359886998</v>
      </c>
      <c r="G774">
        <v>-3.68696389377309E-3</v>
      </c>
      <c r="H774">
        <v>-0.694221141061373</v>
      </c>
      <c r="I774" t="s">
        <v>73</v>
      </c>
    </row>
    <row r="775" spans="1:9" x14ac:dyDescent="0.35">
      <c r="A775" t="s">
        <v>9</v>
      </c>
      <c r="B775">
        <v>2035</v>
      </c>
      <c r="C775" t="s">
        <v>72</v>
      </c>
      <c r="D775" t="s">
        <v>56</v>
      </c>
      <c r="E775" s="1">
        <v>9.6175378527487004E-7</v>
      </c>
      <c r="F775" s="1">
        <v>9.6175378527487004E-7</v>
      </c>
      <c r="G775">
        <v>0</v>
      </c>
      <c r="H775">
        <v>0</v>
      </c>
      <c r="I775" t="s">
        <v>73</v>
      </c>
    </row>
    <row r="776" spans="1:9" x14ac:dyDescent="0.35">
      <c r="A776" t="s">
        <v>11</v>
      </c>
      <c r="B776">
        <v>2040</v>
      </c>
      <c r="C776" t="s">
        <v>72</v>
      </c>
      <c r="D776" t="s">
        <v>38</v>
      </c>
      <c r="E776">
        <v>4.5658607236335504E-3</v>
      </c>
      <c r="F776">
        <v>4.5658607236335504E-3</v>
      </c>
      <c r="G776">
        <v>0</v>
      </c>
      <c r="H776">
        <v>0</v>
      </c>
      <c r="I776" t="s">
        <v>73</v>
      </c>
    </row>
    <row r="777" spans="1:9" x14ac:dyDescent="0.35">
      <c r="A777" t="s">
        <v>11</v>
      </c>
      <c r="B777">
        <v>2040</v>
      </c>
      <c r="C777" t="s">
        <v>72</v>
      </c>
      <c r="D777" t="s">
        <v>40</v>
      </c>
      <c r="E777">
        <v>1.0897999833344499E-3</v>
      </c>
      <c r="F777">
        <v>1.0897999833344499E-3</v>
      </c>
      <c r="G777">
        <v>0</v>
      </c>
      <c r="H777">
        <v>0</v>
      </c>
      <c r="I777" t="s">
        <v>73</v>
      </c>
    </row>
    <row r="778" spans="1:9" x14ac:dyDescent="0.35">
      <c r="A778" t="s">
        <v>11</v>
      </c>
      <c r="B778">
        <v>2040</v>
      </c>
      <c r="C778" t="s">
        <v>72</v>
      </c>
      <c r="D778" t="s">
        <v>41</v>
      </c>
      <c r="E778">
        <v>3.2905144901151401E-2</v>
      </c>
      <c r="F778">
        <v>3.1694521585917797E-2</v>
      </c>
      <c r="G778">
        <v>-1.21062331523368E-3</v>
      </c>
      <c r="H778">
        <v>-3.6791307829533801</v>
      </c>
      <c r="I778" t="s">
        <v>73</v>
      </c>
    </row>
    <row r="779" spans="1:9" x14ac:dyDescent="0.35">
      <c r="A779" t="s">
        <v>11</v>
      </c>
      <c r="B779">
        <v>2040</v>
      </c>
      <c r="C779" t="s">
        <v>72</v>
      </c>
      <c r="D779" t="s">
        <v>42</v>
      </c>
      <c r="E779">
        <v>5.0884798079665696</v>
      </c>
      <c r="F779">
        <v>5.0884798079665696</v>
      </c>
      <c r="G779">
        <v>0</v>
      </c>
      <c r="H779">
        <v>0</v>
      </c>
      <c r="I779" t="s">
        <v>73</v>
      </c>
    </row>
    <row r="780" spans="1:9" x14ac:dyDescent="0.35">
      <c r="A780" t="s">
        <v>11</v>
      </c>
      <c r="B780">
        <v>2040</v>
      </c>
      <c r="C780" t="s">
        <v>72</v>
      </c>
      <c r="D780" t="s">
        <v>43</v>
      </c>
      <c r="E780">
        <v>3.9092000213878098E-2</v>
      </c>
      <c r="F780">
        <v>1.2816866534319E-2</v>
      </c>
      <c r="G780">
        <v>-2.6275133679559099E-2</v>
      </c>
      <c r="H780">
        <v>-67.213582154415107</v>
      </c>
      <c r="I780" t="s">
        <v>73</v>
      </c>
    </row>
    <row r="781" spans="1:9" x14ac:dyDescent="0.35">
      <c r="A781" t="s">
        <v>11</v>
      </c>
      <c r="B781">
        <v>2040</v>
      </c>
      <c r="C781" t="s">
        <v>72</v>
      </c>
      <c r="D781" t="s">
        <v>136</v>
      </c>
      <c r="E781">
        <v>6.7796714062980197</v>
      </c>
      <c r="F781">
        <v>6.7796714062980197</v>
      </c>
      <c r="G781">
        <v>0</v>
      </c>
      <c r="H781">
        <v>0</v>
      </c>
      <c r="I781" t="s">
        <v>73</v>
      </c>
    </row>
    <row r="782" spans="1:9" x14ac:dyDescent="0.35">
      <c r="A782" t="s">
        <v>11</v>
      </c>
      <c r="B782">
        <v>2040</v>
      </c>
      <c r="C782" t="s">
        <v>72</v>
      </c>
      <c r="D782" t="s">
        <v>45</v>
      </c>
      <c r="E782">
        <v>1.9974126205422001E-2</v>
      </c>
      <c r="F782">
        <v>1.9219952348936298E-2</v>
      </c>
      <c r="G782">
        <v>-7.5417385648565997E-4</v>
      </c>
      <c r="H782">
        <v>-3.7757539365148101</v>
      </c>
      <c r="I782" t="s">
        <v>73</v>
      </c>
    </row>
    <row r="783" spans="1:9" x14ac:dyDescent="0.35">
      <c r="A783" t="s">
        <v>11</v>
      </c>
      <c r="B783">
        <v>2040</v>
      </c>
      <c r="C783" t="s">
        <v>72</v>
      </c>
      <c r="D783" t="s">
        <v>46</v>
      </c>
      <c r="E783">
        <v>0.471512393428205</v>
      </c>
      <c r="F783">
        <v>0.471512393428205</v>
      </c>
      <c r="G783">
        <v>0</v>
      </c>
      <c r="H783">
        <v>0</v>
      </c>
      <c r="I783" t="s">
        <v>73</v>
      </c>
    </row>
    <row r="784" spans="1:9" x14ac:dyDescent="0.35">
      <c r="A784" t="s">
        <v>11</v>
      </c>
      <c r="B784">
        <v>2040</v>
      </c>
      <c r="C784" t="s">
        <v>72</v>
      </c>
      <c r="D784" t="s">
        <v>47</v>
      </c>
      <c r="E784">
        <v>5.0237989265490704E-3</v>
      </c>
      <c r="F784">
        <v>2.36740854073338E-3</v>
      </c>
      <c r="G784">
        <v>-2.65639038581569E-3</v>
      </c>
      <c r="H784">
        <v>-52.876128695707997</v>
      </c>
      <c r="I784" t="s">
        <v>73</v>
      </c>
    </row>
    <row r="785" spans="1:9" x14ac:dyDescent="0.35">
      <c r="A785" t="s">
        <v>11</v>
      </c>
      <c r="B785">
        <v>2040</v>
      </c>
      <c r="C785" t="s">
        <v>72</v>
      </c>
      <c r="D785" t="s">
        <v>48</v>
      </c>
      <c r="E785">
        <v>1.2088120692069999</v>
      </c>
      <c r="F785">
        <v>1.2088120692069999</v>
      </c>
      <c r="G785">
        <v>0</v>
      </c>
      <c r="H785">
        <v>0</v>
      </c>
      <c r="I785" t="s">
        <v>73</v>
      </c>
    </row>
    <row r="786" spans="1:9" x14ac:dyDescent="0.35">
      <c r="A786" t="s">
        <v>11</v>
      </c>
      <c r="B786">
        <v>2040</v>
      </c>
      <c r="C786" t="s">
        <v>72</v>
      </c>
      <c r="D786" t="s">
        <v>49</v>
      </c>
      <c r="E786">
        <v>5.8262534333023502E-2</v>
      </c>
      <c r="F786">
        <v>5.7504811129394297E-2</v>
      </c>
      <c r="G786">
        <v>-7.5772320362916395E-4</v>
      </c>
      <c r="H786">
        <v>-1.3005325159700101</v>
      </c>
      <c r="I786" t="s">
        <v>73</v>
      </c>
    </row>
    <row r="787" spans="1:9" x14ac:dyDescent="0.35">
      <c r="A787" t="s">
        <v>11</v>
      </c>
      <c r="B787">
        <v>2040</v>
      </c>
      <c r="C787" t="s">
        <v>72</v>
      </c>
      <c r="D787" t="s">
        <v>50</v>
      </c>
      <c r="E787">
        <v>0.138971520331584</v>
      </c>
      <c r="F787">
        <v>0.138971520331584</v>
      </c>
      <c r="G787">
        <v>0</v>
      </c>
      <c r="H787">
        <v>0</v>
      </c>
      <c r="I787" t="s">
        <v>73</v>
      </c>
    </row>
    <row r="788" spans="1:9" x14ac:dyDescent="0.35">
      <c r="A788" t="s">
        <v>11</v>
      </c>
      <c r="B788">
        <v>2040</v>
      </c>
      <c r="C788" t="s">
        <v>72</v>
      </c>
      <c r="D788" t="s">
        <v>51</v>
      </c>
      <c r="E788">
        <v>0.24883110077078699</v>
      </c>
      <c r="F788">
        <v>0.24883110077078699</v>
      </c>
      <c r="G788">
        <v>0</v>
      </c>
      <c r="H788">
        <v>0</v>
      </c>
      <c r="I788" t="s">
        <v>73</v>
      </c>
    </row>
    <row r="789" spans="1:9" x14ac:dyDescent="0.35">
      <c r="A789" t="s">
        <v>11</v>
      </c>
      <c r="B789">
        <v>2040</v>
      </c>
      <c r="C789" t="s">
        <v>72</v>
      </c>
      <c r="D789" t="s">
        <v>52</v>
      </c>
      <c r="E789">
        <v>0.32515891414605202</v>
      </c>
      <c r="F789">
        <v>0.32515891414605202</v>
      </c>
      <c r="G789">
        <v>0</v>
      </c>
      <c r="H789">
        <v>0</v>
      </c>
      <c r="I789" t="s">
        <v>73</v>
      </c>
    </row>
    <row r="790" spans="1:9" x14ac:dyDescent="0.35">
      <c r="A790" t="s">
        <v>11</v>
      </c>
      <c r="B790">
        <v>2040</v>
      </c>
      <c r="C790" t="s">
        <v>72</v>
      </c>
      <c r="D790" t="s">
        <v>53</v>
      </c>
      <c r="E790">
        <v>2.2542679380355399</v>
      </c>
      <c r="F790">
        <v>2.2542679380355399</v>
      </c>
      <c r="G790">
        <v>0</v>
      </c>
      <c r="H790">
        <v>0</v>
      </c>
      <c r="I790" t="s">
        <v>73</v>
      </c>
    </row>
    <row r="791" spans="1:9" x14ac:dyDescent="0.35">
      <c r="A791" t="s">
        <v>11</v>
      </c>
      <c r="B791">
        <v>2040</v>
      </c>
      <c r="C791" t="s">
        <v>72</v>
      </c>
      <c r="D791" t="s">
        <v>54</v>
      </c>
      <c r="E791">
        <v>0.88272025075732197</v>
      </c>
      <c r="F791">
        <v>0.59093585517922897</v>
      </c>
      <c r="G791">
        <v>-0.29178439557809299</v>
      </c>
      <c r="H791">
        <v>-33.055137834184599</v>
      </c>
      <c r="I791" t="s">
        <v>73</v>
      </c>
    </row>
    <row r="792" spans="1:9" x14ac:dyDescent="0.35">
      <c r="A792" t="s">
        <v>11</v>
      </c>
      <c r="B792">
        <v>2040</v>
      </c>
      <c r="C792" t="s">
        <v>72</v>
      </c>
      <c r="D792" t="s">
        <v>55</v>
      </c>
      <c r="E792">
        <v>0.53157784944841102</v>
      </c>
      <c r="F792">
        <v>0.51375730152182397</v>
      </c>
      <c r="G792">
        <v>-1.7820547926587601E-2</v>
      </c>
      <c r="H792">
        <v>-3.3523872270221502</v>
      </c>
      <c r="I792" t="s">
        <v>73</v>
      </c>
    </row>
    <row r="793" spans="1:9" x14ac:dyDescent="0.35">
      <c r="A793" t="s">
        <v>11</v>
      </c>
      <c r="B793">
        <v>2040</v>
      </c>
      <c r="C793" t="s">
        <v>72</v>
      </c>
      <c r="D793" t="s">
        <v>56</v>
      </c>
      <c r="E793" s="1">
        <v>9.5397607261992596E-7</v>
      </c>
      <c r="F793" s="1">
        <v>9.5397607261992596E-7</v>
      </c>
      <c r="G793">
        <v>0</v>
      </c>
      <c r="H793">
        <v>0</v>
      </c>
      <c r="I793" t="s">
        <v>73</v>
      </c>
    </row>
    <row r="794" spans="1:9" hidden="1" x14ac:dyDescent="0.35">
      <c r="A794" t="s">
        <v>5</v>
      </c>
      <c r="B794">
        <v>2025</v>
      </c>
      <c r="C794" t="s">
        <v>61</v>
      </c>
      <c r="D794" t="s">
        <v>38</v>
      </c>
      <c r="E794">
        <v>6.5192393048019697E-3</v>
      </c>
      <c r="F794">
        <v>6.5192393048019697E-3</v>
      </c>
      <c r="G794">
        <v>0</v>
      </c>
      <c r="H794">
        <v>0</v>
      </c>
      <c r="I794" t="s">
        <v>62</v>
      </c>
    </row>
    <row r="795" spans="1:9" hidden="1" x14ac:dyDescent="0.35">
      <c r="A795" t="s">
        <v>5</v>
      </c>
      <c r="B795">
        <v>2025</v>
      </c>
      <c r="C795" t="s">
        <v>61</v>
      </c>
      <c r="D795" t="s">
        <v>40</v>
      </c>
      <c r="E795">
        <v>4.2866326381048097E-3</v>
      </c>
      <c r="F795">
        <v>4.2866326381048097E-3</v>
      </c>
      <c r="G795">
        <v>0</v>
      </c>
      <c r="H795">
        <v>0</v>
      </c>
      <c r="I795" t="s">
        <v>62</v>
      </c>
    </row>
    <row r="796" spans="1:9" hidden="1" x14ac:dyDescent="0.35">
      <c r="A796" t="s">
        <v>5</v>
      </c>
      <c r="B796">
        <v>2025</v>
      </c>
      <c r="C796" t="s">
        <v>61</v>
      </c>
      <c r="D796" t="s">
        <v>41</v>
      </c>
      <c r="E796">
        <v>0.146976490847048</v>
      </c>
      <c r="F796">
        <v>0.146976490847048</v>
      </c>
      <c r="G796">
        <v>0</v>
      </c>
      <c r="H796">
        <v>0</v>
      </c>
      <c r="I796" t="s">
        <v>62</v>
      </c>
    </row>
    <row r="797" spans="1:9" hidden="1" x14ac:dyDescent="0.35">
      <c r="A797" t="s">
        <v>5</v>
      </c>
      <c r="B797">
        <v>2025</v>
      </c>
      <c r="C797" t="s">
        <v>61</v>
      </c>
      <c r="D797" t="s">
        <v>42</v>
      </c>
      <c r="E797">
        <v>17.3299025798506</v>
      </c>
      <c r="F797">
        <v>17.3299025798506</v>
      </c>
      <c r="G797">
        <v>0</v>
      </c>
      <c r="H797">
        <v>0</v>
      </c>
      <c r="I797" t="s">
        <v>62</v>
      </c>
    </row>
    <row r="798" spans="1:9" hidden="1" x14ac:dyDescent="0.35">
      <c r="A798" t="s">
        <v>5</v>
      </c>
      <c r="B798">
        <v>2025</v>
      </c>
      <c r="C798" t="s">
        <v>61</v>
      </c>
      <c r="D798" t="s">
        <v>43</v>
      </c>
      <c r="E798">
        <v>1.4496208414233901E-2</v>
      </c>
      <c r="F798">
        <v>1.4496208414233901E-2</v>
      </c>
      <c r="G798">
        <v>0</v>
      </c>
      <c r="H798">
        <v>0</v>
      </c>
      <c r="I798" t="s">
        <v>62</v>
      </c>
    </row>
    <row r="799" spans="1:9" hidden="1" x14ac:dyDescent="0.35">
      <c r="A799" t="s">
        <v>5</v>
      </c>
      <c r="B799">
        <v>2025</v>
      </c>
      <c r="C799" t="s">
        <v>61</v>
      </c>
      <c r="D799" t="s">
        <v>136</v>
      </c>
      <c r="E799">
        <v>9.6622212018494107</v>
      </c>
      <c r="F799">
        <v>9.6622212018494107</v>
      </c>
      <c r="G799">
        <v>0</v>
      </c>
      <c r="H799">
        <v>0</v>
      </c>
      <c r="I799" t="s">
        <v>62</v>
      </c>
    </row>
    <row r="800" spans="1:9" hidden="1" x14ac:dyDescent="0.35">
      <c r="A800" t="s">
        <v>5</v>
      </c>
      <c r="B800">
        <v>2025</v>
      </c>
      <c r="C800" t="s">
        <v>61</v>
      </c>
      <c r="D800" t="s">
        <v>45</v>
      </c>
      <c r="E800">
        <v>0.28568128505412399</v>
      </c>
      <c r="F800">
        <v>0.28568128505412399</v>
      </c>
      <c r="G800">
        <v>0</v>
      </c>
      <c r="H800">
        <v>0</v>
      </c>
      <c r="I800" t="s">
        <v>62</v>
      </c>
    </row>
    <row r="801" spans="1:9" hidden="1" x14ac:dyDescent="0.35">
      <c r="A801" t="s">
        <v>5</v>
      </c>
      <c r="B801">
        <v>2025</v>
      </c>
      <c r="C801" t="s">
        <v>61</v>
      </c>
      <c r="D801" t="s">
        <v>46</v>
      </c>
      <c r="E801">
        <v>0.457496105491562</v>
      </c>
      <c r="F801">
        <v>0.457496105491562</v>
      </c>
      <c r="G801">
        <v>0</v>
      </c>
      <c r="H801">
        <v>0</v>
      </c>
      <c r="I801" t="s">
        <v>62</v>
      </c>
    </row>
    <row r="802" spans="1:9" hidden="1" x14ac:dyDescent="0.35">
      <c r="A802" t="s">
        <v>5</v>
      </c>
      <c r="B802">
        <v>2025</v>
      </c>
      <c r="C802" t="s">
        <v>61</v>
      </c>
      <c r="D802" t="s">
        <v>47</v>
      </c>
      <c r="E802">
        <v>1.1568967158128199E-2</v>
      </c>
      <c r="F802">
        <v>1.1568967158128199E-2</v>
      </c>
      <c r="G802">
        <v>0</v>
      </c>
      <c r="H802">
        <v>0</v>
      </c>
      <c r="I802" t="s">
        <v>62</v>
      </c>
    </row>
    <row r="803" spans="1:9" hidden="1" x14ac:dyDescent="0.35">
      <c r="A803" t="s">
        <v>5</v>
      </c>
      <c r="B803">
        <v>2025</v>
      </c>
      <c r="C803" t="s">
        <v>61</v>
      </c>
      <c r="D803" t="s">
        <v>48</v>
      </c>
      <c r="E803">
        <v>28.6472356724659</v>
      </c>
      <c r="F803">
        <v>28.6472356724659</v>
      </c>
      <c r="G803">
        <v>0</v>
      </c>
      <c r="H803">
        <v>0</v>
      </c>
      <c r="I803" t="s">
        <v>62</v>
      </c>
    </row>
    <row r="804" spans="1:9" hidden="1" x14ac:dyDescent="0.35">
      <c r="A804" t="s">
        <v>5</v>
      </c>
      <c r="B804">
        <v>2025</v>
      </c>
      <c r="C804" t="s">
        <v>61</v>
      </c>
      <c r="D804" t="s">
        <v>49</v>
      </c>
      <c r="E804">
        <v>1.3688082965075199</v>
      </c>
      <c r="F804">
        <v>1.3688082965075199</v>
      </c>
      <c r="G804">
        <v>0</v>
      </c>
      <c r="H804">
        <v>0</v>
      </c>
      <c r="I804" t="s">
        <v>62</v>
      </c>
    </row>
    <row r="805" spans="1:9" hidden="1" x14ac:dyDescent="0.35">
      <c r="A805" t="s">
        <v>5</v>
      </c>
      <c r="B805">
        <v>2025</v>
      </c>
      <c r="C805" t="s">
        <v>61</v>
      </c>
      <c r="D805" t="s">
        <v>50</v>
      </c>
      <c r="E805">
        <v>0.12248117531446601</v>
      </c>
      <c r="F805">
        <v>0.12248117531446601</v>
      </c>
      <c r="G805">
        <v>0</v>
      </c>
      <c r="H805">
        <v>0</v>
      </c>
      <c r="I805" t="s">
        <v>62</v>
      </c>
    </row>
    <row r="806" spans="1:9" hidden="1" x14ac:dyDescent="0.35">
      <c r="A806" t="s">
        <v>5</v>
      </c>
      <c r="B806">
        <v>2025</v>
      </c>
      <c r="C806" t="s">
        <v>61</v>
      </c>
      <c r="D806" t="s">
        <v>51</v>
      </c>
      <c r="E806">
        <v>0.56716633902756297</v>
      </c>
      <c r="F806">
        <v>0.56716633902756297</v>
      </c>
      <c r="G806">
        <v>0</v>
      </c>
      <c r="H806">
        <v>0</v>
      </c>
      <c r="I806" t="s">
        <v>62</v>
      </c>
    </row>
    <row r="807" spans="1:9" hidden="1" x14ac:dyDescent="0.35">
      <c r="A807" t="s">
        <v>5</v>
      </c>
      <c r="B807">
        <v>2025</v>
      </c>
      <c r="C807" t="s">
        <v>61</v>
      </c>
      <c r="D807" t="s">
        <v>52</v>
      </c>
      <c r="E807">
        <v>0.59438112541962895</v>
      </c>
      <c r="F807">
        <v>0.59438112541962895</v>
      </c>
      <c r="G807">
        <v>0</v>
      </c>
      <c r="H807">
        <v>0</v>
      </c>
      <c r="I807" t="s">
        <v>62</v>
      </c>
    </row>
    <row r="808" spans="1:9" hidden="1" x14ac:dyDescent="0.35">
      <c r="A808" t="s">
        <v>5</v>
      </c>
      <c r="B808">
        <v>2025</v>
      </c>
      <c r="C808" t="s">
        <v>61</v>
      </c>
      <c r="D808" t="s">
        <v>53</v>
      </c>
      <c r="E808">
        <v>2.3582646449530502</v>
      </c>
      <c r="F808">
        <v>2.3582646449530502</v>
      </c>
      <c r="G808">
        <v>0</v>
      </c>
      <c r="H808">
        <v>0</v>
      </c>
      <c r="I808" t="s">
        <v>62</v>
      </c>
    </row>
    <row r="809" spans="1:9" hidden="1" x14ac:dyDescent="0.35">
      <c r="A809" t="s">
        <v>5</v>
      </c>
      <c r="B809">
        <v>2025</v>
      </c>
      <c r="C809" t="s">
        <v>61</v>
      </c>
      <c r="D809" t="s">
        <v>54</v>
      </c>
      <c r="E809">
        <v>7.07677831071525</v>
      </c>
      <c r="F809">
        <v>7.07677831071525</v>
      </c>
      <c r="G809">
        <v>0</v>
      </c>
      <c r="H809">
        <v>0</v>
      </c>
      <c r="I809" t="s">
        <v>62</v>
      </c>
    </row>
    <row r="810" spans="1:9" hidden="1" x14ac:dyDescent="0.35">
      <c r="A810" t="s">
        <v>5</v>
      </c>
      <c r="B810">
        <v>2025</v>
      </c>
      <c r="C810" t="s">
        <v>61</v>
      </c>
      <c r="D810" t="s">
        <v>55</v>
      </c>
      <c r="E810">
        <v>6.5292590355036699</v>
      </c>
      <c r="F810">
        <v>6.5292590355036699</v>
      </c>
      <c r="G810">
        <v>0</v>
      </c>
      <c r="H810">
        <v>0</v>
      </c>
      <c r="I810" t="s">
        <v>62</v>
      </c>
    </row>
    <row r="811" spans="1:9" hidden="1" x14ac:dyDescent="0.35">
      <c r="A811" t="s">
        <v>5</v>
      </c>
      <c r="B811">
        <v>2025</v>
      </c>
      <c r="C811" t="s">
        <v>61</v>
      </c>
      <c r="D811" t="s">
        <v>56</v>
      </c>
      <c r="E811" s="1">
        <v>5.8155870493627696E-7</v>
      </c>
      <c r="F811" s="1">
        <v>5.8155870493627696E-7</v>
      </c>
      <c r="G811">
        <v>0</v>
      </c>
      <c r="H811">
        <v>0</v>
      </c>
      <c r="I811" t="s">
        <v>62</v>
      </c>
    </row>
    <row r="812" spans="1:9" hidden="1" x14ac:dyDescent="0.35">
      <c r="A812" t="s">
        <v>7</v>
      </c>
      <c r="B812">
        <v>2030</v>
      </c>
      <c r="C812" t="s">
        <v>61</v>
      </c>
      <c r="D812" t="s">
        <v>38</v>
      </c>
      <c r="E812">
        <v>6.6674553961800498E-3</v>
      </c>
      <c r="F812">
        <v>6.2281540807316996E-3</v>
      </c>
      <c r="G812">
        <v>-4.3930131544834899E-4</v>
      </c>
      <c r="H812">
        <v>-6.5887402216449003</v>
      </c>
      <c r="I812" t="s">
        <v>62</v>
      </c>
    </row>
    <row r="813" spans="1:9" hidden="1" x14ac:dyDescent="0.35">
      <c r="A813" t="s">
        <v>7</v>
      </c>
      <c r="B813">
        <v>2030</v>
      </c>
      <c r="C813" t="s">
        <v>61</v>
      </c>
      <c r="D813" t="s">
        <v>40</v>
      </c>
      <c r="E813">
        <v>4.2580562308185601E-3</v>
      </c>
      <c r="F813">
        <v>4.2580562308185601E-3</v>
      </c>
      <c r="G813">
        <v>0</v>
      </c>
      <c r="H813">
        <v>0</v>
      </c>
      <c r="I813" t="s">
        <v>62</v>
      </c>
    </row>
    <row r="814" spans="1:9" hidden="1" x14ac:dyDescent="0.35">
      <c r="A814" t="s">
        <v>7</v>
      </c>
      <c r="B814">
        <v>2030</v>
      </c>
      <c r="C814" t="s">
        <v>61</v>
      </c>
      <c r="D814" t="s">
        <v>41</v>
      </c>
      <c r="E814">
        <v>0.147859657598782</v>
      </c>
      <c r="F814">
        <v>6.6483456494002502E-2</v>
      </c>
      <c r="G814">
        <v>-8.1376201104780194E-2</v>
      </c>
      <c r="H814">
        <v>-55.036108176034404</v>
      </c>
      <c r="I814" t="s">
        <v>62</v>
      </c>
    </row>
    <row r="815" spans="1:9" hidden="1" x14ac:dyDescent="0.35">
      <c r="A815" t="s">
        <v>7</v>
      </c>
      <c r="B815">
        <v>2030</v>
      </c>
      <c r="C815" t="s">
        <v>61</v>
      </c>
      <c r="D815" t="s">
        <v>42</v>
      </c>
      <c r="E815">
        <v>17.182229184725902</v>
      </c>
      <c r="F815">
        <v>16.5029555503334</v>
      </c>
      <c r="G815">
        <v>-0.679273634392494</v>
      </c>
      <c r="H815">
        <v>-3.9533498656642898</v>
      </c>
      <c r="I815" t="s">
        <v>62</v>
      </c>
    </row>
    <row r="816" spans="1:9" hidden="1" x14ac:dyDescent="0.35">
      <c r="A816" t="s">
        <v>7</v>
      </c>
      <c r="B816">
        <v>2030</v>
      </c>
      <c r="C816" t="s">
        <v>61</v>
      </c>
      <c r="D816" t="s">
        <v>43</v>
      </c>
      <c r="E816">
        <v>1.4871029464083399E-2</v>
      </c>
      <c r="F816">
        <v>1.4871029464083399E-2</v>
      </c>
      <c r="G816">
        <v>0</v>
      </c>
      <c r="H816">
        <v>0</v>
      </c>
      <c r="I816" t="s">
        <v>62</v>
      </c>
    </row>
    <row r="817" spans="1:9" hidden="1" x14ac:dyDescent="0.35">
      <c r="A817" t="s">
        <v>7</v>
      </c>
      <c r="B817">
        <v>2030</v>
      </c>
      <c r="C817" t="s">
        <v>61</v>
      </c>
      <c r="D817" t="s">
        <v>136</v>
      </c>
      <c r="E817">
        <v>9.1933190799725004</v>
      </c>
      <c r="F817">
        <v>9.1933190799725004</v>
      </c>
      <c r="G817">
        <v>0</v>
      </c>
      <c r="H817">
        <v>0</v>
      </c>
      <c r="I817" t="s">
        <v>62</v>
      </c>
    </row>
    <row r="818" spans="1:9" hidden="1" x14ac:dyDescent="0.35">
      <c r="A818" t="s">
        <v>7</v>
      </c>
      <c r="B818">
        <v>2030</v>
      </c>
      <c r="C818" t="s">
        <v>61</v>
      </c>
      <c r="D818" t="s">
        <v>45</v>
      </c>
      <c r="E818">
        <v>0.284687928802902</v>
      </c>
      <c r="F818">
        <v>8.3763219578327899E-2</v>
      </c>
      <c r="G818">
        <v>-0.20092470922457401</v>
      </c>
      <c r="H818">
        <v>-70.577179042838907</v>
      </c>
      <c r="I818" t="s">
        <v>62</v>
      </c>
    </row>
    <row r="819" spans="1:9" hidden="1" x14ac:dyDescent="0.35">
      <c r="A819" t="s">
        <v>7</v>
      </c>
      <c r="B819">
        <v>2030</v>
      </c>
      <c r="C819" t="s">
        <v>61</v>
      </c>
      <c r="D819" t="s">
        <v>46</v>
      </c>
      <c r="E819">
        <v>0.56335136036800304</v>
      </c>
      <c r="F819">
        <v>0.56335136036800304</v>
      </c>
      <c r="G819">
        <v>0</v>
      </c>
      <c r="H819">
        <v>0</v>
      </c>
      <c r="I819" t="s">
        <v>62</v>
      </c>
    </row>
    <row r="820" spans="1:9" hidden="1" x14ac:dyDescent="0.35">
      <c r="A820" t="s">
        <v>7</v>
      </c>
      <c r="B820">
        <v>2030</v>
      </c>
      <c r="C820" t="s">
        <v>61</v>
      </c>
      <c r="D820" t="s">
        <v>47</v>
      </c>
      <c r="E820">
        <v>1.1371675818671399E-2</v>
      </c>
      <c r="F820">
        <v>1.1371675818671399E-2</v>
      </c>
      <c r="G820">
        <v>0</v>
      </c>
      <c r="H820">
        <v>0</v>
      </c>
      <c r="I820" t="s">
        <v>62</v>
      </c>
    </row>
    <row r="821" spans="1:9" hidden="1" x14ac:dyDescent="0.35">
      <c r="A821" t="s">
        <v>7</v>
      </c>
      <c r="B821">
        <v>2030</v>
      </c>
      <c r="C821" t="s">
        <v>61</v>
      </c>
      <c r="D821" t="s">
        <v>48</v>
      </c>
      <c r="E821">
        <v>28.6494799477505</v>
      </c>
      <c r="F821">
        <v>28.6494799477505</v>
      </c>
      <c r="G821">
        <v>0</v>
      </c>
      <c r="H821">
        <v>0</v>
      </c>
      <c r="I821" t="s">
        <v>62</v>
      </c>
    </row>
    <row r="822" spans="1:9" hidden="1" x14ac:dyDescent="0.35">
      <c r="A822" t="s">
        <v>7</v>
      </c>
      <c r="B822">
        <v>2030</v>
      </c>
      <c r="C822" t="s">
        <v>61</v>
      </c>
      <c r="D822" t="s">
        <v>49</v>
      </c>
      <c r="E822">
        <v>1.36813094140536</v>
      </c>
      <c r="F822">
        <v>0.36449108291354099</v>
      </c>
      <c r="G822">
        <v>-1.00363985849182</v>
      </c>
      <c r="H822">
        <v>-73.358465050199698</v>
      </c>
      <c r="I822" t="s">
        <v>62</v>
      </c>
    </row>
    <row r="823" spans="1:9" hidden="1" x14ac:dyDescent="0.35">
      <c r="A823" t="s">
        <v>7</v>
      </c>
      <c r="B823">
        <v>2030</v>
      </c>
      <c r="C823" t="s">
        <v>61</v>
      </c>
      <c r="D823" t="s">
        <v>50</v>
      </c>
      <c r="E823">
        <v>0.12099407732534501</v>
      </c>
      <c r="F823">
        <v>0.12099407732534501</v>
      </c>
      <c r="G823">
        <v>0</v>
      </c>
      <c r="H823">
        <v>0</v>
      </c>
      <c r="I823" t="s">
        <v>62</v>
      </c>
    </row>
    <row r="824" spans="1:9" hidden="1" x14ac:dyDescent="0.35">
      <c r="A824" t="s">
        <v>7</v>
      </c>
      <c r="B824">
        <v>2030</v>
      </c>
      <c r="C824" t="s">
        <v>61</v>
      </c>
      <c r="D824" t="s">
        <v>51</v>
      </c>
      <c r="E824">
        <v>0.57474539722970897</v>
      </c>
      <c r="F824">
        <v>0.57474539722970897</v>
      </c>
      <c r="G824">
        <v>0</v>
      </c>
      <c r="H824">
        <v>0</v>
      </c>
      <c r="I824" t="s">
        <v>62</v>
      </c>
    </row>
    <row r="825" spans="1:9" hidden="1" x14ac:dyDescent="0.35">
      <c r="A825" t="s">
        <v>7</v>
      </c>
      <c r="B825">
        <v>2030</v>
      </c>
      <c r="C825" t="s">
        <v>61</v>
      </c>
      <c r="D825" t="s">
        <v>52</v>
      </c>
      <c r="E825">
        <v>0.51346979415814797</v>
      </c>
      <c r="F825">
        <v>0.51346979415814797</v>
      </c>
      <c r="G825">
        <v>0</v>
      </c>
      <c r="H825">
        <v>0</v>
      </c>
      <c r="I825" t="s">
        <v>62</v>
      </c>
    </row>
    <row r="826" spans="1:9" hidden="1" x14ac:dyDescent="0.35">
      <c r="A826" t="s">
        <v>7</v>
      </c>
      <c r="B826">
        <v>2030</v>
      </c>
      <c r="C826" t="s">
        <v>61</v>
      </c>
      <c r="D826" t="s">
        <v>53</v>
      </c>
      <c r="E826">
        <v>2.2233808890523301</v>
      </c>
      <c r="F826">
        <v>2.2233808890523301</v>
      </c>
      <c r="G826">
        <v>0</v>
      </c>
      <c r="H826">
        <v>0</v>
      </c>
      <c r="I826" t="s">
        <v>62</v>
      </c>
    </row>
    <row r="827" spans="1:9" hidden="1" x14ac:dyDescent="0.35">
      <c r="A827" t="s">
        <v>7</v>
      </c>
      <c r="B827">
        <v>2030</v>
      </c>
      <c r="C827" t="s">
        <v>61</v>
      </c>
      <c r="D827" t="s">
        <v>54</v>
      </c>
      <c r="E827">
        <v>7.0773660384811796</v>
      </c>
      <c r="F827">
        <v>7.0772163050032804</v>
      </c>
      <c r="G827">
        <v>-1.4973347789393101E-4</v>
      </c>
      <c r="H827">
        <v>-2.1156667195083301E-3</v>
      </c>
      <c r="I827" t="s">
        <v>62</v>
      </c>
    </row>
    <row r="828" spans="1:9" hidden="1" x14ac:dyDescent="0.35">
      <c r="A828" t="s">
        <v>7</v>
      </c>
      <c r="B828">
        <v>2030</v>
      </c>
      <c r="C828" t="s">
        <v>61</v>
      </c>
      <c r="D828" t="s">
        <v>55</v>
      </c>
      <c r="E828">
        <v>6.5293028641565298</v>
      </c>
      <c r="F828">
        <v>6.5133064905309803</v>
      </c>
      <c r="G828">
        <v>-1.5996373625553E-2</v>
      </c>
      <c r="H828">
        <v>-0.24499359209338001</v>
      </c>
      <c r="I828" t="s">
        <v>62</v>
      </c>
    </row>
    <row r="829" spans="1:9" hidden="1" x14ac:dyDescent="0.35">
      <c r="A829" t="s">
        <v>7</v>
      </c>
      <c r="B829">
        <v>2030</v>
      </c>
      <c r="C829" t="s">
        <v>61</v>
      </c>
      <c r="D829" t="s">
        <v>56</v>
      </c>
      <c r="E829" s="1">
        <v>5.4047375108942902E-7</v>
      </c>
      <c r="F829" s="1">
        <v>5.4047375108942902E-7</v>
      </c>
      <c r="G829">
        <v>0</v>
      </c>
      <c r="H829">
        <v>0</v>
      </c>
      <c r="I829" t="s">
        <v>62</v>
      </c>
    </row>
    <row r="830" spans="1:9" hidden="1" x14ac:dyDescent="0.35">
      <c r="A830" t="s">
        <v>9</v>
      </c>
      <c r="B830">
        <v>2035</v>
      </c>
      <c r="C830" t="s">
        <v>61</v>
      </c>
      <c r="D830" t="s">
        <v>38</v>
      </c>
      <c r="E830">
        <v>6.6632581119907899E-3</v>
      </c>
      <c r="F830">
        <v>6.5425890514975099E-3</v>
      </c>
      <c r="G830">
        <v>-1.20669060493278E-4</v>
      </c>
      <c r="H830">
        <v>-1.8109618217569701</v>
      </c>
      <c r="I830" t="s">
        <v>62</v>
      </c>
    </row>
    <row r="831" spans="1:9" hidden="1" x14ac:dyDescent="0.35">
      <c r="A831" t="s">
        <v>9</v>
      </c>
      <c r="B831">
        <v>2035</v>
      </c>
      <c r="C831" t="s">
        <v>61</v>
      </c>
      <c r="D831" t="s">
        <v>40</v>
      </c>
      <c r="E831">
        <v>4.3072745846903003E-3</v>
      </c>
      <c r="F831">
        <v>4.3072745846903003E-3</v>
      </c>
      <c r="G831">
        <v>0</v>
      </c>
      <c r="H831">
        <v>0</v>
      </c>
      <c r="I831" t="s">
        <v>62</v>
      </c>
    </row>
    <row r="832" spans="1:9" hidden="1" x14ac:dyDescent="0.35">
      <c r="A832" t="s">
        <v>9</v>
      </c>
      <c r="B832">
        <v>2035</v>
      </c>
      <c r="C832" t="s">
        <v>61</v>
      </c>
      <c r="D832" t="s">
        <v>41</v>
      </c>
      <c r="E832">
        <v>0.147086275673002</v>
      </c>
      <c r="F832">
        <v>0.124629710348756</v>
      </c>
      <c r="G832">
        <v>-2.24565653242461E-2</v>
      </c>
      <c r="H832">
        <v>-15.2676143450465</v>
      </c>
      <c r="I832" t="s">
        <v>62</v>
      </c>
    </row>
    <row r="833" spans="1:9" hidden="1" x14ac:dyDescent="0.35">
      <c r="A833" t="s">
        <v>9</v>
      </c>
      <c r="B833">
        <v>2035</v>
      </c>
      <c r="C833" t="s">
        <v>61</v>
      </c>
      <c r="D833" t="s">
        <v>42</v>
      </c>
      <c r="E833">
        <v>17.104614692502899</v>
      </c>
      <c r="F833">
        <v>16.911821867892002</v>
      </c>
      <c r="G833">
        <v>-0.192792824610865</v>
      </c>
      <c r="H833">
        <v>-1.12713924327899</v>
      </c>
      <c r="I833" t="s">
        <v>62</v>
      </c>
    </row>
    <row r="834" spans="1:9" hidden="1" x14ac:dyDescent="0.35">
      <c r="A834" t="s">
        <v>9</v>
      </c>
      <c r="B834">
        <v>2035</v>
      </c>
      <c r="C834" t="s">
        <v>61</v>
      </c>
      <c r="D834" t="s">
        <v>43</v>
      </c>
      <c r="E834">
        <v>1.4601955309927099E-2</v>
      </c>
      <c r="F834">
        <v>1.4601955309927099E-2</v>
      </c>
      <c r="G834">
        <v>0</v>
      </c>
      <c r="H834">
        <v>0</v>
      </c>
      <c r="I834" t="s">
        <v>62</v>
      </c>
    </row>
    <row r="835" spans="1:9" hidden="1" x14ac:dyDescent="0.35">
      <c r="A835" t="s">
        <v>9</v>
      </c>
      <c r="B835">
        <v>2035</v>
      </c>
      <c r="C835" t="s">
        <v>61</v>
      </c>
      <c r="D835" t="s">
        <v>136</v>
      </c>
      <c r="E835">
        <v>8.8009412418387996</v>
      </c>
      <c r="F835">
        <v>8.8009412418387996</v>
      </c>
      <c r="G835">
        <v>0</v>
      </c>
      <c r="H835">
        <v>0</v>
      </c>
      <c r="I835" t="s">
        <v>62</v>
      </c>
    </row>
    <row r="836" spans="1:9" hidden="1" x14ac:dyDescent="0.35">
      <c r="A836" t="s">
        <v>9</v>
      </c>
      <c r="B836">
        <v>2035</v>
      </c>
      <c r="C836" t="s">
        <v>61</v>
      </c>
      <c r="D836" t="s">
        <v>45</v>
      </c>
      <c r="E836">
        <v>0.283710983967499</v>
      </c>
      <c r="F836">
        <v>0.22826569028416499</v>
      </c>
      <c r="G836">
        <v>-5.5445293683333501E-2</v>
      </c>
      <c r="H836">
        <v>-19.542878780359398</v>
      </c>
      <c r="I836" t="s">
        <v>62</v>
      </c>
    </row>
    <row r="837" spans="1:9" hidden="1" x14ac:dyDescent="0.35">
      <c r="A837" t="s">
        <v>9</v>
      </c>
      <c r="B837">
        <v>2035</v>
      </c>
      <c r="C837" t="s">
        <v>61</v>
      </c>
      <c r="D837" t="s">
        <v>46</v>
      </c>
      <c r="E837">
        <v>0.81393638981955196</v>
      </c>
      <c r="F837">
        <v>0.81393638981955196</v>
      </c>
      <c r="G837">
        <v>0</v>
      </c>
      <c r="H837">
        <v>0</v>
      </c>
      <c r="I837" t="s">
        <v>62</v>
      </c>
    </row>
    <row r="838" spans="1:9" hidden="1" x14ac:dyDescent="0.35">
      <c r="A838" t="s">
        <v>9</v>
      </c>
      <c r="B838">
        <v>2035</v>
      </c>
      <c r="C838" t="s">
        <v>61</v>
      </c>
      <c r="D838" t="s">
        <v>47</v>
      </c>
      <c r="E838">
        <v>1.12587867464897E-2</v>
      </c>
      <c r="F838">
        <v>1.12587867464897E-2</v>
      </c>
      <c r="G838">
        <v>0</v>
      </c>
      <c r="H838">
        <v>0</v>
      </c>
      <c r="I838" t="s">
        <v>62</v>
      </c>
    </row>
    <row r="839" spans="1:9" hidden="1" x14ac:dyDescent="0.35">
      <c r="A839" t="s">
        <v>9</v>
      </c>
      <c r="B839">
        <v>2035</v>
      </c>
      <c r="C839" t="s">
        <v>61</v>
      </c>
      <c r="D839" t="s">
        <v>48</v>
      </c>
      <c r="E839">
        <v>28.654218367396801</v>
      </c>
      <c r="F839">
        <v>28.654218367396801</v>
      </c>
      <c r="G839">
        <v>0</v>
      </c>
      <c r="H839">
        <v>0</v>
      </c>
      <c r="I839" t="s">
        <v>62</v>
      </c>
    </row>
    <row r="840" spans="1:9" hidden="1" x14ac:dyDescent="0.35">
      <c r="A840" t="s">
        <v>9</v>
      </c>
      <c r="B840">
        <v>2035</v>
      </c>
      <c r="C840" t="s">
        <v>61</v>
      </c>
      <c r="D840" t="s">
        <v>49</v>
      </c>
      <c r="E840">
        <v>1.36683771174013</v>
      </c>
      <c r="F840">
        <v>1.0898733936931599</v>
      </c>
      <c r="G840">
        <v>-0.27696431804697202</v>
      </c>
      <c r="H840">
        <v>-20.2631457756872</v>
      </c>
      <c r="I840" t="s">
        <v>62</v>
      </c>
    </row>
    <row r="841" spans="1:9" hidden="1" x14ac:dyDescent="0.35">
      <c r="A841" t="s">
        <v>9</v>
      </c>
      <c r="B841">
        <v>2035</v>
      </c>
      <c r="C841" t="s">
        <v>61</v>
      </c>
      <c r="D841" t="s">
        <v>50</v>
      </c>
      <c r="E841">
        <v>0.119296188891344</v>
      </c>
      <c r="F841">
        <v>0.119296188891344</v>
      </c>
      <c r="G841">
        <v>0</v>
      </c>
      <c r="H841">
        <v>0</v>
      </c>
      <c r="I841" t="s">
        <v>62</v>
      </c>
    </row>
    <row r="842" spans="1:9" hidden="1" x14ac:dyDescent="0.35">
      <c r="A842" t="s">
        <v>9</v>
      </c>
      <c r="B842">
        <v>2035</v>
      </c>
      <c r="C842" t="s">
        <v>61</v>
      </c>
      <c r="D842" t="s">
        <v>51</v>
      </c>
      <c r="E842">
        <v>0.58924398874456196</v>
      </c>
      <c r="F842">
        <v>0.58924398874456196</v>
      </c>
      <c r="G842">
        <v>0</v>
      </c>
      <c r="H842">
        <v>0</v>
      </c>
      <c r="I842" t="s">
        <v>62</v>
      </c>
    </row>
    <row r="843" spans="1:9" hidden="1" x14ac:dyDescent="0.35">
      <c r="A843" t="s">
        <v>9</v>
      </c>
      <c r="B843">
        <v>2035</v>
      </c>
      <c r="C843" t="s">
        <v>61</v>
      </c>
      <c r="D843" t="s">
        <v>52</v>
      </c>
      <c r="E843">
        <v>0.42906805801429898</v>
      </c>
      <c r="F843">
        <v>0.42906805801429898</v>
      </c>
      <c r="G843">
        <v>0</v>
      </c>
      <c r="H843">
        <v>0</v>
      </c>
      <c r="I843" t="s">
        <v>62</v>
      </c>
    </row>
    <row r="844" spans="1:9" hidden="1" x14ac:dyDescent="0.35">
      <c r="A844" t="s">
        <v>9</v>
      </c>
      <c r="B844">
        <v>2035</v>
      </c>
      <c r="C844" t="s">
        <v>61</v>
      </c>
      <c r="D844" t="s">
        <v>53</v>
      </c>
      <c r="E844">
        <v>2.1109100656819799</v>
      </c>
      <c r="F844">
        <v>2.1109100656819799</v>
      </c>
      <c r="G844">
        <v>0</v>
      </c>
      <c r="H844">
        <v>0</v>
      </c>
      <c r="I844" t="s">
        <v>62</v>
      </c>
    </row>
    <row r="845" spans="1:9" hidden="1" x14ac:dyDescent="0.35">
      <c r="A845" t="s">
        <v>9</v>
      </c>
      <c r="B845">
        <v>2035</v>
      </c>
      <c r="C845" t="s">
        <v>61</v>
      </c>
      <c r="D845" t="s">
        <v>54</v>
      </c>
      <c r="E845">
        <v>7.07893931827451</v>
      </c>
      <c r="F845">
        <v>7.0788981532118402</v>
      </c>
      <c r="G845" s="1">
        <v>-4.1165062670600598E-5</v>
      </c>
      <c r="H845">
        <v>-5.8151455775770796E-4</v>
      </c>
      <c r="I845" t="s">
        <v>62</v>
      </c>
    </row>
    <row r="846" spans="1:9" hidden="1" x14ac:dyDescent="0.35">
      <c r="A846" t="s">
        <v>9</v>
      </c>
      <c r="B846">
        <v>2035</v>
      </c>
      <c r="C846" t="s">
        <v>61</v>
      </c>
      <c r="D846" t="s">
        <v>55</v>
      </c>
      <c r="E846">
        <v>6.5306118681288101</v>
      </c>
      <c r="F846">
        <v>6.5261236916959797</v>
      </c>
      <c r="G846">
        <v>-4.4881764328357204E-3</v>
      </c>
      <c r="H846">
        <v>-6.8725205592744795E-2</v>
      </c>
      <c r="I846" t="s">
        <v>62</v>
      </c>
    </row>
    <row r="847" spans="1:9" hidden="1" x14ac:dyDescent="0.35">
      <c r="A847" t="s">
        <v>9</v>
      </c>
      <c r="B847">
        <v>2035</v>
      </c>
      <c r="C847" t="s">
        <v>61</v>
      </c>
      <c r="D847" t="s">
        <v>56</v>
      </c>
      <c r="E847" s="1">
        <v>5.0928837235772795E-7</v>
      </c>
      <c r="F847" s="1">
        <v>5.0928837235772795E-7</v>
      </c>
      <c r="G847">
        <v>0</v>
      </c>
      <c r="H847">
        <v>0</v>
      </c>
      <c r="I847" t="s">
        <v>62</v>
      </c>
    </row>
    <row r="848" spans="1:9" hidden="1" x14ac:dyDescent="0.35">
      <c r="A848" t="s">
        <v>11</v>
      </c>
      <c r="B848">
        <v>2040</v>
      </c>
      <c r="C848" t="s">
        <v>61</v>
      </c>
      <c r="D848" t="s">
        <v>38</v>
      </c>
      <c r="E848">
        <v>6.1229379998612504E-3</v>
      </c>
      <c r="F848">
        <v>5.5629674922116398E-3</v>
      </c>
      <c r="G848">
        <v>-5.5997050764960304E-4</v>
      </c>
      <c r="H848">
        <v>-9.1454544805498994</v>
      </c>
      <c r="I848" t="s">
        <v>62</v>
      </c>
    </row>
    <row r="849" spans="1:9" hidden="1" x14ac:dyDescent="0.35">
      <c r="A849" t="s">
        <v>11</v>
      </c>
      <c r="B849">
        <v>2040</v>
      </c>
      <c r="C849" t="s">
        <v>61</v>
      </c>
      <c r="D849" t="s">
        <v>40</v>
      </c>
      <c r="E849">
        <v>4.3983046802727197E-3</v>
      </c>
      <c r="F849">
        <v>4.3983046802727197E-3</v>
      </c>
      <c r="G849">
        <v>0</v>
      </c>
      <c r="H849">
        <v>0</v>
      </c>
      <c r="I849" t="s">
        <v>62</v>
      </c>
    </row>
    <row r="850" spans="1:9" hidden="1" x14ac:dyDescent="0.35">
      <c r="A850" t="s">
        <v>11</v>
      </c>
      <c r="B850">
        <v>2040</v>
      </c>
      <c r="C850" t="s">
        <v>61</v>
      </c>
      <c r="D850" t="s">
        <v>41</v>
      </c>
      <c r="E850">
        <v>0.14657769108066299</v>
      </c>
      <c r="F850">
        <v>4.2744899930864902E-2</v>
      </c>
      <c r="G850">
        <v>-0.103832791149798</v>
      </c>
      <c r="H850">
        <v>-70.838058905333696</v>
      </c>
      <c r="I850" t="s">
        <v>62</v>
      </c>
    </row>
    <row r="851" spans="1:9" hidden="1" x14ac:dyDescent="0.35">
      <c r="A851" t="s">
        <v>11</v>
      </c>
      <c r="B851">
        <v>2040</v>
      </c>
      <c r="C851" t="s">
        <v>61</v>
      </c>
      <c r="D851" t="s">
        <v>42</v>
      </c>
      <c r="E851">
        <v>17.0918598681865</v>
      </c>
      <c r="F851">
        <v>16.219793210732099</v>
      </c>
      <c r="G851">
        <v>-0.87206665745440004</v>
      </c>
      <c r="H851">
        <v>-5.1022338363398303</v>
      </c>
      <c r="I851" t="s">
        <v>62</v>
      </c>
    </row>
    <row r="852" spans="1:9" hidden="1" x14ac:dyDescent="0.35">
      <c r="A852" t="s">
        <v>11</v>
      </c>
      <c r="B852">
        <v>2040</v>
      </c>
      <c r="C852" t="s">
        <v>61</v>
      </c>
      <c r="D852" t="s">
        <v>43</v>
      </c>
      <c r="E852">
        <v>1.43458267390957E-2</v>
      </c>
      <c r="F852">
        <v>1.43458267390957E-2</v>
      </c>
      <c r="G852">
        <v>0</v>
      </c>
      <c r="H852">
        <v>0</v>
      </c>
      <c r="I852" t="s">
        <v>62</v>
      </c>
    </row>
    <row r="853" spans="1:9" hidden="1" x14ac:dyDescent="0.35">
      <c r="A853" t="s">
        <v>11</v>
      </c>
      <c r="B853">
        <v>2040</v>
      </c>
      <c r="C853" t="s">
        <v>61</v>
      </c>
      <c r="D853" t="s">
        <v>136</v>
      </c>
      <c r="E853">
        <v>8.5035640726684196</v>
      </c>
      <c r="F853">
        <v>8.1281312916511599</v>
      </c>
      <c r="G853">
        <v>-0.37543278101725702</v>
      </c>
      <c r="H853">
        <v>-4.4150050238810801</v>
      </c>
      <c r="I853" t="s">
        <v>62</v>
      </c>
    </row>
    <row r="854" spans="1:9" hidden="1" x14ac:dyDescent="0.35">
      <c r="A854" t="s">
        <v>11</v>
      </c>
      <c r="B854">
        <v>2040</v>
      </c>
      <c r="C854" t="s">
        <v>61</v>
      </c>
      <c r="D854" t="s">
        <v>45</v>
      </c>
      <c r="E854">
        <v>0.28311235261378398</v>
      </c>
      <c r="F854">
        <v>2.6742288670326499E-2</v>
      </c>
      <c r="G854">
        <v>-0.25637006394345802</v>
      </c>
      <c r="H854">
        <v>-90.5541780768542</v>
      </c>
      <c r="I854" t="s">
        <v>62</v>
      </c>
    </row>
    <row r="855" spans="1:9" hidden="1" x14ac:dyDescent="0.35">
      <c r="A855" t="s">
        <v>11</v>
      </c>
      <c r="B855">
        <v>2040</v>
      </c>
      <c r="C855" t="s">
        <v>61</v>
      </c>
      <c r="D855" t="s">
        <v>46</v>
      </c>
      <c r="E855">
        <v>1.16021894099097</v>
      </c>
      <c r="F855">
        <v>1.16021894099097</v>
      </c>
      <c r="G855">
        <v>0</v>
      </c>
      <c r="H855">
        <v>0</v>
      </c>
      <c r="I855" t="s">
        <v>62</v>
      </c>
    </row>
    <row r="856" spans="1:9" hidden="1" x14ac:dyDescent="0.35">
      <c r="A856" t="s">
        <v>11</v>
      </c>
      <c r="B856">
        <v>2040</v>
      </c>
      <c r="C856" t="s">
        <v>61</v>
      </c>
      <c r="D856" t="s">
        <v>47</v>
      </c>
      <c r="E856">
        <v>1.1241689413517201E-2</v>
      </c>
      <c r="F856">
        <v>1.1241689413517201E-2</v>
      </c>
      <c r="G856">
        <v>0</v>
      </c>
      <c r="H856">
        <v>0</v>
      </c>
      <c r="I856" t="s">
        <v>62</v>
      </c>
    </row>
    <row r="857" spans="1:9" hidden="1" x14ac:dyDescent="0.35">
      <c r="A857" t="s">
        <v>11</v>
      </c>
      <c r="B857">
        <v>2040</v>
      </c>
      <c r="C857" t="s">
        <v>61</v>
      </c>
      <c r="D857" t="s">
        <v>48</v>
      </c>
      <c r="E857">
        <v>28.661421858182699</v>
      </c>
      <c r="F857">
        <v>28.661421858182699</v>
      </c>
      <c r="G857">
        <v>0</v>
      </c>
      <c r="H857">
        <v>0</v>
      </c>
      <c r="I857" t="s">
        <v>62</v>
      </c>
    </row>
    <row r="858" spans="1:9" hidden="1" x14ac:dyDescent="0.35">
      <c r="A858" t="s">
        <v>11</v>
      </c>
      <c r="B858">
        <v>2040</v>
      </c>
      <c r="C858" t="s">
        <v>61</v>
      </c>
      <c r="D858" t="s">
        <v>49</v>
      </c>
      <c r="E858">
        <v>1.3659059511576499</v>
      </c>
      <c r="F858">
        <v>8.5301469729332405E-2</v>
      </c>
      <c r="G858">
        <v>-1.28060448142832</v>
      </c>
      <c r="H858">
        <v>-93.754952919193499</v>
      </c>
      <c r="I858" t="s">
        <v>62</v>
      </c>
    </row>
    <row r="859" spans="1:9" hidden="1" x14ac:dyDescent="0.35">
      <c r="A859" t="s">
        <v>11</v>
      </c>
      <c r="B859">
        <v>2040</v>
      </c>
      <c r="C859" t="s">
        <v>61</v>
      </c>
      <c r="D859" t="s">
        <v>50</v>
      </c>
      <c r="E859">
        <v>0.11655051192337899</v>
      </c>
      <c r="F859">
        <v>0.11655051192337899</v>
      </c>
      <c r="G859">
        <v>0</v>
      </c>
      <c r="H859">
        <v>0</v>
      </c>
      <c r="I859" t="s">
        <v>62</v>
      </c>
    </row>
    <row r="860" spans="1:9" hidden="1" x14ac:dyDescent="0.35">
      <c r="A860" t="s">
        <v>11</v>
      </c>
      <c r="B860">
        <v>2040</v>
      </c>
      <c r="C860" t="s">
        <v>61</v>
      </c>
      <c r="D860" t="s">
        <v>51</v>
      </c>
      <c r="E860">
        <v>0.60608825654420495</v>
      </c>
      <c r="F860">
        <v>0.60608825654420495</v>
      </c>
      <c r="G860">
        <v>0</v>
      </c>
      <c r="H860">
        <v>0</v>
      </c>
      <c r="I860" t="s">
        <v>62</v>
      </c>
    </row>
    <row r="861" spans="1:9" hidden="1" x14ac:dyDescent="0.35">
      <c r="A861" t="s">
        <v>11</v>
      </c>
      <c r="B861">
        <v>2040</v>
      </c>
      <c r="C861" t="s">
        <v>61</v>
      </c>
      <c r="D861" t="s">
        <v>52</v>
      </c>
      <c r="E861">
        <v>0.35645120103294797</v>
      </c>
      <c r="F861">
        <v>0.35645120103294797</v>
      </c>
      <c r="G861">
        <v>0</v>
      </c>
      <c r="H861">
        <v>0</v>
      </c>
      <c r="I861" t="s">
        <v>62</v>
      </c>
    </row>
    <row r="862" spans="1:9" hidden="1" x14ac:dyDescent="0.35">
      <c r="A862" t="s">
        <v>11</v>
      </c>
      <c r="B862">
        <v>2040</v>
      </c>
      <c r="C862" t="s">
        <v>61</v>
      </c>
      <c r="D862" t="s">
        <v>53</v>
      </c>
      <c r="E862">
        <v>2.0214918083909099</v>
      </c>
      <c r="F862">
        <v>2.0214918083909099</v>
      </c>
      <c r="G862">
        <v>0</v>
      </c>
      <c r="H862">
        <v>0</v>
      </c>
      <c r="I862" t="s">
        <v>62</v>
      </c>
    </row>
    <row r="863" spans="1:9" hidden="1" x14ac:dyDescent="0.35">
      <c r="A863" t="s">
        <v>11</v>
      </c>
      <c r="B863">
        <v>2040</v>
      </c>
      <c r="C863" t="s">
        <v>61</v>
      </c>
      <c r="D863" t="s">
        <v>54</v>
      </c>
      <c r="E863">
        <v>7.0813198868558</v>
      </c>
      <c r="F863">
        <v>7.0811289882716304</v>
      </c>
      <c r="G863">
        <v>-1.90898584165211E-4</v>
      </c>
      <c r="H863">
        <v>-2.6958051212960001E-3</v>
      </c>
      <c r="I863" t="s">
        <v>62</v>
      </c>
    </row>
    <row r="864" spans="1:9" hidden="1" x14ac:dyDescent="0.35">
      <c r="A864" t="s">
        <v>11</v>
      </c>
      <c r="B864">
        <v>2040</v>
      </c>
      <c r="C864" t="s">
        <v>61</v>
      </c>
      <c r="D864" t="s">
        <v>55</v>
      </c>
      <c r="E864">
        <v>6.5328874056104604</v>
      </c>
      <c r="F864">
        <v>6.5124028509774998</v>
      </c>
      <c r="G864">
        <v>-2.0484554632955201E-2</v>
      </c>
      <c r="H864">
        <v>-0.31356050335970997</v>
      </c>
      <c r="I864" t="s">
        <v>62</v>
      </c>
    </row>
    <row r="865" spans="1:9" hidden="1" x14ac:dyDescent="0.35">
      <c r="A865" t="s">
        <v>11</v>
      </c>
      <c r="B865">
        <v>2040</v>
      </c>
      <c r="C865" t="s">
        <v>61</v>
      </c>
      <c r="D865" t="s">
        <v>56</v>
      </c>
      <c r="E865" s="1">
        <v>4.8534585338199103E-7</v>
      </c>
      <c r="F865" s="1">
        <v>4.8534585338199103E-7</v>
      </c>
      <c r="G865">
        <v>0</v>
      </c>
      <c r="H865">
        <v>0</v>
      </c>
      <c r="I865" t="s">
        <v>62</v>
      </c>
    </row>
    <row r="866" spans="1:9" hidden="1" x14ac:dyDescent="0.35">
      <c r="A866" t="s">
        <v>5</v>
      </c>
      <c r="B866">
        <v>2025</v>
      </c>
      <c r="C866" t="s">
        <v>127</v>
      </c>
      <c r="D866" t="s">
        <v>38</v>
      </c>
      <c r="E866">
        <v>2.4955516624501101E-2</v>
      </c>
      <c r="F866">
        <v>2.4955516624501101E-2</v>
      </c>
      <c r="G866">
        <v>0</v>
      </c>
      <c r="H866">
        <v>0</v>
      </c>
      <c r="I866" t="s">
        <v>128</v>
      </c>
    </row>
    <row r="867" spans="1:9" hidden="1" x14ac:dyDescent="0.35">
      <c r="A867" t="s">
        <v>5</v>
      </c>
      <c r="B867">
        <v>2025</v>
      </c>
      <c r="C867" t="s">
        <v>127</v>
      </c>
      <c r="D867" t="s">
        <v>40</v>
      </c>
      <c r="E867">
        <v>5.4940535867961902E-2</v>
      </c>
      <c r="F867">
        <v>5.4940535867961902E-2</v>
      </c>
      <c r="G867">
        <v>0</v>
      </c>
      <c r="H867">
        <v>0</v>
      </c>
      <c r="I867" t="s">
        <v>128</v>
      </c>
    </row>
    <row r="868" spans="1:9" hidden="1" x14ac:dyDescent="0.35">
      <c r="A868" t="s">
        <v>5</v>
      </c>
      <c r="B868">
        <v>2025</v>
      </c>
      <c r="C868" t="s">
        <v>127</v>
      </c>
      <c r="D868" t="s">
        <v>41</v>
      </c>
      <c r="E868">
        <v>0.76371377967962695</v>
      </c>
      <c r="F868">
        <v>0.76371377967962695</v>
      </c>
      <c r="G868">
        <v>0</v>
      </c>
      <c r="H868">
        <v>0</v>
      </c>
      <c r="I868" t="s">
        <v>128</v>
      </c>
    </row>
    <row r="869" spans="1:9" hidden="1" x14ac:dyDescent="0.35">
      <c r="A869" t="s">
        <v>5</v>
      </c>
      <c r="B869">
        <v>2025</v>
      </c>
      <c r="C869" t="s">
        <v>127</v>
      </c>
      <c r="D869" t="s">
        <v>42</v>
      </c>
      <c r="E869">
        <v>180.571776490796</v>
      </c>
      <c r="F869">
        <v>180.571776490796</v>
      </c>
      <c r="G869">
        <v>0</v>
      </c>
      <c r="H869">
        <v>0</v>
      </c>
      <c r="I869" t="s">
        <v>128</v>
      </c>
    </row>
    <row r="870" spans="1:9" hidden="1" x14ac:dyDescent="0.35">
      <c r="A870" t="s">
        <v>5</v>
      </c>
      <c r="B870">
        <v>2025</v>
      </c>
      <c r="C870" t="s">
        <v>127</v>
      </c>
      <c r="D870" t="s">
        <v>43</v>
      </c>
      <c r="E870">
        <v>0.242645651365478</v>
      </c>
      <c r="F870">
        <v>0.242645651365478</v>
      </c>
      <c r="G870">
        <v>0</v>
      </c>
      <c r="H870">
        <v>0</v>
      </c>
      <c r="I870" t="s">
        <v>128</v>
      </c>
    </row>
    <row r="871" spans="1:9" hidden="1" x14ac:dyDescent="0.35">
      <c r="A871" t="s">
        <v>5</v>
      </c>
      <c r="B871">
        <v>2025</v>
      </c>
      <c r="C871" t="s">
        <v>127</v>
      </c>
      <c r="D871" t="s">
        <v>136</v>
      </c>
      <c r="E871">
        <v>30.6112283962524</v>
      </c>
      <c r="F871">
        <v>30.6112283962524</v>
      </c>
      <c r="G871">
        <v>0</v>
      </c>
      <c r="H871">
        <v>0</v>
      </c>
      <c r="I871" t="s">
        <v>128</v>
      </c>
    </row>
    <row r="872" spans="1:9" hidden="1" x14ac:dyDescent="0.35">
      <c r="A872" t="s">
        <v>5</v>
      </c>
      <c r="B872">
        <v>2025</v>
      </c>
      <c r="C872" t="s">
        <v>127</v>
      </c>
      <c r="D872" t="s">
        <v>45</v>
      </c>
      <c r="E872">
        <v>0.23954633154931099</v>
      </c>
      <c r="F872">
        <v>0.23954633154931099</v>
      </c>
      <c r="G872">
        <v>0</v>
      </c>
      <c r="H872">
        <v>0</v>
      </c>
      <c r="I872" t="s">
        <v>128</v>
      </c>
    </row>
    <row r="873" spans="1:9" hidden="1" x14ac:dyDescent="0.35">
      <c r="A873" t="s">
        <v>5</v>
      </c>
      <c r="B873">
        <v>2025</v>
      </c>
      <c r="C873" t="s">
        <v>127</v>
      </c>
      <c r="D873" t="s">
        <v>46</v>
      </c>
      <c r="E873">
        <v>1.60371102086706</v>
      </c>
      <c r="F873">
        <v>1.60371102086706</v>
      </c>
      <c r="G873">
        <v>0</v>
      </c>
      <c r="H873">
        <v>0</v>
      </c>
      <c r="I873" t="s">
        <v>128</v>
      </c>
    </row>
    <row r="874" spans="1:9" hidden="1" x14ac:dyDescent="0.35">
      <c r="A874" t="s">
        <v>5</v>
      </c>
      <c r="B874">
        <v>2025</v>
      </c>
      <c r="C874" t="s">
        <v>127</v>
      </c>
      <c r="D874" t="s">
        <v>47</v>
      </c>
      <c r="E874">
        <v>4.62260184883568E-2</v>
      </c>
      <c r="F874">
        <v>4.62260184883568E-2</v>
      </c>
      <c r="G874">
        <v>0</v>
      </c>
      <c r="H874">
        <v>0</v>
      </c>
      <c r="I874" t="s">
        <v>128</v>
      </c>
    </row>
    <row r="875" spans="1:9" hidden="1" x14ac:dyDescent="0.35">
      <c r="A875" t="s">
        <v>5</v>
      </c>
      <c r="B875">
        <v>2025</v>
      </c>
      <c r="C875" t="s">
        <v>127</v>
      </c>
      <c r="D875" t="s">
        <v>48</v>
      </c>
      <c r="E875">
        <v>79.802986273718304</v>
      </c>
      <c r="F875">
        <v>79.802986273718304</v>
      </c>
      <c r="G875">
        <v>0</v>
      </c>
      <c r="H875">
        <v>0</v>
      </c>
      <c r="I875" t="s">
        <v>128</v>
      </c>
    </row>
    <row r="876" spans="1:9" hidden="1" x14ac:dyDescent="0.35">
      <c r="A876" t="s">
        <v>5</v>
      </c>
      <c r="B876">
        <v>2025</v>
      </c>
      <c r="C876" t="s">
        <v>127</v>
      </c>
      <c r="D876" t="s">
        <v>49</v>
      </c>
      <c r="E876">
        <v>0.85673565646925798</v>
      </c>
      <c r="F876">
        <v>0.85673565646925798</v>
      </c>
      <c r="G876">
        <v>0</v>
      </c>
      <c r="H876">
        <v>0</v>
      </c>
      <c r="I876" t="s">
        <v>128</v>
      </c>
    </row>
    <row r="877" spans="1:9" hidden="1" x14ac:dyDescent="0.35">
      <c r="A877" t="s">
        <v>5</v>
      </c>
      <c r="B877">
        <v>2025</v>
      </c>
      <c r="C877" t="s">
        <v>127</v>
      </c>
      <c r="D877" t="s">
        <v>50</v>
      </c>
      <c r="E877">
        <v>0.57690115917470797</v>
      </c>
      <c r="F877">
        <v>0.57690115917470797</v>
      </c>
      <c r="G877">
        <v>0</v>
      </c>
      <c r="H877">
        <v>0</v>
      </c>
      <c r="I877" t="s">
        <v>128</v>
      </c>
    </row>
    <row r="878" spans="1:9" hidden="1" x14ac:dyDescent="0.35">
      <c r="A878" t="s">
        <v>5</v>
      </c>
      <c r="B878">
        <v>2025</v>
      </c>
      <c r="C878" t="s">
        <v>127</v>
      </c>
      <c r="D878" t="s">
        <v>51</v>
      </c>
      <c r="E878">
        <v>1.50177353326157</v>
      </c>
      <c r="F878">
        <v>1.50177353326157</v>
      </c>
      <c r="G878">
        <v>0</v>
      </c>
      <c r="H878">
        <v>0</v>
      </c>
      <c r="I878" t="s">
        <v>128</v>
      </c>
    </row>
    <row r="879" spans="1:9" hidden="1" x14ac:dyDescent="0.35">
      <c r="A879" t="s">
        <v>5</v>
      </c>
      <c r="B879">
        <v>2025</v>
      </c>
      <c r="C879" t="s">
        <v>127</v>
      </c>
      <c r="D879" t="s">
        <v>52</v>
      </c>
      <c r="E879">
        <v>1.81542325440913</v>
      </c>
      <c r="F879">
        <v>1.81542325440913</v>
      </c>
      <c r="G879">
        <v>0</v>
      </c>
      <c r="H879">
        <v>0</v>
      </c>
      <c r="I879" t="s">
        <v>128</v>
      </c>
    </row>
    <row r="880" spans="1:9" hidden="1" x14ac:dyDescent="0.35">
      <c r="A880" t="s">
        <v>5</v>
      </c>
      <c r="B880">
        <v>2025</v>
      </c>
      <c r="C880" t="s">
        <v>127</v>
      </c>
      <c r="D880" t="s">
        <v>53</v>
      </c>
      <c r="E880">
        <v>11.548974433534999</v>
      </c>
      <c r="F880">
        <v>11.548974433534999</v>
      </c>
      <c r="G880">
        <v>0</v>
      </c>
      <c r="H880">
        <v>0</v>
      </c>
      <c r="I880" t="s">
        <v>128</v>
      </c>
    </row>
    <row r="881" spans="1:9" hidden="1" x14ac:dyDescent="0.35">
      <c r="A881" t="s">
        <v>5</v>
      </c>
      <c r="B881">
        <v>2025</v>
      </c>
      <c r="C881" t="s">
        <v>127</v>
      </c>
      <c r="D881" t="s">
        <v>54</v>
      </c>
      <c r="E881">
        <v>14.277619083488201</v>
      </c>
      <c r="F881">
        <v>14.277619083488201</v>
      </c>
      <c r="G881">
        <v>0</v>
      </c>
      <c r="H881">
        <v>0</v>
      </c>
      <c r="I881" t="s">
        <v>128</v>
      </c>
    </row>
    <row r="882" spans="1:9" hidden="1" x14ac:dyDescent="0.35">
      <c r="A882" t="s">
        <v>5</v>
      </c>
      <c r="B882">
        <v>2025</v>
      </c>
      <c r="C882" t="s">
        <v>127</v>
      </c>
      <c r="D882" t="s">
        <v>55</v>
      </c>
      <c r="E882">
        <v>12.370793574691399</v>
      </c>
      <c r="F882">
        <v>12.370793574691399</v>
      </c>
      <c r="G882">
        <v>0</v>
      </c>
      <c r="H882">
        <v>0</v>
      </c>
      <c r="I882" t="s">
        <v>128</v>
      </c>
    </row>
    <row r="883" spans="1:9" hidden="1" x14ac:dyDescent="0.35">
      <c r="A883" t="s">
        <v>5</v>
      </c>
      <c r="B883">
        <v>2025</v>
      </c>
      <c r="C883" t="s">
        <v>127</v>
      </c>
      <c r="D883" t="s">
        <v>56</v>
      </c>
      <c r="E883" s="1">
        <v>2.8010810508218399E-6</v>
      </c>
      <c r="F883" s="1">
        <v>2.8010810508218399E-6</v>
      </c>
      <c r="G883">
        <v>0</v>
      </c>
      <c r="H883">
        <v>0</v>
      </c>
      <c r="I883" t="s">
        <v>128</v>
      </c>
    </row>
    <row r="884" spans="1:9" hidden="1" x14ac:dyDescent="0.35">
      <c r="A884" t="s">
        <v>7</v>
      </c>
      <c r="B884">
        <v>2030</v>
      </c>
      <c r="C884" t="s">
        <v>127</v>
      </c>
      <c r="D884" t="s">
        <v>38</v>
      </c>
      <c r="E884">
        <v>2.81113261308636E-2</v>
      </c>
      <c r="F884">
        <v>2.8023477490071499E-2</v>
      </c>
      <c r="G884" s="1">
        <v>-8.7848640792059703E-5</v>
      </c>
      <c r="H884">
        <v>-0.31250265598679799</v>
      </c>
      <c r="I884" t="s">
        <v>128</v>
      </c>
    </row>
    <row r="885" spans="1:9" hidden="1" x14ac:dyDescent="0.35">
      <c r="A885" t="s">
        <v>7</v>
      </c>
      <c r="B885">
        <v>2030</v>
      </c>
      <c r="C885" t="s">
        <v>127</v>
      </c>
      <c r="D885" t="s">
        <v>40</v>
      </c>
      <c r="E885">
        <v>5.5335669894831997E-2</v>
      </c>
      <c r="F885">
        <v>5.5335669894831997E-2</v>
      </c>
      <c r="G885">
        <v>0</v>
      </c>
      <c r="H885">
        <v>0</v>
      </c>
      <c r="I885" t="s">
        <v>128</v>
      </c>
    </row>
    <row r="886" spans="1:9" hidden="1" x14ac:dyDescent="0.35">
      <c r="A886" t="s">
        <v>7</v>
      </c>
      <c r="B886">
        <v>2030</v>
      </c>
      <c r="C886" t="s">
        <v>127</v>
      </c>
      <c r="D886" t="s">
        <v>41</v>
      </c>
      <c r="E886">
        <v>0.73957804942460204</v>
      </c>
      <c r="F886">
        <v>0.739568930686896</v>
      </c>
      <c r="G886" s="1">
        <v>-9.1187377062595908E-6</v>
      </c>
      <c r="H886">
        <v>-1.23296489307031E-3</v>
      </c>
      <c r="I886" t="s">
        <v>128</v>
      </c>
    </row>
    <row r="887" spans="1:9" hidden="1" x14ac:dyDescent="0.35">
      <c r="A887" t="s">
        <v>7</v>
      </c>
      <c r="B887">
        <v>2030</v>
      </c>
      <c r="C887" t="s">
        <v>127</v>
      </c>
      <c r="D887" t="s">
        <v>42</v>
      </c>
      <c r="E887">
        <v>178.32636855609201</v>
      </c>
      <c r="F887">
        <v>178.262894468502</v>
      </c>
      <c r="G887">
        <v>-6.3474087589327099E-2</v>
      </c>
      <c r="H887">
        <v>-3.5594336442376098E-2</v>
      </c>
      <c r="I887" t="s">
        <v>128</v>
      </c>
    </row>
    <row r="888" spans="1:9" hidden="1" x14ac:dyDescent="0.35">
      <c r="A888" t="s">
        <v>7</v>
      </c>
      <c r="B888">
        <v>2030</v>
      </c>
      <c r="C888" t="s">
        <v>127</v>
      </c>
      <c r="D888" t="s">
        <v>43</v>
      </c>
      <c r="E888">
        <v>0.237562597171499</v>
      </c>
      <c r="F888">
        <v>0.237562588813966</v>
      </c>
      <c r="G888" s="1">
        <v>-8.3575337761487795E-9</v>
      </c>
      <c r="H888" s="1">
        <v>-3.5180343520639901E-6</v>
      </c>
      <c r="I888" t="s">
        <v>128</v>
      </c>
    </row>
    <row r="889" spans="1:9" hidden="1" x14ac:dyDescent="0.35">
      <c r="A889" t="s">
        <v>7</v>
      </c>
      <c r="B889">
        <v>2030</v>
      </c>
      <c r="C889" t="s">
        <v>127</v>
      </c>
      <c r="D889" t="s">
        <v>136</v>
      </c>
      <c r="E889">
        <v>25.8501652518922</v>
      </c>
      <c r="F889">
        <v>25.8500851608243</v>
      </c>
      <c r="G889" s="1">
        <v>-8.0091067953702496E-5</v>
      </c>
      <c r="H889">
        <v>-3.09828069465976E-4</v>
      </c>
      <c r="I889" t="s">
        <v>128</v>
      </c>
    </row>
    <row r="890" spans="1:9" hidden="1" x14ac:dyDescent="0.35">
      <c r="A890" t="s">
        <v>7</v>
      </c>
      <c r="B890">
        <v>2030</v>
      </c>
      <c r="C890" t="s">
        <v>127</v>
      </c>
      <c r="D890" t="s">
        <v>45</v>
      </c>
      <c r="E890">
        <v>0.20047471060706201</v>
      </c>
      <c r="F890">
        <v>0.20044922302258</v>
      </c>
      <c r="G890" s="1">
        <v>-2.5487584482064502E-5</v>
      </c>
      <c r="H890">
        <v>-1.2713615799661199E-2</v>
      </c>
      <c r="I890" t="s">
        <v>128</v>
      </c>
    </row>
    <row r="891" spans="1:9" hidden="1" x14ac:dyDescent="0.35">
      <c r="A891" t="s">
        <v>7</v>
      </c>
      <c r="B891">
        <v>2030</v>
      </c>
      <c r="C891" t="s">
        <v>127</v>
      </c>
      <c r="D891" t="s">
        <v>46</v>
      </c>
      <c r="E891">
        <v>1.9850741755585199</v>
      </c>
      <c r="F891">
        <v>1.9850741755585199</v>
      </c>
      <c r="G891">
        <v>0</v>
      </c>
      <c r="H891">
        <v>0</v>
      </c>
      <c r="I891" t="s">
        <v>128</v>
      </c>
    </row>
    <row r="892" spans="1:9" hidden="1" x14ac:dyDescent="0.35">
      <c r="A892" t="s">
        <v>7</v>
      </c>
      <c r="B892">
        <v>2030</v>
      </c>
      <c r="C892" t="s">
        <v>127</v>
      </c>
      <c r="D892" t="s">
        <v>47</v>
      </c>
      <c r="E892">
        <v>4.33148638368311E-2</v>
      </c>
      <c r="F892">
        <v>4.33148638368311E-2</v>
      </c>
      <c r="G892">
        <v>0</v>
      </c>
      <c r="H892">
        <v>0</v>
      </c>
      <c r="I892" t="s">
        <v>128</v>
      </c>
    </row>
    <row r="893" spans="1:9" hidden="1" x14ac:dyDescent="0.35">
      <c r="A893" t="s">
        <v>7</v>
      </c>
      <c r="B893">
        <v>2030</v>
      </c>
      <c r="C893" t="s">
        <v>127</v>
      </c>
      <c r="D893" t="s">
        <v>48</v>
      </c>
      <c r="E893">
        <v>79.834349490319596</v>
      </c>
      <c r="F893">
        <v>79.834349490319596</v>
      </c>
      <c r="G893">
        <v>0</v>
      </c>
      <c r="H893">
        <v>0</v>
      </c>
      <c r="I893" t="s">
        <v>128</v>
      </c>
    </row>
    <row r="894" spans="1:9" hidden="1" x14ac:dyDescent="0.35">
      <c r="A894" t="s">
        <v>7</v>
      </c>
      <c r="B894">
        <v>2030</v>
      </c>
      <c r="C894" t="s">
        <v>127</v>
      </c>
      <c r="D894" t="s">
        <v>49</v>
      </c>
      <c r="E894">
        <v>0.67561434277905297</v>
      </c>
      <c r="F894">
        <v>0.67550213128842296</v>
      </c>
      <c r="G894">
        <v>-1.12211490630342E-4</v>
      </c>
      <c r="H894">
        <v>-1.66088082394425E-2</v>
      </c>
      <c r="I894" t="s">
        <v>128</v>
      </c>
    </row>
    <row r="895" spans="1:9" hidden="1" x14ac:dyDescent="0.35">
      <c r="A895" t="s">
        <v>7</v>
      </c>
      <c r="B895">
        <v>2030</v>
      </c>
      <c r="C895" t="s">
        <v>127</v>
      </c>
      <c r="D895" t="s">
        <v>50</v>
      </c>
      <c r="E895">
        <v>0.56943971807652805</v>
      </c>
      <c r="F895">
        <v>0.56943971807652805</v>
      </c>
      <c r="G895">
        <v>0</v>
      </c>
      <c r="H895">
        <v>0</v>
      </c>
      <c r="I895" t="s">
        <v>128</v>
      </c>
    </row>
    <row r="896" spans="1:9" hidden="1" x14ac:dyDescent="0.35">
      <c r="A896" t="s">
        <v>7</v>
      </c>
      <c r="B896">
        <v>2030</v>
      </c>
      <c r="C896" t="s">
        <v>127</v>
      </c>
      <c r="D896" t="s">
        <v>51</v>
      </c>
      <c r="E896">
        <v>1.5016744168842899</v>
      </c>
      <c r="F896">
        <v>1.5016744168842899</v>
      </c>
      <c r="G896">
        <v>0</v>
      </c>
      <c r="H896">
        <v>0</v>
      </c>
      <c r="I896" t="s">
        <v>128</v>
      </c>
    </row>
    <row r="897" spans="1:9" hidden="1" x14ac:dyDescent="0.35">
      <c r="A897" t="s">
        <v>7</v>
      </c>
      <c r="B897">
        <v>2030</v>
      </c>
      <c r="C897" t="s">
        <v>127</v>
      </c>
      <c r="D897" t="s">
        <v>52</v>
      </c>
      <c r="E897">
        <v>1.60625274312189</v>
      </c>
      <c r="F897">
        <v>1.60625274312189</v>
      </c>
      <c r="G897">
        <v>0</v>
      </c>
      <c r="H897">
        <v>0</v>
      </c>
      <c r="I897" t="s">
        <v>128</v>
      </c>
    </row>
    <row r="898" spans="1:9" hidden="1" x14ac:dyDescent="0.35">
      <c r="A898" t="s">
        <v>7</v>
      </c>
      <c r="B898">
        <v>2030</v>
      </c>
      <c r="C898" t="s">
        <v>127</v>
      </c>
      <c r="D898" t="s">
        <v>53</v>
      </c>
      <c r="E898">
        <v>10.6436104160325</v>
      </c>
      <c r="F898">
        <v>10.6436104160325</v>
      </c>
      <c r="G898">
        <v>0</v>
      </c>
      <c r="H898">
        <v>0</v>
      </c>
      <c r="I898" t="s">
        <v>128</v>
      </c>
    </row>
    <row r="899" spans="1:9" hidden="1" x14ac:dyDescent="0.35">
      <c r="A899" t="s">
        <v>7</v>
      </c>
      <c r="B899">
        <v>2030</v>
      </c>
      <c r="C899" t="s">
        <v>127</v>
      </c>
      <c r="D899" t="s">
        <v>54</v>
      </c>
      <c r="E899">
        <v>14.246664039575901</v>
      </c>
      <c r="F899">
        <v>14.2420977025185</v>
      </c>
      <c r="G899">
        <v>-4.5663370573993901E-3</v>
      </c>
      <c r="H899">
        <v>-3.2051974025038503E-2</v>
      </c>
      <c r="I899" t="s">
        <v>128</v>
      </c>
    </row>
    <row r="900" spans="1:9" hidden="1" x14ac:dyDescent="0.35">
      <c r="A900" t="s">
        <v>7</v>
      </c>
      <c r="B900">
        <v>2030</v>
      </c>
      <c r="C900" t="s">
        <v>127</v>
      </c>
      <c r="D900" t="s">
        <v>55</v>
      </c>
      <c r="E900">
        <v>12.3417404449284</v>
      </c>
      <c r="F900">
        <v>12.340973837785301</v>
      </c>
      <c r="G900">
        <v>-7.6660714304921298E-4</v>
      </c>
      <c r="H900">
        <v>-6.2114994758639096E-3</v>
      </c>
      <c r="I900" t="s">
        <v>128</v>
      </c>
    </row>
    <row r="901" spans="1:9" hidden="1" x14ac:dyDescent="0.35">
      <c r="A901" t="s">
        <v>7</v>
      </c>
      <c r="B901">
        <v>2030</v>
      </c>
      <c r="C901" t="s">
        <v>127</v>
      </c>
      <c r="D901" t="s">
        <v>56</v>
      </c>
      <c r="E901" s="1">
        <v>2.79424676806504E-6</v>
      </c>
      <c r="F901" s="1">
        <v>2.79424676806504E-6</v>
      </c>
      <c r="G901">
        <v>0</v>
      </c>
      <c r="H901">
        <v>0</v>
      </c>
      <c r="I901" t="s">
        <v>128</v>
      </c>
    </row>
    <row r="902" spans="1:9" hidden="1" x14ac:dyDescent="0.35">
      <c r="A902" t="s">
        <v>9</v>
      </c>
      <c r="B902">
        <v>2035</v>
      </c>
      <c r="C902" t="s">
        <v>127</v>
      </c>
      <c r="D902" t="s">
        <v>38</v>
      </c>
      <c r="E902">
        <v>2.9720560297466499E-2</v>
      </c>
      <c r="F902">
        <v>2.9695704186383301E-2</v>
      </c>
      <c r="G902" s="1">
        <v>-2.4856111083198301E-5</v>
      </c>
      <c r="H902">
        <v>-8.3632713631300995E-2</v>
      </c>
      <c r="I902" t="s">
        <v>128</v>
      </c>
    </row>
    <row r="903" spans="1:9" hidden="1" x14ac:dyDescent="0.35">
      <c r="A903" t="s">
        <v>9</v>
      </c>
      <c r="B903">
        <v>2035</v>
      </c>
      <c r="C903" t="s">
        <v>127</v>
      </c>
      <c r="D903" t="s">
        <v>40</v>
      </c>
      <c r="E903">
        <v>5.5120278542518997E-2</v>
      </c>
      <c r="F903">
        <v>5.5120278542518997E-2</v>
      </c>
      <c r="G903">
        <v>0</v>
      </c>
      <c r="H903">
        <v>0</v>
      </c>
      <c r="I903" t="s">
        <v>128</v>
      </c>
    </row>
    <row r="904" spans="1:9" hidden="1" x14ac:dyDescent="0.35">
      <c r="A904" t="s">
        <v>9</v>
      </c>
      <c r="B904">
        <v>2035</v>
      </c>
      <c r="C904" t="s">
        <v>127</v>
      </c>
      <c r="D904" t="s">
        <v>41</v>
      </c>
      <c r="E904">
        <v>0.73659559488136095</v>
      </c>
      <c r="F904">
        <v>0.736593078549584</v>
      </c>
      <c r="G904" s="1">
        <v>-2.5163317762810701E-6</v>
      </c>
      <c r="H904">
        <v>-3.41616457356952E-4</v>
      </c>
      <c r="I904" t="s">
        <v>128</v>
      </c>
    </row>
    <row r="905" spans="1:9" hidden="1" x14ac:dyDescent="0.35">
      <c r="A905" t="s">
        <v>9</v>
      </c>
      <c r="B905">
        <v>2035</v>
      </c>
      <c r="C905" t="s">
        <v>127</v>
      </c>
      <c r="D905" t="s">
        <v>42</v>
      </c>
      <c r="E905">
        <v>177.06648447604601</v>
      </c>
      <c r="F905">
        <v>177.04846545624699</v>
      </c>
      <c r="G905">
        <v>-1.80190197990839E-2</v>
      </c>
      <c r="H905">
        <v>-1.01764147249004E-2</v>
      </c>
      <c r="I905" t="s">
        <v>128</v>
      </c>
    </row>
    <row r="906" spans="1:9" hidden="1" x14ac:dyDescent="0.35">
      <c r="A906" t="s">
        <v>9</v>
      </c>
      <c r="B906">
        <v>2035</v>
      </c>
      <c r="C906" t="s">
        <v>127</v>
      </c>
      <c r="D906" t="s">
        <v>43</v>
      </c>
      <c r="E906">
        <v>0.23354612599003999</v>
      </c>
      <c r="F906">
        <v>0.23354612371234601</v>
      </c>
      <c r="G906" s="1">
        <v>-2.27769386684784E-9</v>
      </c>
      <c r="H906" s="1">
        <v>-9.7526510328198399E-7</v>
      </c>
      <c r="I906" t="s">
        <v>128</v>
      </c>
    </row>
    <row r="907" spans="1:9" hidden="1" x14ac:dyDescent="0.35">
      <c r="A907" t="s">
        <v>9</v>
      </c>
      <c r="B907">
        <v>2035</v>
      </c>
      <c r="C907" t="s">
        <v>127</v>
      </c>
      <c r="D907" t="s">
        <v>136</v>
      </c>
      <c r="E907">
        <v>22.251695274356599</v>
      </c>
      <c r="F907">
        <v>22.251684021019798</v>
      </c>
      <c r="G907" s="1">
        <v>-1.12533367939704E-5</v>
      </c>
      <c r="H907" s="1">
        <v>-5.0572941320740901E-5</v>
      </c>
      <c r="I907" t="s">
        <v>128</v>
      </c>
    </row>
    <row r="908" spans="1:9" hidden="1" x14ac:dyDescent="0.35">
      <c r="A908" t="s">
        <v>9</v>
      </c>
      <c r="B908">
        <v>2035</v>
      </c>
      <c r="C908" t="s">
        <v>127</v>
      </c>
      <c r="D908" t="s">
        <v>45</v>
      </c>
      <c r="E908">
        <v>0.21184723999085001</v>
      </c>
      <c r="F908">
        <v>0.21184018412229799</v>
      </c>
      <c r="G908" s="1">
        <v>-7.05586855243023E-6</v>
      </c>
      <c r="H908">
        <v>-3.3306398293104799E-3</v>
      </c>
      <c r="I908" t="s">
        <v>128</v>
      </c>
    </row>
    <row r="909" spans="1:9" hidden="1" x14ac:dyDescent="0.35">
      <c r="A909" t="s">
        <v>9</v>
      </c>
      <c r="B909">
        <v>2035</v>
      </c>
      <c r="C909" t="s">
        <v>127</v>
      </c>
      <c r="D909" t="s">
        <v>46</v>
      </c>
      <c r="E909">
        <v>3.0245852188055902</v>
      </c>
      <c r="F909">
        <v>3.0245852188055902</v>
      </c>
      <c r="G909">
        <v>0</v>
      </c>
      <c r="H909">
        <v>0</v>
      </c>
      <c r="I909" t="s">
        <v>128</v>
      </c>
    </row>
    <row r="910" spans="1:9" hidden="1" x14ac:dyDescent="0.35">
      <c r="A910" t="s">
        <v>9</v>
      </c>
      <c r="B910">
        <v>2035</v>
      </c>
      <c r="C910" t="s">
        <v>127</v>
      </c>
      <c r="D910" t="s">
        <v>47</v>
      </c>
      <c r="E910">
        <v>4.1492120381902198E-2</v>
      </c>
      <c r="F910">
        <v>4.1492120381902198E-2</v>
      </c>
      <c r="G910">
        <v>0</v>
      </c>
      <c r="H910">
        <v>0</v>
      </c>
      <c r="I910" t="s">
        <v>128</v>
      </c>
    </row>
    <row r="911" spans="1:9" hidden="1" x14ac:dyDescent="0.35">
      <c r="A911" t="s">
        <v>9</v>
      </c>
      <c r="B911">
        <v>2035</v>
      </c>
      <c r="C911" t="s">
        <v>127</v>
      </c>
      <c r="D911" t="s">
        <v>48</v>
      </c>
      <c r="E911">
        <v>79.876219991679903</v>
      </c>
      <c r="F911">
        <v>79.876219991679903</v>
      </c>
      <c r="G911">
        <v>0</v>
      </c>
      <c r="H911">
        <v>0</v>
      </c>
      <c r="I911" t="s">
        <v>128</v>
      </c>
    </row>
    <row r="912" spans="1:9" hidden="1" x14ac:dyDescent="0.35">
      <c r="A912" t="s">
        <v>9</v>
      </c>
      <c r="B912">
        <v>2035</v>
      </c>
      <c r="C912" t="s">
        <v>127</v>
      </c>
      <c r="D912" t="s">
        <v>49</v>
      </c>
      <c r="E912">
        <v>0.74202666240742099</v>
      </c>
      <c r="F912">
        <v>0.74199569658332098</v>
      </c>
      <c r="G912" s="1">
        <v>-3.0965824099893299E-5</v>
      </c>
      <c r="H912">
        <v>-4.1731417034838398E-3</v>
      </c>
      <c r="I912" t="s">
        <v>128</v>
      </c>
    </row>
    <row r="913" spans="1:9" hidden="1" x14ac:dyDescent="0.35">
      <c r="A913" t="s">
        <v>9</v>
      </c>
      <c r="B913">
        <v>2035</v>
      </c>
      <c r="C913" t="s">
        <v>127</v>
      </c>
      <c r="D913" t="s">
        <v>50</v>
      </c>
      <c r="E913">
        <v>0.55905733172276395</v>
      </c>
      <c r="F913">
        <v>0.55905733172276395</v>
      </c>
      <c r="G913">
        <v>0</v>
      </c>
      <c r="H913">
        <v>0</v>
      </c>
      <c r="I913" t="s">
        <v>128</v>
      </c>
    </row>
    <row r="914" spans="1:9" hidden="1" x14ac:dyDescent="0.35">
      <c r="A914" t="s">
        <v>9</v>
      </c>
      <c r="B914">
        <v>2035</v>
      </c>
      <c r="C914" t="s">
        <v>127</v>
      </c>
      <c r="D914" t="s">
        <v>51</v>
      </c>
      <c r="E914">
        <v>1.5363112745731999</v>
      </c>
      <c r="F914">
        <v>1.5363112745731999</v>
      </c>
      <c r="G914">
        <v>0</v>
      </c>
      <c r="H914">
        <v>0</v>
      </c>
      <c r="I914" t="s">
        <v>128</v>
      </c>
    </row>
    <row r="915" spans="1:9" hidden="1" x14ac:dyDescent="0.35">
      <c r="A915" t="s">
        <v>9</v>
      </c>
      <c r="B915">
        <v>2035</v>
      </c>
      <c r="C915" t="s">
        <v>127</v>
      </c>
      <c r="D915" t="s">
        <v>52</v>
      </c>
      <c r="E915">
        <v>1.39536487566076</v>
      </c>
      <c r="F915">
        <v>1.39536487566076</v>
      </c>
      <c r="G915">
        <v>0</v>
      </c>
      <c r="H915">
        <v>0</v>
      </c>
      <c r="I915" t="s">
        <v>128</v>
      </c>
    </row>
    <row r="916" spans="1:9" hidden="1" x14ac:dyDescent="0.35">
      <c r="A916" t="s">
        <v>9</v>
      </c>
      <c r="B916">
        <v>2035</v>
      </c>
      <c r="C916" t="s">
        <v>127</v>
      </c>
      <c r="D916" t="s">
        <v>53</v>
      </c>
      <c r="E916">
        <v>9.7909516860295707</v>
      </c>
      <c r="F916">
        <v>9.7909516860295707</v>
      </c>
      <c r="G916">
        <v>0</v>
      </c>
      <c r="H916">
        <v>0</v>
      </c>
      <c r="I916" t="s">
        <v>128</v>
      </c>
    </row>
    <row r="917" spans="1:9" hidden="1" x14ac:dyDescent="0.35">
      <c r="A917" t="s">
        <v>9</v>
      </c>
      <c r="B917">
        <v>2035</v>
      </c>
      <c r="C917" t="s">
        <v>127</v>
      </c>
      <c r="D917" t="s">
        <v>54</v>
      </c>
      <c r="E917">
        <v>14.248976263834599</v>
      </c>
      <c r="F917">
        <v>14.247684188094</v>
      </c>
      <c r="G917">
        <v>-1.2920757406007499E-3</v>
      </c>
      <c r="H917">
        <v>-9.0678496242580908E-3</v>
      </c>
      <c r="I917" t="s">
        <v>128</v>
      </c>
    </row>
    <row r="918" spans="1:9" hidden="1" x14ac:dyDescent="0.35">
      <c r="A918" t="s">
        <v>9</v>
      </c>
      <c r="B918">
        <v>2035</v>
      </c>
      <c r="C918" t="s">
        <v>127</v>
      </c>
      <c r="D918" t="s">
        <v>55</v>
      </c>
      <c r="E918">
        <v>12.335642512403799</v>
      </c>
      <c r="F918">
        <v>12.335425558099301</v>
      </c>
      <c r="G918">
        <v>-2.16954304530503E-4</v>
      </c>
      <c r="H918">
        <v>-1.7587596617877699E-3</v>
      </c>
      <c r="I918" t="s">
        <v>128</v>
      </c>
    </row>
    <row r="919" spans="1:9" hidden="1" x14ac:dyDescent="0.35">
      <c r="A919" t="s">
        <v>9</v>
      </c>
      <c r="B919">
        <v>2035</v>
      </c>
      <c r="C919" t="s">
        <v>127</v>
      </c>
      <c r="D919" t="s">
        <v>56</v>
      </c>
      <c r="E919" s="1">
        <v>2.7036526593599602E-6</v>
      </c>
      <c r="F919" s="1">
        <v>2.7036526593599602E-6</v>
      </c>
      <c r="G919">
        <v>0</v>
      </c>
      <c r="H919">
        <v>0</v>
      </c>
      <c r="I919" t="s">
        <v>128</v>
      </c>
    </row>
    <row r="920" spans="1:9" hidden="1" x14ac:dyDescent="0.35">
      <c r="A920" t="s">
        <v>11</v>
      </c>
      <c r="B920">
        <v>2040</v>
      </c>
      <c r="C920" t="s">
        <v>127</v>
      </c>
      <c r="D920" t="s">
        <v>38</v>
      </c>
      <c r="E920">
        <v>2.5944046525306901E-2</v>
      </c>
      <c r="F920">
        <v>2.5831341761547898E-2</v>
      </c>
      <c r="G920">
        <v>-1.12704763759029E-4</v>
      </c>
      <c r="H920">
        <v>-0.43441474578413403</v>
      </c>
      <c r="I920" t="s">
        <v>128</v>
      </c>
    </row>
    <row r="921" spans="1:9" hidden="1" x14ac:dyDescent="0.35">
      <c r="A921" t="s">
        <v>11</v>
      </c>
      <c r="B921">
        <v>2040</v>
      </c>
      <c r="C921" t="s">
        <v>127</v>
      </c>
      <c r="D921" t="s">
        <v>40</v>
      </c>
      <c r="E921">
        <v>5.4311479823476498E-2</v>
      </c>
      <c r="F921">
        <v>5.4311479823476498E-2</v>
      </c>
      <c r="G921">
        <v>0</v>
      </c>
      <c r="H921">
        <v>0</v>
      </c>
      <c r="I921" t="s">
        <v>128</v>
      </c>
    </row>
    <row r="922" spans="1:9" hidden="1" x14ac:dyDescent="0.35">
      <c r="A922" t="s">
        <v>11</v>
      </c>
      <c r="B922">
        <v>2040</v>
      </c>
      <c r="C922" t="s">
        <v>127</v>
      </c>
      <c r="D922" t="s">
        <v>41</v>
      </c>
      <c r="E922">
        <v>0.717222082852639</v>
      </c>
      <c r="F922">
        <v>0.71721044778172705</v>
      </c>
      <c r="G922" s="1">
        <v>-1.16350709121748E-5</v>
      </c>
      <c r="H922">
        <v>-1.62224103110408E-3</v>
      </c>
      <c r="I922" t="s">
        <v>128</v>
      </c>
    </row>
    <row r="923" spans="1:9" hidden="1" x14ac:dyDescent="0.35">
      <c r="A923" t="s">
        <v>11</v>
      </c>
      <c r="B923">
        <v>2040</v>
      </c>
      <c r="C923" t="s">
        <v>127</v>
      </c>
      <c r="D923" t="s">
        <v>42</v>
      </c>
      <c r="E923">
        <v>176.411391018627</v>
      </c>
      <c r="F923">
        <v>176.32989790328301</v>
      </c>
      <c r="G923">
        <v>-8.1493115343505396E-2</v>
      </c>
      <c r="H923">
        <v>-4.6194928157955902E-2</v>
      </c>
      <c r="I923" t="s">
        <v>128</v>
      </c>
    </row>
    <row r="924" spans="1:9" hidden="1" x14ac:dyDescent="0.35">
      <c r="A924" t="s">
        <v>11</v>
      </c>
      <c r="B924">
        <v>2040</v>
      </c>
      <c r="C924" t="s">
        <v>127</v>
      </c>
      <c r="D924" t="s">
        <v>43</v>
      </c>
      <c r="E924">
        <v>0.230500021305517</v>
      </c>
      <c r="F924">
        <v>0.230500010670289</v>
      </c>
      <c r="G924" s="1">
        <v>-1.0635228836486301E-8</v>
      </c>
      <c r="H924" s="1">
        <v>-4.6139817151642804E-6</v>
      </c>
      <c r="I924" t="s">
        <v>128</v>
      </c>
    </row>
    <row r="925" spans="1:9" hidden="1" x14ac:dyDescent="0.35">
      <c r="A925" t="s">
        <v>11</v>
      </c>
      <c r="B925">
        <v>2040</v>
      </c>
      <c r="C925" t="s">
        <v>127</v>
      </c>
      <c r="D925" t="s">
        <v>136</v>
      </c>
      <c r="E925">
        <v>19.423552366513899</v>
      </c>
      <c r="F925">
        <v>19.423461022097801</v>
      </c>
      <c r="G925" s="1">
        <v>-9.1344416087935006E-5</v>
      </c>
      <c r="H925">
        <v>-4.7027657126927998E-4</v>
      </c>
      <c r="I925" t="s">
        <v>128</v>
      </c>
    </row>
    <row r="926" spans="1:9" hidden="1" x14ac:dyDescent="0.35">
      <c r="A926" t="s">
        <v>11</v>
      </c>
      <c r="B926">
        <v>2040</v>
      </c>
      <c r="C926" t="s">
        <v>127</v>
      </c>
      <c r="D926" t="s">
        <v>45</v>
      </c>
      <c r="E926">
        <v>0.180390887663398</v>
      </c>
      <c r="F926">
        <v>0.180358344206377</v>
      </c>
      <c r="G926" s="1">
        <v>-3.2543457020556202E-5</v>
      </c>
      <c r="H926">
        <v>-1.8040521581822299E-2</v>
      </c>
      <c r="I926" t="s">
        <v>128</v>
      </c>
    </row>
    <row r="927" spans="1:9" hidden="1" x14ac:dyDescent="0.35">
      <c r="A927" t="s">
        <v>11</v>
      </c>
      <c r="B927">
        <v>2040</v>
      </c>
      <c r="C927" t="s">
        <v>127</v>
      </c>
      <c r="D927" t="s">
        <v>46</v>
      </c>
      <c r="E927">
        <v>4.61893843843289</v>
      </c>
      <c r="F927">
        <v>4.61893843843289</v>
      </c>
      <c r="G927">
        <v>0</v>
      </c>
      <c r="H927">
        <v>0</v>
      </c>
      <c r="I927" t="s">
        <v>128</v>
      </c>
    </row>
    <row r="928" spans="1:9" hidden="1" x14ac:dyDescent="0.35">
      <c r="A928" t="s">
        <v>11</v>
      </c>
      <c r="B928">
        <v>2040</v>
      </c>
      <c r="C928" t="s">
        <v>127</v>
      </c>
      <c r="D928" t="s">
        <v>47</v>
      </c>
      <c r="E928">
        <v>4.0637286938321797E-2</v>
      </c>
      <c r="F928">
        <v>4.0637286938321797E-2</v>
      </c>
      <c r="G928">
        <v>0</v>
      </c>
      <c r="H928">
        <v>0</v>
      </c>
      <c r="I928" t="s">
        <v>128</v>
      </c>
    </row>
    <row r="929" spans="1:9" hidden="1" x14ac:dyDescent="0.35">
      <c r="A929" t="s">
        <v>11</v>
      </c>
      <c r="B929">
        <v>2040</v>
      </c>
      <c r="C929" t="s">
        <v>127</v>
      </c>
      <c r="D929" t="s">
        <v>48</v>
      </c>
      <c r="E929">
        <v>79.925234108688201</v>
      </c>
      <c r="F929">
        <v>79.925234108688201</v>
      </c>
      <c r="G929">
        <v>0</v>
      </c>
      <c r="H929">
        <v>0</v>
      </c>
      <c r="I929" t="s">
        <v>128</v>
      </c>
    </row>
    <row r="930" spans="1:9" hidden="1" x14ac:dyDescent="0.35">
      <c r="A930" t="s">
        <v>11</v>
      </c>
      <c r="B930">
        <v>2040</v>
      </c>
      <c r="C930" t="s">
        <v>127</v>
      </c>
      <c r="D930" t="s">
        <v>49</v>
      </c>
      <c r="E930">
        <v>0.59103464507821701</v>
      </c>
      <c r="F930">
        <v>0.59089146774589096</v>
      </c>
      <c r="G930">
        <v>-1.4317733232538301E-4</v>
      </c>
      <c r="H930">
        <v>-2.4224862876935999E-2</v>
      </c>
      <c r="I930" t="s">
        <v>128</v>
      </c>
    </row>
    <row r="931" spans="1:9" hidden="1" x14ac:dyDescent="0.35">
      <c r="A931" t="s">
        <v>11</v>
      </c>
      <c r="B931">
        <v>2040</v>
      </c>
      <c r="C931" t="s">
        <v>127</v>
      </c>
      <c r="D931" t="s">
        <v>50</v>
      </c>
      <c r="E931">
        <v>0.54428526412531697</v>
      </c>
      <c r="F931">
        <v>0.54428526412531697</v>
      </c>
      <c r="G931">
        <v>0</v>
      </c>
      <c r="H931">
        <v>0</v>
      </c>
      <c r="I931" t="s">
        <v>128</v>
      </c>
    </row>
    <row r="932" spans="1:9" hidden="1" x14ac:dyDescent="0.35">
      <c r="A932" t="s">
        <v>11</v>
      </c>
      <c r="B932">
        <v>2040</v>
      </c>
      <c r="C932" t="s">
        <v>127</v>
      </c>
      <c r="D932" t="s">
        <v>51</v>
      </c>
      <c r="E932">
        <v>1.5981270768512801</v>
      </c>
      <c r="F932">
        <v>1.5981270768512801</v>
      </c>
      <c r="G932">
        <v>0</v>
      </c>
      <c r="H932">
        <v>0</v>
      </c>
      <c r="I932" t="s">
        <v>128</v>
      </c>
    </row>
    <row r="933" spans="1:9" hidden="1" x14ac:dyDescent="0.35">
      <c r="A933" t="s">
        <v>11</v>
      </c>
      <c r="B933">
        <v>2040</v>
      </c>
      <c r="C933" t="s">
        <v>127</v>
      </c>
      <c r="D933" t="s">
        <v>52</v>
      </c>
      <c r="E933">
        <v>1.18173974979796</v>
      </c>
      <c r="F933">
        <v>1.18173974979796</v>
      </c>
      <c r="G933">
        <v>0</v>
      </c>
      <c r="H933">
        <v>0</v>
      </c>
      <c r="I933" t="s">
        <v>128</v>
      </c>
    </row>
    <row r="934" spans="1:9" hidden="1" x14ac:dyDescent="0.35">
      <c r="A934" t="s">
        <v>11</v>
      </c>
      <c r="B934">
        <v>2040</v>
      </c>
      <c r="C934" t="s">
        <v>127</v>
      </c>
      <c r="D934" t="s">
        <v>53</v>
      </c>
      <c r="E934">
        <v>8.8893096767858193</v>
      </c>
      <c r="F934">
        <v>8.8893096767858193</v>
      </c>
      <c r="G934">
        <v>0</v>
      </c>
      <c r="H934">
        <v>0</v>
      </c>
      <c r="I934" t="s">
        <v>128</v>
      </c>
    </row>
    <row r="935" spans="1:9" hidden="1" x14ac:dyDescent="0.35">
      <c r="A935" t="s">
        <v>11</v>
      </c>
      <c r="B935">
        <v>2040</v>
      </c>
      <c r="C935" t="s">
        <v>127</v>
      </c>
      <c r="D935" t="s">
        <v>54</v>
      </c>
      <c r="E935">
        <v>14.2506905741091</v>
      </c>
      <c r="F935">
        <v>14.2448321606941</v>
      </c>
      <c r="G935">
        <v>-5.8584134149999301E-3</v>
      </c>
      <c r="H935">
        <v>-4.1109680857456699E-2</v>
      </c>
      <c r="I935" t="s">
        <v>128</v>
      </c>
    </row>
    <row r="936" spans="1:9" hidden="1" x14ac:dyDescent="0.35">
      <c r="A936" t="s">
        <v>11</v>
      </c>
      <c r="B936">
        <v>2040</v>
      </c>
      <c r="C936" t="s">
        <v>127</v>
      </c>
      <c r="D936" t="s">
        <v>55</v>
      </c>
      <c r="E936">
        <v>12.342208784052399</v>
      </c>
      <c r="F936">
        <v>12.3412252225017</v>
      </c>
      <c r="G936">
        <v>-9.8356155070611307E-4</v>
      </c>
      <c r="H936">
        <v>-7.9690885798090697E-3</v>
      </c>
      <c r="I936" t="s">
        <v>128</v>
      </c>
    </row>
    <row r="937" spans="1:9" hidden="1" x14ac:dyDescent="0.35">
      <c r="A937" t="s">
        <v>11</v>
      </c>
      <c r="B937">
        <v>2040</v>
      </c>
      <c r="C937" t="s">
        <v>127</v>
      </c>
      <c r="D937" t="s">
        <v>56</v>
      </c>
      <c r="E937" s="1">
        <v>2.50097489306808E-6</v>
      </c>
      <c r="F937" s="1">
        <v>2.50097489306808E-6</v>
      </c>
      <c r="G937">
        <v>0</v>
      </c>
      <c r="H937">
        <v>0</v>
      </c>
      <c r="I937" t="s">
        <v>128</v>
      </c>
    </row>
    <row r="938" spans="1:9" hidden="1" x14ac:dyDescent="0.35">
      <c r="A938" t="s">
        <v>5</v>
      </c>
      <c r="B938">
        <v>2025</v>
      </c>
      <c r="C938" t="s">
        <v>74</v>
      </c>
      <c r="D938" t="s">
        <v>38</v>
      </c>
      <c r="E938" s="1">
        <v>2.24395237981738E-5</v>
      </c>
      <c r="F938" s="1">
        <v>2.24395237981738E-5</v>
      </c>
      <c r="G938">
        <v>0</v>
      </c>
      <c r="H938">
        <v>0</v>
      </c>
      <c r="I938" t="s">
        <v>75</v>
      </c>
    </row>
    <row r="939" spans="1:9" hidden="1" x14ac:dyDescent="0.35">
      <c r="A939" t="s">
        <v>5</v>
      </c>
      <c r="B939">
        <v>2025</v>
      </c>
      <c r="C939" t="s">
        <v>74</v>
      </c>
      <c r="D939" t="s">
        <v>40</v>
      </c>
      <c r="E939">
        <v>1.4074832333609301E-4</v>
      </c>
      <c r="F939">
        <v>1.4074832333609301E-4</v>
      </c>
      <c r="G939">
        <v>0</v>
      </c>
      <c r="H939">
        <v>0</v>
      </c>
      <c r="I939" t="s">
        <v>75</v>
      </c>
    </row>
    <row r="940" spans="1:9" hidden="1" x14ac:dyDescent="0.35">
      <c r="A940" t="s">
        <v>5</v>
      </c>
      <c r="B940">
        <v>2025</v>
      </c>
      <c r="C940" t="s">
        <v>74</v>
      </c>
      <c r="D940" t="s">
        <v>41</v>
      </c>
      <c r="E940">
        <v>1.55381872255785E-4</v>
      </c>
      <c r="F940">
        <v>1.55381872255785E-4</v>
      </c>
      <c r="G940">
        <v>0</v>
      </c>
      <c r="H940">
        <v>0</v>
      </c>
      <c r="I940" t="s">
        <v>75</v>
      </c>
    </row>
    <row r="941" spans="1:9" hidden="1" x14ac:dyDescent="0.35">
      <c r="A941" t="s">
        <v>5</v>
      </c>
      <c r="B941">
        <v>2025</v>
      </c>
      <c r="C941" t="s">
        <v>74</v>
      </c>
      <c r="D941" t="s">
        <v>42</v>
      </c>
      <c r="E941">
        <v>2.74733910257768E-3</v>
      </c>
      <c r="F941">
        <v>2.74733910257768E-3</v>
      </c>
      <c r="G941">
        <v>0</v>
      </c>
      <c r="H941">
        <v>0</v>
      </c>
      <c r="I941" t="s">
        <v>75</v>
      </c>
    </row>
    <row r="942" spans="1:9" hidden="1" x14ac:dyDescent="0.35">
      <c r="A942" t="s">
        <v>5</v>
      </c>
      <c r="B942">
        <v>2025</v>
      </c>
      <c r="C942" t="s">
        <v>74</v>
      </c>
      <c r="D942" t="s">
        <v>43</v>
      </c>
      <c r="E942" s="1">
        <v>5.6688891313639299E-5</v>
      </c>
      <c r="F942" s="1">
        <v>5.6688891313639299E-5</v>
      </c>
      <c r="G942">
        <v>0</v>
      </c>
      <c r="H942">
        <v>0</v>
      </c>
      <c r="I942" t="s">
        <v>75</v>
      </c>
    </row>
    <row r="943" spans="1:9" hidden="1" x14ac:dyDescent="0.35">
      <c r="A943" t="s">
        <v>5</v>
      </c>
      <c r="B943">
        <v>2025</v>
      </c>
      <c r="C943" t="s">
        <v>74</v>
      </c>
      <c r="D943" t="s">
        <v>136</v>
      </c>
      <c r="E943">
        <v>1.4998928087319801E-2</v>
      </c>
      <c r="F943">
        <v>1.4998928087319801E-2</v>
      </c>
      <c r="G943">
        <v>0</v>
      </c>
      <c r="H943">
        <v>0</v>
      </c>
      <c r="I943" t="s">
        <v>75</v>
      </c>
    </row>
    <row r="944" spans="1:9" hidden="1" x14ac:dyDescent="0.35">
      <c r="A944" t="s">
        <v>5</v>
      </c>
      <c r="B944">
        <v>2025</v>
      </c>
      <c r="C944" t="s">
        <v>74</v>
      </c>
      <c r="D944" t="s">
        <v>45</v>
      </c>
      <c r="E944" s="1">
        <v>5.4129148836092E-5</v>
      </c>
      <c r="F944" s="1">
        <v>5.4129148836092E-5</v>
      </c>
      <c r="G944">
        <v>0</v>
      </c>
      <c r="H944">
        <v>0</v>
      </c>
      <c r="I944" t="s">
        <v>75</v>
      </c>
    </row>
    <row r="945" spans="1:9" hidden="1" x14ac:dyDescent="0.35">
      <c r="A945" t="s">
        <v>5</v>
      </c>
      <c r="B945">
        <v>2025</v>
      </c>
      <c r="C945" t="s">
        <v>74</v>
      </c>
      <c r="D945" t="s">
        <v>46</v>
      </c>
      <c r="E945">
        <v>1.2696289445842299E-3</v>
      </c>
      <c r="F945">
        <v>1.2696289445842299E-3</v>
      </c>
      <c r="G945">
        <v>0</v>
      </c>
      <c r="H945">
        <v>0</v>
      </c>
      <c r="I945" t="s">
        <v>75</v>
      </c>
    </row>
    <row r="946" spans="1:9" hidden="1" x14ac:dyDescent="0.35">
      <c r="A946" t="s">
        <v>5</v>
      </c>
      <c r="B946">
        <v>2025</v>
      </c>
      <c r="C946" t="s">
        <v>74</v>
      </c>
      <c r="D946" t="s">
        <v>47</v>
      </c>
      <c r="E946" s="1">
        <v>3.14457671078956E-6</v>
      </c>
      <c r="F946" s="1">
        <v>3.14457671078956E-6</v>
      </c>
      <c r="G946">
        <v>0</v>
      </c>
      <c r="H946">
        <v>0</v>
      </c>
      <c r="I946" t="s">
        <v>75</v>
      </c>
    </row>
    <row r="947" spans="1:9" hidden="1" x14ac:dyDescent="0.35">
      <c r="A947" t="s">
        <v>5</v>
      </c>
      <c r="B947">
        <v>2025</v>
      </c>
      <c r="C947" t="s">
        <v>74</v>
      </c>
      <c r="D947" t="s">
        <v>48</v>
      </c>
      <c r="E947">
        <v>5.5405885612348001E-4</v>
      </c>
      <c r="F947">
        <v>5.5405885612348001E-4</v>
      </c>
      <c r="G947">
        <v>0</v>
      </c>
      <c r="H947">
        <v>0</v>
      </c>
      <c r="I947" t="s">
        <v>75</v>
      </c>
    </row>
    <row r="948" spans="1:9" hidden="1" x14ac:dyDescent="0.35">
      <c r="A948" t="s">
        <v>5</v>
      </c>
      <c r="B948">
        <v>2025</v>
      </c>
      <c r="C948" t="s">
        <v>74</v>
      </c>
      <c r="D948" t="s">
        <v>49</v>
      </c>
      <c r="E948">
        <v>1.02230429509047E-4</v>
      </c>
      <c r="F948">
        <v>1.02230429509047E-4</v>
      </c>
      <c r="G948">
        <v>0</v>
      </c>
      <c r="H948">
        <v>0</v>
      </c>
      <c r="I948" t="s">
        <v>75</v>
      </c>
    </row>
    <row r="949" spans="1:9" hidden="1" x14ac:dyDescent="0.35">
      <c r="A949" t="s">
        <v>5</v>
      </c>
      <c r="B949">
        <v>2025</v>
      </c>
      <c r="C949" t="s">
        <v>74</v>
      </c>
      <c r="D949" t="s">
        <v>50</v>
      </c>
      <c r="E949">
        <v>1.03088547613341E-4</v>
      </c>
      <c r="F949">
        <v>1.03088547613341E-4</v>
      </c>
      <c r="G949">
        <v>0</v>
      </c>
      <c r="H949">
        <v>0</v>
      </c>
      <c r="I949" t="s">
        <v>75</v>
      </c>
    </row>
    <row r="950" spans="1:9" hidden="1" x14ac:dyDescent="0.35">
      <c r="A950" t="s">
        <v>5</v>
      </c>
      <c r="B950">
        <v>2025</v>
      </c>
      <c r="C950" t="s">
        <v>74</v>
      </c>
      <c r="D950" t="s">
        <v>51</v>
      </c>
      <c r="E950">
        <v>1.7181886307368398E-2</v>
      </c>
      <c r="F950">
        <v>1.7181886307368398E-2</v>
      </c>
      <c r="G950">
        <v>0</v>
      </c>
      <c r="H950">
        <v>0</v>
      </c>
      <c r="I950" t="s">
        <v>75</v>
      </c>
    </row>
    <row r="951" spans="1:9" hidden="1" x14ac:dyDescent="0.35">
      <c r="A951" t="s">
        <v>5</v>
      </c>
      <c r="B951">
        <v>2025</v>
      </c>
      <c r="C951" t="s">
        <v>74</v>
      </c>
      <c r="D951" t="s">
        <v>52</v>
      </c>
      <c r="E951">
        <v>1.37286160442611E-3</v>
      </c>
      <c r="F951">
        <v>1.37286160442611E-3</v>
      </c>
      <c r="G951">
        <v>0</v>
      </c>
      <c r="H951">
        <v>0</v>
      </c>
      <c r="I951" t="s">
        <v>75</v>
      </c>
    </row>
    <row r="952" spans="1:9" hidden="1" x14ac:dyDescent="0.35">
      <c r="A952" t="s">
        <v>5</v>
      </c>
      <c r="B952">
        <v>2025</v>
      </c>
      <c r="C952" t="s">
        <v>74</v>
      </c>
      <c r="D952" t="s">
        <v>53</v>
      </c>
      <c r="E952">
        <v>4.8221725781624498E-3</v>
      </c>
      <c r="F952">
        <v>4.8221725781624498E-3</v>
      </c>
      <c r="G952">
        <v>0</v>
      </c>
      <c r="H952">
        <v>0</v>
      </c>
      <c r="I952" t="s">
        <v>75</v>
      </c>
    </row>
    <row r="953" spans="1:9" hidden="1" x14ac:dyDescent="0.35">
      <c r="A953" t="s">
        <v>5</v>
      </c>
      <c r="B953">
        <v>2025</v>
      </c>
      <c r="C953" t="s">
        <v>74</v>
      </c>
      <c r="D953" t="s">
        <v>54</v>
      </c>
      <c r="E953">
        <v>2.5574245115206199E-4</v>
      </c>
      <c r="F953">
        <v>2.5574245115206199E-4</v>
      </c>
      <c r="G953">
        <v>0</v>
      </c>
      <c r="H953">
        <v>0</v>
      </c>
      <c r="I953" t="s">
        <v>75</v>
      </c>
    </row>
    <row r="954" spans="1:9" hidden="1" x14ac:dyDescent="0.35">
      <c r="A954" t="s">
        <v>5</v>
      </c>
      <c r="B954">
        <v>2025</v>
      </c>
      <c r="C954" t="s">
        <v>74</v>
      </c>
      <c r="D954" t="s">
        <v>55</v>
      </c>
      <c r="E954">
        <v>2.26050749666467E-4</v>
      </c>
      <c r="F954">
        <v>2.26050749666467E-4</v>
      </c>
      <c r="G954">
        <v>0</v>
      </c>
      <c r="H954">
        <v>0</v>
      </c>
      <c r="I954" t="s">
        <v>75</v>
      </c>
    </row>
    <row r="955" spans="1:9" hidden="1" x14ac:dyDescent="0.35">
      <c r="A955" t="s">
        <v>5</v>
      </c>
      <c r="B955">
        <v>2025</v>
      </c>
      <c r="C955" t="s">
        <v>74</v>
      </c>
      <c r="D955" t="s">
        <v>56</v>
      </c>
      <c r="E955" s="1">
        <v>1.7661814089826E-9</v>
      </c>
      <c r="F955" s="1">
        <v>1.7661814089826E-9</v>
      </c>
      <c r="G955">
        <v>0</v>
      </c>
      <c r="H955">
        <v>0</v>
      </c>
      <c r="I955" t="s">
        <v>75</v>
      </c>
    </row>
    <row r="956" spans="1:9" hidden="1" x14ac:dyDescent="0.35">
      <c r="A956" t="s">
        <v>7</v>
      </c>
      <c r="B956">
        <v>2030</v>
      </c>
      <c r="C956" t="s">
        <v>74</v>
      </c>
      <c r="D956" t="s">
        <v>38</v>
      </c>
      <c r="E956" s="1">
        <v>2.9602537329977701E-5</v>
      </c>
      <c r="F956" s="1">
        <v>2.9602537329977701E-5</v>
      </c>
      <c r="G956">
        <v>0</v>
      </c>
      <c r="H956">
        <v>0</v>
      </c>
      <c r="I956" t="s">
        <v>75</v>
      </c>
    </row>
    <row r="957" spans="1:9" hidden="1" x14ac:dyDescent="0.35">
      <c r="A957" t="s">
        <v>7</v>
      </c>
      <c r="B957">
        <v>2030</v>
      </c>
      <c r="C957" t="s">
        <v>74</v>
      </c>
      <c r="D957" t="s">
        <v>40</v>
      </c>
      <c r="E957">
        <v>1.4053845714547E-4</v>
      </c>
      <c r="F957">
        <v>1.4053845714547E-4</v>
      </c>
      <c r="G957">
        <v>0</v>
      </c>
      <c r="H957">
        <v>0</v>
      </c>
      <c r="I957" t="s">
        <v>75</v>
      </c>
    </row>
    <row r="958" spans="1:9" hidden="1" x14ac:dyDescent="0.35">
      <c r="A958" t="s">
        <v>7</v>
      </c>
      <c r="B958">
        <v>2030</v>
      </c>
      <c r="C958" t="s">
        <v>74</v>
      </c>
      <c r="D958" t="s">
        <v>41</v>
      </c>
      <c r="E958">
        <v>1.53906302051338E-4</v>
      </c>
      <c r="F958">
        <v>1.53906302051338E-4</v>
      </c>
      <c r="G958">
        <v>0</v>
      </c>
      <c r="H958">
        <v>0</v>
      </c>
      <c r="I958" t="s">
        <v>75</v>
      </c>
    </row>
    <row r="959" spans="1:9" hidden="1" x14ac:dyDescent="0.35">
      <c r="A959" t="s">
        <v>7</v>
      </c>
      <c r="B959">
        <v>2030</v>
      </c>
      <c r="C959" t="s">
        <v>74</v>
      </c>
      <c r="D959" t="s">
        <v>42</v>
      </c>
      <c r="E959">
        <v>2.7163587441937898E-3</v>
      </c>
      <c r="F959">
        <v>2.7163587441937898E-3</v>
      </c>
      <c r="G959">
        <v>0</v>
      </c>
      <c r="H959">
        <v>0</v>
      </c>
      <c r="I959" t="s">
        <v>75</v>
      </c>
    </row>
    <row r="960" spans="1:9" hidden="1" x14ac:dyDescent="0.35">
      <c r="A960" t="s">
        <v>7</v>
      </c>
      <c r="B960">
        <v>2030</v>
      </c>
      <c r="C960" t="s">
        <v>74</v>
      </c>
      <c r="D960" t="s">
        <v>43</v>
      </c>
      <c r="E960" s="1">
        <v>5.6518355610743499E-5</v>
      </c>
      <c r="F960" s="1">
        <v>5.6518355610743499E-5</v>
      </c>
      <c r="G960">
        <v>0</v>
      </c>
      <c r="H960">
        <v>0</v>
      </c>
      <c r="I960" t="s">
        <v>75</v>
      </c>
    </row>
    <row r="961" spans="1:9" hidden="1" x14ac:dyDescent="0.35">
      <c r="A961" t="s">
        <v>7</v>
      </c>
      <c r="B961">
        <v>2030</v>
      </c>
      <c r="C961" t="s">
        <v>74</v>
      </c>
      <c r="D961" t="s">
        <v>136</v>
      </c>
      <c r="E961">
        <v>1.44807249171256E-2</v>
      </c>
      <c r="F961">
        <v>1.44807249171256E-2</v>
      </c>
      <c r="G961">
        <v>0</v>
      </c>
      <c r="H961">
        <v>0</v>
      </c>
      <c r="I961" t="s">
        <v>75</v>
      </c>
    </row>
    <row r="962" spans="1:9" hidden="1" x14ac:dyDescent="0.35">
      <c r="A962" t="s">
        <v>7</v>
      </c>
      <c r="B962">
        <v>2030</v>
      </c>
      <c r="C962" t="s">
        <v>74</v>
      </c>
      <c r="D962" t="s">
        <v>45</v>
      </c>
      <c r="E962" s="1">
        <v>5.1730138349559301E-5</v>
      </c>
      <c r="F962" s="1">
        <v>5.1730138349559301E-5</v>
      </c>
      <c r="G962">
        <v>0</v>
      </c>
      <c r="H962">
        <v>0</v>
      </c>
      <c r="I962" t="s">
        <v>75</v>
      </c>
    </row>
    <row r="963" spans="1:9" hidden="1" x14ac:dyDescent="0.35">
      <c r="A963" t="s">
        <v>7</v>
      </c>
      <c r="B963">
        <v>2030</v>
      </c>
      <c r="C963" t="s">
        <v>74</v>
      </c>
      <c r="D963" t="s">
        <v>46</v>
      </c>
      <c r="E963">
        <v>1.8710341620455399E-3</v>
      </c>
      <c r="F963">
        <v>1.8710341620455399E-3</v>
      </c>
      <c r="G963">
        <v>0</v>
      </c>
      <c r="H963">
        <v>0</v>
      </c>
      <c r="I963" t="s">
        <v>75</v>
      </c>
    </row>
    <row r="964" spans="1:9" hidden="1" x14ac:dyDescent="0.35">
      <c r="A964" t="s">
        <v>7</v>
      </c>
      <c r="B964">
        <v>2030</v>
      </c>
      <c r="C964" t="s">
        <v>74</v>
      </c>
      <c r="D964" t="s">
        <v>47</v>
      </c>
      <c r="E964" s="1">
        <v>3.09413677595053E-6</v>
      </c>
      <c r="F964" s="1">
        <v>3.09413677595053E-6</v>
      </c>
      <c r="G964">
        <v>0</v>
      </c>
      <c r="H964">
        <v>0</v>
      </c>
      <c r="I964" t="s">
        <v>75</v>
      </c>
    </row>
    <row r="965" spans="1:9" hidden="1" x14ac:dyDescent="0.35">
      <c r="A965" t="s">
        <v>7</v>
      </c>
      <c r="B965">
        <v>2030</v>
      </c>
      <c r="C965" t="s">
        <v>74</v>
      </c>
      <c r="D965" t="s">
        <v>48</v>
      </c>
      <c r="E965">
        <v>5.7056092560260098E-4</v>
      </c>
      <c r="F965">
        <v>5.7056092560260098E-4</v>
      </c>
      <c r="G965">
        <v>0</v>
      </c>
      <c r="H965">
        <v>0</v>
      </c>
      <c r="I965" t="s">
        <v>75</v>
      </c>
    </row>
    <row r="966" spans="1:9" hidden="1" x14ac:dyDescent="0.35">
      <c r="A966" t="s">
        <v>7</v>
      </c>
      <c r="B966">
        <v>2030</v>
      </c>
      <c r="C966" t="s">
        <v>74</v>
      </c>
      <c r="D966" t="s">
        <v>49</v>
      </c>
      <c r="E966" s="1">
        <v>9.9707343263960902E-5</v>
      </c>
      <c r="F966" s="1">
        <v>9.9707343263960902E-5</v>
      </c>
      <c r="G966">
        <v>0</v>
      </c>
      <c r="H966">
        <v>0</v>
      </c>
      <c r="I966" t="s">
        <v>75</v>
      </c>
    </row>
    <row r="967" spans="1:9" hidden="1" x14ac:dyDescent="0.35">
      <c r="A967" t="s">
        <v>7</v>
      </c>
      <c r="B967">
        <v>2030</v>
      </c>
      <c r="C967" t="s">
        <v>74</v>
      </c>
      <c r="D967" t="s">
        <v>50</v>
      </c>
      <c r="E967">
        <v>1.01287734731706E-4</v>
      </c>
      <c r="F967">
        <v>1.01287734731706E-4</v>
      </c>
      <c r="G967">
        <v>0</v>
      </c>
      <c r="H967">
        <v>0</v>
      </c>
      <c r="I967" t="s">
        <v>75</v>
      </c>
    </row>
    <row r="968" spans="1:9" hidden="1" x14ac:dyDescent="0.35">
      <c r="A968" t="s">
        <v>7</v>
      </c>
      <c r="B968">
        <v>2030</v>
      </c>
      <c r="C968" t="s">
        <v>74</v>
      </c>
      <c r="D968" t="s">
        <v>51</v>
      </c>
      <c r="E968">
        <v>1.7201777123901699E-2</v>
      </c>
      <c r="F968">
        <v>1.7201777123901699E-2</v>
      </c>
      <c r="G968">
        <v>0</v>
      </c>
      <c r="H968">
        <v>0</v>
      </c>
      <c r="I968" t="s">
        <v>75</v>
      </c>
    </row>
    <row r="969" spans="1:9" hidden="1" x14ac:dyDescent="0.35">
      <c r="A969" t="s">
        <v>7</v>
      </c>
      <c r="B969">
        <v>2030</v>
      </c>
      <c r="C969" t="s">
        <v>74</v>
      </c>
      <c r="D969" t="s">
        <v>52</v>
      </c>
      <c r="E969">
        <v>1.2287465698353501E-3</v>
      </c>
      <c r="F969">
        <v>1.2287465698353501E-3</v>
      </c>
      <c r="G969">
        <v>0</v>
      </c>
      <c r="H969">
        <v>0</v>
      </c>
      <c r="I969" t="s">
        <v>75</v>
      </c>
    </row>
    <row r="970" spans="1:9" hidden="1" x14ac:dyDescent="0.35">
      <c r="A970" t="s">
        <v>7</v>
      </c>
      <c r="B970">
        <v>2030</v>
      </c>
      <c r="C970" t="s">
        <v>74</v>
      </c>
      <c r="D970" t="s">
        <v>53</v>
      </c>
      <c r="E970">
        <v>4.65675256468682E-3</v>
      </c>
      <c r="F970">
        <v>4.65675256468682E-3</v>
      </c>
      <c r="G970">
        <v>0</v>
      </c>
      <c r="H970">
        <v>0</v>
      </c>
      <c r="I970" t="s">
        <v>75</v>
      </c>
    </row>
    <row r="971" spans="1:9" hidden="1" x14ac:dyDescent="0.35">
      <c r="A971" t="s">
        <v>7</v>
      </c>
      <c r="B971">
        <v>2030</v>
      </c>
      <c r="C971" t="s">
        <v>74</v>
      </c>
      <c r="D971" t="s">
        <v>54</v>
      </c>
      <c r="E971">
        <v>2.6750035953852699E-4</v>
      </c>
      <c r="F971">
        <v>2.6750035953852699E-4</v>
      </c>
      <c r="G971">
        <v>0</v>
      </c>
      <c r="H971">
        <v>0</v>
      </c>
      <c r="I971" t="s">
        <v>75</v>
      </c>
    </row>
    <row r="972" spans="1:9" hidden="1" x14ac:dyDescent="0.35">
      <c r="A972" t="s">
        <v>7</v>
      </c>
      <c r="B972">
        <v>2030</v>
      </c>
      <c r="C972" t="s">
        <v>74</v>
      </c>
      <c r="D972" t="s">
        <v>55</v>
      </c>
      <c r="E972">
        <v>2.3552141458431399E-4</v>
      </c>
      <c r="F972">
        <v>2.3552141458431399E-4</v>
      </c>
      <c r="G972">
        <v>0</v>
      </c>
      <c r="H972">
        <v>0</v>
      </c>
      <c r="I972" t="s">
        <v>75</v>
      </c>
    </row>
    <row r="973" spans="1:9" hidden="1" x14ac:dyDescent="0.35">
      <c r="A973" t="s">
        <v>7</v>
      </c>
      <c r="B973">
        <v>2030</v>
      </c>
      <c r="C973" t="s">
        <v>74</v>
      </c>
      <c r="D973" t="s">
        <v>56</v>
      </c>
      <c r="E973" s="1">
        <v>1.6625464412411E-9</v>
      </c>
      <c r="F973" s="1">
        <v>1.6625464412411E-9</v>
      </c>
      <c r="G973">
        <v>0</v>
      </c>
      <c r="H973">
        <v>0</v>
      </c>
      <c r="I973" t="s">
        <v>75</v>
      </c>
    </row>
    <row r="974" spans="1:9" hidden="1" x14ac:dyDescent="0.35">
      <c r="A974" t="s">
        <v>9</v>
      </c>
      <c r="B974">
        <v>2035</v>
      </c>
      <c r="C974" t="s">
        <v>74</v>
      </c>
      <c r="D974" t="s">
        <v>38</v>
      </c>
      <c r="E974" s="1">
        <v>3.36025223845084E-5</v>
      </c>
      <c r="F974" s="1">
        <v>3.36025223845084E-5</v>
      </c>
      <c r="G974">
        <v>0</v>
      </c>
      <c r="H974">
        <v>0</v>
      </c>
      <c r="I974" t="s">
        <v>75</v>
      </c>
    </row>
    <row r="975" spans="1:9" hidden="1" x14ac:dyDescent="0.35">
      <c r="A975" t="s">
        <v>9</v>
      </c>
      <c r="B975">
        <v>2035</v>
      </c>
      <c r="C975" t="s">
        <v>74</v>
      </c>
      <c r="D975" t="s">
        <v>40</v>
      </c>
      <c r="E975">
        <v>1.4028729731263499E-4</v>
      </c>
      <c r="F975">
        <v>1.4028729731263499E-4</v>
      </c>
      <c r="G975">
        <v>0</v>
      </c>
      <c r="H975">
        <v>0</v>
      </c>
      <c r="I975" t="s">
        <v>75</v>
      </c>
    </row>
    <row r="976" spans="1:9" hidden="1" x14ac:dyDescent="0.35">
      <c r="A976" t="s">
        <v>9</v>
      </c>
      <c r="B976">
        <v>2035</v>
      </c>
      <c r="C976" t="s">
        <v>74</v>
      </c>
      <c r="D976" t="s">
        <v>41</v>
      </c>
      <c r="E976">
        <v>1.5265124128410599E-4</v>
      </c>
      <c r="F976">
        <v>1.5265124128410599E-4</v>
      </c>
      <c r="G976">
        <v>0</v>
      </c>
      <c r="H976">
        <v>0</v>
      </c>
      <c r="I976" t="s">
        <v>75</v>
      </c>
    </row>
    <row r="977" spans="1:9" hidden="1" x14ac:dyDescent="0.35">
      <c r="A977" t="s">
        <v>9</v>
      </c>
      <c r="B977">
        <v>2035</v>
      </c>
      <c r="C977" t="s">
        <v>74</v>
      </c>
      <c r="D977" t="s">
        <v>42</v>
      </c>
      <c r="E977">
        <v>2.7610301608060302E-3</v>
      </c>
      <c r="F977">
        <v>2.7610301608060302E-3</v>
      </c>
      <c r="G977">
        <v>0</v>
      </c>
      <c r="H977">
        <v>0</v>
      </c>
      <c r="I977" t="s">
        <v>75</v>
      </c>
    </row>
    <row r="978" spans="1:9" hidden="1" x14ac:dyDescent="0.35">
      <c r="A978" t="s">
        <v>9</v>
      </c>
      <c r="B978">
        <v>2035</v>
      </c>
      <c r="C978" t="s">
        <v>74</v>
      </c>
      <c r="D978" t="s">
        <v>43</v>
      </c>
      <c r="E978" s="1">
        <v>5.6038963762541501E-5</v>
      </c>
      <c r="F978" s="1">
        <v>5.6038963762541501E-5</v>
      </c>
      <c r="G978">
        <v>0</v>
      </c>
      <c r="H978">
        <v>0</v>
      </c>
      <c r="I978" t="s">
        <v>75</v>
      </c>
    </row>
    <row r="979" spans="1:9" hidden="1" x14ac:dyDescent="0.35">
      <c r="A979" t="s">
        <v>9</v>
      </c>
      <c r="B979">
        <v>2035</v>
      </c>
      <c r="C979" t="s">
        <v>74</v>
      </c>
      <c r="D979" t="s">
        <v>136</v>
      </c>
      <c r="E979">
        <v>1.38716138685522E-2</v>
      </c>
      <c r="F979">
        <v>1.38716138685522E-2</v>
      </c>
      <c r="G979">
        <v>0</v>
      </c>
      <c r="H979">
        <v>0</v>
      </c>
      <c r="I979" t="s">
        <v>75</v>
      </c>
    </row>
    <row r="980" spans="1:9" hidden="1" x14ac:dyDescent="0.35">
      <c r="A980" t="s">
        <v>9</v>
      </c>
      <c r="B980">
        <v>2035</v>
      </c>
      <c r="C980" t="s">
        <v>74</v>
      </c>
      <c r="D980" t="s">
        <v>45</v>
      </c>
      <c r="E980" s="1">
        <v>4.9997289809767001E-5</v>
      </c>
      <c r="F980" s="1">
        <v>4.9997289809767001E-5</v>
      </c>
      <c r="G980">
        <v>0</v>
      </c>
      <c r="H980">
        <v>0</v>
      </c>
      <c r="I980" t="s">
        <v>75</v>
      </c>
    </row>
    <row r="981" spans="1:9" hidden="1" x14ac:dyDescent="0.35">
      <c r="A981" t="s">
        <v>9</v>
      </c>
      <c r="B981">
        <v>2035</v>
      </c>
      <c r="C981" t="s">
        <v>74</v>
      </c>
      <c r="D981" t="s">
        <v>46</v>
      </c>
      <c r="E981">
        <v>3.28007369800015E-3</v>
      </c>
      <c r="F981">
        <v>3.28007369800015E-3</v>
      </c>
      <c r="G981">
        <v>0</v>
      </c>
      <c r="H981">
        <v>0</v>
      </c>
      <c r="I981" t="s">
        <v>75</v>
      </c>
    </row>
    <row r="982" spans="1:9" hidden="1" x14ac:dyDescent="0.35">
      <c r="A982" t="s">
        <v>9</v>
      </c>
      <c r="B982">
        <v>2035</v>
      </c>
      <c r="C982" t="s">
        <v>74</v>
      </c>
      <c r="D982" t="s">
        <v>47</v>
      </c>
      <c r="E982" s="1">
        <v>3.1481597919686399E-6</v>
      </c>
      <c r="F982" s="1">
        <v>3.1481597919686399E-6</v>
      </c>
      <c r="G982">
        <v>0</v>
      </c>
      <c r="H982">
        <v>0</v>
      </c>
      <c r="I982" t="s">
        <v>75</v>
      </c>
    </row>
    <row r="983" spans="1:9" hidden="1" x14ac:dyDescent="0.35">
      <c r="A983" t="s">
        <v>9</v>
      </c>
      <c r="B983">
        <v>2035</v>
      </c>
      <c r="C983" t="s">
        <v>74</v>
      </c>
      <c r="D983" t="s">
        <v>48</v>
      </c>
      <c r="E983">
        <v>5.8840227871729297E-4</v>
      </c>
      <c r="F983">
        <v>5.8840227871729297E-4</v>
      </c>
      <c r="G983">
        <v>0</v>
      </c>
      <c r="H983">
        <v>0</v>
      </c>
      <c r="I983" t="s">
        <v>75</v>
      </c>
    </row>
    <row r="984" spans="1:9" hidden="1" x14ac:dyDescent="0.35">
      <c r="A984" t="s">
        <v>9</v>
      </c>
      <c r="B984">
        <v>2035</v>
      </c>
      <c r="C984" t="s">
        <v>74</v>
      </c>
      <c r="D984" t="s">
        <v>49</v>
      </c>
      <c r="E984" s="1">
        <v>9.7315249469890098E-5</v>
      </c>
      <c r="F984" s="1">
        <v>9.7315249469890098E-5</v>
      </c>
      <c r="G984">
        <v>0</v>
      </c>
      <c r="H984">
        <v>0</v>
      </c>
      <c r="I984" t="s">
        <v>75</v>
      </c>
    </row>
    <row r="985" spans="1:9" hidden="1" x14ac:dyDescent="0.35">
      <c r="A985" t="s">
        <v>9</v>
      </c>
      <c r="B985">
        <v>2035</v>
      </c>
      <c r="C985" t="s">
        <v>74</v>
      </c>
      <c r="D985" t="s">
        <v>50</v>
      </c>
      <c r="E985" s="1">
        <v>9.4275271489741307E-5</v>
      </c>
      <c r="F985" s="1">
        <v>9.4275271489741307E-5</v>
      </c>
      <c r="G985">
        <v>0</v>
      </c>
      <c r="H985">
        <v>0</v>
      </c>
      <c r="I985" t="s">
        <v>75</v>
      </c>
    </row>
    <row r="986" spans="1:9" hidden="1" x14ac:dyDescent="0.35">
      <c r="A986" t="s">
        <v>9</v>
      </c>
      <c r="B986">
        <v>2035</v>
      </c>
      <c r="C986" t="s">
        <v>74</v>
      </c>
      <c r="D986" t="s">
        <v>51</v>
      </c>
      <c r="E986">
        <v>1.7230387676345701E-2</v>
      </c>
      <c r="F986">
        <v>1.7230387676345701E-2</v>
      </c>
      <c r="G986">
        <v>0</v>
      </c>
      <c r="H986">
        <v>0</v>
      </c>
      <c r="I986" t="s">
        <v>75</v>
      </c>
    </row>
    <row r="987" spans="1:9" hidden="1" x14ac:dyDescent="0.35">
      <c r="A987" t="s">
        <v>9</v>
      </c>
      <c r="B987">
        <v>2035</v>
      </c>
      <c r="C987" t="s">
        <v>74</v>
      </c>
      <c r="D987" t="s">
        <v>52</v>
      </c>
      <c r="E987">
        <v>1.0529273863343399E-3</v>
      </c>
      <c r="F987">
        <v>1.0529273863343399E-3</v>
      </c>
      <c r="G987">
        <v>0</v>
      </c>
      <c r="H987">
        <v>0</v>
      </c>
      <c r="I987" t="s">
        <v>75</v>
      </c>
    </row>
    <row r="988" spans="1:9" hidden="1" x14ac:dyDescent="0.35">
      <c r="A988" t="s">
        <v>9</v>
      </c>
      <c r="B988">
        <v>2035</v>
      </c>
      <c r="C988" t="s">
        <v>74</v>
      </c>
      <c r="D988" t="s">
        <v>53</v>
      </c>
      <c r="E988">
        <v>4.4524036044113697E-3</v>
      </c>
      <c r="F988">
        <v>4.4524036044113697E-3</v>
      </c>
      <c r="G988">
        <v>0</v>
      </c>
      <c r="H988">
        <v>0</v>
      </c>
      <c r="I988" t="s">
        <v>75</v>
      </c>
    </row>
    <row r="989" spans="1:9" hidden="1" x14ac:dyDescent="0.35">
      <c r="A989" t="s">
        <v>9</v>
      </c>
      <c r="B989">
        <v>2035</v>
      </c>
      <c r="C989" t="s">
        <v>74</v>
      </c>
      <c r="D989" t="s">
        <v>54</v>
      </c>
      <c r="E989">
        <v>2.8073903999001099E-4</v>
      </c>
      <c r="F989">
        <v>2.8073903999001099E-4</v>
      </c>
      <c r="G989">
        <v>0</v>
      </c>
      <c r="H989">
        <v>0</v>
      </c>
      <c r="I989" t="s">
        <v>75</v>
      </c>
    </row>
    <row r="990" spans="1:9" hidden="1" x14ac:dyDescent="0.35">
      <c r="A990" t="s">
        <v>9</v>
      </c>
      <c r="B990">
        <v>2035</v>
      </c>
      <c r="C990" t="s">
        <v>74</v>
      </c>
      <c r="D990" t="s">
        <v>55</v>
      </c>
      <c r="E990">
        <v>2.4722090742842101E-4</v>
      </c>
      <c r="F990">
        <v>2.4722090742842101E-4</v>
      </c>
      <c r="G990">
        <v>0</v>
      </c>
      <c r="H990">
        <v>0</v>
      </c>
      <c r="I990" t="s">
        <v>75</v>
      </c>
    </row>
    <row r="991" spans="1:9" hidden="1" x14ac:dyDescent="0.35">
      <c r="A991" t="s">
        <v>9</v>
      </c>
      <c r="B991">
        <v>2035</v>
      </c>
      <c r="C991" t="s">
        <v>74</v>
      </c>
      <c r="D991" t="s">
        <v>56</v>
      </c>
      <c r="E991" s="1">
        <v>1.53266092262992E-9</v>
      </c>
      <c r="F991" s="1">
        <v>1.53266092262992E-9</v>
      </c>
      <c r="G991">
        <v>0</v>
      </c>
      <c r="H991">
        <v>0</v>
      </c>
      <c r="I991" t="s">
        <v>75</v>
      </c>
    </row>
    <row r="992" spans="1:9" hidden="1" x14ac:dyDescent="0.35">
      <c r="A992" t="s">
        <v>11</v>
      </c>
      <c r="B992">
        <v>2040</v>
      </c>
      <c r="C992" t="s">
        <v>74</v>
      </c>
      <c r="D992" t="s">
        <v>38</v>
      </c>
      <c r="E992" s="1">
        <v>2.9961381480220399E-5</v>
      </c>
      <c r="F992" s="1">
        <v>2.9961381480220399E-5</v>
      </c>
      <c r="G992">
        <v>0</v>
      </c>
      <c r="H992">
        <v>0</v>
      </c>
      <c r="I992" t="s">
        <v>75</v>
      </c>
    </row>
    <row r="993" spans="1:9" hidden="1" x14ac:dyDescent="0.35">
      <c r="A993" t="s">
        <v>11</v>
      </c>
      <c r="B993">
        <v>2040</v>
      </c>
      <c r="C993" t="s">
        <v>74</v>
      </c>
      <c r="D993" t="s">
        <v>40</v>
      </c>
      <c r="E993">
        <v>1.4001609156819001E-4</v>
      </c>
      <c r="F993">
        <v>1.4001609156819001E-4</v>
      </c>
      <c r="G993">
        <v>0</v>
      </c>
      <c r="H993">
        <v>0</v>
      </c>
      <c r="I993" t="s">
        <v>75</v>
      </c>
    </row>
    <row r="994" spans="1:9" hidden="1" x14ac:dyDescent="0.35">
      <c r="A994" t="s">
        <v>11</v>
      </c>
      <c r="B994">
        <v>2040</v>
      </c>
      <c r="C994" t="s">
        <v>74</v>
      </c>
      <c r="D994" t="s">
        <v>41</v>
      </c>
      <c r="E994">
        <v>1.5169265193175699E-4</v>
      </c>
      <c r="F994">
        <v>1.5169265193175699E-4</v>
      </c>
      <c r="G994">
        <v>0</v>
      </c>
      <c r="H994">
        <v>0</v>
      </c>
      <c r="I994" t="s">
        <v>75</v>
      </c>
    </row>
    <row r="995" spans="1:9" hidden="1" x14ac:dyDescent="0.35">
      <c r="A995" t="s">
        <v>11</v>
      </c>
      <c r="B995">
        <v>2040</v>
      </c>
      <c r="C995" t="s">
        <v>74</v>
      </c>
      <c r="D995" t="s">
        <v>42</v>
      </c>
      <c r="E995">
        <v>2.8002107866262698E-3</v>
      </c>
      <c r="F995">
        <v>2.8002107866262698E-3</v>
      </c>
      <c r="G995">
        <v>0</v>
      </c>
      <c r="H995">
        <v>0</v>
      </c>
      <c r="I995" t="s">
        <v>75</v>
      </c>
    </row>
    <row r="996" spans="1:9" hidden="1" x14ac:dyDescent="0.35">
      <c r="A996" t="s">
        <v>11</v>
      </c>
      <c r="B996">
        <v>2040</v>
      </c>
      <c r="C996" t="s">
        <v>74</v>
      </c>
      <c r="D996" t="s">
        <v>43</v>
      </c>
      <c r="E996" s="1">
        <v>5.5166627627180201E-5</v>
      </c>
      <c r="F996" s="1">
        <v>5.5166627627180201E-5</v>
      </c>
      <c r="G996">
        <v>0</v>
      </c>
      <c r="H996">
        <v>0</v>
      </c>
      <c r="I996" t="s">
        <v>75</v>
      </c>
    </row>
    <row r="997" spans="1:9" hidden="1" x14ac:dyDescent="0.35">
      <c r="A997" t="s">
        <v>11</v>
      </c>
      <c r="B997">
        <v>2040</v>
      </c>
      <c r="C997" t="s">
        <v>74</v>
      </c>
      <c r="D997" t="s">
        <v>136</v>
      </c>
      <c r="E997">
        <v>1.3117647397758199E-2</v>
      </c>
      <c r="F997">
        <v>1.3117647397758199E-2</v>
      </c>
      <c r="G997">
        <v>0</v>
      </c>
      <c r="H997">
        <v>0</v>
      </c>
      <c r="I997" t="s">
        <v>75</v>
      </c>
    </row>
    <row r="998" spans="1:9" hidden="1" x14ac:dyDescent="0.35">
      <c r="A998" t="s">
        <v>11</v>
      </c>
      <c r="B998">
        <v>2040</v>
      </c>
      <c r="C998" t="s">
        <v>74</v>
      </c>
      <c r="D998" t="s">
        <v>45</v>
      </c>
      <c r="E998" s="1">
        <v>4.8769116724151402E-5</v>
      </c>
      <c r="F998" s="1">
        <v>4.8769116724151402E-5</v>
      </c>
      <c r="G998">
        <v>0</v>
      </c>
      <c r="H998">
        <v>0</v>
      </c>
      <c r="I998" t="s">
        <v>75</v>
      </c>
    </row>
    <row r="999" spans="1:9" hidden="1" x14ac:dyDescent="0.35">
      <c r="A999" t="s">
        <v>11</v>
      </c>
      <c r="B999">
        <v>2040</v>
      </c>
      <c r="C999" t="s">
        <v>74</v>
      </c>
      <c r="D999" t="s">
        <v>46</v>
      </c>
      <c r="E999">
        <v>5.3863701433344404E-3</v>
      </c>
      <c r="F999">
        <v>5.3863701433344404E-3</v>
      </c>
      <c r="G999">
        <v>0</v>
      </c>
      <c r="H999">
        <v>0</v>
      </c>
      <c r="I999" t="s">
        <v>75</v>
      </c>
    </row>
    <row r="1000" spans="1:9" hidden="1" x14ac:dyDescent="0.35">
      <c r="A1000" t="s">
        <v>11</v>
      </c>
      <c r="B1000">
        <v>2040</v>
      </c>
      <c r="C1000" t="s">
        <v>74</v>
      </c>
      <c r="D1000" t="s">
        <v>47</v>
      </c>
      <c r="E1000" s="1">
        <v>3.18764755938501E-6</v>
      </c>
      <c r="F1000" s="1">
        <v>3.18764755938501E-6</v>
      </c>
      <c r="G1000">
        <v>0</v>
      </c>
      <c r="H1000">
        <v>0</v>
      </c>
      <c r="I1000" t="s">
        <v>75</v>
      </c>
    </row>
    <row r="1001" spans="1:9" hidden="1" x14ac:dyDescent="0.35">
      <c r="A1001" t="s">
        <v>11</v>
      </c>
      <c r="B1001">
        <v>2040</v>
      </c>
      <c r="C1001" t="s">
        <v>74</v>
      </c>
      <c r="D1001" t="s">
        <v>48</v>
      </c>
      <c r="E1001">
        <v>6.0574726355869105E-4</v>
      </c>
      <c r="F1001">
        <v>6.0574726355869105E-4</v>
      </c>
      <c r="G1001">
        <v>0</v>
      </c>
      <c r="H1001">
        <v>0</v>
      </c>
      <c r="I1001" t="s">
        <v>75</v>
      </c>
    </row>
    <row r="1002" spans="1:9" hidden="1" x14ac:dyDescent="0.35">
      <c r="A1002" t="s">
        <v>11</v>
      </c>
      <c r="B1002">
        <v>2040</v>
      </c>
      <c r="C1002" t="s">
        <v>74</v>
      </c>
      <c r="D1002" t="s">
        <v>49</v>
      </c>
      <c r="E1002" s="1">
        <v>9.5107398538268098E-5</v>
      </c>
      <c r="F1002" s="1">
        <v>9.5107398538268098E-5</v>
      </c>
      <c r="G1002">
        <v>0</v>
      </c>
      <c r="H1002">
        <v>0</v>
      </c>
      <c r="I1002" t="s">
        <v>75</v>
      </c>
    </row>
    <row r="1003" spans="1:9" hidden="1" x14ac:dyDescent="0.35">
      <c r="A1003" t="s">
        <v>11</v>
      </c>
      <c r="B1003">
        <v>2040</v>
      </c>
      <c r="C1003" t="s">
        <v>74</v>
      </c>
      <c r="D1003" t="s">
        <v>50</v>
      </c>
      <c r="E1003" s="1">
        <v>8.3426568405075703E-5</v>
      </c>
      <c r="F1003" s="1">
        <v>8.3426568405075703E-5</v>
      </c>
      <c r="G1003">
        <v>0</v>
      </c>
      <c r="H1003">
        <v>0</v>
      </c>
      <c r="I1003" t="s">
        <v>75</v>
      </c>
    </row>
    <row r="1004" spans="1:9" hidden="1" x14ac:dyDescent="0.35">
      <c r="A1004" t="s">
        <v>11</v>
      </c>
      <c r="B1004">
        <v>2040</v>
      </c>
      <c r="C1004" t="s">
        <v>74</v>
      </c>
      <c r="D1004" t="s">
        <v>51</v>
      </c>
      <c r="E1004">
        <v>1.7259939081850601E-2</v>
      </c>
      <c r="F1004">
        <v>1.7259939081850601E-2</v>
      </c>
      <c r="G1004">
        <v>0</v>
      </c>
      <c r="H1004">
        <v>0</v>
      </c>
      <c r="I1004" t="s">
        <v>75</v>
      </c>
    </row>
    <row r="1005" spans="1:9" hidden="1" x14ac:dyDescent="0.35">
      <c r="A1005" t="s">
        <v>11</v>
      </c>
      <c r="B1005">
        <v>2040</v>
      </c>
      <c r="C1005" t="s">
        <v>74</v>
      </c>
      <c r="D1005" t="s">
        <v>52</v>
      </c>
      <c r="E1005">
        <v>8.8259987149253501E-4</v>
      </c>
      <c r="F1005">
        <v>8.8259987149253501E-4</v>
      </c>
      <c r="G1005">
        <v>0</v>
      </c>
      <c r="H1005">
        <v>0</v>
      </c>
      <c r="I1005" t="s">
        <v>75</v>
      </c>
    </row>
    <row r="1006" spans="1:9" hidden="1" x14ac:dyDescent="0.35">
      <c r="A1006" t="s">
        <v>11</v>
      </c>
      <c r="B1006">
        <v>2040</v>
      </c>
      <c r="C1006" t="s">
        <v>74</v>
      </c>
      <c r="D1006" t="s">
        <v>53</v>
      </c>
      <c r="E1006">
        <v>4.1919663551655403E-3</v>
      </c>
      <c r="F1006">
        <v>4.1919663551655403E-3</v>
      </c>
      <c r="G1006">
        <v>0</v>
      </c>
      <c r="H1006">
        <v>0</v>
      </c>
      <c r="I1006" t="s">
        <v>75</v>
      </c>
    </row>
    <row r="1007" spans="1:9" hidden="1" x14ac:dyDescent="0.35">
      <c r="A1007" t="s">
        <v>11</v>
      </c>
      <c r="B1007">
        <v>2040</v>
      </c>
      <c r="C1007" t="s">
        <v>74</v>
      </c>
      <c r="D1007" t="s">
        <v>54</v>
      </c>
      <c r="E1007">
        <v>2.9048199820180901E-4</v>
      </c>
      <c r="F1007">
        <v>2.9048199820180901E-4</v>
      </c>
      <c r="G1007">
        <v>0</v>
      </c>
      <c r="H1007">
        <v>0</v>
      </c>
      <c r="I1007" t="s">
        <v>75</v>
      </c>
    </row>
    <row r="1008" spans="1:9" hidden="1" x14ac:dyDescent="0.35">
      <c r="A1008" t="s">
        <v>11</v>
      </c>
      <c r="B1008">
        <v>2040</v>
      </c>
      <c r="C1008" t="s">
        <v>74</v>
      </c>
      <c r="D1008" t="s">
        <v>55</v>
      </c>
      <c r="E1008">
        <v>2.5710828455558301E-4</v>
      </c>
      <c r="F1008">
        <v>2.5710828455558301E-4</v>
      </c>
      <c r="G1008">
        <v>0</v>
      </c>
      <c r="H1008">
        <v>0</v>
      </c>
      <c r="I1008" t="s">
        <v>75</v>
      </c>
    </row>
    <row r="1009" spans="1:9" hidden="1" x14ac:dyDescent="0.35">
      <c r="A1009" t="s">
        <v>11</v>
      </c>
      <c r="B1009">
        <v>2040</v>
      </c>
      <c r="C1009" t="s">
        <v>74</v>
      </c>
      <c r="D1009" t="s">
        <v>56</v>
      </c>
      <c r="E1009" s="1">
        <v>1.3973308379596E-9</v>
      </c>
      <c r="F1009" s="1">
        <v>1.3973308379596E-9</v>
      </c>
      <c r="G1009">
        <v>0</v>
      </c>
      <c r="H1009">
        <v>0</v>
      </c>
      <c r="I1009" t="s">
        <v>75</v>
      </c>
    </row>
    <row r="1010" spans="1:9" hidden="1" x14ac:dyDescent="0.35">
      <c r="A1010" t="s">
        <v>5</v>
      </c>
      <c r="B1010">
        <v>2025</v>
      </c>
      <c r="C1010" t="s">
        <v>67</v>
      </c>
      <c r="D1010" t="s">
        <v>38</v>
      </c>
      <c r="E1010">
        <v>3.7058306862794099E-2</v>
      </c>
      <c r="F1010">
        <v>3.7058306862794099E-2</v>
      </c>
      <c r="G1010">
        <v>0</v>
      </c>
      <c r="H1010">
        <v>0</v>
      </c>
      <c r="I1010" t="s">
        <v>68</v>
      </c>
    </row>
    <row r="1011" spans="1:9" hidden="1" x14ac:dyDescent="0.35">
      <c r="A1011" t="s">
        <v>5</v>
      </c>
      <c r="B1011">
        <v>2025</v>
      </c>
      <c r="C1011" t="s">
        <v>67</v>
      </c>
      <c r="D1011" t="s">
        <v>40</v>
      </c>
      <c r="E1011">
        <v>7.1117022502969404E-3</v>
      </c>
      <c r="F1011">
        <v>7.1117022502969404E-3</v>
      </c>
      <c r="G1011">
        <v>0</v>
      </c>
      <c r="H1011">
        <v>0</v>
      </c>
      <c r="I1011" t="s">
        <v>68</v>
      </c>
    </row>
    <row r="1012" spans="1:9" hidden="1" x14ac:dyDescent="0.35">
      <c r="A1012" t="s">
        <v>5</v>
      </c>
      <c r="B1012">
        <v>2025</v>
      </c>
      <c r="C1012" t="s">
        <v>67</v>
      </c>
      <c r="D1012" t="s">
        <v>41</v>
      </c>
      <c r="E1012">
        <v>6.6835375634555202E-2</v>
      </c>
      <c r="F1012">
        <v>6.6835375634555202E-2</v>
      </c>
      <c r="G1012">
        <v>0</v>
      </c>
      <c r="H1012">
        <v>0</v>
      </c>
      <c r="I1012" t="s">
        <v>68</v>
      </c>
    </row>
    <row r="1013" spans="1:9" hidden="1" x14ac:dyDescent="0.35">
      <c r="A1013" t="s">
        <v>5</v>
      </c>
      <c r="B1013">
        <v>2025</v>
      </c>
      <c r="C1013" t="s">
        <v>67</v>
      </c>
      <c r="D1013" t="s">
        <v>42</v>
      </c>
      <c r="E1013">
        <v>30.881659537148799</v>
      </c>
      <c r="F1013">
        <v>30.881659537148799</v>
      </c>
      <c r="G1013">
        <v>0</v>
      </c>
      <c r="H1013">
        <v>0</v>
      </c>
      <c r="I1013" t="s">
        <v>68</v>
      </c>
    </row>
    <row r="1014" spans="1:9" hidden="1" x14ac:dyDescent="0.35">
      <c r="A1014" t="s">
        <v>5</v>
      </c>
      <c r="B1014">
        <v>2025</v>
      </c>
      <c r="C1014" t="s">
        <v>67</v>
      </c>
      <c r="D1014" t="s">
        <v>43</v>
      </c>
      <c r="E1014">
        <v>3.1865575308111203E-2</v>
      </c>
      <c r="F1014">
        <v>3.1865575308111203E-2</v>
      </c>
      <c r="G1014">
        <v>0</v>
      </c>
      <c r="H1014">
        <v>0</v>
      </c>
      <c r="I1014" t="s">
        <v>68</v>
      </c>
    </row>
    <row r="1015" spans="1:9" hidden="1" x14ac:dyDescent="0.35">
      <c r="A1015" t="s">
        <v>5</v>
      </c>
      <c r="B1015">
        <v>2025</v>
      </c>
      <c r="C1015" t="s">
        <v>67</v>
      </c>
      <c r="D1015" t="s">
        <v>136</v>
      </c>
      <c r="E1015">
        <v>21.573665736587699</v>
      </c>
      <c r="F1015">
        <v>21.573665736587699</v>
      </c>
      <c r="G1015">
        <v>0</v>
      </c>
      <c r="H1015">
        <v>0</v>
      </c>
      <c r="I1015" t="s">
        <v>68</v>
      </c>
    </row>
    <row r="1016" spans="1:9" hidden="1" x14ac:dyDescent="0.35">
      <c r="A1016" t="s">
        <v>5</v>
      </c>
      <c r="B1016">
        <v>2025</v>
      </c>
      <c r="C1016" t="s">
        <v>67</v>
      </c>
      <c r="D1016" t="s">
        <v>45</v>
      </c>
      <c r="E1016">
        <v>6.1544332607400297E-2</v>
      </c>
      <c r="F1016">
        <v>6.1544332607400297E-2</v>
      </c>
      <c r="G1016">
        <v>0</v>
      </c>
      <c r="H1016">
        <v>0</v>
      </c>
      <c r="I1016" t="s">
        <v>68</v>
      </c>
    </row>
    <row r="1017" spans="1:9" hidden="1" x14ac:dyDescent="0.35">
      <c r="A1017" t="s">
        <v>5</v>
      </c>
      <c r="B1017">
        <v>2025</v>
      </c>
      <c r="C1017" t="s">
        <v>67</v>
      </c>
      <c r="D1017" t="s">
        <v>46</v>
      </c>
      <c r="E1017">
        <v>0.95224474082598298</v>
      </c>
      <c r="F1017">
        <v>0.95224474082598298</v>
      </c>
      <c r="G1017">
        <v>0</v>
      </c>
      <c r="H1017">
        <v>0</v>
      </c>
      <c r="I1017" t="s">
        <v>68</v>
      </c>
    </row>
    <row r="1018" spans="1:9" hidden="1" x14ac:dyDescent="0.35">
      <c r="A1018" t="s">
        <v>5</v>
      </c>
      <c r="B1018">
        <v>2025</v>
      </c>
      <c r="C1018" t="s">
        <v>67</v>
      </c>
      <c r="D1018" t="s">
        <v>47</v>
      </c>
      <c r="E1018">
        <v>7.3205621348639196E-3</v>
      </c>
      <c r="F1018">
        <v>7.3205621348639196E-3</v>
      </c>
      <c r="G1018">
        <v>0</v>
      </c>
      <c r="H1018">
        <v>0</v>
      </c>
      <c r="I1018" t="s">
        <v>68</v>
      </c>
    </row>
    <row r="1019" spans="1:9" hidden="1" x14ac:dyDescent="0.35">
      <c r="A1019" t="s">
        <v>5</v>
      </c>
      <c r="B1019">
        <v>2025</v>
      </c>
      <c r="C1019" t="s">
        <v>67</v>
      </c>
      <c r="D1019" t="s">
        <v>48</v>
      </c>
      <c r="E1019">
        <v>108.64364430399</v>
      </c>
      <c r="F1019">
        <v>108.64364430399</v>
      </c>
      <c r="G1019">
        <v>0</v>
      </c>
      <c r="H1019">
        <v>0</v>
      </c>
      <c r="I1019" t="s">
        <v>68</v>
      </c>
    </row>
    <row r="1020" spans="1:9" hidden="1" x14ac:dyDescent="0.35">
      <c r="A1020" t="s">
        <v>5</v>
      </c>
      <c r="B1020">
        <v>2025</v>
      </c>
      <c r="C1020" t="s">
        <v>67</v>
      </c>
      <c r="D1020" t="s">
        <v>49</v>
      </c>
      <c r="E1020">
        <v>0.15926487227908201</v>
      </c>
      <c r="F1020">
        <v>0.15926487227908201</v>
      </c>
      <c r="G1020">
        <v>0</v>
      </c>
      <c r="H1020">
        <v>0</v>
      </c>
      <c r="I1020" t="s">
        <v>68</v>
      </c>
    </row>
    <row r="1021" spans="1:9" hidden="1" x14ac:dyDescent="0.35">
      <c r="A1021" t="s">
        <v>5</v>
      </c>
      <c r="B1021">
        <v>2025</v>
      </c>
      <c r="C1021" t="s">
        <v>67</v>
      </c>
      <c r="D1021" t="s">
        <v>50</v>
      </c>
      <c r="E1021">
        <v>0.447426175262579</v>
      </c>
      <c r="F1021">
        <v>0.447426175262579</v>
      </c>
      <c r="G1021">
        <v>0</v>
      </c>
      <c r="H1021">
        <v>0</v>
      </c>
      <c r="I1021" t="s">
        <v>68</v>
      </c>
    </row>
    <row r="1022" spans="1:9" hidden="1" x14ac:dyDescent="0.35">
      <c r="A1022" t="s">
        <v>5</v>
      </c>
      <c r="B1022">
        <v>2025</v>
      </c>
      <c r="C1022" t="s">
        <v>67</v>
      </c>
      <c r="D1022" t="s">
        <v>51</v>
      </c>
      <c r="E1022">
        <v>0.635113847822113</v>
      </c>
      <c r="F1022">
        <v>0.635113847822113</v>
      </c>
      <c r="G1022">
        <v>0</v>
      </c>
      <c r="H1022">
        <v>0</v>
      </c>
      <c r="I1022" t="s">
        <v>68</v>
      </c>
    </row>
    <row r="1023" spans="1:9" hidden="1" x14ac:dyDescent="0.35">
      <c r="A1023" t="s">
        <v>5</v>
      </c>
      <c r="B1023">
        <v>2025</v>
      </c>
      <c r="C1023" t="s">
        <v>67</v>
      </c>
      <c r="D1023" t="s">
        <v>52</v>
      </c>
      <c r="E1023">
        <v>11.1191534932045</v>
      </c>
      <c r="F1023">
        <v>11.1191534932045</v>
      </c>
      <c r="G1023">
        <v>0</v>
      </c>
      <c r="H1023">
        <v>0</v>
      </c>
      <c r="I1023" t="s">
        <v>68</v>
      </c>
    </row>
    <row r="1024" spans="1:9" hidden="1" x14ac:dyDescent="0.35">
      <c r="A1024" t="s">
        <v>5</v>
      </c>
      <c r="B1024">
        <v>2025</v>
      </c>
      <c r="C1024" t="s">
        <v>67</v>
      </c>
      <c r="D1024" t="s">
        <v>53</v>
      </c>
      <c r="E1024">
        <v>7.6164968561793502</v>
      </c>
      <c r="F1024">
        <v>7.6164968561793502</v>
      </c>
      <c r="G1024">
        <v>0</v>
      </c>
      <c r="H1024">
        <v>0</v>
      </c>
      <c r="I1024" t="s">
        <v>68</v>
      </c>
    </row>
    <row r="1025" spans="1:9" hidden="1" x14ac:dyDescent="0.35">
      <c r="A1025" t="s">
        <v>5</v>
      </c>
      <c r="B1025">
        <v>2025</v>
      </c>
      <c r="C1025" t="s">
        <v>67</v>
      </c>
      <c r="D1025" t="s">
        <v>54</v>
      </c>
      <c r="E1025">
        <v>2.85216501033036</v>
      </c>
      <c r="F1025">
        <v>2.85216501033036</v>
      </c>
      <c r="G1025">
        <v>0</v>
      </c>
      <c r="H1025">
        <v>0</v>
      </c>
      <c r="I1025" t="s">
        <v>68</v>
      </c>
    </row>
    <row r="1026" spans="1:9" hidden="1" x14ac:dyDescent="0.35">
      <c r="A1026" t="s">
        <v>5</v>
      </c>
      <c r="B1026">
        <v>2025</v>
      </c>
      <c r="C1026" t="s">
        <v>67</v>
      </c>
      <c r="D1026" t="s">
        <v>55</v>
      </c>
      <c r="E1026">
        <v>2.6424856612419698</v>
      </c>
      <c r="F1026">
        <v>2.6424856612419698</v>
      </c>
      <c r="G1026">
        <v>0</v>
      </c>
      <c r="H1026">
        <v>0</v>
      </c>
      <c r="I1026" t="s">
        <v>68</v>
      </c>
    </row>
    <row r="1027" spans="1:9" hidden="1" x14ac:dyDescent="0.35">
      <c r="A1027" t="s">
        <v>5</v>
      </c>
      <c r="B1027">
        <v>2025</v>
      </c>
      <c r="C1027" t="s">
        <v>67</v>
      </c>
      <c r="D1027" t="s">
        <v>56</v>
      </c>
      <c r="E1027" s="1">
        <v>2.4062839804623602E-6</v>
      </c>
      <c r="F1027" s="1">
        <v>2.4062839804623602E-6</v>
      </c>
      <c r="G1027">
        <v>0</v>
      </c>
      <c r="H1027">
        <v>0</v>
      </c>
      <c r="I1027" t="s">
        <v>68</v>
      </c>
    </row>
    <row r="1028" spans="1:9" hidden="1" x14ac:dyDescent="0.35">
      <c r="A1028" t="s">
        <v>7</v>
      </c>
      <c r="B1028">
        <v>2030</v>
      </c>
      <c r="C1028" t="s">
        <v>67</v>
      </c>
      <c r="D1028" t="s">
        <v>38</v>
      </c>
      <c r="E1028">
        <v>3.7978827705876697E-2</v>
      </c>
      <c r="F1028">
        <v>2.5769154484138301E-2</v>
      </c>
      <c r="G1028">
        <v>-1.22096732217383E-2</v>
      </c>
      <c r="H1028">
        <v>-32.148631117039699</v>
      </c>
      <c r="I1028" t="s">
        <v>68</v>
      </c>
    </row>
    <row r="1029" spans="1:9" hidden="1" x14ac:dyDescent="0.35">
      <c r="A1029" t="s">
        <v>7</v>
      </c>
      <c r="B1029">
        <v>2030</v>
      </c>
      <c r="C1029" t="s">
        <v>67</v>
      </c>
      <c r="D1029" t="s">
        <v>40</v>
      </c>
      <c r="E1029">
        <v>6.8595346470719104E-3</v>
      </c>
      <c r="F1029">
        <v>6.8595346470719104E-3</v>
      </c>
      <c r="G1029">
        <v>0</v>
      </c>
      <c r="H1029">
        <v>0</v>
      </c>
      <c r="I1029" t="s">
        <v>68</v>
      </c>
    </row>
    <row r="1030" spans="1:9" hidden="1" x14ac:dyDescent="0.35">
      <c r="A1030" t="s">
        <v>7</v>
      </c>
      <c r="B1030">
        <v>2030</v>
      </c>
      <c r="C1030" t="s">
        <v>67</v>
      </c>
      <c r="D1030" t="s">
        <v>41</v>
      </c>
      <c r="E1030">
        <v>6.4758713361053405E-2</v>
      </c>
      <c r="F1030">
        <v>5.9015660239593502E-2</v>
      </c>
      <c r="G1030">
        <v>-5.7430531214599304E-3</v>
      </c>
      <c r="H1030">
        <v>-8.8683866979263701</v>
      </c>
      <c r="I1030" t="s">
        <v>68</v>
      </c>
    </row>
    <row r="1031" spans="1:9" hidden="1" x14ac:dyDescent="0.35">
      <c r="A1031" t="s">
        <v>7</v>
      </c>
      <c r="B1031">
        <v>2030</v>
      </c>
      <c r="C1031" t="s">
        <v>67</v>
      </c>
      <c r="D1031" t="s">
        <v>42</v>
      </c>
      <c r="E1031">
        <v>30.719195588010798</v>
      </c>
      <c r="F1031">
        <v>26.1973465307839</v>
      </c>
      <c r="G1031">
        <v>-4.5218490572268397</v>
      </c>
      <c r="H1031">
        <v>-14.719946179162401</v>
      </c>
      <c r="I1031" t="s">
        <v>68</v>
      </c>
    </row>
    <row r="1032" spans="1:9" hidden="1" x14ac:dyDescent="0.35">
      <c r="A1032" t="s">
        <v>7</v>
      </c>
      <c r="B1032">
        <v>2030</v>
      </c>
      <c r="C1032" t="s">
        <v>67</v>
      </c>
      <c r="D1032" t="s">
        <v>43</v>
      </c>
      <c r="E1032">
        <v>3.12737153776039E-2</v>
      </c>
      <c r="F1032">
        <v>2.9546120293819599E-2</v>
      </c>
      <c r="G1032">
        <v>-1.7275950837843501E-3</v>
      </c>
      <c r="H1032">
        <v>-5.5241120631977596</v>
      </c>
      <c r="I1032" t="s">
        <v>68</v>
      </c>
    </row>
    <row r="1033" spans="1:9" hidden="1" x14ac:dyDescent="0.35">
      <c r="A1033" t="s">
        <v>7</v>
      </c>
      <c r="B1033">
        <v>2030</v>
      </c>
      <c r="C1033" t="s">
        <v>67</v>
      </c>
      <c r="D1033" t="s">
        <v>136</v>
      </c>
      <c r="E1033">
        <v>20.958368933708101</v>
      </c>
      <c r="F1033">
        <v>20.438157016193699</v>
      </c>
      <c r="G1033">
        <v>-0.52021191751441598</v>
      </c>
      <c r="H1033">
        <v>-2.4821202411306902</v>
      </c>
      <c r="I1033" t="s">
        <v>68</v>
      </c>
    </row>
    <row r="1034" spans="1:9" hidden="1" x14ac:dyDescent="0.35">
      <c r="A1034" t="s">
        <v>7</v>
      </c>
      <c r="B1034">
        <v>2030</v>
      </c>
      <c r="C1034" t="s">
        <v>67</v>
      </c>
      <c r="D1034" t="s">
        <v>45</v>
      </c>
      <c r="E1034">
        <v>5.9777662897486698E-2</v>
      </c>
      <c r="F1034">
        <v>4.0781964442460898E-2</v>
      </c>
      <c r="G1034">
        <v>-1.89956984550257E-2</v>
      </c>
      <c r="H1034">
        <v>-31.777251793201799</v>
      </c>
      <c r="I1034" t="s">
        <v>68</v>
      </c>
    </row>
    <row r="1035" spans="1:9" hidden="1" x14ac:dyDescent="0.35">
      <c r="A1035" t="s">
        <v>7</v>
      </c>
      <c r="B1035">
        <v>2030</v>
      </c>
      <c r="C1035" t="s">
        <v>67</v>
      </c>
      <c r="D1035" t="s">
        <v>46</v>
      </c>
      <c r="E1035">
        <v>1.06440516437679</v>
      </c>
      <c r="F1035">
        <v>1.06440516437679</v>
      </c>
      <c r="G1035">
        <v>0</v>
      </c>
      <c r="H1035">
        <v>0</v>
      </c>
      <c r="I1035" t="s">
        <v>68</v>
      </c>
    </row>
    <row r="1036" spans="1:9" hidden="1" x14ac:dyDescent="0.35">
      <c r="A1036" t="s">
        <v>7</v>
      </c>
      <c r="B1036">
        <v>2030</v>
      </c>
      <c r="C1036" t="s">
        <v>67</v>
      </c>
      <c r="D1036" t="s">
        <v>47</v>
      </c>
      <c r="E1036">
        <v>7.1369337027686599E-3</v>
      </c>
      <c r="F1036">
        <v>7.1369337027686599E-3</v>
      </c>
      <c r="G1036">
        <v>0</v>
      </c>
      <c r="H1036">
        <v>0</v>
      </c>
      <c r="I1036" t="s">
        <v>68</v>
      </c>
    </row>
    <row r="1037" spans="1:9" hidden="1" x14ac:dyDescent="0.35">
      <c r="A1037" t="s">
        <v>7</v>
      </c>
      <c r="B1037">
        <v>2030</v>
      </c>
      <c r="C1037" t="s">
        <v>67</v>
      </c>
      <c r="D1037" t="s">
        <v>48</v>
      </c>
      <c r="E1037">
        <v>108.63683768825101</v>
      </c>
      <c r="F1037">
        <v>108.63683768825101</v>
      </c>
      <c r="G1037">
        <v>0</v>
      </c>
      <c r="H1037">
        <v>0</v>
      </c>
      <c r="I1037" t="s">
        <v>68</v>
      </c>
    </row>
    <row r="1038" spans="1:9" hidden="1" x14ac:dyDescent="0.35">
      <c r="A1038" t="s">
        <v>7</v>
      </c>
      <c r="B1038">
        <v>2030</v>
      </c>
      <c r="C1038" t="s">
        <v>67</v>
      </c>
      <c r="D1038" t="s">
        <v>49</v>
      </c>
      <c r="E1038">
        <v>0.15680177092705599</v>
      </c>
      <c r="F1038">
        <v>0.100942710124053</v>
      </c>
      <c r="G1038">
        <v>-5.58590608030025E-2</v>
      </c>
      <c r="H1038">
        <v>-35.6239986785531</v>
      </c>
      <c r="I1038" t="s">
        <v>68</v>
      </c>
    </row>
    <row r="1039" spans="1:9" hidden="1" x14ac:dyDescent="0.35">
      <c r="A1039" t="s">
        <v>7</v>
      </c>
      <c r="B1039">
        <v>2030</v>
      </c>
      <c r="C1039" t="s">
        <v>67</v>
      </c>
      <c r="D1039" t="s">
        <v>50</v>
      </c>
      <c r="E1039">
        <v>0.44515000426533102</v>
      </c>
      <c r="F1039">
        <v>0.44515000426533102</v>
      </c>
      <c r="G1039">
        <v>0</v>
      </c>
      <c r="H1039">
        <v>0</v>
      </c>
      <c r="I1039" t="s">
        <v>68</v>
      </c>
    </row>
    <row r="1040" spans="1:9" hidden="1" x14ac:dyDescent="0.35">
      <c r="A1040" t="s">
        <v>7</v>
      </c>
      <c r="B1040">
        <v>2030</v>
      </c>
      <c r="C1040" t="s">
        <v>67</v>
      </c>
      <c r="D1040" t="s">
        <v>51</v>
      </c>
      <c r="E1040">
        <v>0.63676875766020102</v>
      </c>
      <c r="F1040">
        <v>0.63676875766020102</v>
      </c>
      <c r="G1040">
        <v>0</v>
      </c>
      <c r="H1040">
        <v>0</v>
      </c>
      <c r="I1040" t="s">
        <v>68</v>
      </c>
    </row>
    <row r="1041" spans="1:9" hidden="1" x14ac:dyDescent="0.35">
      <c r="A1041" t="s">
        <v>7</v>
      </c>
      <c r="B1041">
        <v>2030</v>
      </c>
      <c r="C1041" t="s">
        <v>67</v>
      </c>
      <c r="D1041" t="s">
        <v>52</v>
      </c>
      <c r="E1041">
        <v>11.006143885064199</v>
      </c>
      <c r="F1041">
        <v>11.006143885064199</v>
      </c>
      <c r="G1041">
        <v>0</v>
      </c>
      <c r="H1041">
        <v>0</v>
      </c>
      <c r="I1041" t="s">
        <v>68</v>
      </c>
    </row>
    <row r="1042" spans="1:9" hidden="1" x14ac:dyDescent="0.35">
      <c r="A1042" t="s">
        <v>7</v>
      </c>
      <c r="B1042">
        <v>2030</v>
      </c>
      <c r="C1042" t="s">
        <v>67</v>
      </c>
      <c r="D1042" t="s">
        <v>53</v>
      </c>
      <c r="E1042">
        <v>7.3921248199286902</v>
      </c>
      <c r="F1042">
        <v>7.3921248199286902</v>
      </c>
      <c r="G1042">
        <v>0</v>
      </c>
      <c r="H1042">
        <v>0</v>
      </c>
      <c r="I1042" t="s">
        <v>68</v>
      </c>
    </row>
    <row r="1043" spans="1:9" hidden="1" x14ac:dyDescent="0.35">
      <c r="A1043" t="s">
        <v>7</v>
      </c>
      <c r="B1043">
        <v>2030</v>
      </c>
      <c r="C1043" t="s">
        <v>67</v>
      </c>
      <c r="D1043" t="s">
        <v>54</v>
      </c>
      <c r="E1043">
        <v>2.85568070465049</v>
      </c>
      <c r="F1043">
        <v>2.85301194599286</v>
      </c>
      <c r="G1043">
        <v>-2.6687586576228301E-3</v>
      </c>
      <c r="H1043">
        <v>-9.34543786102119E-2</v>
      </c>
      <c r="I1043" t="s">
        <v>68</v>
      </c>
    </row>
    <row r="1044" spans="1:9" hidden="1" x14ac:dyDescent="0.35">
      <c r="A1044" t="s">
        <v>7</v>
      </c>
      <c r="B1044">
        <v>2030</v>
      </c>
      <c r="C1044" t="s">
        <v>67</v>
      </c>
      <c r="D1044" t="s">
        <v>55</v>
      </c>
      <c r="E1044">
        <v>2.6444244364921401</v>
      </c>
      <c r="F1044">
        <v>2.5235069856776402</v>
      </c>
      <c r="G1044">
        <v>-0.12091745081449901</v>
      </c>
      <c r="H1044">
        <v>-4.5725432402559996</v>
      </c>
      <c r="I1044" t="s">
        <v>68</v>
      </c>
    </row>
    <row r="1045" spans="1:9" hidden="1" x14ac:dyDescent="0.35">
      <c r="A1045" t="s">
        <v>7</v>
      </c>
      <c r="B1045">
        <v>2030</v>
      </c>
      <c r="C1045" t="s">
        <v>67</v>
      </c>
      <c r="D1045" t="s">
        <v>56</v>
      </c>
      <c r="E1045" s="1">
        <v>2.2990439191340901E-6</v>
      </c>
      <c r="F1045" s="1">
        <v>2.2990439191340901E-6</v>
      </c>
      <c r="G1045">
        <v>0</v>
      </c>
      <c r="H1045">
        <v>0</v>
      </c>
      <c r="I1045" t="s">
        <v>68</v>
      </c>
    </row>
    <row r="1046" spans="1:9" hidden="1" x14ac:dyDescent="0.35">
      <c r="A1046" t="s">
        <v>9</v>
      </c>
      <c r="B1046">
        <v>2035</v>
      </c>
      <c r="C1046" t="s">
        <v>67</v>
      </c>
      <c r="D1046" t="s">
        <v>38</v>
      </c>
      <c r="E1046">
        <v>3.809877756176E-2</v>
      </c>
      <c r="F1046">
        <v>3.4643371058737299E-2</v>
      </c>
      <c r="G1046">
        <v>-3.4554065030226802E-3</v>
      </c>
      <c r="H1046">
        <v>-9.0695994049186694</v>
      </c>
      <c r="I1046" t="s">
        <v>68</v>
      </c>
    </row>
    <row r="1047" spans="1:9" hidden="1" x14ac:dyDescent="0.35">
      <c r="A1047" t="s">
        <v>9</v>
      </c>
      <c r="B1047">
        <v>2035</v>
      </c>
      <c r="C1047" t="s">
        <v>67</v>
      </c>
      <c r="D1047" t="s">
        <v>40</v>
      </c>
      <c r="E1047">
        <v>6.6383370293825799E-3</v>
      </c>
      <c r="F1047">
        <v>6.6383370293825799E-3</v>
      </c>
      <c r="G1047">
        <v>0</v>
      </c>
      <c r="H1047">
        <v>0</v>
      </c>
      <c r="I1047" t="s">
        <v>68</v>
      </c>
    </row>
    <row r="1048" spans="1:9" hidden="1" x14ac:dyDescent="0.35">
      <c r="A1048" t="s">
        <v>9</v>
      </c>
      <c r="B1048">
        <v>2035</v>
      </c>
      <c r="C1048" t="s">
        <v>67</v>
      </c>
      <c r="D1048" t="s">
        <v>41</v>
      </c>
      <c r="E1048">
        <v>6.34967149536763E-2</v>
      </c>
      <c r="F1048">
        <v>6.1916221306899298E-2</v>
      </c>
      <c r="G1048">
        <v>-1.5804936467769899E-3</v>
      </c>
      <c r="H1048">
        <v>-2.4890951412683799</v>
      </c>
      <c r="I1048" t="s">
        <v>68</v>
      </c>
    </row>
    <row r="1049" spans="1:9" hidden="1" x14ac:dyDescent="0.35">
      <c r="A1049" t="s">
        <v>9</v>
      </c>
      <c r="B1049">
        <v>2035</v>
      </c>
      <c r="C1049" t="s">
        <v>67</v>
      </c>
      <c r="D1049" t="s">
        <v>42</v>
      </c>
      <c r="E1049">
        <v>30.653787978181199</v>
      </c>
      <c r="F1049">
        <v>29.388549840057099</v>
      </c>
      <c r="G1049">
        <v>-1.2652381381240401</v>
      </c>
      <c r="H1049">
        <v>-4.1275099150050201</v>
      </c>
      <c r="I1049" t="s">
        <v>68</v>
      </c>
    </row>
    <row r="1050" spans="1:9" hidden="1" x14ac:dyDescent="0.35">
      <c r="A1050" t="s">
        <v>9</v>
      </c>
      <c r="B1050">
        <v>2035</v>
      </c>
      <c r="C1050" t="s">
        <v>67</v>
      </c>
      <c r="D1050" t="s">
        <v>43</v>
      </c>
      <c r="E1050">
        <v>3.0770932551634399E-2</v>
      </c>
      <c r="F1050">
        <v>3.0287268133454202E-2</v>
      </c>
      <c r="G1050">
        <v>-4.83664418180221E-4</v>
      </c>
      <c r="H1050">
        <v>-1.57182242484402</v>
      </c>
      <c r="I1050" t="s">
        <v>68</v>
      </c>
    </row>
    <row r="1051" spans="1:9" hidden="1" x14ac:dyDescent="0.35">
      <c r="A1051" t="s">
        <v>9</v>
      </c>
      <c r="B1051">
        <v>2035</v>
      </c>
      <c r="C1051" t="s">
        <v>67</v>
      </c>
      <c r="D1051" t="s">
        <v>136</v>
      </c>
      <c r="E1051">
        <v>20.5111756828971</v>
      </c>
      <c r="F1051">
        <v>20.439521009363201</v>
      </c>
      <c r="G1051">
        <v>-7.1654673533949095E-2</v>
      </c>
      <c r="H1051">
        <v>-0.34934454583067598</v>
      </c>
      <c r="I1051" t="s">
        <v>68</v>
      </c>
    </row>
    <row r="1052" spans="1:9" hidden="1" x14ac:dyDescent="0.35">
      <c r="A1052" t="s">
        <v>9</v>
      </c>
      <c r="B1052">
        <v>2035</v>
      </c>
      <c r="C1052" t="s">
        <v>67</v>
      </c>
      <c r="D1052" t="s">
        <v>45</v>
      </c>
      <c r="E1052">
        <v>5.8656857982737801E-2</v>
      </c>
      <c r="F1052">
        <v>5.3487907307011501E-2</v>
      </c>
      <c r="G1052">
        <v>-5.1689506757263597E-3</v>
      </c>
      <c r="H1052">
        <v>-8.8121847188738496</v>
      </c>
      <c r="I1052" t="s">
        <v>68</v>
      </c>
    </row>
    <row r="1053" spans="1:9" hidden="1" x14ac:dyDescent="0.35">
      <c r="A1053" t="s">
        <v>9</v>
      </c>
      <c r="B1053">
        <v>2035</v>
      </c>
      <c r="C1053" t="s">
        <v>67</v>
      </c>
      <c r="D1053" t="s">
        <v>46</v>
      </c>
      <c r="E1053">
        <v>1.38049709996459</v>
      </c>
      <c r="F1053">
        <v>1.38049709996459</v>
      </c>
      <c r="G1053">
        <v>0</v>
      </c>
      <c r="H1053">
        <v>0</v>
      </c>
      <c r="I1053" t="s">
        <v>68</v>
      </c>
    </row>
    <row r="1054" spans="1:9" hidden="1" x14ac:dyDescent="0.35">
      <c r="A1054" t="s">
        <v>9</v>
      </c>
      <c r="B1054">
        <v>2035</v>
      </c>
      <c r="C1054" t="s">
        <v>67</v>
      </c>
      <c r="D1054" t="s">
        <v>47</v>
      </c>
      <c r="E1054">
        <v>7.0288058769338996E-3</v>
      </c>
      <c r="F1054">
        <v>7.0288058769338996E-3</v>
      </c>
      <c r="G1054">
        <v>0</v>
      </c>
      <c r="H1054">
        <v>0</v>
      </c>
      <c r="I1054" t="s">
        <v>68</v>
      </c>
    </row>
    <row r="1055" spans="1:9" hidden="1" x14ac:dyDescent="0.35">
      <c r="A1055" t="s">
        <v>9</v>
      </c>
      <c r="B1055">
        <v>2035</v>
      </c>
      <c r="C1055" t="s">
        <v>67</v>
      </c>
      <c r="D1055" t="s">
        <v>48</v>
      </c>
      <c r="E1055">
        <v>108.63613209101</v>
      </c>
      <c r="F1055">
        <v>108.63613209101</v>
      </c>
      <c r="G1055">
        <v>0</v>
      </c>
      <c r="H1055">
        <v>0</v>
      </c>
      <c r="I1055" t="s">
        <v>68</v>
      </c>
    </row>
    <row r="1056" spans="1:9" hidden="1" x14ac:dyDescent="0.35">
      <c r="A1056" t="s">
        <v>9</v>
      </c>
      <c r="B1056">
        <v>2035</v>
      </c>
      <c r="C1056" t="s">
        <v>67</v>
      </c>
      <c r="D1056" t="s">
        <v>49</v>
      </c>
      <c r="E1056">
        <v>0.15533607347707201</v>
      </c>
      <c r="F1056">
        <v>0.13992364741491101</v>
      </c>
      <c r="G1056">
        <v>-1.5412426062161101E-2</v>
      </c>
      <c r="H1056">
        <v>-9.9219876730281893</v>
      </c>
      <c r="I1056" t="s">
        <v>68</v>
      </c>
    </row>
    <row r="1057" spans="1:9" hidden="1" x14ac:dyDescent="0.35">
      <c r="A1057" t="s">
        <v>9</v>
      </c>
      <c r="B1057">
        <v>2035</v>
      </c>
      <c r="C1057" t="s">
        <v>67</v>
      </c>
      <c r="D1057" t="s">
        <v>50</v>
      </c>
      <c r="E1057">
        <v>0.44107602817193697</v>
      </c>
      <c r="F1057">
        <v>0.44107602817193697</v>
      </c>
      <c r="G1057">
        <v>0</v>
      </c>
      <c r="H1057">
        <v>0</v>
      </c>
      <c r="I1057" t="s">
        <v>68</v>
      </c>
    </row>
    <row r="1058" spans="1:9" hidden="1" x14ac:dyDescent="0.35">
      <c r="A1058" t="s">
        <v>9</v>
      </c>
      <c r="B1058">
        <v>2035</v>
      </c>
      <c r="C1058" t="s">
        <v>67</v>
      </c>
      <c r="D1058" t="s">
        <v>51</v>
      </c>
      <c r="E1058">
        <v>0.64331472435974502</v>
      </c>
      <c r="F1058">
        <v>0.64331472435974502</v>
      </c>
      <c r="G1058">
        <v>0</v>
      </c>
      <c r="H1058">
        <v>0</v>
      </c>
      <c r="I1058" t="s">
        <v>68</v>
      </c>
    </row>
    <row r="1059" spans="1:9" hidden="1" x14ac:dyDescent="0.35">
      <c r="A1059" t="s">
        <v>9</v>
      </c>
      <c r="B1059">
        <v>2035</v>
      </c>
      <c r="C1059" t="s">
        <v>67</v>
      </c>
      <c r="D1059" t="s">
        <v>52</v>
      </c>
      <c r="E1059">
        <v>10.8981468743183</v>
      </c>
      <c r="F1059">
        <v>10.8981468743183</v>
      </c>
      <c r="G1059">
        <v>0</v>
      </c>
      <c r="H1059">
        <v>0</v>
      </c>
      <c r="I1059" t="s">
        <v>68</v>
      </c>
    </row>
    <row r="1060" spans="1:9" hidden="1" x14ac:dyDescent="0.35">
      <c r="A1060" t="s">
        <v>9</v>
      </c>
      <c r="B1060">
        <v>2035</v>
      </c>
      <c r="C1060" t="s">
        <v>67</v>
      </c>
      <c r="D1060" t="s">
        <v>53</v>
      </c>
      <c r="E1060">
        <v>7.2202645599705502</v>
      </c>
      <c r="F1060">
        <v>7.2202645599705502</v>
      </c>
      <c r="G1060">
        <v>0</v>
      </c>
      <c r="H1060">
        <v>0</v>
      </c>
      <c r="I1060" t="s">
        <v>68</v>
      </c>
    </row>
    <row r="1061" spans="1:9" hidden="1" x14ac:dyDescent="0.35">
      <c r="A1061" t="s">
        <v>9</v>
      </c>
      <c r="B1061">
        <v>2035</v>
      </c>
      <c r="C1061" t="s">
        <v>67</v>
      </c>
      <c r="D1061" t="s">
        <v>54</v>
      </c>
      <c r="E1061">
        <v>2.8604407972857699</v>
      </c>
      <c r="F1061">
        <v>2.8597002438727701</v>
      </c>
      <c r="G1061">
        <v>-7.4055341300116595E-4</v>
      </c>
      <c r="H1061">
        <v>-2.58894857640075E-2</v>
      </c>
      <c r="I1061" t="s">
        <v>68</v>
      </c>
    </row>
    <row r="1062" spans="1:9" hidden="1" x14ac:dyDescent="0.35">
      <c r="A1062" t="s">
        <v>9</v>
      </c>
      <c r="B1062">
        <v>2035</v>
      </c>
      <c r="C1062" t="s">
        <v>67</v>
      </c>
      <c r="D1062" t="s">
        <v>55</v>
      </c>
      <c r="E1062">
        <v>2.64852612557064</v>
      </c>
      <c r="F1062">
        <v>2.6149222428363101</v>
      </c>
      <c r="G1062">
        <v>-3.3603882734329397E-2</v>
      </c>
      <c r="H1062">
        <v>-1.2687767135802399</v>
      </c>
      <c r="I1062" t="s">
        <v>68</v>
      </c>
    </row>
    <row r="1063" spans="1:9" hidden="1" x14ac:dyDescent="0.35">
      <c r="A1063" t="s">
        <v>9</v>
      </c>
      <c r="B1063">
        <v>2035</v>
      </c>
      <c r="C1063" t="s">
        <v>67</v>
      </c>
      <c r="D1063" t="s">
        <v>56</v>
      </c>
      <c r="E1063" s="1">
        <v>2.2304758798000302E-6</v>
      </c>
      <c r="F1063" s="1">
        <v>2.2304758798000302E-6</v>
      </c>
      <c r="G1063">
        <v>0</v>
      </c>
      <c r="H1063">
        <v>0</v>
      </c>
      <c r="I1063" t="s">
        <v>68</v>
      </c>
    </row>
    <row r="1064" spans="1:9" hidden="1" x14ac:dyDescent="0.35">
      <c r="A1064" t="s">
        <v>11</v>
      </c>
      <c r="B1064">
        <v>2040</v>
      </c>
      <c r="C1064" t="s">
        <v>67</v>
      </c>
      <c r="D1064" t="s">
        <v>38</v>
      </c>
      <c r="E1064">
        <v>3.5953886205308497E-2</v>
      </c>
      <c r="F1064">
        <v>2.0288779763104701E-2</v>
      </c>
      <c r="G1064">
        <v>-1.5665106442203799E-2</v>
      </c>
      <c r="H1064">
        <v>-43.569995056308798</v>
      </c>
      <c r="I1064" t="s">
        <v>68</v>
      </c>
    </row>
    <row r="1065" spans="1:9" hidden="1" x14ac:dyDescent="0.35">
      <c r="A1065" t="s">
        <v>11</v>
      </c>
      <c r="B1065">
        <v>2040</v>
      </c>
      <c r="C1065" t="s">
        <v>67</v>
      </c>
      <c r="D1065" t="s">
        <v>40</v>
      </c>
      <c r="E1065">
        <v>6.4264889802288202E-3</v>
      </c>
      <c r="F1065">
        <v>6.4264889802288202E-3</v>
      </c>
      <c r="G1065">
        <v>0</v>
      </c>
      <c r="H1065">
        <v>0</v>
      </c>
      <c r="I1065" t="s">
        <v>68</v>
      </c>
    </row>
    <row r="1066" spans="1:9" hidden="1" x14ac:dyDescent="0.35">
      <c r="A1066" t="s">
        <v>11</v>
      </c>
      <c r="B1066">
        <v>2040</v>
      </c>
      <c r="C1066" t="s">
        <v>67</v>
      </c>
      <c r="D1066" t="s">
        <v>41</v>
      </c>
      <c r="E1066">
        <v>6.2696576623697597E-2</v>
      </c>
      <c r="F1066">
        <v>5.5373017349095603E-2</v>
      </c>
      <c r="G1066">
        <v>-7.3235592746020298E-3</v>
      </c>
      <c r="H1066">
        <v>-11.680955594366401</v>
      </c>
      <c r="I1066" t="s">
        <v>68</v>
      </c>
    </row>
    <row r="1067" spans="1:9" hidden="1" x14ac:dyDescent="0.35">
      <c r="A1067" t="s">
        <v>11</v>
      </c>
      <c r="B1067">
        <v>2040</v>
      </c>
      <c r="C1067" t="s">
        <v>67</v>
      </c>
      <c r="D1067" t="s">
        <v>42</v>
      </c>
      <c r="E1067">
        <v>30.646557023326501</v>
      </c>
      <c r="F1067">
        <v>24.859459927325901</v>
      </c>
      <c r="G1067">
        <v>-5.7870970960005597</v>
      </c>
      <c r="H1067">
        <v>-18.883351534711501</v>
      </c>
      <c r="I1067" t="s">
        <v>68</v>
      </c>
    </row>
    <row r="1068" spans="1:9" hidden="1" x14ac:dyDescent="0.35">
      <c r="A1068" t="s">
        <v>11</v>
      </c>
      <c r="B1068">
        <v>2040</v>
      </c>
      <c r="C1068" t="s">
        <v>67</v>
      </c>
      <c r="D1068" t="s">
        <v>43</v>
      </c>
      <c r="E1068">
        <v>3.0104751180624102E-2</v>
      </c>
      <c r="F1068">
        <v>2.7893487841932699E-2</v>
      </c>
      <c r="G1068">
        <v>-2.21126333869133E-3</v>
      </c>
      <c r="H1068">
        <v>-7.3452304103896102</v>
      </c>
      <c r="I1068" t="s">
        <v>68</v>
      </c>
    </row>
    <row r="1069" spans="1:9" hidden="1" x14ac:dyDescent="0.35">
      <c r="A1069" t="s">
        <v>11</v>
      </c>
      <c r="B1069">
        <v>2040</v>
      </c>
      <c r="C1069" t="s">
        <v>67</v>
      </c>
      <c r="D1069" t="s">
        <v>136</v>
      </c>
      <c r="E1069">
        <v>20.137434388229</v>
      </c>
      <c r="F1069">
        <v>19.5721340671337</v>
      </c>
      <c r="G1069">
        <v>-0.56530032109529305</v>
      </c>
      <c r="H1069">
        <v>-2.8072112375235299</v>
      </c>
      <c r="I1069" t="s">
        <v>68</v>
      </c>
    </row>
    <row r="1070" spans="1:9" hidden="1" x14ac:dyDescent="0.35">
      <c r="A1070" t="s">
        <v>11</v>
      </c>
      <c r="B1070">
        <v>2040</v>
      </c>
      <c r="C1070" t="s">
        <v>67</v>
      </c>
      <c r="D1070" t="s">
        <v>45</v>
      </c>
      <c r="E1070">
        <v>5.7958876988699601E-2</v>
      </c>
      <c r="F1070">
        <v>3.3794186825274401E-2</v>
      </c>
      <c r="G1070">
        <v>-2.41646901634252E-2</v>
      </c>
      <c r="H1070">
        <v>-41.692819838687697</v>
      </c>
      <c r="I1070" t="s">
        <v>68</v>
      </c>
    </row>
    <row r="1071" spans="1:9" hidden="1" x14ac:dyDescent="0.35">
      <c r="A1071" t="s">
        <v>11</v>
      </c>
      <c r="B1071">
        <v>2040</v>
      </c>
      <c r="C1071" t="s">
        <v>67</v>
      </c>
      <c r="D1071" t="s">
        <v>46</v>
      </c>
      <c r="E1071">
        <v>1.8649333885595201</v>
      </c>
      <c r="F1071">
        <v>1.8649333885595201</v>
      </c>
      <c r="G1071">
        <v>0</v>
      </c>
      <c r="H1071">
        <v>0</v>
      </c>
      <c r="I1071" t="s">
        <v>68</v>
      </c>
    </row>
    <row r="1072" spans="1:9" hidden="1" x14ac:dyDescent="0.35">
      <c r="A1072" t="s">
        <v>11</v>
      </c>
      <c r="B1072">
        <v>2040</v>
      </c>
      <c r="C1072" t="s">
        <v>67</v>
      </c>
      <c r="D1072" t="s">
        <v>47</v>
      </c>
      <c r="E1072">
        <v>6.9913663235525603E-3</v>
      </c>
      <c r="F1072">
        <v>6.9913663235525603E-3</v>
      </c>
      <c r="G1072">
        <v>0</v>
      </c>
      <c r="H1072">
        <v>0</v>
      </c>
      <c r="I1072" t="s">
        <v>68</v>
      </c>
    </row>
    <row r="1073" spans="1:9" hidden="1" x14ac:dyDescent="0.35">
      <c r="A1073" t="s">
        <v>11</v>
      </c>
      <c r="B1073">
        <v>2040</v>
      </c>
      <c r="C1073" t="s">
        <v>67</v>
      </c>
      <c r="D1073" t="s">
        <v>48</v>
      </c>
      <c r="E1073">
        <v>108.64507107518899</v>
      </c>
      <c r="F1073">
        <v>108.64507107518899</v>
      </c>
      <c r="G1073">
        <v>0</v>
      </c>
      <c r="H1073">
        <v>0</v>
      </c>
      <c r="I1073" t="s">
        <v>68</v>
      </c>
    </row>
    <row r="1074" spans="1:9" hidden="1" x14ac:dyDescent="0.35">
      <c r="A1074" t="s">
        <v>11</v>
      </c>
      <c r="B1074">
        <v>2040</v>
      </c>
      <c r="C1074" t="s">
        <v>67</v>
      </c>
      <c r="D1074" t="s">
        <v>49</v>
      </c>
      <c r="E1074">
        <v>0.15401412131904499</v>
      </c>
      <c r="F1074">
        <v>8.2742513261485406E-2</v>
      </c>
      <c r="G1074">
        <v>-7.1271608057559693E-2</v>
      </c>
      <c r="H1074">
        <v>-46.276021605783903</v>
      </c>
      <c r="I1074" t="s">
        <v>68</v>
      </c>
    </row>
    <row r="1075" spans="1:9" hidden="1" x14ac:dyDescent="0.35">
      <c r="A1075" t="s">
        <v>11</v>
      </c>
      <c r="B1075">
        <v>2040</v>
      </c>
      <c r="C1075" t="s">
        <v>67</v>
      </c>
      <c r="D1075" t="s">
        <v>50</v>
      </c>
      <c r="E1075">
        <v>0.43279471591053598</v>
      </c>
      <c r="F1075">
        <v>0.43279471591053598</v>
      </c>
      <c r="G1075">
        <v>0</v>
      </c>
      <c r="H1075">
        <v>0</v>
      </c>
      <c r="I1075" t="s">
        <v>68</v>
      </c>
    </row>
    <row r="1076" spans="1:9" hidden="1" x14ac:dyDescent="0.35">
      <c r="A1076" t="s">
        <v>11</v>
      </c>
      <c r="B1076">
        <v>2040</v>
      </c>
      <c r="C1076" t="s">
        <v>67</v>
      </c>
      <c r="D1076" t="s">
        <v>51</v>
      </c>
      <c r="E1076">
        <v>0.65179278711510902</v>
      </c>
      <c r="F1076">
        <v>0.65179278711510902</v>
      </c>
      <c r="G1076">
        <v>0</v>
      </c>
      <c r="H1076">
        <v>0</v>
      </c>
      <c r="I1076" t="s">
        <v>68</v>
      </c>
    </row>
    <row r="1077" spans="1:9" hidden="1" x14ac:dyDescent="0.35">
      <c r="A1077" t="s">
        <v>11</v>
      </c>
      <c r="B1077">
        <v>2040</v>
      </c>
      <c r="C1077" t="s">
        <v>67</v>
      </c>
      <c r="D1077" t="s">
        <v>52</v>
      </c>
      <c r="E1077">
        <v>10.799862438255801</v>
      </c>
      <c r="F1077">
        <v>10.799862438255801</v>
      </c>
      <c r="G1077">
        <v>0</v>
      </c>
      <c r="H1077">
        <v>0</v>
      </c>
      <c r="I1077" t="s">
        <v>68</v>
      </c>
    </row>
    <row r="1078" spans="1:9" hidden="1" x14ac:dyDescent="0.35">
      <c r="A1078" t="s">
        <v>11</v>
      </c>
      <c r="B1078">
        <v>2040</v>
      </c>
      <c r="C1078" t="s">
        <v>67</v>
      </c>
      <c r="D1078" t="s">
        <v>53</v>
      </c>
      <c r="E1078">
        <v>7.0645496521900197</v>
      </c>
      <c r="F1078">
        <v>7.0645496521900197</v>
      </c>
      <c r="G1078">
        <v>0</v>
      </c>
      <c r="H1078">
        <v>0</v>
      </c>
      <c r="I1078" t="s">
        <v>68</v>
      </c>
    </row>
    <row r="1079" spans="1:9" hidden="1" x14ac:dyDescent="0.35">
      <c r="A1079" t="s">
        <v>11</v>
      </c>
      <c r="B1079">
        <v>2040</v>
      </c>
      <c r="C1079" t="s">
        <v>67</v>
      </c>
      <c r="D1079" t="s">
        <v>54</v>
      </c>
      <c r="E1079">
        <v>2.8661741891971402</v>
      </c>
      <c r="F1079">
        <v>2.8627648713057798</v>
      </c>
      <c r="G1079">
        <v>-3.4093178913567799E-3</v>
      </c>
      <c r="H1079">
        <v>-0.11895012885842</v>
      </c>
      <c r="I1079" t="s">
        <v>68</v>
      </c>
    </row>
    <row r="1080" spans="1:9" hidden="1" x14ac:dyDescent="0.35">
      <c r="A1080" t="s">
        <v>11</v>
      </c>
      <c r="B1080">
        <v>2040</v>
      </c>
      <c r="C1080" t="s">
        <v>67</v>
      </c>
      <c r="D1080" t="s">
        <v>55</v>
      </c>
      <c r="E1080">
        <v>2.6541796549784902</v>
      </c>
      <c r="F1080">
        <v>2.4996580570665099</v>
      </c>
      <c r="G1080">
        <v>-0.154521597911979</v>
      </c>
      <c r="H1080">
        <v>-5.8218213534317496</v>
      </c>
      <c r="I1080" t="s">
        <v>68</v>
      </c>
    </row>
    <row r="1081" spans="1:9" hidden="1" x14ac:dyDescent="0.35">
      <c r="A1081" t="s">
        <v>11</v>
      </c>
      <c r="B1081">
        <v>2040</v>
      </c>
      <c r="C1081" t="s">
        <v>67</v>
      </c>
      <c r="D1081" t="s">
        <v>56</v>
      </c>
      <c r="E1081" s="1">
        <v>2.1829099805958001E-6</v>
      </c>
      <c r="F1081" s="1">
        <v>2.1829099805958001E-6</v>
      </c>
      <c r="G1081">
        <v>0</v>
      </c>
      <c r="H1081">
        <v>0</v>
      </c>
      <c r="I1081" t="s">
        <v>68</v>
      </c>
    </row>
    <row r="1082" spans="1:9" hidden="1" x14ac:dyDescent="0.35">
      <c r="A1082" t="s">
        <v>5</v>
      </c>
      <c r="B1082">
        <v>2025</v>
      </c>
      <c r="C1082" t="s">
        <v>80</v>
      </c>
      <c r="D1082" t="s">
        <v>38</v>
      </c>
      <c r="E1082">
        <v>1.25867512003306E-3</v>
      </c>
      <c r="F1082">
        <v>1.25867512003306E-3</v>
      </c>
      <c r="G1082">
        <v>0</v>
      </c>
      <c r="H1082">
        <v>0</v>
      </c>
      <c r="I1082" t="s">
        <v>81</v>
      </c>
    </row>
    <row r="1083" spans="1:9" hidden="1" x14ac:dyDescent="0.35">
      <c r="A1083" t="s">
        <v>5</v>
      </c>
      <c r="B1083">
        <v>2025</v>
      </c>
      <c r="C1083" t="s">
        <v>80</v>
      </c>
      <c r="D1083" t="s">
        <v>40</v>
      </c>
      <c r="E1083">
        <v>4.2332536773998099E-4</v>
      </c>
      <c r="F1083">
        <v>4.2332536773998099E-4</v>
      </c>
      <c r="G1083">
        <v>0</v>
      </c>
      <c r="H1083">
        <v>0</v>
      </c>
      <c r="I1083" t="s">
        <v>81</v>
      </c>
    </row>
    <row r="1084" spans="1:9" hidden="1" x14ac:dyDescent="0.35">
      <c r="A1084" t="s">
        <v>5</v>
      </c>
      <c r="B1084">
        <v>2025</v>
      </c>
      <c r="C1084" t="s">
        <v>80</v>
      </c>
      <c r="D1084" t="s">
        <v>41</v>
      </c>
      <c r="E1084">
        <v>4.0104016158038196E-3</v>
      </c>
      <c r="F1084">
        <v>4.0104016158038196E-3</v>
      </c>
      <c r="G1084">
        <v>0</v>
      </c>
      <c r="H1084">
        <v>0</v>
      </c>
      <c r="I1084" t="s">
        <v>81</v>
      </c>
    </row>
    <row r="1085" spans="1:9" hidden="1" x14ac:dyDescent="0.35">
      <c r="A1085" t="s">
        <v>5</v>
      </c>
      <c r="B1085">
        <v>2025</v>
      </c>
      <c r="C1085" t="s">
        <v>80</v>
      </c>
      <c r="D1085" t="s">
        <v>42</v>
      </c>
      <c r="E1085">
        <v>0.64857756574674197</v>
      </c>
      <c r="F1085">
        <v>0.64857756574674197</v>
      </c>
      <c r="G1085">
        <v>0</v>
      </c>
      <c r="H1085">
        <v>0</v>
      </c>
      <c r="I1085" t="s">
        <v>81</v>
      </c>
    </row>
    <row r="1086" spans="1:9" hidden="1" x14ac:dyDescent="0.35">
      <c r="A1086" t="s">
        <v>5</v>
      </c>
      <c r="B1086">
        <v>2025</v>
      </c>
      <c r="C1086" t="s">
        <v>80</v>
      </c>
      <c r="D1086" t="s">
        <v>43</v>
      </c>
      <c r="E1086">
        <v>1.48740824580535E-3</v>
      </c>
      <c r="F1086">
        <v>1.48740824580535E-3</v>
      </c>
      <c r="G1086">
        <v>0</v>
      </c>
      <c r="H1086">
        <v>0</v>
      </c>
      <c r="I1086" t="s">
        <v>81</v>
      </c>
    </row>
    <row r="1087" spans="1:9" hidden="1" x14ac:dyDescent="0.35">
      <c r="A1087" t="s">
        <v>5</v>
      </c>
      <c r="B1087">
        <v>2025</v>
      </c>
      <c r="C1087" t="s">
        <v>80</v>
      </c>
      <c r="D1087" t="s">
        <v>136</v>
      </c>
      <c r="E1087">
        <v>1.60336471768156</v>
      </c>
      <c r="F1087">
        <v>1.60336471768156</v>
      </c>
      <c r="G1087">
        <v>0</v>
      </c>
      <c r="H1087">
        <v>0</v>
      </c>
      <c r="I1087" t="s">
        <v>81</v>
      </c>
    </row>
    <row r="1088" spans="1:9" hidden="1" x14ac:dyDescent="0.35">
      <c r="A1088" t="s">
        <v>5</v>
      </c>
      <c r="B1088">
        <v>2025</v>
      </c>
      <c r="C1088" t="s">
        <v>80</v>
      </c>
      <c r="D1088" t="s">
        <v>45</v>
      </c>
      <c r="E1088">
        <v>1.7695041630306099E-3</v>
      </c>
      <c r="F1088">
        <v>1.7695041630306099E-3</v>
      </c>
      <c r="G1088">
        <v>0</v>
      </c>
      <c r="H1088">
        <v>0</v>
      </c>
      <c r="I1088" t="s">
        <v>81</v>
      </c>
    </row>
    <row r="1089" spans="1:9" hidden="1" x14ac:dyDescent="0.35">
      <c r="A1089" t="s">
        <v>5</v>
      </c>
      <c r="B1089">
        <v>2025</v>
      </c>
      <c r="C1089" t="s">
        <v>80</v>
      </c>
      <c r="D1089" t="s">
        <v>46</v>
      </c>
      <c r="E1089">
        <v>7.1645304392225301E-2</v>
      </c>
      <c r="F1089">
        <v>7.1645304392225301E-2</v>
      </c>
      <c r="G1089">
        <v>0</v>
      </c>
      <c r="H1089">
        <v>0</v>
      </c>
      <c r="I1089" t="s">
        <v>81</v>
      </c>
    </row>
    <row r="1090" spans="1:9" hidden="1" x14ac:dyDescent="0.35">
      <c r="A1090" t="s">
        <v>5</v>
      </c>
      <c r="B1090">
        <v>2025</v>
      </c>
      <c r="C1090" t="s">
        <v>80</v>
      </c>
      <c r="D1090" t="s">
        <v>47</v>
      </c>
      <c r="E1090">
        <v>5.7690759887657104E-4</v>
      </c>
      <c r="F1090">
        <v>5.7690759887657104E-4</v>
      </c>
      <c r="G1090">
        <v>0</v>
      </c>
      <c r="H1090">
        <v>0</v>
      </c>
      <c r="I1090" t="s">
        <v>81</v>
      </c>
    </row>
    <row r="1091" spans="1:9" hidden="1" x14ac:dyDescent="0.35">
      <c r="A1091" t="s">
        <v>5</v>
      </c>
      <c r="B1091">
        <v>2025</v>
      </c>
      <c r="C1091" t="s">
        <v>80</v>
      </c>
      <c r="D1091" t="s">
        <v>48</v>
      </c>
      <c r="E1091">
        <v>80.5600589796002</v>
      </c>
      <c r="F1091">
        <v>80.5600589796002</v>
      </c>
      <c r="G1091">
        <v>0</v>
      </c>
      <c r="H1091">
        <v>0</v>
      </c>
      <c r="I1091" t="s">
        <v>81</v>
      </c>
    </row>
    <row r="1092" spans="1:9" hidden="1" x14ac:dyDescent="0.35">
      <c r="A1092" t="s">
        <v>5</v>
      </c>
      <c r="B1092">
        <v>2025</v>
      </c>
      <c r="C1092" t="s">
        <v>80</v>
      </c>
      <c r="D1092" t="s">
        <v>49</v>
      </c>
      <c r="E1092">
        <v>4.4879467608985504E-3</v>
      </c>
      <c r="F1092">
        <v>4.4879467608985504E-3</v>
      </c>
      <c r="G1092">
        <v>0</v>
      </c>
      <c r="H1092">
        <v>0</v>
      </c>
      <c r="I1092" t="s">
        <v>81</v>
      </c>
    </row>
    <row r="1093" spans="1:9" hidden="1" x14ac:dyDescent="0.35">
      <c r="A1093" t="s">
        <v>5</v>
      </c>
      <c r="B1093">
        <v>2025</v>
      </c>
      <c r="C1093" t="s">
        <v>80</v>
      </c>
      <c r="D1093" t="s">
        <v>50</v>
      </c>
      <c r="E1093">
        <v>1.1186052730681901E-2</v>
      </c>
      <c r="F1093">
        <v>1.1186052730681901E-2</v>
      </c>
      <c r="G1093">
        <v>0</v>
      </c>
      <c r="H1093">
        <v>0</v>
      </c>
      <c r="I1093" t="s">
        <v>81</v>
      </c>
    </row>
    <row r="1094" spans="1:9" hidden="1" x14ac:dyDescent="0.35">
      <c r="A1094" t="s">
        <v>5</v>
      </c>
      <c r="B1094">
        <v>2025</v>
      </c>
      <c r="C1094" t="s">
        <v>80</v>
      </c>
      <c r="D1094" t="s">
        <v>51</v>
      </c>
      <c r="E1094">
        <v>5.8817591266547897E-2</v>
      </c>
      <c r="F1094">
        <v>5.8817591266547897E-2</v>
      </c>
      <c r="G1094">
        <v>0</v>
      </c>
      <c r="H1094">
        <v>0</v>
      </c>
      <c r="I1094" t="s">
        <v>81</v>
      </c>
    </row>
    <row r="1095" spans="1:9" hidden="1" x14ac:dyDescent="0.35">
      <c r="A1095" t="s">
        <v>5</v>
      </c>
      <c r="B1095">
        <v>2025</v>
      </c>
      <c r="C1095" t="s">
        <v>80</v>
      </c>
      <c r="D1095" t="s">
        <v>52</v>
      </c>
      <c r="E1095">
        <v>0.47346262656584698</v>
      </c>
      <c r="F1095">
        <v>0.47346262656584698</v>
      </c>
      <c r="G1095">
        <v>0</v>
      </c>
      <c r="H1095">
        <v>0</v>
      </c>
      <c r="I1095" t="s">
        <v>81</v>
      </c>
    </row>
    <row r="1096" spans="1:9" hidden="1" x14ac:dyDescent="0.35">
      <c r="A1096" t="s">
        <v>5</v>
      </c>
      <c r="B1096">
        <v>2025</v>
      </c>
      <c r="C1096" t="s">
        <v>80</v>
      </c>
      <c r="D1096" t="s">
        <v>53</v>
      </c>
      <c r="E1096">
        <v>0.40354421168080001</v>
      </c>
      <c r="F1096">
        <v>0.40354421168080001</v>
      </c>
      <c r="G1096">
        <v>0</v>
      </c>
      <c r="H1096">
        <v>0</v>
      </c>
      <c r="I1096" t="s">
        <v>81</v>
      </c>
    </row>
    <row r="1097" spans="1:9" hidden="1" x14ac:dyDescent="0.35">
      <c r="A1097" t="s">
        <v>5</v>
      </c>
      <c r="B1097">
        <v>2025</v>
      </c>
      <c r="C1097" t="s">
        <v>80</v>
      </c>
      <c r="D1097" t="s">
        <v>54</v>
      </c>
      <c r="E1097">
        <v>4.8703109163860198E-2</v>
      </c>
      <c r="F1097">
        <v>4.8703109163860198E-2</v>
      </c>
      <c r="G1097">
        <v>0</v>
      </c>
      <c r="H1097">
        <v>0</v>
      </c>
      <c r="I1097" t="s">
        <v>81</v>
      </c>
    </row>
    <row r="1098" spans="1:9" hidden="1" x14ac:dyDescent="0.35">
      <c r="A1098" t="s">
        <v>5</v>
      </c>
      <c r="B1098">
        <v>2025</v>
      </c>
      <c r="C1098" t="s">
        <v>80</v>
      </c>
      <c r="D1098" t="s">
        <v>55</v>
      </c>
      <c r="E1098">
        <v>4.5236770803082603E-2</v>
      </c>
      <c r="F1098">
        <v>4.5236770803082603E-2</v>
      </c>
      <c r="G1098">
        <v>0</v>
      </c>
      <c r="H1098">
        <v>0</v>
      </c>
      <c r="I1098" t="s">
        <v>81</v>
      </c>
    </row>
    <row r="1099" spans="1:9" hidden="1" x14ac:dyDescent="0.35">
      <c r="A1099" t="s">
        <v>5</v>
      </c>
      <c r="B1099">
        <v>2025</v>
      </c>
      <c r="C1099" t="s">
        <v>80</v>
      </c>
      <c r="D1099" t="s">
        <v>56</v>
      </c>
      <c r="E1099" s="1">
        <v>1.04258427819278E-7</v>
      </c>
      <c r="F1099" s="1">
        <v>1.04258427819278E-7</v>
      </c>
      <c r="G1099">
        <v>0</v>
      </c>
      <c r="H1099">
        <v>0</v>
      </c>
      <c r="I1099" t="s">
        <v>81</v>
      </c>
    </row>
    <row r="1100" spans="1:9" hidden="1" x14ac:dyDescent="0.35">
      <c r="A1100" t="s">
        <v>7</v>
      </c>
      <c r="B1100">
        <v>2030</v>
      </c>
      <c r="C1100" t="s">
        <v>80</v>
      </c>
      <c r="D1100" t="s">
        <v>38</v>
      </c>
      <c r="E1100">
        <v>1.2643875904481501E-3</v>
      </c>
      <c r="F1100">
        <v>1.2643875904481501E-3</v>
      </c>
      <c r="G1100">
        <v>0</v>
      </c>
      <c r="H1100">
        <v>0</v>
      </c>
      <c r="I1100" t="s">
        <v>81</v>
      </c>
    </row>
    <row r="1101" spans="1:9" hidden="1" x14ac:dyDescent="0.35">
      <c r="A1101" t="s">
        <v>7</v>
      </c>
      <c r="B1101">
        <v>2030</v>
      </c>
      <c r="C1101" t="s">
        <v>80</v>
      </c>
      <c r="D1101" t="s">
        <v>40</v>
      </c>
      <c r="E1101">
        <v>3.9976472117125302E-4</v>
      </c>
      <c r="F1101">
        <v>3.9976472117125302E-4</v>
      </c>
      <c r="G1101">
        <v>0</v>
      </c>
      <c r="H1101">
        <v>0</v>
      </c>
      <c r="I1101" t="s">
        <v>81</v>
      </c>
    </row>
    <row r="1102" spans="1:9" hidden="1" x14ac:dyDescent="0.35">
      <c r="A1102" t="s">
        <v>7</v>
      </c>
      <c r="B1102">
        <v>2030</v>
      </c>
      <c r="C1102" t="s">
        <v>80</v>
      </c>
      <c r="D1102" t="s">
        <v>41</v>
      </c>
      <c r="E1102">
        <v>3.6035359254555999E-3</v>
      </c>
      <c r="F1102">
        <v>3.6035359254555999E-3</v>
      </c>
      <c r="G1102">
        <v>0</v>
      </c>
      <c r="H1102">
        <v>0</v>
      </c>
      <c r="I1102" t="s">
        <v>81</v>
      </c>
    </row>
    <row r="1103" spans="1:9" hidden="1" x14ac:dyDescent="0.35">
      <c r="A1103" t="s">
        <v>7</v>
      </c>
      <c r="B1103">
        <v>2030</v>
      </c>
      <c r="C1103" t="s">
        <v>80</v>
      </c>
      <c r="D1103" t="s">
        <v>42</v>
      </c>
      <c r="E1103">
        <v>0.56769748019455801</v>
      </c>
      <c r="F1103">
        <v>0.56769748019455801</v>
      </c>
      <c r="G1103">
        <v>0</v>
      </c>
      <c r="H1103">
        <v>0</v>
      </c>
      <c r="I1103" t="s">
        <v>81</v>
      </c>
    </row>
    <row r="1104" spans="1:9" hidden="1" x14ac:dyDescent="0.35">
      <c r="A1104" t="s">
        <v>7</v>
      </c>
      <c r="B1104">
        <v>2030</v>
      </c>
      <c r="C1104" t="s">
        <v>80</v>
      </c>
      <c r="D1104" t="s">
        <v>43</v>
      </c>
      <c r="E1104">
        <v>1.33488877042571E-3</v>
      </c>
      <c r="F1104">
        <v>1.33488877042571E-3</v>
      </c>
      <c r="G1104">
        <v>0</v>
      </c>
      <c r="H1104">
        <v>0</v>
      </c>
      <c r="I1104" t="s">
        <v>81</v>
      </c>
    </row>
    <row r="1105" spans="1:9" hidden="1" x14ac:dyDescent="0.35">
      <c r="A1105" t="s">
        <v>7</v>
      </c>
      <c r="B1105">
        <v>2030</v>
      </c>
      <c r="C1105" t="s">
        <v>80</v>
      </c>
      <c r="D1105" t="s">
        <v>136</v>
      </c>
      <c r="E1105">
        <v>1.4651568309691001</v>
      </c>
      <c r="F1105">
        <v>1.2550367463690699</v>
      </c>
      <c r="G1105">
        <v>-0.210120084600037</v>
      </c>
      <c r="H1105">
        <v>-14.341132645919901</v>
      </c>
      <c r="I1105" t="s">
        <v>81</v>
      </c>
    </row>
    <row r="1106" spans="1:9" hidden="1" x14ac:dyDescent="0.35">
      <c r="A1106" t="s">
        <v>7</v>
      </c>
      <c r="B1106">
        <v>2030</v>
      </c>
      <c r="C1106" t="s">
        <v>80</v>
      </c>
      <c r="D1106" t="s">
        <v>45</v>
      </c>
      <c r="E1106">
        <v>1.5649121044689701E-3</v>
      </c>
      <c r="F1106">
        <v>1.5649121044689701E-3</v>
      </c>
      <c r="G1106">
        <v>0</v>
      </c>
      <c r="H1106">
        <v>0</v>
      </c>
      <c r="I1106" t="s">
        <v>81</v>
      </c>
    </row>
    <row r="1107" spans="1:9" hidden="1" x14ac:dyDescent="0.35">
      <c r="A1107" t="s">
        <v>7</v>
      </c>
      <c r="B1107">
        <v>2030</v>
      </c>
      <c r="C1107" t="s">
        <v>80</v>
      </c>
      <c r="D1107" t="s">
        <v>46</v>
      </c>
      <c r="E1107">
        <v>7.5698859882098096E-2</v>
      </c>
      <c r="F1107">
        <v>7.5698859882098096E-2</v>
      </c>
      <c r="G1107">
        <v>0</v>
      </c>
      <c r="H1107">
        <v>0</v>
      </c>
      <c r="I1107" t="s">
        <v>81</v>
      </c>
    </row>
    <row r="1108" spans="1:9" hidden="1" x14ac:dyDescent="0.35">
      <c r="A1108" t="s">
        <v>7</v>
      </c>
      <c r="B1108">
        <v>2030</v>
      </c>
      <c r="C1108" t="s">
        <v>80</v>
      </c>
      <c r="D1108" t="s">
        <v>47</v>
      </c>
      <c r="E1108">
        <v>4.6015564788681003E-4</v>
      </c>
      <c r="F1108">
        <v>4.6015564788681003E-4</v>
      </c>
      <c r="G1108">
        <v>0</v>
      </c>
      <c r="H1108">
        <v>0</v>
      </c>
      <c r="I1108" t="s">
        <v>81</v>
      </c>
    </row>
    <row r="1109" spans="1:9" hidden="1" x14ac:dyDescent="0.35">
      <c r="A1109" t="s">
        <v>7</v>
      </c>
      <c r="B1109">
        <v>2030</v>
      </c>
      <c r="C1109" t="s">
        <v>80</v>
      </c>
      <c r="D1109" t="s">
        <v>48</v>
      </c>
      <c r="E1109">
        <v>80.561070195781895</v>
      </c>
      <c r="F1109">
        <v>80.561070195781895</v>
      </c>
      <c r="G1109">
        <v>0</v>
      </c>
      <c r="H1109">
        <v>0</v>
      </c>
      <c r="I1109" t="s">
        <v>81</v>
      </c>
    </row>
    <row r="1110" spans="1:9" hidden="1" x14ac:dyDescent="0.35">
      <c r="A1110" t="s">
        <v>7</v>
      </c>
      <c r="B1110">
        <v>2030</v>
      </c>
      <c r="C1110" t="s">
        <v>80</v>
      </c>
      <c r="D1110" t="s">
        <v>49</v>
      </c>
      <c r="E1110">
        <v>3.9189148781982102E-3</v>
      </c>
      <c r="F1110">
        <v>3.9189148781982102E-3</v>
      </c>
      <c r="G1110">
        <v>0</v>
      </c>
      <c r="H1110">
        <v>0</v>
      </c>
      <c r="I1110" t="s">
        <v>81</v>
      </c>
    </row>
    <row r="1111" spans="1:9" hidden="1" x14ac:dyDescent="0.35">
      <c r="A1111" t="s">
        <v>7</v>
      </c>
      <c r="B1111">
        <v>2030</v>
      </c>
      <c r="C1111" t="s">
        <v>80</v>
      </c>
      <c r="D1111" t="s">
        <v>50</v>
      </c>
      <c r="E1111">
        <v>1.03674474878023E-2</v>
      </c>
      <c r="F1111">
        <v>1.03674474878023E-2</v>
      </c>
      <c r="G1111">
        <v>0</v>
      </c>
      <c r="H1111">
        <v>0</v>
      </c>
      <c r="I1111" t="s">
        <v>81</v>
      </c>
    </row>
    <row r="1112" spans="1:9" hidden="1" x14ac:dyDescent="0.35">
      <c r="A1112" t="s">
        <v>7</v>
      </c>
      <c r="B1112">
        <v>2030</v>
      </c>
      <c r="C1112" t="s">
        <v>80</v>
      </c>
      <c r="D1112" t="s">
        <v>51</v>
      </c>
      <c r="E1112">
        <v>5.9985016015207698E-2</v>
      </c>
      <c r="F1112">
        <v>5.9985016015207698E-2</v>
      </c>
      <c r="G1112">
        <v>0</v>
      </c>
      <c r="H1112">
        <v>0</v>
      </c>
      <c r="I1112" t="s">
        <v>81</v>
      </c>
    </row>
    <row r="1113" spans="1:9" hidden="1" x14ac:dyDescent="0.35">
      <c r="A1113" t="s">
        <v>7</v>
      </c>
      <c r="B1113">
        <v>2030</v>
      </c>
      <c r="C1113" t="s">
        <v>80</v>
      </c>
      <c r="D1113" t="s">
        <v>52</v>
      </c>
      <c r="E1113">
        <v>0.38297104408906002</v>
      </c>
      <c r="F1113">
        <v>0.38297104408906002</v>
      </c>
      <c r="G1113">
        <v>0</v>
      </c>
      <c r="H1113">
        <v>0</v>
      </c>
      <c r="I1113" t="s">
        <v>81</v>
      </c>
    </row>
    <row r="1114" spans="1:9" hidden="1" x14ac:dyDescent="0.35">
      <c r="A1114" t="s">
        <v>7</v>
      </c>
      <c r="B1114">
        <v>2030</v>
      </c>
      <c r="C1114" t="s">
        <v>80</v>
      </c>
      <c r="D1114" t="s">
        <v>53</v>
      </c>
      <c r="E1114">
        <v>0.358935950588395</v>
      </c>
      <c r="F1114">
        <v>0.358935950588395</v>
      </c>
      <c r="G1114">
        <v>0</v>
      </c>
      <c r="H1114">
        <v>0</v>
      </c>
      <c r="I1114" t="s">
        <v>81</v>
      </c>
    </row>
    <row r="1115" spans="1:9" hidden="1" x14ac:dyDescent="0.35">
      <c r="A1115" t="s">
        <v>7</v>
      </c>
      <c r="B1115">
        <v>2030</v>
      </c>
      <c r="C1115" t="s">
        <v>80</v>
      </c>
      <c r="D1115" t="s">
        <v>54</v>
      </c>
      <c r="E1115">
        <v>4.8294089767286497E-2</v>
      </c>
      <c r="F1115">
        <v>4.8294089767286497E-2</v>
      </c>
      <c r="G1115">
        <v>0</v>
      </c>
      <c r="H1115">
        <v>0</v>
      </c>
      <c r="I1115" t="s">
        <v>81</v>
      </c>
    </row>
    <row r="1116" spans="1:9" hidden="1" x14ac:dyDescent="0.35">
      <c r="A1116" t="s">
        <v>7</v>
      </c>
      <c r="B1116">
        <v>2030</v>
      </c>
      <c r="C1116" t="s">
        <v>80</v>
      </c>
      <c r="D1116" t="s">
        <v>55</v>
      </c>
      <c r="E1116">
        <v>4.4669462839981799E-2</v>
      </c>
      <c r="F1116">
        <v>4.4669462839981799E-2</v>
      </c>
      <c r="G1116">
        <v>0</v>
      </c>
      <c r="H1116">
        <v>0</v>
      </c>
      <c r="I1116" t="s">
        <v>81</v>
      </c>
    </row>
    <row r="1117" spans="1:9" hidden="1" x14ac:dyDescent="0.35">
      <c r="A1117" t="s">
        <v>7</v>
      </c>
      <c r="B1117">
        <v>2030</v>
      </c>
      <c r="C1117" t="s">
        <v>80</v>
      </c>
      <c r="D1117" t="s">
        <v>56</v>
      </c>
      <c r="E1117" s="1">
        <v>9.37156091846573E-8</v>
      </c>
      <c r="F1117" s="1">
        <v>9.37156091846573E-8</v>
      </c>
      <c r="G1117">
        <v>0</v>
      </c>
      <c r="H1117">
        <v>0</v>
      </c>
      <c r="I1117" t="s">
        <v>81</v>
      </c>
    </row>
    <row r="1118" spans="1:9" hidden="1" x14ac:dyDescent="0.35">
      <c r="A1118" t="s">
        <v>9</v>
      </c>
      <c r="B1118">
        <v>2035</v>
      </c>
      <c r="C1118" t="s">
        <v>80</v>
      </c>
      <c r="D1118" t="s">
        <v>38</v>
      </c>
      <c r="E1118">
        <v>1.2217583666134799E-3</v>
      </c>
      <c r="F1118">
        <v>1.2217583666134799E-3</v>
      </c>
      <c r="G1118">
        <v>0</v>
      </c>
      <c r="H1118">
        <v>0</v>
      </c>
      <c r="I1118" t="s">
        <v>81</v>
      </c>
    </row>
    <row r="1119" spans="1:9" hidden="1" x14ac:dyDescent="0.35">
      <c r="A1119" t="s">
        <v>9</v>
      </c>
      <c r="B1119">
        <v>2035</v>
      </c>
      <c r="C1119" t="s">
        <v>80</v>
      </c>
      <c r="D1119" t="s">
        <v>40</v>
      </c>
      <c r="E1119">
        <v>3.7301752678334899E-4</v>
      </c>
      <c r="F1119">
        <v>3.7301752678334899E-4</v>
      </c>
      <c r="G1119">
        <v>0</v>
      </c>
      <c r="H1119">
        <v>0</v>
      </c>
      <c r="I1119" t="s">
        <v>81</v>
      </c>
    </row>
    <row r="1120" spans="1:9" hidden="1" x14ac:dyDescent="0.35">
      <c r="A1120" t="s">
        <v>9</v>
      </c>
      <c r="B1120">
        <v>2035</v>
      </c>
      <c r="C1120" t="s">
        <v>80</v>
      </c>
      <c r="D1120" t="s">
        <v>41</v>
      </c>
      <c r="E1120">
        <v>3.2976250625740798E-3</v>
      </c>
      <c r="F1120">
        <v>3.2976250625740798E-3</v>
      </c>
      <c r="G1120">
        <v>0</v>
      </c>
      <c r="H1120">
        <v>0</v>
      </c>
      <c r="I1120" t="s">
        <v>81</v>
      </c>
    </row>
    <row r="1121" spans="1:9" hidden="1" x14ac:dyDescent="0.35">
      <c r="A1121" t="s">
        <v>9</v>
      </c>
      <c r="B1121">
        <v>2035</v>
      </c>
      <c r="C1121" t="s">
        <v>80</v>
      </c>
      <c r="D1121" t="s">
        <v>42</v>
      </c>
      <c r="E1121">
        <v>0.50699107667322096</v>
      </c>
      <c r="F1121">
        <v>0.50699107667322096</v>
      </c>
      <c r="G1121">
        <v>0</v>
      </c>
      <c r="H1121">
        <v>0</v>
      </c>
      <c r="I1121" t="s">
        <v>81</v>
      </c>
    </row>
    <row r="1122" spans="1:9" hidden="1" x14ac:dyDescent="0.35">
      <c r="A1122" t="s">
        <v>9</v>
      </c>
      <c r="B1122">
        <v>2035</v>
      </c>
      <c r="C1122" t="s">
        <v>80</v>
      </c>
      <c r="D1122" t="s">
        <v>43</v>
      </c>
      <c r="E1122">
        <v>1.2204141544837699E-3</v>
      </c>
      <c r="F1122">
        <v>1.2204141544837699E-3</v>
      </c>
      <c r="G1122">
        <v>0</v>
      </c>
      <c r="H1122">
        <v>0</v>
      </c>
      <c r="I1122" t="s">
        <v>81</v>
      </c>
    </row>
    <row r="1123" spans="1:9" hidden="1" x14ac:dyDescent="0.35">
      <c r="A1123" t="s">
        <v>9</v>
      </c>
      <c r="B1123">
        <v>2035</v>
      </c>
      <c r="C1123" t="s">
        <v>80</v>
      </c>
      <c r="D1123" t="s">
        <v>136</v>
      </c>
      <c r="E1123">
        <v>1.33235382378264</v>
      </c>
      <c r="F1123">
        <v>1.3028305589822999</v>
      </c>
      <c r="G1123">
        <v>-2.9523264800343601E-2</v>
      </c>
      <c r="H1123">
        <v>-2.2158727113887</v>
      </c>
      <c r="I1123" t="s">
        <v>81</v>
      </c>
    </row>
    <row r="1124" spans="1:9" hidden="1" x14ac:dyDescent="0.35">
      <c r="A1124" t="s">
        <v>9</v>
      </c>
      <c r="B1124">
        <v>2035</v>
      </c>
      <c r="C1124" t="s">
        <v>80</v>
      </c>
      <c r="D1124" t="s">
        <v>45</v>
      </c>
      <c r="E1124">
        <v>1.4215411990507101E-3</v>
      </c>
      <c r="F1124">
        <v>1.4215411990507101E-3</v>
      </c>
      <c r="G1124">
        <v>0</v>
      </c>
      <c r="H1124">
        <v>0</v>
      </c>
      <c r="I1124" t="s">
        <v>81</v>
      </c>
    </row>
    <row r="1125" spans="1:9" hidden="1" x14ac:dyDescent="0.35">
      <c r="A1125" t="s">
        <v>9</v>
      </c>
      <c r="B1125">
        <v>2035</v>
      </c>
      <c r="C1125" t="s">
        <v>80</v>
      </c>
      <c r="D1125" t="s">
        <v>46</v>
      </c>
      <c r="E1125">
        <v>8.7406092756691395E-2</v>
      </c>
      <c r="F1125">
        <v>8.7406092756691395E-2</v>
      </c>
      <c r="G1125">
        <v>0</v>
      </c>
      <c r="H1125">
        <v>0</v>
      </c>
      <c r="I1125" t="s">
        <v>81</v>
      </c>
    </row>
    <row r="1126" spans="1:9" hidden="1" x14ac:dyDescent="0.35">
      <c r="A1126" t="s">
        <v>9</v>
      </c>
      <c r="B1126">
        <v>2035</v>
      </c>
      <c r="C1126" t="s">
        <v>80</v>
      </c>
      <c r="D1126" t="s">
        <v>47</v>
      </c>
      <c r="E1126">
        <v>3.6955425190672402E-4</v>
      </c>
      <c r="F1126">
        <v>3.6955425190672402E-4</v>
      </c>
      <c r="G1126">
        <v>0</v>
      </c>
      <c r="H1126">
        <v>0</v>
      </c>
      <c r="I1126" t="s">
        <v>81</v>
      </c>
    </row>
    <row r="1127" spans="1:9" hidden="1" x14ac:dyDescent="0.35">
      <c r="A1127" t="s">
        <v>9</v>
      </c>
      <c r="B1127">
        <v>2035</v>
      </c>
      <c r="C1127" t="s">
        <v>80</v>
      </c>
      <c r="D1127" t="s">
        <v>48</v>
      </c>
      <c r="E1127">
        <v>80.562560793272297</v>
      </c>
      <c r="F1127">
        <v>80.562560793272297</v>
      </c>
      <c r="G1127">
        <v>0</v>
      </c>
      <c r="H1127">
        <v>0</v>
      </c>
      <c r="I1127" t="s">
        <v>81</v>
      </c>
    </row>
    <row r="1128" spans="1:9" hidden="1" x14ac:dyDescent="0.35">
      <c r="A1128" t="s">
        <v>9</v>
      </c>
      <c r="B1128">
        <v>2035</v>
      </c>
      <c r="C1128" t="s">
        <v>80</v>
      </c>
      <c r="D1128" t="s">
        <v>49</v>
      </c>
      <c r="E1128">
        <v>3.5134696163796799E-3</v>
      </c>
      <c r="F1128">
        <v>3.5134696163796799E-3</v>
      </c>
      <c r="G1128">
        <v>0</v>
      </c>
      <c r="H1128">
        <v>0</v>
      </c>
      <c r="I1128" t="s">
        <v>81</v>
      </c>
    </row>
    <row r="1129" spans="1:9" hidden="1" x14ac:dyDescent="0.35">
      <c r="A1129" t="s">
        <v>9</v>
      </c>
      <c r="B1129">
        <v>2035</v>
      </c>
      <c r="C1129" t="s">
        <v>80</v>
      </c>
      <c r="D1129" t="s">
        <v>50</v>
      </c>
      <c r="E1129">
        <v>9.3815517803691306E-3</v>
      </c>
      <c r="F1129">
        <v>9.3815517803691306E-3</v>
      </c>
      <c r="G1129">
        <v>0</v>
      </c>
      <c r="H1129">
        <v>0</v>
      </c>
      <c r="I1129" t="s">
        <v>81</v>
      </c>
    </row>
    <row r="1130" spans="1:9" hidden="1" x14ac:dyDescent="0.35">
      <c r="A1130" t="s">
        <v>9</v>
      </c>
      <c r="B1130">
        <v>2035</v>
      </c>
      <c r="C1130" t="s">
        <v>80</v>
      </c>
      <c r="D1130" t="s">
        <v>51</v>
      </c>
      <c r="E1130">
        <v>6.1546769743018599E-2</v>
      </c>
      <c r="F1130">
        <v>6.1546769743018599E-2</v>
      </c>
      <c r="G1130">
        <v>0</v>
      </c>
      <c r="H1130">
        <v>0</v>
      </c>
      <c r="I1130" t="s">
        <v>81</v>
      </c>
    </row>
    <row r="1131" spans="1:9" hidden="1" x14ac:dyDescent="0.35">
      <c r="A1131" t="s">
        <v>9</v>
      </c>
      <c r="B1131">
        <v>2035</v>
      </c>
      <c r="C1131" t="s">
        <v>80</v>
      </c>
      <c r="D1131" t="s">
        <v>52</v>
      </c>
      <c r="E1131">
        <v>0.29310867196284401</v>
      </c>
      <c r="F1131">
        <v>0.29310867196284401</v>
      </c>
      <c r="G1131">
        <v>0</v>
      </c>
      <c r="H1131">
        <v>0</v>
      </c>
      <c r="I1131" t="s">
        <v>81</v>
      </c>
    </row>
    <row r="1132" spans="1:9" hidden="1" x14ac:dyDescent="0.35">
      <c r="A1132" t="s">
        <v>9</v>
      </c>
      <c r="B1132">
        <v>2035</v>
      </c>
      <c r="C1132" t="s">
        <v>80</v>
      </c>
      <c r="D1132" t="s">
        <v>53</v>
      </c>
      <c r="E1132">
        <v>0.31264977606843097</v>
      </c>
      <c r="F1132">
        <v>0.31264977606843097</v>
      </c>
      <c r="G1132">
        <v>0</v>
      </c>
      <c r="H1132">
        <v>0</v>
      </c>
      <c r="I1132" t="s">
        <v>81</v>
      </c>
    </row>
    <row r="1133" spans="1:9" hidden="1" x14ac:dyDescent="0.35">
      <c r="A1133" t="s">
        <v>9</v>
      </c>
      <c r="B1133">
        <v>2035</v>
      </c>
      <c r="C1133" t="s">
        <v>80</v>
      </c>
      <c r="D1133" t="s">
        <v>54</v>
      </c>
      <c r="E1133">
        <v>4.8332787087409297E-2</v>
      </c>
      <c r="F1133">
        <v>4.8332787087409297E-2</v>
      </c>
      <c r="G1133">
        <v>0</v>
      </c>
      <c r="H1133">
        <v>0</v>
      </c>
      <c r="I1133" t="s">
        <v>81</v>
      </c>
    </row>
    <row r="1134" spans="1:9" hidden="1" x14ac:dyDescent="0.35">
      <c r="A1134" t="s">
        <v>9</v>
      </c>
      <c r="B1134">
        <v>2035</v>
      </c>
      <c r="C1134" t="s">
        <v>80</v>
      </c>
      <c r="D1134" t="s">
        <v>55</v>
      </c>
      <c r="E1134">
        <v>4.4605686514640398E-2</v>
      </c>
      <c r="F1134">
        <v>4.4605686514640398E-2</v>
      </c>
      <c r="G1134">
        <v>0</v>
      </c>
      <c r="H1134">
        <v>0</v>
      </c>
      <c r="I1134" t="s">
        <v>81</v>
      </c>
    </row>
    <row r="1135" spans="1:9" hidden="1" x14ac:dyDescent="0.35">
      <c r="A1135" t="s">
        <v>9</v>
      </c>
      <c r="B1135">
        <v>2035</v>
      </c>
      <c r="C1135" t="s">
        <v>80</v>
      </c>
      <c r="D1135" t="s">
        <v>56</v>
      </c>
      <c r="E1135" s="1">
        <v>8.5050042397040703E-8</v>
      </c>
      <c r="F1135" s="1">
        <v>8.5050042397040703E-8</v>
      </c>
      <c r="G1135">
        <v>0</v>
      </c>
      <c r="H1135">
        <v>0</v>
      </c>
      <c r="I1135" t="s">
        <v>81</v>
      </c>
    </row>
    <row r="1136" spans="1:9" hidden="1" x14ac:dyDescent="0.35">
      <c r="A1136" t="s">
        <v>11</v>
      </c>
      <c r="B1136">
        <v>2040</v>
      </c>
      <c r="C1136" t="s">
        <v>80</v>
      </c>
      <c r="D1136" t="s">
        <v>38</v>
      </c>
      <c r="E1136">
        <v>1.0552319066938899E-3</v>
      </c>
      <c r="F1136">
        <v>1.0552319066938899E-3</v>
      </c>
      <c r="G1136">
        <v>0</v>
      </c>
      <c r="H1136">
        <v>0</v>
      </c>
      <c r="I1136" t="s">
        <v>81</v>
      </c>
    </row>
    <row r="1137" spans="1:9" hidden="1" x14ac:dyDescent="0.35">
      <c r="A1137" t="s">
        <v>11</v>
      </c>
      <c r="B1137">
        <v>2040</v>
      </c>
      <c r="C1137" t="s">
        <v>80</v>
      </c>
      <c r="D1137" t="s">
        <v>40</v>
      </c>
      <c r="E1137">
        <v>3.4697787741404002E-4</v>
      </c>
      <c r="F1137">
        <v>3.4697787741404002E-4</v>
      </c>
      <c r="G1137">
        <v>0</v>
      </c>
      <c r="H1137">
        <v>0</v>
      </c>
      <c r="I1137" t="s">
        <v>81</v>
      </c>
    </row>
    <row r="1138" spans="1:9" hidden="1" x14ac:dyDescent="0.35">
      <c r="A1138" t="s">
        <v>11</v>
      </c>
      <c r="B1138">
        <v>2040</v>
      </c>
      <c r="C1138" t="s">
        <v>80</v>
      </c>
      <c r="D1138" t="s">
        <v>41</v>
      </c>
      <c r="E1138">
        <v>3.0295112967026602E-3</v>
      </c>
      <c r="F1138">
        <v>3.0295112967026602E-3</v>
      </c>
      <c r="G1138">
        <v>0</v>
      </c>
      <c r="H1138">
        <v>0</v>
      </c>
      <c r="I1138" t="s">
        <v>81</v>
      </c>
    </row>
    <row r="1139" spans="1:9" hidden="1" x14ac:dyDescent="0.35">
      <c r="A1139" t="s">
        <v>11</v>
      </c>
      <c r="B1139">
        <v>2040</v>
      </c>
      <c r="C1139" t="s">
        <v>80</v>
      </c>
      <c r="D1139" t="s">
        <v>42</v>
      </c>
      <c r="E1139">
        <v>0.45656279320530802</v>
      </c>
      <c r="F1139">
        <v>0.45656279320530802</v>
      </c>
      <c r="G1139">
        <v>0</v>
      </c>
      <c r="H1139">
        <v>0</v>
      </c>
      <c r="I1139" t="s">
        <v>81</v>
      </c>
    </row>
    <row r="1140" spans="1:9" hidden="1" x14ac:dyDescent="0.35">
      <c r="A1140" t="s">
        <v>11</v>
      </c>
      <c r="B1140">
        <v>2040</v>
      </c>
      <c r="C1140" t="s">
        <v>80</v>
      </c>
      <c r="D1140" t="s">
        <v>43</v>
      </c>
      <c r="E1140">
        <v>1.1004273629965E-3</v>
      </c>
      <c r="F1140">
        <v>1.1004273629965E-3</v>
      </c>
      <c r="G1140">
        <v>0</v>
      </c>
      <c r="H1140">
        <v>0</v>
      </c>
      <c r="I1140" t="s">
        <v>81</v>
      </c>
    </row>
    <row r="1141" spans="1:9" hidden="1" x14ac:dyDescent="0.35">
      <c r="A1141" t="s">
        <v>11</v>
      </c>
      <c r="B1141">
        <v>2040</v>
      </c>
      <c r="C1141" t="s">
        <v>80</v>
      </c>
      <c r="D1141" t="s">
        <v>136</v>
      </c>
      <c r="E1141">
        <v>1.2106290507377599</v>
      </c>
      <c r="F1141">
        <v>0.97098564362440298</v>
      </c>
      <c r="G1141">
        <v>-0.23964340711335599</v>
      </c>
      <c r="H1141">
        <v>-19.794949325502898</v>
      </c>
      <c r="I1141" t="s">
        <v>81</v>
      </c>
    </row>
    <row r="1142" spans="1:9" hidden="1" x14ac:dyDescent="0.35">
      <c r="A1142" t="s">
        <v>11</v>
      </c>
      <c r="B1142">
        <v>2040</v>
      </c>
      <c r="C1142" t="s">
        <v>80</v>
      </c>
      <c r="D1142" t="s">
        <v>45</v>
      </c>
      <c r="E1142">
        <v>1.31590586694806E-3</v>
      </c>
      <c r="F1142">
        <v>1.31590586694806E-3</v>
      </c>
      <c r="G1142">
        <v>0</v>
      </c>
      <c r="H1142">
        <v>0</v>
      </c>
      <c r="I1142" t="s">
        <v>81</v>
      </c>
    </row>
    <row r="1143" spans="1:9" hidden="1" x14ac:dyDescent="0.35">
      <c r="A1143" t="s">
        <v>11</v>
      </c>
      <c r="B1143">
        <v>2040</v>
      </c>
      <c r="C1143" t="s">
        <v>80</v>
      </c>
      <c r="D1143" t="s">
        <v>46</v>
      </c>
      <c r="E1143">
        <v>0.106013022252259</v>
      </c>
      <c r="F1143">
        <v>0.106013022252259</v>
      </c>
      <c r="G1143">
        <v>0</v>
      </c>
      <c r="H1143">
        <v>0</v>
      </c>
      <c r="I1143" t="s">
        <v>81</v>
      </c>
    </row>
    <row r="1144" spans="1:9" hidden="1" x14ac:dyDescent="0.35">
      <c r="A1144" t="s">
        <v>11</v>
      </c>
      <c r="B1144">
        <v>2040</v>
      </c>
      <c r="C1144" t="s">
        <v>80</v>
      </c>
      <c r="D1144" t="s">
        <v>47</v>
      </c>
      <c r="E1144">
        <v>2.9445262492157998E-4</v>
      </c>
      <c r="F1144">
        <v>2.9445262492157998E-4</v>
      </c>
      <c r="G1144">
        <v>0</v>
      </c>
      <c r="H1144">
        <v>0</v>
      </c>
      <c r="I1144" t="s">
        <v>81</v>
      </c>
    </row>
    <row r="1145" spans="1:9" hidden="1" x14ac:dyDescent="0.35">
      <c r="A1145" t="s">
        <v>11</v>
      </c>
      <c r="B1145">
        <v>2040</v>
      </c>
      <c r="C1145" t="s">
        <v>80</v>
      </c>
      <c r="D1145" t="s">
        <v>48</v>
      </c>
      <c r="E1145">
        <v>80.564494447377797</v>
      </c>
      <c r="F1145">
        <v>80.564494447377797</v>
      </c>
      <c r="G1145">
        <v>0</v>
      </c>
      <c r="H1145">
        <v>0</v>
      </c>
      <c r="I1145" t="s">
        <v>81</v>
      </c>
    </row>
    <row r="1146" spans="1:9" hidden="1" x14ac:dyDescent="0.35">
      <c r="A1146" t="s">
        <v>11</v>
      </c>
      <c r="B1146">
        <v>2040</v>
      </c>
      <c r="C1146" t="s">
        <v>80</v>
      </c>
      <c r="D1146" t="s">
        <v>49</v>
      </c>
      <c r="E1146">
        <v>3.1797566935449799E-3</v>
      </c>
      <c r="F1146">
        <v>3.1797566935449799E-3</v>
      </c>
      <c r="G1146">
        <v>0</v>
      </c>
      <c r="H1146">
        <v>0</v>
      </c>
      <c r="I1146" t="s">
        <v>81</v>
      </c>
    </row>
    <row r="1147" spans="1:9" hidden="1" x14ac:dyDescent="0.35">
      <c r="A1147" t="s">
        <v>11</v>
      </c>
      <c r="B1147">
        <v>2040</v>
      </c>
      <c r="C1147" t="s">
        <v>80</v>
      </c>
      <c r="D1147" t="s">
        <v>50</v>
      </c>
      <c r="E1147">
        <v>8.0820077804263108E-3</v>
      </c>
      <c r="F1147">
        <v>8.0820077804263108E-3</v>
      </c>
      <c r="G1147">
        <v>0</v>
      </c>
      <c r="H1147">
        <v>0</v>
      </c>
      <c r="I1147" t="s">
        <v>81</v>
      </c>
    </row>
    <row r="1148" spans="1:9" hidden="1" x14ac:dyDescent="0.35">
      <c r="A1148" t="s">
        <v>11</v>
      </c>
      <c r="B1148">
        <v>2040</v>
      </c>
      <c r="C1148" t="s">
        <v>80</v>
      </c>
      <c r="D1148" t="s">
        <v>51</v>
      </c>
      <c r="E1148">
        <v>6.3255665458938695E-2</v>
      </c>
      <c r="F1148">
        <v>6.3255665458938695E-2</v>
      </c>
      <c r="G1148">
        <v>0</v>
      </c>
      <c r="H1148">
        <v>0</v>
      </c>
      <c r="I1148" t="s">
        <v>81</v>
      </c>
    </row>
    <row r="1149" spans="1:9" hidden="1" x14ac:dyDescent="0.35">
      <c r="A1149" t="s">
        <v>11</v>
      </c>
      <c r="B1149">
        <v>2040</v>
      </c>
      <c r="C1149" t="s">
        <v>80</v>
      </c>
      <c r="D1149" t="s">
        <v>52</v>
      </c>
      <c r="E1149">
        <v>0.212677663999808</v>
      </c>
      <c r="F1149">
        <v>0.212677663999808</v>
      </c>
      <c r="G1149">
        <v>0</v>
      </c>
      <c r="H1149">
        <v>0</v>
      </c>
      <c r="I1149" t="s">
        <v>81</v>
      </c>
    </row>
    <row r="1150" spans="1:9" hidden="1" x14ac:dyDescent="0.35">
      <c r="A1150" t="s">
        <v>11</v>
      </c>
      <c r="B1150">
        <v>2040</v>
      </c>
      <c r="C1150" t="s">
        <v>80</v>
      </c>
      <c r="D1150" t="s">
        <v>53</v>
      </c>
      <c r="E1150">
        <v>0.26858176804899703</v>
      </c>
      <c r="F1150">
        <v>0.26858176804899703</v>
      </c>
      <c r="G1150">
        <v>0</v>
      </c>
      <c r="H1150">
        <v>0</v>
      </c>
      <c r="I1150" t="s">
        <v>81</v>
      </c>
    </row>
    <row r="1151" spans="1:9" hidden="1" x14ac:dyDescent="0.35">
      <c r="A1151" t="s">
        <v>11</v>
      </c>
      <c r="B1151">
        <v>2040</v>
      </c>
      <c r="C1151" t="s">
        <v>80</v>
      </c>
      <c r="D1151" t="s">
        <v>54</v>
      </c>
      <c r="E1151">
        <v>4.8459917154863801E-2</v>
      </c>
      <c r="F1151">
        <v>4.8459917154863801E-2</v>
      </c>
      <c r="G1151">
        <v>0</v>
      </c>
      <c r="H1151">
        <v>0</v>
      </c>
      <c r="I1151" t="s">
        <v>81</v>
      </c>
    </row>
    <row r="1152" spans="1:9" hidden="1" x14ac:dyDescent="0.35">
      <c r="A1152" t="s">
        <v>11</v>
      </c>
      <c r="B1152">
        <v>2040</v>
      </c>
      <c r="C1152" t="s">
        <v>80</v>
      </c>
      <c r="D1152" t="s">
        <v>55</v>
      </c>
      <c r="E1152">
        <v>4.4670243615156598E-2</v>
      </c>
      <c r="F1152">
        <v>4.4670243615156598E-2</v>
      </c>
      <c r="G1152">
        <v>0</v>
      </c>
      <c r="H1152">
        <v>0</v>
      </c>
      <c r="I1152" t="s">
        <v>81</v>
      </c>
    </row>
    <row r="1153" spans="1:9" hidden="1" x14ac:dyDescent="0.35">
      <c r="A1153" t="s">
        <v>11</v>
      </c>
      <c r="B1153">
        <v>2040</v>
      </c>
      <c r="C1153" t="s">
        <v>80</v>
      </c>
      <c r="D1153" t="s">
        <v>56</v>
      </c>
      <c r="E1153" s="1">
        <v>7.8465904061560904E-8</v>
      </c>
      <c r="F1153" s="1">
        <v>7.8465904061560904E-8</v>
      </c>
      <c r="G1153">
        <v>0</v>
      </c>
      <c r="H1153">
        <v>0</v>
      </c>
      <c r="I1153" t="s">
        <v>81</v>
      </c>
    </row>
    <row r="1154" spans="1:9" hidden="1" x14ac:dyDescent="0.35">
      <c r="A1154" t="s">
        <v>5</v>
      </c>
      <c r="B1154">
        <v>2025</v>
      </c>
      <c r="C1154" t="s">
        <v>57</v>
      </c>
      <c r="D1154" t="s">
        <v>38</v>
      </c>
      <c r="E1154">
        <v>6.5910262802626202E-4</v>
      </c>
      <c r="F1154">
        <v>6.5910262802626202E-4</v>
      </c>
      <c r="G1154">
        <v>0</v>
      </c>
      <c r="H1154">
        <v>0</v>
      </c>
      <c r="I1154" t="s">
        <v>58</v>
      </c>
    </row>
    <row r="1155" spans="1:9" hidden="1" x14ac:dyDescent="0.35">
      <c r="A1155" t="s">
        <v>5</v>
      </c>
      <c r="B1155">
        <v>2025</v>
      </c>
      <c r="C1155" t="s">
        <v>57</v>
      </c>
      <c r="D1155" t="s">
        <v>40</v>
      </c>
      <c r="E1155">
        <v>6.0819778939067099E-4</v>
      </c>
      <c r="F1155">
        <v>6.0819778939067099E-4</v>
      </c>
      <c r="G1155">
        <v>0</v>
      </c>
      <c r="H1155">
        <v>0</v>
      </c>
      <c r="I1155" t="s">
        <v>58</v>
      </c>
    </row>
    <row r="1156" spans="1:9" hidden="1" x14ac:dyDescent="0.35">
      <c r="A1156" t="s">
        <v>5</v>
      </c>
      <c r="B1156">
        <v>2025</v>
      </c>
      <c r="C1156" t="s">
        <v>57</v>
      </c>
      <c r="D1156" t="s">
        <v>41</v>
      </c>
      <c r="E1156">
        <v>3.39420349134876E-3</v>
      </c>
      <c r="F1156">
        <v>3.39420349134876E-3</v>
      </c>
      <c r="G1156">
        <v>0</v>
      </c>
      <c r="H1156">
        <v>0</v>
      </c>
      <c r="I1156" t="s">
        <v>58</v>
      </c>
    </row>
    <row r="1157" spans="1:9" hidden="1" x14ac:dyDescent="0.35">
      <c r="A1157" t="s">
        <v>5</v>
      </c>
      <c r="B1157">
        <v>2025</v>
      </c>
      <c r="C1157" t="s">
        <v>57</v>
      </c>
      <c r="D1157" t="s">
        <v>42</v>
      </c>
      <c r="E1157">
        <v>2.4987720031802998</v>
      </c>
      <c r="F1157">
        <v>2.4987720031802998</v>
      </c>
      <c r="G1157">
        <v>0</v>
      </c>
      <c r="H1157">
        <v>0</v>
      </c>
      <c r="I1157" t="s">
        <v>58</v>
      </c>
    </row>
    <row r="1158" spans="1:9" hidden="1" x14ac:dyDescent="0.35">
      <c r="A1158" t="s">
        <v>5</v>
      </c>
      <c r="B1158">
        <v>2025</v>
      </c>
      <c r="C1158" t="s">
        <v>57</v>
      </c>
      <c r="D1158" t="s">
        <v>43</v>
      </c>
      <c r="E1158">
        <v>1.3337194166146099E-3</v>
      </c>
      <c r="F1158">
        <v>1.3337194166146099E-3</v>
      </c>
      <c r="G1158">
        <v>0</v>
      </c>
      <c r="H1158">
        <v>0</v>
      </c>
      <c r="I1158" t="s">
        <v>58</v>
      </c>
    </row>
    <row r="1159" spans="1:9" hidden="1" x14ac:dyDescent="0.35">
      <c r="A1159" t="s">
        <v>5</v>
      </c>
      <c r="B1159">
        <v>2025</v>
      </c>
      <c r="C1159" t="s">
        <v>57</v>
      </c>
      <c r="D1159" t="s">
        <v>136</v>
      </c>
      <c r="E1159">
        <v>0.48694841709662701</v>
      </c>
      <c r="F1159">
        <v>0.48694841709662701</v>
      </c>
      <c r="G1159">
        <v>0</v>
      </c>
      <c r="H1159">
        <v>0</v>
      </c>
      <c r="I1159" t="s">
        <v>58</v>
      </c>
    </row>
    <row r="1160" spans="1:9" hidden="1" x14ac:dyDescent="0.35">
      <c r="A1160" t="s">
        <v>5</v>
      </c>
      <c r="B1160">
        <v>2025</v>
      </c>
      <c r="C1160" t="s">
        <v>57</v>
      </c>
      <c r="D1160" t="s">
        <v>45</v>
      </c>
      <c r="E1160">
        <v>1.27262076619078E-3</v>
      </c>
      <c r="F1160">
        <v>1.27262076619078E-3</v>
      </c>
      <c r="G1160">
        <v>0</v>
      </c>
      <c r="H1160">
        <v>0</v>
      </c>
      <c r="I1160" t="s">
        <v>58</v>
      </c>
    </row>
    <row r="1161" spans="1:9" hidden="1" x14ac:dyDescent="0.35">
      <c r="A1161" t="s">
        <v>5</v>
      </c>
      <c r="B1161">
        <v>2025</v>
      </c>
      <c r="C1161" t="s">
        <v>57</v>
      </c>
      <c r="D1161" t="s">
        <v>46</v>
      </c>
      <c r="E1161">
        <v>3.6557340219151302E-2</v>
      </c>
      <c r="F1161">
        <v>3.6557340219151302E-2</v>
      </c>
      <c r="G1161">
        <v>0</v>
      </c>
      <c r="H1161">
        <v>0</v>
      </c>
      <c r="I1161" t="s">
        <v>58</v>
      </c>
    </row>
    <row r="1162" spans="1:9" hidden="1" x14ac:dyDescent="0.35">
      <c r="A1162" t="s">
        <v>5</v>
      </c>
      <c r="B1162">
        <v>2025</v>
      </c>
      <c r="C1162" t="s">
        <v>57</v>
      </c>
      <c r="D1162" t="s">
        <v>47</v>
      </c>
      <c r="E1162">
        <v>1.69738627608872E-3</v>
      </c>
      <c r="F1162">
        <v>1.69738627608872E-3</v>
      </c>
      <c r="G1162">
        <v>0</v>
      </c>
      <c r="H1162">
        <v>0</v>
      </c>
      <c r="I1162" t="s">
        <v>58</v>
      </c>
    </row>
    <row r="1163" spans="1:9" hidden="1" x14ac:dyDescent="0.35">
      <c r="A1163" t="s">
        <v>5</v>
      </c>
      <c r="B1163">
        <v>2025</v>
      </c>
      <c r="C1163" t="s">
        <v>57</v>
      </c>
      <c r="D1163" t="s">
        <v>48</v>
      </c>
      <c r="E1163">
        <v>5.0241529205853901</v>
      </c>
      <c r="F1163">
        <v>5.0241529205853901</v>
      </c>
      <c r="G1163">
        <v>0</v>
      </c>
      <c r="H1163">
        <v>0</v>
      </c>
      <c r="I1163" t="s">
        <v>58</v>
      </c>
    </row>
    <row r="1164" spans="1:9" hidden="1" x14ac:dyDescent="0.35">
      <c r="A1164" t="s">
        <v>5</v>
      </c>
      <c r="B1164">
        <v>2025</v>
      </c>
      <c r="C1164" t="s">
        <v>57</v>
      </c>
      <c r="D1164" t="s">
        <v>49</v>
      </c>
      <c r="E1164">
        <v>2.8664291921334799E-3</v>
      </c>
      <c r="F1164">
        <v>2.8664291921334799E-3</v>
      </c>
      <c r="G1164">
        <v>0</v>
      </c>
      <c r="H1164">
        <v>0</v>
      </c>
      <c r="I1164" t="s">
        <v>58</v>
      </c>
    </row>
    <row r="1165" spans="1:9" hidden="1" x14ac:dyDescent="0.35">
      <c r="A1165" t="s">
        <v>5</v>
      </c>
      <c r="B1165">
        <v>2025</v>
      </c>
      <c r="C1165" t="s">
        <v>57</v>
      </c>
      <c r="D1165" t="s">
        <v>50</v>
      </c>
      <c r="E1165">
        <v>1.6221485611887899E-2</v>
      </c>
      <c r="F1165">
        <v>1.6221485611887899E-2</v>
      </c>
      <c r="G1165">
        <v>0</v>
      </c>
      <c r="H1165">
        <v>0</v>
      </c>
      <c r="I1165" t="s">
        <v>58</v>
      </c>
    </row>
    <row r="1166" spans="1:9" hidden="1" x14ac:dyDescent="0.35">
      <c r="A1166" t="s">
        <v>5</v>
      </c>
      <c r="B1166">
        <v>2025</v>
      </c>
      <c r="C1166" t="s">
        <v>57</v>
      </c>
      <c r="D1166" t="s">
        <v>51</v>
      </c>
      <c r="E1166">
        <v>6.4883595428876298E-2</v>
      </c>
      <c r="F1166">
        <v>6.4883595428876298E-2</v>
      </c>
      <c r="G1166">
        <v>0</v>
      </c>
      <c r="H1166">
        <v>0</v>
      </c>
      <c r="I1166" t="s">
        <v>58</v>
      </c>
    </row>
    <row r="1167" spans="1:9" hidden="1" x14ac:dyDescent="0.35">
      <c r="A1167" t="s">
        <v>5</v>
      </c>
      <c r="B1167">
        <v>2025</v>
      </c>
      <c r="C1167" t="s">
        <v>57</v>
      </c>
      <c r="D1167" t="s">
        <v>52</v>
      </c>
      <c r="E1167">
        <v>2.6118998518533599E-2</v>
      </c>
      <c r="F1167">
        <v>2.6118998518533599E-2</v>
      </c>
      <c r="G1167">
        <v>0</v>
      </c>
      <c r="H1167">
        <v>0</v>
      </c>
      <c r="I1167" t="s">
        <v>58</v>
      </c>
    </row>
    <row r="1168" spans="1:9" hidden="1" x14ac:dyDescent="0.35">
      <c r="A1168" t="s">
        <v>5</v>
      </c>
      <c r="B1168">
        <v>2025</v>
      </c>
      <c r="C1168" t="s">
        <v>57</v>
      </c>
      <c r="D1168" t="s">
        <v>53</v>
      </c>
      <c r="E1168">
        <v>0.12453522800056301</v>
      </c>
      <c r="F1168">
        <v>0.12453522800056301</v>
      </c>
      <c r="G1168">
        <v>0</v>
      </c>
      <c r="H1168">
        <v>0</v>
      </c>
      <c r="I1168" t="s">
        <v>58</v>
      </c>
    </row>
    <row r="1169" spans="1:9" hidden="1" x14ac:dyDescent="0.35">
      <c r="A1169" t="s">
        <v>5</v>
      </c>
      <c r="B1169">
        <v>2025</v>
      </c>
      <c r="C1169" t="s">
        <v>57</v>
      </c>
      <c r="D1169" t="s">
        <v>54</v>
      </c>
      <c r="E1169">
        <v>1.1059414399246099</v>
      </c>
      <c r="F1169">
        <v>1.1059414399246099</v>
      </c>
      <c r="G1169">
        <v>0</v>
      </c>
      <c r="H1169">
        <v>0</v>
      </c>
      <c r="I1169" t="s">
        <v>58</v>
      </c>
    </row>
    <row r="1170" spans="1:9" hidden="1" x14ac:dyDescent="0.35">
      <c r="A1170" t="s">
        <v>5</v>
      </c>
      <c r="B1170">
        <v>2025</v>
      </c>
      <c r="C1170" t="s">
        <v>57</v>
      </c>
      <c r="D1170" t="s">
        <v>55</v>
      </c>
      <c r="E1170">
        <v>1.00993319260152</v>
      </c>
      <c r="F1170">
        <v>1.00993319260152</v>
      </c>
      <c r="G1170">
        <v>0</v>
      </c>
      <c r="H1170">
        <v>0</v>
      </c>
      <c r="I1170" t="s">
        <v>58</v>
      </c>
    </row>
    <row r="1171" spans="1:9" hidden="1" x14ac:dyDescent="0.35">
      <c r="A1171" t="s">
        <v>5</v>
      </c>
      <c r="B1171">
        <v>2025</v>
      </c>
      <c r="C1171" t="s">
        <v>57</v>
      </c>
      <c r="D1171" t="s">
        <v>56</v>
      </c>
      <c r="E1171" s="1">
        <v>5.51668171843288E-8</v>
      </c>
      <c r="F1171" s="1">
        <v>5.51668171843288E-8</v>
      </c>
      <c r="G1171">
        <v>0</v>
      </c>
      <c r="H1171">
        <v>0</v>
      </c>
      <c r="I1171" t="s">
        <v>58</v>
      </c>
    </row>
    <row r="1172" spans="1:9" hidden="1" x14ac:dyDescent="0.35">
      <c r="A1172" t="s">
        <v>7</v>
      </c>
      <c r="B1172">
        <v>2030</v>
      </c>
      <c r="C1172" t="s">
        <v>57</v>
      </c>
      <c r="D1172" t="s">
        <v>38</v>
      </c>
      <c r="E1172">
        <v>6.7399826154101897E-4</v>
      </c>
      <c r="F1172">
        <v>6.7399826154101897E-4</v>
      </c>
      <c r="G1172">
        <v>0</v>
      </c>
      <c r="H1172">
        <v>0</v>
      </c>
      <c r="I1172" t="s">
        <v>58</v>
      </c>
    </row>
    <row r="1173" spans="1:9" hidden="1" x14ac:dyDescent="0.35">
      <c r="A1173" t="s">
        <v>7</v>
      </c>
      <c r="B1173">
        <v>2030</v>
      </c>
      <c r="C1173" t="s">
        <v>57</v>
      </c>
      <c r="D1173" t="s">
        <v>40</v>
      </c>
      <c r="E1173">
        <v>6.1497869813742197E-4</v>
      </c>
      <c r="F1173">
        <v>6.1497869813742197E-4</v>
      </c>
      <c r="G1173">
        <v>0</v>
      </c>
      <c r="H1173">
        <v>0</v>
      </c>
      <c r="I1173" t="s">
        <v>58</v>
      </c>
    </row>
    <row r="1174" spans="1:9" hidden="1" x14ac:dyDescent="0.35">
      <c r="A1174" t="s">
        <v>7</v>
      </c>
      <c r="B1174">
        <v>2030</v>
      </c>
      <c r="C1174" t="s">
        <v>57</v>
      </c>
      <c r="D1174" t="s">
        <v>41</v>
      </c>
      <c r="E1174">
        <v>3.70731754696762E-3</v>
      </c>
      <c r="F1174">
        <v>3.70731754696762E-3</v>
      </c>
      <c r="G1174">
        <v>0</v>
      </c>
      <c r="H1174">
        <v>0</v>
      </c>
      <c r="I1174" t="s">
        <v>58</v>
      </c>
    </row>
    <row r="1175" spans="1:9" hidden="1" x14ac:dyDescent="0.35">
      <c r="A1175" t="s">
        <v>7</v>
      </c>
      <c r="B1175">
        <v>2030</v>
      </c>
      <c r="C1175" t="s">
        <v>57</v>
      </c>
      <c r="D1175" t="s">
        <v>42</v>
      </c>
      <c r="E1175">
        <v>2.5023493647444499</v>
      </c>
      <c r="F1175">
        <v>2.5023493647444499</v>
      </c>
      <c r="G1175">
        <v>0</v>
      </c>
      <c r="H1175">
        <v>0</v>
      </c>
      <c r="I1175" t="s">
        <v>58</v>
      </c>
    </row>
    <row r="1176" spans="1:9" hidden="1" x14ac:dyDescent="0.35">
      <c r="A1176" t="s">
        <v>7</v>
      </c>
      <c r="B1176">
        <v>2030</v>
      </c>
      <c r="C1176" t="s">
        <v>57</v>
      </c>
      <c r="D1176" t="s">
        <v>43</v>
      </c>
      <c r="E1176">
        <v>1.45718616028928E-3</v>
      </c>
      <c r="F1176">
        <v>1.45718616028928E-3</v>
      </c>
      <c r="G1176">
        <v>0</v>
      </c>
      <c r="H1176">
        <v>0</v>
      </c>
      <c r="I1176" t="s">
        <v>58</v>
      </c>
    </row>
    <row r="1177" spans="1:9" hidden="1" x14ac:dyDescent="0.35">
      <c r="A1177" t="s">
        <v>7</v>
      </c>
      <c r="B1177">
        <v>2030</v>
      </c>
      <c r="C1177" t="s">
        <v>57</v>
      </c>
      <c r="D1177" t="s">
        <v>136</v>
      </c>
      <c r="E1177">
        <v>0.47424674347355</v>
      </c>
      <c r="F1177">
        <v>0.47424674347355</v>
      </c>
      <c r="G1177">
        <v>0</v>
      </c>
      <c r="H1177">
        <v>0</v>
      </c>
      <c r="I1177" t="s">
        <v>58</v>
      </c>
    </row>
    <row r="1178" spans="1:9" hidden="1" x14ac:dyDescent="0.35">
      <c r="A1178" t="s">
        <v>7</v>
      </c>
      <c r="B1178">
        <v>2030</v>
      </c>
      <c r="C1178" t="s">
        <v>57</v>
      </c>
      <c r="D1178" t="s">
        <v>45</v>
      </c>
      <c r="E1178">
        <v>1.3353423683366999E-3</v>
      </c>
      <c r="F1178">
        <v>1.3353423683366999E-3</v>
      </c>
      <c r="G1178">
        <v>0</v>
      </c>
      <c r="H1178">
        <v>0</v>
      </c>
      <c r="I1178" t="s">
        <v>58</v>
      </c>
    </row>
    <row r="1179" spans="1:9" hidden="1" x14ac:dyDescent="0.35">
      <c r="A1179" t="s">
        <v>7</v>
      </c>
      <c r="B1179">
        <v>2030</v>
      </c>
      <c r="C1179" t="s">
        <v>57</v>
      </c>
      <c r="D1179" t="s">
        <v>46</v>
      </c>
      <c r="E1179">
        <v>5.6154913717208099E-2</v>
      </c>
      <c r="F1179">
        <v>5.6154913717208099E-2</v>
      </c>
      <c r="G1179">
        <v>0</v>
      </c>
      <c r="H1179">
        <v>0</v>
      </c>
      <c r="I1179" t="s">
        <v>58</v>
      </c>
    </row>
    <row r="1180" spans="1:9" hidden="1" x14ac:dyDescent="0.35">
      <c r="A1180" t="s">
        <v>7</v>
      </c>
      <c r="B1180">
        <v>2030</v>
      </c>
      <c r="C1180" t="s">
        <v>57</v>
      </c>
      <c r="D1180" t="s">
        <v>47</v>
      </c>
      <c r="E1180">
        <v>1.7057378329721699E-3</v>
      </c>
      <c r="F1180">
        <v>1.7057378329721699E-3</v>
      </c>
      <c r="G1180">
        <v>0</v>
      </c>
      <c r="H1180">
        <v>0</v>
      </c>
      <c r="I1180" t="s">
        <v>58</v>
      </c>
    </row>
    <row r="1181" spans="1:9" hidden="1" x14ac:dyDescent="0.35">
      <c r="A1181" t="s">
        <v>7</v>
      </c>
      <c r="B1181">
        <v>2030</v>
      </c>
      <c r="C1181" t="s">
        <v>57</v>
      </c>
      <c r="D1181" t="s">
        <v>48</v>
      </c>
      <c r="E1181">
        <v>5.0242254978607503</v>
      </c>
      <c r="F1181">
        <v>5.0242254978607503</v>
      </c>
      <c r="G1181">
        <v>0</v>
      </c>
      <c r="H1181">
        <v>0</v>
      </c>
      <c r="I1181" t="s">
        <v>58</v>
      </c>
    </row>
    <row r="1182" spans="1:9" hidden="1" x14ac:dyDescent="0.35">
      <c r="A1182" t="s">
        <v>7</v>
      </c>
      <c r="B1182">
        <v>2030</v>
      </c>
      <c r="C1182" t="s">
        <v>57</v>
      </c>
      <c r="D1182" t="s">
        <v>49</v>
      </c>
      <c r="E1182">
        <v>3.0279647074434399E-3</v>
      </c>
      <c r="F1182">
        <v>3.0279647074434399E-3</v>
      </c>
      <c r="G1182">
        <v>0</v>
      </c>
      <c r="H1182">
        <v>0</v>
      </c>
      <c r="I1182" t="s">
        <v>58</v>
      </c>
    </row>
    <row r="1183" spans="1:9" hidden="1" x14ac:dyDescent="0.35">
      <c r="A1183" t="s">
        <v>7</v>
      </c>
      <c r="B1183">
        <v>2030</v>
      </c>
      <c r="C1183" t="s">
        <v>57</v>
      </c>
      <c r="D1183" t="s">
        <v>50</v>
      </c>
      <c r="E1183">
        <v>1.6242985946697101E-2</v>
      </c>
      <c r="F1183">
        <v>1.6242985946697101E-2</v>
      </c>
      <c r="G1183">
        <v>0</v>
      </c>
      <c r="H1183">
        <v>0</v>
      </c>
      <c r="I1183" t="s">
        <v>58</v>
      </c>
    </row>
    <row r="1184" spans="1:9" hidden="1" x14ac:dyDescent="0.35">
      <c r="A1184" t="s">
        <v>7</v>
      </c>
      <c r="B1184">
        <v>2030</v>
      </c>
      <c r="C1184" t="s">
        <v>57</v>
      </c>
      <c r="D1184" t="s">
        <v>51</v>
      </c>
      <c r="E1184">
        <v>6.5834539219538898E-2</v>
      </c>
      <c r="F1184">
        <v>6.5834539219538898E-2</v>
      </c>
      <c r="G1184">
        <v>0</v>
      </c>
      <c r="H1184">
        <v>0</v>
      </c>
      <c r="I1184" t="s">
        <v>58</v>
      </c>
    </row>
    <row r="1185" spans="1:9" hidden="1" x14ac:dyDescent="0.35">
      <c r="A1185" t="s">
        <v>7</v>
      </c>
      <c r="B1185">
        <v>2030</v>
      </c>
      <c r="C1185" t="s">
        <v>57</v>
      </c>
      <c r="D1185" t="s">
        <v>52</v>
      </c>
      <c r="E1185">
        <v>2.41572495265595E-2</v>
      </c>
      <c r="F1185">
        <v>2.41572495265595E-2</v>
      </c>
      <c r="G1185">
        <v>0</v>
      </c>
      <c r="H1185">
        <v>0</v>
      </c>
      <c r="I1185" t="s">
        <v>58</v>
      </c>
    </row>
    <row r="1186" spans="1:9" hidden="1" x14ac:dyDescent="0.35">
      <c r="A1186" t="s">
        <v>7</v>
      </c>
      <c r="B1186">
        <v>2030</v>
      </c>
      <c r="C1186" t="s">
        <v>57</v>
      </c>
      <c r="D1186" t="s">
        <v>53</v>
      </c>
      <c r="E1186">
        <v>0.12052847003025299</v>
      </c>
      <c r="F1186">
        <v>0.12052847003025299</v>
      </c>
      <c r="G1186">
        <v>0</v>
      </c>
      <c r="H1186">
        <v>0</v>
      </c>
      <c r="I1186" t="s">
        <v>58</v>
      </c>
    </row>
    <row r="1187" spans="1:9" hidden="1" x14ac:dyDescent="0.35">
      <c r="A1187" t="s">
        <v>7</v>
      </c>
      <c r="B1187">
        <v>2030</v>
      </c>
      <c r="C1187" t="s">
        <v>57</v>
      </c>
      <c r="D1187" t="s">
        <v>54</v>
      </c>
      <c r="E1187">
        <v>1.1062446593850299</v>
      </c>
      <c r="F1187">
        <v>1.1062446593850299</v>
      </c>
      <c r="G1187">
        <v>0</v>
      </c>
      <c r="H1187">
        <v>0</v>
      </c>
      <c r="I1187" t="s">
        <v>58</v>
      </c>
    </row>
    <row r="1188" spans="1:9" hidden="1" x14ac:dyDescent="0.35">
      <c r="A1188" t="s">
        <v>7</v>
      </c>
      <c r="B1188">
        <v>2030</v>
      </c>
      <c r="C1188" t="s">
        <v>57</v>
      </c>
      <c r="D1188" t="s">
        <v>55</v>
      </c>
      <c r="E1188">
        <v>1.01018924534314</v>
      </c>
      <c r="F1188">
        <v>1.01018924534314</v>
      </c>
      <c r="G1188">
        <v>0</v>
      </c>
      <c r="H1188">
        <v>0</v>
      </c>
      <c r="I1188" t="s">
        <v>58</v>
      </c>
    </row>
    <row r="1189" spans="1:9" hidden="1" x14ac:dyDescent="0.35">
      <c r="A1189" t="s">
        <v>7</v>
      </c>
      <c r="B1189">
        <v>2030</v>
      </c>
      <c r="C1189" t="s">
        <v>57</v>
      </c>
      <c r="D1189" t="s">
        <v>56</v>
      </c>
      <c r="E1189" s="1">
        <v>5.1285734522309097E-8</v>
      </c>
      <c r="F1189" s="1">
        <v>5.1285734522309097E-8</v>
      </c>
      <c r="G1189">
        <v>0</v>
      </c>
      <c r="H1189">
        <v>0</v>
      </c>
      <c r="I1189" t="s">
        <v>58</v>
      </c>
    </row>
    <row r="1190" spans="1:9" hidden="1" x14ac:dyDescent="0.35">
      <c r="A1190" t="s">
        <v>9</v>
      </c>
      <c r="B1190">
        <v>2035</v>
      </c>
      <c r="C1190" t="s">
        <v>57</v>
      </c>
      <c r="D1190" t="s">
        <v>38</v>
      </c>
      <c r="E1190">
        <v>6.7808382118503697E-4</v>
      </c>
      <c r="F1190">
        <v>6.7808382118503697E-4</v>
      </c>
      <c r="G1190">
        <v>0</v>
      </c>
      <c r="H1190">
        <v>0</v>
      </c>
      <c r="I1190" t="s">
        <v>58</v>
      </c>
    </row>
    <row r="1191" spans="1:9" hidden="1" x14ac:dyDescent="0.35">
      <c r="A1191" t="s">
        <v>9</v>
      </c>
      <c r="B1191">
        <v>2035</v>
      </c>
      <c r="C1191" t="s">
        <v>57</v>
      </c>
      <c r="D1191" t="s">
        <v>40</v>
      </c>
      <c r="E1191">
        <v>6.3318692011561401E-4</v>
      </c>
      <c r="F1191">
        <v>6.3318692011561401E-4</v>
      </c>
      <c r="G1191">
        <v>0</v>
      </c>
      <c r="H1191">
        <v>0</v>
      </c>
      <c r="I1191" t="s">
        <v>58</v>
      </c>
    </row>
    <row r="1192" spans="1:9" hidden="1" x14ac:dyDescent="0.35">
      <c r="A1192" t="s">
        <v>9</v>
      </c>
      <c r="B1192">
        <v>2035</v>
      </c>
      <c r="C1192" t="s">
        <v>57</v>
      </c>
      <c r="D1192" t="s">
        <v>41</v>
      </c>
      <c r="E1192">
        <v>3.6851288113814201E-3</v>
      </c>
      <c r="F1192">
        <v>3.6851288113814201E-3</v>
      </c>
      <c r="G1192">
        <v>0</v>
      </c>
      <c r="H1192">
        <v>0</v>
      </c>
      <c r="I1192" t="s">
        <v>58</v>
      </c>
    </row>
    <row r="1193" spans="1:9" hidden="1" x14ac:dyDescent="0.35">
      <c r="A1193" t="s">
        <v>9</v>
      </c>
      <c r="B1193">
        <v>2035</v>
      </c>
      <c r="C1193" t="s">
        <v>57</v>
      </c>
      <c r="D1193" t="s">
        <v>42</v>
      </c>
      <c r="E1193">
        <v>2.50996930908682</v>
      </c>
      <c r="F1193">
        <v>2.50996930908682</v>
      </c>
      <c r="G1193">
        <v>0</v>
      </c>
      <c r="H1193">
        <v>0</v>
      </c>
      <c r="I1193" t="s">
        <v>58</v>
      </c>
    </row>
    <row r="1194" spans="1:9" hidden="1" x14ac:dyDescent="0.35">
      <c r="A1194" t="s">
        <v>9</v>
      </c>
      <c r="B1194">
        <v>2035</v>
      </c>
      <c r="C1194" t="s">
        <v>57</v>
      </c>
      <c r="D1194" t="s">
        <v>43</v>
      </c>
      <c r="E1194">
        <v>1.45445928853924E-3</v>
      </c>
      <c r="F1194">
        <v>1.45445928853924E-3</v>
      </c>
      <c r="G1194">
        <v>0</v>
      </c>
      <c r="H1194">
        <v>0</v>
      </c>
      <c r="I1194" t="s">
        <v>58</v>
      </c>
    </row>
    <row r="1195" spans="1:9" hidden="1" x14ac:dyDescent="0.35">
      <c r="A1195" t="s">
        <v>9</v>
      </c>
      <c r="B1195">
        <v>2035</v>
      </c>
      <c r="C1195" t="s">
        <v>57</v>
      </c>
      <c r="D1195" t="s">
        <v>136</v>
      </c>
      <c r="E1195">
        <v>0.46172495556427801</v>
      </c>
      <c r="F1195">
        <v>0.46172495556427801</v>
      </c>
      <c r="G1195">
        <v>0</v>
      </c>
      <c r="H1195">
        <v>0</v>
      </c>
      <c r="I1195" t="s">
        <v>58</v>
      </c>
    </row>
    <row r="1196" spans="1:9" hidden="1" x14ac:dyDescent="0.35">
      <c r="A1196" t="s">
        <v>9</v>
      </c>
      <c r="B1196">
        <v>2035</v>
      </c>
      <c r="C1196" t="s">
        <v>57</v>
      </c>
      <c r="D1196" t="s">
        <v>45</v>
      </c>
      <c r="E1196">
        <v>1.32253709034698E-3</v>
      </c>
      <c r="F1196">
        <v>1.32253709034698E-3</v>
      </c>
      <c r="G1196">
        <v>0</v>
      </c>
      <c r="H1196">
        <v>0</v>
      </c>
      <c r="I1196" t="s">
        <v>58</v>
      </c>
    </row>
    <row r="1197" spans="1:9" hidden="1" x14ac:dyDescent="0.35">
      <c r="A1197" t="s">
        <v>9</v>
      </c>
      <c r="B1197">
        <v>2035</v>
      </c>
      <c r="C1197" t="s">
        <v>57</v>
      </c>
      <c r="D1197" t="s">
        <v>46</v>
      </c>
      <c r="E1197">
        <v>9.5879531243496394E-2</v>
      </c>
      <c r="F1197">
        <v>9.5879531243496394E-2</v>
      </c>
      <c r="G1197">
        <v>0</v>
      </c>
      <c r="H1197">
        <v>0</v>
      </c>
      <c r="I1197" t="s">
        <v>58</v>
      </c>
    </row>
    <row r="1198" spans="1:9" hidden="1" x14ac:dyDescent="0.35">
      <c r="A1198" t="s">
        <v>9</v>
      </c>
      <c r="B1198">
        <v>2035</v>
      </c>
      <c r="C1198" t="s">
        <v>57</v>
      </c>
      <c r="D1198" t="s">
        <v>47</v>
      </c>
      <c r="E1198">
        <v>1.71771111623745E-3</v>
      </c>
      <c r="F1198">
        <v>1.71771111623745E-3</v>
      </c>
      <c r="G1198">
        <v>0</v>
      </c>
      <c r="H1198">
        <v>0</v>
      </c>
      <c r="I1198" t="s">
        <v>58</v>
      </c>
    </row>
    <row r="1199" spans="1:9" hidden="1" x14ac:dyDescent="0.35">
      <c r="A1199" t="s">
        <v>9</v>
      </c>
      <c r="B1199">
        <v>2035</v>
      </c>
      <c r="C1199" t="s">
        <v>57</v>
      </c>
      <c r="D1199" t="s">
        <v>48</v>
      </c>
      <c r="E1199">
        <v>5.0246374902263202</v>
      </c>
      <c r="F1199">
        <v>5.0246374902263202</v>
      </c>
      <c r="G1199">
        <v>0</v>
      </c>
      <c r="H1199">
        <v>0</v>
      </c>
      <c r="I1199" t="s">
        <v>58</v>
      </c>
    </row>
    <row r="1200" spans="1:9" hidden="1" x14ac:dyDescent="0.35">
      <c r="A1200" t="s">
        <v>9</v>
      </c>
      <c r="B1200">
        <v>2035</v>
      </c>
      <c r="C1200" t="s">
        <v>57</v>
      </c>
      <c r="D1200" t="s">
        <v>49</v>
      </c>
      <c r="E1200">
        <v>3.0095494627185001E-3</v>
      </c>
      <c r="F1200">
        <v>3.0095494627185001E-3</v>
      </c>
      <c r="G1200">
        <v>0</v>
      </c>
      <c r="H1200">
        <v>0</v>
      </c>
      <c r="I1200" t="s">
        <v>58</v>
      </c>
    </row>
    <row r="1201" spans="1:9" hidden="1" x14ac:dyDescent="0.35">
      <c r="A1201" t="s">
        <v>9</v>
      </c>
      <c r="B1201">
        <v>2035</v>
      </c>
      <c r="C1201" t="s">
        <v>57</v>
      </c>
      <c r="D1201" t="s">
        <v>50</v>
      </c>
      <c r="E1201">
        <v>1.6234220847774799E-2</v>
      </c>
      <c r="F1201">
        <v>1.6234220847774799E-2</v>
      </c>
      <c r="G1201">
        <v>0</v>
      </c>
      <c r="H1201">
        <v>0</v>
      </c>
      <c r="I1201" t="s">
        <v>58</v>
      </c>
    </row>
    <row r="1202" spans="1:9" hidden="1" x14ac:dyDescent="0.35">
      <c r="A1202" t="s">
        <v>9</v>
      </c>
      <c r="B1202">
        <v>2035</v>
      </c>
      <c r="C1202" t="s">
        <v>57</v>
      </c>
      <c r="D1202" t="s">
        <v>51</v>
      </c>
      <c r="E1202">
        <v>6.7825496437486907E-2</v>
      </c>
      <c r="F1202">
        <v>6.7825496437486907E-2</v>
      </c>
      <c r="G1202">
        <v>0</v>
      </c>
      <c r="H1202">
        <v>0</v>
      </c>
      <c r="I1202" t="s">
        <v>58</v>
      </c>
    </row>
    <row r="1203" spans="1:9" hidden="1" x14ac:dyDescent="0.35">
      <c r="A1203" t="s">
        <v>9</v>
      </c>
      <c r="B1203">
        <v>2035</v>
      </c>
      <c r="C1203" t="s">
        <v>57</v>
      </c>
      <c r="D1203" t="s">
        <v>52</v>
      </c>
      <c r="E1203">
        <v>2.1981853909181299E-2</v>
      </c>
      <c r="F1203">
        <v>2.1981853909181299E-2</v>
      </c>
      <c r="G1203">
        <v>0</v>
      </c>
      <c r="H1203">
        <v>0</v>
      </c>
      <c r="I1203" t="s">
        <v>58</v>
      </c>
    </row>
    <row r="1204" spans="1:9" hidden="1" x14ac:dyDescent="0.35">
      <c r="A1204" t="s">
        <v>9</v>
      </c>
      <c r="B1204">
        <v>2035</v>
      </c>
      <c r="C1204" t="s">
        <v>57</v>
      </c>
      <c r="D1204" t="s">
        <v>53</v>
      </c>
      <c r="E1204">
        <v>0.116379285084589</v>
      </c>
      <c r="F1204">
        <v>0.116379285084589</v>
      </c>
      <c r="G1204">
        <v>0</v>
      </c>
      <c r="H1204">
        <v>0</v>
      </c>
      <c r="I1204" t="s">
        <v>58</v>
      </c>
    </row>
    <row r="1205" spans="1:9" hidden="1" x14ac:dyDescent="0.35">
      <c r="A1205" t="s">
        <v>9</v>
      </c>
      <c r="B1205">
        <v>2035</v>
      </c>
      <c r="C1205" t="s">
        <v>57</v>
      </c>
      <c r="D1205" t="s">
        <v>54</v>
      </c>
      <c r="E1205">
        <v>1.1066455326337299</v>
      </c>
      <c r="F1205">
        <v>1.1066455326337299</v>
      </c>
      <c r="G1205">
        <v>0</v>
      </c>
      <c r="H1205">
        <v>0</v>
      </c>
      <c r="I1205" t="s">
        <v>58</v>
      </c>
    </row>
    <row r="1206" spans="1:9" hidden="1" x14ac:dyDescent="0.35">
      <c r="A1206" t="s">
        <v>9</v>
      </c>
      <c r="B1206">
        <v>2035</v>
      </c>
      <c r="C1206" t="s">
        <v>57</v>
      </c>
      <c r="D1206" t="s">
        <v>55</v>
      </c>
      <c r="E1206">
        <v>1.0105643974365099</v>
      </c>
      <c r="F1206">
        <v>1.0105643974365099</v>
      </c>
      <c r="G1206">
        <v>0</v>
      </c>
      <c r="H1206">
        <v>0</v>
      </c>
      <c r="I1206" t="s">
        <v>58</v>
      </c>
    </row>
    <row r="1207" spans="1:9" hidden="1" x14ac:dyDescent="0.35">
      <c r="A1207" t="s">
        <v>9</v>
      </c>
      <c r="B1207">
        <v>2035</v>
      </c>
      <c r="C1207" t="s">
        <v>57</v>
      </c>
      <c r="D1207" t="s">
        <v>56</v>
      </c>
      <c r="E1207" s="1">
        <v>4.7663425782967598E-8</v>
      </c>
      <c r="F1207" s="1">
        <v>4.7663425782967598E-8</v>
      </c>
      <c r="G1207">
        <v>0</v>
      </c>
      <c r="H1207">
        <v>0</v>
      </c>
      <c r="I1207" t="s">
        <v>58</v>
      </c>
    </row>
    <row r="1208" spans="1:9" hidden="1" x14ac:dyDescent="0.35">
      <c r="A1208" t="s">
        <v>11</v>
      </c>
      <c r="B1208">
        <v>2040</v>
      </c>
      <c r="C1208" t="s">
        <v>57</v>
      </c>
      <c r="D1208" t="s">
        <v>38</v>
      </c>
      <c r="E1208">
        <v>6.3049012245464402E-4</v>
      </c>
      <c r="F1208">
        <v>6.3049012245464402E-4</v>
      </c>
      <c r="G1208">
        <v>0</v>
      </c>
      <c r="H1208">
        <v>0</v>
      </c>
      <c r="I1208" t="s">
        <v>58</v>
      </c>
    </row>
    <row r="1209" spans="1:9" hidden="1" x14ac:dyDescent="0.35">
      <c r="A1209" t="s">
        <v>11</v>
      </c>
      <c r="B1209">
        <v>2040</v>
      </c>
      <c r="C1209" t="s">
        <v>57</v>
      </c>
      <c r="D1209" t="s">
        <v>40</v>
      </c>
      <c r="E1209">
        <v>6.56269871971514E-4</v>
      </c>
      <c r="F1209">
        <v>6.56269871971514E-4</v>
      </c>
      <c r="G1209">
        <v>0</v>
      </c>
      <c r="H1209">
        <v>0</v>
      </c>
      <c r="I1209" t="s">
        <v>58</v>
      </c>
    </row>
    <row r="1210" spans="1:9" hidden="1" x14ac:dyDescent="0.35">
      <c r="A1210" t="s">
        <v>11</v>
      </c>
      <c r="B1210">
        <v>2040</v>
      </c>
      <c r="C1210" t="s">
        <v>57</v>
      </c>
      <c r="D1210" t="s">
        <v>41</v>
      </c>
      <c r="E1210">
        <v>3.67106641643308E-3</v>
      </c>
      <c r="F1210">
        <v>3.67106641643308E-3</v>
      </c>
      <c r="G1210">
        <v>0</v>
      </c>
      <c r="H1210">
        <v>0</v>
      </c>
      <c r="I1210" t="s">
        <v>58</v>
      </c>
    </row>
    <row r="1211" spans="1:9" hidden="1" x14ac:dyDescent="0.35">
      <c r="A1211" t="s">
        <v>11</v>
      </c>
      <c r="B1211">
        <v>2040</v>
      </c>
      <c r="C1211" t="s">
        <v>57</v>
      </c>
      <c r="D1211" t="s">
        <v>42</v>
      </c>
      <c r="E1211">
        <v>2.5212731010364302</v>
      </c>
      <c r="F1211">
        <v>2.5212731010364302</v>
      </c>
      <c r="G1211">
        <v>0</v>
      </c>
      <c r="H1211">
        <v>0</v>
      </c>
      <c r="I1211" t="s">
        <v>58</v>
      </c>
    </row>
    <row r="1212" spans="1:9" hidden="1" x14ac:dyDescent="0.35">
      <c r="A1212" t="s">
        <v>11</v>
      </c>
      <c r="B1212">
        <v>2040</v>
      </c>
      <c r="C1212" t="s">
        <v>57</v>
      </c>
      <c r="D1212" t="s">
        <v>43</v>
      </c>
      <c r="E1212">
        <v>1.4457631102010901E-3</v>
      </c>
      <c r="F1212">
        <v>1.4457631102010901E-3</v>
      </c>
      <c r="G1212">
        <v>0</v>
      </c>
      <c r="H1212">
        <v>0</v>
      </c>
      <c r="I1212" t="s">
        <v>58</v>
      </c>
    </row>
    <row r="1213" spans="1:9" hidden="1" x14ac:dyDescent="0.35">
      <c r="A1213" t="s">
        <v>11</v>
      </c>
      <c r="B1213">
        <v>2040</v>
      </c>
      <c r="C1213" t="s">
        <v>57</v>
      </c>
      <c r="D1213" t="s">
        <v>136</v>
      </c>
      <c r="E1213">
        <v>0.451055115258085</v>
      </c>
      <c r="F1213">
        <v>0.451055115258085</v>
      </c>
      <c r="G1213">
        <v>0</v>
      </c>
      <c r="H1213">
        <v>0</v>
      </c>
      <c r="I1213" t="s">
        <v>58</v>
      </c>
    </row>
    <row r="1214" spans="1:9" hidden="1" x14ac:dyDescent="0.35">
      <c r="A1214" t="s">
        <v>11</v>
      </c>
      <c r="B1214">
        <v>2040</v>
      </c>
      <c r="C1214" t="s">
        <v>57</v>
      </c>
      <c r="D1214" t="s">
        <v>45</v>
      </c>
      <c r="E1214">
        <v>1.3166351083745899E-3</v>
      </c>
      <c r="F1214">
        <v>1.3166351083745899E-3</v>
      </c>
      <c r="G1214">
        <v>0</v>
      </c>
      <c r="H1214">
        <v>0</v>
      </c>
      <c r="I1214" t="s">
        <v>58</v>
      </c>
    </row>
    <row r="1215" spans="1:9" hidden="1" x14ac:dyDescent="0.35">
      <c r="A1215" t="s">
        <v>11</v>
      </c>
      <c r="B1215">
        <v>2040</v>
      </c>
      <c r="C1215" t="s">
        <v>57</v>
      </c>
      <c r="D1215" t="s">
        <v>46</v>
      </c>
      <c r="E1215">
        <v>0.143855994683597</v>
      </c>
      <c r="F1215">
        <v>0.143855994683597</v>
      </c>
      <c r="G1215">
        <v>0</v>
      </c>
      <c r="H1215">
        <v>0</v>
      </c>
      <c r="I1215" t="s">
        <v>58</v>
      </c>
    </row>
    <row r="1216" spans="1:9" hidden="1" x14ac:dyDescent="0.35">
      <c r="A1216" t="s">
        <v>11</v>
      </c>
      <c r="B1216">
        <v>2040</v>
      </c>
      <c r="C1216" t="s">
        <v>57</v>
      </c>
      <c r="D1216" t="s">
        <v>47</v>
      </c>
      <c r="E1216">
        <v>1.73500574482912E-3</v>
      </c>
      <c r="F1216">
        <v>1.73500574482912E-3</v>
      </c>
      <c r="G1216">
        <v>0</v>
      </c>
      <c r="H1216">
        <v>0</v>
      </c>
      <c r="I1216" t="s">
        <v>58</v>
      </c>
    </row>
    <row r="1217" spans="1:9" hidden="1" x14ac:dyDescent="0.35">
      <c r="A1217" t="s">
        <v>11</v>
      </c>
      <c r="B1217">
        <v>2040</v>
      </c>
      <c r="C1217" t="s">
        <v>57</v>
      </c>
      <c r="D1217" t="s">
        <v>48</v>
      </c>
      <c r="E1217">
        <v>5.0254064547089099</v>
      </c>
      <c r="F1217">
        <v>5.0254064547089099</v>
      </c>
      <c r="G1217">
        <v>0</v>
      </c>
      <c r="H1217">
        <v>0</v>
      </c>
      <c r="I1217" t="s">
        <v>58</v>
      </c>
    </row>
    <row r="1218" spans="1:9" hidden="1" x14ac:dyDescent="0.35">
      <c r="A1218" t="s">
        <v>11</v>
      </c>
      <c r="B1218">
        <v>2040</v>
      </c>
      <c r="C1218" t="s">
        <v>57</v>
      </c>
      <c r="D1218" t="s">
        <v>49</v>
      </c>
      <c r="E1218">
        <v>2.9907325717393801E-3</v>
      </c>
      <c r="F1218">
        <v>2.9907325717393801E-3</v>
      </c>
      <c r="G1218">
        <v>0</v>
      </c>
      <c r="H1218">
        <v>0</v>
      </c>
      <c r="I1218" t="s">
        <v>58</v>
      </c>
    </row>
    <row r="1219" spans="1:9" hidden="1" x14ac:dyDescent="0.35">
      <c r="A1219" t="s">
        <v>11</v>
      </c>
      <c r="B1219">
        <v>2040</v>
      </c>
      <c r="C1219" t="s">
        <v>57</v>
      </c>
      <c r="D1219" t="s">
        <v>50</v>
      </c>
      <c r="E1219">
        <v>1.6081932223929198E-2</v>
      </c>
      <c r="F1219">
        <v>1.6081932223929198E-2</v>
      </c>
      <c r="G1219">
        <v>0</v>
      </c>
      <c r="H1219">
        <v>0</v>
      </c>
      <c r="I1219" t="s">
        <v>58</v>
      </c>
    </row>
    <row r="1220" spans="1:9" hidden="1" x14ac:dyDescent="0.35">
      <c r="A1220" t="s">
        <v>11</v>
      </c>
      <c r="B1220">
        <v>2040</v>
      </c>
      <c r="C1220" t="s">
        <v>57</v>
      </c>
      <c r="D1220" t="s">
        <v>51</v>
      </c>
      <c r="E1220">
        <v>7.0268095959218804E-2</v>
      </c>
      <c r="F1220">
        <v>7.0268095959218804E-2</v>
      </c>
      <c r="G1220">
        <v>0</v>
      </c>
      <c r="H1220">
        <v>0</v>
      </c>
      <c r="I1220" t="s">
        <v>58</v>
      </c>
    </row>
    <row r="1221" spans="1:9" hidden="1" x14ac:dyDescent="0.35">
      <c r="A1221" t="s">
        <v>11</v>
      </c>
      <c r="B1221">
        <v>2040</v>
      </c>
      <c r="C1221" t="s">
        <v>57</v>
      </c>
      <c r="D1221" t="s">
        <v>52</v>
      </c>
      <c r="E1221">
        <v>1.94791955928574E-2</v>
      </c>
      <c r="F1221">
        <v>1.94791955928574E-2</v>
      </c>
      <c r="G1221">
        <v>0</v>
      </c>
      <c r="H1221">
        <v>0</v>
      </c>
      <c r="I1221" t="s">
        <v>58</v>
      </c>
    </row>
    <row r="1222" spans="1:9" hidden="1" x14ac:dyDescent="0.35">
      <c r="A1222" t="s">
        <v>11</v>
      </c>
      <c r="B1222">
        <v>2040</v>
      </c>
      <c r="C1222" t="s">
        <v>57</v>
      </c>
      <c r="D1222" t="s">
        <v>53</v>
      </c>
      <c r="E1222">
        <v>0.11254786733936401</v>
      </c>
      <c r="F1222">
        <v>0.11254786733936401</v>
      </c>
      <c r="G1222">
        <v>0</v>
      </c>
      <c r="H1222">
        <v>0</v>
      </c>
      <c r="I1222" t="s">
        <v>58</v>
      </c>
    </row>
    <row r="1223" spans="1:9" hidden="1" x14ac:dyDescent="0.35">
      <c r="A1223" t="s">
        <v>11</v>
      </c>
      <c r="B1223">
        <v>2040</v>
      </c>
      <c r="C1223" t="s">
        <v>57</v>
      </c>
      <c r="D1223" t="s">
        <v>54</v>
      </c>
      <c r="E1223">
        <v>1.1071547933186401</v>
      </c>
      <c r="F1223">
        <v>1.1071547933186401</v>
      </c>
      <c r="G1223">
        <v>0</v>
      </c>
      <c r="H1223">
        <v>0</v>
      </c>
      <c r="I1223" t="s">
        <v>58</v>
      </c>
    </row>
    <row r="1224" spans="1:9" hidden="1" x14ac:dyDescent="0.35">
      <c r="A1224" t="s">
        <v>11</v>
      </c>
      <c r="B1224">
        <v>2040</v>
      </c>
      <c r="C1224" t="s">
        <v>57</v>
      </c>
      <c r="D1224" t="s">
        <v>55</v>
      </c>
      <c r="E1224">
        <v>1.0110532449009499</v>
      </c>
      <c r="F1224">
        <v>1.0110532449009499</v>
      </c>
      <c r="G1224">
        <v>0</v>
      </c>
      <c r="H1224">
        <v>0</v>
      </c>
      <c r="I1224" t="s">
        <v>58</v>
      </c>
    </row>
    <row r="1225" spans="1:9" hidden="1" x14ac:dyDescent="0.35">
      <c r="A1225" t="s">
        <v>11</v>
      </c>
      <c r="B1225">
        <v>2040</v>
      </c>
      <c r="C1225" t="s">
        <v>57</v>
      </c>
      <c r="D1225" t="s">
        <v>56</v>
      </c>
      <c r="E1225" s="1">
        <v>4.4425551478287903E-8</v>
      </c>
      <c r="F1225" s="1">
        <v>4.4425551478287903E-8</v>
      </c>
      <c r="G1225">
        <v>0</v>
      </c>
      <c r="H1225">
        <v>0</v>
      </c>
      <c r="I1225" t="s">
        <v>58</v>
      </c>
    </row>
    <row r="1226" spans="1:9" hidden="1" x14ac:dyDescent="0.35">
      <c r="A1226" t="s">
        <v>5</v>
      </c>
      <c r="B1226">
        <v>2025</v>
      </c>
      <c r="C1226" t="s">
        <v>59</v>
      </c>
      <c r="D1226" t="s">
        <v>38</v>
      </c>
      <c r="E1226">
        <v>1.1211410838755599E-2</v>
      </c>
      <c r="F1226">
        <v>1.1211410838755599E-2</v>
      </c>
      <c r="G1226">
        <v>0</v>
      </c>
      <c r="H1226">
        <v>0</v>
      </c>
      <c r="I1226" t="s">
        <v>60</v>
      </c>
    </row>
    <row r="1227" spans="1:9" hidden="1" x14ac:dyDescent="0.35">
      <c r="A1227" t="s">
        <v>5</v>
      </c>
      <c r="B1227">
        <v>2025</v>
      </c>
      <c r="C1227" t="s">
        <v>59</v>
      </c>
      <c r="D1227" t="s">
        <v>40</v>
      </c>
      <c r="E1227">
        <v>4.5875643132614798E-3</v>
      </c>
      <c r="F1227">
        <v>4.5875643132614798E-3</v>
      </c>
      <c r="G1227">
        <v>0</v>
      </c>
      <c r="H1227">
        <v>0</v>
      </c>
      <c r="I1227" t="s">
        <v>60</v>
      </c>
    </row>
    <row r="1228" spans="1:9" hidden="1" x14ac:dyDescent="0.35">
      <c r="A1228" t="s">
        <v>5</v>
      </c>
      <c r="B1228">
        <v>2025</v>
      </c>
      <c r="C1228" t="s">
        <v>59</v>
      </c>
      <c r="D1228" t="s">
        <v>41</v>
      </c>
      <c r="E1228">
        <v>2.9822593456112802E-2</v>
      </c>
      <c r="F1228">
        <v>2.9822593456112802E-2</v>
      </c>
      <c r="G1228">
        <v>0</v>
      </c>
      <c r="H1228">
        <v>0</v>
      </c>
      <c r="I1228" t="s">
        <v>60</v>
      </c>
    </row>
    <row r="1229" spans="1:9" hidden="1" x14ac:dyDescent="0.35">
      <c r="A1229" t="s">
        <v>5</v>
      </c>
      <c r="B1229">
        <v>2025</v>
      </c>
      <c r="C1229" t="s">
        <v>59</v>
      </c>
      <c r="D1229" t="s">
        <v>42</v>
      </c>
      <c r="E1229">
        <v>18.139981221487002</v>
      </c>
      <c r="F1229">
        <v>18.139981221487002</v>
      </c>
      <c r="G1229">
        <v>0</v>
      </c>
      <c r="H1229">
        <v>0</v>
      </c>
      <c r="I1229" t="s">
        <v>60</v>
      </c>
    </row>
    <row r="1230" spans="1:9" hidden="1" x14ac:dyDescent="0.35">
      <c r="A1230" t="s">
        <v>5</v>
      </c>
      <c r="B1230">
        <v>2025</v>
      </c>
      <c r="C1230" t="s">
        <v>59</v>
      </c>
      <c r="D1230" t="s">
        <v>43</v>
      </c>
      <c r="E1230">
        <v>1.2472383387639801E-2</v>
      </c>
      <c r="F1230">
        <v>1.2472383387639801E-2</v>
      </c>
      <c r="G1230">
        <v>0</v>
      </c>
      <c r="H1230">
        <v>0</v>
      </c>
      <c r="I1230" t="s">
        <v>60</v>
      </c>
    </row>
    <row r="1231" spans="1:9" hidden="1" x14ac:dyDescent="0.35">
      <c r="A1231" t="s">
        <v>5</v>
      </c>
      <c r="B1231">
        <v>2025</v>
      </c>
      <c r="C1231" t="s">
        <v>59</v>
      </c>
      <c r="D1231" t="s">
        <v>136</v>
      </c>
      <c r="E1231">
        <v>5.4490869669852398</v>
      </c>
      <c r="F1231">
        <v>5.4490869669852398</v>
      </c>
      <c r="G1231">
        <v>0</v>
      </c>
      <c r="H1231">
        <v>0</v>
      </c>
      <c r="I1231" t="s">
        <v>60</v>
      </c>
    </row>
    <row r="1232" spans="1:9" hidden="1" x14ac:dyDescent="0.35">
      <c r="A1232" t="s">
        <v>5</v>
      </c>
      <c r="B1232">
        <v>2025</v>
      </c>
      <c r="C1232" t="s">
        <v>59</v>
      </c>
      <c r="D1232" t="s">
        <v>45</v>
      </c>
      <c r="E1232">
        <v>1.4610008803704401E-2</v>
      </c>
      <c r="F1232">
        <v>1.4610008803704401E-2</v>
      </c>
      <c r="G1232">
        <v>0</v>
      </c>
      <c r="H1232">
        <v>0</v>
      </c>
      <c r="I1232" t="s">
        <v>60</v>
      </c>
    </row>
    <row r="1233" spans="1:9" hidden="1" x14ac:dyDescent="0.35">
      <c r="A1233" t="s">
        <v>5</v>
      </c>
      <c r="B1233">
        <v>2025</v>
      </c>
      <c r="C1233" t="s">
        <v>59</v>
      </c>
      <c r="D1233" t="s">
        <v>46</v>
      </c>
      <c r="E1233">
        <v>0.52183575895999001</v>
      </c>
      <c r="F1233">
        <v>0.52183575895999001</v>
      </c>
      <c r="G1233">
        <v>0</v>
      </c>
      <c r="H1233">
        <v>0</v>
      </c>
      <c r="I1233" t="s">
        <v>60</v>
      </c>
    </row>
    <row r="1234" spans="1:9" hidden="1" x14ac:dyDescent="0.35">
      <c r="A1234" t="s">
        <v>5</v>
      </c>
      <c r="B1234">
        <v>2025</v>
      </c>
      <c r="C1234" t="s">
        <v>59</v>
      </c>
      <c r="D1234" t="s">
        <v>47</v>
      </c>
      <c r="E1234">
        <v>1.1689886031005899E-2</v>
      </c>
      <c r="F1234">
        <v>1.1689886031005899E-2</v>
      </c>
      <c r="G1234">
        <v>0</v>
      </c>
      <c r="H1234">
        <v>0</v>
      </c>
      <c r="I1234" t="s">
        <v>60</v>
      </c>
    </row>
    <row r="1235" spans="1:9" hidden="1" x14ac:dyDescent="0.35">
      <c r="A1235" t="s">
        <v>5</v>
      </c>
      <c r="B1235">
        <v>2025</v>
      </c>
      <c r="C1235" t="s">
        <v>59</v>
      </c>
      <c r="D1235" t="s">
        <v>48</v>
      </c>
      <c r="E1235">
        <v>36.111019792991598</v>
      </c>
      <c r="F1235">
        <v>36.111019792991598</v>
      </c>
      <c r="G1235">
        <v>0</v>
      </c>
      <c r="H1235">
        <v>0</v>
      </c>
      <c r="I1235" t="s">
        <v>60</v>
      </c>
    </row>
    <row r="1236" spans="1:9" hidden="1" x14ac:dyDescent="0.35">
      <c r="A1236" t="s">
        <v>5</v>
      </c>
      <c r="B1236">
        <v>2025</v>
      </c>
      <c r="C1236" t="s">
        <v>59</v>
      </c>
      <c r="D1236" t="s">
        <v>49</v>
      </c>
      <c r="E1236">
        <v>3.10084351152012E-2</v>
      </c>
      <c r="F1236">
        <v>3.10084351152012E-2</v>
      </c>
      <c r="G1236">
        <v>0</v>
      </c>
      <c r="H1236">
        <v>0</v>
      </c>
      <c r="I1236" t="s">
        <v>60</v>
      </c>
    </row>
    <row r="1237" spans="1:9" hidden="1" x14ac:dyDescent="0.35">
      <c r="A1237" t="s">
        <v>5</v>
      </c>
      <c r="B1237">
        <v>2025</v>
      </c>
      <c r="C1237" t="s">
        <v>59</v>
      </c>
      <c r="D1237" t="s">
        <v>50</v>
      </c>
      <c r="E1237">
        <v>0.14192707165353199</v>
      </c>
      <c r="F1237">
        <v>0.14192707165353199</v>
      </c>
      <c r="G1237">
        <v>0</v>
      </c>
      <c r="H1237">
        <v>0</v>
      </c>
      <c r="I1237" t="s">
        <v>60</v>
      </c>
    </row>
    <row r="1238" spans="1:9" hidden="1" x14ac:dyDescent="0.35">
      <c r="A1238" t="s">
        <v>5</v>
      </c>
      <c r="B1238">
        <v>2025</v>
      </c>
      <c r="C1238" t="s">
        <v>59</v>
      </c>
      <c r="D1238" t="s">
        <v>51</v>
      </c>
      <c r="E1238">
        <v>0.49272065130971998</v>
      </c>
      <c r="F1238">
        <v>0.49272065130971998</v>
      </c>
      <c r="G1238">
        <v>0</v>
      </c>
      <c r="H1238">
        <v>0</v>
      </c>
      <c r="I1238" t="s">
        <v>60</v>
      </c>
    </row>
    <row r="1239" spans="1:9" hidden="1" x14ac:dyDescent="0.35">
      <c r="A1239" t="s">
        <v>5</v>
      </c>
      <c r="B1239">
        <v>2025</v>
      </c>
      <c r="C1239" t="s">
        <v>59</v>
      </c>
      <c r="D1239" t="s">
        <v>52</v>
      </c>
      <c r="E1239">
        <v>0.75647468885586999</v>
      </c>
      <c r="F1239">
        <v>0.75647468885586999</v>
      </c>
      <c r="G1239">
        <v>0</v>
      </c>
      <c r="H1239">
        <v>0</v>
      </c>
      <c r="I1239" t="s">
        <v>60</v>
      </c>
    </row>
    <row r="1240" spans="1:9" hidden="1" x14ac:dyDescent="0.35">
      <c r="A1240" t="s">
        <v>5</v>
      </c>
      <c r="B1240">
        <v>2025</v>
      </c>
      <c r="C1240" t="s">
        <v>59</v>
      </c>
      <c r="D1240" t="s">
        <v>53</v>
      </c>
      <c r="E1240">
        <v>1.5941110570542301</v>
      </c>
      <c r="F1240">
        <v>1.5941110570542301</v>
      </c>
      <c r="G1240">
        <v>0</v>
      </c>
      <c r="H1240">
        <v>0</v>
      </c>
      <c r="I1240" t="s">
        <v>60</v>
      </c>
    </row>
    <row r="1241" spans="1:9" hidden="1" x14ac:dyDescent="0.35">
      <c r="A1241" t="s">
        <v>5</v>
      </c>
      <c r="B1241">
        <v>2025</v>
      </c>
      <c r="C1241" t="s">
        <v>59</v>
      </c>
      <c r="D1241" t="s">
        <v>54</v>
      </c>
      <c r="E1241">
        <v>7.2301914085763501</v>
      </c>
      <c r="F1241">
        <v>7.2301914085763501</v>
      </c>
      <c r="G1241">
        <v>0</v>
      </c>
      <c r="H1241">
        <v>0</v>
      </c>
      <c r="I1241" t="s">
        <v>60</v>
      </c>
    </row>
    <row r="1242" spans="1:9" hidden="1" x14ac:dyDescent="0.35">
      <c r="A1242" t="s">
        <v>5</v>
      </c>
      <c r="B1242">
        <v>2025</v>
      </c>
      <c r="C1242" t="s">
        <v>59</v>
      </c>
      <c r="D1242" t="s">
        <v>55</v>
      </c>
      <c r="E1242">
        <v>6.6120912897061803</v>
      </c>
      <c r="F1242">
        <v>6.6120912897061803</v>
      </c>
      <c r="G1242">
        <v>0</v>
      </c>
      <c r="H1242">
        <v>0</v>
      </c>
      <c r="I1242" t="s">
        <v>60</v>
      </c>
    </row>
    <row r="1243" spans="1:9" hidden="1" x14ac:dyDescent="0.35">
      <c r="A1243" t="s">
        <v>5</v>
      </c>
      <c r="B1243">
        <v>2025</v>
      </c>
      <c r="C1243" t="s">
        <v>59</v>
      </c>
      <c r="D1243" t="s">
        <v>56</v>
      </c>
      <c r="E1243" s="1">
        <v>6.8911982189392004E-7</v>
      </c>
      <c r="F1243" s="1">
        <v>6.8911982189392004E-7</v>
      </c>
      <c r="G1243">
        <v>0</v>
      </c>
      <c r="H1243">
        <v>0</v>
      </c>
      <c r="I1243" t="s">
        <v>60</v>
      </c>
    </row>
    <row r="1244" spans="1:9" hidden="1" x14ac:dyDescent="0.35">
      <c r="A1244" t="s">
        <v>7</v>
      </c>
      <c r="B1244">
        <v>2030</v>
      </c>
      <c r="C1244" t="s">
        <v>59</v>
      </c>
      <c r="D1244" t="s">
        <v>38</v>
      </c>
      <c r="E1244">
        <v>1.11805419951024E-2</v>
      </c>
      <c r="F1244">
        <v>1.11805419951024E-2</v>
      </c>
      <c r="G1244">
        <v>0</v>
      </c>
      <c r="H1244">
        <v>0</v>
      </c>
      <c r="I1244" t="s">
        <v>60</v>
      </c>
    </row>
    <row r="1245" spans="1:9" hidden="1" x14ac:dyDescent="0.35">
      <c r="A1245" t="s">
        <v>7</v>
      </c>
      <c r="B1245">
        <v>2030</v>
      </c>
      <c r="C1245" t="s">
        <v>59</v>
      </c>
      <c r="D1245" t="s">
        <v>40</v>
      </c>
      <c r="E1245">
        <v>4.5715469452257303E-3</v>
      </c>
      <c r="F1245">
        <v>4.5715469452257303E-3</v>
      </c>
      <c r="G1245">
        <v>0</v>
      </c>
      <c r="H1245">
        <v>0</v>
      </c>
      <c r="I1245" t="s">
        <v>60</v>
      </c>
    </row>
    <row r="1246" spans="1:9" hidden="1" x14ac:dyDescent="0.35">
      <c r="A1246" t="s">
        <v>7</v>
      </c>
      <c r="B1246">
        <v>2030</v>
      </c>
      <c r="C1246" t="s">
        <v>59</v>
      </c>
      <c r="D1246" t="s">
        <v>41</v>
      </c>
      <c r="E1246">
        <v>3.11095081007975E-2</v>
      </c>
      <c r="F1246">
        <v>3.11095081007975E-2</v>
      </c>
      <c r="G1246">
        <v>0</v>
      </c>
      <c r="H1246">
        <v>0</v>
      </c>
      <c r="I1246" t="s">
        <v>60</v>
      </c>
    </row>
    <row r="1247" spans="1:9" hidden="1" x14ac:dyDescent="0.35">
      <c r="A1247" t="s">
        <v>7</v>
      </c>
      <c r="B1247">
        <v>2030</v>
      </c>
      <c r="C1247" t="s">
        <v>59</v>
      </c>
      <c r="D1247" t="s">
        <v>42</v>
      </c>
      <c r="E1247">
        <v>18.073066232622299</v>
      </c>
      <c r="F1247">
        <v>18.073066232622299</v>
      </c>
      <c r="G1247">
        <v>0</v>
      </c>
      <c r="H1247">
        <v>0</v>
      </c>
      <c r="I1247" t="s">
        <v>60</v>
      </c>
    </row>
    <row r="1248" spans="1:9" hidden="1" x14ac:dyDescent="0.35">
      <c r="A1248" t="s">
        <v>7</v>
      </c>
      <c r="B1248">
        <v>2030</v>
      </c>
      <c r="C1248" t="s">
        <v>59</v>
      </c>
      <c r="D1248" t="s">
        <v>43</v>
      </c>
      <c r="E1248">
        <v>1.2996883018991E-2</v>
      </c>
      <c r="F1248">
        <v>1.2996883018991E-2</v>
      </c>
      <c r="G1248">
        <v>0</v>
      </c>
      <c r="H1248">
        <v>0</v>
      </c>
      <c r="I1248" t="s">
        <v>60</v>
      </c>
    </row>
    <row r="1249" spans="1:9" hidden="1" x14ac:dyDescent="0.35">
      <c r="A1249" t="s">
        <v>7</v>
      </c>
      <c r="B1249">
        <v>2030</v>
      </c>
      <c r="C1249" t="s">
        <v>59</v>
      </c>
      <c r="D1249" t="s">
        <v>136</v>
      </c>
      <c r="E1249">
        <v>5.13499058581312</v>
      </c>
      <c r="F1249">
        <v>5.13499058581312</v>
      </c>
      <c r="G1249">
        <v>0</v>
      </c>
      <c r="H1249">
        <v>0</v>
      </c>
      <c r="I1249" t="s">
        <v>60</v>
      </c>
    </row>
    <row r="1250" spans="1:9" hidden="1" x14ac:dyDescent="0.35">
      <c r="A1250" t="s">
        <v>7</v>
      </c>
      <c r="B1250">
        <v>2030</v>
      </c>
      <c r="C1250" t="s">
        <v>59</v>
      </c>
      <c r="D1250" t="s">
        <v>45</v>
      </c>
      <c r="E1250">
        <v>1.43278397759327E-2</v>
      </c>
      <c r="F1250">
        <v>1.43278397759327E-2</v>
      </c>
      <c r="G1250">
        <v>0</v>
      </c>
      <c r="H1250">
        <v>0</v>
      </c>
      <c r="I1250" t="s">
        <v>60</v>
      </c>
    </row>
    <row r="1251" spans="1:9" hidden="1" x14ac:dyDescent="0.35">
      <c r="A1251" t="s">
        <v>7</v>
      </c>
      <c r="B1251">
        <v>2030</v>
      </c>
      <c r="C1251" t="s">
        <v>59</v>
      </c>
      <c r="D1251" t="s">
        <v>46</v>
      </c>
      <c r="E1251">
        <v>0.65965941483097401</v>
      </c>
      <c r="F1251">
        <v>0.65965941483097401</v>
      </c>
      <c r="G1251">
        <v>0</v>
      </c>
      <c r="H1251">
        <v>0</v>
      </c>
      <c r="I1251" t="s">
        <v>60</v>
      </c>
    </row>
    <row r="1252" spans="1:9" hidden="1" x14ac:dyDescent="0.35">
      <c r="A1252" t="s">
        <v>7</v>
      </c>
      <c r="B1252">
        <v>2030</v>
      </c>
      <c r="C1252" t="s">
        <v>59</v>
      </c>
      <c r="D1252" t="s">
        <v>47</v>
      </c>
      <c r="E1252">
        <v>1.1647393278193301E-2</v>
      </c>
      <c r="F1252">
        <v>1.1647393278193301E-2</v>
      </c>
      <c r="G1252">
        <v>0</v>
      </c>
      <c r="H1252">
        <v>0</v>
      </c>
      <c r="I1252" t="s">
        <v>60</v>
      </c>
    </row>
    <row r="1253" spans="1:9" hidden="1" x14ac:dyDescent="0.35">
      <c r="A1253" t="s">
        <v>7</v>
      </c>
      <c r="B1253">
        <v>2030</v>
      </c>
      <c r="C1253" t="s">
        <v>59</v>
      </c>
      <c r="D1253" t="s">
        <v>48</v>
      </c>
      <c r="E1253">
        <v>36.110632414334503</v>
      </c>
      <c r="F1253">
        <v>36.110632414334503</v>
      </c>
      <c r="G1253">
        <v>0</v>
      </c>
      <c r="H1253">
        <v>0</v>
      </c>
      <c r="I1253" t="s">
        <v>60</v>
      </c>
    </row>
    <row r="1254" spans="1:9" hidden="1" x14ac:dyDescent="0.35">
      <c r="A1254" t="s">
        <v>7</v>
      </c>
      <c r="B1254">
        <v>2030</v>
      </c>
      <c r="C1254" t="s">
        <v>59</v>
      </c>
      <c r="D1254" t="s">
        <v>49</v>
      </c>
      <c r="E1254">
        <v>3.11258700544957E-2</v>
      </c>
      <c r="F1254">
        <v>3.11258700544957E-2</v>
      </c>
      <c r="G1254">
        <v>0</v>
      </c>
      <c r="H1254">
        <v>0</v>
      </c>
      <c r="I1254" t="s">
        <v>60</v>
      </c>
    </row>
    <row r="1255" spans="1:9" hidden="1" x14ac:dyDescent="0.35">
      <c r="A1255" t="s">
        <v>7</v>
      </c>
      <c r="B1255">
        <v>2030</v>
      </c>
      <c r="C1255" t="s">
        <v>59</v>
      </c>
      <c r="D1255" t="s">
        <v>50</v>
      </c>
      <c r="E1255">
        <v>0.140918754416683</v>
      </c>
      <c r="F1255">
        <v>0.140918754416683</v>
      </c>
      <c r="G1255">
        <v>0</v>
      </c>
      <c r="H1255">
        <v>0</v>
      </c>
      <c r="I1255" t="s">
        <v>60</v>
      </c>
    </row>
    <row r="1256" spans="1:9" hidden="1" x14ac:dyDescent="0.35">
      <c r="A1256" t="s">
        <v>7</v>
      </c>
      <c r="B1256">
        <v>2030</v>
      </c>
      <c r="C1256" t="s">
        <v>59</v>
      </c>
      <c r="D1256" t="s">
        <v>51</v>
      </c>
      <c r="E1256">
        <v>0.498514208251923</v>
      </c>
      <c r="F1256">
        <v>0.498514208251923</v>
      </c>
      <c r="G1256">
        <v>0</v>
      </c>
      <c r="H1256">
        <v>0</v>
      </c>
      <c r="I1256" t="s">
        <v>60</v>
      </c>
    </row>
    <row r="1257" spans="1:9" hidden="1" x14ac:dyDescent="0.35">
      <c r="A1257" t="s">
        <v>7</v>
      </c>
      <c r="B1257">
        <v>2030</v>
      </c>
      <c r="C1257" t="s">
        <v>59</v>
      </c>
      <c r="D1257" t="s">
        <v>52</v>
      </c>
      <c r="E1257">
        <v>0.70670913631877597</v>
      </c>
      <c r="F1257">
        <v>0.70670913631877597</v>
      </c>
      <c r="G1257">
        <v>0</v>
      </c>
      <c r="H1257">
        <v>0</v>
      </c>
      <c r="I1257" t="s">
        <v>60</v>
      </c>
    </row>
    <row r="1258" spans="1:9" hidden="1" x14ac:dyDescent="0.35">
      <c r="A1258" t="s">
        <v>7</v>
      </c>
      <c r="B1258">
        <v>2030</v>
      </c>
      <c r="C1258" t="s">
        <v>59</v>
      </c>
      <c r="D1258" t="s">
        <v>53</v>
      </c>
      <c r="E1258">
        <v>1.4958558584195001</v>
      </c>
      <c r="F1258">
        <v>1.4958558584195001</v>
      </c>
      <c r="G1258">
        <v>0</v>
      </c>
      <c r="H1258">
        <v>0</v>
      </c>
      <c r="I1258" t="s">
        <v>60</v>
      </c>
    </row>
    <row r="1259" spans="1:9" hidden="1" x14ac:dyDescent="0.35">
      <c r="A1259" t="s">
        <v>7</v>
      </c>
      <c r="B1259">
        <v>2030</v>
      </c>
      <c r="C1259" t="s">
        <v>59</v>
      </c>
      <c r="D1259" t="s">
        <v>54</v>
      </c>
      <c r="E1259">
        <v>7.2331507726035804</v>
      </c>
      <c r="F1259">
        <v>7.2331507726035804</v>
      </c>
      <c r="G1259">
        <v>0</v>
      </c>
      <c r="H1259">
        <v>0</v>
      </c>
      <c r="I1259" t="s">
        <v>60</v>
      </c>
    </row>
    <row r="1260" spans="1:9" hidden="1" x14ac:dyDescent="0.35">
      <c r="A1260" t="s">
        <v>7</v>
      </c>
      <c r="B1260">
        <v>2030</v>
      </c>
      <c r="C1260" t="s">
        <v>59</v>
      </c>
      <c r="D1260" t="s">
        <v>55</v>
      </c>
      <c r="E1260">
        <v>6.6141292901711903</v>
      </c>
      <c r="F1260">
        <v>6.6141292901711903</v>
      </c>
      <c r="G1260">
        <v>0</v>
      </c>
      <c r="H1260">
        <v>0</v>
      </c>
      <c r="I1260" t="s">
        <v>60</v>
      </c>
    </row>
    <row r="1261" spans="1:9" hidden="1" x14ac:dyDescent="0.35">
      <c r="A1261" t="s">
        <v>7</v>
      </c>
      <c r="B1261">
        <v>2030</v>
      </c>
      <c r="C1261" t="s">
        <v>59</v>
      </c>
      <c r="D1261" t="s">
        <v>56</v>
      </c>
      <c r="E1261" s="1">
        <v>6.2490779845648899E-7</v>
      </c>
      <c r="F1261" s="1">
        <v>6.2490779845648899E-7</v>
      </c>
      <c r="G1261">
        <v>0</v>
      </c>
      <c r="H1261">
        <v>0</v>
      </c>
      <c r="I1261" t="s">
        <v>60</v>
      </c>
    </row>
    <row r="1262" spans="1:9" hidden="1" x14ac:dyDescent="0.35">
      <c r="A1262" t="s">
        <v>9</v>
      </c>
      <c r="B1262">
        <v>2035</v>
      </c>
      <c r="C1262" t="s">
        <v>59</v>
      </c>
      <c r="D1262" t="s">
        <v>38</v>
      </c>
      <c r="E1262">
        <v>1.09148925627593E-2</v>
      </c>
      <c r="F1262">
        <v>1.09148925627593E-2</v>
      </c>
      <c r="G1262">
        <v>0</v>
      </c>
      <c r="H1262">
        <v>0</v>
      </c>
      <c r="I1262" t="s">
        <v>60</v>
      </c>
    </row>
    <row r="1263" spans="1:9" hidden="1" x14ac:dyDescent="0.35">
      <c r="A1263" t="s">
        <v>9</v>
      </c>
      <c r="B1263">
        <v>2035</v>
      </c>
      <c r="C1263" t="s">
        <v>59</v>
      </c>
      <c r="D1263" t="s">
        <v>40</v>
      </c>
      <c r="E1263">
        <v>4.6414660742016001E-3</v>
      </c>
      <c r="F1263">
        <v>4.6414660742016001E-3</v>
      </c>
      <c r="G1263">
        <v>0</v>
      </c>
      <c r="H1263">
        <v>0</v>
      </c>
      <c r="I1263" t="s">
        <v>60</v>
      </c>
    </row>
    <row r="1264" spans="1:9" hidden="1" x14ac:dyDescent="0.35">
      <c r="A1264" t="s">
        <v>9</v>
      </c>
      <c r="B1264">
        <v>2035</v>
      </c>
      <c r="C1264" t="s">
        <v>59</v>
      </c>
      <c r="D1264" t="s">
        <v>41</v>
      </c>
      <c r="E1264">
        <v>3.0505193848443898E-2</v>
      </c>
      <c r="F1264">
        <v>3.0505193848443898E-2</v>
      </c>
      <c r="G1264">
        <v>0</v>
      </c>
      <c r="H1264">
        <v>0</v>
      </c>
      <c r="I1264" t="s">
        <v>60</v>
      </c>
    </row>
    <row r="1265" spans="1:9" hidden="1" x14ac:dyDescent="0.35">
      <c r="A1265" t="s">
        <v>9</v>
      </c>
      <c r="B1265">
        <v>2035</v>
      </c>
      <c r="C1265" t="s">
        <v>59</v>
      </c>
      <c r="D1265" t="s">
        <v>42</v>
      </c>
      <c r="E1265">
        <v>18.081317179398699</v>
      </c>
      <c r="F1265">
        <v>18.081317179398699</v>
      </c>
      <c r="G1265">
        <v>0</v>
      </c>
      <c r="H1265">
        <v>0</v>
      </c>
      <c r="I1265" t="s">
        <v>60</v>
      </c>
    </row>
    <row r="1266" spans="1:9" hidden="1" x14ac:dyDescent="0.35">
      <c r="A1266" t="s">
        <v>9</v>
      </c>
      <c r="B1266">
        <v>2035</v>
      </c>
      <c r="C1266" t="s">
        <v>59</v>
      </c>
      <c r="D1266" t="s">
        <v>43</v>
      </c>
      <c r="E1266">
        <v>1.27497217402951E-2</v>
      </c>
      <c r="F1266">
        <v>1.27497217402951E-2</v>
      </c>
      <c r="G1266">
        <v>0</v>
      </c>
      <c r="H1266">
        <v>0</v>
      </c>
      <c r="I1266" t="s">
        <v>60</v>
      </c>
    </row>
    <row r="1267" spans="1:9" hidden="1" x14ac:dyDescent="0.35">
      <c r="A1267" t="s">
        <v>9</v>
      </c>
      <c r="B1267">
        <v>2035</v>
      </c>
      <c r="C1267" t="s">
        <v>59</v>
      </c>
      <c r="D1267" t="s">
        <v>136</v>
      </c>
      <c r="E1267">
        <v>4.8860511305963996</v>
      </c>
      <c r="F1267">
        <v>4.8860511305963996</v>
      </c>
      <c r="G1267">
        <v>0</v>
      </c>
      <c r="H1267">
        <v>0</v>
      </c>
      <c r="I1267" t="s">
        <v>60</v>
      </c>
    </row>
    <row r="1268" spans="1:9" hidden="1" x14ac:dyDescent="0.35">
      <c r="A1268" t="s">
        <v>9</v>
      </c>
      <c r="B1268">
        <v>2035</v>
      </c>
      <c r="C1268" t="s">
        <v>59</v>
      </c>
      <c r="D1268" t="s">
        <v>45</v>
      </c>
      <c r="E1268">
        <v>1.38151108381304E-2</v>
      </c>
      <c r="F1268">
        <v>1.38151108381304E-2</v>
      </c>
      <c r="G1268">
        <v>0</v>
      </c>
      <c r="H1268">
        <v>0</v>
      </c>
      <c r="I1268" t="s">
        <v>60</v>
      </c>
    </row>
    <row r="1269" spans="1:9" hidden="1" x14ac:dyDescent="0.35">
      <c r="A1269" t="s">
        <v>9</v>
      </c>
      <c r="B1269">
        <v>2035</v>
      </c>
      <c r="C1269" t="s">
        <v>59</v>
      </c>
      <c r="D1269" t="s">
        <v>46</v>
      </c>
      <c r="E1269">
        <v>0.95533686968003795</v>
      </c>
      <c r="F1269">
        <v>0.95533686968003795</v>
      </c>
      <c r="G1269">
        <v>0</v>
      </c>
      <c r="H1269">
        <v>0</v>
      </c>
      <c r="I1269" t="s">
        <v>60</v>
      </c>
    </row>
    <row r="1270" spans="1:9" hidden="1" x14ac:dyDescent="0.35">
      <c r="A1270" t="s">
        <v>9</v>
      </c>
      <c r="B1270">
        <v>2035</v>
      </c>
      <c r="C1270" t="s">
        <v>59</v>
      </c>
      <c r="D1270" t="s">
        <v>47</v>
      </c>
      <c r="E1270">
        <v>1.16641933167476E-2</v>
      </c>
      <c r="F1270">
        <v>1.16641933167476E-2</v>
      </c>
      <c r="G1270">
        <v>0</v>
      </c>
      <c r="H1270">
        <v>0</v>
      </c>
      <c r="I1270" t="s">
        <v>60</v>
      </c>
    </row>
    <row r="1271" spans="1:9" hidden="1" x14ac:dyDescent="0.35">
      <c r="A1271" t="s">
        <v>9</v>
      </c>
      <c r="B1271">
        <v>2035</v>
      </c>
      <c r="C1271" t="s">
        <v>59</v>
      </c>
      <c r="D1271" t="s">
        <v>48</v>
      </c>
      <c r="E1271">
        <v>36.1172457999551</v>
      </c>
      <c r="F1271">
        <v>36.1172457999551</v>
      </c>
      <c r="G1271">
        <v>0</v>
      </c>
      <c r="H1271">
        <v>0</v>
      </c>
      <c r="I1271" t="s">
        <v>60</v>
      </c>
    </row>
    <row r="1272" spans="1:9" hidden="1" x14ac:dyDescent="0.35">
      <c r="A1272" t="s">
        <v>9</v>
      </c>
      <c r="B1272">
        <v>2035</v>
      </c>
      <c r="C1272" t="s">
        <v>59</v>
      </c>
      <c r="D1272" t="s">
        <v>49</v>
      </c>
      <c r="E1272">
        <v>3.0393489832630599E-2</v>
      </c>
      <c r="F1272">
        <v>3.0393489832630599E-2</v>
      </c>
      <c r="G1272">
        <v>0</v>
      </c>
      <c r="H1272">
        <v>0</v>
      </c>
      <c r="I1272" t="s">
        <v>60</v>
      </c>
    </row>
    <row r="1273" spans="1:9" hidden="1" x14ac:dyDescent="0.35">
      <c r="A1273" t="s">
        <v>9</v>
      </c>
      <c r="B1273">
        <v>2035</v>
      </c>
      <c r="C1273" t="s">
        <v>59</v>
      </c>
      <c r="D1273" t="s">
        <v>50</v>
      </c>
      <c r="E1273">
        <v>0.139104276340797</v>
      </c>
      <c r="F1273">
        <v>0.139104276340797</v>
      </c>
      <c r="G1273">
        <v>0</v>
      </c>
      <c r="H1273">
        <v>0</v>
      </c>
      <c r="I1273" t="s">
        <v>60</v>
      </c>
    </row>
    <row r="1274" spans="1:9" hidden="1" x14ac:dyDescent="0.35">
      <c r="A1274" t="s">
        <v>9</v>
      </c>
      <c r="B1274">
        <v>2035</v>
      </c>
      <c r="C1274" t="s">
        <v>59</v>
      </c>
      <c r="D1274" t="s">
        <v>51</v>
      </c>
      <c r="E1274">
        <v>0.51254960115188797</v>
      </c>
      <c r="F1274">
        <v>0.51254960115188797</v>
      </c>
      <c r="G1274">
        <v>0</v>
      </c>
      <c r="H1274">
        <v>0</v>
      </c>
      <c r="I1274" t="s">
        <v>60</v>
      </c>
    </row>
    <row r="1275" spans="1:9" hidden="1" x14ac:dyDescent="0.35">
      <c r="A1275" t="s">
        <v>9</v>
      </c>
      <c r="B1275">
        <v>2035</v>
      </c>
      <c r="C1275" t="s">
        <v>59</v>
      </c>
      <c r="D1275" t="s">
        <v>52</v>
      </c>
      <c r="E1275">
        <v>0.65648662995797202</v>
      </c>
      <c r="F1275">
        <v>0.65648662995797202</v>
      </c>
      <c r="G1275">
        <v>0</v>
      </c>
      <c r="H1275">
        <v>0</v>
      </c>
      <c r="I1275" t="s">
        <v>60</v>
      </c>
    </row>
    <row r="1276" spans="1:9" hidden="1" x14ac:dyDescent="0.35">
      <c r="A1276" t="s">
        <v>9</v>
      </c>
      <c r="B1276">
        <v>2035</v>
      </c>
      <c r="C1276" t="s">
        <v>59</v>
      </c>
      <c r="D1276" t="s">
        <v>53</v>
      </c>
      <c r="E1276">
        <v>1.41714687669685</v>
      </c>
      <c r="F1276">
        <v>1.41714687669685</v>
      </c>
      <c r="G1276">
        <v>0</v>
      </c>
      <c r="H1276">
        <v>0</v>
      </c>
      <c r="I1276" t="s">
        <v>60</v>
      </c>
    </row>
    <row r="1277" spans="1:9" hidden="1" x14ac:dyDescent="0.35">
      <c r="A1277" t="s">
        <v>9</v>
      </c>
      <c r="B1277">
        <v>2035</v>
      </c>
      <c r="C1277" t="s">
        <v>59</v>
      </c>
      <c r="D1277" t="s">
        <v>54</v>
      </c>
      <c r="E1277">
        <v>7.2375129817279902</v>
      </c>
      <c r="F1277">
        <v>7.2375129817279902</v>
      </c>
      <c r="G1277">
        <v>0</v>
      </c>
      <c r="H1277">
        <v>0</v>
      </c>
      <c r="I1277" t="s">
        <v>60</v>
      </c>
    </row>
    <row r="1278" spans="1:9" hidden="1" x14ac:dyDescent="0.35">
      <c r="A1278" t="s">
        <v>9</v>
      </c>
      <c r="B1278">
        <v>2035</v>
      </c>
      <c r="C1278" t="s">
        <v>59</v>
      </c>
      <c r="D1278" t="s">
        <v>55</v>
      </c>
      <c r="E1278">
        <v>6.6180539813407702</v>
      </c>
      <c r="F1278">
        <v>6.6180539813407702</v>
      </c>
      <c r="G1278">
        <v>0</v>
      </c>
      <c r="H1278">
        <v>0</v>
      </c>
      <c r="I1278" t="s">
        <v>60</v>
      </c>
    </row>
    <row r="1279" spans="1:9" hidden="1" x14ac:dyDescent="0.35">
      <c r="A1279" t="s">
        <v>9</v>
      </c>
      <c r="B1279">
        <v>2035</v>
      </c>
      <c r="C1279" t="s">
        <v>59</v>
      </c>
      <c r="D1279" t="s">
        <v>56</v>
      </c>
      <c r="E1279" s="1">
        <v>5.8302203564876102E-7</v>
      </c>
      <c r="F1279" s="1">
        <v>5.8302203564876102E-7</v>
      </c>
      <c r="G1279">
        <v>0</v>
      </c>
      <c r="H1279">
        <v>0</v>
      </c>
      <c r="I1279" t="s">
        <v>60</v>
      </c>
    </row>
    <row r="1280" spans="1:9" hidden="1" x14ac:dyDescent="0.35">
      <c r="A1280" t="s">
        <v>11</v>
      </c>
      <c r="B1280">
        <v>2040</v>
      </c>
      <c r="C1280" t="s">
        <v>59</v>
      </c>
      <c r="D1280" t="s">
        <v>38</v>
      </c>
      <c r="E1280">
        <v>9.7748212365058491E-3</v>
      </c>
      <c r="F1280">
        <v>9.7748212365058491E-3</v>
      </c>
      <c r="G1280">
        <v>0</v>
      </c>
      <c r="H1280">
        <v>0</v>
      </c>
      <c r="I1280" t="s">
        <v>60</v>
      </c>
    </row>
    <row r="1281" spans="1:9" hidden="1" x14ac:dyDescent="0.35">
      <c r="A1281" t="s">
        <v>11</v>
      </c>
      <c r="B1281">
        <v>2040</v>
      </c>
      <c r="C1281" t="s">
        <v>59</v>
      </c>
      <c r="D1281" t="s">
        <v>40</v>
      </c>
      <c r="E1281">
        <v>4.7504406290968196E-3</v>
      </c>
      <c r="F1281">
        <v>4.7504406290968196E-3</v>
      </c>
      <c r="G1281">
        <v>0</v>
      </c>
      <c r="H1281">
        <v>0</v>
      </c>
      <c r="I1281" t="s">
        <v>60</v>
      </c>
    </row>
    <row r="1282" spans="1:9" hidden="1" x14ac:dyDescent="0.35">
      <c r="A1282" t="s">
        <v>11</v>
      </c>
      <c r="B1282">
        <v>2040</v>
      </c>
      <c r="C1282" t="s">
        <v>59</v>
      </c>
      <c r="D1282" t="s">
        <v>41</v>
      </c>
      <c r="E1282">
        <v>3.0123141820222198E-2</v>
      </c>
      <c r="F1282">
        <v>3.0123141820222198E-2</v>
      </c>
      <c r="G1282">
        <v>0</v>
      </c>
      <c r="H1282">
        <v>0</v>
      </c>
      <c r="I1282" t="s">
        <v>60</v>
      </c>
    </row>
    <row r="1283" spans="1:9" hidden="1" x14ac:dyDescent="0.35">
      <c r="A1283" t="s">
        <v>11</v>
      </c>
      <c r="B1283">
        <v>2040</v>
      </c>
      <c r="C1283" t="s">
        <v>59</v>
      </c>
      <c r="D1283" t="s">
        <v>42</v>
      </c>
      <c r="E1283">
        <v>18.139597035683099</v>
      </c>
      <c r="F1283">
        <v>18.139597035683099</v>
      </c>
      <c r="G1283">
        <v>0</v>
      </c>
      <c r="H1283">
        <v>0</v>
      </c>
      <c r="I1283" t="s">
        <v>60</v>
      </c>
    </row>
    <row r="1284" spans="1:9" hidden="1" x14ac:dyDescent="0.35">
      <c r="A1284" t="s">
        <v>11</v>
      </c>
      <c r="B1284">
        <v>2040</v>
      </c>
      <c r="C1284" t="s">
        <v>59</v>
      </c>
      <c r="D1284" t="s">
        <v>43</v>
      </c>
      <c r="E1284">
        <v>1.24090825131604E-2</v>
      </c>
      <c r="F1284">
        <v>1.24090825131604E-2</v>
      </c>
      <c r="G1284">
        <v>0</v>
      </c>
      <c r="H1284">
        <v>0</v>
      </c>
      <c r="I1284" t="s">
        <v>60</v>
      </c>
    </row>
    <row r="1285" spans="1:9" hidden="1" x14ac:dyDescent="0.35">
      <c r="A1285" t="s">
        <v>11</v>
      </c>
      <c r="B1285">
        <v>2040</v>
      </c>
      <c r="C1285" t="s">
        <v>59</v>
      </c>
      <c r="D1285" t="s">
        <v>136</v>
      </c>
      <c r="E1285">
        <v>4.6950197131771798</v>
      </c>
      <c r="F1285">
        <v>4.6950197131771798</v>
      </c>
      <c r="G1285">
        <v>0</v>
      </c>
      <c r="H1285">
        <v>0</v>
      </c>
      <c r="I1285" t="s">
        <v>60</v>
      </c>
    </row>
    <row r="1286" spans="1:9" hidden="1" x14ac:dyDescent="0.35">
      <c r="A1286" t="s">
        <v>11</v>
      </c>
      <c r="B1286">
        <v>2040</v>
      </c>
      <c r="C1286" t="s">
        <v>59</v>
      </c>
      <c r="D1286" t="s">
        <v>45</v>
      </c>
      <c r="E1286">
        <v>1.3509129991094999E-2</v>
      </c>
      <c r="F1286">
        <v>1.3509129991094999E-2</v>
      </c>
      <c r="G1286">
        <v>0</v>
      </c>
      <c r="H1286">
        <v>0</v>
      </c>
      <c r="I1286" t="s">
        <v>60</v>
      </c>
    </row>
    <row r="1287" spans="1:9" hidden="1" x14ac:dyDescent="0.35">
      <c r="A1287" t="s">
        <v>11</v>
      </c>
      <c r="B1287">
        <v>2040</v>
      </c>
      <c r="C1287" t="s">
        <v>59</v>
      </c>
      <c r="D1287" t="s">
        <v>46</v>
      </c>
      <c r="E1287">
        <v>1.31184076754961</v>
      </c>
      <c r="F1287">
        <v>1.31184076754961</v>
      </c>
      <c r="G1287">
        <v>0</v>
      </c>
      <c r="H1287">
        <v>0</v>
      </c>
      <c r="I1287" t="s">
        <v>60</v>
      </c>
    </row>
    <row r="1288" spans="1:9" hidden="1" x14ac:dyDescent="0.35">
      <c r="A1288" t="s">
        <v>11</v>
      </c>
      <c r="B1288">
        <v>2040</v>
      </c>
      <c r="C1288" t="s">
        <v>59</v>
      </c>
      <c r="D1288" t="s">
        <v>47</v>
      </c>
      <c r="E1288">
        <v>1.17470463241841E-2</v>
      </c>
      <c r="F1288">
        <v>1.17470463241841E-2</v>
      </c>
      <c r="G1288">
        <v>0</v>
      </c>
      <c r="H1288">
        <v>0</v>
      </c>
      <c r="I1288" t="s">
        <v>60</v>
      </c>
    </row>
    <row r="1289" spans="1:9" hidden="1" x14ac:dyDescent="0.35">
      <c r="A1289" t="s">
        <v>11</v>
      </c>
      <c r="B1289">
        <v>2040</v>
      </c>
      <c r="C1289" t="s">
        <v>59</v>
      </c>
      <c r="D1289" t="s">
        <v>48</v>
      </c>
      <c r="E1289">
        <v>36.1312837539272</v>
      </c>
      <c r="F1289">
        <v>36.1312837539272</v>
      </c>
      <c r="G1289">
        <v>0</v>
      </c>
      <c r="H1289">
        <v>0</v>
      </c>
      <c r="I1289" t="s">
        <v>60</v>
      </c>
    </row>
    <row r="1290" spans="1:9" hidden="1" x14ac:dyDescent="0.35">
      <c r="A1290" t="s">
        <v>11</v>
      </c>
      <c r="B1290">
        <v>2040</v>
      </c>
      <c r="C1290" t="s">
        <v>59</v>
      </c>
      <c r="D1290" t="s">
        <v>49</v>
      </c>
      <c r="E1290">
        <v>2.97997643260275E-2</v>
      </c>
      <c r="F1290">
        <v>2.97997643260275E-2</v>
      </c>
      <c r="G1290">
        <v>0</v>
      </c>
      <c r="H1290">
        <v>0</v>
      </c>
      <c r="I1290" t="s">
        <v>60</v>
      </c>
    </row>
    <row r="1291" spans="1:9" hidden="1" x14ac:dyDescent="0.35">
      <c r="A1291" t="s">
        <v>11</v>
      </c>
      <c r="B1291">
        <v>2040</v>
      </c>
      <c r="C1291" t="s">
        <v>59</v>
      </c>
      <c r="D1291" t="s">
        <v>50</v>
      </c>
      <c r="E1291">
        <v>0.13467264670364901</v>
      </c>
      <c r="F1291">
        <v>0.13467264670364901</v>
      </c>
      <c r="G1291">
        <v>0</v>
      </c>
      <c r="H1291">
        <v>0</v>
      </c>
      <c r="I1291" t="s">
        <v>60</v>
      </c>
    </row>
    <row r="1292" spans="1:9" hidden="1" x14ac:dyDescent="0.35">
      <c r="A1292" t="s">
        <v>11</v>
      </c>
      <c r="B1292">
        <v>2040</v>
      </c>
      <c r="C1292" t="s">
        <v>59</v>
      </c>
      <c r="D1292" t="s">
        <v>51</v>
      </c>
      <c r="E1292">
        <v>0.53004187298715499</v>
      </c>
      <c r="F1292">
        <v>0.53004187298715499</v>
      </c>
      <c r="G1292">
        <v>0</v>
      </c>
      <c r="H1292">
        <v>0</v>
      </c>
      <c r="I1292" t="s">
        <v>60</v>
      </c>
    </row>
    <row r="1293" spans="1:9" hidden="1" x14ac:dyDescent="0.35">
      <c r="A1293" t="s">
        <v>11</v>
      </c>
      <c r="B1293">
        <v>2040</v>
      </c>
      <c r="C1293" t="s">
        <v>59</v>
      </c>
      <c r="D1293" t="s">
        <v>52</v>
      </c>
      <c r="E1293">
        <v>0.61005669904357596</v>
      </c>
      <c r="F1293">
        <v>0.61005669904357596</v>
      </c>
      <c r="G1293">
        <v>0</v>
      </c>
      <c r="H1293">
        <v>0</v>
      </c>
      <c r="I1293" t="s">
        <v>60</v>
      </c>
    </row>
    <row r="1294" spans="1:9" hidden="1" x14ac:dyDescent="0.35">
      <c r="A1294" t="s">
        <v>11</v>
      </c>
      <c r="B1294">
        <v>2040</v>
      </c>
      <c r="C1294" t="s">
        <v>59</v>
      </c>
      <c r="D1294" t="s">
        <v>53</v>
      </c>
      <c r="E1294">
        <v>1.3525868271335499</v>
      </c>
      <c r="F1294">
        <v>1.3525868271335499</v>
      </c>
      <c r="G1294">
        <v>0</v>
      </c>
      <c r="H1294">
        <v>0</v>
      </c>
      <c r="I1294" t="s">
        <v>60</v>
      </c>
    </row>
    <row r="1295" spans="1:9" hidden="1" x14ac:dyDescent="0.35">
      <c r="A1295" t="s">
        <v>11</v>
      </c>
      <c r="B1295">
        <v>2040</v>
      </c>
      <c r="C1295" t="s">
        <v>59</v>
      </c>
      <c r="D1295" t="s">
        <v>54</v>
      </c>
      <c r="E1295">
        <v>7.2433057387267104</v>
      </c>
      <c r="F1295">
        <v>7.2433057387267104</v>
      </c>
      <c r="G1295">
        <v>0</v>
      </c>
      <c r="H1295">
        <v>0</v>
      </c>
      <c r="I1295" t="s">
        <v>60</v>
      </c>
    </row>
    <row r="1296" spans="1:9" hidden="1" x14ac:dyDescent="0.35">
      <c r="A1296" t="s">
        <v>11</v>
      </c>
      <c r="B1296">
        <v>2040</v>
      </c>
      <c r="C1296" t="s">
        <v>59</v>
      </c>
      <c r="D1296" t="s">
        <v>55</v>
      </c>
      <c r="E1296">
        <v>6.6235105209854099</v>
      </c>
      <c r="F1296">
        <v>6.6235105209854099</v>
      </c>
      <c r="G1296">
        <v>0</v>
      </c>
      <c r="H1296">
        <v>0</v>
      </c>
      <c r="I1296" t="s">
        <v>60</v>
      </c>
    </row>
    <row r="1297" spans="1:9" hidden="1" x14ac:dyDescent="0.35">
      <c r="A1297" t="s">
        <v>11</v>
      </c>
      <c r="B1297">
        <v>2040</v>
      </c>
      <c r="C1297" t="s">
        <v>59</v>
      </c>
      <c r="D1297" t="s">
        <v>56</v>
      </c>
      <c r="E1297" s="1">
        <v>5.5549643596808201E-7</v>
      </c>
      <c r="F1297" s="1">
        <v>5.5549643596808201E-7</v>
      </c>
      <c r="G1297">
        <v>0</v>
      </c>
      <c r="H1297">
        <v>0</v>
      </c>
      <c r="I1297" t="s">
        <v>60</v>
      </c>
    </row>
    <row r="1298" spans="1:9" hidden="1" x14ac:dyDescent="0.35">
      <c r="A1298" t="s">
        <v>5</v>
      </c>
      <c r="B1298">
        <v>2025</v>
      </c>
      <c r="C1298" t="s">
        <v>63</v>
      </c>
      <c r="D1298" t="s">
        <v>38</v>
      </c>
      <c r="E1298">
        <v>4.1167324389685504E-3</v>
      </c>
      <c r="F1298">
        <v>4.1167324389685504E-3</v>
      </c>
      <c r="G1298">
        <v>0</v>
      </c>
      <c r="H1298">
        <v>0</v>
      </c>
      <c r="I1298" t="s">
        <v>64</v>
      </c>
    </row>
    <row r="1299" spans="1:9" hidden="1" x14ac:dyDescent="0.35">
      <c r="A1299" t="s">
        <v>5</v>
      </c>
      <c r="B1299">
        <v>2025</v>
      </c>
      <c r="C1299" t="s">
        <v>63</v>
      </c>
      <c r="D1299" t="s">
        <v>40</v>
      </c>
      <c r="E1299">
        <v>5.6091434047554102E-4</v>
      </c>
      <c r="F1299">
        <v>5.6091434047554102E-4</v>
      </c>
      <c r="G1299">
        <v>0</v>
      </c>
      <c r="H1299">
        <v>0</v>
      </c>
      <c r="I1299" t="s">
        <v>64</v>
      </c>
    </row>
    <row r="1300" spans="1:9" hidden="1" x14ac:dyDescent="0.35">
      <c r="A1300" t="s">
        <v>5</v>
      </c>
      <c r="B1300">
        <v>2025</v>
      </c>
      <c r="C1300" t="s">
        <v>63</v>
      </c>
      <c r="D1300" t="s">
        <v>41</v>
      </c>
      <c r="E1300">
        <v>4.9322004126632502E-3</v>
      </c>
      <c r="F1300">
        <v>4.9322004126632502E-3</v>
      </c>
      <c r="G1300">
        <v>0</v>
      </c>
      <c r="H1300">
        <v>0</v>
      </c>
      <c r="I1300" t="s">
        <v>64</v>
      </c>
    </row>
    <row r="1301" spans="1:9" hidden="1" x14ac:dyDescent="0.35">
      <c r="A1301" t="s">
        <v>5</v>
      </c>
      <c r="B1301">
        <v>2025</v>
      </c>
      <c r="C1301" t="s">
        <v>63</v>
      </c>
      <c r="D1301" t="s">
        <v>42</v>
      </c>
      <c r="E1301">
        <v>3.2320900755758402</v>
      </c>
      <c r="F1301">
        <v>3.2320900755758402</v>
      </c>
      <c r="G1301">
        <v>0</v>
      </c>
      <c r="H1301">
        <v>0</v>
      </c>
      <c r="I1301" t="s">
        <v>64</v>
      </c>
    </row>
    <row r="1302" spans="1:9" hidden="1" x14ac:dyDescent="0.35">
      <c r="A1302" t="s">
        <v>5</v>
      </c>
      <c r="B1302">
        <v>2025</v>
      </c>
      <c r="C1302" t="s">
        <v>63</v>
      </c>
      <c r="D1302" t="s">
        <v>43</v>
      </c>
      <c r="E1302">
        <v>1.5730461550622699E-3</v>
      </c>
      <c r="F1302">
        <v>1.5730461550622699E-3</v>
      </c>
      <c r="G1302">
        <v>0</v>
      </c>
      <c r="H1302">
        <v>0</v>
      </c>
      <c r="I1302" t="s">
        <v>64</v>
      </c>
    </row>
    <row r="1303" spans="1:9" hidden="1" x14ac:dyDescent="0.35">
      <c r="A1303" t="s">
        <v>5</v>
      </c>
      <c r="B1303">
        <v>2025</v>
      </c>
      <c r="C1303" t="s">
        <v>63</v>
      </c>
      <c r="D1303" t="s">
        <v>136</v>
      </c>
      <c r="E1303">
        <v>0.89284517952573605</v>
      </c>
      <c r="F1303">
        <v>0.89284517952573605</v>
      </c>
      <c r="G1303">
        <v>0</v>
      </c>
      <c r="H1303">
        <v>0</v>
      </c>
      <c r="I1303" t="s">
        <v>64</v>
      </c>
    </row>
    <row r="1304" spans="1:9" hidden="1" x14ac:dyDescent="0.35">
      <c r="A1304" t="s">
        <v>5</v>
      </c>
      <c r="B1304">
        <v>2025</v>
      </c>
      <c r="C1304" t="s">
        <v>63</v>
      </c>
      <c r="D1304" t="s">
        <v>45</v>
      </c>
      <c r="E1304">
        <v>1.9097529091198699E-3</v>
      </c>
      <c r="F1304">
        <v>1.9097529091198699E-3</v>
      </c>
      <c r="G1304">
        <v>0</v>
      </c>
      <c r="H1304">
        <v>0</v>
      </c>
      <c r="I1304" t="s">
        <v>64</v>
      </c>
    </row>
    <row r="1305" spans="1:9" hidden="1" x14ac:dyDescent="0.35">
      <c r="A1305" t="s">
        <v>5</v>
      </c>
      <c r="B1305">
        <v>2025</v>
      </c>
      <c r="C1305" t="s">
        <v>63</v>
      </c>
      <c r="D1305" t="s">
        <v>46</v>
      </c>
      <c r="E1305">
        <v>1.6694402480067899E-2</v>
      </c>
      <c r="F1305">
        <v>1.6694402480067899E-2</v>
      </c>
      <c r="G1305">
        <v>0</v>
      </c>
      <c r="H1305">
        <v>0</v>
      </c>
      <c r="I1305" t="s">
        <v>64</v>
      </c>
    </row>
    <row r="1306" spans="1:9" hidden="1" x14ac:dyDescent="0.35">
      <c r="A1306" t="s">
        <v>5</v>
      </c>
      <c r="B1306">
        <v>2025</v>
      </c>
      <c r="C1306" t="s">
        <v>63</v>
      </c>
      <c r="D1306" t="s">
        <v>47</v>
      </c>
      <c r="E1306">
        <v>2.2763494984331298E-3</v>
      </c>
      <c r="F1306">
        <v>2.2763494984331298E-3</v>
      </c>
      <c r="G1306">
        <v>0</v>
      </c>
      <c r="H1306">
        <v>0</v>
      </c>
      <c r="I1306" t="s">
        <v>64</v>
      </c>
    </row>
    <row r="1307" spans="1:9" hidden="1" x14ac:dyDescent="0.35">
      <c r="A1307" t="s">
        <v>5</v>
      </c>
      <c r="B1307">
        <v>2025</v>
      </c>
      <c r="C1307" t="s">
        <v>63</v>
      </c>
      <c r="D1307" t="s">
        <v>48</v>
      </c>
      <c r="E1307">
        <v>1.0263139771479901</v>
      </c>
      <c r="F1307">
        <v>1.0263139771479901</v>
      </c>
      <c r="G1307">
        <v>0</v>
      </c>
      <c r="H1307">
        <v>0</v>
      </c>
      <c r="I1307" t="s">
        <v>64</v>
      </c>
    </row>
    <row r="1308" spans="1:9" hidden="1" x14ac:dyDescent="0.35">
      <c r="A1308" t="s">
        <v>5</v>
      </c>
      <c r="B1308">
        <v>2025</v>
      </c>
      <c r="C1308" t="s">
        <v>63</v>
      </c>
      <c r="D1308" t="s">
        <v>49</v>
      </c>
      <c r="E1308">
        <v>4.9092229098246197E-3</v>
      </c>
      <c r="F1308">
        <v>4.9092229098246197E-3</v>
      </c>
      <c r="G1308">
        <v>0</v>
      </c>
      <c r="H1308">
        <v>0</v>
      </c>
      <c r="I1308" t="s">
        <v>64</v>
      </c>
    </row>
    <row r="1309" spans="1:9" hidden="1" x14ac:dyDescent="0.35">
      <c r="A1309" t="s">
        <v>5</v>
      </c>
      <c r="B1309">
        <v>2025</v>
      </c>
      <c r="C1309" t="s">
        <v>63</v>
      </c>
      <c r="D1309" t="s">
        <v>50</v>
      </c>
      <c r="E1309">
        <v>1.24380219244235E-3</v>
      </c>
      <c r="F1309">
        <v>1.24380219244235E-3</v>
      </c>
      <c r="G1309">
        <v>0</v>
      </c>
      <c r="H1309">
        <v>0</v>
      </c>
      <c r="I1309" t="s">
        <v>64</v>
      </c>
    </row>
    <row r="1310" spans="1:9" hidden="1" x14ac:dyDescent="0.35">
      <c r="A1310" t="s">
        <v>5</v>
      </c>
      <c r="B1310">
        <v>2025</v>
      </c>
      <c r="C1310" t="s">
        <v>63</v>
      </c>
      <c r="D1310" t="s">
        <v>51</v>
      </c>
      <c r="E1310">
        <v>5.4733588687810003E-2</v>
      </c>
      <c r="F1310">
        <v>5.4733588687810003E-2</v>
      </c>
      <c r="G1310">
        <v>0</v>
      </c>
      <c r="H1310">
        <v>0</v>
      </c>
      <c r="I1310" t="s">
        <v>64</v>
      </c>
    </row>
    <row r="1311" spans="1:9" hidden="1" x14ac:dyDescent="0.35">
      <c r="A1311" t="s">
        <v>5</v>
      </c>
      <c r="B1311">
        <v>2025</v>
      </c>
      <c r="C1311" t="s">
        <v>63</v>
      </c>
      <c r="D1311" t="s">
        <v>52</v>
      </c>
      <c r="E1311">
        <v>2.1505796474117801E-2</v>
      </c>
      <c r="F1311">
        <v>2.1505796474117801E-2</v>
      </c>
      <c r="G1311">
        <v>0</v>
      </c>
      <c r="H1311">
        <v>0</v>
      </c>
      <c r="I1311" t="s">
        <v>64</v>
      </c>
    </row>
    <row r="1312" spans="1:9" hidden="1" x14ac:dyDescent="0.35">
      <c r="A1312" t="s">
        <v>5</v>
      </c>
      <c r="B1312">
        <v>2025</v>
      </c>
      <c r="C1312" t="s">
        <v>63</v>
      </c>
      <c r="D1312" t="s">
        <v>53</v>
      </c>
      <c r="E1312">
        <v>0.25096775162568502</v>
      </c>
      <c r="F1312">
        <v>0.25096775162568502</v>
      </c>
      <c r="G1312">
        <v>0</v>
      </c>
      <c r="H1312">
        <v>0</v>
      </c>
      <c r="I1312" t="s">
        <v>64</v>
      </c>
    </row>
    <row r="1313" spans="1:9" hidden="1" x14ac:dyDescent="0.35">
      <c r="A1313" t="s">
        <v>5</v>
      </c>
      <c r="B1313">
        <v>2025</v>
      </c>
      <c r="C1313" t="s">
        <v>63</v>
      </c>
      <c r="D1313" t="s">
        <v>54</v>
      </c>
      <c r="E1313">
        <v>1.50064364623601</v>
      </c>
      <c r="F1313">
        <v>1.50064364623601</v>
      </c>
      <c r="G1313">
        <v>0</v>
      </c>
      <c r="H1313">
        <v>0</v>
      </c>
      <c r="I1313" t="s">
        <v>64</v>
      </c>
    </row>
    <row r="1314" spans="1:9" hidden="1" x14ac:dyDescent="0.35">
      <c r="A1314" t="s">
        <v>5</v>
      </c>
      <c r="B1314">
        <v>2025</v>
      </c>
      <c r="C1314" t="s">
        <v>63</v>
      </c>
      <c r="D1314" t="s">
        <v>55</v>
      </c>
      <c r="E1314">
        <v>1.61667728422015</v>
      </c>
      <c r="F1314">
        <v>1.61667728422015</v>
      </c>
      <c r="G1314">
        <v>0</v>
      </c>
      <c r="H1314">
        <v>0</v>
      </c>
      <c r="I1314" t="s">
        <v>64</v>
      </c>
    </row>
    <row r="1315" spans="1:9" hidden="1" x14ac:dyDescent="0.35">
      <c r="A1315" t="s">
        <v>5</v>
      </c>
      <c r="B1315">
        <v>2025</v>
      </c>
      <c r="C1315" t="s">
        <v>63</v>
      </c>
      <c r="D1315" t="s">
        <v>56</v>
      </c>
      <c r="E1315" s="1">
        <v>6.0491936080399894E-8</v>
      </c>
      <c r="F1315" s="1">
        <v>6.0491936080399894E-8</v>
      </c>
      <c r="G1315">
        <v>0</v>
      </c>
      <c r="H1315">
        <v>0</v>
      </c>
      <c r="I1315" t="s">
        <v>64</v>
      </c>
    </row>
    <row r="1316" spans="1:9" hidden="1" x14ac:dyDescent="0.35">
      <c r="A1316" t="s">
        <v>7</v>
      </c>
      <c r="B1316">
        <v>2030</v>
      </c>
      <c r="C1316" t="s">
        <v>63</v>
      </c>
      <c r="D1316" t="s">
        <v>38</v>
      </c>
      <c r="E1316">
        <v>4.1200590006039003E-3</v>
      </c>
      <c r="F1316">
        <v>1.2164263751646E-3</v>
      </c>
      <c r="G1316">
        <v>-2.9036326254392899E-3</v>
      </c>
      <c r="H1316">
        <v>-70.475510787920499</v>
      </c>
      <c r="I1316" t="s">
        <v>64</v>
      </c>
    </row>
    <row r="1317" spans="1:9" hidden="1" x14ac:dyDescent="0.35">
      <c r="A1317" t="s">
        <v>7</v>
      </c>
      <c r="B1317">
        <v>2030</v>
      </c>
      <c r="C1317" t="s">
        <v>63</v>
      </c>
      <c r="D1317" t="s">
        <v>40</v>
      </c>
      <c r="E1317">
        <v>5.6041999988864295E-4</v>
      </c>
      <c r="F1317">
        <v>5.6041999988864295E-4</v>
      </c>
      <c r="G1317">
        <v>0</v>
      </c>
      <c r="H1317">
        <v>0</v>
      </c>
      <c r="I1317" t="s">
        <v>64</v>
      </c>
    </row>
    <row r="1318" spans="1:9" hidden="1" x14ac:dyDescent="0.35">
      <c r="A1318" t="s">
        <v>7</v>
      </c>
      <c r="B1318">
        <v>2030</v>
      </c>
      <c r="C1318" t="s">
        <v>63</v>
      </c>
      <c r="D1318" t="s">
        <v>41</v>
      </c>
      <c r="E1318">
        <v>4.9226160382489399E-3</v>
      </c>
      <c r="F1318">
        <v>2.1746591465635601E-3</v>
      </c>
      <c r="G1318">
        <v>-2.7479568916853698E-3</v>
      </c>
      <c r="H1318">
        <v>-55.823100366423603</v>
      </c>
      <c r="I1318" t="s">
        <v>64</v>
      </c>
    </row>
    <row r="1319" spans="1:9" hidden="1" x14ac:dyDescent="0.35">
      <c r="A1319" t="s">
        <v>7</v>
      </c>
      <c r="B1319">
        <v>2030</v>
      </c>
      <c r="C1319" t="s">
        <v>63</v>
      </c>
      <c r="D1319" t="s">
        <v>42</v>
      </c>
      <c r="E1319">
        <v>3.2314029893554999</v>
      </c>
      <c r="F1319">
        <v>3.19011781653241</v>
      </c>
      <c r="G1319">
        <v>-4.1285172823088898E-2</v>
      </c>
      <c r="H1319">
        <v>-1.27762377391756</v>
      </c>
      <c r="I1319" t="s">
        <v>64</v>
      </c>
    </row>
    <row r="1320" spans="1:9" hidden="1" x14ac:dyDescent="0.35">
      <c r="A1320" t="s">
        <v>7</v>
      </c>
      <c r="B1320">
        <v>2030</v>
      </c>
      <c r="C1320" t="s">
        <v>63</v>
      </c>
      <c r="D1320" t="s">
        <v>43</v>
      </c>
      <c r="E1320">
        <v>1.57001639590279E-3</v>
      </c>
      <c r="F1320">
        <v>6.0979948124674499E-4</v>
      </c>
      <c r="G1320">
        <v>-9.6021691465604899E-4</v>
      </c>
      <c r="H1320">
        <v>-61.159674329636701</v>
      </c>
      <c r="I1320" t="s">
        <v>64</v>
      </c>
    </row>
    <row r="1321" spans="1:9" hidden="1" x14ac:dyDescent="0.35">
      <c r="A1321" t="s">
        <v>7</v>
      </c>
      <c r="B1321">
        <v>2030</v>
      </c>
      <c r="C1321" t="s">
        <v>63</v>
      </c>
      <c r="D1321" t="s">
        <v>136</v>
      </c>
      <c r="E1321">
        <v>0.889989871431209</v>
      </c>
      <c r="F1321">
        <v>0.61595114292136</v>
      </c>
      <c r="G1321">
        <v>-0.27403872850984801</v>
      </c>
      <c r="H1321">
        <v>-30.791218788721899</v>
      </c>
      <c r="I1321" t="s">
        <v>64</v>
      </c>
    </row>
    <row r="1322" spans="1:9" hidden="1" x14ac:dyDescent="0.35">
      <c r="A1322" t="s">
        <v>7</v>
      </c>
      <c r="B1322">
        <v>2030</v>
      </c>
      <c r="C1322" t="s">
        <v>63</v>
      </c>
      <c r="D1322" t="s">
        <v>45</v>
      </c>
      <c r="E1322">
        <v>1.8822796589343001E-3</v>
      </c>
      <c r="F1322">
        <v>7.7031043993181804E-4</v>
      </c>
      <c r="G1322">
        <v>-1.11196921900248E-3</v>
      </c>
      <c r="H1322">
        <v>-59.0756646454997</v>
      </c>
      <c r="I1322" t="s">
        <v>64</v>
      </c>
    </row>
    <row r="1323" spans="1:9" hidden="1" x14ac:dyDescent="0.35">
      <c r="A1323" t="s">
        <v>7</v>
      </c>
      <c r="B1323">
        <v>2030</v>
      </c>
      <c r="C1323" t="s">
        <v>63</v>
      </c>
      <c r="D1323" t="s">
        <v>46</v>
      </c>
      <c r="E1323">
        <v>1.7553229926766601E-2</v>
      </c>
      <c r="F1323">
        <v>1.7553229926766601E-2</v>
      </c>
      <c r="G1323">
        <v>0</v>
      </c>
      <c r="H1323">
        <v>0</v>
      </c>
      <c r="I1323" t="s">
        <v>64</v>
      </c>
    </row>
    <row r="1324" spans="1:9" hidden="1" x14ac:dyDescent="0.35">
      <c r="A1324" t="s">
        <v>7</v>
      </c>
      <c r="B1324">
        <v>2030</v>
      </c>
      <c r="C1324" t="s">
        <v>63</v>
      </c>
      <c r="D1324" t="s">
        <v>47</v>
      </c>
      <c r="E1324">
        <v>2.27552888531342E-3</v>
      </c>
      <c r="F1324">
        <v>2.27552888531342E-3</v>
      </c>
      <c r="G1324">
        <v>0</v>
      </c>
      <c r="H1324">
        <v>0</v>
      </c>
      <c r="I1324" t="s">
        <v>64</v>
      </c>
    </row>
    <row r="1325" spans="1:9" hidden="1" x14ac:dyDescent="0.35">
      <c r="A1325" t="s">
        <v>7</v>
      </c>
      <c r="B1325">
        <v>2030</v>
      </c>
      <c r="C1325" t="s">
        <v>63</v>
      </c>
      <c r="D1325" t="s">
        <v>48</v>
      </c>
      <c r="E1325">
        <v>1.0263062857010901</v>
      </c>
      <c r="F1325">
        <v>1.0263062857010901</v>
      </c>
      <c r="G1325">
        <v>0</v>
      </c>
      <c r="H1325">
        <v>0</v>
      </c>
      <c r="I1325" t="s">
        <v>64</v>
      </c>
    </row>
    <row r="1326" spans="1:9" hidden="1" x14ac:dyDescent="0.35">
      <c r="A1326" t="s">
        <v>7</v>
      </c>
      <c r="B1326">
        <v>2030</v>
      </c>
      <c r="C1326" t="s">
        <v>63</v>
      </c>
      <c r="D1326" t="s">
        <v>49</v>
      </c>
      <c r="E1326">
        <v>4.8973437594206203E-3</v>
      </c>
      <c r="F1326">
        <v>1.7891511943191501E-3</v>
      </c>
      <c r="G1326">
        <v>-3.1081925651014601E-3</v>
      </c>
      <c r="H1326">
        <v>-63.466906098279999</v>
      </c>
      <c r="I1326" t="s">
        <v>64</v>
      </c>
    </row>
    <row r="1327" spans="1:9" hidden="1" x14ac:dyDescent="0.35">
      <c r="A1327" t="s">
        <v>7</v>
      </c>
      <c r="B1327">
        <v>2030</v>
      </c>
      <c r="C1327" t="s">
        <v>63</v>
      </c>
      <c r="D1327" t="s">
        <v>50</v>
      </c>
      <c r="E1327">
        <v>1.2405009816598E-3</v>
      </c>
      <c r="F1327">
        <v>1.2405009816598E-3</v>
      </c>
      <c r="G1327">
        <v>0</v>
      </c>
      <c r="H1327">
        <v>0</v>
      </c>
      <c r="I1327" t="s">
        <v>64</v>
      </c>
    </row>
    <row r="1328" spans="1:9" hidden="1" x14ac:dyDescent="0.35">
      <c r="A1328" t="s">
        <v>7</v>
      </c>
      <c r="B1328">
        <v>2030</v>
      </c>
      <c r="C1328" t="s">
        <v>63</v>
      </c>
      <c r="D1328" t="s">
        <v>51</v>
      </c>
      <c r="E1328">
        <v>5.4749993828047801E-2</v>
      </c>
      <c r="F1328">
        <v>5.4749993828047801E-2</v>
      </c>
      <c r="G1328">
        <v>0</v>
      </c>
      <c r="H1328">
        <v>0</v>
      </c>
      <c r="I1328" t="s">
        <v>64</v>
      </c>
    </row>
    <row r="1329" spans="1:9" hidden="1" x14ac:dyDescent="0.35">
      <c r="A1329" t="s">
        <v>7</v>
      </c>
      <c r="B1329">
        <v>2030</v>
      </c>
      <c r="C1329" t="s">
        <v>63</v>
      </c>
      <c r="D1329" t="s">
        <v>52</v>
      </c>
      <c r="E1329">
        <v>2.1213814580246002E-2</v>
      </c>
      <c r="F1329">
        <v>2.1213814580246002E-2</v>
      </c>
      <c r="G1329">
        <v>0</v>
      </c>
      <c r="H1329">
        <v>0</v>
      </c>
      <c r="I1329" t="s">
        <v>64</v>
      </c>
    </row>
    <row r="1330" spans="1:9" hidden="1" x14ac:dyDescent="0.35">
      <c r="A1330" t="s">
        <v>7</v>
      </c>
      <c r="B1330">
        <v>2030</v>
      </c>
      <c r="C1330" t="s">
        <v>63</v>
      </c>
      <c r="D1330" t="s">
        <v>53</v>
      </c>
      <c r="E1330">
        <v>0.250250253194644</v>
      </c>
      <c r="F1330">
        <v>0.250250253194644</v>
      </c>
      <c r="G1330">
        <v>0</v>
      </c>
      <c r="H1330">
        <v>0</v>
      </c>
      <c r="I1330" t="s">
        <v>64</v>
      </c>
    </row>
    <row r="1331" spans="1:9" hidden="1" x14ac:dyDescent="0.35">
      <c r="A1331" t="s">
        <v>7</v>
      </c>
      <c r="B1331">
        <v>2030</v>
      </c>
      <c r="C1331" t="s">
        <v>63</v>
      </c>
      <c r="D1331" t="s">
        <v>54</v>
      </c>
      <c r="E1331">
        <v>1.5006593112465301</v>
      </c>
      <c r="F1331">
        <v>1.49930813911843</v>
      </c>
      <c r="G1331">
        <v>-1.35117212810098E-3</v>
      </c>
      <c r="H1331">
        <v>-9.0038566247166593E-2</v>
      </c>
      <c r="I1331" t="s">
        <v>64</v>
      </c>
    </row>
    <row r="1332" spans="1:9" hidden="1" x14ac:dyDescent="0.35">
      <c r="A1332" t="s">
        <v>7</v>
      </c>
      <c r="B1332">
        <v>2030</v>
      </c>
      <c r="C1332" t="s">
        <v>63</v>
      </c>
      <c r="D1332" t="s">
        <v>55</v>
      </c>
      <c r="E1332">
        <v>1.6166876400524499</v>
      </c>
      <c r="F1332">
        <v>1.43809966486497</v>
      </c>
      <c r="G1332">
        <v>-0.17858797518747599</v>
      </c>
      <c r="H1332">
        <v>-11.0465355683477</v>
      </c>
      <c r="I1332" t="s">
        <v>64</v>
      </c>
    </row>
    <row r="1333" spans="1:9" hidden="1" x14ac:dyDescent="0.35">
      <c r="A1333" t="s">
        <v>7</v>
      </c>
      <c r="B1333">
        <v>2030</v>
      </c>
      <c r="C1333" t="s">
        <v>63</v>
      </c>
      <c r="D1333" t="s">
        <v>56</v>
      </c>
      <c r="E1333" s="1">
        <v>6.0225409163312597E-8</v>
      </c>
      <c r="F1333" s="1">
        <v>6.0225409163312597E-8</v>
      </c>
      <c r="G1333">
        <v>0</v>
      </c>
      <c r="H1333">
        <v>0</v>
      </c>
      <c r="I1333" t="s">
        <v>64</v>
      </c>
    </row>
    <row r="1334" spans="1:9" hidden="1" x14ac:dyDescent="0.35">
      <c r="A1334" t="s">
        <v>9</v>
      </c>
      <c r="B1334">
        <v>2035</v>
      </c>
      <c r="C1334" t="s">
        <v>63</v>
      </c>
      <c r="D1334" t="s">
        <v>38</v>
      </c>
      <c r="E1334">
        <v>4.1209102316082397E-3</v>
      </c>
      <c r="F1334">
        <v>3.3867569115915799E-3</v>
      </c>
      <c r="G1334">
        <v>-7.3415332001666505E-4</v>
      </c>
      <c r="H1334">
        <v>-17.815319401659199</v>
      </c>
      <c r="I1334" t="s">
        <v>64</v>
      </c>
    </row>
    <row r="1335" spans="1:9" hidden="1" x14ac:dyDescent="0.35">
      <c r="A1335" t="s">
        <v>9</v>
      </c>
      <c r="B1335">
        <v>2035</v>
      </c>
      <c r="C1335" t="s">
        <v>63</v>
      </c>
      <c r="D1335" t="s">
        <v>40</v>
      </c>
      <c r="E1335">
        <v>5.5989042826002104E-4</v>
      </c>
      <c r="F1335">
        <v>5.5989042826002104E-4</v>
      </c>
      <c r="G1335">
        <v>0</v>
      </c>
      <c r="H1335">
        <v>0</v>
      </c>
      <c r="I1335" t="s">
        <v>64</v>
      </c>
    </row>
    <row r="1336" spans="1:9" hidden="1" x14ac:dyDescent="0.35">
      <c r="A1336" t="s">
        <v>9</v>
      </c>
      <c r="B1336">
        <v>2035</v>
      </c>
      <c r="C1336" t="s">
        <v>63</v>
      </c>
      <c r="D1336" t="s">
        <v>41</v>
      </c>
      <c r="E1336">
        <v>4.9182474292484403E-3</v>
      </c>
      <c r="F1336">
        <v>4.1872923784525597E-3</v>
      </c>
      <c r="G1336">
        <v>-7.3095505079587601E-4</v>
      </c>
      <c r="H1336">
        <v>-14.8621040586315</v>
      </c>
      <c r="I1336" t="s">
        <v>64</v>
      </c>
    </row>
    <row r="1337" spans="1:9" hidden="1" x14ac:dyDescent="0.35">
      <c r="A1337" t="s">
        <v>9</v>
      </c>
      <c r="B1337">
        <v>2035</v>
      </c>
      <c r="C1337" t="s">
        <v>63</v>
      </c>
      <c r="D1337" t="s">
        <v>42</v>
      </c>
      <c r="E1337">
        <v>3.2310764470255502</v>
      </c>
      <c r="F1337">
        <v>3.2206379198630599</v>
      </c>
      <c r="G1337">
        <v>-1.04385271624911E-2</v>
      </c>
      <c r="H1337">
        <v>-0.32306654867607898</v>
      </c>
      <c r="I1337" t="s">
        <v>64</v>
      </c>
    </row>
    <row r="1338" spans="1:9" hidden="1" x14ac:dyDescent="0.35">
      <c r="A1338" t="s">
        <v>9</v>
      </c>
      <c r="B1338">
        <v>2035</v>
      </c>
      <c r="C1338" t="s">
        <v>63</v>
      </c>
      <c r="D1338" t="s">
        <v>43</v>
      </c>
      <c r="E1338">
        <v>1.56848551812785E-3</v>
      </c>
      <c r="F1338">
        <v>1.306795867845E-3</v>
      </c>
      <c r="G1338">
        <v>-2.6168965028284998E-4</v>
      </c>
      <c r="H1338">
        <v>-16.684224830791099</v>
      </c>
      <c r="I1338" t="s">
        <v>64</v>
      </c>
    </row>
    <row r="1339" spans="1:9" hidden="1" x14ac:dyDescent="0.35">
      <c r="A1339" t="s">
        <v>9</v>
      </c>
      <c r="B1339">
        <v>2035</v>
      </c>
      <c r="C1339" t="s">
        <v>63</v>
      </c>
      <c r="D1339" t="s">
        <v>136</v>
      </c>
      <c r="E1339">
        <v>0.88756771578413196</v>
      </c>
      <c r="F1339">
        <v>0.849062005340116</v>
      </c>
      <c r="G1339">
        <v>-3.8505710444016399E-2</v>
      </c>
      <c r="H1339">
        <v>-4.3383405862163498</v>
      </c>
      <c r="I1339" t="s">
        <v>64</v>
      </c>
    </row>
    <row r="1340" spans="1:9" hidden="1" x14ac:dyDescent="0.35">
      <c r="A1340" t="s">
        <v>9</v>
      </c>
      <c r="B1340">
        <v>2035</v>
      </c>
      <c r="C1340" t="s">
        <v>63</v>
      </c>
      <c r="D1340" t="s">
        <v>45</v>
      </c>
      <c r="E1340">
        <v>1.8690733548337201E-3</v>
      </c>
      <c r="F1340">
        <v>1.56924904551311E-3</v>
      </c>
      <c r="G1340">
        <v>-2.9982430932061098E-4</v>
      </c>
      <c r="H1340">
        <v>-16.041334522543799</v>
      </c>
      <c r="I1340" t="s">
        <v>64</v>
      </c>
    </row>
    <row r="1341" spans="1:9" hidden="1" x14ac:dyDescent="0.35">
      <c r="A1341" t="s">
        <v>9</v>
      </c>
      <c r="B1341">
        <v>2035</v>
      </c>
      <c r="C1341" t="s">
        <v>63</v>
      </c>
      <c r="D1341" t="s">
        <v>46</v>
      </c>
      <c r="E1341">
        <v>1.9698804189636598E-2</v>
      </c>
      <c r="F1341">
        <v>1.9698804189636598E-2</v>
      </c>
      <c r="G1341">
        <v>0</v>
      </c>
      <c r="H1341">
        <v>0</v>
      </c>
      <c r="I1341" t="s">
        <v>64</v>
      </c>
    </row>
    <row r="1342" spans="1:9" hidden="1" x14ac:dyDescent="0.35">
      <c r="A1342" t="s">
        <v>9</v>
      </c>
      <c r="B1342">
        <v>2035</v>
      </c>
      <c r="C1342" t="s">
        <v>63</v>
      </c>
      <c r="D1342" t="s">
        <v>47</v>
      </c>
      <c r="E1342">
        <v>2.2750470856149501E-3</v>
      </c>
      <c r="F1342">
        <v>2.2750470856149501E-3</v>
      </c>
      <c r="G1342">
        <v>0</v>
      </c>
      <c r="H1342">
        <v>0</v>
      </c>
      <c r="I1342" t="s">
        <v>64</v>
      </c>
    </row>
    <row r="1343" spans="1:9" hidden="1" x14ac:dyDescent="0.35">
      <c r="A1343" t="s">
        <v>9</v>
      </c>
      <c r="B1343">
        <v>2035</v>
      </c>
      <c r="C1343" t="s">
        <v>63</v>
      </c>
      <c r="D1343" t="s">
        <v>48</v>
      </c>
      <c r="E1343">
        <v>1.02630003403548</v>
      </c>
      <c r="F1343">
        <v>1.02630003403548</v>
      </c>
      <c r="G1343">
        <v>0</v>
      </c>
      <c r="H1343">
        <v>0</v>
      </c>
      <c r="I1343" t="s">
        <v>64</v>
      </c>
    </row>
    <row r="1344" spans="1:9" hidden="1" x14ac:dyDescent="0.35">
      <c r="A1344" t="s">
        <v>9</v>
      </c>
      <c r="B1344">
        <v>2035</v>
      </c>
      <c r="C1344" t="s">
        <v>63</v>
      </c>
      <c r="D1344" t="s">
        <v>49</v>
      </c>
      <c r="E1344">
        <v>4.8892687967674198E-3</v>
      </c>
      <c r="F1344">
        <v>4.0362710833364802E-3</v>
      </c>
      <c r="G1344">
        <v>-8.5299771343093399E-4</v>
      </c>
      <c r="H1344">
        <v>-17.446324775493999</v>
      </c>
      <c r="I1344" t="s">
        <v>64</v>
      </c>
    </row>
    <row r="1345" spans="1:9" hidden="1" x14ac:dyDescent="0.35">
      <c r="A1345" t="s">
        <v>9</v>
      </c>
      <c r="B1345">
        <v>2035</v>
      </c>
      <c r="C1345" t="s">
        <v>63</v>
      </c>
      <c r="D1345" t="s">
        <v>50</v>
      </c>
      <c r="E1345">
        <v>1.23148707037386E-3</v>
      </c>
      <c r="F1345">
        <v>1.23148707037386E-3</v>
      </c>
      <c r="G1345">
        <v>0</v>
      </c>
      <c r="H1345">
        <v>0</v>
      </c>
      <c r="I1345" t="s">
        <v>64</v>
      </c>
    </row>
    <row r="1346" spans="1:9" hidden="1" x14ac:dyDescent="0.35">
      <c r="A1346" t="s">
        <v>9</v>
      </c>
      <c r="B1346">
        <v>2035</v>
      </c>
      <c r="C1346" t="s">
        <v>63</v>
      </c>
      <c r="D1346" t="s">
        <v>51</v>
      </c>
      <c r="E1346">
        <v>5.4787262881998297E-2</v>
      </c>
      <c r="F1346">
        <v>5.4787262881998297E-2</v>
      </c>
      <c r="G1346">
        <v>0</v>
      </c>
      <c r="H1346">
        <v>0</v>
      </c>
      <c r="I1346" t="s">
        <v>64</v>
      </c>
    </row>
    <row r="1347" spans="1:9" hidden="1" x14ac:dyDescent="0.35">
      <c r="A1347" t="s">
        <v>9</v>
      </c>
      <c r="B1347">
        <v>2035</v>
      </c>
      <c r="C1347" t="s">
        <v>63</v>
      </c>
      <c r="D1347" t="s">
        <v>52</v>
      </c>
      <c r="E1347">
        <v>2.0901377890026201E-2</v>
      </c>
      <c r="F1347">
        <v>2.0901377890026201E-2</v>
      </c>
      <c r="G1347">
        <v>0</v>
      </c>
      <c r="H1347">
        <v>0</v>
      </c>
      <c r="I1347" t="s">
        <v>64</v>
      </c>
    </row>
    <row r="1348" spans="1:9" hidden="1" x14ac:dyDescent="0.35">
      <c r="A1348" t="s">
        <v>9</v>
      </c>
      <c r="B1348">
        <v>2035</v>
      </c>
      <c r="C1348" t="s">
        <v>63</v>
      </c>
      <c r="D1348" t="s">
        <v>53</v>
      </c>
      <c r="E1348">
        <v>0.249606024222322</v>
      </c>
      <c r="F1348">
        <v>0.249606024222322</v>
      </c>
      <c r="G1348">
        <v>0</v>
      </c>
      <c r="H1348">
        <v>0</v>
      </c>
      <c r="I1348" t="s">
        <v>64</v>
      </c>
    </row>
    <row r="1349" spans="1:9" hidden="1" x14ac:dyDescent="0.35">
      <c r="A1349" t="s">
        <v>9</v>
      </c>
      <c r="B1349">
        <v>2035</v>
      </c>
      <c r="C1349" t="s">
        <v>63</v>
      </c>
      <c r="D1349" t="s">
        <v>54</v>
      </c>
      <c r="E1349">
        <v>1.5006763172531401</v>
      </c>
      <c r="F1349">
        <v>1.5003346874173999</v>
      </c>
      <c r="G1349">
        <v>-3.4162983574548202E-4</v>
      </c>
      <c r="H1349">
        <v>-2.2765058115317299E-2</v>
      </c>
      <c r="I1349" t="s">
        <v>64</v>
      </c>
    </row>
    <row r="1350" spans="1:9" hidden="1" x14ac:dyDescent="0.35">
      <c r="A1350" t="s">
        <v>9</v>
      </c>
      <c r="B1350">
        <v>2035</v>
      </c>
      <c r="C1350" t="s">
        <v>63</v>
      </c>
      <c r="D1350" t="s">
        <v>55</v>
      </c>
      <c r="E1350">
        <v>1.61670208523725</v>
      </c>
      <c r="F1350">
        <v>1.57154797284902</v>
      </c>
      <c r="G1350">
        <v>-4.5154112388230798E-2</v>
      </c>
      <c r="H1350">
        <v>-2.7929766900501201</v>
      </c>
      <c r="I1350" t="s">
        <v>64</v>
      </c>
    </row>
    <row r="1351" spans="1:9" hidden="1" x14ac:dyDescent="0.35">
      <c r="A1351" t="s">
        <v>9</v>
      </c>
      <c r="B1351">
        <v>2035</v>
      </c>
      <c r="C1351" t="s">
        <v>63</v>
      </c>
      <c r="D1351" t="s">
        <v>56</v>
      </c>
      <c r="E1351" s="1">
        <v>6.0009156438005E-8</v>
      </c>
      <c r="F1351" s="1">
        <v>6.0009156438005E-8</v>
      </c>
      <c r="G1351">
        <v>0</v>
      </c>
      <c r="H1351">
        <v>0</v>
      </c>
      <c r="I1351" t="s">
        <v>64</v>
      </c>
    </row>
    <row r="1352" spans="1:9" hidden="1" x14ac:dyDescent="0.35">
      <c r="A1352" t="s">
        <v>11</v>
      </c>
      <c r="B1352">
        <v>2040</v>
      </c>
      <c r="C1352" t="s">
        <v>63</v>
      </c>
      <c r="D1352" t="s">
        <v>38</v>
      </c>
      <c r="E1352">
        <v>4.1153411609925698E-3</v>
      </c>
      <c r="F1352">
        <v>4.7755508516644199E-4</v>
      </c>
      <c r="G1352">
        <v>-3.6377860758261302E-3</v>
      </c>
      <c r="H1352">
        <v>-88.395735214057893</v>
      </c>
      <c r="I1352" t="s">
        <v>64</v>
      </c>
    </row>
    <row r="1353" spans="1:9" hidden="1" x14ac:dyDescent="0.35">
      <c r="A1353" t="s">
        <v>11</v>
      </c>
      <c r="B1353">
        <v>2040</v>
      </c>
      <c r="C1353" t="s">
        <v>63</v>
      </c>
      <c r="D1353" t="s">
        <v>40</v>
      </c>
      <c r="E1353">
        <v>5.5935632339518401E-4</v>
      </c>
      <c r="F1353">
        <v>5.5935632339518401E-4</v>
      </c>
      <c r="G1353">
        <v>0</v>
      </c>
      <c r="H1353">
        <v>0</v>
      </c>
      <c r="I1353" t="s">
        <v>64</v>
      </c>
    </row>
    <row r="1354" spans="1:9" hidden="1" x14ac:dyDescent="0.35">
      <c r="A1354" t="s">
        <v>11</v>
      </c>
      <c r="B1354">
        <v>2040</v>
      </c>
      <c r="C1354" t="s">
        <v>63</v>
      </c>
      <c r="D1354" t="s">
        <v>41</v>
      </c>
      <c r="E1354">
        <v>4.9173472432524797E-3</v>
      </c>
      <c r="F1354">
        <v>1.43843513690569E-3</v>
      </c>
      <c r="G1354">
        <v>-3.4789121063467801E-3</v>
      </c>
      <c r="H1354">
        <v>-70.747741297312203</v>
      </c>
      <c r="I1354" t="s">
        <v>64</v>
      </c>
    </row>
    <row r="1355" spans="1:9" hidden="1" x14ac:dyDescent="0.35">
      <c r="A1355" t="s">
        <v>11</v>
      </c>
      <c r="B1355">
        <v>2040</v>
      </c>
      <c r="C1355" t="s">
        <v>63</v>
      </c>
      <c r="D1355" t="s">
        <v>42</v>
      </c>
      <c r="E1355">
        <v>3.2309506388590998</v>
      </c>
      <c r="F1355">
        <v>3.1792269371283699</v>
      </c>
      <c r="G1355">
        <v>-5.17237017307281E-2</v>
      </c>
      <c r="H1355">
        <v>-1.6008818305250401</v>
      </c>
      <c r="I1355" t="s">
        <v>64</v>
      </c>
    </row>
    <row r="1356" spans="1:9" hidden="1" x14ac:dyDescent="0.35">
      <c r="A1356" t="s">
        <v>11</v>
      </c>
      <c r="B1356">
        <v>2040</v>
      </c>
      <c r="C1356" t="s">
        <v>63</v>
      </c>
      <c r="D1356" t="s">
        <v>43</v>
      </c>
      <c r="E1356">
        <v>1.5670261588282899E-3</v>
      </c>
      <c r="F1356">
        <v>3.45119533553404E-4</v>
      </c>
      <c r="G1356">
        <v>-1.2219066252748901E-3</v>
      </c>
      <c r="H1356">
        <v>-77.976147264098003</v>
      </c>
      <c r="I1356" t="s">
        <v>64</v>
      </c>
    </row>
    <row r="1357" spans="1:9" hidden="1" x14ac:dyDescent="0.35">
      <c r="A1357" t="s">
        <v>11</v>
      </c>
      <c r="B1357">
        <v>2040</v>
      </c>
      <c r="C1357" t="s">
        <v>63</v>
      </c>
      <c r="D1357" t="s">
        <v>136</v>
      </c>
      <c r="E1357">
        <v>0.88558118091459903</v>
      </c>
      <c r="F1357">
        <v>0.57301371843288695</v>
      </c>
      <c r="G1357">
        <v>-0.31256746248171102</v>
      </c>
      <c r="H1357">
        <v>-35.295178942138499</v>
      </c>
      <c r="I1357" t="s">
        <v>64</v>
      </c>
    </row>
    <row r="1358" spans="1:9" hidden="1" x14ac:dyDescent="0.35">
      <c r="A1358" t="s">
        <v>11</v>
      </c>
      <c r="B1358">
        <v>2040</v>
      </c>
      <c r="C1358" t="s">
        <v>63</v>
      </c>
      <c r="D1358" t="s">
        <v>45</v>
      </c>
      <c r="E1358">
        <v>1.86230894284305E-3</v>
      </c>
      <c r="F1358">
        <v>4.5051537603302603E-4</v>
      </c>
      <c r="G1358">
        <v>-1.4117935668100301E-3</v>
      </c>
      <c r="H1358">
        <v>-75.808773417301097</v>
      </c>
      <c r="I1358" t="s">
        <v>64</v>
      </c>
    </row>
    <row r="1359" spans="1:9" hidden="1" x14ac:dyDescent="0.35">
      <c r="A1359" t="s">
        <v>11</v>
      </c>
      <c r="B1359">
        <v>2040</v>
      </c>
      <c r="C1359" t="s">
        <v>63</v>
      </c>
      <c r="D1359" t="s">
        <v>46</v>
      </c>
      <c r="E1359">
        <v>2.2685515814021999E-2</v>
      </c>
      <c r="F1359">
        <v>2.2685515814021999E-2</v>
      </c>
      <c r="G1359">
        <v>0</v>
      </c>
      <c r="H1359">
        <v>0</v>
      </c>
      <c r="I1359" t="s">
        <v>64</v>
      </c>
    </row>
    <row r="1360" spans="1:9" hidden="1" x14ac:dyDescent="0.35">
      <c r="A1360" t="s">
        <v>11</v>
      </c>
      <c r="B1360">
        <v>2040</v>
      </c>
      <c r="C1360" t="s">
        <v>63</v>
      </c>
      <c r="D1360" t="s">
        <v>47</v>
      </c>
      <c r="E1360">
        <v>2.2747893196182999E-3</v>
      </c>
      <c r="F1360">
        <v>2.2747893196182999E-3</v>
      </c>
      <c r="G1360">
        <v>0</v>
      </c>
      <c r="H1360">
        <v>0</v>
      </c>
      <c r="I1360" t="s">
        <v>64</v>
      </c>
    </row>
    <row r="1361" spans="1:9" hidden="1" x14ac:dyDescent="0.35">
      <c r="A1361" t="s">
        <v>11</v>
      </c>
      <c r="B1361">
        <v>2040</v>
      </c>
      <c r="C1361" t="s">
        <v>63</v>
      </c>
      <c r="D1361" t="s">
        <v>48</v>
      </c>
      <c r="E1361">
        <v>1.0263160148880499</v>
      </c>
      <c r="F1361">
        <v>1.0263160148880499</v>
      </c>
      <c r="G1361">
        <v>0</v>
      </c>
      <c r="H1361">
        <v>0</v>
      </c>
      <c r="I1361" t="s">
        <v>64</v>
      </c>
    </row>
    <row r="1362" spans="1:9" hidden="1" x14ac:dyDescent="0.35">
      <c r="A1362" t="s">
        <v>11</v>
      </c>
      <c r="B1362">
        <v>2040</v>
      </c>
      <c r="C1362" t="s">
        <v>63</v>
      </c>
      <c r="D1362" t="s">
        <v>49</v>
      </c>
      <c r="E1362">
        <v>4.8850491217492199E-3</v>
      </c>
      <c r="F1362">
        <v>9.2385874959479905E-4</v>
      </c>
      <c r="G1362">
        <v>-3.96119037215442E-3</v>
      </c>
      <c r="H1362">
        <v>-81.088035625238703</v>
      </c>
      <c r="I1362" t="s">
        <v>64</v>
      </c>
    </row>
    <row r="1363" spans="1:9" hidden="1" x14ac:dyDescent="0.35">
      <c r="A1363" t="s">
        <v>11</v>
      </c>
      <c r="B1363">
        <v>2040</v>
      </c>
      <c r="C1363" t="s">
        <v>63</v>
      </c>
      <c r="D1363" t="s">
        <v>50</v>
      </c>
      <c r="E1363">
        <v>1.2086002497576E-3</v>
      </c>
      <c r="F1363">
        <v>1.2086002497576E-3</v>
      </c>
      <c r="G1363">
        <v>0</v>
      </c>
      <c r="H1363">
        <v>0</v>
      </c>
      <c r="I1363" t="s">
        <v>64</v>
      </c>
    </row>
    <row r="1364" spans="1:9" hidden="1" x14ac:dyDescent="0.35">
      <c r="A1364" t="s">
        <v>11</v>
      </c>
      <c r="B1364">
        <v>2040</v>
      </c>
      <c r="C1364" t="s">
        <v>63</v>
      </c>
      <c r="D1364" t="s">
        <v>51</v>
      </c>
      <c r="E1364">
        <v>5.4828427239425603E-2</v>
      </c>
      <c r="F1364">
        <v>5.4828427239425603E-2</v>
      </c>
      <c r="G1364">
        <v>0</v>
      </c>
      <c r="H1364">
        <v>0</v>
      </c>
      <c r="I1364" t="s">
        <v>64</v>
      </c>
    </row>
    <row r="1365" spans="1:9" hidden="1" x14ac:dyDescent="0.35">
      <c r="A1365" t="s">
        <v>11</v>
      </c>
      <c r="B1365">
        <v>2040</v>
      </c>
      <c r="C1365" t="s">
        <v>63</v>
      </c>
      <c r="D1365" t="s">
        <v>52</v>
      </c>
      <c r="E1365">
        <v>2.0621996572940601E-2</v>
      </c>
      <c r="F1365">
        <v>2.0621996572940601E-2</v>
      </c>
      <c r="G1365">
        <v>0</v>
      </c>
      <c r="H1365">
        <v>0</v>
      </c>
      <c r="I1365" t="s">
        <v>64</v>
      </c>
    </row>
    <row r="1366" spans="1:9" hidden="1" x14ac:dyDescent="0.35">
      <c r="A1366" t="s">
        <v>11</v>
      </c>
      <c r="B1366">
        <v>2040</v>
      </c>
      <c r="C1366" t="s">
        <v>63</v>
      </c>
      <c r="D1366" t="s">
        <v>53</v>
      </c>
      <c r="E1366">
        <v>0.24902599560560901</v>
      </c>
      <c r="F1366">
        <v>0.24902599560560901</v>
      </c>
      <c r="G1366">
        <v>0</v>
      </c>
      <c r="H1366">
        <v>0</v>
      </c>
      <c r="I1366" t="s">
        <v>64</v>
      </c>
    </row>
    <row r="1367" spans="1:9" hidden="1" x14ac:dyDescent="0.35">
      <c r="A1367" t="s">
        <v>11</v>
      </c>
      <c r="B1367">
        <v>2040</v>
      </c>
      <c r="C1367" t="s">
        <v>63</v>
      </c>
      <c r="D1367" t="s">
        <v>54</v>
      </c>
      <c r="E1367">
        <v>1.5006931714598399</v>
      </c>
      <c r="F1367">
        <v>1.4990003694432701</v>
      </c>
      <c r="G1367">
        <v>-1.69280201657406E-3</v>
      </c>
      <c r="H1367">
        <v>-0.112801340658286</v>
      </c>
      <c r="I1367" t="s">
        <v>64</v>
      </c>
    </row>
    <row r="1368" spans="1:9" hidden="1" x14ac:dyDescent="0.35">
      <c r="A1368" t="s">
        <v>11</v>
      </c>
      <c r="B1368">
        <v>2040</v>
      </c>
      <c r="C1368" t="s">
        <v>63</v>
      </c>
      <c r="D1368" t="s">
        <v>55</v>
      </c>
      <c r="E1368">
        <v>1.6167183155592599</v>
      </c>
      <c r="F1368">
        <v>1.39297622008811</v>
      </c>
      <c r="G1368">
        <v>-0.22374209547115001</v>
      </c>
      <c r="H1368">
        <v>-13.839275111678999</v>
      </c>
      <c r="I1368" t="s">
        <v>64</v>
      </c>
    </row>
    <row r="1369" spans="1:9" hidden="1" x14ac:dyDescent="0.35">
      <c r="A1369" t="s">
        <v>11</v>
      </c>
      <c r="B1369">
        <v>2040</v>
      </c>
      <c r="C1369" t="s">
        <v>63</v>
      </c>
      <c r="D1369" t="s">
        <v>56</v>
      </c>
      <c r="E1369" s="1">
        <v>5.9823741262052996E-8</v>
      </c>
      <c r="F1369" s="1">
        <v>5.9823741262052996E-8</v>
      </c>
      <c r="G1369">
        <v>0</v>
      </c>
      <c r="H1369">
        <v>0</v>
      </c>
      <c r="I1369" t="s">
        <v>64</v>
      </c>
    </row>
  </sheetData>
  <autoFilter ref="A1:I1369" xr:uid="{71CC14CF-2905-4A41-8BCD-6900E43B4375}">
    <filterColumn colId="2">
      <filters>
        <filter val="lithium carbonate production, from spodumene"/>
      </filters>
    </filterColumn>
    <sortState xmlns:xlrd2="http://schemas.microsoft.com/office/spreadsheetml/2017/richdata2" ref="A2:I1225">
      <sortCondition ref="I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E90F-63B5-462F-BEFA-4A7933B19ACC}">
  <sheetPr>
    <tabColor theme="8" tint="0.79998168889431442"/>
  </sheetPr>
  <dimension ref="A1:I1369"/>
  <sheetViews>
    <sheetView zoomScale="85" zoomScaleNormal="85" workbookViewId="0">
      <selection activeCell="A2" sqref="A2:I1369"/>
    </sheetView>
  </sheetViews>
  <sheetFormatPr defaultRowHeight="14.5" x14ac:dyDescent="0.35"/>
  <cols>
    <col min="3" max="3" width="61.54296875" bestFit="1" customWidth="1"/>
    <col min="4" max="4" width="57.54296875" bestFit="1" customWidth="1"/>
  </cols>
  <sheetData>
    <row r="1" spans="1:9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x14ac:dyDescent="0.35">
      <c r="A2" t="s">
        <v>12</v>
      </c>
      <c r="B2">
        <v>2025</v>
      </c>
      <c r="C2" t="s">
        <v>69</v>
      </c>
      <c r="D2" t="s">
        <v>38</v>
      </c>
      <c r="E2" s="1">
        <v>2.9974561082397901E-6</v>
      </c>
      <c r="F2" s="1">
        <v>2.9974561082397901E-6</v>
      </c>
      <c r="G2">
        <v>0</v>
      </c>
      <c r="H2">
        <v>0</v>
      </c>
      <c r="I2" t="s">
        <v>71</v>
      </c>
    </row>
    <row r="3" spans="1:9" x14ac:dyDescent="0.35">
      <c r="A3" t="s">
        <v>12</v>
      </c>
      <c r="B3">
        <v>2025</v>
      </c>
      <c r="C3" t="s">
        <v>69</v>
      </c>
      <c r="D3" t="s">
        <v>40</v>
      </c>
      <c r="E3" s="1">
        <v>3.5134442516683201E-5</v>
      </c>
      <c r="F3" s="1">
        <v>3.5134442516683201E-5</v>
      </c>
      <c r="G3">
        <v>0</v>
      </c>
      <c r="H3">
        <v>0</v>
      </c>
      <c r="I3" t="s">
        <v>71</v>
      </c>
    </row>
    <row r="4" spans="1:9" x14ac:dyDescent="0.35">
      <c r="A4" t="s">
        <v>12</v>
      </c>
      <c r="B4">
        <v>2025</v>
      </c>
      <c r="C4" t="s">
        <v>69</v>
      </c>
      <c r="D4" t="s">
        <v>41</v>
      </c>
      <c r="E4">
        <v>2.0942650092027E-4</v>
      </c>
      <c r="F4">
        <v>2.0942650092027E-4</v>
      </c>
      <c r="G4">
        <v>0</v>
      </c>
      <c r="H4">
        <v>0</v>
      </c>
      <c r="I4" t="s">
        <v>71</v>
      </c>
    </row>
    <row r="5" spans="1:9" x14ac:dyDescent="0.35">
      <c r="A5" t="s">
        <v>12</v>
      </c>
      <c r="B5">
        <v>2025</v>
      </c>
      <c r="C5" t="s">
        <v>69</v>
      </c>
      <c r="D5" t="s">
        <v>42</v>
      </c>
      <c r="E5">
        <v>9.8718498580678601E-3</v>
      </c>
      <c r="F5">
        <v>9.8718498580678601E-3</v>
      </c>
      <c r="G5">
        <v>0</v>
      </c>
      <c r="H5">
        <v>0</v>
      </c>
      <c r="I5" t="s">
        <v>71</v>
      </c>
    </row>
    <row r="6" spans="1:9" x14ac:dyDescent="0.35">
      <c r="A6" t="s">
        <v>12</v>
      </c>
      <c r="B6">
        <v>2025</v>
      </c>
      <c r="C6" t="s">
        <v>69</v>
      </c>
      <c r="D6" t="s">
        <v>43</v>
      </c>
      <c r="E6" s="1">
        <v>7.0768506077577005E-5</v>
      </c>
      <c r="F6" s="1">
        <v>7.0768506077577005E-5</v>
      </c>
      <c r="G6">
        <v>0</v>
      </c>
      <c r="H6">
        <v>0</v>
      </c>
      <c r="I6" t="s">
        <v>71</v>
      </c>
    </row>
    <row r="7" spans="1:9" x14ac:dyDescent="0.35">
      <c r="A7" t="s">
        <v>12</v>
      </c>
      <c r="B7">
        <v>2025</v>
      </c>
      <c r="C7" t="s">
        <v>69</v>
      </c>
      <c r="D7" t="s">
        <v>136</v>
      </c>
      <c r="E7">
        <v>2.9226510176713402E-2</v>
      </c>
      <c r="F7">
        <v>2.9226510176713402E-2</v>
      </c>
      <c r="G7">
        <v>0</v>
      </c>
      <c r="H7">
        <v>0</v>
      </c>
      <c r="I7" t="s">
        <v>71</v>
      </c>
    </row>
    <row r="8" spans="1:9" x14ac:dyDescent="0.35">
      <c r="A8" t="s">
        <v>12</v>
      </c>
      <c r="B8">
        <v>2025</v>
      </c>
      <c r="C8" t="s">
        <v>69</v>
      </c>
      <c r="D8" t="s">
        <v>45</v>
      </c>
      <c r="E8">
        <v>1.5433861605267901E-3</v>
      </c>
      <c r="F8">
        <v>1.5433861605267901E-3</v>
      </c>
      <c r="G8">
        <v>0</v>
      </c>
      <c r="H8">
        <v>0</v>
      </c>
      <c r="I8" t="s">
        <v>71</v>
      </c>
    </row>
    <row r="9" spans="1:9" x14ac:dyDescent="0.35">
      <c r="A9" t="s">
        <v>12</v>
      </c>
      <c r="B9">
        <v>2025</v>
      </c>
      <c r="C9" t="s">
        <v>69</v>
      </c>
      <c r="D9" t="s">
        <v>46</v>
      </c>
      <c r="E9">
        <v>3.5951605614520799E-4</v>
      </c>
      <c r="F9">
        <v>3.5951605614520799E-4</v>
      </c>
      <c r="G9">
        <v>0</v>
      </c>
      <c r="H9">
        <v>0</v>
      </c>
      <c r="I9" t="s">
        <v>71</v>
      </c>
    </row>
    <row r="10" spans="1:9" x14ac:dyDescent="0.35">
      <c r="A10" t="s">
        <v>12</v>
      </c>
      <c r="B10">
        <v>2025</v>
      </c>
      <c r="C10" t="s">
        <v>69</v>
      </c>
      <c r="D10" t="s">
        <v>47</v>
      </c>
      <c r="E10" s="1">
        <v>1.06144526225213E-5</v>
      </c>
      <c r="F10" s="1">
        <v>1.06144526225213E-5</v>
      </c>
      <c r="G10">
        <v>0</v>
      </c>
      <c r="H10">
        <v>0</v>
      </c>
      <c r="I10" t="s">
        <v>71</v>
      </c>
    </row>
    <row r="11" spans="1:9" x14ac:dyDescent="0.35">
      <c r="A11" t="s">
        <v>12</v>
      </c>
      <c r="B11">
        <v>2025</v>
      </c>
      <c r="C11" t="s">
        <v>69</v>
      </c>
      <c r="D11" t="s">
        <v>48</v>
      </c>
      <c r="E11">
        <v>1.6373135876400599E-3</v>
      </c>
      <c r="F11">
        <v>1.6373135876400599E-3</v>
      </c>
      <c r="G11">
        <v>0</v>
      </c>
      <c r="H11">
        <v>0</v>
      </c>
      <c r="I11" t="s">
        <v>71</v>
      </c>
    </row>
    <row r="12" spans="1:9" x14ac:dyDescent="0.35">
      <c r="A12" t="s">
        <v>12</v>
      </c>
      <c r="B12">
        <v>2025</v>
      </c>
      <c r="C12" t="s">
        <v>69</v>
      </c>
      <c r="D12" t="s">
        <v>49</v>
      </c>
      <c r="E12">
        <v>2.0614224501265001E-4</v>
      </c>
      <c r="F12">
        <v>2.0614224501265001E-4</v>
      </c>
      <c r="G12">
        <v>0</v>
      </c>
      <c r="H12">
        <v>0</v>
      </c>
      <c r="I12" t="s">
        <v>71</v>
      </c>
    </row>
    <row r="13" spans="1:9" x14ac:dyDescent="0.35">
      <c r="A13" t="s">
        <v>12</v>
      </c>
      <c r="B13">
        <v>2025</v>
      </c>
      <c r="C13" t="s">
        <v>69</v>
      </c>
      <c r="D13" t="s">
        <v>50</v>
      </c>
      <c r="E13">
        <v>5.0543955992238601E-4</v>
      </c>
      <c r="F13">
        <v>5.0543955992238601E-4</v>
      </c>
      <c r="G13">
        <v>0</v>
      </c>
      <c r="H13">
        <v>0</v>
      </c>
      <c r="I13" t="s">
        <v>71</v>
      </c>
    </row>
    <row r="14" spans="1:9" x14ac:dyDescent="0.35">
      <c r="A14" t="s">
        <v>12</v>
      </c>
      <c r="B14">
        <v>2025</v>
      </c>
      <c r="C14" t="s">
        <v>69</v>
      </c>
      <c r="D14" t="s">
        <v>51</v>
      </c>
      <c r="E14">
        <v>9.6097800151751997E-3</v>
      </c>
      <c r="F14">
        <v>9.6097800151751997E-3</v>
      </c>
      <c r="G14">
        <v>0</v>
      </c>
      <c r="H14">
        <v>0</v>
      </c>
      <c r="I14" t="s">
        <v>71</v>
      </c>
    </row>
    <row r="15" spans="1:9" x14ac:dyDescent="0.35">
      <c r="A15" t="s">
        <v>12</v>
      </c>
      <c r="B15">
        <v>2025</v>
      </c>
      <c r="C15" t="s">
        <v>69</v>
      </c>
      <c r="D15" t="s">
        <v>52</v>
      </c>
      <c r="E15">
        <v>3.7565871963283399E-3</v>
      </c>
      <c r="F15">
        <v>3.7565871963283399E-3</v>
      </c>
      <c r="G15">
        <v>0</v>
      </c>
      <c r="H15">
        <v>0</v>
      </c>
      <c r="I15" t="s">
        <v>71</v>
      </c>
    </row>
    <row r="16" spans="1:9" x14ac:dyDescent="0.35">
      <c r="A16" t="s">
        <v>12</v>
      </c>
      <c r="B16">
        <v>2025</v>
      </c>
      <c r="C16" t="s">
        <v>69</v>
      </c>
      <c r="D16" t="s">
        <v>53</v>
      </c>
      <c r="E16">
        <v>7.55257322674582E-3</v>
      </c>
      <c r="F16">
        <v>7.55257322674582E-3</v>
      </c>
      <c r="G16">
        <v>0</v>
      </c>
      <c r="H16">
        <v>0</v>
      </c>
      <c r="I16" t="s">
        <v>71</v>
      </c>
    </row>
    <row r="17" spans="1:9" x14ac:dyDescent="0.35">
      <c r="A17" t="s">
        <v>12</v>
      </c>
      <c r="B17">
        <v>2025</v>
      </c>
      <c r="C17" t="s">
        <v>69</v>
      </c>
      <c r="D17" t="s">
        <v>54</v>
      </c>
      <c r="E17">
        <v>5.5140276364849404E-4</v>
      </c>
      <c r="F17">
        <v>5.5140276364849404E-4</v>
      </c>
      <c r="G17">
        <v>0</v>
      </c>
      <c r="H17">
        <v>0</v>
      </c>
      <c r="I17" t="s">
        <v>71</v>
      </c>
    </row>
    <row r="18" spans="1:9" x14ac:dyDescent="0.35">
      <c r="A18" t="s">
        <v>12</v>
      </c>
      <c r="B18">
        <v>2025</v>
      </c>
      <c r="C18" t="s">
        <v>69</v>
      </c>
      <c r="D18" t="s">
        <v>55</v>
      </c>
      <c r="E18">
        <v>5.0634417398296404E-4</v>
      </c>
      <c r="F18">
        <v>5.0634417398296404E-4</v>
      </c>
      <c r="G18">
        <v>0</v>
      </c>
      <c r="H18">
        <v>0</v>
      </c>
      <c r="I18" t="s">
        <v>71</v>
      </c>
    </row>
    <row r="19" spans="1:9" x14ac:dyDescent="0.35">
      <c r="A19" t="s">
        <v>12</v>
      </c>
      <c r="B19">
        <v>2025</v>
      </c>
      <c r="C19" t="s">
        <v>69</v>
      </c>
      <c r="D19" t="s">
        <v>56</v>
      </c>
      <c r="E19" s="1">
        <v>1.3327427368797001E-9</v>
      </c>
      <c r="F19" s="1">
        <v>1.3327427368797001E-9</v>
      </c>
      <c r="G19">
        <v>0</v>
      </c>
      <c r="H19">
        <v>0</v>
      </c>
      <c r="I19" t="s">
        <v>71</v>
      </c>
    </row>
    <row r="20" spans="1:9" x14ac:dyDescent="0.35">
      <c r="A20" t="s">
        <v>14</v>
      </c>
      <c r="B20">
        <v>2030</v>
      </c>
      <c r="C20" t="s">
        <v>69</v>
      </c>
      <c r="D20" t="s">
        <v>38</v>
      </c>
      <c r="E20" s="1">
        <v>3.44938420836096E-6</v>
      </c>
      <c r="F20" s="1">
        <v>3.44938420836096E-6</v>
      </c>
      <c r="G20">
        <v>0</v>
      </c>
      <c r="H20">
        <v>0</v>
      </c>
      <c r="I20" t="s">
        <v>71</v>
      </c>
    </row>
    <row r="21" spans="1:9" x14ac:dyDescent="0.35">
      <c r="A21" t="s">
        <v>14</v>
      </c>
      <c r="B21">
        <v>2030</v>
      </c>
      <c r="C21" t="s">
        <v>69</v>
      </c>
      <c r="D21" t="s">
        <v>40</v>
      </c>
      <c r="E21" s="1">
        <v>3.45866774426396E-5</v>
      </c>
      <c r="F21" s="1">
        <v>3.45866774426396E-5</v>
      </c>
      <c r="G21">
        <v>0</v>
      </c>
      <c r="H21">
        <v>0</v>
      </c>
      <c r="I21" t="s">
        <v>71</v>
      </c>
    </row>
    <row r="22" spans="1:9" x14ac:dyDescent="0.35">
      <c r="A22" t="s">
        <v>14</v>
      </c>
      <c r="B22">
        <v>2030</v>
      </c>
      <c r="C22" t="s">
        <v>69</v>
      </c>
      <c r="D22" t="s">
        <v>41</v>
      </c>
      <c r="E22">
        <v>2.0224084846488501E-4</v>
      </c>
      <c r="F22">
        <v>2.0224084846488501E-4</v>
      </c>
      <c r="G22">
        <v>0</v>
      </c>
      <c r="H22">
        <v>0</v>
      </c>
      <c r="I22" t="s">
        <v>71</v>
      </c>
    </row>
    <row r="23" spans="1:9" x14ac:dyDescent="0.35">
      <c r="A23" t="s">
        <v>14</v>
      </c>
      <c r="B23">
        <v>2030</v>
      </c>
      <c r="C23" t="s">
        <v>69</v>
      </c>
      <c r="D23" t="s">
        <v>42</v>
      </c>
      <c r="E23">
        <v>8.5914775986040103E-3</v>
      </c>
      <c r="F23">
        <v>8.5914775986040103E-3</v>
      </c>
      <c r="G23">
        <v>0</v>
      </c>
      <c r="H23">
        <v>0</v>
      </c>
      <c r="I23" t="s">
        <v>71</v>
      </c>
    </row>
    <row r="24" spans="1:9" x14ac:dyDescent="0.35">
      <c r="A24" t="s">
        <v>14</v>
      </c>
      <c r="B24">
        <v>2030</v>
      </c>
      <c r="C24" t="s">
        <v>69</v>
      </c>
      <c r="D24" t="s">
        <v>43</v>
      </c>
      <c r="E24" s="1">
        <v>6.8296637881623402E-5</v>
      </c>
      <c r="F24" s="1">
        <v>6.8296637881623402E-5</v>
      </c>
      <c r="G24">
        <v>0</v>
      </c>
      <c r="H24">
        <v>0</v>
      </c>
      <c r="I24" t="s">
        <v>71</v>
      </c>
    </row>
    <row r="25" spans="1:9" x14ac:dyDescent="0.35">
      <c r="A25" t="s">
        <v>14</v>
      </c>
      <c r="B25">
        <v>2030</v>
      </c>
      <c r="C25" t="s">
        <v>69</v>
      </c>
      <c r="D25" t="s">
        <v>136</v>
      </c>
      <c r="E25">
        <v>2.5621818528788198E-2</v>
      </c>
      <c r="F25">
        <v>2.5621818528788198E-2</v>
      </c>
      <c r="G25">
        <v>0</v>
      </c>
      <c r="H25">
        <v>0</v>
      </c>
      <c r="I25" t="s">
        <v>71</v>
      </c>
    </row>
    <row r="26" spans="1:9" x14ac:dyDescent="0.35">
      <c r="A26" t="s">
        <v>14</v>
      </c>
      <c r="B26">
        <v>2030</v>
      </c>
      <c r="C26" t="s">
        <v>69</v>
      </c>
      <c r="D26" t="s">
        <v>45</v>
      </c>
      <c r="E26">
        <v>1.53330954987079E-3</v>
      </c>
      <c r="F26">
        <v>1.53330954987079E-3</v>
      </c>
      <c r="G26">
        <v>0</v>
      </c>
      <c r="H26">
        <v>0</v>
      </c>
      <c r="I26" t="s">
        <v>71</v>
      </c>
    </row>
    <row r="27" spans="1:9" x14ac:dyDescent="0.35">
      <c r="A27" t="s">
        <v>14</v>
      </c>
      <c r="B27">
        <v>2030</v>
      </c>
      <c r="C27" t="s">
        <v>69</v>
      </c>
      <c r="D27" t="s">
        <v>46</v>
      </c>
      <c r="E27">
        <v>4.67460018343677E-4</v>
      </c>
      <c r="F27">
        <v>4.67460018343677E-4</v>
      </c>
      <c r="G27">
        <v>0</v>
      </c>
      <c r="H27">
        <v>0</v>
      </c>
      <c r="I27" t="s">
        <v>71</v>
      </c>
    </row>
    <row r="28" spans="1:9" x14ac:dyDescent="0.35">
      <c r="A28" t="s">
        <v>14</v>
      </c>
      <c r="B28">
        <v>2030</v>
      </c>
      <c r="C28" t="s">
        <v>69</v>
      </c>
      <c r="D28" t="s">
        <v>47</v>
      </c>
      <c r="E28" s="1">
        <v>8.7115274825601402E-6</v>
      </c>
      <c r="F28" s="1">
        <v>8.7115274825601402E-6</v>
      </c>
      <c r="G28">
        <v>0</v>
      </c>
      <c r="H28">
        <v>0</v>
      </c>
      <c r="I28" t="s">
        <v>71</v>
      </c>
    </row>
    <row r="29" spans="1:9" x14ac:dyDescent="0.35">
      <c r="A29" t="s">
        <v>14</v>
      </c>
      <c r="B29">
        <v>2030</v>
      </c>
      <c r="C29" t="s">
        <v>69</v>
      </c>
      <c r="D29" t="s">
        <v>48</v>
      </c>
      <c r="E29">
        <v>1.6463671786335701E-3</v>
      </c>
      <c r="F29">
        <v>1.6463671786335701E-3</v>
      </c>
      <c r="G29">
        <v>0</v>
      </c>
      <c r="H29">
        <v>0</v>
      </c>
      <c r="I29" t="s">
        <v>71</v>
      </c>
    </row>
    <row r="30" spans="1:9" x14ac:dyDescent="0.35">
      <c r="A30" t="s">
        <v>14</v>
      </c>
      <c r="B30">
        <v>2030</v>
      </c>
      <c r="C30" t="s">
        <v>69</v>
      </c>
      <c r="D30" t="s">
        <v>49</v>
      </c>
      <c r="E30">
        <v>1.9317655494003301E-4</v>
      </c>
      <c r="F30">
        <v>1.9317655494003301E-4</v>
      </c>
      <c r="G30">
        <v>0</v>
      </c>
      <c r="H30">
        <v>0</v>
      </c>
      <c r="I30" t="s">
        <v>71</v>
      </c>
    </row>
    <row r="31" spans="1:9" x14ac:dyDescent="0.35">
      <c r="A31" t="s">
        <v>14</v>
      </c>
      <c r="B31">
        <v>2030</v>
      </c>
      <c r="C31" t="s">
        <v>69</v>
      </c>
      <c r="D31" t="s">
        <v>50</v>
      </c>
      <c r="E31">
        <v>4.9525983176080103E-4</v>
      </c>
      <c r="F31">
        <v>4.9525983176080103E-4</v>
      </c>
      <c r="G31">
        <v>0</v>
      </c>
      <c r="H31">
        <v>0</v>
      </c>
      <c r="I31" t="s">
        <v>71</v>
      </c>
    </row>
    <row r="32" spans="1:9" x14ac:dyDescent="0.35">
      <c r="A32" t="s">
        <v>14</v>
      </c>
      <c r="B32">
        <v>2030</v>
      </c>
      <c r="C32" t="s">
        <v>69</v>
      </c>
      <c r="D32" t="s">
        <v>51</v>
      </c>
      <c r="E32">
        <v>9.6352194023955392E-3</v>
      </c>
      <c r="F32">
        <v>9.6352194023955392E-3</v>
      </c>
      <c r="G32">
        <v>0</v>
      </c>
      <c r="H32">
        <v>0</v>
      </c>
      <c r="I32" t="s">
        <v>71</v>
      </c>
    </row>
    <row r="33" spans="1:9" x14ac:dyDescent="0.35">
      <c r="A33" t="s">
        <v>14</v>
      </c>
      <c r="B33">
        <v>2030</v>
      </c>
      <c r="C33" t="s">
        <v>69</v>
      </c>
      <c r="D33" t="s">
        <v>52</v>
      </c>
      <c r="E33">
        <v>3.38886499530021E-3</v>
      </c>
      <c r="F33">
        <v>3.38886499530021E-3</v>
      </c>
      <c r="G33">
        <v>0</v>
      </c>
      <c r="H33">
        <v>0</v>
      </c>
      <c r="I33" t="s">
        <v>71</v>
      </c>
    </row>
    <row r="34" spans="1:9" x14ac:dyDescent="0.35">
      <c r="A34" t="s">
        <v>14</v>
      </c>
      <c r="B34">
        <v>2030</v>
      </c>
      <c r="C34" t="s">
        <v>69</v>
      </c>
      <c r="D34" t="s">
        <v>53</v>
      </c>
      <c r="E34">
        <v>6.6492201784670501E-3</v>
      </c>
      <c r="F34">
        <v>6.6492201784670501E-3</v>
      </c>
      <c r="G34">
        <v>0</v>
      </c>
      <c r="H34">
        <v>0</v>
      </c>
      <c r="I34" t="s">
        <v>71</v>
      </c>
    </row>
    <row r="35" spans="1:9" x14ac:dyDescent="0.35">
      <c r="A35" t="s">
        <v>14</v>
      </c>
      <c r="B35">
        <v>2030</v>
      </c>
      <c r="C35" t="s">
        <v>69</v>
      </c>
      <c r="D35" t="s">
        <v>54</v>
      </c>
      <c r="E35">
        <v>5.4644197811216401E-4</v>
      </c>
      <c r="F35">
        <v>5.4644197811216401E-4</v>
      </c>
      <c r="G35">
        <v>0</v>
      </c>
      <c r="H35">
        <v>0</v>
      </c>
      <c r="I35" t="s">
        <v>71</v>
      </c>
    </row>
    <row r="36" spans="1:9" x14ac:dyDescent="0.35">
      <c r="A36" t="s">
        <v>14</v>
      </c>
      <c r="B36">
        <v>2030</v>
      </c>
      <c r="C36" t="s">
        <v>69</v>
      </c>
      <c r="D36" t="s">
        <v>55</v>
      </c>
      <c r="E36">
        <v>4.9930329821910402E-4</v>
      </c>
      <c r="F36">
        <v>4.9930329821910402E-4</v>
      </c>
      <c r="G36">
        <v>0</v>
      </c>
      <c r="H36">
        <v>0</v>
      </c>
      <c r="I36" t="s">
        <v>71</v>
      </c>
    </row>
    <row r="37" spans="1:9" x14ac:dyDescent="0.35">
      <c r="A37" t="s">
        <v>14</v>
      </c>
      <c r="B37">
        <v>2030</v>
      </c>
      <c r="C37" t="s">
        <v>69</v>
      </c>
      <c r="D37" t="s">
        <v>56</v>
      </c>
      <c r="E37" s="1">
        <v>1.2224988895878999E-9</v>
      </c>
      <c r="F37" s="1">
        <v>1.2224988895878999E-9</v>
      </c>
      <c r="G37">
        <v>0</v>
      </c>
      <c r="H37">
        <v>0</v>
      </c>
      <c r="I37" t="s">
        <v>71</v>
      </c>
    </row>
    <row r="38" spans="1:9" x14ac:dyDescent="0.35">
      <c r="A38" t="s">
        <v>16</v>
      </c>
      <c r="B38">
        <v>2035</v>
      </c>
      <c r="C38" t="s">
        <v>69</v>
      </c>
      <c r="D38" t="s">
        <v>38</v>
      </c>
      <c r="E38" s="1">
        <v>4.8346147946219504E-6</v>
      </c>
      <c r="F38" s="1">
        <v>4.8346147946219504E-6</v>
      </c>
      <c r="G38">
        <v>0</v>
      </c>
      <c r="H38">
        <v>0</v>
      </c>
      <c r="I38" t="s">
        <v>71</v>
      </c>
    </row>
    <row r="39" spans="1:9" x14ac:dyDescent="0.35">
      <c r="A39" t="s">
        <v>16</v>
      </c>
      <c r="B39">
        <v>2035</v>
      </c>
      <c r="C39" t="s">
        <v>69</v>
      </c>
      <c r="D39" t="s">
        <v>40</v>
      </c>
      <c r="E39" s="1">
        <v>3.4074737219383697E-5</v>
      </c>
      <c r="F39" s="1">
        <v>3.4074737219383697E-5</v>
      </c>
      <c r="G39">
        <v>0</v>
      </c>
      <c r="H39">
        <v>0</v>
      </c>
      <c r="I39" t="s">
        <v>71</v>
      </c>
    </row>
    <row r="40" spans="1:9" x14ac:dyDescent="0.35">
      <c r="A40" t="s">
        <v>16</v>
      </c>
      <c r="B40">
        <v>2035</v>
      </c>
      <c r="C40" t="s">
        <v>69</v>
      </c>
      <c r="D40" t="s">
        <v>41</v>
      </c>
      <c r="E40">
        <v>1.97507263122904E-4</v>
      </c>
      <c r="F40">
        <v>1.97507263122904E-4</v>
      </c>
      <c r="G40">
        <v>0</v>
      </c>
      <c r="H40">
        <v>0</v>
      </c>
      <c r="I40" t="s">
        <v>71</v>
      </c>
    </row>
    <row r="41" spans="1:9" x14ac:dyDescent="0.35">
      <c r="A41" t="s">
        <v>16</v>
      </c>
      <c r="B41">
        <v>2035</v>
      </c>
      <c r="C41" t="s">
        <v>69</v>
      </c>
      <c r="D41" t="s">
        <v>42</v>
      </c>
      <c r="E41">
        <v>7.5938833015349897E-3</v>
      </c>
      <c r="F41">
        <v>7.5938833015349897E-3</v>
      </c>
      <c r="G41">
        <v>0</v>
      </c>
      <c r="H41">
        <v>0</v>
      </c>
      <c r="I41" t="s">
        <v>71</v>
      </c>
    </row>
    <row r="42" spans="1:9" x14ac:dyDescent="0.35">
      <c r="A42" t="s">
        <v>16</v>
      </c>
      <c r="B42">
        <v>2035</v>
      </c>
      <c r="C42" t="s">
        <v>69</v>
      </c>
      <c r="D42" t="s">
        <v>43</v>
      </c>
      <c r="E42" s="1">
        <v>6.6884160891020794E-5</v>
      </c>
      <c r="F42" s="1">
        <v>6.6884160891020794E-5</v>
      </c>
      <c r="G42">
        <v>0</v>
      </c>
      <c r="H42">
        <v>0</v>
      </c>
      <c r="I42" t="s">
        <v>71</v>
      </c>
    </row>
    <row r="43" spans="1:9" x14ac:dyDescent="0.35">
      <c r="A43" t="s">
        <v>16</v>
      </c>
      <c r="B43">
        <v>2035</v>
      </c>
      <c r="C43" t="s">
        <v>69</v>
      </c>
      <c r="D43" t="s">
        <v>136</v>
      </c>
      <c r="E43">
        <v>2.2890777602903499E-2</v>
      </c>
      <c r="F43">
        <v>2.2890777602903499E-2</v>
      </c>
      <c r="G43">
        <v>0</v>
      </c>
      <c r="H43">
        <v>0</v>
      </c>
      <c r="I43" t="s">
        <v>71</v>
      </c>
    </row>
    <row r="44" spans="1:9" x14ac:dyDescent="0.35">
      <c r="A44" t="s">
        <v>16</v>
      </c>
      <c r="B44">
        <v>2035</v>
      </c>
      <c r="C44" t="s">
        <v>69</v>
      </c>
      <c r="D44" t="s">
        <v>45</v>
      </c>
      <c r="E44">
        <v>1.52510000337657E-3</v>
      </c>
      <c r="F44">
        <v>1.52510000337657E-3</v>
      </c>
      <c r="G44">
        <v>0</v>
      </c>
      <c r="H44">
        <v>0</v>
      </c>
      <c r="I44" t="s">
        <v>71</v>
      </c>
    </row>
    <row r="45" spans="1:9" x14ac:dyDescent="0.35">
      <c r="A45" t="s">
        <v>16</v>
      </c>
      <c r="B45">
        <v>2035</v>
      </c>
      <c r="C45" t="s">
        <v>69</v>
      </c>
      <c r="D45" t="s">
        <v>46</v>
      </c>
      <c r="E45">
        <v>8.1308450769803395E-4</v>
      </c>
      <c r="F45">
        <v>8.1308450769803395E-4</v>
      </c>
      <c r="G45">
        <v>0</v>
      </c>
      <c r="H45">
        <v>0</v>
      </c>
      <c r="I45" t="s">
        <v>71</v>
      </c>
    </row>
    <row r="46" spans="1:9" x14ac:dyDescent="0.35">
      <c r="A46" t="s">
        <v>16</v>
      </c>
      <c r="B46">
        <v>2035</v>
      </c>
      <c r="C46" t="s">
        <v>69</v>
      </c>
      <c r="D46" t="s">
        <v>47</v>
      </c>
      <c r="E46" s="1">
        <v>7.1814493211108699E-6</v>
      </c>
      <c r="F46" s="1">
        <v>7.1814493211108699E-6</v>
      </c>
      <c r="G46">
        <v>0</v>
      </c>
      <c r="H46">
        <v>0</v>
      </c>
      <c r="I46" t="s">
        <v>71</v>
      </c>
    </row>
    <row r="47" spans="1:9" x14ac:dyDescent="0.35">
      <c r="A47" t="s">
        <v>16</v>
      </c>
      <c r="B47">
        <v>2035</v>
      </c>
      <c r="C47" t="s">
        <v>69</v>
      </c>
      <c r="D47" t="s">
        <v>48</v>
      </c>
      <c r="E47">
        <v>1.6336087882046E-3</v>
      </c>
      <c r="F47">
        <v>1.6336087882046E-3</v>
      </c>
      <c r="G47">
        <v>0</v>
      </c>
      <c r="H47">
        <v>0</v>
      </c>
      <c r="I47" t="s">
        <v>71</v>
      </c>
    </row>
    <row r="48" spans="1:9" x14ac:dyDescent="0.35">
      <c r="A48" t="s">
        <v>16</v>
      </c>
      <c r="B48">
        <v>2035</v>
      </c>
      <c r="C48" t="s">
        <v>69</v>
      </c>
      <c r="D48" t="s">
        <v>49</v>
      </c>
      <c r="E48">
        <v>1.8616688241651901E-4</v>
      </c>
      <c r="F48">
        <v>1.8616688241651901E-4</v>
      </c>
      <c r="G48">
        <v>0</v>
      </c>
      <c r="H48">
        <v>0</v>
      </c>
      <c r="I48" t="s">
        <v>71</v>
      </c>
    </row>
    <row r="49" spans="1:9" x14ac:dyDescent="0.35">
      <c r="A49" t="s">
        <v>16</v>
      </c>
      <c r="B49">
        <v>2035</v>
      </c>
      <c r="C49" t="s">
        <v>69</v>
      </c>
      <c r="D49" t="s">
        <v>50</v>
      </c>
      <c r="E49">
        <v>4.8977590280244502E-4</v>
      </c>
      <c r="F49">
        <v>4.8977590280244502E-4</v>
      </c>
      <c r="G49">
        <v>0</v>
      </c>
      <c r="H49">
        <v>0</v>
      </c>
      <c r="I49" t="s">
        <v>71</v>
      </c>
    </row>
    <row r="50" spans="1:9" x14ac:dyDescent="0.35">
      <c r="A50" t="s">
        <v>16</v>
      </c>
      <c r="B50">
        <v>2035</v>
      </c>
      <c r="C50" t="s">
        <v>69</v>
      </c>
      <c r="D50" t="s">
        <v>51</v>
      </c>
      <c r="E50">
        <v>9.6711553460602506E-3</v>
      </c>
      <c r="F50">
        <v>9.6711553460602506E-3</v>
      </c>
      <c r="G50">
        <v>0</v>
      </c>
      <c r="H50">
        <v>0</v>
      </c>
      <c r="I50" t="s">
        <v>71</v>
      </c>
    </row>
    <row r="51" spans="1:9" x14ac:dyDescent="0.35">
      <c r="A51" t="s">
        <v>16</v>
      </c>
      <c r="B51">
        <v>2035</v>
      </c>
      <c r="C51" t="s">
        <v>69</v>
      </c>
      <c r="D51" t="s">
        <v>52</v>
      </c>
      <c r="E51">
        <v>2.9607858850673901E-3</v>
      </c>
      <c r="F51">
        <v>2.9607858850673901E-3</v>
      </c>
      <c r="G51">
        <v>0</v>
      </c>
      <c r="H51">
        <v>0</v>
      </c>
      <c r="I51" t="s">
        <v>71</v>
      </c>
    </row>
    <row r="52" spans="1:9" x14ac:dyDescent="0.35">
      <c r="A52" t="s">
        <v>16</v>
      </c>
      <c r="B52">
        <v>2035</v>
      </c>
      <c r="C52" t="s">
        <v>69</v>
      </c>
      <c r="D52" t="s">
        <v>53</v>
      </c>
      <c r="E52">
        <v>5.9365027013922704E-3</v>
      </c>
      <c r="F52">
        <v>5.9365027013922704E-3</v>
      </c>
      <c r="G52">
        <v>0</v>
      </c>
      <c r="H52">
        <v>0</v>
      </c>
      <c r="I52" t="s">
        <v>71</v>
      </c>
    </row>
    <row r="53" spans="1:9" x14ac:dyDescent="0.35">
      <c r="A53" t="s">
        <v>16</v>
      </c>
      <c r="B53">
        <v>2035</v>
      </c>
      <c r="C53" t="s">
        <v>69</v>
      </c>
      <c r="D53" t="s">
        <v>54</v>
      </c>
      <c r="E53">
        <v>5.4223468775094598E-4</v>
      </c>
      <c r="F53">
        <v>5.4223468775094598E-4</v>
      </c>
      <c r="G53">
        <v>0</v>
      </c>
      <c r="H53">
        <v>0</v>
      </c>
      <c r="I53" t="s">
        <v>71</v>
      </c>
    </row>
    <row r="54" spans="1:9" x14ac:dyDescent="0.35">
      <c r="A54" t="s">
        <v>16</v>
      </c>
      <c r="B54">
        <v>2035</v>
      </c>
      <c r="C54" t="s">
        <v>69</v>
      </c>
      <c r="D54" t="s">
        <v>55</v>
      </c>
      <c r="E54">
        <v>4.9344443484051201E-4</v>
      </c>
      <c r="F54">
        <v>4.9344443484051201E-4</v>
      </c>
      <c r="G54">
        <v>0</v>
      </c>
      <c r="H54">
        <v>0</v>
      </c>
      <c r="I54" t="s">
        <v>71</v>
      </c>
    </row>
    <row r="55" spans="1:9" x14ac:dyDescent="0.35">
      <c r="A55" t="s">
        <v>16</v>
      </c>
      <c r="B55">
        <v>2035</v>
      </c>
      <c r="C55" t="s">
        <v>69</v>
      </c>
      <c r="D55" t="s">
        <v>56</v>
      </c>
      <c r="E55" s="1">
        <v>1.1120013577506299E-9</v>
      </c>
      <c r="F55" s="1">
        <v>1.1120013577506299E-9</v>
      </c>
      <c r="G55">
        <v>0</v>
      </c>
      <c r="H55">
        <v>0</v>
      </c>
      <c r="I55" t="s">
        <v>71</v>
      </c>
    </row>
    <row r="56" spans="1:9" x14ac:dyDescent="0.35">
      <c r="A56" t="s">
        <v>18</v>
      </c>
      <c r="B56">
        <v>2040</v>
      </c>
      <c r="C56" t="s">
        <v>69</v>
      </c>
      <c r="D56" t="s">
        <v>38</v>
      </c>
      <c r="E56" s="1">
        <v>7.4780257509768601E-6</v>
      </c>
      <c r="F56" s="1">
        <v>7.4780257509768601E-6</v>
      </c>
      <c r="G56">
        <v>0</v>
      </c>
      <c r="H56">
        <v>0</v>
      </c>
      <c r="I56" t="s">
        <v>71</v>
      </c>
    </row>
    <row r="57" spans="1:9" x14ac:dyDescent="0.35">
      <c r="A57" t="s">
        <v>18</v>
      </c>
      <c r="B57">
        <v>2040</v>
      </c>
      <c r="C57" t="s">
        <v>69</v>
      </c>
      <c r="D57" t="s">
        <v>40</v>
      </c>
      <c r="E57" s="1">
        <v>3.35691802569763E-5</v>
      </c>
      <c r="F57" s="1">
        <v>3.35691802569763E-5</v>
      </c>
      <c r="G57">
        <v>0</v>
      </c>
      <c r="H57">
        <v>0</v>
      </c>
      <c r="I57" t="s">
        <v>71</v>
      </c>
    </row>
    <row r="58" spans="1:9" x14ac:dyDescent="0.35">
      <c r="A58" t="s">
        <v>18</v>
      </c>
      <c r="B58">
        <v>2040</v>
      </c>
      <c r="C58" t="s">
        <v>69</v>
      </c>
      <c r="D58" t="s">
        <v>41</v>
      </c>
      <c r="E58">
        <v>1.9475745554269999E-4</v>
      </c>
      <c r="F58">
        <v>1.9475745554269999E-4</v>
      </c>
      <c r="G58">
        <v>0</v>
      </c>
      <c r="H58">
        <v>0</v>
      </c>
      <c r="I58" t="s">
        <v>71</v>
      </c>
    </row>
    <row r="59" spans="1:9" x14ac:dyDescent="0.35">
      <c r="A59" t="s">
        <v>18</v>
      </c>
      <c r="B59">
        <v>2040</v>
      </c>
      <c r="C59" t="s">
        <v>69</v>
      </c>
      <c r="D59" t="s">
        <v>42</v>
      </c>
      <c r="E59">
        <v>7.32410319776205E-3</v>
      </c>
      <c r="F59">
        <v>7.32410319776205E-3</v>
      </c>
      <c r="G59">
        <v>0</v>
      </c>
      <c r="H59">
        <v>0</v>
      </c>
      <c r="I59" t="s">
        <v>71</v>
      </c>
    </row>
    <row r="60" spans="1:9" x14ac:dyDescent="0.35">
      <c r="A60" t="s">
        <v>18</v>
      </c>
      <c r="B60">
        <v>2040</v>
      </c>
      <c r="C60" t="s">
        <v>69</v>
      </c>
      <c r="D60" t="s">
        <v>43</v>
      </c>
      <c r="E60" s="1">
        <v>6.65104960520364E-5</v>
      </c>
      <c r="F60" s="1">
        <v>6.65104960520364E-5</v>
      </c>
      <c r="G60">
        <v>0</v>
      </c>
      <c r="H60">
        <v>0</v>
      </c>
      <c r="I60" t="s">
        <v>71</v>
      </c>
    </row>
    <row r="61" spans="1:9" x14ac:dyDescent="0.35">
      <c r="A61" t="s">
        <v>18</v>
      </c>
      <c r="B61">
        <v>2040</v>
      </c>
      <c r="C61" t="s">
        <v>69</v>
      </c>
      <c r="D61" t="s">
        <v>136</v>
      </c>
      <c r="E61">
        <v>2.1384172030587501E-2</v>
      </c>
      <c r="F61">
        <v>2.1384172030587501E-2</v>
      </c>
      <c r="G61">
        <v>0</v>
      </c>
      <c r="H61">
        <v>0</v>
      </c>
      <c r="I61" t="s">
        <v>71</v>
      </c>
    </row>
    <row r="62" spans="1:9" x14ac:dyDescent="0.35">
      <c r="A62" t="s">
        <v>18</v>
      </c>
      <c r="B62">
        <v>2040</v>
      </c>
      <c r="C62" t="s">
        <v>69</v>
      </c>
      <c r="D62" t="s">
        <v>45</v>
      </c>
      <c r="E62">
        <v>1.5222326226937901E-3</v>
      </c>
      <c r="F62">
        <v>1.4451766096807399E-4</v>
      </c>
      <c r="G62">
        <v>-1.37771496172572E-3</v>
      </c>
      <c r="H62">
        <v>-90.506203926156104</v>
      </c>
      <c r="I62" t="s">
        <v>71</v>
      </c>
    </row>
    <row r="63" spans="1:9" x14ac:dyDescent="0.35">
      <c r="A63" t="s">
        <v>18</v>
      </c>
      <c r="B63">
        <v>2040</v>
      </c>
      <c r="C63" t="s">
        <v>69</v>
      </c>
      <c r="D63" t="s">
        <v>46</v>
      </c>
      <c r="E63">
        <v>1.3027190684926E-3</v>
      </c>
      <c r="F63">
        <v>1.3027190684926E-3</v>
      </c>
      <c r="G63">
        <v>0</v>
      </c>
      <c r="H63">
        <v>0</v>
      </c>
      <c r="I63" t="s">
        <v>71</v>
      </c>
    </row>
    <row r="64" spans="1:9" x14ac:dyDescent="0.35">
      <c r="A64" t="s">
        <v>18</v>
      </c>
      <c r="B64">
        <v>2040</v>
      </c>
      <c r="C64" t="s">
        <v>69</v>
      </c>
      <c r="D64" t="s">
        <v>47</v>
      </c>
      <c r="E64" s="1">
        <v>6.7760600958980099E-6</v>
      </c>
      <c r="F64" s="1">
        <v>6.7760600958980099E-6</v>
      </c>
      <c r="G64">
        <v>0</v>
      </c>
      <c r="H64">
        <v>0</v>
      </c>
      <c r="I64" t="s">
        <v>71</v>
      </c>
    </row>
    <row r="65" spans="1:9" x14ac:dyDescent="0.35">
      <c r="A65" t="s">
        <v>18</v>
      </c>
      <c r="B65">
        <v>2040</v>
      </c>
      <c r="C65" t="s">
        <v>69</v>
      </c>
      <c r="D65" t="s">
        <v>48</v>
      </c>
      <c r="E65">
        <v>1.6321810126952801E-3</v>
      </c>
      <c r="F65">
        <v>1.6321810126952801E-3</v>
      </c>
      <c r="G65">
        <v>0</v>
      </c>
      <c r="H65">
        <v>0</v>
      </c>
      <c r="I65" t="s">
        <v>71</v>
      </c>
    </row>
    <row r="66" spans="1:9" x14ac:dyDescent="0.35">
      <c r="A66" t="s">
        <v>18</v>
      </c>
      <c r="B66">
        <v>2040</v>
      </c>
      <c r="C66" t="s">
        <v>69</v>
      </c>
      <c r="D66" t="s">
        <v>49</v>
      </c>
      <c r="E66">
        <v>1.8378774942326401E-4</v>
      </c>
      <c r="F66">
        <v>1.8378774942326401E-4</v>
      </c>
      <c r="G66">
        <v>0</v>
      </c>
      <c r="H66">
        <v>0</v>
      </c>
      <c r="I66" t="s">
        <v>71</v>
      </c>
    </row>
    <row r="67" spans="1:9" x14ac:dyDescent="0.35">
      <c r="A67" t="s">
        <v>18</v>
      </c>
      <c r="B67">
        <v>2040</v>
      </c>
      <c r="C67" t="s">
        <v>69</v>
      </c>
      <c r="D67" t="s">
        <v>50</v>
      </c>
      <c r="E67">
        <v>4.9015976790601102E-4</v>
      </c>
      <c r="F67">
        <v>4.9015976790601102E-4</v>
      </c>
      <c r="G67">
        <v>0</v>
      </c>
      <c r="H67">
        <v>0</v>
      </c>
      <c r="I67" t="s">
        <v>71</v>
      </c>
    </row>
    <row r="68" spans="1:9" x14ac:dyDescent="0.35">
      <c r="A68" t="s">
        <v>18</v>
      </c>
      <c r="B68">
        <v>2040</v>
      </c>
      <c r="C68" t="s">
        <v>69</v>
      </c>
      <c r="D68" t="s">
        <v>51</v>
      </c>
      <c r="E68">
        <v>9.7096116000829E-3</v>
      </c>
      <c r="F68">
        <v>9.7096116000829E-3</v>
      </c>
      <c r="G68">
        <v>0</v>
      </c>
      <c r="H68">
        <v>0</v>
      </c>
      <c r="I68" t="s">
        <v>71</v>
      </c>
    </row>
    <row r="69" spans="1:9" x14ac:dyDescent="0.35">
      <c r="A69" t="s">
        <v>18</v>
      </c>
      <c r="B69">
        <v>2040</v>
      </c>
      <c r="C69" t="s">
        <v>69</v>
      </c>
      <c r="D69" t="s">
        <v>52</v>
      </c>
      <c r="E69">
        <v>2.5639006408453798E-3</v>
      </c>
      <c r="F69">
        <v>2.5639006408453798E-3</v>
      </c>
      <c r="G69">
        <v>0</v>
      </c>
      <c r="H69">
        <v>0</v>
      </c>
      <c r="I69" t="s">
        <v>71</v>
      </c>
    </row>
    <row r="70" spans="1:9" x14ac:dyDescent="0.35">
      <c r="A70" t="s">
        <v>18</v>
      </c>
      <c r="B70">
        <v>2040</v>
      </c>
      <c r="C70" t="s">
        <v>69</v>
      </c>
      <c r="D70" t="s">
        <v>53</v>
      </c>
      <c r="E70">
        <v>5.4785116670456099E-3</v>
      </c>
      <c r="F70">
        <v>5.4785116670456099E-3</v>
      </c>
      <c r="G70">
        <v>0</v>
      </c>
      <c r="H70">
        <v>0</v>
      </c>
      <c r="I70" t="s">
        <v>71</v>
      </c>
    </row>
    <row r="71" spans="1:9" x14ac:dyDescent="0.35">
      <c r="A71" t="s">
        <v>18</v>
      </c>
      <c r="B71">
        <v>2040</v>
      </c>
      <c r="C71" t="s">
        <v>69</v>
      </c>
      <c r="D71" t="s">
        <v>54</v>
      </c>
      <c r="E71">
        <v>5.50950973248981E-4</v>
      </c>
      <c r="F71">
        <v>5.50950973248981E-4</v>
      </c>
      <c r="G71">
        <v>0</v>
      </c>
      <c r="H71">
        <v>0</v>
      </c>
      <c r="I71" t="s">
        <v>71</v>
      </c>
    </row>
    <row r="72" spans="1:9" x14ac:dyDescent="0.35">
      <c r="A72" t="s">
        <v>18</v>
      </c>
      <c r="B72">
        <v>2040</v>
      </c>
      <c r="C72" t="s">
        <v>69</v>
      </c>
      <c r="D72" t="s">
        <v>55</v>
      </c>
      <c r="E72">
        <v>5.0074006145241299E-4</v>
      </c>
      <c r="F72">
        <v>5.0074006145241299E-4</v>
      </c>
      <c r="G72">
        <v>0</v>
      </c>
      <c r="H72">
        <v>0</v>
      </c>
      <c r="I72" t="s">
        <v>71</v>
      </c>
    </row>
    <row r="73" spans="1:9" x14ac:dyDescent="0.35">
      <c r="A73" t="s">
        <v>18</v>
      </c>
      <c r="B73">
        <v>2040</v>
      </c>
      <c r="C73" t="s">
        <v>69</v>
      </c>
      <c r="D73" t="s">
        <v>56</v>
      </c>
      <c r="E73" s="1">
        <v>9.9331706004313E-10</v>
      </c>
      <c r="F73" s="1">
        <v>9.9331706004313E-10</v>
      </c>
      <c r="G73">
        <v>0</v>
      </c>
      <c r="H73">
        <v>0</v>
      </c>
      <c r="I73" t="s">
        <v>71</v>
      </c>
    </row>
    <row r="74" spans="1:9" x14ac:dyDescent="0.35">
      <c r="A74" t="s">
        <v>12</v>
      </c>
      <c r="B74">
        <v>2025</v>
      </c>
      <c r="C74" t="s">
        <v>69</v>
      </c>
      <c r="D74" t="s">
        <v>38</v>
      </c>
      <c r="E74" s="1">
        <v>2.1187783834071802E-6</v>
      </c>
      <c r="F74" s="1">
        <v>2.1187783834071802E-6</v>
      </c>
      <c r="G74">
        <v>0</v>
      </c>
      <c r="H74">
        <v>0</v>
      </c>
      <c r="I74" t="s">
        <v>70</v>
      </c>
    </row>
    <row r="75" spans="1:9" x14ac:dyDescent="0.35">
      <c r="A75" t="s">
        <v>12</v>
      </c>
      <c r="B75">
        <v>2025</v>
      </c>
      <c r="C75" t="s">
        <v>69</v>
      </c>
      <c r="D75" t="s">
        <v>40</v>
      </c>
      <c r="E75" s="1">
        <v>3.6956174409829403E-5</v>
      </c>
      <c r="F75" s="1">
        <v>3.6956174409829403E-5</v>
      </c>
      <c r="G75">
        <v>0</v>
      </c>
      <c r="H75">
        <v>0</v>
      </c>
      <c r="I75" t="s">
        <v>70</v>
      </c>
    </row>
    <row r="76" spans="1:9" x14ac:dyDescent="0.35">
      <c r="A76" t="s">
        <v>12</v>
      </c>
      <c r="B76">
        <v>2025</v>
      </c>
      <c r="C76" t="s">
        <v>69</v>
      </c>
      <c r="D76" t="s">
        <v>41</v>
      </c>
      <c r="E76">
        <v>2.0695314548984899E-4</v>
      </c>
      <c r="F76">
        <v>2.0695314548984899E-4</v>
      </c>
      <c r="G76">
        <v>0</v>
      </c>
      <c r="H76">
        <v>0</v>
      </c>
      <c r="I76" t="s">
        <v>70</v>
      </c>
    </row>
    <row r="77" spans="1:9" x14ac:dyDescent="0.35">
      <c r="A77" t="s">
        <v>12</v>
      </c>
      <c r="B77">
        <v>2025</v>
      </c>
      <c r="C77" t="s">
        <v>69</v>
      </c>
      <c r="D77" t="s">
        <v>42</v>
      </c>
      <c r="E77">
        <v>1.41432955161449E-2</v>
      </c>
      <c r="F77">
        <v>1.41432955161449E-2</v>
      </c>
      <c r="G77">
        <v>0</v>
      </c>
      <c r="H77">
        <v>0</v>
      </c>
      <c r="I77" t="s">
        <v>70</v>
      </c>
    </row>
    <row r="78" spans="1:9" x14ac:dyDescent="0.35">
      <c r="A78" t="s">
        <v>12</v>
      </c>
      <c r="B78">
        <v>2025</v>
      </c>
      <c r="C78" t="s">
        <v>69</v>
      </c>
      <c r="D78" t="s">
        <v>43</v>
      </c>
      <c r="E78" s="1">
        <v>7.1270364918081498E-5</v>
      </c>
      <c r="F78" s="1">
        <v>7.1270364918081498E-5</v>
      </c>
      <c r="G78">
        <v>0</v>
      </c>
      <c r="H78">
        <v>0</v>
      </c>
      <c r="I78" t="s">
        <v>70</v>
      </c>
    </row>
    <row r="79" spans="1:9" x14ac:dyDescent="0.35">
      <c r="A79" t="s">
        <v>12</v>
      </c>
      <c r="B79">
        <v>2025</v>
      </c>
      <c r="C79" t="s">
        <v>69</v>
      </c>
      <c r="D79" t="s">
        <v>136</v>
      </c>
      <c r="E79">
        <v>2.4953854655950701E-2</v>
      </c>
      <c r="F79">
        <v>2.4953854655950701E-2</v>
      </c>
      <c r="G79">
        <v>0</v>
      </c>
      <c r="H79">
        <v>0</v>
      </c>
      <c r="I79" t="s">
        <v>70</v>
      </c>
    </row>
    <row r="80" spans="1:9" x14ac:dyDescent="0.35">
      <c r="A80" t="s">
        <v>12</v>
      </c>
      <c r="B80">
        <v>2025</v>
      </c>
      <c r="C80" t="s">
        <v>69</v>
      </c>
      <c r="D80" t="s">
        <v>45</v>
      </c>
      <c r="E80">
        <v>1.53047574060028E-3</v>
      </c>
      <c r="F80">
        <v>1.53047574060028E-3</v>
      </c>
      <c r="G80">
        <v>0</v>
      </c>
      <c r="H80">
        <v>0</v>
      </c>
      <c r="I80" t="s">
        <v>70</v>
      </c>
    </row>
    <row r="81" spans="1:9" x14ac:dyDescent="0.35">
      <c r="A81" t="s">
        <v>12</v>
      </c>
      <c r="B81">
        <v>2025</v>
      </c>
      <c r="C81" t="s">
        <v>69</v>
      </c>
      <c r="D81" t="s">
        <v>46</v>
      </c>
      <c r="E81">
        <v>4.1459051273675101E-4</v>
      </c>
      <c r="F81">
        <v>4.1459051273675101E-4</v>
      </c>
      <c r="G81">
        <v>0</v>
      </c>
      <c r="H81">
        <v>0</v>
      </c>
      <c r="I81" t="s">
        <v>70</v>
      </c>
    </row>
    <row r="82" spans="1:9" x14ac:dyDescent="0.35">
      <c r="A82" t="s">
        <v>12</v>
      </c>
      <c r="B82">
        <v>2025</v>
      </c>
      <c r="C82" t="s">
        <v>69</v>
      </c>
      <c r="D82" t="s">
        <v>47</v>
      </c>
      <c r="E82" s="1">
        <v>1.7615470416911401E-5</v>
      </c>
      <c r="F82" s="1">
        <v>1.7615470416911401E-5</v>
      </c>
      <c r="G82">
        <v>0</v>
      </c>
      <c r="H82">
        <v>0</v>
      </c>
      <c r="I82" t="s">
        <v>70</v>
      </c>
    </row>
    <row r="83" spans="1:9" x14ac:dyDescent="0.35">
      <c r="A83" t="s">
        <v>12</v>
      </c>
      <c r="B83">
        <v>2025</v>
      </c>
      <c r="C83" t="s">
        <v>69</v>
      </c>
      <c r="D83" t="s">
        <v>48</v>
      </c>
      <c r="E83">
        <v>1.5172501627804299E-3</v>
      </c>
      <c r="F83">
        <v>1.5172501627804299E-3</v>
      </c>
      <c r="G83">
        <v>0</v>
      </c>
      <c r="H83">
        <v>0</v>
      </c>
      <c r="I83" t="s">
        <v>70</v>
      </c>
    </row>
    <row r="84" spans="1:9" x14ac:dyDescent="0.35">
      <c r="A84" t="s">
        <v>12</v>
      </c>
      <c r="B84">
        <v>2025</v>
      </c>
      <c r="C84" t="s">
        <v>69</v>
      </c>
      <c r="D84" t="s">
        <v>49</v>
      </c>
      <c r="E84">
        <v>2.1757435730748701E-4</v>
      </c>
      <c r="F84">
        <v>2.1757435730748701E-4</v>
      </c>
      <c r="G84">
        <v>0</v>
      </c>
      <c r="H84">
        <v>0</v>
      </c>
      <c r="I84" t="s">
        <v>70</v>
      </c>
    </row>
    <row r="85" spans="1:9" x14ac:dyDescent="0.35">
      <c r="A85" t="s">
        <v>12</v>
      </c>
      <c r="B85">
        <v>2025</v>
      </c>
      <c r="C85" t="s">
        <v>69</v>
      </c>
      <c r="D85" t="s">
        <v>50</v>
      </c>
      <c r="E85">
        <v>5.3389781083422699E-4</v>
      </c>
      <c r="F85">
        <v>5.3389781083422699E-4</v>
      </c>
      <c r="G85">
        <v>0</v>
      </c>
      <c r="H85">
        <v>0</v>
      </c>
      <c r="I85" t="s">
        <v>70</v>
      </c>
    </row>
    <row r="86" spans="1:9" x14ac:dyDescent="0.35">
      <c r="A86" t="s">
        <v>12</v>
      </c>
      <c r="B86">
        <v>2025</v>
      </c>
      <c r="C86" t="s">
        <v>69</v>
      </c>
      <c r="D86" t="s">
        <v>51</v>
      </c>
      <c r="E86">
        <v>9.5023735841109E-3</v>
      </c>
      <c r="F86">
        <v>9.5023735841109E-3</v>
      </c>
      <c r="G86">
        <v>0</v>
      </c>
      <c r="H86">
        <v>0</v>
      </c>
      <c r="I86" t="s">
        <v>70</v>
      </c>
    </row>
    <row r="87" spans="1:9" x14ac:dyDescent="0.35">
      <c r="A87" t="s">
        <v>12</v>
      </c>
      <c r="B87">
        <v>2025</v>
      </c>
      <c r="C87" t="s">
        <v>69</v>
      </c>
      <c r="D87" t="s">
        <v>52</v>
      </c>
      <c r="E87">
        <v>4.4215689799887801E-3</v>
      </c>
      <c r="F87">
        <v>4.4215689799887801E-3</v>
      </c>
      <c r="G87">
        <v>0</v>
      </c>
      <c r="H87">
        <v>0</v>
      </c>
      <c r="I87" t="s">
        <v>70</v>
      </c>
    </row>
    <row r="88" spans="1:9" x14ac:dyDescent="0.35">
      <c r="A88" t="s">
        <v>12</v>
      </c>
      <c r="B88">
        <v>2025</v>
      </c>
      <c r="C88" t="s">
        <v>69</v>
      </c>
      <c r="D88" t="s">
        <v>53</v>
      </c>
      <c r="E88">
        <v>6.5655195238260699E-3</v>
      </c>
      <c r="F88">
        <v>6.5655195238260699E-3</v>
      </c>
      <c r="G88">
        <v>0</v>
      </c>
      <c r="H88">
        <v>0</v>
      </c>
      <c r="I88" t="s">
        <v>70</v>
      </c>
    </row>
    <row r="89" spans="1:9" x14ac:dyDescent="0.35">
      <c r="A89" t="s">
        <v>12</v>
      </c>
      <c r="B89">
        <v>2025</v>
      </c>
      <c r="C89" t="s">
        <v>69</v>
      </c>
      <c r="D89" t="s">
        <v>54</v>
      </c>
      <c r="E89">
        <v>4.8339539658200401E-4</v>
      </c>
      <c r="F89">
        <v>4.8339539658200401E-4</v>
      </c>
      <c r="G89">
        <v>0</v>
      </c>
      <c r="H89">
        <v>0</v>
      </c>
      <c r="I89" t="s">
        <v>70</v>
      </c>
    </row>
    <row r="90" spans="1:9" x14ac:dyDescent="0.35">
      <c r="A90" t="s">
        <v>12</v>
      </c>
      <c r="B90">
        <v>2025</v>
      </c>
      <c r="C90" t="s">
        <v>69</v>
      </c>
      <c r="D90" t="s">
        <v>55</v>
      </c>
      <c r="E90">
        <v>4.5804663420400202E-4</v>
      </c>
      <c r="F90">
        <v>4.5804663420400202E-4</v>
      </c>
      <c r="G90">
        <v>0</v>
      </c>
      <c r="H90">
        <v>0</v>
      </c>
      <c r="I90" t="s">
        <v>70</v>
      </c>
    </row>
    <row r="91" spans="1:9" x14ac:dyDescent="0.35">
      <c r="A91" t="s">
        <v>12</v>
      </c>
      <c r="B91">
        <v>2025</v>
      </c>
      <c r="C91" t="s">
        <v>69</v>
      </c>
      <c r="D91" t="s">
        <v>56</v>
      </c>
      <c r="E91" s="1">
        <v>1.22005043293497E-9</v>
      </c>
      <c r="F91" s="1">
        <v>1.22005043293497E-9</v>
      </c>
      <c r="G91">
        <v>0</v>
      </c>
      <c r="H91">
        <v>0</v>
      </c>
      <c r="I91" t="s">
        <v>70</v>
      </c>
    </row>
    <row r="92" spans="1:9" x14ac:dyDescent="0.35">
      <c r="A92" t="s">
        <v>14</v>
      </c>
      <c r="B92">
        <v>2030</v>
      </c>
      <c r="C92" t="s">
        <v>69</v>
      </c>
      <c r="D92" t="s">
        <v>38</v>
      </c>
      <c r="E92" s="1">
        <v>2.3255613147273399E-6</v>
      </c>
      <c r="F92" s="1">
        <v>2.3255613147273399E-6</v>
      </c>
      <c r="G92">
        <v>0</v>
      </c>
      <c r="H92">
        <v>0</v>
      </c>
      <c r="I92" t="s">
        <v>70</v>
      </c>
    </row>
    <row r="93" spans="1:9" x14ac:dyDescent="0.35">
      <c r="A93" t="s">
        <v>14</v>
      </c>
      <c r="B93">
        <v>2030</v>
      </c>
      <c r="C93" t="s">
        <v>69</v>
      </c>
      <c r="D93" t="s">
        <v>40</v>
      </c>
      <c r="E93" s="1">
        <v>3.6933408434699602E-5</v>
      </c>
      <c r="F93" s="1">
        <v>3.6933408434699602E-5</v>
      </c>
      <c r="G93">
        <v>0</v>
      </c>
      <c r="H93">
        <v>0</v>
      </c>
      <c r="I93" t="s">
        <v>70</v>
      </c>
    </row>
    <row r="94" spans="1:9" x14ac:dyDescent="0.35">
      <c r="A94" t="s">
        <v>14</v>
      </c>
      <c r="B94">
        <v>2030</v>
      </c>
      <c r="C94" t="s">
        <v>69</v>
      </c>
      <c r="D94" t="s">
        <v>41</v>
      </c>
      <c r="E94">
        <v>2.0656047211254299E-4</v>
      </c>
      <c r="F94">
        <v>2.0656047211254299E-4</v>
      </c>
      <c r="G94">
        <v>0</v>
      </c>
      <c r="H94">
        <v>0</v>
      </c>
      <c r="I94" t="s">
        <v>70</v>
      </c>
    </row>
    <row r="95" spans="1:9" x14ac:dyDescent="0.35">
      <c r="A95" t="s">
        <v>14</v>
      </c>
      <c r="B95">
        <v>2030</v>
      </c>
      <c r="C95" t="s">
        <v>69</v>
      </c>
      <c r="D95" t="s">
        <v>42</v>
      </c>
      <c r="E95">
        <v>1.1939536475961099E-2</v>
      </c>
      <c r="F95">
        <v>1.1939536475961099E-2</v>
      </c>
      <c r="G95">
        <v>0</v>
      </c>
      <c r="H95">
        <v>0</v>
      </c>
      <c r="I95" t="s">
        <v>70</v>
      </c>
    </row>
    <row r="96" spans="1:9" x14ac:dyDescent="0.35">
      <c r="A96" t="s">
        <v>14</v>
      </c>
      <c r="B96">
        <v>2030</v>
      </c>
      <c r="C96" t="s">
        <v>69</v>
      </c>
      <c r="D96" t="s">
        <v>43</v>
      </c>
      <c r="E96" s="1">
        <v>7.0653344430047596E-5</v>
      </c>
      <c r="F96" s="1">
        <v>7.0653344430047596E-5</v>
      </c>
      <c r="G96">
        <v>0</v>
      </c>
      <c r="H96">
        <v>0</v>
      </c>
      <c r="I96" t="s">
        <v>70</v>
      </c>
    </row>
    <row r="97" spans="1:9" x14ac:dyDescent="0.35">
      <c r="A97" t="s">
        <v>14</v>
      </c>
      <c r="B97">
        <v>2030</v>
      </c>
      <c r="C97" t="s">
        <v>69</v>
      </c>
      <c r="D97" t="s">
        <v>136</v>
      </c>
      <c r="E97">
        <v>2.3035592266039E-2</v>
      </c>
      <c r="F97">
        <v>2.3035592266039E-2</v>
      </c>
      <c r="G97">
        <v>0</v>
      </c>
      <c r="H97">
        <v>0</v>
      </c>
      <c r="I97" t="s">
        <v>70</v>
      </c>
    </row>
    <row r="98" spans="1:9" x14ac:dyDescent="0.35">
      <c r="A98" t="s">
        <v>14</v>
      </c>
      <c r="B98">
        <v>2030</v>
      </c>
      <c r="C98" t="s">
        <v>69</v>
      </c>
      <c r="D98" t="s">
        <v>45</v>
      </c>
      <c r="E98">
        <v>1.5285589482842601E-3</v>
      </c>
      <c r="F98">
        <v>1.5285589482842601E-3</v>
      </c>
      <c r="G98">
        <v>0</v>
      </c>
      <c r="H98">
        <v>0</v>
      </c>
      <c r="I98" t="s">
        <v>70</v>
      </c>
    </row>
    <row r="99" spans="1:9" x14ac:dyDescent="0.35">
      <c r="A99" t="s">
        <v>14</v>
      </c>
      <c r="B99">
        <v>2030</v>
      </c>
      <c r="C99" t="s">
        <v>69</v>
      </c>
      <c r="D99" t="s">
        <v>46</v>
      </c>
      <c r="E99">
        <v>7.4247141113780097E-4</v>
      </c>
      <c r="F99">
        <v>7.4247141113780097E-4</v>
      </c>
      <c r="G99">
        <v>0</v>
      </c>
      <c r="H99">
        <v>0</v>
      </c>
      <c r="I99" t="s">
        <v>70</v>
      </c>
    </row>
    <row r="100" spans="1:9" x14ac:dyDescent="0.35">
      <c r="A100" t="s">
        <v>14</v>
      </c>
      <c r="B100">
        <v>2030</v>
      </c>
      <c r="C100" t="s">
        <v>69</v>
      </c>
      <c r="D100" t="s">
        <v>47</v>
      </c>
      <c r="E100" s="1">
        <v>1.3952758928369199E-5</v>
      </c>
      <c r="F100" s="1">
        <v>1.3952758928369199E-5</v>
      </c>
      <c r="G100">
        <v>0</v>
      </c>
      <c r="H100">
        <v>0</v>
      </c>
      <c r="I100" t="s">
        <v>70</v>
      </c>
    </row>
    <row r="101" spans="1:9" x14ac:dyDescent="0.35">
      <c r="A101" t="s">
        <v>14</v>
      </c>
      <c r="B101">
        <v>2030</v>
      </c>
      <c r="C101" t="s">
        <v>69</v>
      </c>
      <c r="D101" t="s">
        <v>48</v>
      </c>
      <c r="E101">
        <v>1.5117222604945E-3</v>
      </c>
      <c r="F101">
        <v>1.5117222604945E-3</v>
      </c>
      <c r="G101">
        <v>0</v>
      </c>
      <c r="H101">
        <v>0</v>
      </c>
      <c r="I101" t="s">
        <v>70</v>
      </c>
    </row>
    <row r="102" spans="1:9" x14ac:dyDescent="0.35">
      <c r="A102" t="s">
        <v>14</v>
      </c>
      <c r="B102">
        <v>2030</v>
      </c>
      <c r="C102" t="s">
        <v>69</v>
      </c>
      <c r="D102" t="s">
        <v>49</v>
      </c>
      <c r="E102">
        <v>2.11515305340522E-4</v>
      </c>
      <c r="F102">
        <v>2.11515305340522E-4</v>
      </c>
      <c r="G102">
        <v>0</v>
      </c>
      <c r="H102">
        <v>0</v>
      </c>
      <c r="I102" t="s">
        <v>70</v>
      </c>
    </row>
    <row r="103" spans="1:9" x14ac:dyDescent="0.35">
      <c r="A103" t="s">
        <v>14</v>
      </c>
      <c r="B103">
        <v>2030</v>
      </c>
      <c r="C103" t="s">
        <v>69</v>
      </c>
      <c r="D103" t="s">
        <v>50</v>
      </c>
      <c r="E103">
        <v>5.1576940587889203E-4</v>
      </c>
      <c r="F103">
        <v>5.1576940587889203E-4</v>
      </c>
      <c r="G103">
        <v>0</v>
      </c>
      <c r="H103">
        <v>0</v>
      </c>
      <c r="I103" t="s">
        <v>70</v>
      </c>
    </row>
    <row r="104" spans="1:9" x14ac:dyDescent="0.35">
      <c r="A104" t="s">
        <v>14</v>
      </c>
      <c r="B104">
        <v>2030</v>
      </c>
      <c r="C104" t="s">
        <v>69</v>
      </c>
      <c r="D104" t="s">
        <v>51</v>
      </c>
      <c r="E104">
        <v>9.5378765490703801E-3</v>
      </c>
      <c r="F104">
        <v>9.5378765490703801E-3</v>
      </c>
      <c r="G104">
        <v>0</v>
      </c>
      <c r="H104">
        <v>0</v>
      </c>
      <c r="I104" t="s">
        <v>70</v>
      </c>
    </row>
    <row r="105" spans="1:9" x14ac:dyDescent="0.35">
      <c r="A105" t="s">
        <v>14</v>
      </c>
      <c r="B105">
        <v>2030</v>
      </c>
      <c r="C105" t="s">
        <v>69</v>
      </c>
      <c r="D105" t="s">
        <v>52</v>
      </c>
      <c r="E105">
        <v>3.67252871695916E-3</v>
      </c>
      <c r="F105">
        <v>3.67252871695916E-3</v>
      </c>
      <c r="G105">
        <v>0</v>
      </c>
      <c r="H105">
        <v>0</v>
      </c>
      <c r="I105" t="s">
        <v>70</v>
      </c>
    </row>
    <row r="106" spans="1:9" x14ac:dyDescent="0.35">
      <c r="A106" t="s">
        <v>14</v>
      </c>
      <c r="B106">
        <v>2030</v>
      </c>
      <c r="C106" t="s">
        <v>69</v>
      </c>
      <c r="D106" t="s">
        <v>53</v>
      </c>
      <c r="E106">
        <v>5.9910105688460603E-3</v>
      </c>
      <c r="F106">
        <v>5.9910105688460603E-3</v>
      </c>
      <c r="G106">
        <v>0</v>
      </c>
      <c r="H106">
        <v>0</v>
      </c>
      <c r="I106" t="s">
        <v>70</v>
      </c>
    </row>
    <row r="107" spans="1:9" x14ac:dyDescent="0.35">
      <c r="A107" t="s">
        <v>14</v>
      </c>
      <c r="B107">
        <v>2030</v>
      </c>
      <c r="C107" t="s">
        <v>69</v>
      </c>
      <c r="D107" t="s">
        <v>54</v>
      </c>
      <c r="E107">
        <v>4.3805043964586599E-4</v>
      </c>
      <c r="F107">
        <v>4.3805043964586599E-4</v>
      </c>
      <c r="G107">
        <v>0</v>
      </c>
      <c r="H107">
        <v>0</v>
      </c>
      <c r="I107" t="s">
        <v>70</v>
      </c>
    </row>
    <row r="108" spans="1:9" x14ac:dyDescent="0.35">
      <c r="A108" t="s">
        <v>14</v>
      </c>
      <c r="B108">
        <v>2030</v>
      </c>
      <c r="C108" t="s">
        <v>69</v>
      </c>
      <c r="D108" t="s">
        <v>55</v>
      </c>
      <c r="E108">
        <v>4.1368900222388499E-4</v>
      </c>
      <c r="F108">
        <v>4.1368900222388499E-4</v>
      </c>
      <c r="G108">
        <v>0</v>
      </c>
      <c r="H108">
        <v>0</v>
      </c>
      <c r="I108" t="s">
        <v>70</v>
      </c>
    </row>
    <row r="109" spans="1:9" x14ac:dyDescent="0.35">
      <c r="A109" t="s">
        <v>14</v>
      </c>
      <c r="B109">
        <v>2030</v>
      </c>
      <c r="C109" t="s">
        <v>69</v>
      </c>
      <c r="D109" t="s">
        <v>56</v>
      </c>
      <c r="E109" s="1">
        <v>1.12370260129382E-9</v>
      </c>
      <c r="F109" s="1">
        <v>1.12370260129382E-9</v>
      </c>
      <c r="G109">
        <v>0</v>
      </c>
      <c r="H109">
        <v>0</v>
      </c>
      <c r="I109" t="s">
        <v>70</v>
      </c>
    </row>
    <row r="110" spans="1:9" x14ac:dyDescent="0.35">
      <c r="A110" t="s">
        <v>16</v>
      </c>
      <c r="B110">
        <v>2035</v>
      </c>
      <c r="C110" t="s">
        <v>69</v>
      </c>
      <c r="D110" t="s">
        <v>38</v>
      </c>
      <c r="E110" s="1">
        <v>2.9767912788520401E-6</v>
      </c>
      <c r="F110" s="1">
        <v>2.9767912788520401E-6</v>
      </c>
      <c r="G110">
        <v>0</v>
      </c>
      <c r="H110">
        <v>0</v>
      </c>
      <c r="I110" t="s">
        <v>70</v>
      </c>
    </row>
    <row r="111" spans="1:9" x14ac:dyDescent="0.35">
      <c r="A111" t="s">
        <v>16</v>
      </c>
      <c r="B111">
        <v>2035</v>
      </c>
      <c r="C111" t="s">
        <v>69</v>
      </c>
      <c r="D111" t="s">
        <v>40</v>
      </c>
      <c r="E111" s="1">
        <v>3.7033386432052897E-5</v>
      </c>
      <c r="F111" s="1">
        <v>3.7033386432052897E-5</v>
      </c>
      <c r="G111">
        <v>0</v>
      </c>
      <c r="H111">
        <v>0</v>
      </c>
      <c r="I111" t="s">
        <v>70</v>
      </c>
    </row>
    <row r="112" spans="1:9" x14ac:dyDescent="0.35">
      <c r="A112" t="s">
        <v>16</v>
      </c>
      <c r="B112">
        <v>2035</v>
      </c>
      <c r="C112" t="s">
        <v>69</v>
      </c>
      <c r="D112" t="s">
        <v>41</v>
      </c>
      <c r="E112">
        <v>2.0218231214499E-4</v>
      </c>
      <c r="F112">
        <v>2.0218231214499E-4</v>
      </c>
      <c r="G112">
        <v>0</v>
      </c>
      <c r="H112">
        <v>0</v>
      </c>
      <c r="I112" t="s">
        <v>70</v>
      </c>
    </row>
    <row r="113" spans="1:9" x14ac:dyDescent="0.35">
      <c r="A113" t="s">
        <v>16</v>
      </c>
      <c r="B113">
        <v>2035</v>
      </c>
      <c r="C113" t="s">
        <v>69</v>
      </c>
      <c r="D113" t="s">
        <v>42</v>
      </c>
      <c r="E113">
        <v>9.9304330474069107E-3</v>
      </c>
      <c r="F113">
        <v>9.9304330474069107E-3</v>
      </c>
      <c r="G113">
        <v>0</v>
      </c>
      <c r="H113">
        <v>0</v>
      </c>
      <c r="I113" t="s">
        <v>70</v>
      </c>
    </row>
    <row r="114" spans="1:9" x14ac:dyDescent="0.35">
      <c r="A114" t="s">
        <v>16</v>
      </c>
      <c r="B114">
        <v>2035</v>
      </c>
      <c r="C114" t="s">
        <v>69</v>
      </c>
      <c r="D114" t="s">
        <v>43</v>
      </c>
      <c r="E114" s="1">
        <v>6.8762811849644697E-5</v>
      </c>
      <c r="F114" s="1">
        <v>6.8762811849644697E-5</v>
      </c>
      <c r="G114">
        <v>0</v>
      </c>
      <c r="H114">
        <v>0</v>
      </c>
      <c r="I114" t="s">
        <v>70</v>
      </c>
    </row>
    <row r="115" spans="1:9" x14ac:dyDescent="0.35">
      <c r="A115" t="s">
        <v>16</v>
      </c>
      <c r="B115">
        <v>2035</v>
      </c>
      <c r="C115" t="s">
        <v>69</v>
      </c>
      <c r="D115" t="s">
        <v>136</v>
      </c>
      <c r="E115">
        <v>2.11452324089055E-2</v>
      </c>
      <c r="F115">
        <v>2.11452324089055E-2</v>
      </c>
      <c r="G115">
        <v>0</v>
      </c>
      <c r="H115">
        <v>0</v>
      </c>
      <c r="I115" t="s">
        <v>70</v>
      </c>
    </row>
    <row r="116" spans="1:9" x14ac:dyDescent="0.35">
      <c r="A116" t="s">
        <v>16</v>
      </c>
      <c r="B116">
        <v>2035</v>
      </c>
      <c r="C116" t="s">
        <v>69</v>
      </c>
      <c r="D116" t="s">
        <v>45</v>
      </c>
      <c r="E116">
        <v>1.5259747827515201E-3</v>
      </c>
      <c r="F116">
        <v>1.5259747827515201E-3</v>
      </c>
      <c r="G116">
        <v>0</v>
      </c>
      <c r="H116">
        <v>0</v>
      </c>
      <c r="I116" t="s">
        <v>70</v>
      </c>
    </row>
    <row r="117" spans="1:9" x14ac:dyDescent="0.35">
      <c r="A117" t="s">
        <v>16</v>
      </c>
      <c r="B117">
        <v>2035</v>
      </c>
      <c r="C117" t="s">
        <v>69</v>
      </c>
      <c r="D117" t="s">
        <v>46</v>
      </c>
      <c r="E117">
        <v>1.3052869187283201E-3</v>
      </c>
      <c r="F117">
        <v>1.3052869187283201E-3</v>
      </c>
      <c r="G117">
        <v>0</v>
      </c>
      <c r="H117">
        <v>0</v>
      </c>
      <c r="I117" t="s">
        <v>70</v>
      </c>
    </row>
    <row r="118" spans="1:9" x14ac:dyDescent="0.35">
      <c r="A118" t="s">
        <v>16</v>
      </c>
      <c r="B118">
        <v>2035</v>
      </c>
      <c r="C118" t="s">
        <v>69</v>
      </c>
      <c r="D118" t="s">
        <v>47</v>
      </c>
      <c r="E118" s="1">
        <v>1.0566429732586399E-5</v>
      </c>
      <c r="F118" s="1">
        <v>1.0566429732586399E-5</v>
      </c>
      <c r="G118">
        <v>0</v>
      </c>
      <c r="H118">
        <v>0</v>
      </c>
      <c r="I118" t="s">
        <v>70</v>
      </c>
    </row>
    <row r="119" spans="1:9" x14ac:dyDescent="0.35">
      <c r="A119" t="s">
        <v>16</v>
      </c>
      <c r="B119">
        <v>2035</v>
      </c>
      <c r="C119" t="s">
        <v>69</v>
      </c>
      <c r="D119" t="s">
        <v>48</v>
      </c>
      <c r="E119">
        <v>1.49199079246501E-3</v>
      </c>
      <c r="F119">
        <v>1.49199079246501E-3</v>
      </c>
      <c r="G119">
        <v>0</v>
      </c>
      <c r="H119">
        <v>0</v>
      </c>
      <c r="I119" t="s">
        <v>70</v>
      </c>
    </row>
    <row r="120" spans="1:9" x14ac:dyDescent="0.35">
      <c r="A120" t="s">
        <v>16</v>
      </c>
      <c r="B120">
        <v>2035</v>
      </c>
      <c r="C120" t="s">
        <v>69</v>
      </c>
      <c r="D120" t="s">
        <v>49</v>
      </c>
      <c r="E120">
        <v>2.0361655797079299E-4</v>
      </c>
      <c r="F120">
        <v>2.0361655797079299E-4</v>
      </c>
      <c r="G120">
        <v>0</v>
      </c>
      <c r="H120">
        <v>0</v>
      </c>
      <c r="I120" t="s">
        <v>70</v>
      </c>
    </row>
    <row r="121" spans="1:9" x14ac:dyDescent="0.35">
      <c r="A121" t="s">
        <v>16</v>
      </c>
      <c r="B121">
        <v>2035</v>
      </c>
      <c r="C121" t="s">
        <v>69</v>
      </c>
      <c r="D121" t="s">
        <v>50</v>
      </c>
      <c r="E121">
        <v>4.9910129039623305E-4</v>
      </c>
      <c r="F121">
        <v>4.9910129039623305E-4</v>
      </c>
      <c r="G121">
        <v>0</v>
      </c>
      <c r="H121">
        <v>0</v>
      </c>
      <c r="I121" t="s">
        <v>70</v>
      </c>
    </row>
    <row r="122" spans="1:9" x14ac:dyDescent="0.35">
      <c r="A122" t="s">
        <v>16</v>
      </c>
      <c r="B122">
        <v>2035</v>
      </c>
      <c r="C122" t="s">
        <v>69</v>
      </c>
      <c r="D122" t="s">
        <v>51</v>
      </c>
      <c r="E122">
        <v>9.5907365371000492E-3</v>
      </c>
      <c r="F122">
        <v>9.5907365371000492E-3</v>
      </c>
      <c r="G122">
        <v>0</v>
      </c>
      <c r="H122">
        <v>0</v>
      </c>
      <c r="I122" t="s">
        <v>70</v>
      </c>
    </row>
    <row r="123" spans="1:9" x14ac:dyDescent="0.35">
      <c r="A123" t="s">
        <v>16</v>
      </c>
      <c r="B123">
        <v>2035</v>
      </c>
      <c r="C123" t="s">
        <v>69</v>
      </c>
      <c r="D123" t="s">
        <v>52</v>
      </c>
      <c r="E123">
        <v>2.9288711201577999E-3</v>
      </c>
      <c r="F123">
        <v>2.9288711201577999E-3</v>
      </c>
      <c r="G123">
        <v>0</v>
      </c>
      <c r="H123">
        <v>0</v>
      </c>
      <c r="I123" t="s">
        <v>70</v>
      </c>
    </row>
    <row r="124" spans="1:9" x14ac:dyDescent="0.35">
      <c r="A124" t="s">
        <v>16</v>
      </c>
      <c r="B124">
        <v>2035</v>
      </c>
      <c r="C124" t="s">
        <v>69</v>
      </c>
      <c r="D124" t="s">
        <v>53</v>
      </c>
      <c r="E124">
        <v>5.3773402602292804E-3</v>
      </c>
      <c r="F124">
        <v>5.3773402602292804E-3</v>
      </c>
      <c r="G124">
        <v>0</v>
      </c>
      <c r="H124">
        <v>0</v>
      </c>
      <c r="I124" t="s">
        <v>70</v>
      </c>
    </row>
    <row r="125" spans="1:9" x14ac:dyDescent="0.35">
      <c r="A125" t="s">
        <v>16</v>
      </c>
      <c r="B125">
        <v>2035</v>
      </c>
      <c r="C125" t="s">
        <v>69</v>
      </c>
      <c r="D125" t="s">
        <v>54</v>
      </c>
      <c r="E125">
        <v>3.9787658717631102E-4</v>
      </c>
      <c r="F125">
        <v>3.9787658717631102E-4</v>
      </c>
      <c r="G125">
        <v>0</v>
      </c>
      <c r="H125">
        <v>0</v>
      </c>
      <c r="I125" t="s">
        <v>70</v>
      </c>
    </row>
    <row r="126" spans="1:9" x14ac:dyDescent="0.35">
      <c r="A126" t="s">
        <v>16</v>
      </c>
      <c r="B126">
        <v>2035</v>
      </c>
      <c r="C126" t="s">
        <v>69</v>
      </c>
      <c r="D126" t="s">
        <v>55</v>
      </c>
      <c r="E126">
        <v>3.7439091288570599E-4</v>
      </c>
      <c r="F126">
        <v>3.7439091288570599E-4</v>
      </c>
      <c r="G126">
        <v>0</v>
      </c>
      <c r="H126">
        <v>0</v>
      </c>
      <c r="I126" t="s">
        <v>70</v>
      </c>
    </row>
    <row r="127" spans="1:9" x14ac:dyDescent="0.35">
      <c r="A127" t="s">
        <v>16</v>
      </c>
      <c r="B127">
        <v>2035</v>
      </c>
      <c r="C127" t="s">
        <v>69</v>
      </c>
      <c r="D127" t="s">
        <v>56</v>
      </c>
      <c r="E127" s="1">
        <v>9.9520259951774195E-10</v>
      </c>
      <c r="F127" s="1">
        <v>9.9520259951774195E-10</v>
      </c>
      <c r="G127">
        <v>0</v>
      </c>
      <c r="H127">
        <v>0</v>
      </c>
      <c r="I127" t="s">
        <v>70</v>
      </c>
    </row>
    <row r="128" spans="1:9" x14ac:dyDescent="0.35">
      <c r="A128" t="s">
        <v>18</v>
      </c>
      <c r="B128">
        <v>2040</v>
      </c>
      <c r="C128" t="s">
        <v>69</v>
      </c>
      <c r="D128" t="s">
        <v>38</v>
      </c>
      <c r="E128" s="1">
        <v>4.2196016021600502E-6</v>
      </c>
      <c r="F128" s="1">
        <v>4.2196016021600502E-6</v>
      </c>
      <c r="G128">
        <v>0</v>
      </c>
      <c r="H128">
        <v>0</v>
      </c>
      <c r="I128" t="s">
        <v>70</v>
      </c>
    </row>
    <row r="129" spans="1:9" x14ac:dyDescent="0.35">
      <c r="A129" t="s">
        <v>18</v>
      </c>
      <c r="B129">
        <v>2040</v>
      </c>
      <c r="C129" t="s">
        <v>69</v>
      </c>
      <c r="D129" t="s">
        <v>40</v>
      </c>
      <c r="E129" s="1">
        <v>3.7092178363643499E-5</v>
      </c>
      <c r="F129" s="1">
        <v>3.7092178363643499E-5</v>
      </c>
      <c r="G129">
        <v>0</v>
      </c>
      <c r="H129">
        <v>0</v>
      </c>
      <c r="I129" t="s">
        <v>70</v>
      </c>
    </row>
    <row r="130" spans="1:9" x14ac:dyDescent="0.35">
      <c r="A130" t="s">
        <v>18</v>
      </c>
      <c r="B130">
        <v>2040</v>
      </c>
      <c r="C130" t="s">
        <v>69</v>
      </c>
      <c r="D130" t="s">
        <v>41</v>
      </c>
      <c r="E130">
        <v>2.00014363793209E-4</v>
      </c>
      <c r="F130">
        <v>2.00014363793209E-4</v>
      </c>
      <c r="G130">
        <v>0</v>
      </c>
      <c r="H130">
        <v>0</v>
      </c>
      <c r="I130" t="s">
        <v>70</v>
      </c>
    </row>
    <row r="131" spans="1:9" x14ac:dyDescent="0.35">
      <c r="A131" t="s">
        <v>18</v>
      </c>
      <c r="B131">
        <v>2040</v>
      </c>
      <c r="C131" t="s">
        <v>69</v>
      </c>
      <c r="D131" t="s">
        <v>42</v>
      </c>
      <c r="E131">
        <v>9.5239128448879502E-3</v>
      </c>
      <c r="F131">
        <v>9.5239128448879502E-3</v>
      </c>
      <c r="G131">
        <v>0</v>
      </c>
      <c r="H131">
        <v>0</v>
      </c>
      <c r="I131" t="s">
        <v>70</v>
      </c>
    </row>
    <row r="132" spans="1:9" x14ac:dyDescent="0.35">
      <c r="A132" t="s">
        <v>18</v>
      </c>
      <c r="B132">
        <v>2040</v>
      </c>
      <c r="C132" t="s">
        <v>69</v>
      </c>
      <c r="D132" t="s">
        <v>43</v>
      </c>
      <c r="E132" s="1">
        <v>6.8249864075750502E-5</v>
      </c>
      <c r="F132" s="1">
        <v>6.8249864075750502E-5</v>
      </c>
      <c r="G132">
        <v>0</v>
      </c>
      <c r="H132">
        <v>0</v>
      </c>
      <c r="I132" t="s">
        <v>70</v>
      </c>
    </row>
    <row r="133" spans="1:9" x14ac:dyDescent="0.35">
      <c r="A133" t="s">
        <v>18</v>
      </c>
      <c r="B133">
        <v>2040</v>
      </c>
      <c r="C133" t="s">
        <v>69</v>
      </c>
      <c r="D133" t="s">
        <v>136</v>
      </c>
      <c r="E133">
        <v>2.0343506499630501E-2</v>
      </c>
      <c r="F133">
        <v>2.0343506499630501E-2</v>
      </c>
      <c r="G133">
        <v>0</v>
      </c>
      <c r="H133">
        <v>0</v>
      </c>
      <c r="I133" t="s">
        <v>70</v>
      </c>
    </row>
    <row r="134" spans="1:9" x14ac:dyDescent="0.35">
      <c r="A134" t="s">
        <v>18</v>
      </c>
      <c r="B134">
        <v>2040</v>
      </c>
      <c r="C134" t="s">
        <v>69</v>
      </c>
      <c r="D134" t="s">
        <v>45</v>
      </c>
      <c r="E134">
        <v>1.52490609336837E-3</v>
      </c>
      <c r="F134">
        <v>1.47191111043409E-4</v>
      </c>
      <c r="G134">
        <v>-1.37771498232496E-3</v>
      </c>
      <c r="H134">
        <v>-90.347529485026897</v>
      </c>
      <c r="I134" t="s">
        <v>70</v>
      </c>
    </row>
    <row r="135" spans="1:9" x14ac:dyDescent="0.35">
      <c r="A135" t="s">
        <v>18</v>
      </c>
      <c r="B135">
        <v>2040</v>
      </c>
      <c r="C135" t="s">
        <v>69</v>
      </c>
      <c r="D135" t="s">
        <v>46</v>
      </c>
      <c r="E135">
        <v>1.9897940904667201E-3</v>
      </c>
      <c r="F135">
        <v>1.9897940904667201E-3</v>
      </c>
      <c r="G135">
        <v>0</v>
      </c>
      <c r="H135">
        <v>0</v>
      </c>
      <c r="I135" t="s">
        <v>70</v>
      </c>
    </row>
    <row r="136" spans="1:9" x14ac:dyDescent="0.35">
      <c r="A136" t="s">
        <v>18</v>
      </c>
      <c r="B136">
        <v>2040</v>
      </c>
      <c r="C136" t="s">
        <v>69</v>
      </c>
      <c r="D136" t="s">
        <v>47</v>
      </c>
      <c r="E136" s="1">
        <v>9.8351048819918598E-6</v>
      </c>
      <c r="F136" s="1">
        <v>9.8351048819918598E-6</v>
      </c>
      <c r="G136">
        <v>0</v>
      </c>
      <c r="H136">
        <v>0</v>
      </c>
      <c r="I136" t="s">
        <v>70</v>
      </c>
    </row>
    <row r="137" spans="1:9" x14ac:dyDescent="0.35">
      <c r="A137" t="s">
        <v>18</v>
      </c>
      <c r="B137">
        <v>2040</v>
      </c>
      <c r="C137" t="s">
        <v>69</v>
      </c>
      <c r="D137" t="s">
        <v>48</v>
      </c>
      <c r="E137">
        <v>1.4868557134809701E-3</v>
      </c>
      <c r="F137">
        <v>1.4868557134809701E-3</v>
      </c>
      <c r="G137">
        <v>0</v>
      </c>
      <c r="H137">
        <v>0</v>
      </c>
      <c r="I137" t="s">
        <v>70</v>
      </c>
    </row>
    <row r="138" spans="1:9" x14ac:dyDescent="0.35">
      <c r="A138" t="s">
        <v>18</v>
      </c>
      <c r="B138">
        <v>2040</v>
      </c>
      <c r="C138" t="s">
        <v>69</v>
      </c>
      <c r="D138" t="s">
        <v>49</v>
      </c>
      <c r="E138">
        <v>2.00565259557091E-4</v>
      </c>
      <c r="F138">
        <v>2.00565259557091E-4</v>
      </c>
      <c r="G138">
        <v>0</v>
      </c>
      <c r="H138">
        <v>0</v>
      </c>
      <c r="I138" t="s">
        <v>70</v>
      </c>
    </row>
    <row r="139" spans="1:9" x14ac:dyDescent="0.35">
      <c r="A139" t="s">
        <v>18</v>
      </c>
      <c r="B139">
        <v>2040</v>
      </c>
      <c r="C139" t="s">
        <v>69</v>
      </c>
      <c r="D139" t="s">
        <v>50</v>
      </c>
      <c r="E139">
        <v>4.8965150790131499E-4</v>
      </c>
      <c r="F139">
        <v>4.8965150790131499E-4</v>
      </c>
      <c r="G139">
        <v>0</v>
      </c>
      <c r="H139">
        <v>0</v>
      </c>
      <c r="I139" t="s">
        <v>70</v>
      </c>
    </row>
    <row r="140" spans="1:9" x14ac:dyDescent="0.35">
      <c r="A140" t="s">
        <v>18</v>
      </c>
      <c r="B140">
        <v>2040</v>
      </c>
      <c r="C140" t="s">
        <v>69</v>
      </c>
      <c r="D140" t="s">
        <v>51</v>
      </c>
      <c r="E140">
        <v>9.6451702676395405E-3</v>
      </c>
      <c r="F140">
        <v>9.6451702676395405E-3</v>
      </c>
      <c r="G140">
        <v>0</v>
      </c>
      <c r="H140">
        <v>0</v>
      </c>
      <c r="I140" t="s">
        <v>70</v>
      </c>
    </row>
    <row r="141" spans="1:9" x14ac:dyDescent="0.35">
      <c r="A141" t="s">
        <v>18</v>
      </c>
      <c r="B141">
        <v>2040</v>
      </c>
      <c r="C141" t="s">
        <v>69</v>
      </c>
      <c r="D141" t="s">
        <v>52</v>
      </c>
      <c r="E141">
        <v>2.23136422958956E-3</v>
      </c>
      <c r="F141">
        <v>2.23136422958956E-3</v>
      </c>
      <c r="G141">
        <v>0</v>
      </c>
      <c r="H141">
        <v>0</v>
      </c>
      <c r="I141" t="s">
        <v>70</v>
      </c>
    </row>
    <row r="142" spans="1:9" x14ac:dyDescent="0.35">
      <c r="A142" t="s">
        <v>18</v>
      </c>
      <c r="B142">
        <v>2040</v>
      </c>
      <c r="C142" t="s">
        <v>69</v>
      </c>
      <c r="D142" t="s">
        <v>53</v>
      </c>
      <c r="E142">
        <v>5.0317010575067099E-3</v>
      </c>
      <c r="F142">
        <v>5.0317010575067099E-3</v>
      </c>
      <c r="G142">
        <v>0</v>
      </c>
      <c r="H142">
        <v>0</v>
      </c>
      <c r="I142" t="s">
        <v>70</v>
      </c>
    </row>
    <row r="143" spans="1:9" x14ac:dyDescent="0.35">
      <c r="A143" t="s">
        <v>18</v>
      </c>
      <c r="B143">
        <v>2040</v>
      </c>
      <c r="C143" t="s">
        <v>69</v>
      </c>
      <c r="D143" t="s">
        <v>54</v>
      </c>
      <c r="E143">
        <v>3.9668160040289002E-4</v>
      </c>
      <c r="F143">
        <v>3.9668160040289002E-4</v>
      </c>
      <c r="G143">
        <v>0</v>
      </c>
      <c r="H143">
        <v>0</v>
      </c>
      <c r="I143" t="s">
        <v>70</v>
      </c>
    </row>
    <row r="144" spans="1:9" x14ac:dyDescent="0.35">
      <c r="A144" t="s">
        <v>18</v>
      </c>
      <c r="B144">
        <v>2040</v>
      </c>
      <c r="C144" t="s">
        <v>69</v>
      </c>
      <c r="D144" t="s">
        <v>55</v>
      </c>
      <c r="E144">
        <v>3.7256690935873801E-4</v>
      </c>
      <c r="F144">
        <v>3.7256690935873801E-4</v>
      </c>
      <c r="G144">
        <v>0</v>
      </c>
      <c r="H144">
        <v>0</v>
      </c>
      <c r="I144" t="s">
        <v>70</v>
      </c>
    </row>
    <row r="145" spans="1:9" x14ac:dyDescent="0.35">
      <c r="A145" t="s">
        <v>18</v>
      </c>
      <c r="B145">
        <v>2040</v>
      </c>
      <c r="C145" t="s">
        <v>69</v>
      </c>
      <c r="D145" t="s">
        <v>56</v>
      </c>
      <c r="E145" s="1">
        <v>8.4508361942902001E-10</v>
      </c>
      <c r="F145" s="1">
        <v>8.4508361942902001E-10</v>
      </c>
      <c r="G145">
        <v>0</v>
      </c>
      <c r="H145">
        <v>0</v>
      </c>
      <c r="I145" t="s">
        <v>70</v>
      </c>
    </row>
    <row r="146" spans="1:9" x14ac:dyDescent="0.35">
      <c r="A146" t="s">
        <v>12</v>
      </c>
      <c r="B146">
        <v>2025</v>
      </c>
      <c r="C146" t="s">
        <v>80</v>
      </c>
      <c r="D146" t="s">
        <v>38</v>
      </c>
      <c r="E146">
        <v>3.54271635369929E-4</v>
      </c>
      <c r="F146">
        <v>3.54271635369929E-4</v>
      </c>
      <c r="G146">
        <v>0</v>
      </c>
      <c r="H146">
        <v>0</v>
      </c>
      <c r="I146" t="s">
        <v>82</v>
      </c>
    </row>
    <row r="147" spans="1:9" x14ac:dyDescent="0.35">
      <c r="A147" t="s">
        <v>12</v>
      </c>
      <c r="B147">
        <v>2025</v>
      </c>
      <c r="C147" t="s">
        <v>80</v>
      </c>
      <c r="D147" t="s">
        <v>40</v>
      </c>
      <c r="E147">
        <v>4.6344444663322398E-4</v>
      </c>
      <c r="F147">
        <v>4.6344444663322398E-4</v>
      </c>
      <c r="G147">
        <v>0</v>
      </c>
      <c r="H147">
        <v>0</v>
      </c>
      <c r="I147" t="s">
        <v>82</v>
      </c>
    </row>
    <row r="148" spans="1:9" x14ac:dyDescent="0.35">
      <c r="A148" t="s">
        <v>12</v>
      </c>
      <c r="B148">
        <v>2025</v>
      </c>
      <c r="C148" t="s">
        <v>80</v>
      </c>
      <c r="D148" t="s">
        <v>41</v>
      </c>
      <c r="E148">
        <v>4.1499260380799203E-3</v>
      </c>
      <c r="F148">
        <v>4.1499260380799203E-3</v>
      </c>
      <c r="G148">
        <v>0</v>
      </c>
      <c r="H148">
        <v>0</v>
      </c>
      <c r="I148" t="s">
        <v>82</v>
      </c>
    </row>
    <row r="149" spans="1:9" x14ac:dyDescent="0.35">
      <c r="A149" t="s">
        <v>12</v>
      </c>
      <c r="B149">
        <v>2025</v>
      </c>
      <c r="C149" t="s">
        <v>80</v>
      </c>
      <c r="D149" t="s">
        <v>42</v>
      </c>
      <c r="E149">
        <v>0.652405818003155</v>
      </c>
      <c r="F149">
        <v>0.652405818003155</v>
      </c>
      <c r="G149">
        <v>0</v>
      </c>
      <c r="H149">
        <v>0</v>
      </c>
      <c r="I149" t="s">
        <v>82</v>
      </c>
    </row>
    <row r="150" spans="1:9" x14ac:dyDescent="0.35">
      <c r="A150" t="s">
        <v>12</v>
      </c>
      <c r="B150">
        <v>2025</v>
      </c>
      <c r="C150" t="s">
        <v>80</v>
      </c>
      <c r="D150" t="s">
        <v>43</v>
      </c>
      <c r="E150">
        <v>1.41494597093649E-3</v>
      </c>
      <c r="F150">
        <v>1.41494597093649E-3</v>
      </c>
      <c r="G150">
        <v>0</v>
      </c>
      <c r="H150">
        <v>0</v>
      </c>
      <c r="I150" t="s">
        <v>82</v>
      </c>
    </row>
    <row r="151" spans="1:9" x14ac:dyDescent="0.35">
      <c r="A151" t="s">
        <v>12</v>
      </c>
      <c r="B151">
        <v>2025</v>
      </c>
      <c r="C151" t="s">
        <v>80</v>
      </c>
      <c r="D151" t="s">
        <v>136</v>
      </c>
      <c r="E151">
        <v>2.0929414541045102</v>
      </c>
      <c r="F151">
        <v>2.0929414541045102</v>
      </c>
      <c r="G151">
        <v>0</v>
      </c>
      <c r="H151">
        <v>0</v>
      </c>
      <c r="I151" t="s">
        <v>82</v>
      </c>
    </row>
    <row r="152" spans="1:9" x14ac:dyDescent="0.35">
      <c r="A152" t="s">
        <v>12</v>
      </c>
      <c r="B152">
        <v>2025</v>
      </c>
      <c r="C152" t="s">
        <v>80</v>
      </c>
      <c r="D152" t="s">
        <v>45</v>
      </c>
      <c r="E152">
        <v>3.2357995636490698E-3</v>
      </c>
      <c r="F152">
        <v>3.2357995636490698E-3</v>
      </c>
      <c r="G152">
        <v>0</v>
      </c>
      <c r="H152">
        <v>0</v>
      </c>
      <c r="I152" t="s">
        <v>82</v>
      </c>
    </row>
    <row r="153" spans="1:9" x14ac:dyDescent="0.35">
      <c r="A153" t="s">
        <v>12</v>
      </c>
      <c r="B153">
        <v>2025</v>
      </c>
      <c r="C153" t="s">
        <v>80</v>
      </c>
      <c r="D153" t="s">
        <v>46</v>
      </c>
      <c r="E153">
        <v>3.2066373806115003E-2</v>
      </c>
      <c r="F153">
        <v>3.2066373806115003E-2</v>
      </c>
      <c r="G153">
        <v>0</v>
      </c>
      <c r="H153">
        <v>0</v>
      </c>
      <c r="I153" t="s">
        <v>82</v>
      </c>
    </row>
    <row r="154" spans="1:9" x14ac:dyDescent="0.35">
      <c r="A154" t="s">
        <v>12</v>
      </c>
      <c r="B154">
        <v>2025</v>
      </c>
      <c r="C154" t="s">
        <v>80</v>
      </c>
      <c r="D154" t="s">
        <v>47</v>
      </c>
      <c r="E154">
        <v>5.8295699449622401E-4</v>
      </c>
      <c r="F154">
        <v>5.8295699449622401E-4</v>
      </c>
      <c r="G154">
        <v>0</v>
      </c>
      <c r="H154">
        <v>0</v>
      </c>
      <c r="I154" t="s">
        <v>82</v>
      </c>
    </row>
    <row r="155" spans="1:9" x14ac:dyDescent="0.35">
      <c r="A155" t="s">
        <v>12</v>
      </c>
      <c r="B155">
        <v>2025</v>
      </c>
      <c r="C155" t="s">
        <v>80</v>
      </c>
      <c r="D155" t="s">
        <v>48</v>
      </c>
      <c r="E155">
        <v>80.551803549163495</v>
      </c>
      <c r="F155">
        <v>80.551803549163495</v>
      </c>
      <c r="G155">
        <v>0</v>
      </c>
      <c r="H155">
        <v>0</v>
      </c>
      <c r="I155" t="s">
        <v>82</v>
      </c>
    </row>
    <row r="156" spans="1:9" x14ac:dyDescent="0.35">
      <c r="A156" t="s">
        <v>12</v>
      </c>
      <c r="B156">
        <v>2025</v>
      </c>
      <c r="C156" t="s">
        <v>80</v>
      </c>
      <c r="D156" t="s">
        <v>49</v>
      </c>
      <c r="E156">
        <v>4.9774466365616202E-3</v>
      </c>
      <c r="F156">
        <v>4.9774466365616202E-3</v>
      </c>
      <c r="G156">
        <v>0</v>
      </c>
      <c r="H156">
        <v>0</v>
      </c>
      <c r="I156" t="s">
        <v>82</v>
      </c>
    </row>
    <row r="157" spans="1:9" x14ac:dyDescent="0.35">
      <c r="A157" t="s">
        <v>12</v>
      </c>
      <c r="B157">
        <v>2025</v>
      </c>
      <c r="C157" t="s">
        <v>80</v>
      </c>
      <c r="D157" t="s">
        <v>50</v>
      </c>
      <c r="E157">
        <v>8.28190924746189E-3</v>
      </c>
      <c r="F157">
        <v>8.28190924746189E-3</v>
      </c>
      <c r="G157">
        <v>0</v>
      </c>
      <c r="H157">
        <v>0</v>
      </c>
      <c r="I157" t="s">
        <v>82</v>
      </c>
    </row>
    <row r="158" spans="1:9" x14ac:dyDescent="0.35">
      <c r="A158" t="s">
        <v>12</v>
      </c>
      <c r="B158">
        <v>2025</v>
      </c>
      <c r="C158" t="s">
        <v>80</v>
      </c>
      <c r="D158" t="s">
        <v>51</v>
      </c>
      <c r="E158">
        <v>6.5615062765552706E-2</v>
      </c>
      <c r="F158">
        <v>6.5615062765552706E-2</v>
      </c>
      <c r="G158">
        <v>0</v>
      </c>
      <c r="H158">
        <v>0</v>
      </c>
      <c r="I158" t="s">
        <v>82</v>
      </c>
    </row>
    <row r="159" spans="1:9" x14ac:dyDescent="0.35">
      <c r="A159" t="s">
        <v>12</v>
      </c>
      <c r="B159">
        <v>2025</v>
      </c>
      <c r="C159" t="s">
        <v>80</v>
      </c>
      <c r="D159" t="s">
        <v>52</v>
      </c>
      <c r="E159">
        <v>0.201522830294695</v>
      </c>
      <c r="F159">
        <v>0.201522830294695</v>
      </c>
      <c r="G159">
        <v>0</v>
      </c>
      <c r="H159">
        <v>0</v>
      </c>
      <c r="I159" t="s">
        <v>82</v>
      </c>
    </row>
    <row r="160" spans="1:9" x14ac:dyDescent="0.35">
      <c r="A160" t="s">
        <v>12</v>
      </c>
      <c r="B160">
        <v>2025</v>
      </c>
      <c r="C160" t="s">
        <v>80</v>
      </c>
      <c r="D160" t="s">
        <v>53</v>
      </c>
      <c r="E160">
        <v>0.42902242784642602</v>
      </c>
      <c r="F160">
        <v>0.42902242784642602</v>
      </c>
      <c r="G160">
        <v>0</v>
      </c>
      <c r="H160">
        <v>0</v>
      </c>
      <c r="I160" t="s">
        <v>82</v>
      </c>
    </row>
    <row r="161" spans="1:9" x14ac:dyDescent="0.35">
      <c r="A161" t="s">
        <v>12</v>
      </c>
      <c r="B161">
        <v>2025</v>
      </c>
      <c r="C161" t="s">
        <v>80</v>
      </c>
      <c r="D161" t="s">
        <v>54</v>
      </c>
      <c r="E161">
        <v>4.98470482505265E-2</v>
      </c>
      <c r="F161">
        <v>4.98470482505265E-2</v>
      </c>
      <c r="G161">
        <v>0</v>
      </c>
      <c r="H161">
        <v>0</v>
      </c>
      <c r="I161" t="s">
        <v>82</v>
      </c>
    </row>
    <row r="162" spans="1:9" x14ac:dyDescent="0.35">
      <c r="A162" t="s">
        <v>12</v>
      </c>
      <c r="B162">
        <v>2025</v>
      </c>
      <c r="C162" t="s">
        <v>80</v>
      </c>
      <c r="D162" t="s">
        <v>55</v>
      </c>
      <c r="E162">
        <v>4.6179046581498698E-2</v>
      </c>
      <c r="F162">
        <v>4.6179046581498698E-2</v>
      </c>
      <c r="G162">
        <v>0</v>
      </c>
      <c r="H162">
        <v>0</v>
      </c>
      <c r="I162" t="s">
        <v>82</v>
      </c>
    </row>
    <row r="163" spans="1:9" x14ac:dyDescent="0.35">
      <c r="A163" t="s">
        <v>12</v>
      </c>
      <c r="B163">
        <v>2025</v>
      </c>
      <c r="C163" t="s">
        <v>80</v>
      </c>
      <c r="D163" t="s">
        <v>56</v>
      </c>
      <c r="E163" s="1">
        <v>7.7837747015516896E-8</v>
      </c>
      <c r="F163" s="1">
        <v>7.7837747015516896E-8</v>
      </c>
      <c r="G163">
        <v>0</v>
      </c>
      <c r="H163">
        <v>0</v>
      </c>
      <c r="I163" t="s">
        <v>82</v>
      </c>
    </row>
    <row r="164" spans="1:9" x14ac:dyDescent="0.35">
      <c r="A164" t="s">
        <v>14</v>
      </c>
      <c r="B164">
        <v>2030</v>
      </c>
      <c r="C164" t="s">
        <v>80</v>
      </c>
      <c r="D164" t="s">
        <v>38</v>
      </c>
      <c r="E164">
        <v>3.6796358762176002E-4</v>
      </c>
      <c r="F164">
        <v>3.6796358762176002E-4</v>
      </c>
      <c r="G164">
        <v>0</v>
      </c>
      <c r="H164">
        <v>0</v>
      </c>
      <c r="I164" t="s">
        <v>82</v>
      </c>
    </row>
    <row r="165" spans="1:9" x14ac:dyDescent="0.35">
      <c r="A165" t="s">
        <v>14</v>
      </c>
      <c r="B165">
        <v>2030</v>
      </c>
      <c r="C165" t="s">
        <v>80</v>
      </c>
      <c r="D165" t="s">
        <v>40</v>
      </c>
      <c r="E165">
        <v>4.2284885253561201E-4</v>
      </c>
      <c r="F165">
        <v>4.2284885253561201E-4</v>
      </c>
      <c r="G165">
        <v>0</v>
      </c>
      <c r="H165">
        <v>0</v>
      </c>
      <c r="I165" t="s">
        <v>82</v>
      </c>
    </row>
    <row r="166" spans="1:9" x14ac:dyDescent="0.35">
      <c r="A166" t="s">
        <v>14</v>
      </c>
      <c r="B166">
        <v>2030</v>
      </c>
      <c r="C166" t="s">
        <v>80</v>
      </c>
      <c r="D166" t="s">
        <v>41</v>
      </c>
      <c r="E166">
        <v>3.62933783337344E-3</v>
      </c>
      <c r="F166">
        <v>3.62933783337344E-3</v>
      </c>
      <c r="G166">
        <v>0</v>
      </c>
      <c r="H166">
        <v>0</v>
      </c>
      <c r="I166" t="s">
        <v>82</v>
      </c>
    </row>
    <row r="167" spans="1:9" x14ac:dyDescent="0.35">
      <c r="A167" t="s">
        <v>14</v>
      </c>
      <c r="B167">
        <v>2030</v>
      </c>
      <c r="C167" t="s">
        <v>80</v>
      </c>
      <c r="D167" t="s">
        <v>42</v>
      </c>
      <c r="E167">
        <v>0.55790330087970297</v>
      </c>
      <c r="F167">
        <v>0.55790330087970297</v>
      </c>
      <c r="G167">
        <v>0</v>
      </c>
      <c r="H167">
        <v>0</v>
      </c>
      <c r="I167" t="s">
        <v>82</v>
      </c>
    </row>
    <row r="168" spans="1:9" x14ac:dyDescent="0.35">
      <c r="A168" t="s">
        <v>14</v>
      </c>
      <c r="B168">
        <v>2030</v>
      </c>
      <c r="C168" t="s">
        <v>80</v>
      </c>
      <c r="D168" t="s">
        <v>43</v>
      </c>
      <c r="E168">
        <v>1.2278671694736099E-3</v>
      </c>
      <c r="F168">
        <v>1.2278671694736099E-3</v>
      </c>
      <c r="G168">
        <v>0</v>
      </c>
      <c r="H168">
        <v>0</v>
      </c>
      <c r="I168" t="s">
        <v>82</v>
      </c>
    </row>
    <row r="169" spans="1:9" x14ac:dyDescent="0.35">
      <c r="A169" t="s">
        <v>14</v>
      </c>
      <c r="B169">
        <v>2030</v>
      </c>
      <c r="C169" t="s">
        <v>80</v>
      </c>
      <c r="D169" t="s">
        <v>136</v>
      </c>
      <c r="E169">
        <v>1.8191665560689501</v>
      </c>
      <c r="F169">
        <v>1.8191665560689501</v>
      </c>
      <c r="G169">
        <v>0</v>
      </c>
      <c r="H169">
        <v>0</v>
      </c>
      <c r="I169" t="s">
        <v>82</v>
      </c>
    </row>
    <row r="170" spans="1:9" x14ac:dyDescent="0.35">
      <c r="A170" t="s">
        <v>14</v>
      </c>
      <c r="B170">
        <v>2030</v>
      </c>
      <c r="C170" t="s">
        <v>80</v>
      </c>
      <c r="D170" t="s">
        <v>45</v>
      </c>
      <c r="E170">
        <v>2.5347216875293401E-3</v>
      </c>
      <c r="F170">
        <v>2.5347216875293401E-3</v>
      </c>
      <c r="G170">
        <v>0</v>
      </c>
      <c r="H170">
        <v>0</v>
      </c>
      <c r="I170" t="s">
        <v>82</v>
      </c>
    </row>
    <row r="171" spans="1:9" x14ac:dyDescent="0.35">
      <c r="A171" t="s">
        <v>14</v>
      </c>
      <c r="B171">
        <v>2030</v>
      </c>
      <c r="C171" t="s">
        <v>80</v>
      </c>
      <c r="D171" t="s">
        <v>46</v>
      </c>
      <c r="E171">
        <v>3.5057468166032897E-2</v>
      </c>
      <c r="F171">
        <v>3.5057468166032897E-2</v>
      </c>
      <c r="G171">
        <v>0</v>
      </c>
      <c r="H171">
        <v>0</v>
      </c>
      <c r="I171" t="s">
        <v>82</v>
      </c>
    </row>
    <row r="172" spans="1:9" x14ac:dyDescent="0.35">
      <c r="A172" t="s">
        <v>14</v>
      </c>
      <c r="B172">
        <v>2030</v>
      </c>
      <c r="C172" t="s">
        <v>80</v>
      </c>
      <c r="D172" t="s">
        <v>47</v>
      </c>
      <c r="E172">
        <v>4.4786956459297799E-4</v>
      </c>
      <c r="F172">
        <v>4.4786956459297799E-4</v>
      </c>
      <c r="G172">
        <v>0</v>
      </c>
      <c r="H172">
        <v>0</v>
      </c>
      <c r="I172" t="s">
        <v>82</v>
      </c>
    </row>
    <row r="173" spans="1:9" x14ac:dyDescent="0.35">
      <c r="A173" t="s">
        <v>14</v>
      </c>
      <c r="B173">
        <v>2030</v>
      </c>
      <c r="C173" t="s">
        <v>80</v>
      </c>
      <c r="D173" t="s">
        <v>48</v>
      </c>
      <c r="E173">
        <v>80.552985092252399</v>
      </c>
      <c r="F173">
        <v>80.552985092252399</v>
      </c>
      <c r="G173">
        <v>0</v>
      </c>
      <c r="H173">
        <v>0</v>
      </c>
      <c r="I173" t="s">
        <v>82</v>
      </c>
    </row>
    <row r="174" spans="1:9" x14ac:dyDescent="0.35">
      <c r="A174" t="s">
        <v>14</v>
      </c>
      <c r="B174">
        <v>2030</v>
      </c>
      <c r="C174" t="s">
        <v>80</v>
      </c>
      <c r="D174" t="s">
        <v>49</v>
      </c>
      <c r="E174">
        <v>4.2091901590012E-3</v>
      </c>
      <c r="F174">
        <v>4.2091901590012E-3</v>
      </c>
      <c r="G174">
        <v>0</v>
      </c>
      <c r="H174">
        <v>0</v>
      </c>
      <c r="I174" t="s">
        <v>82</v>
      </c>
    </row>
    <row r="175" spans="1:9" x14ac:dyDescent="0.35">
      <c r="A175" t="s">
        <v>14</v>
      </c>
      <c r="B175">
        <v>2030</v>
      </c>
      <c r="C175" t="s">
        <v>80</v>
      </c>
      <c r="D175" t="s">
        <v>50</v>
      </c>
      <c r="E175">
        <v>7.53482440541228E-3</v>
      </c>
      <c r="F175">
        <v>7.53482440541228E-3</v>
      </c>
      <c r="G175">
        <v>0</v>
      </c>
      <c r="H175">
        <v>0</v>
      </c>
      <c r="I175" t="s">
        <v>82</v>
      </c>
    </row>
    <row r="176" spans="1:9" x14ac:dyDescent="0.35">
      <c r="A176" t="s">
        <v>14</v>
      </c>
      <c r="B176">
        <v>2030</v>
      </c>
      <c r="C176" t="s">
        <v>80</v>
      </c>
      <c r="D176" t="s">
        <v>51</v>
      </c>
      <c r="E176">
        <v>6.6803920300343905E-2</v>
      </c>
      <c r="F176">
        <v>6.6803920300343905E-2</v>
      </c>
      <c r="G176">
        <v>0</v>
      </c>
      <c r="H176">
        <v>0</v>
      </c>
      <c r="I176" t="s">
        <v>82</v>
      </c>
    </row>
    <row r="177" spans="1:9" x14ac:dyDescent="0.35">
      <c r="A177" t="s">
        <v>14</v>
      </c>
      <c r="B177">
        <v>2030</v>
      </c>
      <c r="C177" t="s">
        <v>80</v>
      </c>
      <c r="D177" t="s">
        <v>52</v>
      </c>
      <c r="E177">
        <v>0.18908321741374701</v>
      </c>
      <c r="F177">
        <v>0.18908321741374701</v>
      </c>
      <c r="G177">
        <v>0</v>
      </c>
      <c r="H177">
        <v>0</v>
      </c>
      <c r="I177" t="s">
        <v>82</v>
      </c>
    </row>
    <row r="178" spans="1:9" x14ac:dyDescent="0.35">
      <c r="A178" t="s">
        <v>14</v>
      </c>
      <c r="B178">
        <v>2030</v>
      </c>
      <c r="C178" t="s">
        <v>80</v>
      </c>
      <c r="D178" t="s">
        <v>53</v>
      </c>
      <c r="E178">
        <v>0.361670998278108</v>
      </c>
      <c r="F178">
        <v>0.361670998278108</v>
      </c>
      <c r="G178">
        <v>0</v>
      </c>
      <c r="H178">
        <v>0</v>
      </c>
      <c r="I178" t="s">
        <v>82</v>
      </c>
    </row>
    <row r="179" spans="1:9" x14ac:dyDescent="0.35">
      <c r="A179" t="s">
        <v>14</v>
      </c>
      <c r="B179">
        <v>2030</v>
      </c>
      <c r="C179" t="s">
        <v>80</v>
      </c>
      <c r="D179" t="s">
        <v>54</v>
      </c>
      <c r="E179">
        <v>4.9507436248927401E-2</v>
      </c>
      <c r="F179">
        <v>4.9507436248927401E-2</v>
      </c>
      <c r="G179">
        <v>0</v>
      </c>
      <c r="H179">
        <v>0</v>
      </c>
      <c r="I179" t="s">
        <v>82</v>
      </c>
    </row>
    <row r="180" spans="1:9" x14ac:dyDescent="0.35">
      <c r="A180" t="s">
        <v>14</v>
      </c>
      <c r="B180">
        <v>2030</v>
      </c>
      <c r="C180" t="s">
        <v>80</v>
      </c>
      <c r="D180" t="s">
        <v>55</v>
      </c>
      <c r="E180">
        <v>4.5635274554824301E-2</v>
      </c>
      <c r="F180">
        <v>4.5635274554824301E-2</v>
      </c>
      <c r="G180">
        <v>0</v>
      </c>
      <c r="H180">
        <v>0</v>
      </c>
      <c r="I180" t="s">
        <v>82</v>
      </c>
    </row>
    <row r="181" spans="1:9" x14ac:dyDescent="0.35">
      <c r="A181" t="s">
        <v>14</v>
      </c>
      <c r="B181">
        <v>2030</v>
      </c>
      <c r="C181" t="s">
        <v>80</v>
      </c>
      <c r="D181" t="s">
        <v>56</v>
      </c>
      <c r="E181" s="1">
        <v>6.8040556533540797E-8</v>
      </c>
      <c r="F181" s="1">
        <v>6.8040556533540797E-8</v>
      </c>
      <c r="G181">
        <v>0</v>
      </c>
      <c r="H181">
        <v>0</v>
      </c>
      <c r="I181" t="s">
        <v>82</v>
      </c>
    </row>
    <row r="182" spans="1:9" x14ac:dyDescent="0.35">
      <c r="A182" t="s">
        <v>16</v>
      </c>
      <c r="B182">
        <v>2035</v>
      </c>
      <c r="C182" t="s">
        <v>80</v>
      </c>
      <c r="D182" t="s">
        <v>38</v>
      </c>
      <c r="E182">
        <v>4.7197714962609699E-4</v>
      </c>
      <c r="F182">
        <v>4.7197714962609699E-4</v>
      </c>
      <c r="G182">
        <v>0</v>
      </c>
      <c r="H182">
        <v>0</v>
      </c>
      <c r="I182" t="s">
        <v>82</v>
      </c>
    </row>
    <row r="183" spans="1:9" x14ac:dyDescent="0.35">
      <c r="A183" t="s">
        <v>16</v>
      </c>
      <c r="B183">
        <v>2035</v>
      </c>
      <c r="C183" t="s">
        <v>80</v>
      </c>
      <c r="D183" t="s">
        <v>40</v>
      </c>
      <c r="E183">
        <v>3.8841467671806099E-4</v>
      </c>
      <c r="F183">
        <v>3.8841467671806099E-4</v>
      </c>
      <c r="G183">
        <v>0</v>
      </c>
      <c r="H183">
        <v>0</v>
      </c>
      <c r="I183" t="s">
        <v>82</v>
      </c>
    </row>
    <row r="184" spans="1:9" x14ac:dyDescent="0.35">
      <c r="A184" t="s">
        <v>16</v>
      </c>
      <c r="B184">
        <v>2035</v>
      </c>
      <c r="C184" t="s">
        <v>80</v>
      </c>
      <c r="D184" t="s">
        <v>41</v>
      </c>
      <c r="E184">
        <v>3.2790206738049599E-3</v>
      </c>
      <c r="F184">
        <v>3.2790206738049599E-3</v>
      </c>
      <c r="G184">
        <v>0</v>
      </c>
      <c r="H184">
        <v>0</v>
      </c>
      <c r="I184" t="s">
        <v>82</v>
      </c>
    </row>
    <row r="185" spans="1:9" x14ac:dyDescent="0.35">
      <c r="A185" t="s">
        <v>16</v>
      </c>
      <c r="B185">
        <v>2035</v>
      </c>
      <c r="C185" t="s">
        <v>80</v>
      </c>
      <c r="D185" t="s">
        <v>42</v>
      </c>
      <c r="E185">
        <v>0.48177675613471199</v>
      </c>
      <c r="F185">
        <v>0.48177675613471199</v>
      </c>
      <c r="G185">
        <v>0</v>
      </c>
      <c r="H185">
        <v>0</v>
      </c>
      <c r="I185" t="s">
        <v>82</v>
      </c>
    </row>
    <row r="186" spans="1:9" x14ac:dyDescent="0.35">
      <c r="A186" t="s">
        <v>16</v>
      </c>
      <c r="B186">
        <v>2035</v>
      </c>
      <c r="C186" t="s">
        <v>80</v>
      </c>
      <c r="D186" t="s">
        <v>43</v>
      </c>
      <c r="E186">
        <v>1.1198239730148701E-3</v>
      </c>
      <c r="F186">
        <v>1.1198239730148701E-3</v>
      </c>
      <c r="G186">
        <v>0</v>
      </c>
      <c r="H186">
        <v>0</v>
      </c>
      <c r="I186" t="s">
        <v>82</v>
      </c>
    </row>
    <row r="187" spans="1:9" x14ac:dyDescent="0.35">
      <c r="A187" t="s">
        <v>16</v>
      </c>
      <c r="B187">
        <v>2035</v>
      </c>
      <c r="C187" t="s">
        <v>80</v>
      </c>
      <c r="D187" t="s">
        <v>136</v>
      </c>
      <c r="E187">
        <v>1.6110028451215701</v>
      </c>
      <c r="F187">
        <v>1.6110028451215701</v>
      </c>
      <c r="G187">
        <v>0</v>
      </c>
      <c r="H187">
        <v>0</v>
      </c>
      <c r="I187" t="s">
        <v>82</v>
      </c>
    </row>
    <row r="188" spans="1:9" x14ac:dyDescent="0.35">
      <c r="A188" t="s">
        <v>16</v>
      </c>
      <c r="B188">
        <v>2035</v>
      </c>
      <c r="C188" t="s">
        <v>80</v>
      </c>
      <c r="D188" t="s">
        <v>45</v>
      </c>
      <c r="E188">
        <v>2.00441911667359E-3</v>
      </c>
      <c r="F188">
        <v>2.00441911667359E-3</v>
      </c>
      <c r="G188">
        <v>0</v>
      </c>
      <c r="H188">
        <v>0</v>
      </c>
      <c r="I188" t="s">
        <v>82</v>
      </c>
    </row>
    <row r="189" spans="1:9" x14ac:dyDescent="0.35">
      <c r="A189" t="s">
        <v>16</v>
      </c>
      <c r="B189">
        <v>2035</v>
      </c>
      <c r="C189" t="s">
        <v>80</v>
      </c>
      <c r="D189" t="s">
        <v>46</v>
      </c>
      <c r="E189">
        <v>4.7734949616850597E-2</v>
      </c>
      <c r="F189">
        <v>4.7734949616850597E-2</v>
      </c>
      <c r="G189">
        <v>0</v>
      </c>
      <c r="H189">
        <v>0</v>
      </c>
      <c r="I189" t="s">
        <v>82</v>
      </c>
    </row>
    <row r="190" spans="1:9" x14ac:dyDescent="0.35">
      <c r="A190" t="s">
        <v>16</v>
      </c>
      <c r="B190">
        <v>2035</v>
      </c>
      <c r="C190" t="s">
        <v>80</v>
      </c>
      <c r="D190" t="s">
        <v>47</v>
      </c>
      <c r="E190">
        <v>3.3102632296657899E-4</v>
      </c>
      <c r="F190">
        <v>3.3102632296657899E-4</v>
      </c>
      <c r="G190">
        <v>0</v>
      </c>
      <c r="H190">
        <v>0</v>
      </c>
      <c r="I190" t="s">
        <v>82</v>
      </c>
    </row>
    <row r="191" spans="1:9" x14ac:dyDescent="0.35">
      <c r="A191" t="s">
        <v>16</v>
      </c>
      <c r="B191">
        <v>2035</v>
      </c>
      <c r="C191" t="s">
        <v>80</v>
      </c>
      <c r="D191" t="s">
        <v>48</v>
      </c>
      <c r="E191">
        <v>80.554177278149297</v>
      </c>
      <c r="F191">
        <v>80.554177278149297</v>
      </c>
      <c r="G191">
        <v>0</v>
      </c>
      <c r="H191">
        <v>0</v>
      </c>
      <c r="I191" t="s">
        <v>82</v>
      </c>
    </row>
    <row r="192" spans="1:9" x14ac:dyDescent="0.35">
      <c r="A192" t="s">
        <v>16</v>
      </c>
      <c r="B192">
        <v>2035</v>
      </c>
      <c r="C192" t="s">
        <v>80</v>
      </c>
      <c r="D192" t="s">
        <v>49</v>
      </c>
      <c r="E192">
        <v>3.6945240572656898E-3</v>
      </c>
      <c r="F192">
        <v>3.6945240572656898E-3</v>
      </c>
      <c r="G192">
        <v>0</v>
      </c>
      <c r="H192">
        <v>0</v>
      </c>
      <c r="I192" t="s">
        <v>82</v>
      </c>
    </row>
    <row r="193" spans="1:9" x14ac:dyDescent="0.35">
      <c r="A193" t="s">
        <v>16</v>
      </c>
      <c r="B193">
        <v>2035</v>
      </c>
      <c r="C193" t="s">
        <v>80</v>
      </c>
      <c r="D193" t="s">
        <v>50</v>
      </c>
      <c r="E193">
        <v>7.25059343814311E-3</v>
      </c>
      <c r="F193">
        <v>7.25059343814311E-3</v>
      </c>
      <c r="G193">
        <v>0</v>
      </c>
      <c r="H193">
        <v>0</v>
      </c>
      <c r="I193" t="s">
        <v>82</v>
      </c>
    </row>
    <row r="194" spans="1:9" x14ac:dyDescent="0.35">
      <c r="A194" t="s">
        <v>16</v>
      </c>
      <c r="B194">
        <v>2035</v>
      </c>
      <c r="C194" t="s">
        <v>80</v>
      </c>
      <c r="D194" t="s">
        <v>51</v>
      </c>
      <c r="E194">
        <v>6.8707960591442394E-2</v>
      </c>
      <c r="F194">
        <v>6.8707960591442394E-2</v>
      </c>
      <c r="G194">
        <v>0</v>
      </c>
      <c r="H194">
        <v>0</v>
      </c>
      <c r="I194" t="s">
        <v>82</v>
      </c>
    </row>
    <row r="195" spans="1:9" x14ac:dyDescent="0.35">
      <c r="A195" t="s">
        <v>16</v>
      </c>
      <c r="B195">
        <v>2035</v>
      </c>
      <c r="C195" t="s">
        <v>80</v>
      </c>
      <c r="D195" t="s">
        <v>52</v>
      </c>
      <c r="E195">
        <v>0.172476296263149</v>
      </c>
      <c r="F195">
        <v>0.172476296263149</v>
      </c>
      <c r="G195">
        <v>0</v>
      </c>
      <c r="H195">
        <v>0</v>
      </c>
      <c r="I195" t="s">
        <v>82</v>
      </c>
    </row>
    <row r="196" spans="1:9" x14ac:dyDescent="0.35">
      <c r="A196" t="s">
        <v>16</v>
      </c>
      <c r="B196">
        <v>2035</v>
      </c>
      <c r="C196" t="s">
        <v>80</v>
      </c>
      <c r="D196" t="s">
        <v>53</v>
      </c>
      <c r="E196">
        <v>0.30981844657923402</v>
      </c>
      <c r="F196">
        <v>0.30981844657923402</v>
      </c>
      <c r="G196">
        <v>0</v>
      </c>
      <c r="H196">
        <v>0</v>
      </c>
      <c r="I196" t="s">
        <v>82</v>
      </c>
    </row>
    <row r="197" spans="1:9" x14ac:dyDescent="0.35">
      <c r="A197" t="s">
        <v>16</v>
      </c>
      <c r="B197">
        <v>2035</v>
      </c>
      <c r="C197" t="s">
        <v>80</v>
      </c>
      <c r="D197" t="s">
        <v>54</v>
      </c>
      <c r="E197">
        <v>4.9088511914997301E-2</v>
      </c>
      <c r="F197">
        <v>4.9088511914997301E-2</v>
      </c>
      <c r="G197">
        <v>0</v>
      </c>
      <c r="H197">
        <v>0</v>
      </c>
      <c r="I197" t="s">
        <v>82</v>
      </c>
    </row>
    <row r="198" spans="1:9" x14ac:dyDescent="0.35">
      <c r="A198" t="s">
        <v>16</v>
      </c>
      <c r="B198">
        <v>2035</v>
      </c>
      <c r="C198" t="s">
        <v>80</v>
      </c>
      <c r="D198" t="s">
        <v>55</v>
      </c>
      <c r="E198">
        <v>4.5093356530632601E-2</v>
      </c>
      <c r="F198">
        <v>4.5093356530632601E-2</v>
      </c>
      <c r="G198">
        <v>0</v>
      </c>
      <c r="H198">
        <v>0</v>
      </c>
      <c r="I198" t="s">
        <v>82</v>
      </c>
    </row>
    <row r="199" spans="1:9" x14ac:dyDescent="0.35">
      <c r="A199" t="s">
        <v>16</v>
      </c>
      <c r="B199">
        <v>2035</v>
      </c>
      <c r="C199" t="s">
        <v>80</v>
      </c>
      <c r="D199" t="s">
        <v>56</v>
      </c>
      <c r="E199" s="1">
        <v>6.2010632406089102E-8</v>
      </c>
      <c r="F199" s="1">
        <v>6.2010632406089102E-8</v>
      </c>
      <c r="G199">
        <v>0</v>
      </c>
      <c r="H199">
        <v>0</v>
      </c>
      <c r="I199" t="s">
        <v>82</v>
      </c>
    </row>
    <row r="200" spans="1:9" x14ac:dyDescent="0.35">
      <c r="A200" t="s">
        <v>18</v>
      </c>
      <c r="B200">
        <v>2040</v>
      </c>
      <c r="C200" t="s">
        <v>80</v>
      </c>
      <c r="D200" t="s">
        <v>38</v>
      </c>
      <c r="E200">
        <v>6.2986635595296695E-4</v>
      </c>
      <c r="F200">
        <v>6.2986635595296695E-4</v>
      </c>
      <c r="G200">
        <v>0</v>
      </c>
      <c r="H200">
        <v>0</v>
      </c>
      <c r="I200" t="s">
        <v>82</v>
      </c>
    </row>
    <row r="201" spans="1:9" x14ac:dyDescent="0.35">
      <c r="A201" t="s">
        <v>18</v>
      </c>
      <c r="B201">
        <v>2040</v>
      </c>
      <c r="C201" t="s">
        <v>80</v>
      </c>
      <c r="D201" t="s">
        <v>40</v>
      </c>
      <c r="E201">
        <v>3.5730692589030599E-4</v>
      </c>
      <c r="F201">
        <v>3.5730692589030599E-4</v>
      </c>
      <c r="G201">
        <v>0</v>
      </c>
      <c r="H201">
        <v>0</v>
      </c>
      <c r="I201" t="s">
        <v>82</v>
      </c>
    </row>
    <row r="202" spans="1:9" x14ac:dyDescent="0.35">
      <c r="A202" t="s">
        <v>18</v>
      </c>
      <c r="B202">
        <v>2040</v>
      </c>
      <c r="C202" t="s">
        <v>80</v>
      </c>
      <c r="D202" t="s">
        <v>41</v>
      </c>
      <c r="E202">
        <v>3.0748659331583899E-3</v>
      </c>
      <c r="F202">
        <v>3.0748659331583899E-3</v>
      </c>
      <c r="G202">
        <v>0</v>
      </c>
      <c r="H202">
        <v>0</v>
      </c>
      <c r="I202" t="s">
        <v>82</v>
      </c>
    </row>
    <row r="203" spans="1:9" x14ac:dyDescent="0.35">
      <c r="A203" t="s">
        <v>18</v>
      </c>
      <c r="B203">
        <v>2040</v>
      </c>
      <c r="C203" t="s">
        <v>80</v>
      </c>
      <c r="D203" t="s">
        <v>42</v>
      </c>
      <c r="E203">
        <v>0.45578656145362201</v>
      </c>
      <c r="F203">
        <v>0.45578656145362201</v>
      </c>
      <c r="G203">
        <v>0</v>
      </c>
      <c r="H203">
        <v>0</v>
      </c>
      <c r="I203" t="s">
        <v>82</v>
      </c>
    </row>
    <row r="204" spans="1:9" x14ac:dyDescent="0.35">
      <c r="A204" t="s">
        <v>18</v>
      </c>
      <c r="B204">
        <v>2040</v>
      </c>
      <c r="C204" t="s">
        <v>80</v>
      </c>
      <c r="D204" t="s">
        <v>43</v>
      </c>
      <c r="E204">
        <v>1.0886433773911E-3</v>
      </c>
      <c r="F204">
        <v>1.0886433773911E-3</v>
      </c>
      <c r="G204">
        <v>0</v>
      </c>
      <c r="H204">
        <v>0</v>
      </c>
      <c r="I204" t="s">
        <v>82</v>
      </c>
    </row>
    <row r="205" spans="1:9" x14ac:dyDescent="0.35">
      <c r="A205" t="s">
        <v>18</v>
      </c>
      <c r="B205">
        <v>2040</v>
      </c>
      <c r="C205" t="s">
        <v>80</v>
      </c>
      <c r="D205" t="s">
        <v>136</v>
      </c>
      <c r="E205">
        <v>1.4890134903933401</v>
      </c>
      <c r="F205">
        <v>1.2493702077825599</v>
      </c>
      <c r="G205">
        <v>-0.239643282610774</v>
      </c>
      <c r="H205">
        <v>-16.094097478422999</v>
      </c>
      <c r="I205" t="s">
        <v>82</v>
      </c>
    </row>
    <row r="206" spans="1:9" x14ac:dyDescent="0.35">
      <c r="A206" t="s">
        <v>18</v>
      </c>
      <c r="B206">
        <v>2040</v>
      </c>
      <c r="C206" t="s">
        <v>80</v>
      </c>
      <c r="D206" t="s">
        <v>45</v>
      </c>
      <c r="E206">
        <v>1.77940752227961E-3</v>
      </c>
      <c r="F206">
        <v>1.77940752227961E-3</v>
      </c>
      <c r="G206">
        <v>0</v>
      </c>
      <c r="H206">
        <v>0</v>
      </c>
      <c r="I206" t="s">
        <v>82</v>
      </c>
    </row>
    <row r="207" spans="1:9" x14ac:dyDescent="0.35">
      <c r="A207" t="s">
        <v>18</v>
      </c>
      <c r="B207">
        <v>2040</v>
      </c>
      <c r="C207" t="s">
        <v>80</v>
      </c>
      <c r="D207" t="s">
        <v>46</v>
      </c>
      <c r="E207">
        <v>6.5807994833297495E-2</v>
      </c>
      <c r="F207">
        <v>6.5807994833297495E-2</v>
      </c>
      <c r="G207">
        <v>0</v>
      </c>
      <c r="H207">
        <v>0</v>
      </c>
      <c r="I207" t="s">
        <v>82</v>
      </c>
    </row>
    <row r="208" spans="1:9" x14ac:dyDescent="0.35">
      <c r="A208" t="s">
        <v>18</v>
      </c>
      <c r="B208">
        <v>2040</v>
      </c>
      <c r="C208" t="s">
        <v>80</v>
      </c>
      <c r="D208" t="s">
        <v>47</v>
      </c>
      <c r="E208">
        <v>2.9030799676522901E-4</v>
      </c>
      <c r="F208">
        <v>2.9030799676522901E-4</v>
      </c>
      <c r="G208">
        <v>0</v>
      </c>
      <c r="H208">
        <v>0</v>
      </c>
      <c r="I208" t="s">
        <v>82</v>
      </c>
    </row>
    <row r="209" spans="1:9" x14ac:dyDescent="0.35">
      <c r="A209" t="s">
        <v>18</v>
      </c>
      <c r="B209">
        <v>2040</v>
      </c>
      <c r="C209" t="s">
        <v>80</v>
      </c>
      <c r="D209" t="s">
        <v>48</v>
      </c>
      <c r="E209">
        <v>80.556165588554904</v>
      </c>
      <c r="F209">
        <v>80.556165588554904</v>
      </c>
      <c r="G209">
        <v>0</v>
      </c>
      <c r="H209">
        <v>0</v>
      </c>
      <c r="I209" t="s">
        <v>82</v>
      </c>
    </row>
    <row r="210" spans="1:9" x14ac:dyDescent="0.35">
      <c r="A210" t="s">
        <v>18</v>
      </c>
      <c r="B210">
        <v>2040</v>
      </c>
      <c r="C210" t="s">
        <v>80</v>
      </c>
      <c r="D210" t="s">
        <v>49</v>
      </c>
      <c r="E210">
        <v>3.4574992711166302E-3</v>
      </c>
      <c r="F210">
        <v>3.4574992711166302E-3</v>
      </c>
      <c r="G210">
        <v>0</v>
      </c>
      <c r="H210">
        <v>0</v>
      </c>
      <c r="I210" t="s">
        <v>82</v>
      </c>
    </row>
    <row r="211" spans="1:9" x14ac:dyDescent="0.35">
      <c r="A211" t="s">
        <v>18</v>
      </c>
      <c r="B211">
        <v>2040</v>
      </c>
      <c r="C211" t="s">
        <v>80</v>
      </c>
      <c r="D211" t="s">
        <v>50</v>
      </c>
      <c r="E211">
        <v>7.4406102637814197E-3</v>
      </c>
      <c r="F211">
        <v>7.4406102637814197E-3</v>
      </c>
      <c r="G211">
        <v>0</v>
      </c>
      <c r="H211">
        <v>0</v>
      </c>
      <c r="I211" t="s">
        <v>82</v>
      </c>
    </row>
    <row r="212" spans="1:9" x14ac:dyDescent="0.35">
      <c r="A212" t="s">
        <v>18</v>
      </c>
      <c r="B212">
        <v>2040</v>
      </c>
      <c r="C212" t="s">
        <v>80</v>
      </c>
      <c r="D212" t="s">
        <v>51</v>
      </c>
      <c r="E212">
        <v>7.0742054087446396E-2</v>
      </c>
      <c r="F212">
        <v>7.0742054087446396E-2</v>
      </c>
      <c r="G212">
        <v>0</v>
      </c>
      <c r="H212">
        <v>0</v>
      </c>
      <c r="I212" t="s">
        <v>82</v>
      </c>
    </row>
    <row r="213" spans="1:9" x14ac:dyDescent="0.35">
      <c r="A213" t="s">
        <v>18</v>
      </c>
      <c r="B213">
        <v>2040</v>
      </c>
      <c r="C213" t="s">
        <v>80</v>
      </c>
      <c r="D213" t="s">
        <v>52</v>
      </c>
      <c r="E213">
        <v>0.15658282079333899</v>
      </c>
      <c r="F213">
        <v>0.15658282079333899</v>
      </c>
      <c r="G213">
        <v>0</v>
      </c>
      <c r="H213">
        <v>0</v>
      </c>
      <c r="I213" t="s">
        <v>82</v>
      </c>
    </row>
    <row r="214" spans="1:9" x14ac:dyDescent="0.35">
      <c r="A214" t="s">
        <v>18</v>
      </c>
      <c r="B214">
        <v>2040</v>
      </c>
      <c r="C214" t="s">
        <v>80</v>
      </c>
      <c r="D214" t="s">
        <v>53</v>
      </c>
      <c r="E214">
        <v>0.27640506308190599</v>
      </c>
      <c r="F214">
        <v>0.27640506308190599</v>
      </c>
      <c r="G214">
        <v>0</v>
      </c>
      <c r="H214">
        <v>0</v>
      </c>
      <c r="I214" t="s">
        <v>82</v>
      </c>
    </row>
    <row r="215" spans="1:9" x14ac:dyDescent="0.35">
      <c r="A215" t="s">
        <v>18</v>
      </c>
      <c r="B215">
        <v>2040</v>
      </c>
      <c r="C215" t="s">
        <v>80</v>
      </c>
      <c r="D215" t="s">
        <v>54</v>
      </c>
      <c r="E215">
        <v>4.9511226279387102E-2</v>
      </c>
      <c r="F215">
        <v>4.9511226279387102E-2</v>
      </c>
      <c r="G215">
        <v>0</v>
      </c>
      <c r="H215">
        <v>0</v>
      </c>
      <c r="I215" t="s">
        <v>82</v>
      </c>
    </row>
    <row r="216" spans="1:9" x14ac:dyDescent="0.35">
      <c r="A216" t="s">
        <v>18</v>
      </c>
      <c r="B216">
        <v>2040</v>
      </c>
      <c r="C216" t="s">
        <v>80</v>
      </c>
      <c r="D216" t="s">
        <v>55</v>
      </c>
      <c r="E216">
        <v>4.5410627562783898E-2</v>
      </c>
      <c r="F216">
        <v>4.5410627562783898E-2</v>
      </c>
      <c r="G216">
        <v>0</v>
      </c>
      <c r="H216">
        <v>0</v>
      </c>
      <c r="I216" t="s">
        <v>82</v>
      </c>
    </row>
    <row r="217" spans="1:9" x14ac:dyDescent="0.35">
      <c r="A217" t="s">
        <v>18</v>
      </c>
      <c r="B217">
        <v>2040</v>
      </c>
      <c r="C217" t="s">
        <v>80</v>
      </c>
      <c r="D217" t="s">
        <v>56</v>
      </c>
      <c r="E217" s="1">
        <v>5.7550419423597101E-8</v>
      </c>
      <c r="F217" s="1">
        <v>5.7550419423597101E-8</v>
      </c>
      <c r="G217">
        <v>0</v>
      </c>
      <c r="H217">
        <v>0</v>
      </c>
      <c r="I217" t="s">
        <v>82</v>
      </c>
    </row>
    <row r="218" spans="1:9" x14ac:dyDescent="0.35">
      <c r="A218" t="s">
        <v>12</v>
      </c>
      <c r="B218">
        <v>2025</v>
      </c>
      <c r="C218" t="s">
        <v>65</v>
      </c>
      <c r="D218" t="s">
        <v>38</v>
      </c>
      <c r="E218">
        <v>6.4873412433599495E-2</v>
      </c>
      <c r="F218">
        <v>6.4873412433599495E-2</v>
      </c>
      <c r="G218">
        <v>0</v>
      </c>
      <c r="H218">
        <v>0</v>
      </c>
      <c r="I218" t="s">
        <v>66</v>
      </c>
    </row>
    <row r="219" spans="1:9" x14ac:dyDescent="0.35">
      <c r="A219" t="s">
        <v>12</v>
      </c>
      <c r="B219">
        <v>2025</v>
      </c>
      <c r="C219" t="s">
        <v>65</v>
      </c>
      <c r="D219" t="s">
        <v>40</v>
      </c>
      <c r="E219">
        <v>9.70743770522812E-3</v>
      </c>
      <c r="F219">
        <v>9.70743770522812E-3</v>
      </c>
      <c r="G219">
        <v>0</v>
      </c>
      <c r="H219">
        <v>0</v>
      </c>
      <c r="I219" t="s">
        <v>66</v>
      </c>
    </row>
    <row r="220" spans="1:9" x14ac:dyDescent="0.35">
      <c r="A220" t="s">
        <v>12</v>
      </c>
      <c r="B220">
        <v>2025</v>
      </c>
      <c r="C220" t="s">
        <v>65</v>
      </c>
      <c r="D220" t="s">
        <v>41</v>
      </c>
      <c r="E220">
        <v>0.30614758890051202</v>
      </c>
      <c r="F220">
        <v>0.30614758890051202</v>
      </c>
      <c r="G220">
        <v>0</v>
      </c>
      <c r="H220">
        <v>0</v>
      </c>
      <c r="I220" t="s">
        <v>66</v>
      </c>
    </row>
    <row r="221" spans="1:9" x14ac:dyDescent="0.35">
      <c r="A221" t="s">
        <v>12</v>
      </c>
      <c r="B221">
        <v>2025</v>
      </c>
      <c r="C221" t="s">
        <v>65</v>
      </c>
      <c r="D221" t="s">
        <v>42</v>
      </c>
      <c r="E221">
        <v>52.724097481016997</v>
      </c>
      <c r="F221">
        <v>52.724097481016997</v>
      </c>
      <c r="G221">
        <v>0</v>
      </c>
      <c r="H221">
        <v>0</v>
      </c>
      <c r="I221" t="s">
        <v>66</v>
      </c>
    </row>
    <row r="222" spans="1:9" x14ac:dyDescent="0.35">
      <c r="A222" t="s">
        <v>12</v>
      </c>
      <c r="B222">
        <v>2025</v>
      </c>
      <c r="C222" t="s">
        <v>65</v>
      </c>
      <c r="D222" t="s">
        <v>43</v>
      </c>
      <c r="E222">
        <v>7.2462806370178295E-2</v>
      </c>
      <c r="F222">
        <v>7.2462806370178295E-2</v>
      </c>
      <c r="G222">
        <v>0</v>
      </c>
      <c r="H222">
        <v>0</v>
      </c>
      <c r="I222" t="s">
        <v>66</v>
      </c>
    </row>
    <row r="223" spans="1:9" x14ac:dyDescent="0.35">
      <c r="A223" t="s">
        <v>12</v>
      </c>
      <c r="B223">
        <v>2025</v>
      </c>
      <c r="C223" t="s">
        <v>65</v>
      </c>
      <c r="D223" t="s">
        <v>136</v>
      </c>
      <c r="E223">
        <v>44.663122807652698</v>
      </c>
      <c r="F223">
        <v>44.663122807652698</v>
      </c>
      <c r="G223">
        <v>0</v>
      </c>
      <c r="H223">
        <v>0</v>
      </c>
      <c r="I223" t="s">
        <v>66</v>
      </c>
    </row>
    <row r="224" spans="1:9" x14ac:dyDescent="0.35">
      <c r="A224" t="s">
        <v>12</v>
      </c>
      <c r="B224">
        <v>2025</v>
      </c>
      <c r="C224" t="s">
        <v>65</v>
      </c>
      <c r="D224" t="s">
        <v>45</v>
      </c>
      <c r="E224">
        <v>8.5406197306374804E-2</v>
      </c>
      <c r="F224">
        <v>8.5406197306374804E-2</v>
      </c>
      <c r="G224">
        <v>0</v>
      </c>
      <c r="H224">
        <v>0</v>
      </c>
      <c r="I224" t="s">
        <v>66</v>
      </c>
    </row>
    <row r="225" spans="1:9" x14ac:dyDescent="0.35">
      <c r="A225" t="s">
        <v>12</v>
      </c>
      <c r="B225">
        <v>2025</v>
      </c>
      <c r="C225" t="s">
        <v>65</v>
      </c>
      <c r="D225" t="s">
        <v>46</v>
      </c>
      <c r="E225">
        <v>0.58083238164709705</v>
      </c>
      <c r="F225">
        <v>0.58083238164709705</v>
      </c>
      <c r="G225">
        <v>0</v>
      </c>
      <c r="H225">
        <v>0</v>
      </c>
      <c r="I225" t="s">
        <v>66</v>
      </c>
    </row>
    <row r="226" spans="1:9" x14ac:dyDescent="0.35">
      <c r="A226" t="s">
        <v>12</v>
      </c>
      <c r="B226">
        <v>2025</v>
      </c>
      <c r="C226" t="s">
        <v>65</v>
      </c>
      <c r="D226" t="s">
        <v>47</v>
      </c>
      <c r="E226">
        <v>3.7010898610690103E-2</v>
      </c>
      <c r="F226">
        <v>3.7010898610690103E-2</v>
      </c>
      <c r="G226">
        <v>0</v>
      </c>
      <c r="H226">
        <v>0</v>
      </c>
      <c r="I226" t="s">
        <v>66</v>
      </c>
    </row>
    <row r="227" spans="1:9" x14ac:dyDescent="0.35">
      <c r="A227" t="s">
        <v>12</v>
      </c>
      <c r="B227">
        <v>2025</v>
      </c>
      <c r="C227" t="s">
        <v>65</v>
      </c>
      <c r="D227" t="s">
        <v>48</v>
      </c>
      <c r="E227">
        <v>15.3129540670362</v>
      </c>
      <c r="F227">
        <v>15.3129540670362</v>
      </c>
      <c r="G227">
        <v>0</v>
      </c>
      <c r="H227">
        <v>0</v>
      </c>
      <c r="I227" t="s">
        <v>66</v>
      </c>
    </row>
    <row r="228" spans="1:9" x14ac:dyDescent="0.35">
      <c r="A228" t="s">
        <v>12</v>
      </c>
      <c r="B228">
        <v>2025</v>
      </c>
      <c r="C228" t="s">
        <v>65</v>
      </c>
      <c r="D228" t="s">
        <v>49</v>
      </c>
      <c r="E228">
        <v>0.207759316692854</v>
      </c>
      <c r="F228">
        <v>0.207759316692854</v>
      </c>
      <c r="G228">
        <v>0</v>
      </c>
      <c r="H228">
        <v>0</v>
      </c>
      <c r="I228" t="s">
        <v>66</v>
      </c>
    </row>
    <row r="229" spans="1:9" x14ac:dyDescent="0.35">
      <c r="A229" t="s">
        <v>12</v>
      </c>
      <c r="B229">
        <v>2025</v>
      </c>
      <c r="C229" t="s">
        <v>65</v>
      </c>
      <c r="D229" t="s">
        <v>50</v>
      </c>
      <c r="E229">
        <v>5.9285870727383401E-2</v>
      </c>
      <c r="F229">
        <v>5.9285870727383401E-2</v>
      </c>
      <c r="G229">
        <v>0</v>
      </c>
      <c r="H229">
        <v>0</v>
      </c>
      <c r="I229" t="s">
        <v>66</v>
      </c>
    </row>
    <row r="230" spans="1:9" x14ac:dyDescent="0.35">
      <c r="A230" t="s">
        <v>12</v>
      </c>
      <c r="B230">
        <v>2025</v>
      </c>
      <c r="C230" t="s">
        <v>65</v>
      </c>
      <c r="D230" t="s">
        <v>51</v>
      </c>
      <c r="E230">
        <v>1.2313111455116501</v>
      </c>
      <c r="F230">
        <v>1.2313111455116501</v>
      </c>
      <c r="G230">
        <v>0</v>
      </c>
      <c r="H230">
        <v>0</v>
      </c>
      <c r="I230" t="s">
        <v>66</v>
      </c>
    </row>
    <row r="231" spans="1:9" x14ac:dyDescent="0.35">
      <c r="A231" t="s">
        <v>12</v>
      </c>
      <c r="B231">
        <v>2025</v>
      </c>
      <c r="C231" t="s">
        <v>65</v>
      </c>
      <c r="D231" t="s">
        <v>52</v>
      </c>
      <c r="E231">
        <v>0.68320102796028503</v>
      </c>
      <c r="F231">
        <v>0.68320102796028503</v>
      </c>
      <c r="G231">
        <v>0</v>
      </c>
      <c r="H231">
        <v>0</v>
      </c>
      <c r="I231" t="s">
        <v>66</v>
      </c>
    </row>
    <row r="232" spans="1:9" x14ac:dyDescent="0.35">
      <c r="A232" t="s">
        <v>12</v>
      </c>
      <c r="B232">
        <v>2025</v>
      </c>
      <c r="C232" t="s">
        <v>65</v>
      </c>
      <c r="D232" t="s">
        <v>53</v>
      </c>
      <c r="E232">
        <v>8.8475655210730793</v>
      </c>
      <c r="F232">
        <v>8.8475655210730793</v>
      </c>
      <c r="G232">
        <v>0</v>
      </c>
      <c r="H232">
        <v>0</v>
      </c>
      <c r="I232" t="s">
        <v>66</v>
      </c>
    </row>
    <row r="233" spans="1:9" x14ac:dyDescent="0.35">
      <c r="A233" t="s">
        <v>12</v>
      </c>
      <c r="B233">
        <v>2025</v>
      </c>
      <c r="C233" t="s">
        <v>65</v>
      </c>
      <c r="D233" t="s">
        <v>54</v>
      </c>
      <c r="E233">
        <v>22.786744045928401</v>
      </c>
      <c r="F233">
        <v>22.786744045928401</v>
      </c>
      <c r="G233">
        <v>0</v>
      </c>
      <c r="H233">
        <v>0</v>
      </c>
      <c r="I233" t="s">
        <v>66</v>
      </c>
    </row>
    <row r="234" spans="1:9" x14ac:dyDescent="0.35">
      <c r="A234" t="s">
        <v>12</v>
      </c>
      <c r="B234">
        <v>2025</v>
      </c>
      <c r="C234" t="s">
        <v>65</v>
      </c>
      <c r="D234" t="s">
        <v>55</v>
      </c>
      <c r="E234">
        <v>24.451795881385198</v>
      </c>
      <c r="F234">
        <v>24.451795881385198</v>
      </c>
      <c r="G234">
        <v>0</v>
      </c>
      <c r="H234">
        <v>0</v>
      </c>
      <c r="I234" t="s">
        <v>66</v>
      </c>
    </row>
    <row r="235" spans="1:9" x14ac:dyDescent="0.35">
      <c r="A235" t="s">
        <v>12</v>
      </c>
      <c r="B235">
        <v>2025</v>
      </c>
      <c r="C235" t="s">
        <v>65</v>
      </c>
      <c r="D235" t="s">
        <v>56</v>
      </c>
      <c r="E235" s="1">
        <v>2.2242942025131101E-6</v>
      </c>
      <c r="F235" s="1">
        <v>2.2242942025131101E-6</v>
      </c>
      <c r="G235">
        <v>0</v>
      </c>
      <c r="H235">
        <v>0</v>
      </c>
      <c r="I235" t="s">
        <v>66</v>
      </c>
    </row>
    <row r="236" spans="1:9" x14ac:dyDescent="0.35">
      <c r="A236" t="s">
        <v>14</v>
      </c>
      <c r="B236">
        <v>2030</v>
      </c>
      <c r="C236" t="s">
        <v>65</v>
      </c>
      <c r="D236" t="s">
        <v>38</v>
      </c>
      <c r="E236">
        <v>6.4996021082414507E-2</v>
      </c>
      <c r="F236">
        <v>6.4996021082414507E-2</v>
      </c>
      <c r="G236">
        <v>0</v>
      </c>
      <c r="H236">
        <v>0</v>
      </c>
      <c r="I236" t="s">
        <v>66</v>
      </c>
    </row>
    <row r="237" spans="1:9" x14ac:dyDescent="0.35">
      <c r="A237" t="s">
        <v>14</v>
      </c>
      <c r="B237">
        <v>2030</v>
      </c>
      <c r="C237" t="s">
        <v>65</v>
      </c>
      <c r="D237" t="s">
        <v>40</v>
      </c>
      <c r="E237">
        <v>9.5680171316410503E-3</v>
      </c>
      <c r="F237">
        <v>9.5680171316410503E-3</v>
      </c>
      <c r="G237">
        <v>0</v>
      </c>
      <c r="H237">
        <v>0</v>
      </c>
      <c r="I237" t="s">
        <v>66</v>
      </c>
    </row>
    <row r="238" spans="1:9" x14ac:dyDescent="0.35">
      <c r="A238" t="s">
        <v>14</v>
      </c>
      <c r="B238">
        <v>2030</v>
      </c>
      <c r="C238" t="s">
        <v>65</v>
      </c>
      <c r="D238" t="s">
        <v>41</v>
      </c>
      <c r="E238">
        <v>0.30486521292496299</v>
      </c>
      <c r="F238">
        <v>0.30486521292496299</v>
      </c>
      <c r="G238">
        <v>0</v>
      </c>
      <c r="H238">
        <v>0</v>
      </c>
      <c r="I238" t="s">
        <v>66</v>
      </c>
    </row>
    <row r="239" spans="1:9" x14ac:dyDescent="0.35">
      <c r="A239" t="s">
        <v>14</v>
      </c>
      <c r="B239">
        <v>2030</v>
      </c>
      <c r="C239" t="s">
        <v>65</v>
      </c>
      <c r="D239" t="s">
        <v>42</v>
      </c>
      <c r="E239">
        <v>52.575995898128603</v>
      </c>
      <c r="F239">
        <v>52.575995898128603</v>
      </c>
      <c r="G239">
        <v>0</v>
      </c>
      <c r="H239">
        <v>0</v>
      </c>
      <c r="I239" t="s">
        <v>66</v>
      </c>
    </row>
    <row r="240" spans="1:9" x14ac:dyDescent="0.35">
      <c r="A240" t="s">
        <v>14</v>
      </c>
      <c r="B240">
        <v>2030</v>
      </c>
      <c r="C240" t="s">
        <v>65</v>
      </c>
      <c r="D240" t="s">
        <v>43</v>
      </c>
      <c r="E240">
        <v>7.21993948250131E-2</v>
      </c>
      <c r="F240">
        <v>7.21993948250131E-2</v>
      </c>
      <c r="G240">
        <v>0</v>
      </c>
      <c r="H240">
        <v>0</v>
      </c>
      <c r="I240" t="s">
        <v>66</v>
      </c>
    </row>
    <row r="241" spans="1:9" x14ac:dyDescent="0.35">
      <c r="A241" t="s">
        <v>14</v>
      </c>
      <c r="B241">
        <v>2030</v>
      </c>
      <c r="C241" t="s">
        <v>65</v>
      </c>
      <c r="D241" t="s">
        <v>136</v>
      </c>
      <c r="E241">
        <v>44.192379132839001</v>
      </c>
      <c r="F241">
        <v>44.192379132839001</v>
      </c>
      <c r="G241">
        <v>0</v>
      </c>
      <c r="H241">
        <v>0</v>
      </c>
      <c r="I241" t="s">
        <v>66</v>
      </c>
    </row>
    <row r="242" spans="1:9" x14ac:dyDescent="0.35">
      <c r="A242" t="s">
        <v>14</v>
      </c>
      <c r="B242">
        <v>2030</v>
      </c>
      <c r="C242" t="s">
        <v>65</v>
      </c>
      <c r="D242" t="s">
        <v>45</v>
      </c>
      <c r="E242">
        <v>8.3638288236381003E-2</v>
      </c>
      <c r="F242">
        <v>8.3638288236381003E-2</v>
      </c>
      <c r="G242">
        <v>0</v>
      </c>
      <c r="H242">
        <v>0</v>
      </c>
      <c r="I242" t="s">
        <v>66</v>
      </c>
    </row>
    <row r="243" spans="1:9" x14ac:dyDescent="0.35">
      <c r="A243" t="s">
        <v>14</v>
      </c>
      <c r="B243">
        <v>2030</v>
      </c>
      <c r="C243" t="s">
        <v>65</v>
      </c>
      <c r="D243" t="s">
        <v>46</v>
      </c>
      <c r="E243">
        <v>0.649071715936548</v>
      </c>
      <c r="F243">
        <v>0.649071715936548</v>
      </c>
      <c r="G243">
        <v>0</v>
      </c>
      <c r="H243">
        <v>0</v>
      </c>
      <c r="I243" t="s">
        <v>66</v>
      </c>
    </row>
    <row r="244" spans="1:9" x14ac:dyDescent="0.35">
      <c r="A244" t="s">
        <v>14</v>
      </c>
      <c r="B244">
        <v>2030</v>
      </c>
      <c r="C244" t="s">
        <v>65</v>
      </c>
      <c r="D244" t="s">
        <v>47</v>
      </c>
      <c r="E244">
        <v>3.69403875184319E-2</v>
      </c>
      <c r="F244">
        <v>3.69403875184319E-2</v>
      </c>
      <c r="G244">
        <v>0</v>
      </c>
      <c r="H244">
        <v>0</v>
      </c>
      <c r="I244" t="s">
        <v>66</v>
      </c>
    </row>
    <row r="245" spans="1:9" x14ac:dyDescent="0.35">
      <c r="A245" t="s">
        <v>14</v>
      </c>
      <c r="B245">
        <v>2030</v>
      </c>
      <c r="C245" t="s">
        <v>65</v>
      </c>
      <c r="D245" t="s">
        <v>48</v>
      </c>
      <c r="E245">
        <v>15.300394617350999</v>
      </c>
      <c r="F245">
        <v>15.300394617350999</v>
      </c>
      <c r="G245">
        <v>0</v>
      </c>
      <c r="H245">
        <v>0</v>
      </c>
      <c r="I245" t="s">
        <v>66</v>
      </c>
    </row>
    <row r="246" spans="1:9" x14ac:dyDescent="0.35">
      <c r="A246" t="s">
        <v>14</v>
      </c>
      <c r="B246">
        <v>2030</v>
      </c>
      <c r="C246" t="s">
        <v>65</v>
      </c>
      <c r="D246" t="s">
        <v>49</v>
      </c>
      <c r="E246">
        <v>0.20660964568265799</v>
      </c>
      <c r="F246">
        <v>0.20660964568265799</v>
      </c>
      <c r="G246">
        <v>0</v>
      </c>
      <c r="H246">
        <v>0</v>
      </c>
      <c r="I246" t="s">
        <v>66</v>
      </c>
    </row>
    <row r="247" spans="1:9" x14ac:dyDescent="0.35">
      <c r="A247" t="s">
        <v>14</v>
      </c>
      <c r="B247">
        <v>2030</v>
      </c>
      <c r="C247" t="s">
        <v>65</v>
      </c>
      <c r="D247" t="s">
        <v>50</v>
      </c>
      <c r="E247">
        <v>6.0295365581745503E-2</v>
      </c>
      <c r="F247">
        <v>6.0295365581745503E-2</v>
      </c>
      <c r="G247">
        <v>0</v>
      </c>
      <c r="H247">
        <v>0</v>
      </c>
      <c r="I247" t="s">
        <v>66</v>
      </c>
    </row>
    <row r="248" spans="1:9" x14ac:dyDescent="0.35">
      <c r="A248" t="s">
        <v>14</v>
      </c>
      <c r="B248">
        <v>2030</v>
      </c>
      <c r="C248" t="s">
        <v>65</v>
      </c>
      <c r="D248" t="s">
        <v>51</v>
      </c>
      <c r="E248">
        <v>1.22784403034275</v>
      </c>
      <c r="F248">
        <v>1.22784403034275</v>
      </c>
      <c r="G248">
        <v>0</v>
      </c>
      <c r="H248">
        <v>0</v>
      </c>
      <c r="I248" t="s">
        <v>66</v>
      </c>
    </row>
    <row r="249" spans="1:9" x14ac:dyDescent="0.35">
      <c r="A249" t="s">
        <v>14</v>
      </c>
      <c r="B249">
        <v>2030</v>
      </c>
      <c r="C249" t="s">
        <v>65</v>
      </c>
      <c r="D249" t="s">
        <v>52</v>
      </c>
      <c r="E249">
        <v>0.64537677986292197</v>
      </c>
      <c r="F249">
        <v>0.64537677986292197</v>
      </c>
      <c r="G249">
        <v>0</v>
      </c>
      <c r="H249">
        <v>0</v>
      </c>
      <c r="I249" t="s">
        <v>66</v>
      </c>
    </row>
    <row r="250" spans="1:9" x14ac:dyDescent="0.35">
      <c r="A250" t="s">
        <v>14</v>
      </c>
      <c r="B250">
        <v>2030</v>
      </c>
      <c r="C250" t="s">
        <v>65</v>
      </c>
      <c r="D250" t="s">
        <v>53</v>
      </c>
      <c r="E250">
        <v>8.68698727432038</v>
      </c>
      <c r="F250">
        <v>8.68698727432038</v>
      </c>
      <c r="G250">
        <v>0</v>
      </c>
      <c r="H250">
        <v>0</v>
      </c>
      <c r="I250" t="s">
        <v>66</v>
      </c>
    </row>
    <row r="251" spans="1:9" x14ac:dyDescent="0.35">
      <c r="A251" t="s">
        <v>14</v>
      </c>
      <c r="B251">
        <v>2030</v>
      </c>
      <c r="C251" t="s">
        <v>65</v>
      </c>
      <c r="D251" t="s">
        <v>54</v>
      </c>
      <c r="E251">
        <v>22.792026725593999</v>
      </c>
      <c r="F251">
        <v>22.792026725593999</v>
      </c>
      <c r="G251">
        <v>0</v>
      </c>
      <c r="H251">
        <v>0</v>
      </c>
      <c r="I251" t="s">
        <v>66</v>
      </c>
    </row>
    <row r="252" spans="1:9" x14ac:dyDescent="0.35">
      <c r="A252" t="s">
        <v>14</v>
      </c>
      <c r="B252">
        <v>2030</v>
      </c>
      <c r="C252" t="s">
        <v>65</v>
      </c>
      <c r="D252" t="s">
        <v>55</v>
      </c>
      <c r="E252">
        <v>24.454911866768398</v>
      </c>
      <c r="F252">
        <v>24.454911866768398</v>
      </c>
      <c r="G252">
        <v>0</v>
      </c>
      <c r="H252">
        <v>0</v>
      </c>
      <c r="I252" t="s">
        <v>66</v>
      </c>
    </row>
    <row r="253" spans="1:9" x14ac:dyDescent="0.35">
      <c r="A253" t="s">
        <v>14</v>
      </c>
      <c r="B253">
        <v>2030</v>
      </c>
      <c r="C253" t="s">
        <v>65</v>
      </c>
      <c r="D253" t="s">
        <v>56</v>
      </c>
      <c r="E253" s="1">
        <v>2.0273966479427101E-6</v>
      </c>
      <c r="F253" s="1">
        <v>2.0273966479427101E-6</v>
      </c>
      <c r="G253">
        <v>0</v>
      </c>
      <c r="H253">
        <v>0</v>
      </c>
      <c r="I253" t="s">
        <v>66</v>
      </c>
    </row>
    <row r="254" spans="1:9" x14ac:dyDescent="0.35">
      <c r="A254" t="s">
        <v>16</v>
      </c>
      <c r="B254">
        <v>2035</v>
      </c>
      <c r="C254" t="s">
        <v>65</v>
      </c>
      <c r="D254" t="s">
        <v>38</v>
      </c>
      <c r="E254">
        <v>6.6793362641969403E-2</v>
      </c>
      <c r="F254">
        <v>6.6793362641969403E-2</v>
      </c>
      <c r="G254">
        <v>0</v>
      </c>
      <c r="H254">
        <v>0</v>
      </c>
      <c r="I254" t="s">
        <v>66</v>
      </c>
    </row>
    <row r="255" spans="1:9" x14ac:dyDescent="0.35">
      <c r="A255" t="s">
        <v>16</v>
      </c>
      <c r="B255">
        <v>2035</v>
      </c>
      <c r="C255" t="s">
        <v>65</v>
      </c>
      <c r="D255" t="s">
        <v>40</v>
      </c>
      <c r="E255">
        <v>9.4611913092854296E-3</v>
      </c>
      <c r="F255">
        <v>9.4611913092854296E-3</v>
      </c>
      <c r="G255">
        <v>0</v>
      </c>
      <c r="H255">
        <v>0</v>
      </c>
      <c r="I255" t="s">
        <v>66</v>
      </c>
    </row>
    <row r="256" spans="1:9" x14ac:dyDescent="0.35">
      <c r="A256" t="s">
        <v>16</v>
      </c>
      <c r="B256">
        <v>2035</v>
      </c>
      <c r="C256" t="s">
        <v>65</v>
      </c>
      <c r="D256" t="s">
        <v>41</v>
      </c>
      <c r="E256">
        <v>0.30438333164156101</v>
      </c>
      <c r="F256">
        <v>0.30438333164156101</v>
      </c>
      <c r="G256">
        <v>0</v>
      </c>
      <c r="H256">
        <v>0</v>
      </c>
      <c r="I256" t="s">
        <v>66</v>
      </c>
    </row>
    <row r="257" spans="1:9" x14ac:dyDescent="0.35">
      <c r="A257" t="s">
        <v>16</v>
      </c>
      <c r="B257">
        <v>2035</v>
      </c>
      <c r="C257" t="s">
        <v>65</v>
      </c>
      <c r="D257" t="s">
        <v>42</v>
      </c>
      <c r="E257">
        <v>52.576491317933403</v>
      </c>
      <c r="F257">
        <v>52.576491317933403</v>
      </c>
      <c r="G257">
        <v>0</v>
      </c>
      <c r="H257">
        <v>0</v>
      </c>
      <c r="I257" t="s">
        <v>66</v>
      </c>
    </row>
    <row r="258" spans="1:9" x14ac:dyDescent="0.35">
      <c r="A258" t="s">
        <v>16</v>
      </c>
      <c r="B258">
        <v>2035</v>
      </c>
      <c r="C258" t="s">
        <v>65</v>
      </c>
      <c r="D258" t="s">
        <v>43</v>
      </c>
      <c r="E258">
        <v>7.2540361806226306E-2</v>
      </c>
      <c r="F258">
        <v>7.2540361806226306E-2</v>
      </c>
      <c r="G258">
        <v>0</v>
      </c>
      <c r="H258">
        <v>0</v>
      </c>
      <c r="I258" t="s">
        <v>66</v>
      </c>
    </row>
    <row r="259" spans="1:9" x14ac:dyDescent="0.35">
      <c r="A259" t="s">
        <v>16</v>
      </c>
      <c r="B259">
        <v>2035</v>
      </c>
      <c r="C259" t="s">
        <v>65</v>
      </c>
      <c r="D259" t="s">
        <v>136</v>
      </c>
      <c r="E259">
        <v>43.971913844903199</v>
      </c>
      <c r="F259">
        <v>43.971913844903199</v>
      </c>
      <c r="G259">
        <v>0</v>
      </c>
      <c r="H259">
        <v>0</v>
      </c>
      <c r="I259" t="s">
        <v>66</v>
      </c>
    </row>
    <row r="260" spans="1:9" x14ac:dyDescent="0.35">
      <c r="A260" t="s">
        <v>16</v>
      </c>
      <c r="B260">
        <v>2035</v>
      </c>
      <c r="C260" t="s">
        <v>65</v>
      </c>
      <c r="D260" t="s">
        <v>45</v>
      </c>
      <c r="E260">
        <v>8.2834578681984003E-2</v>
      </c>
      <c r="F260">
        <v>8.2834578681984003E-2</v>
      </c>
      <c r="G260">
        <v>0</v>
      </c>
      <c r="H260">
        <v>0</v>
      </c>
      <c r="I260" t="s">
        <v>66</v>
      </c>
    </row>
    <row r="261" spans="1:9" x14ac:dyDescent="0.35">
      <c r="A261" t="s">
        <v>16</v>
      </c>
      <c r="B261">
        <v>2035</v>
      </c>
      <c r="C261" t="s">
        <v>65</v>
      </c>
      <c r="D261" t="s">
        <v>46</v>
      </c>
      <c r="E261">
        <v>0.88488161060815096</v>
      </c>
      <c r="F261">
        <v>0.88488161060815096</v>
      </c>
      <c r="G261">
        <v>0</v>
      </c>
      <c r="H261">
        <v>0</v>
      </c>
      <c r="I261" t="s">
        <v>66</v>
      </c>
    </row>
    <row r="262" spans="1:9" x14ac:dyDescent="0.35">
      <c r="A262" t="s">
        <v>16</v>
      </c>
      <c r="B262">
        <v>2035</v>
      </c>
      <c r="C262" t="s">
        <v>65</v>
      </c>
      <c r="D262" t="s">
        <v>47</v>
      </c>
      <c r="E262">
        <v>3.6943723557483703E-2</v>
      </c>
      <c r="F262">
        <v>3.6943723557483703E-2</v>
      </c>
      <c r="G262">
        <v>0</v>
      </c>
      <c r="H262">
        <v>0</v>
      </c>
      <c r="I262" t="s">
        <v>66</v>
      </c>
    </row>
    <row r="263" spans="1:9" x14ac:dyDescent="0.35">
      <c r="A263" t="s">
        <v>16</v>
      </c>
      <c r="B263">
        <v>2035</v>
      </c>
      <c r="C263" t="s">
        <v>65</v>
      </c>
      <c r="D263" t="s">
        <v>48</v>
      </c>
      <c r="E263">
        <v>15.293750806195</v>
      </c>
      <c r="F263">
        <v>15.293750806195</v>
      </c>
      <c r="G263">
        <v>0</v>
      </c>
      <c r="H263">
        <v>0</v>
      </c>
      <c r="I263" t="s">
        <v>66</v>
      </c>
    </row>
    <row r="264" spans="1:9" x14ac:dyDescent="0.35">
      <c r="A264" t="s">
        <v>16</v>
      </c>
      <c r="B264">
        <v>2035</v>
      </c>
      <c r="C264" t="s">
        <v>65</v>
      </c>
      <c r="D264" t="s">
        <v>49</v>
      </c>
      <c r="E264">
        <v>0.206433105223022</v>
      </c>
      <c r="F264">
        <v>0.206433105223022</v>
      </c>
      <c r="G264">
        <v>0</v>
      </c>
      <c r="H264">
        <v>0</v>
      </c>
      <c r="I264" t="s">
        <v>66</v>
      </c>
    </row>
    <row r="265" spans="1:9" x14ac:dyDescent="0.35">
      <c r="A265" t="s">
        <v>16</v>
      </c>
      <c r="B265">
        <v>2035</v>
      </c>
      <c r="C265" t="s">
        <v>65</v>
      </c>
      <c r="D265" t="s">
        <v>50</v>
      </c>
      <c r="E265">
        <v>6.7511847904715094E-2</v>
      </c>
      <c r="F265">
        <v>6.7511847904715094E-2</v>
      </c>
      <c r="G265">
        <v>0</v>
      </c>
      <c r="H265">
        <v>0</v>
      </c>
      <c r="I265" t="s">
        <v>66</v>
      </c>
    </row>
    <row r="266" spans="1:9" x14ac:dyDescent="0.35">
      <c r="A266" t="s">
        <v>16</v>
      </c>
      <c r="B266">
        <v>2035</v>
      </c>
      <c r="C266" t="s">
        <v>65</v>
      </c>
      <c r="D266" t="s">
        <v>51</v>
      </c>
      <c r="E266">
        <v>1.23072771774281</v>
      </c>
      <c r="F266">
        <v>1.23072771774281</v>
      </c>
      <c r="G266">
        <v>0</v>
      </c>
      <c r="H266">
        <v>0</v>
      </c>
      <c r="I266" t="s">
        <v>66</v>
      </c>
    </row>
    <row r="267" spans="1:9" x14ac:dyDescent="0.35">
      <c r="A267" t="s">
        <v>16</v>
      </c>
      <c r="B267">
        <v>2035</v>
      </c>
      <c r="C267" t="s">
        <v>65</v>
      </c>
      <c r="D267" t="s">
        <v>52</v>
      </c>
      <c r="E267">
        <v>0.61324813329271</v>
      </c>
      <c r="F267">
        <v>0.61324813329271</v>
      </c>
      <c r="G267">
        <v>0</v>
      </c>
      <c r="H267">
        <v>0</v>
      </c>
      <c r="I267" t="s">
        <v>66</v>
      </c>
    </row>
    <row r="268" spans="1:9" x14ac:dyDescent="0.35">
      <c r="A268" t="s">
        <v>16</v>
      </c>
      <c r="B268">
        <v>2035</v>
      </c>
      <c r="C268" t="s">
        <v>65</v>
      </c>
      <c r="D268" t="s">
        <v>53</v>
      </c>
      <c r="E268">
        <v>8.6040750718872907</v>
      </c>
      <c r="F268">
        <v>8.6040750718872907</v>
      </c>
      <c r="G268">
        <v>0</v>
      </c>
      <c r="H268">
        <v>0</v>
      </c>
      <c r="I268" t="s">
        <v>66</v>
      </c>
    </row>
    <row r="269" spans="1:9" x14ac:dyDescent="0.35">
      <c r="A269" t="s">
        <v>16</v>
      </c>
      <c r="B269">
        <v>2035</v>
      </c>
      <c r="C269" t="s">
        <v>65</v>
      </c>
      <c r="D269" t="s">
        <v>54</v>
      </c>
      <c r="E269">
        <v>22.797859619702599</v>
      </c>
      <c r="F269">
        <v>22.797859619702599</v>
      </c>
      <c r="G269">
        <v>0</v>
      </c>
      <c r="H269">
        <v>0</v>
      </c>
      <c r="I269" t="s">
        <v>66</v>
      </c>
    </row>
    <row r="270" spans="1:9" x14ac:dyDescent="0.35">
      <c r="A270" t="s">
        <v>16</v>
      </c>
      <c r="B270">
        <v>2035</v>
      </c>
      <c r="C270" t="s">
        <v>65</v>
      </c>
      <c r="D270" t="s">
        <v>55</v>
      </c>
      <c r="E270">
        <v>24.459685679256399</v>
      </c>
      <c r="F270">
        <v>24.459685679256399</v>
      </c>
      <c r="G270">
        <v>0</v>
      </c>
      <c r="H270">
        <v>0</v>
      </c>
      <c r="I270" t="s">
        <v>66</v>
      </c>
    </row>
    <row r="271" spans="1:9" x14ac:dyDescent="0.35">
      <c r="A271" t="s">
        <v>16</v>
      </c>
      <c r="B271">
        <v>2035</v>
      </c>
      <c r="C271" t="s">
        <v>65</v>
      </c>
      <c r="D271" t="s">
        <v>56</v>
      </c>
      <c r="E271" s="1">
        <v>1.9260926709003998E-6</v>
      </c>
      <c r="F271" s="1">
        <v>1.9260926709003998E-6</v>
      </c>
      <c r="G271">
        <v>0</v>
      </c>
      <c r="H271">
        <v>0</v>
      </c>
      <c r="I271" t="s">
        <v>66</v>
      </c>
    </row>
    <row r="272" spans="1:9" x14ac:dyDescent="0.35">
      <c r="A272" t="s">
        <v>18</v>
      </c>
      <c r="B272">
        <v>2040</v>
      </c>
      <c r="C272" t="s">
        <v>65</v>
      </c>
      <c r="D272" t="s">
        <v>38</v>
      </c>
      <c r="E272">
        <v>6.9650332155197794E-2</v>
      </c>
      <c r="F272">
        <v>6.9173080877225998E-2</v>
      </c>
      <c r="G272">
        <v>-4.7725127797186502E-4</v>
      </c>
      <c r="H272">
        <v>-0.68521034028729899</v>
      </c>
      <c r="I272" t="s">
        <v>66</v>
      </c>
    </row>
    <row r="273" spans="1:9" x14ac:dyDescent="0.35">
      <c r="A273" t="s">
        <v>18</v>
      </c>
      <c r="B273">
        <v>2040</v>
      </c>
      <c r="C273" t="s">
        <v>65</v>
      </c>
      <c r="D273" t="s">
        <v>40</v>
      </c>
      <c r="E273">
        <v>9.3513389905925202E-3</v>
      </c>
      <c r="F273">
        <v>9.3513389905925202E-3</v>
      </c>
      <c r="G273">
        <v>0</v>
      </c>
      <c r="H273">
        <v>0</v>
      </c>
      <c r="I273" t="s">
        <v>66</v>
      </c>
    </row>
    <row r="274" spans="1:9" x14ac:dyDescent="0.35">
      <c r="A274" t="s">
        <v>18</v>
      </c>
      <c r="B274">
        <v>2040</v>
      </c>
      <c r="C274" t="s">
        <v>65</v>
      </c>
      <c r="D274" t="s">
        <v>41</v>
      </c>
      <c r="E274">
        <v>0.304298251163649</v>
      </c>
      <c r="F274">
        <v>0.16953412279014299</v>
      </c>
      <c r="G274">
        <v>-0.13476412837350599</v>
      </c>
      <c r="H274">
        <v>-44.286856023050497</v>
      </c>
      <c r="I274" t="s">
        <v>66</v>
      </c>
    </row>
    <row r="275" spans="1:9" x14ac:dyDescent="0.35">
      <c r="A275" t="s">
        <v>18</v>
      </c>
      <c r="B275">
        <v>2040</v>
      </c>
      <c r="C275" t="s">
        <v>65</v>
      </c>
      <c r="D275" t="s">
        <v>42</v>
      </c>
      <c r="E275">
        <v>52.671989972065099</v>
      </c>
      <c r="F275">
        <v>51.780795477056898</v>
      </c>
      <c r="G275">
        <v>-0.89119449500818604</v>
      </c>
      <c r="H275">
        <v>-1.69197042959803</v>
      </c>
      <c r="I275" t="s">
        <v>66</v>
      </c>
    </row>
    <row r="276" spans="1:9" x14ac:dyDescent="0.35">
      <c r="A276" t="s">
        <v>18</v>
      </c>
      <c r="B276">
        <v>2040</v>
      </c>
      <c r="C276" t="s">
        <v>65</v>
      </c>
      <c r="D276" t="s">
        <v>43</v>
      </c>
      <c r="E276">
        <v>7.3243476988654702E-2</v>
      </c>
      <c r="F276">
        <v>4.1461962338402499E-2</v>
      </c>
      <c r="G276">
        <v>-3.1781514650252099E-2</v>
      </c>
      <c r="H276">
        <v>-43.391597391225702</v>
      </c>
      <c r="I276" t="s">
        <v>66</v>
      </c>
    </row>
    <row r="277" spans="1:9" x14ac:dyDescent="0.35">
      <c r="A277" t="s">
        <v>18</v>
      </c>
      <c r="B277">
        <v>2040</v>
      </c>
      <c r="C277" t="s">
        <v>65</v>
      </c>
      <c r="D277" t="s">
        <v>136</v>
      </c>
      <c r="E277">
        <v>43.9167334598813</v>
      </c>
      <c r="F277">
        <v>33.297454302526901</v>
      </c>
      <c r="G277">
        <v>-10.619279157354301</v>
      </c>
      <c r="H277">
        <v>-24.1804850241314</v>
      </c>
      <c r="I277" t="s">
        <v>66</v>
      </c>
    </row>
    <row r="278" spans="1:9" x14ac:dyDescent="0.35">
      <c r="A278" t="s">
        <v>18</v>
      </c>
      <c r="B278">
        <v>2040</v>
      </c>
      <c r="C278" t="s">
        <v>65</v>
      </c>
      <c r="D278" t="s">
        <v>45</v>
      </c>
      <c r="E278">
        <v>8.2592782227965497E-2</v>
      </c>
      <c r="F278">
        <v>4.4031788525482403E-2</v>
      </c>
      <c r="G278">
        <v>-3.8560993702482997E-2</v>
      </c>
      <c r="H278">
        <v>-46.688091455800901</v>
      </c>
      <c r="I278" t="s">
        <v>66</v>
      </c>
    </row>
    <row r="279" spans="1:9" x14ac:dyDescent="0.35">
      <c r="A279" t="s">
        <v>18</v>
      </c>
      <c r="B279">
        <v>2040</v>
      </c>
      <c r="C279" t="s">
        <v>65</v>
      </c>
      <c r="D279" t="s">
        <v>46</v>
      </c>
      <c r="E279">
        <v>1.20926155821524</v>
      </c>
      <c r="F279">
        <v>1.20926155821524</v>
      </c>
      <c r="G279">
        <v>0</v>
      </c>
      <c r="H279">
        <v>0</v>
      </c>
      <c r="I279" t="s">
        <v>66</v>
      </c>
    </row>
    <row r="280" spans="1:9" x14ac:dyDescent="0.35">
      <c r="A280" t="s">
        <v>18</v>
      </c>
      <c r="B280">
        <v>2040</v>
      </c>
      <c r="C280" t="s">
        <v>65</v>
      </c>
      <c r="D280" t="s">
        <v>47</v>
      </c>
      <c r="E280">
        <v>3.7050828242630597E-2</v>
      </c>
      <c r="F280">
        <v>3.7050828242630597E-2</v>
      </c>
      <c r="G280">
        <v>0</v>
      </c>
      <c r="H280">
        <v>0</v>
      </c>
      <c r="I280" t="s">
        <v>66</v>
      </c>
    </row>
    <row r="281" spans="1:9" x14ac:dyDescent="0.35">
      <c r="A281" t="s">
        <v>18</v>
      </c>
      <c r="B281">
        <v>2040</v>
      </c>
      <c r="C281" t="s">
        <v>65</v>
      </c>
      <c r="D281" t="s">
        <v>48</v>
      </c>
      <c r="E281">
        <v>15.2984246495423</v>
      </c>
      <c r="F281">
        <v>15.2984246495423</v>
      </c>
      <c r="G281">
        <v>0</v>
      </c>
      <c r="H281">
        <v>0</v>
      </c>
      <c r="I281" t="s">
        <v>66</v>
      </c>
    </row>
    <row r="282" spans="1:9" x14ac:dyDescent="0.35">
      <c r="A282" t="s">
        <v>18</v>
      </c>
      <c r="B282">
        <v>2040</v>
      </c>
      <c r="C282" t="s">
        <v>65</v>
      </c>
      <c r="D282" t="s">
        <v>49</v>
      </c>
      <c r="E282">
        <v>0.20701106367908201</v>
      </c>
      <c r="F282">
        <v>0.10137723017498899</v>
      </c>
      <c r="G282">
        <v>-0.105633833504092</v>
      </c>
      <c r="H282">
        <v>-51.028110105192702</v>
      </c>
      <c r="I282" t="s">
        <v>66</v>
      </c>
    </row>
    <row r="283" spans="1:9" x14ac:dyDescent="0.35">
      <c r="A283" t="s">
        <v>18</v>
      </c>
      <c r="B283">
        <v>2040</v>
      </c>
      <c r="C283" t="s">
        <v>65</v>
      </c>
      <c r="D283" t="s">
        <v>50</v>
      </c>
      <c r="E283">
        <v>7.9039309205316294E-2</v>
      </c>
      <c r="F283">
        <v>7.9039309205316294E-2</v>
      </c>
      <c r="G283">
        <v>0</v>
      </c>
      <c r="H283">
        <v>0</v>
      </c>
      <c r="I283" t="s">
        <v>66</v>
      </c>
    </row>
    <row r="284" spans="1:9" x14ac:dyDescent="0.35">
      <c r="A284" t="s">
        <v>18</v>
      </c>
      <c r="B284">
        <v>2040</v>
      </c>
      <c r="C284" t="s">
        <v>65</v>
      </c>
      <c r="D284" t="s">
        <v>51</v>
      </c>
      <c r="E284">
        <v>1.23672394380967</v>
      </c>
      <c r="F284">
        <v>1.23672394380967</v>
      </c>
      <c r="G284">
        <v>0</v>
      </c>
      <c r="H284">
        <v>0</v>
      </c>
      <c r="I284" t="s">
        <v>66</v>
      </c>
    </row>
    <row r="285" spans="1:9" x14ac:dyDescent="0.35">
      <c r="A285" t="s">
        <v>18</v>
      </c>
      <c r="B285">
        <v>2040</v>
      </c>
      <c r="C285" t="s">
        <v>65</v>
      </c>
      <c r="D285" t="s">
        <v>52</v>
      </c>
      <c r="E285">
        <v>0.58227531683252298</v>
      </c>
      <c r="F285">
        <v>0.58227531683252298</v>
      </c>
      <c r="G285">
        <v>0</v>
      </c>
      <c r="H285">
        <v>0</v>
      </c>
      <c r="I285" t="s">
        <v>66</v>
      </c>
    </row>
    <row r="286" spans="1:9" x14ac:dyDescent="0.35">
      <c r="A286" t="s">
        <v>18</v>
      </c>
      <c r="B286">
        <v>2040</v>
      </c>
      <c r="C286" t="s">
        <v>65</v>
      </c>
      <c r="D286" t="s">
        <v>53</v>
      </c>
      <c r="E286">
        <v>8.56625507663429</v>
      </c>
      <c r="F286">
        <v>8.56625507663429</v>
      </c>
      <c r="G286">
        <v>0</v>
      </c>
      <c r="H286">
        <v>0</v>
      </c>
      <c r="I286" t="s">
        <v>66</v>
      </c>
    </row>
    <row r="287" spans="1:9" x14ac:dyDescent="0.35">
      <c r="A287" t="s">
        <v>18</v>
      </c>
      <c r="B287">
        <v>2040</v>
      </c>
      <c r="C287" t="s">
        <v>65</v>
      </c>
      <c r="D287" t="s">
        <v>54</v>
      </c>
      <c r="E287">
        <v>22.806769454412699</v>
      </c>
      <c r="F287">
        <v>22.806577303723898</v>
      </c>
      <c r="G287">
        <v>-1.9215068882516499E-4</v>
      </c>
      <c r="H287">
        <v>-8.4251603108123499E-4</v>
      </c>
      <c r="I287" t="s">
        <v>66</v>
      </c>
    </row>
    <row r="288" spans="1:9" x14ac:dyDescent="0.35">
      <c r="A288" t="s">
        <v>18</v>
      </c>
      <c r="B288">
        <v>2040</v>
      </c>
      <c r="C288" t="s">
        <v>65</v>
      </c>
      <c r="D288" t="s">
        <v>55</v>
      </c>
      <c r="E288">
        <v>24.467373087801199</v>
      </c>
      <c r="F288">
        <v>24.448468656891599</v>
      </c>
      <c r="G288">
        <v>-1.8904430909650199E-2</v>
      </c>
      <c r="H288">
        <v>-7.7263835565066899E-2</v>
      </c>
      <c r="I288" t="s">
        <v>66</v>
      </c>
    </row>
    <row r="289" spans="1:9" x14ac:dyDescent="0.35">
      <c r="A289" t="s">
        <v>18</v>
      </c>
      <c r="B289">
        <v>2040</v>
      </c>
      <c r="C289" t="s">
        <v>65</v>
      </c>
      <c r="D289" t="s">
        <v>56</v>
      </c>
      <c r="E289" s="1">
        <v>1.8799263064211699E-6</v>
      </c>
      <c r="F289" s="1">
        <v>1.8799263064211699E-6</v>
      </c>
      <c r="G289">
        <v>0</v>
      </c>
      <c r="H289">
        <v>0</v>
      </c>
      <c r="I289" t="s">
        <v>66</v>
      </c>
    </row>
    <row r="290" spans="1:9" x14ac:dyDescent="0.35">
      <c r="A290" t="s">
        <v>12</v>
      </c>
      <c r="B290">
        <v>2025</v>
      </c>
      <c r="C290" t="s">
        <v>76</v>
      </c>
      <c r="D290" t="s">
        <v>38</v>
      </c>
      <c r="E290">
        <v>1.19709732943567E-3</v>
      </c>
      <c r="F290">
        <v>1.19709732943567E-3</v>
      </c>
      <c r="G290">
        <v>0</v>
      </c>
      <c r="H290">
        <v>0</v>
      </c>
      <c r="I290" t="s">
        <v>77</v>
      </c>
    </row>
    <row r="291" spans="1:9" x14ac:dyDescent="0.35">
      <c r="A291" t="s">
        <v>12</v>
      </c>
      <c r="B291">
        <v>2025</v>
      </c>
      <c r="C291" t="s">
        <v>76</v>
      </c>
      <c r="D291" t="s">
        <v>40</v>
      </c>
      <c r="E291">
        <v>6.9109384647697103E-4</v>
      </c>
      <c r="F291">
        <v>6.9109384647697103E-4</v>
      </c>
      <c r="G291">
        <v>0</v>
      </c>
      <c r="H291">
        <v>0</v>
      </c>
      <c r="I291" t="s">
        <v>77</v>
      </c>
    </row>
    <row r="292" spans="1:9" x14ac:dyDescent="0.35">
      <c r="A292" t="s">
        <v>12</v>
      </c>
      <c r="B292">
        <v>2025</v>
      </c>
      <c r="C292" t="s">
        <v>76</v>
      </c>
      <c r="D292" t="s">
        <v>41</v>
      </c>
      <c r="E292">
        <v>9.2652739057443798E-3</v>
      </c>
      <c r="F292">
        <v>9.2652739057443798E-3</v>
      </c>
      <c r="G292">
        <v>0</v>
      </c>
      <c r="H292">
        <v>0</v>
      </c>
      <c r="I292" t="s">
        <v>77</v>
      </c>
    </row>
    <row r="293" spans="1:9" x14ac:dyDescent="0.35">
      <c r="A293" t="s">
        <v>12</v>
      </c>
      <c r="B293">
        <v>2025</v>
      </c>
      <c r="C293" t="s">
        <v>76</v>
      </c>
      <c r="D293" t="s">
        <v>42</v>
      </c>
      <c r="E293">
        <v>1.7284346028316899</v>
      </c>
      <c r="F293">
        <v>1.7284346028316899</v>
      </c>
      <c r="G293">
        <v>0</v>
      </c>
      <c r="H293">
        <v>0</v>
      </c>
      <c r="I293" t="s">
        <v>77</v>
      </c>
    </row>
    <row r="294" spans="1:9" x14ac:dyDescent="0.35">
      <c r="A294" t="s">
        <v>12</v>
      </c>
      <c r="B294">
        <v>2025</v>
      </c>
      <c r="C294" t="s">
        <v>76</v>
      </c>
      <c r="D294" t="s">
        <v>43</v>
      </c>
      <c r="E294">
        <v>8.1946920351893705E-3</v>
      </c>
      <c r="F294">
        <v>8.1946920351893705E-3</v>
      </c>
      <c r="G294">
        <v>0</v>
      </c>
      <c r="H294">
        <v>0</v>
      </c>
      <c r="I294" t="s">
        <v>77</v>
      </c>
    </row>
    <row r="295" spans="1:9" x14ac:dyDescent="0.35">
      <c r="A295" t="s">
        <v>12</v>
      </c>
      <c r="B295">
        <v>2025</v>
      </c>
      <c r="C295" t="s">
        <v>76</v>
      </c>
      <c r="D295" t="s">
        <v>136</v>
      </c>
      <c r="E295">
        <v>2.0673707814353399</v>
      </c>
      <c r="F295">
        <v>2.0673707814353399</v>
      </c>
      <c r="G295">
        <v>0</v>
      </c>
      <c r="H295">
        <v>0</v>
      </c>
      <c r="I295" t="s">
        <v>77</v>
      </c>
    </row>
    <row r="296" spans="1:9" x14ac:dyDescent="0.35">
      <c r="A296" t="s">
        <v>12</v>
      </c>
      <c r="B296">
        <v>2025</v>
      </c>
      <c r="C296" t="s">
        <v>76</v>
      </c>
      <c r="D296" t="s">
        <v>45</v>
      </c>
      <c r="E296">
        <v>5.8582625275555699E-3</v>
      </c>
      <c r="F296">
        <v>5.8582625275555699E-3</v>
      </c>
      <c r="G296">
        <v>0</v>
      </c>
      <c r="H296">
        <v>0</v>
      </c>
      <c r="I296" t="s">
        <v>77</v>
      </c>
    </row>
    <row r="297" spans="1:9" x14ac:dyDescent="0.35">
      <c r="A297" t="s">
        <v>12</v>
      </c>
      <c r="B297">
        <v>2025</v>
      </c>
      <c r="C297" t="s">
        <v>76</v>
      </c>
      <c r="D297" t="s">
        <v>46</v>
      </c>
      <c r="E297">
        <v>0.11143420641424</v>
      </c>
      <c r="F297">
        <v>0.11143420641424</v>
      </c>
      <c r="G297">
        <v>0</v>
      </c>
      <c r="H297">
        <v>0</v>
      </c>
      <c r="I297" t="s">
        <v>77</v>
      </c>
    </row>
    <row r="298" spans="1:9" x14ac:dyDescent="0.35">
      <c r="A298" t="s">
        <v>12</v>
      </c>
      <c r="B298">
        <v>2025</v>
      </c>
      <c r="C298" t="s">
        <v>76</v>
      </c>
      <c r="D298" t="s">
        <v>47</v>
      </c>
      <c r="E298">
        <v>1.94325959579443E-3</v>
      </c>
      <c r="F298">
        <v>1.94325959579443E-3</v>
      </c>
      <c r="G298">
        <v>0</v>
      </c>
      <c r="H298">
        <v>0</v>
      </c>
      <c r="I298" t="s">
        <v>77</v>
      </c>
    </row>
    <row r="299" spans="1:9" x14ac:dyDescent="0.35">
      <c r="A299" t="s">
        <v>12</v>
      </c>
      <c r="B299">
        <v>2025</v>
      </c>
      <c r="C299" t="s">
        <v>76</v>
      </c>
      <c r="D299" t="s">
        <v>48</v>
      </c>
      <c r="E299">
        <v>0.27177473208665698</v>
      </c>
      <c r="F299">
        <v>0.27177473208665698</v>
      </c>
      <c r="G299">
        <v>0</v>
      </c>
      <c r="H299">
        <v>0</v>
      </c>
      <c r="I299" t="s">
        <v>77</v>
      </c>
    </row>
    <row r="300" spans="1:9" x14ac:dyDescent="0.35">
      <c r="A300" t="s">
        <v>12</v>
      </c>
      <c r="B300">
        <v>2025</v>
      </c>
      <c r="C300" t="s">
        <v>76</v>
      </c>
      <c r="D300" t="s">
        <v>49</v>
      </c>
      <c r="E300">
        <v>1.48040772265921E-2</v>
      </c>
      <c r="F300">
        <v>1.48040772265921E-2</v>
      </c>
      <c r="G300">
        <v>0</v>
      </c>
      <c r="H300">
        <v>0</v>
      </c>
      <c r="I300" t="s">
        <v>77</v>
      </c>
    </row>
    <row r="301" spans="1:9" x14ac:dyDescent="0.35">
      <c r="A301" t="s">
        <v>12</v>
      </c>
      <c r="B301">
        <v>2025</v>
      </c>
      <c r="C301" t="s">
        <v>76</v>
      </c>
      <c r="D301" t="s">
        <v>50</v>
      </c>
      <c r="E301">
        <v>5.9910244880681598E-3</v>
      </c>
      <c r="F301">
        <v>5.9910244880681598E-3</v>
      </c>
      <c r="G301">
        <v>0</v>
      </c>
      <c r="H301">
        <v>0</v>
      </c>
      <c r="I301" t="s">
        <v>77</v>
      </c>
    </row>
    <row r="302" spans="1:9" x14ac:dyDescent="0.35">
      <c r="A302" t="s">
        <v>12</v>
      </c>
      <c r="B302">
        <v>2025</v>
      </c>
      <c r="C302" t="s">
        <v>76</v>
      </c>
      <c r="D302" t="s">
        <v>51</v>
      </c>
      <c r="E302">
        <v>0.168273370277368</v>
      </c>
      <c r="F302">
        <v>0.168273370277368</v>
      </c>
      <c r="G302">
        <v>0</v>
      </c>
      <c r="H302">
        <v>0</v>
      </c>
      <c r="I302" t="s">
        <v>77</v>
      </c>
    </row>
    <row r="303" spans="1:9" x14ac:dyDescent="0.35">
      <c r="A303" t="s">
        <v>12</v>
      </c>
      <c r="B303">
        <v>2025</v>
      </c>
      <c r="C303" t="s">
        <v>76</v>
      </c>
      <c r="D303" t="s">
        <v>52</v>
      </c>
      <c r="E303">
        <v>0.18043894648800801</v>
      </c>
      <c r="F303">
        <v>0.18043894648800801</v>
      </c>
      <c r="G303">
        <v>0</v>
      </c>
      <c r="H303">
        <v>0</v>
      </c>
      <c r="I303" t="s">
        <v>77</v>
      </c>
    </row>
    <row r="304" spans="1:9" x14ac:dyDescent="0.35">
      <c r="A304" t="s">
        <v>12</v>
      </c>
      <c r="B304">
        <v>2025</v>
      </c>
      <c r="C304" t="s">
        <v>76</v>
      </c>
      <c r="D304" t="s">
        <v>53</v>
      </c>
      <c r="E304">
        <v>0.62504225832594495</v>
      </c>
      <c r="F304">
        <v>0.62504225832594495</v>
      </c>
      <c r="G304">
        <v>0</v>
      </c>
      <c r="H304">
        <v>0</v>
      </c>
      <c r="I304" t="s">
        <v>77</v>
      </c>
    </row>
    <row r="305" spans="1:9" x14ac:dyDescent="0.35">
      <c r="A305" t="s">
        <v>12</v>
      </c>
      <c r="B305">
        <v>2025</v>
      </c>
      <c r="C305" t="s">
        <v>76</v>
      </c>
      <c r="D305" t="s">
        <v>54</v>
      </c>
      <c r="E305">
        <v>0.114292202027943</v>
      </c>
      <c r="F305">
        <v>0.114292202027943</v>
      </c>
      <c r="G305">
        <v>0</v>
      </c>
      <c r="H305">
        <v>0</v>
      </c>
      <c r="I305" t="s">
        <v>77</v>
      </c>
    </row>
    <row r="306" spans="1:9" x14ac:dyDescent="0.35">
      <c r="A306" t="s">
        <v>12</v>
      </c>
      <c r="B306">
        <v>2025</v>
      </c>
      <c r="C306" t="s">
        <v>76</v>
      </c>
      <c r="D306" t="s">
        <v>55</v>
      </c>
      <c r="E306">
        <v>0.10593071369370299</v>
      </c>
      <c r="F306">
        <v>0.10593071369370299</v>
      </c>
      <c r="G306">
        <v>0</v>
      </c>
      <c r="H306">
        <v>0</v>
      </c>
      <c r="I306" t="s">
        <v>77</v>
      </c>
    </row>
    <row r="307" spans="1:9" x14ac:dyDescent="0.35">
      <c r="A307" t="s">
        <v>12</v>
      </c>
      <c r="B307">
        <v>2025</v>
      </c>
      <c r="C307" t="s">
        <v>76</v>
      </c>
      <c r="D307" t="s">
        <v>56</v>
      </c>
      <c r="E307" s="1">
        <v>2.5020347413203201E-7</v>
      </c>
      <c r="F307" s="1">
        <v>2.5020347413203201E-7</v>
      </c>
      <c r="G307">
        <v>0</v>
      </c>
      <c r="H307">
        <v>0</v>
      </c>
      <c r="I307" t="s">
        <v>77</v>
      </c>
    </row>
    <row r="308" spans="1:9" x14ac:dyDescent="0.35">
      <c r="A308" t="s">
        <v>14</v>
      </c>
      <c r="B308">
        <v>2030</v>
      </c>
      <c r="C308" t="s">
        <v>76</v>
      </c>
      <c r="D308" t="s">
        <v>38</v>
      </c>
      <c r="E308">
        <v>1.2574605458230701E-3</v>
      </c>
      <c r="F308">
        <v>1.2574605458230701E-3</v>
      </c>
      <c r="G308">
        <v>0</v>
      </c>
      <c r="H308">
        <v>0</v>
      </c>
      <c r="I308" t="s">
        <v>77</v>
      </c>
    </row>
    <row r="309" spans="1:9" x14ac:dyDescent="0.35">
      <c r="A309" t="s">
        <v>14</v>
      </c>
      <c r="B309">
        <v>2030</v>
      </c>
      <c r="C309" t="s">
        <v>76</v>
      </c>
      <c r="D309" t="s">
        <v>40</v>
      </c>
      <c r="E309">
        <v>6.5489402767011603E-4</v>
      </c>
      <c r="F309">
        <v>6.5489402767011603E-4</v>
      </c>
      <c r="G309">
        <v>0</v>
      </c>
      <c r="H309">
        <v>0</v>
      </c>
      <c r="I309" t="s">
        <v>77</v>
      </c>
    </row>
    <row r="310" spans="1:9" x14ac:dyDescent="0.35">
      <c r="A310" t="s">
        <v>14</v>
      </c>
      <c r="B310">
        <v>2030</v>
      </c>
      <c r="C310" t="s">
        <v>76</v>
      </c>
      <c r="D310" t="s">
        <v>41</v>
      </c>
      <c r="E310">
        <v>8.8852072196963002E-3</v>
      </c>
      <c r="F310">
        <v>8.8852072196963002E-3</v>
      </c>
      <c r="G310">
        <v>0</v>
      </c>
      <c r="H310">
        <v>0</v>
      </c>
      <c r="I310" t="s">
        <v>77</v>
      </c>
    </row>
    <row r="311" spans="1:9" x14ac:dyDescent="0.35">
      <c r="A311" t="s">
        <v>14</v>
      </c>
      <c r="B311">
        <v>2030</v>
      </c>
      <c r="C311" t="s">
        <v>76</v>
      </c>
      <c r="D311" t="s">
        <v>42</v>
      </c>
      <c r="E311">
        <v>1.6807451969595499</v>
      </c>
      <c r="F311">
        <v>1.6807451969595499</v>
      </c>
      <c r="G311">
        <v>0</v>
      </c>
      <c r="H311">
        <v>0</v>
      </c>
      <c r="I311" t="s">
        <v>77</v>
      </c>
    </row>
    <row r="312" spans="1:9" x14ac:dyDescent="0.35">
      <c r="A312" t="s">
        <v>14</v>
      </c>
      <c r="B312">
        <v>2030</v>
      </c>
      <c r="C312" t="s">
        <v>76</v>
      </c>
      <c r="D312" t="s">
        <v>43</v>
      </c>
      <c r="E312">
        <v>8.0985430864053097E-3</v>
      </c>
      <c r="F312">
        <v>8.0985430864053097E-3</v>
      </c>
      <c r="G312">
        <v>0</v>
      </c>
      <c r="H312">
        <v>0</v>
      </c>
      <c r="I312" t="s">
        <v>77</v>
      </c>
    </row>
    <row r="313" spans="1:9" x14ac:dyDescent="0.35">
      <c r="A313" t="s">
        <v>14</v>
      </c>
      <c r="B313">
        <v>2030</v>
      </c>
      <c r="C313" t="s">
        <v>76</v>
      </c>
      <c r="D313" t="s">
        <v>136</v>
      </c>
      <c r="E313">
        <v>1.9344374295481599</v>
      </c>
      <c r="F313">
        <v>1.9344374295481599</v>
      </c>
      <c r="G313">
        <v>0</v>
      </c>
      <c r="H313">
        <v>0</v>
      </c>
      <c r="I313" t="s">
        <v>77</v>
      </c>
    </row>
    <row r="314" spans="1:9" x14ac:dyDescent="0.35">
      <c r="A314" t="s">
        <v>14</v>
      </c>
      <c r="B314">
        <v>2030</v>
      </c>
      <c r="C314" t="s">
        <v>76</v>
      </c>
      <c r="D314" t="s">
        <v>45</v>
      </c>
      <c r="E314">
        <v>5.4688844438852604E-3</v>
      </c>
      <c r="F314">
        <v>5.4688844438852604E-3</v>
      </c>
      <c r="G314">
        <v>0</v>
      </c>
      <c r="H314">
        <v>0</v>
      </c>
      <c r="I314" t="s">
        <v>77</v>
      </c>
    </row>
    <row r="315" spans="1:9" x14ac:dyDescent="0.35">
      <c r="A315" t="s">
        <v>14</v>
      </c>
      <c r="B315">
        <v>2030</v>
      </c>
      <c r="C315" t="s">
        <v>76</v>
      </c>
      <c r="D315" t="s">
        <v>46</v>
      </c>
      <c r="E315">
        <v>0.13130516003985801</v>
      </c>
      <c r="F315">
        <v>0.13130516003985801</v>
      </c>
      <c r="G315">
        <v>0</v>
      </c>
      <c r="H315">
        <v>0</v>
      </c>
      <c r="I315" t="s">
        <v>77</v>
      </c>
    </row>
    <row r="316" spans="1:9" x14ac:dyDescent="0.35">
      <c r="A316" t="s">
        <v>14</v>
      </c>
      <c r="B316">
        <v>2030</v>
      </c>
      <c r="C316" t="s">
        <v>76</v>
      </c>
      <c r="D316" t="s">
        <v>47</v>
      </c>
      <c r="E316">
        <v>1.8938859166481401E-3</v>
      </c>
      <c r="F316">
        <v>1.8938859166481401E-3</v>
      </c>
      <c r="G316">
        <v>0</v>
      </c>
      <c r="H316">
        <v>0</v>
      </c>
      <c r="I316" t="s">
        <v>77</v>
      </c>
    </row>
    <row r="317" spans="1:9" x14ac:dyDescent="0.35">
      <c r="A317" t="s">
        <v>14</v>
      </c>
      <c r="B317">
        <v>2030</v>
      </c>
      <c r="C317" t="s">
        <v>76</v>
      </c>
      <c r="D317" t="s">
        <v>48</v>
      </c>
      <c r="E317">
        <v>0.27095332729864102</v>
      </c>
      <c r="F317">
        <v>0.27095332729864102</v>
      </c>
      <c r="G317">
        <v>0</v>
      </c>
      <c r="H317">
        <v>0</v>
      </c>
      <c r="I317" t="s">
        <v>77</v>
      </c>
    </row>
    <row r="318" spans="1:9" x14ac:dyDescent="0.35">
      <c r="A318" t="s">
        <v>14</v>
      </c>
      <c r="B318">
        <v>2030</v>
      </c>
      <c r="C318" t="s">
        <v>76</v>
      </c>
      <c r="D318" t="s">
        <v>49</v>
      </c>
      <c r="E318">
        <v>1.4306302825269601E-2</v>
      </c>
      <c r="F318">
        <v>1.4306302825269601E-2</v>
      </c>
      <c r="G318">
        <v>0</v>
      </c>
      <c r="H318">
        <v>0</v>
      </c>
      <c r="I318" t="s">
        <v>77</v>
      </c>
    </row>
    <row r="319" spans="1:9" x14ac:dyDescent="0.35">
      <c r="A319" t="s">
        <v>14</v>
      </c>
      <c r="B319">
        <v>2030</v>
      </c>
      <c r="C319" t="s">
        <v>76</v>
      </c>
      <c r="D319" t="s">
        <v>50</v>
      </c>
      <c r="E319">
        <v>6.0993765766221304E-3</v>
      </c>
      <c r="F319">
        <v>6.0993765766221304E-3</v>
      </c>
      <c r="G319">
        <v>0</v>
      </c>
      <c r="H319">
        <v>0</v>
      </c>
      <c r="I319" t="s">
        <v>77</v>
      </c>
    </row>
    <row r="320" spans="1:9" x14ac:dyDescent="0.35">
      <c r="A320" t="s">
        <v>14</v>
      </c>
      <c r="B320">
        <v>2030</v>
      </c>
      <c r="C320" t="s">
        <v>76</v>
      </c>
      <c r="D320" t="s">
        <v>51</v>
      </c>
      <c r="E320">
        <v>0.168369897205811</v>
      </c>
      <c r="F320">
        <v>0.168369897205811</v>
      </c>
      <c r="G320">
        <v>0</v>
      </c>
      <c r="H320">
        <v>0</v>
      </c>
      <c r="I320" t="s">
        <v>77</v>
      </c>
    </row>
    <row r="321" spans="1:9" x14ac:dyDescent="0.35">
      <c r="A321" t="s">
        <v>14</v>
      </c>
      <c r="B321">
        <v>2030</v>
      </c>
      <c r="C321" t="s">
        <v>76</v>
      </c>
      <c r="D321" t="s">
        <v>52</v>
      </c>
      <c r="E321">
        <v>0.160486525320749</v>
      </c>
      <c r="F321">
        <v>0.160486525320749</v>
      </c>
      <c r="G321">
        <v>0</v>
      </c>
      <c r="H321">
        <v>0</v>
      </c>
      <c r="I321" t="s">
        <v>77</v>
      </c>
    </row>
    <row r="322" spans="1:9" x14ac:dyDescent="0.35">
      <c r="A322" t="s">
        <v>14</v>
      </c>
      <c r="B322">
        <v>2030</v>
      </c>
      <c r="C322" t="s">
        <v>76</v>
      </c>
      <c r="D322" t="s">
        <v>53</v>
      </c>
      <c r="E322">
        <v>0.5837818329776</v>
      </c>
      <c r="F322">
        <v>0.5837818329776</v>
      </c>
      <c r="G322">
        <v>0</v>
      </c>
      <c r="H322">
        <v>0</v>
      </c>
      <c r="I322" t="s">
        <v>77</v>
      </c>
    </row>
    <row r="323" spans="1:9" x14ac:dyDescent="0.35">
      <c r="A323" t="s">
        <v>14</v>
      </c>
      <c r="B323">
        <v>2030</v>
      </c>
      <c r="C323" t="s">
        <v>76</v>
      </c>
      <c r="D323" t="s">
        <v>54</v>
      </c>
      <c r="E323">
        <v>0.115242330877391</v>
      </c>
      <c r="F323">
        <v>0.115242330877391</v>
      </c>
      <c r="G323">
        <v>0</v>
      </c>
      <c r="H323">
        <v>0</v>
      </c>
      <c r="I323" t="s">
        <v>77</v>
      </c>
    </row>
    <row r="324" spans="1:9" x14ac:dyDescent="0.35">
      <c r="A324" t="s">
        <v>14</v>
      </c>
      <c r="B324">
        <v>2030</v>
      </c>
      <c r="C324" t="s">
        <v>76</v>
      </c>
      <c r="D324" t="s">
        <v>55</v>
      </c>
      <c r="E324">
        <v>0.106450282249352</v>
      </c>
      <c r="F324">
        <v>0.106450282249352</v>
      </c>
      <c r="G324">
        <v>0</v>
      </c>
      <c r="H324">
        <v>0</v>
      </c>
      <c r="I324" t="s">
        <v>77</v>
      </c>
    </row>
    <row r="325" spans="1:9" x14ac:dyDescent="0.35">
      <c r="A325" t="s">
        <v>14</v>
      </c>
      <c r="B325">
        <v>2030</v>
      </c>
      <c r="C325" t="s">
        <v>76</v>
      </c>
      <c r="D325" t="s">
        <v>56</v>
      </c>
      <c r="E325" s="1">
        <v>2.2486950586443101E-7</v>
      </c>
      <c r="F325" s="1">
        <v>2.2486950586443101E-7</v>
      </c>
      <c r="G325">
        <v>0</v>
      </c>
      <c r="H325">
        <v>0</v>
      </c>
      <c r="I325" t="s">
        <v>77</v>
      </c>
    </row>
    <row r="326" spans="1:9" x14ac:dyDescent="0.35">
      <c r="A326" t="s">
        <v>16</v>
      </c>
      <c r="B326">
        <v>2035</v>
      </c>
      <c r="C326" t="s">
        <v>76</v>
      </c>
      <c r="D326" t="s">
        <v>38</v>
      </c>
      <c r="E326">
        <v>1.64900746540458E-3</v>
      </c>
      <c r="F326">
        <v>1.64900746540458E-3</v>
      </c>
      <c r="G326">
        <v>0</v>
      </c>
      <c r="H326">
        <v>0</v>
      </c>
      <c r="I326" t="s">
        <v>77</v>
      </c>
    </row>
    <row r="327" spans="1:9" x14ac:dyDescent="0.35">
      <c r="A327" t="s">
        <v>16</v>
      </c>
      <c r="B327">
        <v>2035</v>
      </c>
      <c r="C327" t="s">
        <v>76</v>
      </c>
      <c r="D327" t="s">
        <v>40</v>
      </c>
      <c r="E327">
        <v>6.23105278759319E-4</v>
      </c>
      <c r="F327">
        <v>6.23105278759319E-4</v>
      </c>
      <c r="G327">
        <v>0</v>
      </c>
      <c r="H327">
        <v>0</v>
      </c>
      <c r="I327" t="s">
        <v>77</v>
      </c>
    </row>
    <row r="328" spans="1:9" x14ac:dyDescent="0.35">
      <c r="A328" t="s">
        <v>16</v>
      </c>
      <c r="B328">
        <v>2035</v>
      </c>
      <c r="C328" t="s">
        <v>76</v>
      </c>
      <c r="D328" t="s">
        <v>41</v>
      </c>
      <c r="E328">
        <v>8.6751245620322603E-3</v>
      </c>
      <c r="F328">
        <v>8.6751245620322603E-3</v>
      </c>
      <c r="G328">
        <v>0</v>
      </c>
      <c r="H328">
        <v>0</v>
      </c>
      <c r="I328" t="s">
        <v>77</v>
      </c>
    </row>
    <row r="329" spans="1:9" x14ac:dyDescent="0.35">
      <c r="A329" t="s">
        <v>16</v>
      </c>
      <c r="B329">
        <v>2035</v>
      </c>
      <c r="C329" t="s">
        <v>76</v>
      </c>
      <c r="D329" t="s">
        <v>42</v>
      </c>
      <c r="E329">
        <v>1.6701040546116099</v>
      </c>
      <c r="F329">
        <v>1.6701040546116099</v>
      </c>
      <c r="G329">
        <v>0</v>
      </c>
      <c r="H329">
        <v>0</v>
      </c>
      <c r="I329" t="s">
        <v>77</v>
      </c>
    </row>
    <row r="330" spans="1:9" x14ac:dyDescent="0.35">
      <c r="A330" t="s">
        <v>16</v>
      </c>
      <c r="B330">
        <v>2035</v>
      </c>
      <c r="C330" t="s">
        <v>76</v>
      </c>
      <c r="D330" t="s">
        <v>43</v>
      </c>
      <c r="E330">
        <v>8.1291144421763006E-3</v>
      </c>
      <c r="F330">
        <v>8.1291144421763006E-3</v>
      </c>
      <c r="G330">
        <v>0</v>
      </c>
      <c r="H330">
        <v>0</v>
      </c>
      <c r="I330" t="s">
        <v>77</v>
      </c>
    </row>
    <row r="331" spans="1:9" x14ac:dyDescent="0.35">
      <c r="A331" t="s">
        <v>16</v>
      </c>
      <c r="B331">
        <v>2035</v>
      </c>
      <c r="C331" t="s">
        <v>76</v>
      </c>
      <c r="D331" t="s">
        <v>136</v>
      </c>
      <c r="E331">
        <v>1.85314677029917</v>
      </c>
      <c r="F331">
        <v>1.85314677029917</v>
      </c>
      <c r="G331">
        <v>0</v>
      </c>
      <c r="H331">
        <v>0</v>
      </c>
      <c r="I331" t="s">
        <v>77</v>
      </c>
    </row>
    <row r="332" spans="1:9" x14ac:dyDescent="0.35">
      <c r="A332" t="s">
        <v>16</v>
      </c>
      <c r="B332">
        <v>2035</v>
      </c>
      <c r="C332" t="s">
        <v>76</v>
      </c>
      <c r="D332" t="s">
        <v>45</v>
      </c>
      <c r="E332">
        <v>5.22016078299608E-3</v>
      </c>
      <c r="F332">
        <v>5.22016078299608E-3</v>
      </c>
      <c r="G332">
        <v>0</v>
      </c>
      <c r="H332">
        <v>0</v>
      </c>
      <c r="I332" t="s">
        <v>77</v>
      </c>
    </row>
    <row r="333" spans="1:9" x14ac:dyDescent="0.35">
      <c r="A333" t="s">
        <v>16</v>
      </c>
      <c r="B333">
        <v>2035</v>
      </c>
      <c r="C333" t="s">
        <v>76</v>
      </c>
      <c r="D333" t="s">
        <v>46</v>
      </c>
      <c r="E333">
        <v>0.18699809222549099</v>
      </c>
      <c r="F333">
        <v>0.18699809222549099</v>
      </c>
      <c r="G333">
        <v>0</v>
      </c>
      <c r="H333">
        <v>0</v>
      </c>
      <c r="I333" t="s">
        <v>77</v>
      </c>
    </row>
    <row r="334" spans="1:9" x14ac:dyDescent="0.35">
      <c r="A334" t="s">
        <v>16</v>
      </c>
      <c r="B334">
        <v>2035</v>
      </c>
      <c r="C334" t="s">
        <v>76</v>
      </c>
      <c r="D334" t="s">
        <v>47</v>
      </c>
      <c r="E334">
        <v>1.87402597053506E-3</v>
      </c>
      <c r="F334">
        <v>1.87402597053506E-3</v>
      </c>
      <c r="G334">
        <v>0</v>
      </c>
      <c r="H334">
        <v>0</v>
      </c>
      <c r="I334" t="s">
        <v>77</v>
      </c>
    </row>
    <row r="335" spans="1:9" x14ac:dyDescent="0.35">
      <c r="A335" t="s">
        <v>16</v>
      </c>
      <c r="B335">
        <v>2035</v>
      </c>
      <c r="C335" t="s">
        <v>76</v>
      </c>
      <c r="D335" t="s">
        <v>48</v>
      </c>
      <c r="E335">
        <v>0.27281618188359702</v>
      </c>
      <c r="F335">
        <v>0.27281618188359702</v>
      </c>
      <c r="G335">
        <v>0</v>
      </c>
      <c r="H335">
        <v>0</v>
      </c>
      <c r="I335" t="s">
        <v>77</v>
      </c>
    </row>
    <row r="336" spans="1:9" x14ac:dyDescent="0.35">
      <c r="A336" t="s">
        <v>16</v>
      </c>
      <c r="B336">
        <v>2035</v>
      </c>
      <c r="C336" t="s">
        <v>76</v>
      </c>
      <c r="D336" t="s">
        <v>49</v>
      </c>
      <c r="E336">
        <v>1.41243869021076E-2</v>
      </c>
      <c r="F336">
        <v>1.41243869021076E-2</v>
      </c>
      <c r="G336">
        <v>0</v>
      </c>
      <c r="H336">
        <v>0</v>
      </c>
      <c r="I336" t="s">
        <v>77</v>
      </c>
    </row>
    <row r="337" spans="1:9" x14ac:dyDescent="0.35">
      <c r="A337" t="s">
        <v>16</v>
      </c>
      <c r="B337">
        <v>2035</v>
      </c>
      <c r="C337" t="s">
        <v>76</v>
      </c>
      <c r="D337" t="s">
        <v>50</v>
      </c>
      <c r="E337">
        <v>7.46303410630819E-3</v>
      </c>
      <c r="F337">
        <v>7.46303410630819E-3</v>
      </c>
      <c r="G337">
        <v>0</v>
      </c>
      <c r="H337">
        <v>0</v>
      </c>
      <c r="I337" t="s">
        <v>77</v>
      </c>
    </row>
    <row r="338" spans="1:9" x14ac:dyDescent="0.35">
      <c r="A338" t="s">
        <v>16</v>
      </c>
      <c r="B338">
        <v>2035</v>
      </c>
      <c r="C338" t="s">
        <v>76</v>
      </c>
      <c r="D338" t="s">
        <v>51</v>
      </c>
      <c r="E338">
        <v>0.169751022971282</v>
      </c>
      <c r="F338">
        <v>0.169751022971282</v>
      </c>
      <c r="G338">
        <v>0</v>
      </c>
      <c r="H338">
        <v>0</v>
      </c>
      <c r="I338" t="s">
        <v>77</v>
      </c>
    </row>
    <row r="339" spans="1:9" x14ac:dyDescent="0.35">
      <c r="A339" t="s">
        <v>16</v>
      </c>
      <c r="B339">
        <v>2035</v>
      </c>
      <c r="C339" t="s">
        <v>76</v>
      </c>
      <c r="D339" t="s">
        <v>52</v>
      </c>
      <c r="E339">
        <v>0.13988316514714899</v>
      </c>
      <c r="F339">
        <v>0.13988316514714899</v>
      </c>
      <c r="G339">
        <v>0</v>
      </c>
      <c r="H339">
        <v>0</v>
      </c>
      <c r="I339" t="s">
        <v>77</v>
      </c>
    </row>
    <row r="340" spans="1:9" x14ac:dyDescent="0.35">
      <c r="A340" t="s">
        <v>16</v>
      </c>
      <c r="B340">
        <v>2035</v>
      </c>
      <c r="C340" t="s">
        <v>76</v>
      </c>
      <c r="D340" t="s">
        <v>53</v>
      </c>
      <c r="E340">
        <v>0.55670918379240997</v>
      </c>
      <c r="F340">
        <v>0.55670918379240997</v>
      </c>
      <c r="G340">
        <v>0</v>
      </c>
      <c r="H340">
        <v>0</v>
      </c>
      <c r="I340" t="s">
        <v>77</v>
      </c>
    </row>
    <row r="341" spans="1:9" x14ac:dyDescent="0.35">
      <c r="A341" t="s">
        <v>16</v>
      </c>
      <c r="B341">
        <v>2035</v>
      </c>
      <c r="C341" t="s">
        <v>76</v>
      </c>
      <c r="D341" t="s">
        <v>54</v>
      </c>
      <c r="E341">
        <v>0.117129523641432</v>
      </c>
      <c r="F341">
        <v>0.117129523641432</v>
      </c>
      <c r="G341">
        <v>0</v>
      </c>
      <c r="H341">
        <v>0</v>
      </c>
      <c r="I341" t="s">
        <v>77</v>
      </c>
    </row>
    <row r="342" spans="1:9" x14ac:dyDescent="0.35">
      <c r="A342" t="s">
        <v>16</v>
      </c>
      <c r="B342">
        <v>2035</v>
      </c>
      <c r="C342" t="s">
        <v>76</v>
      </c>
      <c r="D342" t="s">
        <v>55</v>
      </c>
      <c r="E342">
        <v>0.10799050379038801</v>
      </c>
      <c r="F342">
        <v>0.10799050379038801</v>
      </c>
      <c r="G342">
        <v>0</v>
      </c>
      <c r="H342">
        <v>0</v>
      </c>
      <c r="I342" t="s">
        <v>77</v>
      </c>
    </row>
    <row r="343" spans="1:9" x14ac:dyDescent="0.35">
      <c r="A343" t="s">
        <v>16</v>
      </c>
      <c r="B343">
        <v>2035</v>
      </c>
      <c r="C343" t="s">
        <v>76</v>
      </c>
      <c r="D343" t="s">
        <v>56</v>
      </c>
      <c r="E343" s="1">
        <v>2.0971774876849199E-7</v>
      </c>
      <c r="F343" s="1">
        <v>2.0971774876849199E-7</v>
      </c>
      <c r="G343">
        <v>0</v>
      </c>
      <c r="H343">
        <v>0</v>
      </c>
      <c r="I343" t="s">
        <v>77</v>
      </c>
    </row>
    <row r="344" spans="1:9" x14ac:dyDescent="0.35">
      <c r="A344" t="s">
        <v>18</v>
      </c>
      <c r="B344">
        <v>2040</v>
      </c>
      <c r="C344" t="s">
        <v>76</v>
      </c>
      <c r="D344" t="s">
        <v>38</v>
      </c>
      <c r="E344">
        <v>2.2554537386138E-3</v>
      </c>
      <c r="F344">
        <v>2.2554537386138E-3</v>
      </c>
      <c r="G344">
        <v>0</v>
      </c>
      <c r="H344">
        <v>0</v>
      </c>
      <c r="I344" t="s">
        <v>77</v>
      </c>
    </row>
    <row r="345" spans="1:9" x14ac:dyDescent="0.35">
      <c r="A345" t="s">
        <v>18</v>
      </c>
      <c r="B345">
        <v>2040</v>
      </c>
      <c r="C345" t="s">
        <v>76</v>
      </c>
      <c r="D345" t="s">
        <v>40</v>
      </c>
      <c r="E345">
        <v>5.9106509042762502E-4</v>
      </c>
      <c r="F345">
        <v>5.9106509042762502E-4</v>
      </c>
      <c r="G345">
        <v>0</v>
      </c>
      <c r="H345">
        <v>0</v>
      </c>
      <c r="I345" t="s">
        <v>77</v>
      </c>
    </row>
    <row r="346" spans="1:9" x14ac:dyDescent="0.35">
      <c r="A346" t="s">
        <v>18</v>
      </c>
      <c r="B346">
        <v>2040</v>
      </c>
      <c r="C346" t="s">
        <v>76</v>
      </c>
      <c r="D346" t="s">
        <v>41</v>
      </c>
      <c r="E346">
        <v>8.5833113229422092E-3</v>
      </c>
      <c r="F346">
        <v>8.5833113229422092E-3</v>
      </c>
      <c r="G346">
        <v>0</v>
      </c>
      <c r="H346">
        <v>0</v>
      </c>
      <c r="I346" t="s">
        <v>77</v>
      </c>
    </row>
    <row r="347" spans="1:9" x14ac:dyDescent="0.35">
      <c r="A347" t="s">
        <v>18</v>
      </c>
      <c r="B347">
        <v>2040</v>
      </c>
      <c r="C347" t="s">
        <v>76</v>
      </c>
      <c r="D347" t="s">
        <v>42</v>
      </c>
      <c r="E347">
        <v>1.6940655513591301</v>
      </c>
      <c r="F347">
        <v>1.6940655513591301</v>
      </c>
      <c r="G347">
        <v>0</v>
      </c>
      <c r="H347">
        <v>0</v>
      </c>
      <c r="I347" t="s">
        <v>77</v>
      </c>
    </row>
    <row r="348" spans="1:9" x14ac:dyDescent="0.35">
      <c r="A348" t="s">
        <v>18</v>
      </c>
      <c r="B348">
        <v>2040</v>
      </c>
      <c r="C348" t="s">
        <v>76</v>
      </c>
      <c r="D348" t="s">
        <v>43</v>
      </c>
      <c r="E348">
        <v>8.2432607093941707E-3</v>
      </c>
      <c r="F348">
        <v>8.2432607093941707E-3</v>
      </c>
      <c r="G348">
        <v>0</v>
      </c>
      <c r="H348">
        <v>0</v>
      </c>
      <c r="I348" t="s">
        <v>77</v>
      </c>
    </row>
    <row r="349" spans="1:9" x14ac:dyDescent="0.35">
      <c r="A349" t="s">
        <v>18</v>
      </c>
      <c r="B349">
        <v>2040</v>
      </c>
      <c r="C349" t="s">
        <v>76</v>
      </c>
      <c r="D349" t="s">
        <v>136</v>
      </c>
      <c r="E349">
        <v>1.8222458388548499</v>
      </c>
      <c r="F349">
        <v>1.8222458388548499</v>
      </c>
      <c r="G349">
        <v>0</v>
      </c>
      <c r="H349">
        <v>0</v>
      </c>
      <c r="I349" t="s">
        <v>77</v>
      </c>
    </row>
    <row r="350" spans="1:9" x14ac:dyDescent="0.35">
      <c r="A350" t="s">
        <v>18</v>
      </c>
      <c r="B350">
        <v>2040</v>
      </c>
      <c r="C350" t="s">
        <v>76</v>
      </c>
      <c r="D350" t="s">
        <v>45</v>
      </c>
      <c r="E350">
        <v>5.15257514176837E-3</v>
      </c>
      <c r="F350">
        <v>5.15257514176837E-3</v>
      </c>
      <c r="G350">
        <v>0</v>
      </c>
      <c r="H350">
        <v>0</v>
      </c>
      <c r="I350" t="s">
        <v>77</v>
      </c>
    </row>
    <row r="351" spans="1:9" x14ac:dyDescent="0.35">
      <c r="A351" t="s">
        <v>18</v>
      </c>
      <c r="B351">
        <v>2040</v>
      </c>
      <c r="C351" t="s">
        <v>76</v>
      </c>
      <c r="D351" t="s">
        <v>46</v>
      </c>
      <c r="E351">
        <v>0.26406343925463099</v>
      </c>
      <c r="F351">
        <v>0.26406343925463099</v>
      </c>
      <c r="G351">
        <v>0</v>
      </c>
      <c r="H351">
        <v>0</v>
      </c>
      <c r="I351" t="s">
        <v>77</v>
      </c>
    </row>
    <row r="352" spans="1:9" x14ac:dyDescent="0.35">
      <c r="A352" t="s">
        <v>18</v>
      </c>
      <c r="B352">
        <v>2040</v>
      </c>
      <c r="C352" t="s">
        <v>76</v>
      </c>
      <c r="D352" t="s">
        <v>47</v>
      </c>
      <c r="E352">
        <v>1.8997792362314601E-3</v>
      </c>
      <c r="F352">
        <v>1.8997792362314601E-3</v>
      </c>
      <c r="G352">
        <v>0</v>
      </c>
      <c r="H352">
        <v>0</v>
      </c>
      <c r="I352" t="s">
        <v>77</v>
      </c>
    </row>
    <row r="353" spans="1:9" x14ac:dyDescent="0.35">
      <c r="A353" t="s">
        <v>18</v>
      </c>
      <c r="B353">
        <v>2040</v>
      </c>
      <c r="C353" t="s">
        <v>76</v>
      </c>
      <c r="D353" t="s">
        <v>48</v>
      </c>
      <c r="E353">
        <v>0.27935581584339703</v>
      </c>
      <c r="F353">
        <v>0.27935581584339703</v>
      </c>
      <c r="G353">
        <v>0</v>
      </c>
      <c r="H353">
        <v>0</v>
      </c>
      <c r="I353" t="s">
        <v>77</v>
      </c>
    </row>
    <row r="354" spans="1:9" x14ac:dyDescent="0.35">
      <c r="A354" t="s">
        <v>18</v>
      </c>
      <c r="B354">
        <v>2040</v>
      </c>
      <c r="C354" t="s">
        <v>76</v>
      </c>
      <c r="D354" t="s">
        <v>49</v>
      </c>
      <c r="E354">
        <v>1.42017941794633E-2</v>
      </c>
      <c r="F354">
        <v>1.42017941794633E-2</v>
      </c>
      <c r="G354">
        <v>0</v>
      </c>
      <c r="H354">
        <v>0</v>
      </c>
      <c r="I354" t="s">
        <v>77</v>
      </c>
    </row>
    <row r="355" spans="1:9" x14ac:dyDescent="0.35">
      <c r="A355" t="s">
        <v>18</v>
      </c>
      <c r="B355">
        <v>2040</v>
      </c>
      <c r="C355" t="s">
        <v>76</v>
      </c>
      <c r="D355" t="s">
        <v>50</v>
      </c>
      <c r="E355">
        <v>9.5909625889576307E-3</v>
      </c>
      <c r="F355">
        <v>9.5909625889576307E-3</v>
      </c>
      <c r="G355">
        <v>0</v>
      </c>
      <c r="H355">
        <v>0</v>
      </c>
      <c r="I355" t="s">
        <v>77</v>
      </c>
    </row>
    <row r="356" spans="1:9" x14ac:dyDescent="0.35">
      <c r="A356" t="s">
        <v>18</v>
      </c>
      <c r="B356">
        <v>2040</v>
      </c>
      <c r="C356" t="s">
        <v>76</v>
      </c>
      <c r="D356" t="s">
        <v>51</v>
      </c>
      <c r="E356">
        <v>0.171908619913928</v>
      </c>
      <c r="F356">
        <v>0.171908619913928</v>
      </c>
      <c r="G356">
        <v>0</v>
      </c>
      <c r="H356">
        <v>0</v>
      </c>
      <c r="I356" t="s">
        <v>77</v>
      </c>
    </row>
    <row r="357" spans="1:9" x14ac:dyDescent="0.35">
      <c r="A357" t="s">
        <v>18</v>
      </c>
      <c r="B357">
        <v>2040</v>
      </c>
      <c r="C357" t="s">
        <v>76</v>
      </c>
      <c r="D357" t="s">
        <v>52</v>
      </c>
      <c r="E357">
        <v>0.120846294957238</v>
      </c>
      <c r="F357">
        <v>0.120846294957238</v>
      </c>
      <c r="G357">
        <v>0</v>
      </c>
      <c r="H357">
        <v>0</v>
      </c>
      <c r="I357" t="s">
        <v>77</v>
      </c>
    </row>
    <row r="358" spans="1:9" x14ac:dyDescent="0.35">
      <c r="A358" t="s">
        <v>18</v>
      </c>
      <c r="B358">
        <v>2040</v>
      </c>
      <c r="C358" t="s">
        <v>76</v>
      </c>
      <c r="D358" t="s">
        <v>53</v>
      </c>
      <c r="E358">
        <v>0.54162744308977595</v>
      </c>
      <c r="F358">
        <v>0.54162744308977595</v>
      </c>
      <c r="G358">
        <v>0</v>
      </c>
      <c r="H358">
        <v>0</v>
      </c>
      <c r="I358" t="s">
        <v>77</v>
      </c>
    </row>
    <row r="359" spans="1:9" x14ac:dyDescent="0.35">
      <c r="A359" t="s">
        <v>18</v>
      </c>
      <c r="B359">
        <v>2040</v>
      </c>
      <c r="C359" t="s">
        <v>76</v>
      </c>
      <c r="D359" t="s">
        <v>54</v>
      </c>
      <c r="E359">
        <v>0.120386361924326</v>
      </c>
      <c r="F359">
        <v>0.120386361924326</v>
      </c>
      <c r="G359">
        <v>0</v>
      </c>
      <c r="H359">
        <v>0</v>
      </c>
      <c r="I359" t="s">
        <v>77</v>
      </c>
    </row>
    <row r="360" spans="1:9" x14ac:dyDescent="0.35">
      <c r="A360" t="s">
        <v>18</v>
      </c>
      <c r="B360">
        <v>2040</v>
      </c>
      <c r="C360" t="s">
        <v>76</v>
      </c>
      <c r="D360" t="s">
        <v>55</v>
      </c>
      <c r="E360">
        <v>0.110774813778484</v>
      </c>
      <c r="F360">
        <v>0.110774813778484</v>
      </c>
      <c r="G360">
        <v>0</v>
      </c>
      <c r="H360">
        <v>0</v>
      </c>
      <c r="I360" t="s">
        <v>77</v>
      </c>
    </row>
    <row r="361" spans="1:9" x14ac:dyDescent="0.35">
      <c r="A361" t="s">
        <v>18</v>
      </c>
      <c r="B361">
        <v>2040</v>
      </c>
      <c r="C361" t="s">
        <v>76</v>
      </c>
      <c r="D361" t="s">
        <v>56</v>
      </c>
      <c r="E361" s="1">
        <v>2.00105320824805E-7</v>
      </c>
      <c r="F361" s="1">
        <v>2.00105320824805E-7</v>
      </c>
      <c r="G361">
        <v>0</v>
      </c>
      <c r="H361">
        <v>0</v>
      </c>
      <c r="I361" t="s">
        <v>77</v>
      </c>
    </row>
    <row r="362" spans="1:9" x14ac:dyDescent="0.35">
      <c r="A362" t="s">
        <v>12</v>
      </c>
      <c r="B362">
        <v>2025</v>
      </c>
      <c r="C362" t="s">
        <v>83</v>
      </c>
      <c r="D362" t="s">
        <v>38</v>
      </c>
      <c r="E362">
        <v>3.0703576432933099E-4</v>
      </c>
      <c r="F362">
        <v>3.0703576432933099E-4</v>
      </c>
      <c r="G362">
        <v>0</v>
      </c>
      <c r="H362">
        <v>0</v>
      </c>
      <c r="I362" t="s">
        <v>84</v>
      </c>
    </row>
    <row r="363" spans="1:9" x14ac:dyDescent="0.35">
      <c r="A363" t="s">
        <v>12</v>
      </c>
      <c r="B363">
        <v>2025</v>
      </c>
      <c r="C363" t="s">
        <v>83</v>
      </c>
      <c r="D363" t="s">
        <v>40</v>
      </c>
      <c r="E363">
        <v>2.5443913507032598E-4</v>
      </c>
      <c r="F363">
        <v>2.5443913507032598E-4</v>
      </c>
      <c r="G363">
        <v>0</v>
      </c>
      <c r="H363">
        <v>0</v>
      </c>
      <c r="I363" t="s">
        <v>84</v>
      </c>
    </row>
    <row r="364" spans="1:9" x14ac:dyDescent="0.35">
      <c r="A364" t="s">
        <v>12</v>
      </c>
      <c r="B364">
        <v>2025</v>
      </c>
      <c r="C364" t="s">
        <v>83</v>
      </c>
      <c r="D364" t="s">
        <v>41</v>
      </c>
      <c r="E364">
        <v>2.6928095158616199E-3</v>
      </c>
      <c r="F364">
        <v>2.6928095158616199E-3</v>
      </c>
      <c r="G364">
        <v>0</v>
      </c>
      <c r="H364">
        <v>0</v>
      </c>
      <c r="I364" t="s">
        <v>84</v>
      </c>
    </row>
    <row r="365" spans="1:9" x14ac:dyDescent="0.35">
      <c r="A365" t="s">
        <v>12</v>
      </c>
      <c r="B365">
        <v>2025</v>
      </c>
      <c r="C365" t="s">
        <v>83</v>
      </c>
      <c r="D365" t="s">
        <v>42</v>
      </c>
      <c r="E365">
        <v>2.2003447303054302</v>
      </c>
      <c r="F365">
        <v>2.2003447303054302</v>
      </c>
      <c r="G365">
        <v>0</v>
      </c>
      <c r="H365">
        <v>0</v>
      </c>
      <c r="I365" t="s">
        <v>84</v>
      </c>
    </row>
    <row r="366" spans="1:9" x14ac:dyDescent="0.35">
      <c r="A366" t="s">
        <v>12</v>
      </c>
      <c r="B366">
        <v>2025</v>
      </c>
      <c r="C366" t="s">
        <v>83</v>
      </c>
      <c r="D366" t="s">
        <v>43</v>
      </c>
      <c r="E366">
        <v>8.0616150989705005E-4</v>
      </c>
      <c r="F366">
        <v>8.0616150989705005E-4</v>
      </c>
      <c r="G366">
        <v>0</v>
      </c>
      <c r="H366">
        <v>0</v>
      </c>
      <c r="I366" t="s">
        <v>84</v>
      </c>
    </row>
    <row r="367" spans="1:9" x14ac:dyDescent="0.35">
      <c r="A367" t="s">
        <v>12</v>
      </c>
      <c r="B367">
        <v>2025</v>
      </c>
      <c r="C367" t="s">
        <v>83</v>
      </c>
      <c r="D367" t="s">
        <v>136</v>
      </c>
      <c r="E367">
        <v>0.909084267769114</v>
      </c>
      <c r="F367">
        <v>0.909084267769114</v>
      </c>
      <c r="G367">
        <v>0</v>
      </c>
      <c r="H367">
        <v>0</v>
      </c>
      <c r="I367" t="s">
        <v>84</v>
      </c>
    </row>
    <row r="368" spans="1:9" x14ac:dyDescent="0.35">
      <c r="A368" t="s">
        <v>12</v>
      </c>
      <c r="B368">
        <v>2025</v>
      </c>
      <c r="C368" t="s">
        <v>83</v>
      </c>
      <c r="D368" t="s">
        <v>45</v>
      </c>
      <c r="E368">
        <v>1.6469000788604199E-3</v>
      </c>
      <c r="F368">
        <v>1.6469000788604199E-3</v>
      </c>
      <c r="G368">
        <v>0</v>
      </c>
      <c r="H368">
        <v>0</v>
      </c>
      <c r="I368" t="s">
        <v>84</v>
      </c>
    </row>
    <row r="369" spans="1:9" x14ac:dyDescent="0.35">
      <c r="A369" t="s">
        <v>12</v>
      </c>
      <c r="B369">
        <v>2025</v>
      </c>
      <c r="C369" t="s">
        <v>83</v>
      </c>
      <c r="D369" t="s">
        <v>46</v>
      </c>
      <c r="E369">
        <v>1.7640741127997302E-2</v>
      </c>
      <c r="F369">
        <v>1.7640741127997302E-2</v>
      </c>
      <c r="G369">
        <v>0</v>
      </c>
      <c r="H369">
        <v>0</v>
      </c>
      <c r="I369" t="s">
        <v>84</v>
      </c>
    </row>
    <row r="370" spans="1:9" x14ac:dyDescent="0.35">
      <c r="A370" t="s">
        <v>12</v>
      </c>
      <c r="B370">
        <v>2025</v>
      </c>
      <c r="C370" t="s">
        <v>83</v>
      </c>
      <c r="D370" t="s">
        <v>47</v>
      </c>
      <c r="E370">
        <v>3.9290869755208502E-4</v>
      </c>
      <c r="F370">
        <v>3.9290869755208502E-4</v>
      </c>
      <c r="G370">
        <v>0</v>
      </c>
      <c r="H370">
        <v>0</v>
      </c>
      <c r="I370" t="s">
        <v>84</v>
      </c>
    </row>
    <row r="371" spans="1:9" x14ac:dyDescent="0.35">
      <c r="A371" t="s">
        <v>12</v>
      </c>
      <c r="B371">
        <v>2025</v>
      </c>
      <c r="C371" t="s">
        <v>83</v>
      </c>
      <c r="D371" t="s">
        <v>48</v>
      </c>
      <c r="E371">
        <v>36.275267566513001</v>
      </c>
      <c r="F371">
        <v>36.275267566513001</v>
      </c>
      <c r="G371">
        <v>0</v>
      </c>
      <c r="H371">
        <v>0</v>
      </c>
      <c r="I371" t="s">
        <v>84</v>
      </c>
    </row>
    <row r="372" spans="1:9" x14ac:dyDescent="0.35">
      <c r="A372" t="s">
        <v>12</v>
      </c>
      <c r="B372">
        <v>2025</v>
      </c>
      <c r="C372" t="s">
        <v>83</v>
      </c>
      <c r="D372" t="s">
        <v>49</v>
      </c>
      <c r="E372">
        <v>4.5761112373831798E-3</v>
      </c>
      <c r="F372">
        <v>4.5761112373831798E-3</v>
      </c>
      <c r="G372">
        <v>0</v>
      </c>
      <c r="H372">
        <v>0</v>
      </c>
      <c r="I372" t="s">
        <v>84</v>
      </c>
    </row>
    <row r="373" spans="1:9" x14ac:dyDescent="0.35">
      <c r="A373" t="s">
        <v>12</v>
      </c>
      <c r="B373">
        <v>2025</v>
      </c>
      <c r="C373" t="s">
        <v>83</v>
      </c>
      <c r="D373" t="s">
        <v>50</v>
      </c>
      <c r="E373">
        <v>4.8027114195859999E-3</v>
      </c>
      <c r="F373">
        <v>4.8027114195859999E-3</v>
      </c>
      <c r="G373">
        <v>0</v>
      </c>
      <c r="H373">
        <v>0</v>
      </c>
      <c r="I373" t="s">
        <v>84</v>
      </c>
    </row>
    <row r="374" spans="1:9" x14ac:dyDescent="0.35">
      <c r="A374" t="s">
        <v>12</v>
      </c>
      <c r="B374">
        <v>2025</v>
      </c>
      <c r="C374" t="s">
        <v>83</v>
      </c>
      <c r="D374" t="s">
        <v>51</v>
      </c>
      <c r="E374">
        <v>3.3476078991605103E-2</v>
      </c>
      <c r="F374">
        <v>3.3476078991605103E-2</v>
      </c>
      <c r="G374">
        <v>0</v>
      </c>
      <c r="H374">
        <v>0</v>
      </c>
      <c r="I374" t="s">
        <v>84</v>
      </c>
    </row>
    <row r="375" spans="1:9" x14ac:dyDescent="0.35">
      <c r="A375" t="s">
        <v>12</v>
      </c>
      <c r="B375">
        <v>2025</v>
      </c>
      <c r="C375" t="s">
        <v>83</v>
      </c>
      <c r="D375" t="s">
        <v>52</v>
      </c>
      <c r="E375">
        <v>0.22127120869377501</v>
      </c>
      <c r="F375">
        <v>0.22127120869377501</v>
      </c>
      <c r="G375">
        <v>0</v>
      </c>
      <c r="H375">
        <v>0</v>
      </c>
      <c r="I375" t="s">
        <v>84</v>
      </c>
    </row>
    <row r="376" spans="1:9" x14ac:dyDescent="0.35">
      <c r="A376" t="s">
        <v>12</v>
      </c>
      <c r="B376">
        <v>2025</v>
      </c>
      <c r="C376" t="s">
        <v>83</v>
      </c>
      <c r="D376" t="s">
        <v>53</v>
      </c>
      <c r="E376">
        <v>0.25357596614496197</v>
      </c>
      <c r="F376">
        <v>0.25357596614496197</v>
      </c>
      <c r="G376">
        <v>0</v>
      </c>
      <c r="H376">
        <v>0</v>
      </c>
      <c r="I376" t="s">
        <v>84</v>
      </c>
    </row>
    <row r="377" spans="1:9" x14ac:dyDescent="0.35">
      <c r="A377" t="s">
        <v>12</v>
      </c>
      <c r="B377">
        <v>2025</v>
      </c>
      <c r="C377" t="s">
        <v>83</v>
      </c>
      <c r="D377" t="s">
        <v>54</v>
      </c>
      <c r="E377">
        <v>6.4384303020896302E-2</v>
      </c>
      <c r="F377">
        <v>6.4384303020896302E-2</v>
      </c>
      <c r="G377">
        <v>0</v>
      </c>
      <c r="H377">
        <v>0</v>
      </c>
      <c r="I377" t="s">
        <v>84</v>
      </c>
    </row>
    <row r="378" spans="1:9" x14ac:dyDescent="0.35">
      <c r="A378" t="s">
        <v>12</v>
      </c>
      <c r="B378">
        <v>2025</v>
      </c>
      <c r="C378" t="s">
        <v>83</v>
      </c>
      <c r="D378" t="s">
        <v>55</v>
      </c>
      <c r="E378">
        <v>6.1329617112865997E-2</v>
      </c>
      <c r="F378">
        <v>6.1329617112865997E-2</v>
      </c>
      <c r="G378">
        <v>0</v>
      </c>
      <c r="H378">
        <v>0</v>
      </c>
      <c r="I378" t="s">
        <v>84</v>
      </c>
    </row>
    <row r="379" spans="1:9" x14ac:dyDescent="0.35">
      <c r="A379" t="s">
        <v>12</v>
      </c>
      <c r="B379">
        <v>2025</v>
      </c>
      <c r="C379" t="s">
        <v>83</v>
      </c>
      <c r="D379" t="s">
        <v>56</v>
      </c>
      <c r="E379" s="1">
        <v>6.8678794016914199E-8</v>
      </c>
      <c r="F379" s="1">
        <v>6.8678794016914199E-8</v>
      </c>
      <c r="G379">
        <v>0</v>
      </c>
      <c r="H379">
        <v>0</v>
      </c>
      <c r="I379" t="s">
        <v>84</v>
      </c>
    </row>
    <row r="380" spans="1:9" x14ac:dyDescent="0.35">
      <c r="A380" t="s">
        <v>14</v>
      </c>
      <c r="B380">
        <v>2030</v>
      </c>
      <c r="C380" t="s">
        <v>83</v>
      </c>
      <c r="D380" t="s">
        <v>38</v>
      </c>
      <c r="E380">
        <v>3.20087841490446E-4</v>
      </c>
      <c r="F380">
        <v>3.20087841490446E-4</v>
      </c>
      <c r="G380">
        <v>0</v>
      </c>
      <c r="H380">
        <v>0</v>
      </c>
      <c r="I380" t="s">
        <v>84</v>
      </c>
    </row>
    <row r="381" spans="1:9" x14ac:dyDescent="0.35">
      <c r="A381" t="s">
        <v>14</v>
      </c>
      <c r="B381">
        <v>2030</v>
      </c>
      <c r="C381" t="s">
        <v>83</v>
      </c>
      <c r="D381" t="s">
        <v>40</v>
      </c>
      <c r="E381">
        <v>2.3938149569769699E-4</v>
      </c>
      <c r="F381">
        <v>2.3938149569769699E-4</v>
      </c>
      <c r="G381">
        <v>0</v>
      </c>
      <c r="H381">
        <v>0</v>
      </c>
      <c r="I381" t="s">
        <v>84</v>
      </c>
    </row>
    <row r="382" spans="1:9" x14ac:dyDescent="0.35">
      <c r="A382" t="s">
        <v>14</v>
      </c>
      <c r="B382">
        <v>2030</v>
      </c>
      <c r="C382" t="s">
        <v>83</v>
      </c>
      <c r="D382" t="s">
        <v>41</v>
      </c>
      <c r="E382">
        <v>2.4461960020178801E-3</v>
      </c>
      <c r="F382">
        <v>2.4461960020178801E-3</v>
      </c>
      <c r="G382">
        <v>0</v>
      </c>
      <c r="H382">
        <v>0</v>
      </c>
      <c r="I382" t="s">
        <v>84</v>
      </c>
    </row>
    <row r="383" spans="1:9" x14ac:dyDescent="0.35">
      <c r="A383" t="s">
        <v>14</v>
      </c>
      <c r="B383">
        <v>2030</v>
      </c>
      <c r="C383" t="s">
        <v>83</v>
      </c>
      <c r="D383" t="s">
        <v>42</v>
      </c>
      <c r="E383">
        <v>2.1507135915565301</v>
      </c>
      <c r="F383">
        <v>2.1507135915565301</v>
      </c>
      <c r="G383">
        <v>0</v>
      </c>
      <c r="H383">
        <v>0</v>
      </c>
      <c r="I383" t="s">
        <v>84</v>
      </c>
    </row>
    <row r="384" spans="1:9" x14ac:dyDescent="0.35">
      <c r="A384" t="s">
        <v>14</v>
      </c>
      <c r="B384">
        <v>2030</v>
      </c>
      <c r="C384" t="s">
        <v>83</v>
      </c>
      <c r="D384" t="s">
        <v>43</v>
      </c>
      <c r="E384">
        <v>7.19984794159885E-4</v>
      </c>
      <c r="F384">
        <v>7.19984794159885E-4</v>
      </c>
      <c r="G384">
        <v>0</v>
      </c>
      <c r="H384">
        <v>0</v>
      </c>
      <c r="I384" t="s">
        <v>84</v>
      </c>
    </row>
    <row r="385" spans="1:9" x14ac:dyDescent="0.35">
      <c r="A385" t="s">
        <v>14</v>
      </c>
      <c r="B385">
        <v>2030</v>
      </c>
      <c r="C385" t="s">
        <v>83</v>
      </c>
      <c r="D385" t="s">
        <v>136</v>
      </c>
      <c r="E385">
        <v>0.82213221237901202</v>
      </c>
      <c r="F385">
        <v>0.82213221237901202</v>
      </c>
      <c r="G385">
        <v>0</v>
      </c>
      <c r="H385">
        <v>0</v>
      </c>
      <c r="I385" t="s">
        <v>84</v>
      </c>
    </row>
    <row r="386" spans="1:9" x14ac:dyDescent="0.35">
      <c r="A386" t="s">
        <v>14</v>
      </c>
      <c r="B386">
        <v>2030</v>
      </c>
      <c r="C386" t="s">
        <v>83</v>
      </c>
      <c r="D386" t="s">
        <v>45</v>
      </c>
      <c r="E386">
        <v>1.4838839225142599E-3</v>
      </c>
      <c r="F386">
        <v>1.4838839225142599E-3</v>
      </c>
      <c r="G386">
        <v>0</v>
      </c>
      <c r="H386">
        <v>0</v>
      </c>
      <c r="I386" t="s">
        <v>84</v>
      </c>
    </row>
    <row r="387" spans="1:9" x14ac:dyDescent="0.35">
      <c r="A387" t="s">
        <v>14</v>
      </c>
      <c r="B387">
        <v>2030</v>
      </c>
      <c r="C387" t="s">
        <v>83</v>
      </c>
      <c r="D387" t="s">
        <v>46</v>
      </c>
      <c r="E387">
        <v>2.1250119430413199E-2</v>
      </c>
      <c r="F387">
        <v>2.1250119430413199E-2</v>
      </c>
      <c r="G387">
        <v>0</v>
      </c>
      <c r="H387">
        <v>0</v>
      </c>
      <c r="I387" t="s">
        <v>84</v>
      </c>
    </row>
    <row r="388" spans="1:9" x14ac:dyDescent="0.35">
      <c r="A388" t="s">
        <v>14</v>
      </c>
      <c r="B388">
        <v>2030</v>
      </c>
      <c r="C388" t="s">
        <v>83</v>
      </c>
      <c r="D388" t="s">
        <v>47</v>
      </c>
      <c r="E388">
        <v>3.22266599964974E-4</v>
      </c>
      <c r="F388">
        <v>3.22266599964974E-4</v>
      </c>
      <c r="G388">
        <v>0</v>
      </c>
      <c r="H388">
        <v>0</v>
      </c>
      <c r="I388" t="s">
        <v>84</v>
      </c>
    </row>
    <row r="389" spans="1:9" x14ac:dyDescent="0.35">
      <c r="A389" t="s">
        <v>14</v>
      </c>
      <c r="B389">
        <v>2030</v>
      </c>
      <c r="C389" t="s">
        <v>83</v>
      </c>
      <c r="D389" t="s">
        <v>48</v>
      </c>
      <c r="E389">
        <v>36.275496101327498</v>
      </c>
      <c r="F389">
        <v>36.275496101327498</v>
      </c>
      <c r="G389">
        <v>0</v>
      </c>
      <c r="H389">
        <v>0</v>
      </c>
      <c r="I389" t="s">
        <v>84</v>
      </c>
    </row>
    <row r="390" spans="1:9" x14ac:dyDescent="0.35">
      <c r="A390" t="s">
        <v>14</v>
      </c>
      <c r="B390">
        <v>2030</v>
      </c>
      <c r="C390" t="s">
        <v>83</v>
      </c>
      <c r="D390" t="s">
        <v>49</v>
      </c>
      <c r="E390">
        <v>4.2271276600601001E-3</v>
      </c>
      <c r="F390">
        <v>4.2271276600601001E-3</v>
      </c>
      <c r="G390">
        <v>0</v>
      </c>
      <c r="H390">
        <v>0</v>
      </c>
      <c r="I390" t="s">
        <v>84</v>
      </c>
    </row>
    <row r="391" spans="1:9" x14ac:dyDescent="0.35">
      <c r="A391" t="s">
        <v>14</v>
      </c>
      <c r="B391">
        <v>2030</v>
      </c>
      <c r="C391" t="s">
        <v>83</v>
      </c>
      <c r="D391" t="s">
        <v>50</v>
      </c>
      <c r="E391">
        <v>4.4791738861875803E-3</v>
      </c>
      <c r="F391">
        <v>4.4791738861875803E-3</v>
      </c>
      <c r="G391">
        <v>0</v>
      </c>
      <c r="H391">
        <v>0</v>
      </c>
      <c r="I391" t="s">
        <v>84</v>
      </c>
    </row>
    <row r="392" spans="1:9" x14ac:dyDescent="0.35">
      <c r="A392" t="s">
        <v>14</v>
      </c>
      <c r="B392">
        <v>2030</v>
      </c>
      <c r="C392" t="s">
        <v>83</v>
      </c>
      <c r="D392" t="s">
        <v>51</v>
      </c>
      <c r="E392">
        <v>3.3956412909420301E-2</v>
      </c>
      <c r="F392">
        <v>3.3956412909420301E-2</v>
      </c>
      <c r="G392">
        <v>0</v>
      </c>
      <c r="H392">
        <v>0</v>
      </c>
      <c r="I392" t="s">
        <v>84</v>
      </c>
    </row>
    <row r="393" spans="1:9" x14ac:dyDescent="0.35">
      <c r="A393" t="s">
        <v>14</v>
      </c>
      <c r="B393">
        <v>2030</v>
      </c>
      <c r="C393" t="s">
        <v>83</v>
      </c>
      <c r="D393" t="s">
        <v>52</v>
      </c>
      <c r="E393">
        <v>0.178510924209695</v>
      </c>
      <c r="F393">
        <v>0.178510924209695</v>
      </c>
      <c r="G393">
        <v>0</v>
      </c>
      <c r="H393">
        <v>0</v>
      </c>
      <c r="I393" t="s">
        <v>84</v>
      </c>
    </row>
    <row r="394" spans="1:9" x14ac:dyDescent="0.35">
      <c r="A394" t="s">
        <v>14</v>
      </c>
      <c r="B394">
        <v>2030</v>
      </c>
      <c r="C394" t="s">
        <v>83</v>
      </c>
      <c r="D394" t="s">
        <v>53</v>
      </c>
      <c r="E394">
        <v>0.226677364824411</v>
      </c>
      <c r="F394">
        <v>0.226677364824411</v>
      </c>
      <c r="G394">
        <v>0</v>
      </c>
      <c r="H394">
        <v>0</v>
      </c>
      <c r="I394" t="s">
        <v>84</v>
      </c>
    </row>
    <row r="395" spans="1:9" x14ac:dyDescent="0.35">
      <c r="A395" t="s">
        <v>14</v>
      </c>
      <c r="B395">
        <v>2030</v>
      </c>
      <c r="C395" t="s">
        <v>83</v>
      </c>
      <c r="D395" t="s">
        <v>54</v>
      </c>
      <c r="E395">
        <v>6.4143225801315706E-2</v>
      </c>
      <c r="F395">
        <v>6.4143225801315706E-2</v>
      </c>
      <c r="G395">
        <v>0</v>
      </c>
      <c r="H395">
        <v>0</v>
      </c>
      <c r="I395" t="s">
        <v>84</v>
      </c>
    </row>
    <row r="396" spans="1:9" x14ac:dyDescent="0.35">
      <c r="A396" t="s">
        <v>14</v>
      </c>
      <c r="B396">
        <v>2030</v>
      </c>
      <c r="C396" t="s">
        <v>83</v>
      </c>
      <c r="D396" t="s">
        <v>55</v>
      </c>
      <c r="E396">
        <v>6.0972133774512501E-2</v>
      </c>
      <c r="F396">
        <v>6.0972133774512501E-2</v>
      </c>
      <c r="G396">
        <v>0</v>
      </c>
      <c r="H396">
        <v>0</v>
      </c>
      <c r="I396" t="s">
        <v>84</v>
      </c>
    </row>
    <row r="397" spans="1:9" x14ac:dyDescent="0.35">
      <c r="A397" t="s">
        <v>14</v>
      </c>
      <c r="B397">
        <v>2030</v>
      </c>
      <c r="C397" t="s">
        <v>83</v>
      </c>
      <c r="D397" t="s">
        <v>56</v>
      </c>
      <c r="E397" s="1">
        <v>6.1454988105195298E-8</v>
      </c>
      <c r="F397" s="1">
        <v>6.1454988105195298E-8</v>
      </c>
      <c r="G397">
        <v>0</v>
      </c>
      <c r="H397">
        <v>0</v>
      </c>
      <c r="I397" t="s">
        <v>84</v>
      </c>
    </row>
    <row r="398" spans="1:9" x14ac:dyDescent="0.35">
      <c r="A398" t="s">
        <v>16</v>
      </c>
      <c r="B398">
        <v>2035</v>
      </c>
      <c r="C398" t="s">
        <v>83</v>
      </c>
      <c r="D398" t="s">
        <v>38</v>
      </c>
      <c r="E398">
        <v>4.04926877160612E-4</v>
      </c>
      <c r="F398">
        <v>4.04926877160612E-4</v>
      </c>
      <c r="G398">
        <v>0</v>
      </c>
      <c r="H398">
        <v>0</v>
      </c>
      <c r="I398" t="s">
        <v>84</v>
      </c>
    </row>
    <row r="399" spans="1:9" x14ac:dyDescent="0.35">
      <c r="A399" t="s">
        <v>16</v>
      </c>
      <c r="B399">
        <v>2035</v>
      </c>
      <c r="C399" t="s">
        <v>83</v>
      </c>
      <c r="D399" t="s">
        <v>40</v>
      </c>
      <c r="E399">
        <v>2.2319506707194401E-4</v>
      </c>
      <c r="F399">
        <v>2.2319506707194401E-4</v>
      </c>
      <c r="G399">
        <v>0</v>
      </c>
      <c r="H399">
        <v>0</v>
      </c>
      <c r="I399" t="s">
        <v>84</v>
      </c>
    </row>
    <row r="400" spans="1:9" x14ac:dyDescent="0.35">
      <c r="A400" t="s">
        <v>16</v>
      </c>
      <c r="B400">
        <v>2035</v>
      </c>
      <c r="C400" t="s">
        <v>83</v>
      </c>
      <c r="D400" t="s">
        <v>41</v>
      </c>
      <c r="E400">
        <v>2.2682508354387502E-3</v>
      </c>
      <c r="F400">
        <v>2.2682508354387502E-3</v>
      </c>
      <c r="G400">
        <v>0</v>
      </c>
      <c r="H400">
        <v>0</v>
      </c>
      <c r="I400" t="s">
        <v>84</v>
      </c>
    </row>
    <row r="401" spans="1:9" x14ac:dyDescent="0.35">
      <c r="A401" t="s">
        <v>16</v>
      </c>
      <c r="B401">
        <v>2035</v>
      </c>
      <c r="C401" t="s">
        <v>83</v>
      </c>
      <c r="D401" t="s">
        <v>42</v>
      </c>
      <c r="E401">
        <v>2.11602485002122</v>
      </c>
      <c r="F401">
        <v>2.11602485002122</v>
      </c>
      <c r="G401">
        <v>0</v>
      </c>
      <c r="H401">
        <v>0</v>
      </c>
      <c r="I401" t="s">
        <v>84</v>
      </c>
    </row>
    <row r="402" spans="1:9" x14ac:dyDescent="0.35">
      <c r="A402" t="s">
        <v>16</v>
      </c>
      <c r="B402">
        <v>2035</v>
      </c>
      <c r="C402" t="s">
        <v>83</v>
      </c>
      <c r="D402" t="s">
        <v>43</v>
      </c>
      <c r="E402">
        <v>6.8053897963309096E-4</v>
      </c>
      <c r="F402">
        <v>6.8053897963309096E-4</v>
      </c>
      <c r="G402">
        <v>0</v>
      </c>
      <c r="H402">
        <v>0</v>
      </c>
      <c r="I402" t="s">
        <v>84</v>
      </c>
    </row>
    <row r="403" spans="1:9" x14ac:dyDescent="0.35">
      <c r="A403" t="s">
        <v>16</v>
      </c>
      <c r="B403">
        <v>2035</v>
      </c>
      <c r="C403" t="s">
        <v>83</v>
      </c>
      <c r="D403" t="s">
        <v>136</v>
      </c>
      <c r="E403">
        <v>0.74591252238153805</v>
      </c>
      <c r="F403">
        <v>0.74591252238153805</v>
      </c>
      <c r="G403">
        <v>0</v>
      </c>
      <c r="H403">
        <v>0</v>
      </c>
      <c r="I403" t="s">
        <v>84</v>
      </c>
    </row>
    <row r="404" spans="1:9" x14ac:dyDescent="0.35">
      <c r="A404" t="s">
        <v>16</v>
      </c>
      <c r="B404">
        <v>2035</v>
      </c>
      <c r="C404" t="s">
        <v>83</v>
      </c>
      <c r="D404" t="s">
        <v>45</v>
      </c>
      <c r="E404">
        <v>1.3707396475208999E-3</v>
      </c>
      <c r="F404">
        <v>1.3707396475208999E-3</v>
      </c>
      <c r="G404">
        <v>0</v>
      </c>
      <c r="H404">
        <v>0</v>
      </c>
      <c r="I404" t="s">
        <v>84</v>
      </c>
    </row>
    <row r="405" spans="1:9" x14ac:dyDescent="0.35">
      <c r="A405" t="s">
        <v>16</v>
      </c>
      <c r="B405">
        <v>2035</v>
      </c>
      <c r="C405" t="s">
        <v>83</v>
      </c>
      <c r="D405" t="s">
        <v>46</v>
      </c>
      <c r="E405">
        <v>3.3523746403775902E-2</v>
      </c>
      <c r="F405">
        <v>3.3523746403775902E-2</v>
      </c>
      <c r="G405">
        <v>0</v>
      </c>
      <c r="H405">
        <v>0</v>
      </c>
      <c r="I405" t="s">
        <v>84</v>
      </c>
    </row>
    <row r="406" spans="1:9" x14ac:dyDescent="0.35">
      <c r="A406" t="s">
        <v>16</v>
      </c>
      <c r="B406">
        <v>2035</v>
      </c>
      <c r="C406" t="s">
        <v>83</v>
      </c>
      <c r="D406" t="s">
        <v>47</v>
      </c>
      <c r="E406">
        <v>2.6946215183562799E-4</v>
      </c>
      <c r="F406">
        <v>2.6946215183562799E-4</v>
      </c>
      <c r="G406">
        <v>0</v>
      </c>
      <c r="H406">
        <v>0</v>
      </c>
      <c r="I406" t="s">
        <v>84</v>
      </c>
    </row>
    <row r="407" spans="1:9" x14ac:dyDescent="0.35">
      <c r="A407" t="s">
        <v>16</v>
      </c>
      <c r="B407">
        <v>2035</v>
      </c>
      <c r="C407" t="s">
        <v>83</v>
      </c>
      <c r="D407" t="s">
        <v>48</v>
      </c>
      <c r="E407">
        <v>36.276061210774898</v>
      </c>
      <c r="F407">
        <v>36.276061210774898</v>
      </c>
      <c r="G407">
        <v>0</v>
      </c>
      <c r="H407">
        <v>0</v>
      </c>
      <c r="I407" t="s">
        <v>84</v>
      </c>
    </row>
    <row r="408" spans="1:9" x14ac:dyDescent="0.35">
      <c r="A408" t="s">
        <v>16</v>
      </c>
      <c r="B408">
        <v>2035</v>
      </c>
      <c r="C408" t="s">
        <v>83</v>
      </c>
      <c r="D408" t="s">
        <v>49</v>
      </c>
      <c r="E408">
        <v>4.0043540926823903E-3</v>
      </c>
      <c r="F408">
        <v>4.0043540926823903E-3</v>
      </c>
      <c r="G408">
        <v>0</v>
      </c>
      <c r="H408">
        <v>0</v>
      </c>
      <c r="I408" t="s">
        <v>84</v>
      </c>
    </row>
    <row r="409" spans="1:9" x14ac:dyDescent="0.35">
      <c r="A409" t="s">
        <v>16</v>
      </c>
      <c r="B409">
        <v>2035</v>
      </c>
      <c r="C409" t="s">
        <v>83</v>
      </c>
      <c r="D409" t="s">
        <v>50</v>
      </c>
      <c r="E409">
        <v>4.4432400150424501E-3</v>
      </c>
      <c r="F409">
        <v>4.4432400150424501E-3</v>
      </c>
      <c r="G409">
        <v>0</v>
      </c>
      <c r="H409">
        <v>0</v>
      </c>
      <c r="I409" t="s">
        <v>84</v>
      </c>
    </row>
    <row r="410" spans="1:9" x14ac:dyDescent="0.35">
      <c r="A410" t="s">
        <v>16</v>
      </c>
      <c r="B410">
        <v>2035</v>
      </c>
      <c r="C410" t="s">
        <v>83</v>
      </c>
      <c r="D410" t="s">
        <v>51</v>
      </c>
      <c r="E410">
        <v>3.4704557400298902E-2</v>
      </c>
      <c r="F410">
        <v>3.4704557400298902E-2</v>
      </c>
      <c r="G410">
        <v>0</v>
      </c>
      <c r="H410">
        <v>0</v>
      </c>
      <c r="I410" t="s">
        <v>84</v>
      </c>
    </row>
    <row r="411" spans="1:9" x14ac:dyDescent="0.35">
      <c r="A411" t="s">
        <v>16</v>
      </c>
      <c r="B411">
        <v>2035</v>
      </c>
      <c r="C411" t="s">
        <v>83</v>
      </c>
      <c r="D411" t="s">
        <v>52</v>
      </c>
      <c r="E411">
        <v>0.13659485821877199</v>
      </c>
      <c r="F411">
        <v>0.13659485821877199</v>
      </c>
      <c r="G411">
        <v>0</v>
      </c>
      <c r="H411">
        <v>0</v>
      </c>
      <c r="I411" t="s">
        <v>84</v>
      </c>
    </row>
    <row r="412" spans="1:9" x14ac:dyDescent="0.35">
      <c r="A412" t="s">
        <v>16</v>
      </c>
      <c r="B412">
        <v>2035</v>
      </c>
      <c r="C412" t="s">
        <v>83</v>
      </c>
      <c r="D412" t="s">
        <v>53</v>
      </c>
      <c r="E412">
        <v>0.20113663874207399</v>
      </c>
      <c r="F412">
        <v>0.20113663874207399</v>
      </c>
      <c r="G412">
        <v>0</v>
      </c>
      <c r="H412">
        <v>0</v>
      </c>
      <c r="I412" t="s">
        <v>84</v>
      </c>
    </row>
    <row r="413" spans="1:9" x14ac:dyDescent="0.35">
      <c r="A413" t="s">
        <v>16</v>
      </c>
      <c r="B413">
        <v>2035</v>
      </c>
      <c r="C413" t="s">
        <v>83</v>
      </c>
      <c r="D413" t="s">
        <v>54</v>
      </c>
      <c r="E413">
        <v>6.4276950970748106E-2</v>
      </c>
      <c r="F413">
        <v>6.4276950970748106E-2</v>
      </c>
      <c r="G413">
        <v>0</v>
      </c>
      <c r="H413">
        <v>0</v>
      </c>
      <c r="I413" t="s">
        <v>84</v>
      </c>
    </row>
    <row r="414" spans="1:9" x14ac:dyDescent="0.35">
      <c r="A414" t="s">
        <v>16</v>
      </c>
      <c r="B414">
        <v>2035</v>
      </c>
      <c r="C414" t="s">
        <v>83</v>
      </c>
      <c r="D414" t="s">
        <v>55</v>
      </c>
      <c r="E414">
        <v>6.10045262591132E-2</v>
      </c>
      <c r="F414">
        <v>6.10045262591132E-2</v>
      </c>
      <c r="G414">
        <v>0</v>
      </c>
      <c r="H414">
        <v>0</v>
      </c>
      <c r="I414" t="s">
        <v>84</v>
      </c>
    </row>
    <row r="415" spans="1:9" x14ac:dyDescent="0.35">
      <c r="A415" t="s">
        <v>16</v>
      </c>
      <c r="B415">
        <v>2035</v>
      </c>
      <c r="C415" t="s">
        <v>83</v>
      </c>
      <c r="D415" t="s">
        <v>56</v>
      </c>
      <c r="E415" s="1">
        <v>5.6016677738038598E-8</v>
      </c>
      <c r="F415" s="1">
        <v>5.6016677738038598E-8</v>
      </c>
      <c r="G415">
        <v>0</v>
      </c>
      <c r="H415">
        <v>0</v>
      </c>
      <c r="I415" t="s">
        <v>84</v>
      </c>
    </row>
    <row r="416" spans="1:9" x14ac:dyDescent="0.35">
      <c r="A416" t="s">
        <v>18</v>
      </c>
      <c r="B416">
        <v>2040</v>
      </c>
      <c r="C416" t="s">
        <v>83</v>
      </c>
      <c r="D416" t="s">
        <v>38</v>
      </c>
      <c r="E416">
        <v>5.2917513525705003E-4</v>
      </c>
      <c r="F416">
        <v>5.2916409684863896E-4</v>
      </c>
      <c r="G416" s="1">
        <v>-1.10384084109566E-8</v>
      </c>
      <c r="H416">
        <v>-2.0859650568416498E-3</v>
      </c>
      <c r="I416" t="s">
        <v>84</v>
      </c>
    </row>
    <row r="417" spans="1:9" x14ac:dyDescent="0.35">
      <c r="A417" t="s">
        <v>18</v>
      </c>
      <c r="B417">
        <v>2040</v>
      </c>
      <c r="C417" t="s">
        <v>83</v>
      </c>
      <c r="D417" t="s">
        <v>40</v>
      </c>
      <c r="E417">
        <v>2.07513234653054E-4</v>
      </c>
      <c r="F417">
        <v>2.07513234653054E-4</v>
      </c>
      <c r="G417">
        <v>0</v>
      </c>
      <c r="H417">
        <v>0</v>
      </c>
      <c r="I417" t="s">
        <v>84</v>
      </c>
    </row>
    <row r="418" spans="1:9" x14ac:dyDescent="0.35">
      <c r="A418" t="s">
        <v>18</v>
      </c>
      <c r="B418">
        <v>2040</v>
      </c>
      <c r="C418" t="s">
        <v>83</v>
      </c>
      <c r="D418" t="s">
        <v>41</v>
      </c>
      <c r="E418">
        <v>2.1346059993051802E-3</v>
      </c>
      <c r="F418">
        <v>2.1346059993051802E-3</v>
      </c>
      <c r="G418">
        <v>0</v>
      </c>
      <c r="H418">
        <v>0</v>
      </c>
      <c r="I418" t="s">
        <v>84</v>
      </c>
    </row>
    <row r="419" spans="1:9" x14ac:dyDescent="0.35">
      <c r="A419" t="s">
        <v>18</v>
      </c>
      <c r="B419">
        <v>2040</v>
      </c>
      <c r="C419" t="s">
        <v>83</v>
      </c>
      <c r="D419" t="s">
        <v>42</v>
      </c>
      <c r="E419">
        <v>2.0940525191424002</v>
      </c>
      <c r="F419">
        <v>0.60962923475325503</v>
      </c>
      <c r="G419">
        <v>-1.4844232843891501</v>
      </c>
      <c r="H419">
        <v>-70.887586190869598</v>
      </c>
      <c r="I419" t="s">
        <v>84</v>
      </c>
    </row>
    <row r="420" spans="1:9" x14ac:dyDescent="0.35">
      <c r="A420" t="s">
        <v>18</v>
      </c>
      <c r="B420">
        <v>2040</v>
      </c>
      <c r="C420" t="s">
        <v>83</v>
      </c>
      <c r="D420" t="s">
        <v>43</v>
      </c>
      <c r="E420">
        <v>6.6857324447181898E-4</v>
      </c>
      <c r="F420">
        <v>6.6857324447181898E-4</v>
      </c>
      <c r="G420">
        <v>0</v>
      </c>
      <c r="H420">
        <v>0</v>
      </c>
      <c r="I420" t="s">
        <v>84</v>
      </c>
    </row>
    <row r="421" spans="1:9" x14ac:dyDescent="0.35">
      <c r="A421" t="s">
        <v>18</v>
      </c>
      <c r="B421">
        <v>2040</v>
      </c>
      <c r="C421" t="s">
        <v>83</v>
      </c>
      <c r="D421" t="s">
        <v>136</v>
      </c>
      <c r="E421">
        <v>0.68616685686394097</v>
      </c>
      <c r="F421">
        <v>0.68616685686394097</v>
      </c>
      <c r="G421">
        <v>0</v>
      </c>
      <c r="H421">
        <v>0</v>
      </c>
      <c r="I421" t="s">
        <v>84</v>
      </c>
    </row>
    <row r="422" spans="1:9" x14ac:dyDescent="0.35">
      <c r="A422" t="s">
        <v>18</v>
      </c>
      <c r="B422">
        <v>2040</v>
      </c>
      <c r="C422" t="s">
        <v>83</v>
      </c>
      <c r="D422" t="s">
        <v>45</v>
      </c>
      <c r="E422">
        <v>1.31113296998008E-3</v>
      </c>
      <c r="F422">
        <v>1.31113296998008E-3</v>
      </c>
      <c r="G422">
        <v>0</v>
      </c>
      <c r="H422">
        <v>0</v>
      </c>
      <c r="I422" t="s">
        <v>84</v>
      </c>
    </row>
    <row r="423" spans="1:9" x14ac:dyDescent="0.35">
      <c r="A423" t="s">
        <v>18</v>
      </c>
      <c r="B423">
        <v>2040</v>
      </c>
      <c r="C423" t="s">
        <v>83</v>
      </c>
      <c r="D423" t="s">
        <v>46</v>
      </c>
      <c r="E423">
        <v>4.9249068029167703E-2</v>
      </c>
      <c r="F423">
        <v>4.9249068029167703E-2</v>
      </c>
      <c r="G423">
        <v>0</v>
      </c>
      <c r="H423">
        <v>0</v>
      </c>
      <c r="I423" t="s">
        <v>84</v>
      </c>
    </row>
    <row r="424" spans="1:9" x14ac:dyDescent="0.35">
      <c r="A424" t="s">
        <v>18</v>
      </c>
      <c r="B424">
        <v>2040</v>
      </c>
      <c r="C424" t="s">
        <v>83</v>
      </c>
      <c r="D424" t="s">
        <v>47</v>
      </c>
      <c r="E424">
        <v>2.3502537561128199E-4</v>
      </c>
      <c r="F424">
        <v>2.3502537561128199E-4</v>
      </c>
      <c r="G424">
        <v>0</v>
      </c>
      <c r="H424">
        <v>0</v>
      </c>
      <c r="I424" t="s">
        <v>84</v>
      </c>
    </row>
    <row r="425" spans="1:9" x14ac:dyDescent="0.35">
      <c r="A425" t="s">
        <v>18</v>
      </c>
      <c r="B425">
        <v>2040</v>
      </c>
      <c r="C425" t="s">
        <v>83</v>
      </c>
      <c r="D425" t="s">
        <v>48</v>
      </c>
      <c r="E425">
        <v>36.277529323181803</v>
      </c>
      <c r="F425">
        <v>36.277529323181803</v>
      </c>
      <c r="G425">
        <v>0</v>
      </c>
      <c r="H425">
        <v>0</v>
      </c>
      <c r="I425" t="s">
        <v>84</v>
      </c>
    </row>
    <row r="426" spans="1:9" x14ac:dyDescent="0.35">
      <c r="A426" t="s">
        <v>18</v>
      </c>
      <c r="B426">
        <v>2040</v>
      </c>
      <c r="C426" t="s">
        <v>83</v>
      </c>
      <c r="D426" t="s">
        <v>49</v>
      </c>
      <c r="E426">
        <v>3.8768201556783699E-3</v>
      </c>
      <c r="F426">
        <v>3.8768201556783699E-3</v>
      </c>
      <c r="G426">
        <v>0</v>
      </c>
      <c r="H426">
        <v>0</v>
      </c>
      <c r="I426" t="s">
        <v>84</v>
      </c>
    </row>
    <row r="427" spans="1:9" x14ac:dyDescent="0.35">
      <c r="A427" t="s">
        <v>18</v>
      </c>
      <c r="B427">
        <v>2040</v>
      </c>
      <c r="C427" t="s">
        <v>83</v>
      </c>
      <c r="D427" t="s">
        <v>50</v>
      </c>
      <c r="E427">
        <v>4.6129346513755403E-3</v>
      </c>
      <c r="F427">
        <v>4.6129346513755403E-3</v>
      </c>
      <c r="G427">
        <v>0</v>
      </c>
      <c r="H427">
        <v>0</v>
      </c>
      <c r="I427" t="s">
        <v>84</v>
      </c>
    </row>
    <row r="428" spans="1:9" x14ac:dyDescent="0.35">
      <c r="A428" t="s">
        <v>18</v>
      </c>
      <c r="B428">
        <v>2040</v>
      </c>
      <c r="C428" t="s">
        <v>83</v>
      </c>
      <c r="D428" t="s">
        <v>51</v>
      </c>
      <c r="E428">
        <v>3.5549029791394599E-2</v>
      </c>
      <c r="F428">
        <v>3.5549029791394599E-2</v>
      </c>
      <c r="G428">
        <v>0</v>
      </c>
      <c r="H428">
        <v>0</v>
      </c>
      <c r="I428" t="s">
        <v>84</v>
      </c>
    </row>
    <row r="429" spans="1:9" x14ac:dyDescent="0.35">
      <c r="A429" t="s">
        <v>18</v>
      </c>
      <c r="B429">
        <v>2040</v>
      </c>
      <c r="C429" t="s">
        <v>83</v>
      </c>
      <c r="D429" t="s">
        <v>52</v>
      </c>
      <c r="E429">
        <v>0.10026278778759801</v>
      </c>
      <c r="F429">
        <v>0.10026278778759801</v>
      </c>
      <c r="G429">
        <v>0</v>
      </c>
      <c r="H429">
        <v>0</v>
      </c>
      <c r="I429" t="s">
        <v>84</v>
      </c>
    </row>
    <row r="430" spans="1:9" x14ac:dyDescent="0.35">
      <c r="A430" t="s">
        <v>18</v>
      </c>
      <c r="B430">
        <v>2040</v>
      </c>
      <c r="C430" t="s">
        <v>83</v>
      </c>
      <c r="D430" t="s">
        <v>53</v>
      </c>
      <c r="E430">
        <v>0.179451041555718</v>
      </c>
      <c r="F430">
        <v>0.179451041555718</v>
      </c>
      <c r="G430">
        <v>0</v>
      </c>
      <c r="H430">
        <v>0</v>
      </c>
      <c r="I430" t="s">
        <v>84</v>
      </c>
    </row>
    <row r="431" spans="1:9" x14ac:dyDescent="0.35">
      <c r="A431" t="s">
        <v>18</v>
      </c>
      <c r="B431">
        <v>2040</v>
      </c>
      <c r="C431" t="s">
        <v>83</v>
      </c>
      <c r="D431" t="s">
        <v>54</v>
      </c>
      <c r="E431">
        <v>6.4736606102604594E-2</v>
      </c>
      <c r="F431">
        <v>6.1405691058325898E-2</v>
      </c>
      <c r="G431">
        <v>-3.3309150442786101E-3</v>
      </c>
      <c r="H431">
        <v>-5.1453346797316897</v>
      </c>
      <c r="I431" t="s">
        <v>84</v>
      </c>
    </row>
    <row r="432" spans="1:9" x14ac:dyDescent="0.35">
      <c r="A432" t="s">
        <v>18</v>
      </c>
      <c r="B432">
        <v>2040</v>
      </c>
      <c r="C432" t="s">
        <v>83</v>
      </c>
      <c r="D432" t="s">
        <v>55</v>
      </c>
      <c r="E432">
        <v>6.1347406422832297E-2</v>
      </c>
      <c r="F432">
        <v>5.6600521337819301E-2</v>
      </c>
      <c r="G432">
        <v>-4.7468850850130098E-3</v>
      </c>
      <c r="H432">
        <v>-7.7377111141348998</v>
      </c>
      <c r="I432" t="s">
        <v>84</v>
      </c>
    </row>
    <row r="433" spans="1:9" x14ac:dyDescent="0.35">
      <c r="A433" t="s">
        <v>18</v>
      </c>
      <c r="B433">
        <v>2040</v>
      </c>
      <c r="C433" t="s">
        <v>83</v>
      </c>
      <c r="D433" t="s">
        <v>56</v>
      </c>
      <c r="E433" s="1">
        <v>5.2055133079962403E-8</v>
      </c>
      <c r="F433" s="1">
        <v>5.2055133079962403E-8</v>
      </c>
      <c r="G433">
        <v>0</v>
      </c>
      <c r="H433">
        <v>0</v>
      </c>
      <c r="I433" t="s">
        <v>84</v>
      </c>
    </row>
    <row r="434" spans="1:9" x14ac:dyDescent="0.35">
      <c r="A434" t="s">
        <v>12</v>
      </c>
      <c r="B434">
        <v>2025</v>
      </c>
      <c r="C434" t="s">
        <v>78</v>
      </c>
      <c r="D434" t="s">
        <v>38</v>
      </c>
      <c r="E434" s="1">
        <v>4.8517403038212296E-6</v>
      </c>
      <c r="F434" s="1">
        <v>4.8517403038212296E-6</v>
      </c>
      <c r="G434">
        <v>0</v>
      </c>
      <c r="H434">
        <v>0</v>
      </c>
      <c r="I434" t="s">
        <v>79</v>
      </c>
    </row>
    <row r="435" spans="1:9" x14ac:dyDescent="0.35">
      <c r="A435" t="s">
        <v>12</v>
      </c>
      <c r="B435">
        <v>2025</v>
      </c>
      <c r="C435" t="s">
        <v>78</v>
      </c>
      <c r="D435" t="s">
        <v>40</v>
      </c>
      <c r="E435" s="1">
        <v>7.7898501085979396E-5</v>
      </c>
      <c r="F435" s="1">
        <v>7.7898501085979396E-5</v>
      </c>
      <c r="G435">
        <v>0</v>
      </c>
      <c r="H435">
        <v>0</v>
      </c>
      <c r="I435" t="s">
        <v>79</v>
      </c>
    </row>
    <row r="436" spans="1:9" x14ac:dyDescent="0.35">
      <c r="A436" t="s">
        <v>12</v>
      </c>
      <c r="B436">
        <v>2025</v>
      </c>
      <c r="C436" t="s">
        <v>78</v>
      </c>
      <c r="D436" t="s">
        <v>41</v>
      </c>
      <c r="E436">
        <v>3.1182909659966703E-4</v>
      </c>
      <c r="F436">
        <v>3.1182909659966703E-4</v>
      </c>
      <c r="G436">
        <v>0</v>
      </c>
      <c r="H436">
        <v>0</v>
      </c>
      <c r="I436" t="s">
        <v>79</v>
      </c>
    </row>
    <row r="437" spans="1:9" x14ac:dyDescent="0.35">
      <c r="A437" t="s">
        <v>12</v>
      </c>
      <c r="B437">
        <v>2025</v>
      </c>
      <c r="C437" t="s">
        <v>78</v>
      </c>
      <c r="D437" t="s">
        <v>42</v>
      </c>
      <c r="E437">
        <v>1.3691371450437299E-2</v>
      </c>
      <c r="F437">
        <v>1.3691371450437299E-2</v>
      </c>
      <c r="G437">
        <v>0</v>
      </c>
      <c r="H437">
        <v>0</v>
      </c>
      <c r="I437" t="s">
        <v>79</v>
      </c>
    </row>
    <row r="438" spans="1:9" x14ac:dyDescent="0.35">
      <c r="A438" t="s">
        <v>12</v>
      </c>
      <c r="B438">
        <v>2025</v>
      </c>
      <c r="C438" t="s">
        <v>78</v>
      </c>
      <c r="D438" t="s">
        <v>43</v>
      </c>
      <c r="E438">
        <v>1.0419568107353299E-4</v>
      </c>
      <c r="F438">
        <v>1.0419568107353299E-4</v>
      </c>
      <c r="G438">
        <v>0</v>
      </c>
      <c r="H438">
        <v>0</v>
      </c>
      <c r="I438" t="s">
        <v>79</v>
      </c>
    </row>
    <row r="439" spans="1:9" x14ac:dyDescent="0.35">
      <c r="A439" t="s">
        <v>12</v>
      </c>
      <c r="B439">
        <v>2025</v>
      </c>
      <c r="C439" t="s">
        <v>78</v>
      </c>
      <c r="D439" t="s">
        <v>136</v>
      </c>
      <c r="E439">
        <v>1.66104570988405E-2</v>
      </c>
      <c r="F439">
        <v>1.66104570988405E-2</v>
      </c>
      <c r="G439">
        <v>0</v>
      </c>
      <c r="H439">
        <v>0</v>
      </c>
      <c r="I439" t="s">
        <v>79</v>
      </c>
    </row>
    <row r="440" spans="1:9" x14ac:dyDescent="0.35">
      <c r="A440" t="s">
        <v>12</v>
      </c>
      <c r="B440">
        <v>2025</v>
      </c>
      <c r="C440" t="s">
        <v>78</v>
      </c>
      <c r="D440" t="s">
        <v>45</v>
      </c>
      <c r="E440">
        <v>1.08230020079893E-4</v>
      </c>
      <c r="F440">
        <v>1.08230020079893E-4</v>
      </c>
      <c r="G440">
        <v>0</v>
      </c>
      <c r="H440">
        <v>0</v>
      </c>
      <c r="I440" t="s">
        <v>79</v>
      </c>
    </row>
    <row r="441" spans="1:9" x14ac:dyDescent="0.35">
      <c r="A441" t="s">
        <v>12</v>
      </c>
      <c r="B441">
        <v>2025</v>
      </c>
      <c r="C441" t="s">
        <v>78</v>
      </c>
      <c r="D441" t="s">
        <v>46</v>
      </c>
      <c r="E441">
        <v>1.7281066161220901E-3</v>
      </c>
      <c r="F441">
        <v>1.7281066161220901E-3</v>
      </c>
      <c r="G441">
        <v>0</v>
      </c>
      <c r="H441">
        <v>0</v>
      </c>
      <c r="I441" t="s">
        <v>79</v>
      </c>
    </row>
    <row r="442" spans="1:9" x14ac:dyDescent="0.35">
      <c r="A442" t="s">
        <v>12</v>
      </c>
      <c r="B442">
        <v>2025</v>
      </c>
      <c r="C442" t="s">
        <v>78</v>
      </c>
      <c r="D442" t="s">
        <v>47</v>
      </c>
      <c r="E442" s="1">
        <v>6.3663184822910103E-6</v>
      </c>
      <c r="F442" s="1">
        <v>6.3663184822910103E-6</v>
      </c>
      <c r="G442">
        <v>0</v>
      </c>
      <c r="H442">
        <v>0</v>
      </c>
      <c r="I442" t="s">
        <v>79</v>
      </c>
    </row>
    <row r="443" spans="1:9" x14ac:dyDescent="0.35">
      <c r="A443" t="s">
        <v>12</v>
      </c>
      <c r="B443">
        <v>2025</v>
      </c>
      <c r="C443" t="s">
        <v>78</v>
      </c>
      <c r="D443" t="s">
        <v>48</v>
      </c>
      <c r="E443">
        <v>46.972612184280798</v>
      </c>
      <c r="F443">
        <v>46.972612184280798</v>
      </c>
      <c r="G443">
        <v>0</v>
      </c>
      <c r="H443">
        <v>0</v>
      </c>
      <c r="I443" t="s">
        <v>79</v>
      </c>
    </row>
    <row r="444" spans="1:9" x14ac:dyDescent="0.35">
      <c r="A444" t="s">
        <v>12</v>
      </c>
      <c r="B444">
        <v>2025</v>
      </c>
      <c r="C444" t="s">
        <v>78</v>
      </c>
      <c r="D444" t="s">
        <v>49</v>
      </c>
      <c r="E444">
        <v>2.6933701073290499E-4</v>
      </c>
      <c r="F444">
        <v>2.6933701073290499E-4</v>
      </c>
      <c r="G444">
        <v>0</v>
      </c>
      <c r="H444">
        <v>0</v>
      </c>
      <c r="I444" t="s">
        <v>79</v>
      </c>
    </row>
    <row r="445" spans="1:9" x14ac:dyDescent="0.35">
      <c r="A445" t="s">
        <v>12</v>
      </c>
      <c r="B445">
        <v>2025</v>
      </c>
      <c r="C445" t="s">
        <v>78</v>
      </c>
      <c r="D445" t="s">
        <v>50</v>
      </c>
      <c r="E445">
        <v>1.4449965884074699E-3</v>
      </c>
      <c r="F445">
        <v>1.4449965884074699E-3</v>
      </c>
      <c r="G445">
        <v>0</v>
      </c>
      <c r="H445">
        <v>0</v>
      </c>
      <c r="I445" t="s">
        <v>79</v>
      </c>
    </row>
    <row r="446" spans="1:9" x14ac:dyDescent="0.35">
      <c r="A446" t="s">
        <v>12</v>
      </c>
      <c r="B446">
        <v>2025</v>
      </c>
      <c r="C446" t="s">
        <v>78</v>
      </c>
      <c r="D446" t="s">
        <v>51</v>
      </c>
      <c r="E446">
        <v>2.29513264378189E-2</v>
      </c>
      <c r="F446">
        <v>2.29513264378189E-2</v>
      </c>
      <c r="G446">
        <v>0</v>
      </c>
      <c r="H446">
        <v>0</v>
      </c>
      <c r="I446" t="s">
        <v>79</v>
      </c>
    </row>
    <row r="447" spans="1:9" x14ac:dyDescent="0.35">
      <c r="A447" t="s">
        <v>12</v>
      </c>
      <c r="B447">
        <v>2025</v>
      </c>
      <c r="C447" t="s">
        <v>78</v>
      </c>
      <c r="D447" t="s">
        <v>52</v>
      </c>
      <c r="E447">
        <v>1.2812470349111401E-3</v>
      </c>
      <c r="F447">
        <v>1.2812470349111401E-3</v>
      </c>
      <c r="G447">
        <v>0</v>
      </c>
      <c r="H447">
        <v>0</v>
      </c>
      <c r="I447" t="s">
        <v>79</v>
      </c>
    </row>
    <row r="448" spans="1:9" x14ac:dyDescent="0.35">
      <c r="A448" t="s">
        <v>12</v>
      </c>
      <c r="B448">
        <v>2025</v>
      </c>
      <c r="C448" t="s">
        <v>78</v>
      </c>
      <c r="D448" t="s">
        <v>53</v>
      </c>
      <c r="E448">
        <v>4.9704939840227698E-3</v>
      </c>
      <c r="F448">
        <v>4.9704939840227698E-3</v>
      </c>
      <c r="G448">
        <v>0</v>
      </c>
      <c r="H448">
        <v>0</v>
      </c>
      <c r="I448" t="s">
        <v>79</v>
      </c>
    </row>
    <row r="449" spans="1:9" x14ac:dyDescent="0.35">
      <c r="A449" t="s">
        <v>12</v>
      </c>
      <c r="B449">
        <v>2025</v>
      </c>
      <c r="C449" t="s">
        <v>78</v>
      </c>
      <c r="D449" t="s">
        <v>54</v>
      </c>
      <c r="E449">
        <v>1.97197287637846E-3</v>
      </c>
      <c r="F449">
        <v>1.97197287637846E-3</v>
      </c>
      <c r="G449">
        <v>0</v>
      </c>
      <c r="H449">
        <v>0</v>
      </c>
      <c r="I449" t="s">
        <v>79</v>
      </c>
    </row>
    <row r="450" spans="1:9" x14ac:dyDescent="0.35">
      <c r="A450" t="s">
        <v>12</v>
      </c>
      <c r="B450">
        <v>2025</v>
      </c>
      <c r="C450" t="s">
        <v>78</v>
      </c>
      <c r="D450" t="s">
        <v>55</v>
      </c>
      <c r="E450">
        <v>1.80780849577772E-3</v>
      </c>
      <c r="F450">
        <v>1.80780849577772E-3</v>
      </c>
      <c r="G450">
        <v>0</v>
      </c>
      <c r="H450">
        <v>0</v>
      </c>
      <c r="I450" t="s">
        <v>79</v>
      </c>
    </row>
    <row r="451" spans="1:9" x14ac:dyDescent="0.35">
      <c r="A451" t="s">
        <v>12</v>
      </c>
      <c r="B451">
        <v>2025</v>
      </c>
      <c r="C451" t="s">
        <v>78</v>
      </c>
      <c r="D451" t="s">
        <v>56</v>
      </c>
      <c r="E451" s="1">
        <v>1.7078777991618299E-9</v>
      </c>
      <c r="F451" s="1">
        <v>1.7078777991618299E-9</v>
      </c>
      <c r="G451">
        <v>0</v>
      </c>
      <c r="H451">
        <v>0</v>
      </c>
      <c r="I451" t="s">
        <v>79</v>
      </c>
    </row>
    <row r="452" spans="1:9" x14ac:dyDescent="0.35">
      <c r="A452" t="s">
        <v>14</v>
      </c>
      <c r="B452">
        <v>2030</v>
      </c>
      <c r="C452" t="s">
        <v>78</v>
      </c>
      <c r="D452" t="s">
        <v>38</v>
      </c>
      <c r="E452" s="1">
        <v>5.8416984156253002E-6</v>
      </c>
      <c r="F452" s="1">
        <v>5.8416984156253002E-6</v>
      </c>
      <c r="G452">
        <v>0</v>
      </c>
      <c r="H452">
        <v>0</v>
      </c>
      <c r="I452" t="s">
        <v>79</v>
      </c>
    </row>
    <row r="453" spans="1:9" x14ac:dyDescent="0.35">
      <c r="A453" t="s">
        <v>14</v>
      </c>
      <c r="B453">
        <v>2030</v>
      </c>
      <c r="C453" t="s">
        <v>78</v>
      </c>
      <c r="D453" t="s">
        <v>40</v>
      </c>
      <c r="E453" s="1">
        <v>7.7713614985599195E-5</v>
      </c>
      <c r="F453" s="1">
        <v>7.7713614985599195E-5</v>
      </c>
      <c r="G453">
        <v>0</v>
      </c>
      <c r="H453">
        <v>0</v>
      </c>
      <c r="I453" t="s">
        <v>79</v>
      </c>
    </row>
    <row r="454" spans="1:9" x14ac:dyDescent="0.35">
      <c r="A454" t="s">
        <v>14</v>
      </c>
      <c r="B454">
        <v>2030</v>
      </c>
      <c r="C454" t="s">
        <v>78</v>
      </c>
      <c r="D454" t="s">
        <v>41</v>
      </c>
      <c r="E454">
        <v>3.1047178251575401E-4</v>
      </c>
      <c r="F454">
        <v>3.1047178251575401E-4</v>
      </c>
      <c r="G454">
        <v>0</v>
      </c>
      <c r="H454">
        <v>0</v>
      </c>
      <c r="I454" t="s">
        <v>79</v>
      </c>
    </row>
    <row r="455" spans="1:9" x14ac:dyDescent="0.35">
      <c r="A455" t="s">
        <v>14</v>
      </c>
      <c r="B455">
        <v>2030</v>
      </c>
      <c r="C455" t="s">
        <v>78</v>
      </c>
      <c r="D455" t="s">
        <v>42</v>
      </c>
      <c r="E455">
        <v>1.37237252404374E-2</v>
      </c>
      <c r="F455">
        <v>1.37237252404374E-2</v>
      </c>
      <c r="G455">
        <v>0</v>
      </c>
      <c r="H455">
        <v>0</v>
      </c>
      <c r="I455" t="s">
        <v>79</v>
      </c>
    </row>
    <row r="456" spans="1:9" x14ac:dyDescent="0.35">
      <c r="A456" t="s">
        <v>14</v>
      </c>
      <c r="B456">
        <v>2030</v>
      </c>
      <c r="C456" t="s">
        <v>78</v>
      </c>
      <c r="D456" t="s">
        <v>43</v>
      </c>
      <c r="E456">
        <v>1.04130455535066E-4</v>
      </c>
      <c r="F456">
        <v>1.04130455535066E-4</v>
      </c>
      <c r="G456">
        <v>0</v>
      </c>
      <c r="H456">
        <v>0</v>
      </c>
      <c r="I456" t="s">
        <v>79</v>
      </c>
    </row>
    <row r="457" spans="1:9" x14ac:dyDescent="0.35">
      <c r="A457" t="s">
        <v>14</v>
      </c>
      <c r="B457">
        <v>2030</v>
      </c>
      <c r="C457" t="s">
        <v>78</v>
      </c>
      <c r="D457" t="s">
        <v>136</v>
      </c>
      <c r="E457">
        <v>1.63527734774431E-2</v>
      </c>
      <c r="F457">
        <v>1.63527734774431E-2</v>
      </c>
      <c r="G457">
        <v>0</v>
      </c>
      <c r="H457">
        <v>0</v>
      </c>
      <c r="I457" t="s">
        <v>79</v>
      </c>
    </row>
    <row r="458" spans="1:9" x14ac:dyDescent="0.35">
      <c r="A458" t="s">
        <v>14</v>
      </c>
      <c r="B458">
        <v>2030</v>
      </c>
      <c r="C458" t="s">
        <v>78</v>
      </c>
      <c r="D458" t="s">
        <v>45</v>
      </c>
      <c r="E458">
        <v>1.06282297570444E-4</v>
      </c>
      <c r="F458">
        <v>1.06282297570444E-4</v>
      </c>
      <c r="G458">
        <v>0</v>
      </c>
      <c r="H458">
        <v>0</v>
      </c>
      <c r="I458" t="s">
        <v>79</v>
      </c>
    </row>
    <row r="459" spans="1:9" x14ac:dyDescent="0.35">
      <c r="A459" t="s">
        <v>14</v>
      </c>
      <c r="B459">
        <v>2030</v>
      </c>
      <c r="C459" t="s">
        <v>78</v>
      </c>
      <c r="D459" t="s">
        <v>46</v>
      </c>
      <c r="E459">
        <v>1.9985194326747301E-3</v>
      </c>
      <c r="F459">
        <v>1.9985194326747301E-3</v>
      </c>
      <c r="G459">
        <v>0</v>
      </c>
      <c r="H459">
        <v>0</v>
      </c>
      <c r="I459" t="s">
        <v>79</v>
      </c>
    </row>
    <row r="460" spans="1:9" x14ac:dyDescent="0.35">
      <c r="A460" t="s">
        <v>14</v>
      </c>
      <c r="B460">
        <v>2030</v>
      </c>
      <c r="C460" t="s">
        <v>78</v>
      </c>
      <c r="D460" t="s">
        <v>47</v>
      </c>
      <c r="E460" s="1">
        <v>6.4406681675836703E-6</v>
      </c>
      <c r="F460" s="1">
        <v>6.4406681675836703E-6</v>
      </c>
      <c r="G460">
        <v>0</v>
      </c>
      <c r="H460">
        <v>0</v>
      </c>
      <c r="I460" t="s">
        <v>79</v>
      </c>
    </row>
    <row r="461" spans="1:9" x14ac:dyDescent="0.35">
      <c r="A461" t="s">
        <v>14</v>
      </c>
      <c r="B461">
        <v>2030</v>
      </c>
      <c r="C461" t="s">
        <v>78</v>
      </c>
      <c r="D461" t="s">
        <v>48</v>
      </c>
      <c r="E461">
        <v>46.972603670208599</v>
      </c>
      <c r="F461">
        <v>46.972603670208599</v>
      </c>
      <c r="G461">
        <v>0</v>
      </c>
      <c r="H461">
        <v>0</v>
      </c>
      <c r="I461" t="s">
        <v>79</v>
      </c>
    </row>
    <row r="462" spans="1:9" x14ac:dyDescent="0.35">
      <c r="A462" t="s">
        <v>14</v>
      </c>
      <c r="B462">
        <v>2030</v>
      </c>
      <c r="C462" t="s">
        <v>78</v>
      </c>
      <c r="D462" t="s">
        <v>49</v>
      </c>
      <c r="E462">
        <v>2.6758632842727197E-4</v>
      </c>
      <c r="F462">
        <v>2.6758632842727197E-4</v>
      </c>
      <c r="G462">
        <v>0</v>
      </c>
      <c r="H462">
        <v>0</v>
      </c>
      <c r="I462" t="s">
        <v>79</v>
      </c>
    </row>
    <row r="463" spans="1:9" x14ac:dyDescent="0.35">
      <c r="A463" t="s">
        <v>14</v>
      </c>
      <c r="B463">
        <v>2030</v>
      </c>
      <c r="C463" t="s">
        <v>78</v>
      </c>
      <c r="D463" t="s">
        <v>50</v>
      </c>
      <c r="E463">
        <v>1.4486401225741899E-3</v>
      </c>
      <c r="F463">
        <v>1.4486401225741899E-3</v>
      </c>
      <c r="G463">
        <v>0</v>
      </c>
      <c r="H463">
        <v>0</v>
      </c>
      <c r="I463" t="s">
        <v>79</v>
      </c>
    </row>
    <row r="464" spans="1:9" x14ac:dyDescent="0.35">
      <c r="A464" t="s">
        <v>14</v>
      </c>
      <c r="B464">
        <v>2030</v>
      </c>
      <c r="C464" t="s">
        <v>78</v>
      </c>
      <c r="D464" t="s">
        <v>51</v>
      </c>
      <c r="E464">
        <v>2.2965437156534499E-2</v>
      </c>
      <c r="F464">
        <v>2.2965437156534499E-2</v>
      </c>
      <c r="G464">
        <v>0</v>
      </c>
      <c r="H464">
        <v>0</v>
      </c>
      <c r="I464" t="s">
        <v>79</v>
      </c>
    </row>
    <row r="465" spans="1:9" x14ac:dyDescent="0.35">
      <c r="A465" t="s">
        <v>14</v>
      </c>
      <c r="B465">
        <v>2030</v>
      </c>
      <c r="C465" t="s">
        <v>78</v>
      </c>
      <c r="D465" t="s">
        <v>52</v>
      </c>
      <c r="E465">
        <v>1.1897927574247801E-3</v>
      </c>
      <c r="F465">
        <v>1.1897927574247801E-3</v>
      </c>
      <c r="G465">
        <v>0</v>
      </c>
      <c r="H465">
        <v>0</v>
      </c>
      <c r="I465" t="s">
        <v>79</v>
      </c>
    </row>
    <row r="466" spans="1:9" x14ac:dyDescent="0.35">
      <c r="A466" t="s">
        <v>14</v>
      </c>
      <c r="B466">
        <v>2030</v>
      </c>
      <c r="C466" t="s">
        <v>78</v>
      </c>
      <c r="D466" t="s">
        <v>53</v>
      </c>
      <c r="E466">
        <v>4.8739743439576997E-3</v>
      </c>
      <c r="F466">
        <v>4.8739743439576997E-3</v>
      </c>
      <c r="G466">
        <v>0</v>
      </c>
      <c r="H466">
        <v>0</v>
      </c>
      <c r="I466" t="s">
        <v>79</v>
      </c>
    </row>
    <row r="467" spans="1:9" x14ac:dyDescent="0.35">
      <c r="A467" t="s">
        <v>14</v>
      </c>
      <c r="B467">
        <v>2030</v>
      </c>
      <c r="C467" t="s">
        <v>78</v>
      </c>
      <c r="D467" t="s">
        <v>54</v>
      </c>
      <c r="E467">
        <v>1.9828208771009298E-3</v>
      </c>
      <c r="F467">
        <v>1.9828208771009298E-3</v>
      </c>
      <c r="G467">
        <v>0</v>
      </c>
      <c r="H467">
        <v>0</v>
      </c>
      <c r="I467" t="s">
        <v>79</v>
      </c>
    </row>
    <row r="468" spans="1:9" x14ac:dyDescent="0.35">
      <c r="A468" t="s">
        <v>14</v>
      </c>
      <c r="B468">
        <v>2030</v>
      </c>
      <c r="C468" t="s">
        <v>78</v>
      </c>
      <c r="D468" t="s">
        <v>55</v>
      </c>
      <c r="E468">
        <v>1.8169343023232999E-3</v>
      </c>
      <c r="F468">
        <v>1.8169343023232999E-3</v>
      </c>
      <c r="G468">
        <v>0</v>
      </c>
      <c r="H468">
        <v>0</v>
      </c>
      <c r="I468" t="s">
        <v>79</v>
      </c>
    </row>
    <row r="469" spans="1:9" x14ac:dyDescent="0.35">
      <c r="A469" t="s">
        <v>14</v>
      </c>
      <c r="B469">
        <v>2030</v>
      </c>
      <c r="C469" t="s">
        <v>78</v>
      </c>
      <c r="D469" t="s">
        <v>56</v>
      </c>
      <c r="E469" s="1">
        <v>1.5939842288291601E-9</v>
      </c>
      <c r="F469" s="1">
        <v>1.5939842288291601E-9</v>
      </c>
      <c r="G469">
        <v>0</v>
      </c>
      <c r="H469">
        <v>0</v>
      </c>
      <c r="I469" t="s">
        <v>79</v>
      </c>
    </row>
    <row r="470" spans="1:9" x14ac:dyDescent="0.35">
      <c r="A470" t="s">
        <v>16</v>
      </c>
      <c r="B470">
        <v>2035</v>
      </c>
      <c r="C470" t="s">
        <v>78</v>
      </c>
      <c r="D470" t="s">
        <v>38</v>
      </c>
      <c r="E470" s="1">
        <v>8.4806655523512006E-6</v>
      </c>
      <c r="F470" s="1">
        <v>8.4806655523512006E-6</v>
      </c>
      <c r="G470">
        <v>0</v>
      </c>
      <c r="H470">
        <v>0</v>
      </c>
      <c r="I470" t="s">
        <v>79</v>
      </c>
    </row>
    <row r="471" spans="1:9" x14ac:dyDescent="0.35">
      <c r="A471" t="s">
        <v>16</v>
      </c>
      <c r="B471">
        <v>2035</v>
      </c>
      <c r="C471" t="s">
        <v>78</v>
      </c>
      <c r="D471" t="s">
        <v>40</v>
      </c>
      <c r="E471" s="1">
        <v>7.7491676043650199E-5</v>
      </c>
      <c r="F471" s="1">
        <v>7.7491676043650199E-5</v>
      </c>
      <c r="G471">
        <v>0</v>
      </c>
      <c r="H471">
        <v>0</v>
      </c>
      <c r="I471" t="s">
        <v>79</v>
      </c>
    </row>
    <row r="472" spans="1:9" x14ac:dyDescent="0.35">
      <c r="A472" t="s">
        <v>16</v>
      </c>
      <c r="B472">
        <v>2035</v>
      </c>
      <c r="C472" t="s">
        <v>78</v>
      </c>
      <c r="D472" t="s">
        <v>41</v>
      </c>
      <c r="E472">
        <v>3.09745690143158E-4</v>
      </c>
      <c r="F472">
        <v>3.09745690143158E-4</v>
      </c>
      <c r="G472">
        <v>0</v>
      </c>
      <c r="H472">
        <v>0</v>
      </c>
      <c r="I472" t="s">
        <v>79</v>
      </c>
    </row>
    <row r="473" spans="1:9" x14ac:dyDescent="0.35">
      <c r="A473" t="s">
        <v>16</v>
      </c>
      <c r="B473">
        <v>2035</v>
      </c>
      <c r="C473" t="s">
        <v>78</v>
      </c>
      <c r="D473" t="s">
        <v>42</v>
      </c>
      <c r="E473">
        <v>1.40048258070574E-2</v>
      </c>
      <c r="F473">
        <v>1.40048258070574E-2</v>
      </c>
      <c r="G473">
        <v>0</v>
      </c>
      <c r="H473">
        <v>0</v>
      </c>
      <c r="I473" t="s">
        <v>79</v>
      </c>
    </row>
    <row r="474" spans="1:9" x14ac:dyDescent="0.35">
      <c r="A474" t="s">
        <v>16</v>
      </c>
      <c r="B474">
        <v>2035</v>
      </c>
      <c r="C474" t="s">
        <v>78</v>
      </c>
      <c r="D474" t="s">
        <v>43</v>
      </c>
      <c r="E474">
        <v>1.04639768303373E-4</v>
      </c>
      <c r="F474">
        <v>1.04639768303373E-4</v>
      </c>
      <c r="G474">
        <v>0</v>
      </c>
      <c r="H474">
        <v>0</v>
      </c>
      <c r="I474" t="s">
        <v>79</v>
      </c>
    </row>
    <row r="475" spans="1:9" x14ac:dyDescent="0.35">
      <c r="A475" t="s">
        <v>16</v>
      </c>
      <c r="B475">
        <v>2035</v>
      </c>
      <c r="C475" t="s">
        <v>78</v>
      </c>
      <c r="D475" t="s">
        <v>136</v>
      </c>
      <c r="E475">
        <v>1.6480821920385299E-2</v>
      </c>
      <c r="F475">
        <v>1.6480821920385299E-2</v>
      </c>
      <c r="G475">
        <v>0</v>
      </c>
      <c r="H475">
        <v>0</v>
      </c>
      <c r="I475" t="s">
        <v>79</v>
      </c>
    </row>
    <row r="476" spans="1:9" x14ac:dyDescent="0.35">
      <c r="A476" t="s">
        <v>16</v>
      </c>
      <c r="B476">
        <v>2035</v>
      </c>
      <c r="C476" t="s">
        <v>78</v>
      </c>
      <c r="D476" t="s">
        <v>45</v>
      </c>
      <c r="E476">
        <v>1.05069121210151E-4</v>
      </c>
      <c r="F476">
        <v>1.05069121210151E-4</v>
      </c>
      <c r="G476">
        <v>0</v>
      </c>
      <c r="H476">
        <v>0</v>
      </c>
      <c r="I476" t="s">
        <v>79</v>
      </c>
    </row>
    <row r="477" spans="1:9" x14ac:dyDescent="0.35">
      <c r="A477" t="s">
        <v>16</v>
      </c>
      <c r="B477">
        <v>2035</v>
      </c>
      <c r="C477" t="s">
        <v>78</v>
      </c>
      <c r="D477" t="s">
        <v>46</v>
      </c>
      <c r="E477">
        <v>2.6254929343234299E-3</v>
      </c>
      <c r="F477">
        <v>2.6254929343234299E-3</v>
      </c>
      <c r="G477">
        <v>0</v>
      </c>
      <c r="H477">
        <v>0</v>
      </c>
      <c r="I477" t="s">
        <v>79</v>
      </c>
    </row>
    <row r="478" spans="1:9" x14ac:dyDescent="0.35">
      <c r="A478" t="s">
        <v>16</v>
      </c>
      <c r="B478">
        <v>2035</v>
      </c>
      <c r="C478" t="s">
        <v>78</v>
      </c>
      <c r="D478" t="s">
        <v>47</v>
      </c>
      <c r="E478" s="1">
        <v>6.8327064031237196E-6</v>
      </c>
      <c r="F478" s="1">
        <v>6.8327064031237196E-6</v>
      </c>
      <c r="G478">
        <v>0</v>
      </c>
      <c r="H478">
        <v>0</v>
      </c>
      <c r="I478" t="s">
        <v>79</v>
      </c>
    </row>
    <row r="479" spans="1:9" x14ac:dyDescent="0.35">
      <c r="A479" t="s">
        <v>16</v>
      </c>
      <c r="B479">
        <v>2035</v>
      </c>
      <c r="C479" t="s">
        <v>78</v>
      </c>
      <c r="D479" t="s">
        <v>48</v>
      </c>
      <c r="E479">
        <v>46.972588126218803</v>
      </c>
      <c r="F479">
        <v>46.972588126218803</v>
      </c>
      <c r="G479">
        <v>0</v>
      </c>
      <c r="H479">
        <v>0</v>
      </c>
      <c r="I479" t="s">
        <v>79</v>
      </c>
    </row>
    <row r="480" spans="1:9" x14ac:dyDescent="0.35">
      <c r="A480" t="s">
        <v>16</v>
      </c>
      <c r="B480">
        <v>2035</v>
      </c>
      <c r="C480" t="s">
        <v>78</v>
      </c>
      <c r="D480" t="s">
        <v>49</v>
      </c>
      <c r="E480">
        <v>2.6734386364354401E-4</v>
      </c>
      <c r="F480">
        <v>2.6734386364354401E-4</v>
      </c>
      <c r="G480">
        <v>0</v>
      </c>
      <c r="H480">
        <v>0</v>
      </c>
      <c r="I480" t="s">
        <v>79</v>
      </c>
    </row>
    <row r="481" spans="1:9" x14ac:dyDescent="0.35">
      <c r="A481" t="s">
        <v>16</v>
      </c>
      <c r="B481">
        <v>2035</v>
      </c>
      <c r="C481" t="s">
        <v>78</v>
      </c>
      <c r="D481" t="s">
        <v>50</v>
      </c>
      <c r="E481">
        <v>1.4576376389811201E-3</v>
      </c>
      <c r="F481">
        <v>1.4576376389811201E-3</v>
      </c>
      <c r="G481">
        <v>0</v>
      </c>
      <c r="H481">
        <v>0</v>
      </c>
      <c r="I481" t="s">
        <v>79</v>
      </c>
    </row>
    <row r="482" spans="1:9" x14ac:dyDescent="0.35">
      <c r="A482" t="s">
        <v>16</v>
      </c>
      <c r="B482">
        <v>2035</v>
      </c>
      <c r="C482" t="s">
        <v>78</v>
      </c>
      <c r="D482" t="s">
        <v>51</v>
      </c>
      <c r="E482">
        <v>2.2990718933989001E-2</v>
      </c>
      <c r="F482">
        <v>2.2990718933989001E-2</v>
      </c>
      <c r="G482">
        <v>0</v>
      </c>
      <c r="H482">
        <v>0</v>
      </c>
      <c r="I482" t="s">
        <v>79</v>
      </c>
    </row>
    <row r="483" spans="1:9" x14ac:dyDescent="0.35">
      <c r="A483" t="s">
        <v>16</v>
      </c>
      <c r="B483">
        <v>2035</v>
      </c>
      <c r="C483" t="s">
        <v>78</v>
      </c>
      <c r="D483" t="s">
        <v>52</v>
      </c>
      <c r="E483">
        <v>1.0748800360118999E-3</v>
      </c>
      <c r="F483">
        <v>1.0748800360118999E-3</v>
      </c>
      <c r="G483">
        <v>0</v>
      </c>
      <c r="H483">
        <v>0</v>
      </c>
      <c r="I483" t="s">
        <v>79</v>
      </c>
    </row>
    <row r="484" spans="1:9" x14ac:dyDescent="0.35">
      <c r="A484" t="s">
        <v>16</v>
      </c>
      <c r="B484">
        <v>2035</v>
      </c>
      <c r="C484" t="s">
        <v>78</v>
      </c>
      <c r="D484" t="s">
        <v>53</v>
      </c>
      <c r="E484">
        <v>4.8600529680197999E-3</v>
      </c>
      <c r="F484">
        <v>4.8600529680197999E-3</v>
      </c>
      <c r="G484">
        <v>0</v>
      </c>
      <c r="H484">
        <v>0</v>
      </c>
      <c r="I484" t="s">
        <v>79</v>
      </c>
    </row>
    <row r="485" spans="1:9" x14ac:dyDescent="0.35">
      <c r="A485" t="s">
        <v>16</v>
      </c>
      <c r="B485">
        <v>2035</v>
      </c>
      <c r="C485" t="s">
        <v>78</v>
      </c>
      <c r="D485" t="s">
        <v>54</v>
      </c>
      <c r="E485">
        <v>2.0018974953949502E-3</v>
      </c>
      <c r="F485">
        <v>2.0018974953949502E-3</v>
      </c>
      <c r="G485">
        <v>0</v>
      </c>
      <c r="H485">
        <v>0</v>
      </c>
      <c r="I485" t="s">
        <v>79</v>
      </c>
    </row>
    <row r="486" spans="1:9" x14ac:dyDescent="0.35">
      <c r="A486" t="s">
        <v>16</v>
      </c>
      <c r="B486">
        <v>2035</v>
      </c>
      <c r="C486" t="s">
        <v>78</v>
      </c>
      <c r="D486" t="s">
        <v>55</v>
      </c>
      <c r="E486">
        <v>1.8338261528867499E-3</v>
      </c>
      <c r="F486">
        <v>1.8338261528867499E-3</v>
      </c>
      <c r="G486">
        <v>0</v>
      </c>
      <c r="H486">
        <v>0</v>
      </c>
      <c r="I486" t="s">
        <v>79</v>
      </c>
    </row>
    <row r="487" spans="1:9" x14ac:dyDescent="0.35">
      <c r="A487" t="s">
        <v>16</v>
      </c>
      <c r="B487">
        <v>2035</v>
      </c>
      <c r="C487" t="s">
        <v>78</v>
      </c>
      <c r="D487" t="s">
        <v>56</v>
      </c>
      <c r="E487" s="1">
        <v>1.45694418106973E-9</v>
      </c>
      <c r="F487" s="1">
        <v>1.45694418106973E-9</v>
      </c>
      <c r="G487">
        <v>0</v>
      </c>
      <c r="H487">
        <v>0</v>
      </c>
      <c r="I487" t="s">
        <v>79</v>
      </c>
    </row>
    <row r="488" spans="1:9" x14ac:dyDescent="0.35">
      <c r="A488" t="s">
        <v>18</v>
      </c>
      <c r="B488">
        <v>2040</v>
      </c>
      <c r="C488" t="s">
        <v>78</v>
      </c>
      <c r="D488" t="s">
        <v>38</v>
      </c>
      <c r="E488" s="1">
        <v>1.3572432803479501E-5</v>
      </c>
      <c r="F488" s="1">
        <v>1.3572423340344799E-5</v>
      </c>
      <c r="G488" s="1">
        <v>-9.4631347300356395E-12</v>
      </c>
      <c r="H488" s="1">
        <v>-6.9723201927436303E-5</v>
      </c>
      <c r="I488" t="s">
        <v>79</v>
      </c>
    </row>
    <row r="489" spans="1:9" x14ac:dyDescent="0.35">
      <c r="A489" t="s">
        <v>18</v>
      </c>
      <c r="B489">
        <v>2040</v>
      </c>
      <c r="C489" t="s">
        <v>78</v>
      </c>
      <c r="D489" t="s">
        <v>40</v>
      </c>
      <c r="E489" s="1">
        <v>7.7203229041227905E-5</v>
      </c>
      <c r="F489" s="1">
        <v>7.7203229041227905E-5</v>
      </c>
      <c r="G489">
        <v>0</v>
      </c>
      <c r="H489">
        <v>0</v>
      </c>
      <c r="I489" t="s">
        <v>79</v>
      </c>
    </row>
    <row r="490" spans="1:9" x14ac:dyDescent="0.35">
      <c r="A490" t="s">
        <v>18</v>
      </c>
      <c r="B490">
        <v>2040</v>
      </c>
      <c r="C490" t="s">
        <v>78</v>
      </c>
      <c r="D490" t="s">
        <v>41</v>
      </c>
      <c r="E490">
        <v>3.0970085181146901E-4</v>
      </c>
      <c r="F490">
        <v>3.0970085181146901E-4</v>
      </c>
      <c r="G490">
        <v>0</v>
      </c>
      <c r="H490">
        <v>0</v>
      </c>
      <c r="I490" t="s">
        <v>79</v>
      </c>
    </row>
    <row r="491" spans="1:9" x14ac:dyDescent="0.35">
      <c r="A491" t="s">
        <v>18</v>
      </c>
      <c r="B491">
        <v>2040</v>
      </c>
      <c r="C491" t="s">
        <v>78</v>
      </c>
      <c r="D491" t="s">
        <v>42</v>
      </c>
      <c r="E491">
        <v>1.45893393157152E-2</v>
      </c>
      <c r="F491">
        <v>1.45893392815291E-2</v>
      </c>
      <c r="G491" s="1">
        <v>-3.41860654368142E-11</v>
      </c>
      <c r="H491" s="1">
        <v>-2.3432223143915701E-7</v>
      </c>
      <c r="I491" t="s">
        <v>79</v>
      </c>
    </row>
    <row r="492" spans="1:9" x14ac:dyDescent="0.35">
      <c r="A492" t="s">
        <v>18</v>
      </c>
      <c r="B492">
        <v>2040</v>
      </c>
      <c r="C492" t="s">
        <v>78</v>
      </c>
      <c r="D492" t="s">
        <v>43</v>
      </c>
      <c r="E492">
        <v>1.05688220797913E-4</v>
      </c>
      <c r="F492">
        <v>1.05688220797913E-4</v>
      </c>
      <c r="G492">
        <v>0</v>
      </c>
      <c r="H492">
        <v>0</v>
      </c>
      <c r="I492" t="s">
        <v>79</v>
      </c>
    </row>
    <row r="493" spans="1:9" x14ac:dyDescent="0.35">
      <c r="A493" t="s">
        <v>18</v>
      </c>
      <c r="B493">
        <v>2040</v>
      </c>
      <c r="C493" t="s">
        <v>78</v>
      </c>
      <c r="D493" t="s">
        <v>136</v>
      </c>
      <c r="E493">
        <v>1.7084639149111101E-2</v>
      </c>
      <c r="F493">
        <v>1.7084639149111101E-2</v>
      </c>
      <c r="G493">
        <v>0</v>
      </c>
      <c r="H493">
        <v>0</v>
      </c>
      <c r="I493" t="s">
        <v>79</v>
      </c>
    </row>
    <row r="494" spans="1:9" x14ac:dyDescent="0.35">
      <c r="A494" t="s">
        <v>18</v>
      </c>
      <c r="B494">
        <v>2040</v>
      </c>
      <c r="C494" t="s">
        <v>78</v>
      </c>
      <c r="D494" t="s">
        <v>45</v>
      </c>
      <c r="E494">
        <v>1.04951536130628E-4</v>
      </c>
      <c r="F494">
        <v>1.04845515035379E-4</v>
      </c>
      <c r="G494" s="1">
        <v>-1.06021095248556E-7</v>
      </c>
      <c r="H494">
        <v>-0.101019098106955</v>
      </c>
      <c r="I494" t="s">
        <v>79</v>
      </c>
    </row>
    <row r="495" spans="1:9" x14ac:dyDescent="0.35">
      <c r="A495" t="s">
        <v>18</v>
      </c>
      <c r="B495">
        <v>2040</v>
      </c>
      <c r="C495" t="s">
        <v>78</v>
      </c>
      <c r="D495" t="s">
        <v>46</v>
      </c>
      <c r="E495">
        <v>3.3962278959942202E-3</v>
      </c>
      <c r="F495">
        <v>3.3962278959942202E-3</v>
      </c>
      <c r="G495">
        <v>0</v>
      </c>
      <c r="H495">
        <v>0</v>
      </c>
      <c r="I495" t="s">
        <v>79</v>
      </c>
    </row>
    <row r="496" spans="1:9" x14ac:dyDescent="0.35">
      <c r="A496" t="s">
        <v>18</v>
      </c>
      <c r="B496">
        <v>2040</v>
      </c>
      <c r="C496" t="s">
        <v>78</v>
      </c>
      <c r="D496" t="s">
        <v>47</v>
      </c>
      <c r="E496" s="1">
        <v>7.6641247175697607E-6</v>
      </c>
      <c r="F496" s="1">
        <v>7.6641247175697607E-6</v>
      </c>
      <c r="G496">
        <v>0</v>
      </c>
      <c r="H496">
        <v>0</v>
      </c>
      <c r="I496" t="s">
        <v>79</v>
      </c>
    </row>
    <row r="497" spans="1:9" x14ac:dyDescent="0.35">
      <c r="A497" t="s">
        <v>18</v>
      </c>
      <c r="B497">
        <v>2040</v>
      </c>
      <c r="C497" t="s">
        <v>78</v>
      </c>
      <c r="D497" t="s">
        <v>48</v>
      </c>
      <c r="E497">
        <v>46.972599196066497</v>
      </c>
      <c r="F497">
        <v>46.972599196066497</v>
      </c>
      <c r="G497">
        <v>0</v>
      </c>
      <c r="H497">
        <v>0</v>
      </c>
      <c r="I497" t="s">
        <v>79</v>
      </c>
    </row>
    <row r="498" spans="1:9" x14ac:dyDescent="0.35">
      <c r="A498" t="s">
        <v>18</v>
      </c>
      <c r="B498">
        <v>2040</v>
      </c>
      <c r="C498" t="s">
        <v>78</v>
      </c>
      <c r="D498" t="s">
        <v>49</v>
      </c>
      <c r="E498">
        <v>2.6875652850035197E-4</v>
      </c>
      <c r="F498">
        <v>2.6875652850035197E-4</v>
      </c>
      <c r="G498">
        <v>0</v>
      </c>
      <c r="H498">
        <v>0</v>
      </c>
      <c r="I498" t="s">
        <v>79</v>
      </c>
    </row>
    <row r="499" spans="1:9" x14ac:dyDescent="0.35">
      <c r="A499" t="s">
        <v>18</v>
      </c>
      <c r="B499">
        <v>2040</v>
      </c>
      <c r="C499" t="s">
        <v>78</v>
      </c>
      <c r="D499" t="s">
        <v>50</v>
      </c>
      <c r="E499">
        <v>1.47054779490032E-3</v>
      </c>
      <c r="F499">
        <v>1.47054779490032E-3</v>
      </c>
      <c r="G499">
        <v>0</v>
      </c>
      <c r="H499">
        <v>0</v>
      </c>
      <c r="I499" t="s">
        <v>79</v>
      </c>
    </row>
    <row r="500" spans="1:9" x14ac:dyDescent="0.35">
      <c r="A500" t="s">
        <v>18</v>
      </c>
      <c r="B500">
        <v>2040</v>
      </c>
      <c r="C500" t="s">
        <v>78</v>
      </c>
      <c r="D500" t="s">
        <v>51</v>
      </c>
      <c r="E500">
        <v>2.3023009019301401E-2</v>
      </c>
      <c r="F500">
        <v>2.3023009019301401E-2</v>
      </c>
      <c r="G500">
        <v>0</v>
      </c>
      <c r="H500">
        <v>0</v>
      </c>
      <c r="I500" t="s">
        <v>79</v>
      </c>
    </row>
    <row r="501" spans="1:9" x14ac:dyDescent="0.35">
      <c r="A501" t="s">
        <v>18</v>
      </c>
      <c r="B501">
        <v>2040</v>
      </c>
      <c r="C501" t="s">
        <v>78</v>
      </c>
      <c r="D501" t="s">
        <v>52</v>
      </c>
      <c r="E501">
        <v>9.52712511045225E-4</v>
      </c>
      <c r="F501">
        <v>9.52712511045225E-4</v>
      </c>
      <c r="G501">
        <v>0</v>
      </c>
      <c r="H501">
        <v>0</v>
      </c>
      <c r="I501" t="s">
        <v>79</v>
      </c>
    </row>
    <row r="502" spans="1:9" x14ac:dyDescent="0.35">
      <c r="A502" t="s">
        <v>18</v>
      </c>
      <c r="B502">
        <v>2040</v>
      </c>
      <c r="C502" t="s">
        <v>78</v>
      </c>
      <c r="D502" t="s">
        <v>53</v>
      </c>
      <c r="E502">
        <v>4.93899321181142E-3</v>
      </c>
      <c r="F502">
        <v>4.93899321181142E-3</v>
      </c>
      <c r="G502">
        <v>0</v>
      </c>
      <c r="H502">
        <v>0</v>
      </c>
      <c r="I502" t="s">
        <v>79</v>
      </c>
    </row>
    <row r="503" spans="1:9" x14ac:dyDescent="0.35">
      <c r="A503" t="s">
        <v>18</v>
      </c>
      <c r="B503">
        <v>2040</v>
      </c>
      <c r="C503" t="s">
        <v>78</v>
      </c>
      <c r="D503" t="s">
        <v>54</v>
      </c>
      <c r="E503">
        <v>2.0327566754493199E-3</v>
      </c>
      <c r="F503">
        <v>2.0327566730979699E-3</v>
      </c>
      <c r="G503" s="1">
        <v>-2.35134524698144E-12</v>
      </c>
      <c r="H503" s="1">
        <v>-1.15672735226005E-7</v>
      </c>
      <c r="I503" t="s">
        <v>79</v>
      </c>
    </row>
    <row r="504" spans="1:9" x14ac:dyDescent="0.35">
      <c r="A504" t="s">
        <v>18</v>
      </c>
      <c r="B504">
        <v>2040</v>
      </c>
      <c r="C504" t="s">
        <v>78</v>
      </c>
      <c r="D504" t="s">
        <v>55</v>
      </c>
      <c r="E504">
        <v>1.86156461002138E-3</v>
      </c>
      <c r="F504">
        <v>1.86156375861181E-3</v>
      </c>
      <c r="G504" s="1">
        <v>-8.5140957045010103E-10</v>
      </c>
      <c r="H504" s="1">
        <v>-4.5736235308014397E-5</v>
      </c>
      <c r="I504" t="s">
        <v>79</v>
      </c>
    </row>
    <row r="505" spans="1:9" x14ac:dyDescent="0.35">
      <c r="A505" t="s">
        <v>18</v>
      </c>
      <c r="B505">
        <v>2040</v>
      </c>
      <c r="C505" t="s">
        <v>78</v>
      </c>
      <c r="D505" t="s">
        <v>56</v>
      </c>
      <c r="E505" s="1">
        <v>1.2993158161214899E-9</v>
      </c>
      <c r="F505" s="1">
        <v>1.2993158161214899E-9</v>
      </c>
      <c r="G505">
        <v>0</v>
      </c>
      <c r="H505">
        <v>0</v>
      </c>
      <c r="I505" t="s">
        <v>79</v>
      </c>
    </row>
    <row r="506" spans="1:9" x14ac:dyDescent="0.35">
      <c r="A506" t="s">
        <v>12</v>
      </c>
      <c r="B506">
        <v>2025</v>
      </c>
      <c r="C506" t="s">
        <v>37</v>
      </c>
      <c r="D506" t="s">
        <v>38</v>
      </c>
      <c r="E506">
        <v>1.93323703879962E-3</v>
      </c>
      <c r="F506">
        <v>1.93323703879962E-3</v>
      </c>
      <c r="G506">
        <v>0</v>
      </c>
      <c r="H506">
        <v>0</v>
      </c>
      <c r="I506" t="s">
        <v>39</v>
      </c>
    </row>
    <row r="507" spans="1:9" x14ac:dyDescent="0.35">
      <c r="A507" t="s">
        <v>12</v>
      </c>
      <c r="B507">
        <v>2025</v>
      </c>
      <c r="C507" t="s">
        <v>37</v>
      </c>
      <c r="D507" t="s">
        <v>40</v>
      </c>
      <c r="E507">
        <v>8.4128689397909497E-4</v>
      </c>
      <c r="F507">
        <v>8.4128689397909497E-4</v>
      </c>
      <c r="G507">
        <v>0</v>
      </c>
      <c r="H507">
        <v>0</v>
      </c>
      <c r="I507" t="s">
        <v>39</v>
      </c>
    </row>
    <row r="508" spans="1:9" x14ac:dyDescent="0.35">
      <c r="A508" t="s">
        <v>12</v>
      </c>
      <c r="B508">
        <v>2025</v>
      </c>
      <c r="C508" t="s">
        <v>37</v>
      </c>
      <c r="D508" t="s">
        <v>41</v>
      </c>
      <c r="E508">
        <v>0.61204841394053999</v>
      </c>
      <c r="F508">
        <v>0.61204841394053999</v>
      </c>
      <c r="G508">
        <v>0</v>
      </c>
      <c r="H508">
        <v>0</v>
      </c>
      <c r="I508" t="s">
        <v>39</v>
      </c>
    </row>
    <row r="509" spans="1:9" x14ac:dyDescent="0.35">
      <c r="A509" t="s">
        <v>12</v>
      </c>
      <c r="B509">
        <v>2025</v>
      </c>
      <c r="C509" t="s">
        <v>37</v>
      </c>
      <c r="D509" t="s">
        <v>42</v>
      </c>
      <c r="E509">
        <v>11.227108805319199</v>
      </c>
      <c r="F509">
        <v>11.227108805319199</v>
      </c>
      <c r="G509">
        <v>0</v>
      </c>
      <c r="H509">
        <v>0</v>
      </c>
      <c r="I509" t="s">
        <v>39</v>
      </c>
    </row>
    <row r="510" spans="1:9" x14ac:dyDescent="0.35">
      <c r="A510" t="s">
        <v>12</v>
      </c>
      <c r="B510">
        <v>2025</v>
      </c>
      <c r="C510" t="s">
        <v>37</v>
      </c>
      <c r="D510" t="s">
        <v>43</v>
      </c>
      <c r="E510">
        <v>6.3915886497794101E-3</v>
      </c>
      <c r="F510">
        <v>6.3915886497794101E-3</v>
      </c>
      <c r="G510">
        <v>0</v>
      </c>
      <c r="H510">
        <v>0</v>
      </c>
      <c r="I510" t="s">
        <v>39</v>
      </c>
    </row>
    <row r="511" spans="1:9" x14ac:dyDescent="0.35">
      <c r="A511" t="s">
        <v>12</v>
      </c>
      <c r="B511">
        <v>2025</v>
      </c>
      <c r="C511" t="s">
        <v>37</v>
      </c>
      <c r="D511" t="s">
        <v>136</v>
      </c>
      <c r="E511">
        <v>8.1731415139513199</v>
      </c>
      <c r="F511">
        <v>8.1731415139513199</v>
      </c>
      <c r="G511">
        <v>0</v>
      </c>
      <c r="H511">
        <v>0</v>
      </c>
      <c r="I511" t="s">
        <v>39</v>
      </c>
    </row>
    <row r="512" spans="1:9" x14ac:dyDescent="0.35">
      <c r="A512" t="s">
        <v>12</v>
      </c>
      <c r="B512">
        <v>2025</v>
      </c>
      <c r="C512" t="s">
        <v>37</v>
      </c>
      <c r="D512" t="s">
        <v>45</v>
      </c>
      <c r="E512">
        <v>1.47352940546407</v>
      </c>
      <c r="F512">
        <v>1.47352940546407</v>
      </c>
      <c r="G512">
        <v>0</v>
      </c>
      <c r="H512">
        <v>0</v>
      </c>
      <c r="I512" t="s">
        <v>39</v>
      </c>
    </row>
    <row r="513" spans="1:9" x14ac:dyDescent="0.35">
      <c r="A513" t="s">
        <v>12</v>
      </c>
      <c r="B513">
        <v>2025</v>
      </c>
      <c r="C513" t="s">
        <v>37</v>
      </c>
      <c r="D513" t="s">
        <v>46</v>
      </c>
      <c r="E513">
        <v>0.147701089019842</v>
      </c>
      <c r="F513">
        <v>0.147701089019842</v>
      </c>
      <c r="G513">
        <v>0</v>
      </c>
      <c r="H513">
        <v>0</v>
      </c>
      <c r="I513" t="s">
        <v>39</v>
      </c>
    </row>
    <row r="514" spans="1:9" x14ac:dyDescent="0.35">
      <c r="A514" t="s">
        <v>12</v>
      </c>
      <c r="B514">
        <v>2025</v>
      </c>
      <c r="C514" t="s">
        <v>37</v>
      </c>
      <c r="D514" t="s">
        <v>47</v>
      </c>
      <c r="E514">
        <v>4.2082184549400697E-3</v>
      </c>
      <c r="F514">
        <v>4.2082184549400697E-3</v>
      </c>
      <c r="G514">
        <v>0</v>
      </c>
      <c r="H514">
        <v>0</v>
      </c>
      <c r="I514" t="s">
        <v>39</v>
      </c>
    </row>
    <row r="515" spans="1:9" x14ac:dyDescent="0.35">
      <c r="A515" t="s">
        <v>12</v>
      </c>
      <c r="B515">
        <v>2025</v>
      </c>
      <c r="C515" t="s">
        <v>37</v>
      </c>
      <c r="D515" t="s">
        <v>48</v>
      </c>
      <c r="E515">
        <v>57.881613385559298</v>
      </c>
      <c r="F515">
        <v>57.881613385559298</v>
      </c>
      <c r="G515">
        <v>0</v>
      </c>
      <c r="H515">
        <v>0</v>
      </c>
      <c r="I515" t="s">
        <v>39</v>
      </c>
    </row>
    <row r="516" spans="1:9" x14ac:dyDescent="0.35">
      <c r="A516" t="s">
        <v>12</v>
      </c>
      <c r="B516">
        <v>2025</v>
      </c>
      <c r="C516" t="s">
        <v>37</v>
      </c>
      <c r="D516" t="s">
        <v>49</v>
      </c>
      <c r="E516">
        <v>7.3036726560779304</v>
      </c>
      <c r="F516">
        <v>7.3036726560779304</v>
      </c>
      <c r="G516">
        <v>0</v>
      </c>
      <c r="H516">
        <v>0</v>
      </c>
      <c r="I516" t="s">
        <v>39</v>
      </c>
    </row>
    <row r="517" spans="1:9" x14ac:dyDescent="0.35">
      <c r="A517" t="s">
        <v>12</v>
      </c>
      <c r="B517">
        <v>2025</v>
      </c>
      <c r="C517" t="s">
        <v>37</v>
      </c>
      <c r="D517" t="s">
        <v>50</v>
      </c>
      <c r="E517">
        <v>0.26870973731463299</v>
      </c>
      <c r="F517">
        <v>0.26870973731463299</v>
      </c>
      <c r="G517">
        <v>0</v>
      </c>
      <c r="H517">
        <v>0</v>
      </c>
      <c r="I517" t="s">
        <v>39</v>
      </c>
    </row>
    <row r="518" spans="1:9" x14ac:dyDescent="0.35">
      <c r="A518" t="s">
        <v>12</v>
      </c>
      <c r="B518">
        <v>2025</v>
      </c>
      <c r="C518" t="s">
        <v>37</v>
      </c>
      <c r="D518" t="s">
        <v>51</v>
      </c>
      <c r="E518">
        <v>0.18953009675972901</v>
      </c>
      <c r="F518">
        <v>0.18953009675972901</v>
      </c>
      <c r="G518">
        <v>0</v>
      </c>
      <c r="H518">
        <v>0</v>
      </c>
      <c r="I518" t="s">
        <v>39</v>
      </c>
    </row>
    <row r="519" spans="1:9" x14ac:dyDescent="0.35">
      <c r="A519" t="s">
        <v>12</v>
      </c>
      <c r="B519">
        <v>2025</v>
      </c>
      <c r="C519" t="s">
        <v>37</v>
      </c>
      <c r="D519" t="s">
        <v>52</v>
      </c>
      <c r="E519">
        <v>1.5232867036956199</v>
      </c>
      <c r="F519">
        <v>1.5232867036956199</v>
      </c>
      <c r="G519">
        <v>0</v>
      </c>
      <c r="H519">
        <v>0</v>
      </c>
      <c r="I519" t="s">
        <v>39</v>
      </c>
    </row>
    <row r="520" spans="1:9" x14ac:dyDescent="0.35">
      <c r="A520" t="s">
        <v>12</v>
      </c>
      <c r="B520">
        <v>2025</v>
      </c>
      <c r="C520" t="s">
        <v>37</v>
      </c>
      <c r="D520" t="s">
        <v>53</v>
      </c>
      <c r="E520">
        <v>2.9310680553065498</v>
      </c>
      <c r="F520">
        <v>2.9310680553065498</v>
      </c>
      <c r="G520">
        <v>0</v>
      </c>
      <c r="H520">
        <v>0</v>
      </c>
      <c r="I520" t="s">
        <v>39</v>
      </c>
    </row>
    <row r="521" spans="1:9" x14ac:dyDescent="0.35">
      <c r="A521" t="s">
        <v>12</v>
      </c>
      <c r="B521">
        <v>2025</v>
      </c>
      <c r="C521" t="s">
        <v>37</v>
      </c>
      <c r="D521" t="s">
        <v>54</v>
      </c>
      <c r="E521">
        <v>1.5468958441274501</v>
      </c>
      <c r="F521">
        <v>1.5468958441274501</v>
      </c>
      <c r="G521">
        <v>0</v>
      </c>
      <c r="H521">
        <v>0</v>
      </c>
      <c r="I521" t="s">
        <v>39</v>
      </c>
    </row>
    <row r="522" spans="1:9" x14ac:dyDescent="0.35">
      <c r="A522" t="s">
        <v>12</v>
      </c>
      <c r="B522">
        <v>2025</v>
      </c>
      <c r="C522" t="s">
        <v>37</v>
      </c>
      <c r="D522" t="s">
        <v>55</v>
      </c>
      <c r="E522">
        <v>1.4663493792414699</v>
      </c>
      <c r="F522">
        <v>1.4663493792414699</v>
      </c>
      <c r="G522">
        <v>0</v>
      </c>
      <c r="H522">
        <v>0</v>
      </c>
      <c r="I522" t="s">
        <v>39</v>
      </c>
    </row>
    <row r="523" spans="1:9" x14ac:dyDescent="0.35">
      <c r="A523" t="s">
        <v>12</v>
      </c>
      <c r="B523">
        <v>2025</v>
      </c>
      <c r="C523" t="s">
        <v>37</v>
      </c>
      <c r="D523" t="s">
        <v>56</v>
      </c>
      <c r="E523" s="1">
        <v>6.7926500966041001E-7</v>
      </c>
      <c r="F523" s="1">
        <v>6.7926500966041001E-7</v>
      </c>
      <c r="G523">
        <v>0</v>
      </c>
      <c r="H523">
        <v>0</v>
      </c>
      <c r="I523" t="s">
        <v>39</v>
      </c>
    </row>
    <row r="524" spans="1:9" x14ac:dyDescent="0.35">
      <c r="A524" t="s">
        <v>14</v>
      </c>
      <c r="B524">
        <v>2030</v>
      </c>
      <c r="C524" t="s">
        <v>37</v>
      </c>
      <c r="D524" t="s">
        <v>38</v>
      </c>
      <c r="E524">
        <v>1.9768459779516798E-3</v>
      </c>
      <c r="F524">
        <v>1.9768459779516798E-3</v>
      </c>
      <c r="G524">
        <v>0</v>
      </c>
      <c r="H524">
        <v>0</v>
      </c>
      <c r="I524" t="s">
        <v>39</v>
      </c>
    </row>
    <row r="525" spans="1:9" x14ac:dyDescent="0.35">
      <c r="A525" t="s">
        <v>14</v>
      </c>
      <c r="B525">
        <v>2030</v>
      </c>
      <c r="C525" t="s">
        <v>37</v>
      </c>
      <c r="D525" t="s">
        <v>40</v>
      </c>
      <c r="E525">
        <v>8.2151176872440003E-4</v>
      </c>
      <c r="F525">
        <v>8.2151176872440003E-4</v>
      </c>
      <c r="G525">
        <v>0</v>
      </c>
      <c r="H525">
        <v>0</v>
      </c>
      <c r="I525" t="s">
        <v>39</v>
      </c>
    </row>
    <row r="526" spans="1:9" x14ac:dyDescent="0.35">
      <c r="A526" t="s">
        <v>14</v>
      </c>
      <c r="B526">
        <v>2030</v>
      </c>
      <c r="C526" t="s">
        <v>37</v>
      </c>
      <c r="D526" t="s">
        <v>41</v>
      </c>
      <c r="E526">
        <v>0.61131650954924799</v>
      </c>
      <c r="F526">
        <v>0.61131650954924799</v>
      </c>
      <c r="G526">
        <v>0</v>
      </c>
      <c r="H526">
        <v>0</v>
      </c>
      <c r="I526" t="s">
        <v>39</v>
      </c>
    </row>
    <row r="527" spans="1:9" x14ac:dyDescent="0.35">
      <c r="A527" t="s">
        <v>14</v>
      </c>
      <c r="B527">
        <v>2030</v>
      </c>
      <c r="C527" t="s">
        <v>37</v>
      </c>
      <c r="D527" t="s">
        <v>42</v>
      </c>
      <c r="E527">
        <v>10.9833464453018</v>
      </c>
      <c r="F527">
        <v>10.9833464453018</v>
      </c>
      <c r="G527">
        <v>0</v>
      </c>
      <c r="H527">
        <v>0</v>
      </c>
      <c r="I527" t="s">
        <v>39</v>
      </c>
    </row>
    <row r="528" spans="1:9" x14ac:dyDescent="0.35">
      <c r="A528" t="s">
        <v>14</v>
      </c>
      <c r="B528">
        <v>2030</v>
      </c>
      <c r="C528" t="s">
        <v>37</v>
      </c>
      <c r="D528" t="s">
        <v>43</v>
      </c>
      <c r="E528">
        <v>6.06455692586146E-3</v>
      </c>
      <c r="F528">
        <v>6.06455692586146E-3</v>
      </c>
      <c r="G528">
        <v>0</v>
      </c>
      <c r="H528">
        <v>0</v>
      </c>
      <c r="I528" t="s">
        <v>39</v>
      </c>
    </row>
    <row r="529" spans="1:9" x14ac:dyDescent="0.35">
      <c r="A529" t="s">
        <v>14</v>
      </c>
      <c r="B529">
        <v>2030</v>
      </c>
      <c r="C529" t="s">
        <v>37</v>
      </c>
      <c r="D529" t="s">
        <v>136</v>
      </c>
      <c r="E529">
        <v>7.92380110187925</v>
      </c>
      <c r="F529">
        <v>7.92380110187925</v>
      </c>
      <c r="G529">
        <v>0</v>
      </c>
      <c r="H529">
        <v>0</v>
      </c>
      <c r="I529" t="s">
        <v>39</v>
      </c>
    </row>
    <row r="530" spans="1:9" x14ac:dyDescent="0.35">
      <c r="A530" t="s">
        <v>14</v>
      </c>
      <c r="B530">
        <v>2030</v>
      </c>
      <c r="C530" t="s">
        <v>37</v>
      </c>
      <c r="D530" t="s">
        <v>45</v>
      </c>
      <c r="E530">
        <v>1.4714876801444301</v>
      </c>
      <c r="F530">
        <v>1.4714876801444301</v>
      </c>
      <c r="G530">
        <v>0</v>
      </c>
      <c r="H530">
        <v>0</v>
      </c>
      <c r="I530" t="s">
        <v>39</v>
      </c>
    </row>
    <row r="531" spans="1:9" x14ac:dyDescent="0.35">
      <c r="A531" t="s">
        <v>14</v>
      </c>
      <c r="B531">
        <v>2030</v>
      </c>
      <c r="C531" t="s">
        <v>37</v>
      </c>
      <c r="D531" t="s">
        <v>46</v>
      </c>
      <c r="E531">
        <v>0.15657795544796699</v>
      </c>
      <c r="F531">
        <v>0.15657795544796699</v>
      </c>
      <c r="G531">
        <v>0</v>
      </c>
      <c r="H531">
        <v>0</v>
      </c>
      <c r="I531" t="s">
        <v>39</v>
      </c>
    </row>
    <row r="532" spans="1:9" x14ac:dyDescent="0.35">
      <c r="A532" t="s">
        <v>14</v>
      </c>
      <c r="B532">
        <v>2030</v>
      </c>
      <c r="C532" t="s">
        <v>37</v>
      </c>
      <c r="D532" t="s">
        <v>47</v>
      </c>
      <c r="E532">
        <v>3.8075487651604099E-3</v>
      </c>
      <c r="F532">
        <v>3.8075487651604099E-3</v>
      </c>
      <c r="G532">
        <v>0</v>
      </c>
      <c r="H532">
        <v>0</v>
      </c>
      <c r="I532" t="s">
        <v>39</v>
      </c>
    </row>
    <row r="533" spans="1:9" x14ac:dyDescent="0.35">
      <c r="A533" t="s">
        <v>14</v>
      </c>
      <c r="B533">
        <v>2030</v>
      </c>
      <c r="C533" t="s">
        <v>37</v>
      </c>
      <c r="D533" t="s">
        <v>48</v>
      </c>
      <c r="E533">
        <v>57.883097970773498</v>
      </c>
      <c r="F533">
        <v>57.883097970773498</v>
      </c>
      <c r="G533">
        <v>0</v>
      </c>
      <c r="H533">
        <v>0</v>
      </c>
      <c r="I533" t="s">
        <v>39</v>
      </c>
    </row>
    <row r="534" spans="1:9" x14ac:dyDescent="0.35">
      <c r="A534" t="s">
        <v>14</v>
      </c>
      <c r="B534">
        <v>2030</v>
      </c>
      <c r="C534" t="s">
        <v>37</v>
      </c>
      <c r="D534" t="s">
        <v>49</v>
      </c>
      <c r="E534">
        <v>7.2987966962050397</v>
      </c>
      <c r="F534">
        <v>7.2987966962050397</v>
      </c>
      <c r="G534">
        <v>0</v>
      </c>
      <c r="H534">
        <v>0</v>
      </c>
      <c r="I534" t="s">
        <v>39</v>
      </c>
    </row>
    <row r="535" spans="1:9" x14ac:dyDescent="0.35">
      <c r="A535" t="s">
        <v>14</v>
      </c>
      <c r="B535">
        <v>2030</v>
      </c>
      <c r="C535" t="s">
        <v>37</v>
      </c>
      <c r="D535" t="s">
        <v>50</v>
      </c>
      <c r="E535">
        <v>0.26750141601539701</v>
      </c>
      <c r="F535">
        <v>0.26750141601539701</v>
      </c>
      <c r="G535">
        <v>0</v>
      </c>
      <c r="H535">
        <v>0</v>
      </c>
      <c r="I535" t="s">
        <v>39</v>
      </c>
    </row>
    <row r="536" spans="1:9" x14ac:dyDescent="0.35">
      <c r="A536" t="s">
        <v>14</v>
      </c>
      <c r="B536">
        <v>2030</v>
      </c>
      <c r="C536" t="s">
        <v>37</v>
      </c>
      <c r="D536" t="s">
        <v>51</v>
      </c>
      <c r="E536">
        <v>0.18810207142250601</v>
      </c>
      <c r="F536">
        <v>0.18810207142250601</v>
      </c>
      <c r="G536">
        <v>0</v>
      </c>
      <c r="H536">
        <v>0</v>
      </c>
      <c r="I536" t="s">
        <v>39</v>
      </c>
    </row>
    <row r="537" spans="1:9" x14ac:dyDescent="0.35">
      <c r="A537" t="s">
        <v>14</v>
      </c>
      <c r="B537">
        <v>2030</v>
      </c>
      <c r="C537" t="s">
        <v>37</v>
      </c>
      <c r="D537" t="s">
        <v>52</v>
      </c>
      <c r="E537">
        <v>1.30744793085448</v>
      </c>
      <c r="F537">
        <v>1.30744793085448</v>
      </c>
      <c r="G537">
        <v>0</v>
      </c>
      <c r="H537">
        <v>0</v>
      </c>
      <c r="I537" t="s">
        <v>39</v>
      </c>
    </row>
    <row r="538" spans="1:9" x14ac:dyDescent="0.35">
      <c r="A538" t="s">
        <v>14</v>
      </c>
      <c r="B538">
        <v>2030</v>
      </c>
      <c r="C538" t="s">
        <v>37</v>
      </c>
      <c r="D538" t="s">
        <v>53</v>
      </c>
      <c r="E538">
        <v>2.9070774026842598</v>
      </c>
      <c r="F538">
        <v>2.9070774026842598</v>
      </c>
      <c r="G538">
        <v>0</v>
      </c>
      <c r="H538">
        <v>0</v>
      </c>
      <c r="I538" t="s">
        <v>39</v>
      </c>
    </row>
    <row r="539" spans="1:9" x14ac:dyDescent="0.35">
      <c r="A539" t="s">
        <v>14</v>
      </c>
      <c r="B539">
        <v>2030</v>
      </c>
      <c r="C539" t="s">
        <v>37</v>
      </c>
      <c r="D539" t="s">
        <v>54</v>
      </c>
      <c r="E539">
        <v>1.5422141414019099</v>
      </c>
      <c r="F539">
        <v>1.5422141414019099</v>
      </c>
      <c r="G539">
        <v>0</v>
      </c>
      <c r="H539">
        <v>0</v>
      </c>
      <c r="I539" t="s">
        <v>39</v>
      </c>
    </row>
    <row r="540" spans="1:9" x14ac:dyDescent="0.35">
      <c r="A540" t="s">
        <v>14</v>
      </c>
      <c r="B540">
        <v>2030</v>
      </c>
      <c r="C540" t="s">
        <v>37</v>
      </c>
      <c r="D540" t="s">
        <v>55</v>
      </c>
      <c r="E540">
        <v>1.46157554486394</v>
      </c>
      <c r="F540">
        <v>1.46157554486394</v>
      </c>
      <c r="G540">
        <v>0</v>
      </c>
      <c r="H540">
        <v>0</v>
      </c>
      <c r="I540" t="s">
        <v>39</v>
      </c>
    </row>
    <row r="541" spans="1:9" x14ac:dyDescent="0.35">
      <c r="A541" t="s">
        <v>14</v>
      </c>
      <c r="B541">
        <v>2030</v>
      </c>
      <c r="C541" t="s">
        <v>37</v>
      </c>
      <c r="D541" t="s">
        <v>56</v>
      </c>
      <c r="E541" s="1">
        <v>6.9398995825833302E-7</v>
      </c>
      <c r="F541" s="1">
        <v>6.9398995825833302E-7</v>
      </c>
      <c r="G541">
        <v>0</v>
      </c>
      <c r="H541">
        <v>0</v>
      </c>
      <c r="I541" t="s">
        <v>39</v>
      </c>
    </row>
    <row r="542" spans="1:9" x14ac:dyDescent="0.35">
      <c r="A542" t="s">
        <v>16</v>
      </c>
      <c r="B542">
        <v>2035</v>
      </c>
      <c r="C542" t="s">
        <v>37</v>
      </c>
      <c r="D542" t="s">
        <v>38</v>
      </c>
      <c r="E542">
        <v>2.2116366323570399E-3</v>
      </c>
      <c r="F542">
        <v>2.2116366323570399E-3</v>
      </c>
      <c r="G542">
        <v>0</v>
      </c>
      <c r="H542">
        <v>0</v>
      </c>
      <c r="I542" t="s">
        <v>39</v>
      </c>
    </row>
    <row r="543" spans="1:9" x14ac:dyDescent="0.35">
      <c r="A543" t="s">
        <v>16</v>
      </c>
      <c r="B543">
        <v>2035</v>
      </c>
      <c r="C543" t="s">
        <v>37</v>
      </c>
      <c r="D543" t="s">
        <v>40</v>
      </c>
      <c r="E543">
        <v>8.0532022386119596E-4</v>
      </c>
      <c r="F543">
        <v>8.0532022386119596E-4</v>
      </c>
      <c r="G543">
        <v>0</v>
      </c>
      <c r="H543">
        <v>0</v>
      </c>
      <c r="I543" t="s">
        <v>39</v>
      </c>
    </row>
    <row r="544" spans="1:9" x14ac:dyDescent="0.35">
      <c r="A544" t="s">
        <v>16</v>
      </c>
      <c r="B544">
        <v>2035</v>
      </c>
      <c r="C544" t="s">
        <v>37</v>
      </c>
      <c r="D544" t="s">
        <v>41</v>
      </c>
      <c r="E544">
        <v>0.61078226268411995</v>
      </c>
      <c r="F544">
        <v>0.61078226268411995</v>
      </c>
      <c r="G544">
        <v>0</v>
      </c>
      <c r="H544">
        <v>0</v>
      </c>
      <c r="I544" t="s">
        <v>39</v>
      </c>
    </row>
    <row r="545" spans="1:9" x14ac:dyDescent="0.35">
      <c r="A545" t="s">
        <v>16</v>
      </c>
      <c r="B545">
        <v>2035</v>
      </c>
      <c r="C545" t="s">
        <v>37</v>
      </c>
      <c r="D545" t="s">
        <v>42</v>
      </c>
      <c r="E545">
        <v>10.750503706036801</v>
      </c>
      <c r="F545">
        <v>10.750503706036801</v>
      </c>
      <c r="G545">
        <v>0</v>
      </c>
      <c r="H545">
        <v>0</v>
      </c>
      <c r="I545" t="s">
        <v>39</v>
      </c>
    </row>
    <row r="546" spans="1:9" x14ac:dyDescent="0.35">
      <c r="A546" t="s">
        <v>16</v>
      </c>
      <c r="B546">
        <v>2035</v>
      </c>
      <c r="C546" t="s">
        <v>37</v>
      </c>
      <c r="D546" t="s">
        <v>43</v>
      </c>
      <c r="E546">
        <v>5.8470852174870502E-3</v>
      </c>
      <c r="F546">
        <v>5.8470852174870502E-3</v>
      </c>
      <c r="G546">
        <v>0</v>
      </c>
      <c r="H546">
        <v>0</v>
      </c>
      <c r="I546" t="s">
        <v>39</v>
      </c>
    </row>
    <row r="547" spans="1:9" x14ac:dyDescent="0.35">
      <c r="A547" t="s">
        <v>16</v>
      </c>
      <c r="B547">
        <v>2035</v>
      </c>
      <c r="C547" t="s">
        <v>37</v>
      </c>
      <c r="D547" t="s">
        <v>136</v>
      </c>
      <c r="E547">
        <v>7.7664722393183396</v>
      </c>
      <c r="F547">
        <v>7.7664722393183396</v>
      </c>
      <c r="G547">
        <v>0</v>
      </c>
      <c r="H547">
        <v>0</v>
      </c>
      <c r="I547" t="s">
        <v>39</v>
      </c>
    </row>
    <row r="548" spans="1:9" x14ac:dyDescent="0.35">
      <c r="A548" t="s">
        <v>16</v>
      </c>
      <c r="B548">
        <v>2035</v>
      </c>
      <c r="C548" t="s">
        <v>37</v>
      </c>
      <c r="D548" t="s">
        <v>45</v>
      </c>
      <c r="E548">
        <v>1.46961696359206</v>
      </c>
      <c r="F548">
        <v>1.46961696359206</v>
      </c>
      <c r="G548">
        <v>0</v>
      </c>
      <c r="H548">
        <v>0</v>
      </c>
      <c r="I548" t="s">
        <v>39</v>
      </c>
    </row>
    <row r="549" spans="1:9" x14ac:dyDescent="0.35">
      <c r="A549" t="s">
        <v>16</v>
      </c>
      <c r="B549">
        <v>2035</v>
      </c>
      <c r="C549" t="s">
        <v>37</v>
      </c>
      <c r="D549" t="s">
        <v>46</v>
      </c>
      <c r="E549">
        <v>0.189193782162275</v>
      </c>
      <c r="F549">
        <v>0.189193782162275</v>
      </c>
      <c r="G549">
        <v>0</v>
      </c>
      <c r="H549">
        <v>0</v>
      </c>
      <c r="I549" t="s">
        <v>39</v>
      </c>
    </row>
    <row r="550" spans="1:9" x14ac:dyDescent="0.35">
      <c r="A550" t="s">
        <v>16</v>
      </c>
      <c r="B550">
        <v>2035</v>
      </c>
      <c r="C550" t="s">
        <v>37</v>
      </c>
      <c r="D550" t="s">
        <v>47</v>
      </c>
      <c r="E550">
        <v>3.4508524322386098E-3</v>
      </c>
      <c r="F550">
        <v>3.4508524322386098E-3</v>
      </c>
      <c r="G550">
        <v>0</v>
      </c>
      <c r="H550">
        <v>0</v>
      </c>
      <c r="I550" t="s">
        <v>39</v>
      </c>
    </row>
    <row r="551" spans="1:9" x14ac:dyDescent="0.35">
      <c r="A551" t="s">
        <v>16</v>
      </c>
      <c r="B551">
        <v>2035</v>
      </c>
      <c r="C551" t="s">
        <v>37</v>
      </c>
      <c r="D551" t="s">
        <v>48</v>
      </c>
      <c r="E551">
        <v>57.884385886758302</v>
      </c>
      <c r="F551">
        <v>57.884385886758302</v>
      </c>
      <c r="G551">
        <v>0</v>
      </c>
      <c r="H551">
        <v>0</v>
      </c>
      <c r="I551" t="s">
        <v>39</v>
      </c>
    </row>
    <row r="552" spans="1:9" x14ac:dyDescent="0.35">
      <c r="A552" t="s">
        <v>16</v>
      </c>
      <c r="B552">
        <v>2035</v>
      </c>
      <c r="C552" t="s">
        <v>37</v>
      </c>
      <c r="D552" t="s">
        <v>49</v>
      </c>
      <c r="E552">
        <v>7.2944078568846802</v>
      </c>
      <c r="F552">
        <v>7.2944078568846802</v>
      </c>
      <c r="G552">
        <v>0</v>
      </c>
      <c r="H552">
        <v>0</v>
      </c>
      <c r="I552" t="s">
        <v>39</v>
      </c>
    </row>
    <row r="553" spans="1:9" x14ac:dyDescent="0.35">
      <c r="A553" t="s">
        <v>16</v>
      </c>
      <c r="B553">
        <v>2035</v>
      </c>
      <c r="C553" t="s">
        <v>37</v>
      </c>
      <c r="D553" t="s">
        <v>50</v>
      </c>
      <c r="E553">
        <v>0.26725370652160302</v>
      </c>
      <c r="F553">
        <v>0.26725370652160302</v>
      </c>
      <c r="G553">
        <v>0</v>
      </c>
      <c r="H553">
        <v>0</v>
      </c>
      <c r="I553" t="s">
        <v>39</v>
      </c>
    </row>
    <row r="554" spans="1:9" x14ac:dyDescent="0.35">
      <c r="A554" t="s">
        <v>16</v>
      </c>
      <c r="B554">
        <v>2035</v>
      </c>
      <c r="C554" t="s">
        <v>37</v>
      </c>
      <c r="D554" t="s">
        <v>51</v>
      </c>
      <c r="E554">
        <v>0.18756670352443899</v>
      </c>
      <c r="F554">
        <v>0.18756670352443899</v>
      </c>
      <c r="G554">
        <v>0</v>
      </c>
      <c r="H554">
        <v>0</v>
      </c>
      <c r="I554" t="s">
        <v>39</v>
      </c>
    </row>
    <row r="555" spans="1:9" x14ac:dyDescent="0.35">
      <c r="A555" t="s">
        <v>16</v>
      </c>
      <c r="B555">
        <v>2035</v>
      </c>
      <c r="C555" t="s">
        <v>37</v>
      </c>
      <c r="D555" t="s">
        <v>52</v>
      </c>
      <c r="E555">
        <v>1.08502184634624</v>
      </c>
      <c r="F555">
        <v>1.08502184634624</v>
      </c>
      <c r="G555">
        <v>0</v>
      </c>
      <c r="H555">
        <v>0</v>
      </c>
      <c r="I555" t="s">
        <v>39</v>
      </c>
    </row>
    <row r="556" spans="1:9" x14ac:dyDescent="0.35">
      <c r="A556" t="s">
        <v>16</v>
      </c>
      <c r="B556">
        <v>2035</v>
      </c>
      <c r="C556" t="s">
        <v>37</v>
      </c>
      <c r="D556" t="s">
        <v>53</v>
      </c>
      <c r="E556">
        <v>2.90485860468835</v>
      </c>
      <c r="F556">
        <v>2.90485860468835</v>
      </c>
      <c r="G556">
        <v>0</v>
      </c>
      <c r="H556">
        <v>0</v>
      </c>
      <c r="I556" t="s">
        <v>39</v>
      </c>
    </row>
    <row r="557" spans="1:9" x14ac:dyDescent="0.35">
      <c r="A557" t="s">
        <v>16</v>
      </c>
      <c r="B557">
        <v>2035</v>
      </c>
      <c r="C557" t="s">
        <v>37</v>
      </c>
      <c r="D557" t="s">
        <v>54</v>
      </c>
      <c r="E557">
        <v>1.53828109662646</v>
      </c>
      <c r="F557">
        <v>1.53828109662646</v>
      </c>
      <c r="G557">
        <v>0</v>
      </c>
      <c r="H557">
        <v>0</v>
      </c>
      <c r="I557" t="s">
        <v>39</v>
      </c>
    </row>
    <row r="558" spans="1:9" x14ac:dyDescent="0.35">
      <c r="A558" t="s">
        <v>16</v>
      </c>
      <c r="B558">
        <v>2035</v>
      </c>
      <c r="C558" t="s">
        <v>37</v>
      </c>
      <c r="D558" t="s">
        <v>55</v>
      </c>
      <c r="E558">
        <v>1.4575829076053901</v>
      </c>
      <c r="F558">
        <v>1.4575829076053901</v>
      </c>
      <c r="G558">
        <v>0</v>
      </c>
      <c r="H558">
        <v>0</v>
      </c>
      <c r="I558" t="s">
        <v>39</v>
      </c>
    </row>
    <row r="559" spans="1:9" x14ac:dyDescent="0.35">
      <c r="A559" t="s">
        <v>16</v>
      </c>
      <c r="B559">
        <v>2035</v>
      </c>
      <c r="C559" t="s">
        <v>37</v>
      </c>
      <c r="D559" t="s">
        <v>56</v>
      </c>
      <c r="E559" s="1">
        <v>7.1618949621121998E-7</v>
      </c>
      <c r="F559" s="1">
        <v>7.1618949621121998E-7</v>
      </c>
      <c r="G559">
        <v>0</v>
      </c>
      <c r="H559">
        <v>0</v>
      </c>
      <c r="I559" t="s">
        <v>39</v>
      </c>
    </row>
    <row r="560" spans="1:9" x14ac:dyDescent="0.35">
      <c r="A560" t="s">
        <v>18</v>
      </c>
      <c r="B560">
        <v>2040</v>
      </c>
      <c r="C560" t="s">
        <v>37</v>
      </c>
      <c r="D560" t="s">
        <v>38</v>
      </c>
      <c r="E560">
        <v>2.5692686023496098E-3</v>
      </c>
      <c r="F560">
        <v>1.6940531125203401E-3</v>
      </c>
      <c r="G560">
        <v>-8.7521548982926899E-4</v>
      </c>
      <c r="H560">
        <v>-34.064771936607798</v>
      </c>
      <c r="I560" t="s">
        <v>39</v>
      </c>
    </row>
    <row r="561" spans="1:9" x14ac:dyDescent="0.35">
      <c r="A561" t="s">
        <v>18</v>
      </c>
      <c r="B561">
        <v>2040</v>
      </c>
      <c r="C561" t="s">
        <v>37</v>
      </c>
      <c r="D561" t="s">
        <v>40</v>
      </c>
      <c r="E561">
        <v>7.8013968455571995E-4</v>
      </c>
      <c r="F561">
        <v>7.8013968455571995E-4</v>
      </c>
      <c r="G561">
        <v>0</v>
      </c>
      <c r="H561">
        <v>0</v>
      </c>
      <c r="I561" t="s">
        <v>39</v>
      </c>
    </row>
    <row r="562" spans="1:9" x14ac:dyDescent="0.35">
      <c r="A562" t="s">
        <v>18</v>
      </c>
      <c r="B562">
        <v>2040</v>
      </c>
      <c r="C562" t="s">
        <v>37</v>
      </c>
      <c r="D562" t="s">
        <v>41</v>
      </c>
      <c r="E562">
        <v>0.61019986624362599</v>
      </c>
      <c r="F562">
        <v>3.9199966709334698E-2</v>
      </c>
      <c r="G562">
        <v>-0.57099989953429098</v>
      </c>
      <c r="H562">
        <v>-93.575880809242193</v>
      </c>
      <c r="I562" t="s">
        <v>39</v>
      </c>
    </row>
    <row r="563" spans="1:9" x14ac:dyDescent="0.35">
      <c r="A563" t="s">
        <v>18</v>
      </c>
      <c r="B563">
        <v>2040</v>
      </c>
      <c r="C563" t="s">
        <v>37</v>
      </c>
      <c r="D563" t="s">
        <v>42</v>
      </c>
      <c r="E563">
        <v>10.567943686187901</v>
      </c>
      <c r="F563">
        <v>9.2095124703587494</v>
      </c>
      <c r="G563">
        <v>-1.3584312158292</v>
      </c>
      <c r="H563">
        <v>-12.854262439008201</v>
      </c>
      <c r="I563" t="s">
        <v>39</v>
      </c>
    </row>
    <row r="564" spans="1:9" x14ac:dyDescent="0.35">
      <c r="A564" t="s">
        <v>18</v>
      </c>
      <c r="B564">
        <v>2040</v>
      </c>
      <c r="C564" t="s">
        <v>37</v>
      </c>
      <c r="D564" t="s">
        <v>43</v>
      </c>
      <c r="E564">
        <v>5.6901335143335402E-3</v>
      </c>
      <c r="F564">
        <v>5.4067105266234899E-3</v>
      </c>
      <c r="G564">
        <v>-2.8342298771005098E-4</v>
      </c>
      <c r="H564">
        <v>-4.9809549634661998</v>
      </c>
      <c r="I564" t="s">
        <v>39</v>
      </c>
    </row>
    <row r="565" spans="1:9" x14ac:dyDescent="0.35">
      <c r="A565" t="s">
        <v>18</v>
      </c>
      <c r="B565">
        <v>2040</v>
      </c>
      <c r="C565" t="s">
        <v>37</v>
      </c>
      <c r="D565" t="s">
        <v>136</v>
      </c>
      <c r="E565">
        <v>7.6258899961000699</v>
      </c>
      <c r="F565">
        <v>7.5212298853479904</v>
      </c>
      <c r="G565">
        <v>-0.104660110752078</v>
      </c>
      <c r="H565">
        <v>-1.3724314251267999</v>
      </c>
      <c r="I565" t="s">
        <v>39</v>
      </c>
    </row>
    <row r="566" spans="1:9" x14ac:dyDescent="0.35">
      <c r="A566" t="s">
        <v>18</v>
      </c>
      <c r="B566">
        <v>2040</v>
      </c>
      <c r="C566" t="s">
        <v>37</v>
      </c>
      <c r="D566" t="s">
        <v>45</v>
      </c>
      <c r="E566">
        <v>1.4681266549357801</v>
      </c>
      <c r="F566">
        <v>5.5313219788067303E-2</v>
      </c>
      <c r="G566">
        <v>-1.41281343514771</v>
      </c>
      <c r="H566">
        <v>-96.232394555189998</v>
      </c>
      <c r="I566" t="s">
        <v>39</v>
      </c>
    </row>
    <row r="567" spans="1:9" x14ac:dyDescent="0.35">
      <c r="A567" t="s">
        <v>18</v>
      </c>
      <c r="B567">
        <v>2040</v>
      </c>
      <c r="C567" t="s">
        <v>37</v>
      </c>
      <c r="D567" t="s">
        <v>46</v>
      </c>
      <c r="E567">
        <v>0.23468760419189399</v>
      </c>
      <c r="F567">
        <v>0.23468760419189399</v>
      </c>
      <c r="G567">
        <v>0</v>
      </c>
      <c r="H567">
        <v>0</v>
      </c>
      <c r="I567" t="s">
        <v>39</v>
      </c>
    </row>
    <row r="568" spans="1:9" x14ac:dyDescent="0.35">
      <c r="A568" t="s">
        <v>18</v>
      </c>
      <c r="B568">
        <v>2040</v>
      </c>
      <c r="C568" t="s">
        <v>37</v>
      </c>
      <c r="D568" t="s">
        <v>47</v>
      </c>
      <c r="E568">
        <v>3.1952530657995098E-3</v>
      </c>
      <c r="F568">
        <v>3.1952530657995098E-3</v>
      </c>
      <c r="G568">
        <v>0</v>
      </c>
      <c r="H568">
        <v>0</v>
      </c>
      <c r="I568" t="s">
        <v>39</v>
      </c>
    </row>
    <row r="569" spans="1:9" x14ac:dyDescent="0.35">
      <c r="A569" t="s">
        <v>18</v>
      </c>
      <c r="B569">
        <v>2040</v>
      </c>
      <c r="C569" t="s">
        <v>37</v>
      </c>
      <c r="D569" t="s">
        <v>48</v>
      </c>
      <c r="E569">
        <v>57.888022728524497</v>
      </c>
      <c r="F569">
        <v>57.888022728524497</v>
      </c>
      <c r="G569">
        <v>0</v>
      </c>
      <c r="H569">
        <v>0</v>
      </c>
      <c r="I569" t="s">
        <v>39</v>
      </c>
    </row>
    <row r="570" spans="1:9" x14ac:dyDescent="0.35">
      <c r="A570" t="s">
        <v>18</v>
      </c>
      <c r="B570">
        <v>2040</v>
      </c>
      <c r="C570" t="s">
        <v>37</v>
      </c>
      <c r="D570" t="s">
        <v>49</v>
      </c>
      <c r="E570">
        <v>7.2907542453916898</v>
      </c>
      <c r="F570">
        <v>0.248519746935492</v>
      </c>
      <c r="G570">
        <v>-7.0422344984561898</v>
      </c>
      <c r="H570">
        <v>-96.591302647561093</v>
      </c>
      <c r="I570" t="s">
        <v>39</v>
      </c>
    </row>
    <row r="571" spans="1:9" x14ac:dyDescent="0.35">
      <c r="A571" t="s">
        <v>18</v>
      </c>
      <c r="B571">
        <v>2040</v>
      </c>
      <c r="C571" t="s">
        <v>37</v>
      </c>
      <c r="D571" t="s">
        <v>50</v>
      </c>
      <c r="E571">
        <v>0.26766728349001101</v>
      </c>
      <c r="F571">
        <v>0.26766728349001101</v>
      </c>
      <c r="G571">
        <v>0</v>
      </c>
      <c r="H571">
        <v>0</v>
      </c>
      <c r="I571" t="s">
        <v>39</v>
      </c>
    </row>
    <row r="572" spans="1:9" x14ac:dyDescent="0.35">
      <c r="A572" t="s">
        <v>18</v>
      </c>
      <c r="B572">
        <v>2040</v>
      </c>
      <c r="C572" t="s">
        <v>37</v>
      </c>
      <c r="D572" t="s">
        <v>51</v>
      </c>
      <c r="E572">
        <v>0.187627378809718</v>
      </c>
      <c r="F572">
        <v>0.187627378809718</v>
      </c>
      <c r="G572">
        <v>0</v>
      </c>
      <c r="H572">
        <v>0</v>
      </c>
      <c r="I572" t="s">
        <v>39</v>
      </c>
    </row>
    <row r="573" spans="1:9" x14ac:dyDescent="0.35">
      <c r="A573" t="s">
        <v>18</v>
      </c>
      <c r="B573">
        <v>2040</v>
      </c>
      <c r="C573" t="s">
        <v>37</v>
      </c>
      <c r="D573" t="s">
        <v>52</v>
      </c>
      <c r="E573">
        <v>0.90495642481148797</v>
      </c>
      <c r="F573">
        <v>0.90495642481148797</v>
      </c>
      <c r="G573">
        <v>0</v>
      </c>
      <c r="H573">
        <v>0</v>
      </c>
      <c r="I573" t="s">
        <v>39</v>
      </c>
    </row>
    <row r="574" spans="1:9" x14ac:dyDescent="0.35">
      <c r="A574" t="s">
        <v>18</v>
      </c>
      <c r="B574">
        <v>2040</v>
      </c>
      <c r="C574" t="s">
        <v>37</v>
      </c>
      <c r="D574" t="s">
        <v>53</v>
      </c>
      <c r="E574">
        <v>2.8821271205447401</v>
      </c>
      <c r="F574">
        <v>2.8821271205447401</v>
      </c>
      <c r="G574">
        <v>0</v>
      </c>
      <c r="H574">
        <v>0</v>
      </c>
      <c r="I574" t="s">
        <v>39</v>
      </c>
    </row>
    <row r="575" spans="1:9" x14ac:dyDescent="0.35">
      <c r="A575" t="s">
        <v>18</v>
      </c>
      <c r="B575">
        <v>2040</v>
      </c>
      <c r="C575" t="s">
        <v>37</v>
      </c>
      <c r="D575" t="s">
        <v>54</v>
      </c>
      <c r="E575">
        <v>1.5362922083899</v>
      </c>
      <c r="F575">
        <v>1.53599145167303</v>
      </c>
      <c r="G575">
        <v>-3.0075671687468299E-4</v>
      </c>
      <c r="H575">
        <v>-1.9576791135970599E-2</v>
      </c>
      <c r="I575" t="s">
        <v>39</v>
      </c>
    </row>
    <row r="576" spans="1:9" x14ac:dyDescent="0.35">
      <c r="A576" t="s">
        <v>18</v>
      </c>
      <c r="B576">
        <v>2040</v>
      </c>
      <c r="C576" t="s">
        <v>37</v>
      </c>
      <c r="D576" t="s">
        <v>55</v>
      </c>
      <c r="E576">
        <v>1.4554209856769</v>
      </c>
      <c r="F576">
        <v>1.4233488411106401</v>
      </c>
      <c r="G576">
        <v>-3.2072144566263901E-2</v>
      </c>
      <c r="H576">
        <v>-2.2036335109835901</v>
      </c>
      <c r="I576" t="s">
        <v>39</v>
      </c>
    </row>
    <row r="577" spans="1:9" x14ac:dyDescent="0.35">
      <c r="A577" t="s">
        <v>18</v>
      </c>
      <c r="B577">
        <v>2040</v>
      </c>
      <c r="C577" t="s">
        <v>37</v>
      </c>
      <c r="D577" t="s">
        <v>56</v>
      </c>
      <c r="E577" s="1">
        <v>7.3156630370302704E-7</v>
      </c>
      <c r="F577" s="1">
        <v>7.3156630370302704E-7</v>
      </c>
      <c r="G577">
        <v>0</v>
      </c>
      <c r="H577">
        <v>0</v>
      </c>
      <c r="I577" t="s">
        <v>39</v>
      </c>
    </row>
    <row r="578" spans="1:9" x14ac:dyDescent="0.35">
      <c r="A578" t="s">
        <v>12</v>
      </c>
      <c r="B578">
        <v>2025</v>
      </c>
      <c r="C578" t="s">
        <v>125</v>
      </c>
      <c r="D578" t="s">
        <v>38</v>
      </c>
      <c r="E578">
        <v>6.6836394144423805E-4</v>
      </c>
      <c r="F578">
        <v>6.6836394144423805E-4</v>
      </c>
      <c r="G578">
        <v>0</v>
      </c>
      <c r="H578">
        <v>0</v>
      </c>
      <c r="I578" t="s">
        <v>126</v>
      </c>
    </row>
    <row r="579" spans="1:9" x14ac:dyDescent="0.35">
      <c r="A579" t="s">
        <v>12</v>
      </c>
      <c r="B579">
        <v>2025</v>
      </c>
      <c r="C579" t="s">
        <v>125</v>
      </c>
      <c r="D579" t="s">
        <v>40</v>
      </c>
      <c r="E579">
        <v>1.2528424595957899E-2</v>
      </c>
      <c r="F579">
        <v>1.2528424595957899E-2</v>
      </c>
      <c r="G579">
        <v>0</v>
      </c>
      <c r="H579">
        <v>0</v>
      </c>
      <c r="I579" t="s">
        <v>126</v>
      </c>
    </row>
    <row r="580" spans="1:9" x14ac:dyDescent="0.35">
      <c r="A580" t="s">
        <v>12</v>
      </c>
      <c r="B580">
        <v>2025</v>
      </c>
      <c r="C580" t="s">
        <v>125</v>
      </c>
      <c r="D580" t="s">
        <v>41</v>
      </c>
      <c r="E580">
        <v>0.16726208322192601</v>
      </c>
      <c r="F580">
        <v>0.16726208322192601</v>
      </c>
      <c r="G580">
        <v>0</v>
      </c>
      <c r="H580">
        <v>0</v>
      </c>
      <c r="I580" t="s">
        <v>126</v>
      </c>
    </row>
    <row r="581" spans="1:9" x14ac:dyDescent="0.35">
      <c r="A581" t="s">
        <v>12</v>
      </c>
      <c r="B581">
        <v>2025</v>
      </c>
      <c r="C581" t="s">
        <v>125</v>
      </c>
      <c r="D581" t="s">
        <v>42</v>
      </c>
      <c r="E581">
        <v>43.292618001140198</v>
      </c>
      <c r="F581">
        <v>43.292618001140198</v>
      </c>
      <c r="G581">
        <v>0</v>
      </c>
      <c r="H581">
        <v>0</v>
      </c>
      <c r="I581" t="s">
        <v>126</v>
      </c>
    </row>
    <row r="582" spans="1:9" x14ac:dyDescent="0.35">
      <c r="A582" t="s">
        <v>12</v>
      </c>
      <c r="B582">
        <v>2025</v>
      </c>
      <c r="C582" t="s">
        <v>125</v>
      </c>
      <c r="D582" t="s">
        <v>43</v>
      </c>
      <c r="E582">
        <v>5.4926003604044801E-2</v>
      </c>
      <c r="F582">
        <v>5.4926003604044801E-2</v>
      </c>
      <c r="G582">
        <v>0</v>
      </c>
      <c r="H582">
        <v>0</v>
      </c>
      <c r="I582" t="s">
        <v>126</v>
      </c>
    </row>
    <row r="583" spans="1:9" x14ac:dyDescent="0.35">
      <c r="A583" t="s">
        <v>12</v>
      </c>
      <c r="B583">
        <v>2025</v>
      </c>
      <c r="C583" t="s">
        <v>125</v>
      </c>
      <c r="D583" t="s">
        <v>136</v>
      </c>
      <c r="E583">
        <v>4.57975973529516</v>
      </c>
      <c r="F583">
        <v>4.57975973529516</v>
      </c>
      <c r="G583">
        <v>0</v>
      </c>
      <c r="H583">
        <v>0</v>
      </c>
      <c r="I583" t="s">
        <v>126</v>
      </c>
    </row>
    <row r="584" spans="1:9" x14ac:dyDescent="0.35">
      <c r="A584" t="s">
        <v>12</v>
      </c>
      <c r="B584">
        <v>2025</v>
      </c>
      <c r="C584" t="s">
        <v>125</v>
      </c>
      <c r="D584" t="s">
        <v>45</v>
      </c>
      <c r="E584">
        <v>5.2941652786200701E-2</v>
      </c>
      <c r="F584">
        <v>5.2941652786200701E-2</v>
      </c>
      <c r="G584">
        <v>0</v>
      </c>
      <c r="H584">
        <v>0</v>
      </c>
      <c r="I584" t="s">
        <v>126</v>
      </c>
    </row>
    <row r="585" spans="1:9" x14ac:dyDescent="0.35">
      <c r="A585" t="s">
        <v>12</v>
      </c>
      <c r="B585">
        <v>2025</v>
      </c>
      <c r="C585" t="s">
        <v>125</v>
      </c>
      <c r="D585" t="s">
        <v>46</v>
      </c>
      <c r="E585">
        <v>9.2326335403274201E-2</v>
      </c>
      <c r="F585">
        <v>9.2326335403274201E-2</v>
      </c>
      <c r="G585">
        <v>0</v>
      </c>
      <c r="H585">
        <v>0</v>
      </c>
      <c r="I585" t="s">
        <v>126</v>
      </c>
    </row>
    <row r="586" spans="1:9" x14ac:dyDescent="0.35">
      <c r="A586" t="s">
        <v>12</v>
      </c>
      <c r="B586">
        <v>2025</v>
      </c>
      <c r="C586" t="s">
        <v>125</v>
      </c>
      <c r="D586" t="s">
        <v>47</v>
      </c>
      <c r="E586">
        <v>9.9898158868446298E-3</v>
      </c>
      <c r="F586">
        <v>9.9898158868446298E-3</v>
      </c>
      <c r="G586">
        <v>0</v>
      </c>
      <c r="H586">
        <v>0</v>
      </c>
      <c r="I586" t="s">
        <v>126</v>
      </c>
    </row>
    <row r="587" spans="1:9" x14ac:dyDescent="0.35">
      <c r="A587" t="s">
        <v>12</v>
      </c>
      <c r="B587">
        <v>2025</v>
      </c>
      <c r="C587" t="s">
        <v>125</v>
      </c>
      <c r="D587" t="s">
        <v>48</v>
      </c>
      <c r="E587">
        <v>19.6100484298167</v>
      </c>
      <c r="F587">
        <v>19.6100484298167</v>
      </c>
      <c r="G587">
        <v>0</v>
      </c>
      <c r="H587">
        <v>0</v>
      </c>
      <c r="I587" t="s">
        <v>126</v>
      </c>
    </row>
    <row r="588" spans="1:9" x14ac:dyDescent="0.35">
      <c r="A588" t="s">
        <v>12</v>
      </c>
      <c r="B588">
        <v>2025</v>
      </c>
      <c r="C588" t="s">
        <v>125</v>
      </c>
      <c r="D588" t="s">
        <v>49</v>
      </c>
      <c r="E588">
        <v>0.19180286432763299</v>
      </c>
      <c r="F588">
        <v>0.19180286432763299</v>
      </c>
      <c r="G588">
        <v>0</v>
      </c>
      <c r="H588">
        <v>0</v>
      </c>
      <c r="I588" t="s">
        <v>126</v>
      </c>
    </row>
    <row r="589" spans="1:9" x14ac:dyDescent="0.35">
      <c r="A589" t="s">
        <v>12</v>
      </c>
      <c r="B589">
        <v>2025</v>
      </c>
      <c r="C589" t="s">
        <v>125</v>
      </c>
      <c r="D589" t="s">
        <v>50</v>
      </c>
      <c r="E589">
        <v>8.0703716640876E-2</v>
      </c>
      <c r="F589">
        <v>8.0703716640876E-2</v>
      </c>
      <c r="G589">
        <v>0</v>
      </c>
      <c r="H589">
        <v>0</v>
      </c>
      <c r="I589" t="s">
        <v>126</v>
      </c>
    </row>
    <row r="590" spans="1:9" x14ac:dyDescent="0.35">
      <c r="A590" t="s">
        <v>12</v>
      </c>
      <c r="B590">
        <v>2025</v>
      </c>
      <c r="C590" t="s">
        <v>125</v>
      </c>
      <c r="D590" t="s">
        <v>51</v>
      </c>
      <c r="E590">
        <v>0.33043728942709699</v>
      </c>
      <c r="F590">
        <v>0.33043728942709699</v>
      </c>
      <c r="G590">
        <v>0</v>
      </c>
      <c r="H590">
        <v>0</v>
      </c>
      <c r="I590" t="s">
        <v>126</v>
      </c>
    </row>
    <row r="591" spans="1:9" x14ac:dyDescent="0.35">
      <c r="A591" t="s">
        <v>12</v>
      </c>
      <c r="B591">
        <v>2025</v>
      </c>
      <c r="C591" t="s">
        <v>125</v>
      </c>
      <c r="D591" t="s">
        <v>52</v>
      </c>
      <c r="E591">
        <v>0.21736678866706499</v>
      </c>
      <c r="F591">
        <v>0.21736678866706499</v>
      </c>
      <c r="G591">
        <v>0</v>
      </c>
      <c r="H591">
        <v>0</v>
      </c>
      <c r="I591" t="s">
        <v>126</v>
      </c>
    </row>
    <row r="592" spans="1:9" x14ac:dyDescent="0.35">
      <c r="A592" t="s">
        <v>12</v>
      </c>
      <c r="B592">
        <v>2025</v>
      </c>
      <c r="C592" t="s">
        <v>125</v>
      </c>
      <c r="D592" t="s">
        <v>53</v>
      </c>
      <c r="E592">
        <v>1.3576172098475301</v>
      </c>
      <c r="F592">
        <v>1.3576172098475301</v>
      </c>
      <c r="G592">
        <v>0</v>
      </c>
      <c r="H592">
        <v>0</v>
      </c>
      <c r="I592" t="s">
        <v>126</v>
      </c>
    </row>
    <row r="593" spans="1:9" x14ac:dyDescent="0.35">
      <c r="A593" t="s">
        <v>12</v>
      </c>
      <c r="B593">
        <v>2025</v>
      </c>
      <c r="C593" t="s">
        <v>125</v>
      </c>
      <c r="D593" t="s">
        <v>54</v>
      </c>
      <c r="E593">
        <v>3.4591925169563398</v>
      </c>
      <c r="F593">
        <v>3.4591925169563398</v>
      </c>
      <c r="G593">
        <v>0</v>
      </c>
      <c r="H593">
        <v>0</v>
      </c>
      <c r="I593" t="s">
        <v>126</v>
      </c>
    </row>
    <row r="594" spans="1:9" x14ac:dyDescent="0.35">
      <c r="A594" t="s">
        <v>12</v>
      </c>
      <c r="B594">
        <v>2025</v>
      </c>
      <c r="C594" t="s">
        <v>125</v>
      </c>
      <c r="D594" t="s">
        <v>55</v>
      </c>
      <c r="E594">
        <v>2.99436863683305</v>
      </c>
      <c r="F594">
        <v>2.99436863683305</v>
      </c>
      <c r="G594">
        <v>0</v>
      </c>
      <c r="H594">
        <v>0</v>
      </c>
      <c r="I594" t="s">
        <v>126</v>
      </c>
    </row>
    <row r="595" spans="1:9" x14ac:dyDescent="0.35">
      <c r="A595" t="s">
        <v>12</v>
      </c>
      <c r="B595">
        <v>2025</v>
      </c>
      <c r="C595" t="s">
        <v>125</v>
      </c>
      <c r="D595" t="s">
        <v>56</v>
      </c>
      <c r="E595" s="1">
        <v>2.94407700166208E-7</v>
      </c>
      <c r="F595" s="1">
        <v>2.94407700166208E-7</v>
      </c>
      <c r="G595">
        <v>0</v>
      </c>
      <c r="H595">
        <v>0</v>
      </c>
      <c r="I595" t="s">
        <v>126</v>
      </c>
    </row>
    <row r="596" spans="1:9" x14ac:dyDescent="0.35">
      <c r="A596" t="s">
        <v>14</v>
      </c>
      <c r="B596">
        <v>2030</v>
      </c>
      <c r="C596" t="s">
        <v>125</v>
      </c>
      <c r="D596" t="s">
        <v>38</v>
      </c>
      <c r="E596">
        <v>6.7451139773182895E-4</v>
      </c>
      <c r="F596">
        <v>6.7451139773182895E-4</v>
      </c>
      <c r="G596">
        <v>0</v>
      </c>
      <c r="H596">
        <v>0</v>
      </c>
      <c r="I596" t="s">
        <v>126</v>
      </c>
    </row>
    <row r="597" spans="1:9" x14ac:dyDescent="0.35">
      <c r="A597" t="s">
        <v>14</v>
      </c>
      <c r="B597">
        <v>2030</v>
      </c>
      <c r="C597" t="s">
        <v>125</v>
      </c>
      <c r="D597" t="s">
        <v>40</v>
      </c>
      <c r="E597">
        <v>1.2570555487391E-2</v>
      </c>
      <c r="F597">
        <v>1.2570555487391E-2</v>
      </c>
      <c r="G597">
        <v>0</v>
      </c>
      <c r="H597">
        <v>0</v>
      </c>
      <c r="I597" t="s">
        <v>126</v>
      </c>
    </row>
    <row r="598" spans="1:9" x14ac:dyDescent="0.35">
      <c r="A598" t="s">
        <v>14</v>
      </c>
      <c r="B598">
        <v>2030</v>
      </c>
      <c r="C598" t="s">
        <v>125</v>
      </c>
      <c r="D598" t="s">
        <v>41</v>
      </c>
      <c r="E598">
        <v>0.16551345697707201</v>
      </c>
      <c r="F598">
        <v>0.16551345697707201</v>
      </c>
      <c r="G598">
        <v>0</v>
      </c>
      <c r="H598">
        <v>0</v>
      </c>
      <c r="I598" t="s">
        <v>126</v>
      </c>
    </row>
    <row r="599" spans="1:9" x14ac:dyDescent="0.35">
      <c r="A599" t="s">
        <v>14</v>
      </c>
      <c r="B599">
        <v>2030</v>
      </c>
      <c r="C599" t="s">
        <v>125</v>
      </c>
      <c r="D599" t="s">
        <v>42</v>
      </c>
      <c r="E599">
        <v>42.9816322340277</v>
      </c>
      <c r="F599">
        <v>42.9816322340277</v>
      </c>
      <c r="G599">
        <v>0</v>
      </c>
      <c r="H599">
        <v>0</v>
      </c>
      <c r="I599" t="s">
        <v>126</v>
      </c>
    </row>
    <row r="600" spans="1:9" x14ac:dyDescent="0.35">
      <c r="A600" t="s">
        <v>14</v>
      </c>
      <c r="B600">
        <v>2030</v>
      </c>
      <c r="C600" t="s">
        <v>125</v>
      </c>
      <c r="D600" t="s">
        <v>43</v>
      </c>
      <c r="E600">
        <v>5.4286830662578001E-2</v>
      </c>
      <c r="F600">
        <v>5.4286830662578001E-2</v>
      </c>
      <c r="G600">
        <v>0</v>
      </c>
      <c r="H600">
        <v>0</v>
      </c>
      <c r="I600" t="s">
        <v>126</v>
      </c>
    </row>
    <row r="601" spans="1:9" x14ac:dyDescent="0.35">
      <c r="A601" t="s">
        <v>14</v>
      </c>
      <c r="B601">
        <v>2030</v>
      </c>
      <c r="C601" t="s">
        <v>125</v>
      </c>
      <c r="D601" t="s">
        <v>136</v>
      </c>
      <c r="E601">
        <v>3.90994577117183</v>
      </c>
      <c r="F601">
        <v>3.90994577117183</v>
      </c>
      <c r="G601">
        <v>0</v>
      </c>
      <c r="H601">
        <v>0</v>
      </c>
      <c r="I601" t="s">
        <v>126</v>
      </c>
    </row>
    <row r="602" spans="1:9" x14ac:dyDescent="0.35">
      <c r="A602" t="s">
        <v>14</v>
      </c>
      <c r="B602">
        <v>2030</v>
      </c>
      <c r="C602" t="s">
        <v>125</v>
      </c>
      <c r="D602" t="s">
        <v>45</v>
      </c>
      <c r="E602">
        <v>5.1319076651475101E-2</v>
      </c>
      <c r="F602">
        <v>5.1319076651475101E-2</v>
      </c>
      <c r="G602">
        <v>0</v>
      </c>
      <c r="H602">
        <v>0</v>
      </c>
      <c r="I602" t="s">
        <v>126</v>
      </c>
    </row>
    <row r="603" spans="1:9" x14ac:dyDescent="0.35">
      <c r="A603" t="s">
        <v>14</v>
      </c>
      <c r="B603">
        <v>2030</v>
      </c>
      <c r="C603" t="s">
        <v>125</v>
      </c>
      <c r="D603" t="s">
        <v>46</v>
      </c>
      <c r="E603">
        <v>0.105005695673331</v>
      </c>
      <c r="F603">
        <v>0.105005695673331</v>
      </c>
      <c r="G603">
        <v>0</v>
      </c>
      <c r="H603">
        <v>0</v>
      </c>
      <c r="I603" t="s">
        <v>126</v>
      </c>
    </row>
    <row r="604" spans="1:9" x14ac:dyDescent="0.35">
      <c r="A604" t="s">
        <v>14</v>
      </c>
      <c r="B604">
        <v>2030</v>
      </c>
      <c r="C604" t="s">
        <v>125</v>
      </c>
      <c r="D604" t="s">
        <v>47</v>
      </c>
      <c r="E604">
        <v>9.5688533331581404E-3</v>
      </c>
      <c r="F604">
        <v>9.5688533331581404E-3</v>
      </c>
      <c r="G604">
        <v>0</v>
      </c>
      <c r="H604">
        <v>0</v>
      </c>
      <c r="I604" t="s">
        <v>126</v>
      </c>
    </row>
    <row r="605" spans="1:9" x14ac:dyDescent="0.35">
      <c r="A605" t="s">
        <v>14</v>
      </c>
      <c r="B605">
        <v>2030</v>
      </c>
      <c r="C605" t="s">
        <v>125</v>
      </c>
      <c r="D605" t="s">
        <v>48</v>
      </c>
      <c r="E605">
        <v>19.612709246304</v>
      </c>
      <c r="F605">
        <v>19.612709246304</v>
      </c>
      <c r="G605">
        <v>0</v>
      </c>
      <c r="H605">
        <v>0</v>
      </c>
      <c r="I605" t="s">
        <v>126</v>
      </c>
    </row>
    <row r="606" spans="1:9" x14ac:dyDescent="0.35">
      <c r="A606" t="s">
        <v>14</v>
      </c>
      <c r="B606">
        <v>2030</v>
      </c>
      <c r="C606" t="s">
        <v>125</v>
      </c>
      <c r="D606" t="s">
        <v>49</v>
      </c>
      <c r="E606">
        <v>0.185512685810519</v>
      </c>
      <c r="F606">
        <v>0.185512685810519</v>
      </c>
      <c r="G606">
        <v>0</v>
      </c>
      <c r="H606">
        <v>0</v>
      </c>
      <c r="I606" t="s">
        <v>126</v>
      </c>
    </row>
    <row r="607" spans="1:9" x14ac:dyDescent="0.35">
      <c r="A607" t="s">
        <v>14</v>
      </c>
      <c r="B607">
        <v>2030</v>
      </c>
      <c r="C607" t="s">
        <v>125</v>
      </c>
      <c r="D607" t="s">
        <v>50</v>
      </c>
      <c r="E607">
        <v>8.0375486228024401E-2</v>
      </c>
      <c r="F607">
        <v>8.0375486228024401E-2</v>
      </c>
      <c r="G607">
        <v>0</v>
      </c>
      <c r="H607">
        <v>0</v>
      </c>
      <c r="I607" t="s">
        <v>126</v>
      </c>
    </row>
    <row r="608" spans="1:9" x14ac:dyDescent="0.35">
      <c r="A608" t="s">
        <v>14</v>
      </c>
      <c r="B608">
        <v>2030</v>
      </c>
      <c r="C608" t="s">
        <v>125</v>
      </c>
      <c r="D608" t="s">
        <v>51</v>
      </c>
      <c r="E608">
        <v>0.32943976974316203</v>
      </c>
      <c r="F608">
        <v>0.32943976974316203</v>
      </c>
      <c r="G608">
        <v>0</v>
      </c>
      <c r="H608">
        <v>0</v>
      </c>
      <c r="I608" t="s">
        <v>126</v>
      </c>
    </row>
    <row r="609" spans="1:9" x14ac:dyDescent="0.35">
      <c r="A609" t="s">
        <v>14</v>
      </c>
      <c r="B609">
        <v>2030</v>
      </c>
      <c r="C609" t="s">
        <v>125</v>
      </c>
      <c r="D609" t="s">
        <v>52</v>
      </c>
      <c r="E609">
        <v>0.18878491198618799</v>
      </c>
      <c r="F609">
        <v>0.18878491198618799</v>
      </c>
      <c r="G609">
        <v>0</v>
      </c>
      <c r="H609">
        <v>0</v>
      </c>
      <c r="I609" t="s">
        <v>126</v>
      </c>
    </row>
    <row r="610" spans="1:9" x14ac:dyDescent="0.35">
      <c r="A610" t="s">
        <v>14</v>
      </c>
      <c r="B610">
        <v>2030</v>
      </c>
      <c r="C610" t="s">
        <v>125</v>
      </c>
      <c r="D610" t="s">
        <v>53</v>
      </c>
      <c r="E610">
        <v>1.21641804258719</v>
      </c>
      <c r="F610">
        <v>1.21641804258719</v>
      </c>
      <c r="G610">
        <v>0</v>
      </c>
      <c r="H610">
        <v>0</v>
      </c>
      <c r="I610" t="s">
        <v>126</v>
      </c>
    </row>
    <row r="611" spans="1:9" x14ac:dyDescent="0.35">
      <c r="A611" t="s">
        <v>14</v>
      </c>
      <c r="B611">
        <v>2030</v>
      </c>
      <c r="C611" t="s">
        <v>125</v>
      </c>
      <c r="D611" t="s">
        <v>54</v>
      </c>
      <c r="E611">
        <v>3.4556273947120402</v>
      </c>
      <c r="F611">
        <v>3.4556273947120402</v>
      </c>
      <c r="G611">
        <v>0</v>
      </c>
      <c r="H611">
        <v>0</v>
      </c>
      <c r="I611" t="s">
        <v>126</v>
      </c>
    </row>
    <row r="612" spans="1:9" x14ac:dyDescent="0.35">
      <c r="A612" t="s">
        <v>14</v>
      </c>
      <c r="B612">
        <v>2030</v>
      </c>
      <c r="C612" t="s">
        <v>125</v>
      </c>
      <c r="D612" t="s">
        <v>55</v>
      </c>
      <c r="E612">
        <v>2.99020558918687</v>
      </c>
      <c r="F612">
        <v>2.99020558918687</v>
      </c>
      <c r="G612">
        <v>0</v>
      </c>
      <c r="H612">
        <v>0</v>
      </c>
      <c r="I612" t="s">
        <v>126</v>
      </c>
    </row>
    <row r="613" spans="1:9" x14ac:dyDescent="0.35">
      <c r="A613" t="s">
        <v>14</v>
      </c>
      <c r="B613">
        <v>2030</v>
      </c>
      <c r="C613" t="s">
        <v>125</v>
      </c>
      <c r="D613" t="s">
        <v>56</v>
      </c>
      <c r="E613" s="1">
        <v>2.9333158776037399E-7</v>
      </c>
      <c r="F613" s="1">
        <v>2.9333158776037399E-7</v>
      </c>
      <c r="G613">
        <v>0</v>
      </c>
      <c r="H613">
        <v>0</v>
      </c>
      <c r="I613" t="s">
        <v>126</v>
      </c>
    </row>
    <row r="614" spans="1:9" x14ac:dyDescent="0.35">
      <c r="A614" t="s">
        <v>16</v>
      </c>
      <c r="B614">
        <v>2035</v>
      </c>
      <c r="C614" t="s">
        <v>125</v>
      </c>
      <c r="D614" t="s">
        <v>38</v>
      </c>
      <c r="E614">
        <v>8.4123675859031804E-4</v>
      </c>
      <c r="F614">
        <v>8.4123675859031804E-4</v>
      </c>
      <c r="G614">
        <v>0</v>
      </c>
      <c r="H614">
        <v>0</v>
      </c>
      <c r="I614" t="s">
        <v>126</v>
      </c>
    </row>
    <row r="615" spans="1:9" x14ac:dyDescent="0.35">
      <c r="A615" t="s">
        <v>16</v>
      </c>
      <c r="B615">
        <v>2035</v>
      </c>
      <c r="C615" t="s">
        <v>125</v>
      </c>
      <c r="D615" t="s">
        <v>40</v>
      </c>
      <c r="E615">
        <v>1.2531603275734901E-2</v>
      </c>
      <c r="F615">
        <v>1.2531603275734901E-2</v>
      </c>
      <c r="G615">
        <v>0</v>
      </c>
      <c r="H615">
        <v>0</v>
      </c>
      <c r="I615" t="s">
        <v>126</v>
      </c>
    </row>
    <row r="616" spans="1:9" x14ac:dyDescent="0.35">
      <c r="A616" t="s">
        <v>16</v>
      </c>
      <c r="B616">
        <v>2035</v>
      </c>
      <c r="C616" t="s">
        <v>125</v>
      </c>
      <c r="D616" t="s">
        <v>41</v>
      </c>
      <c r="E616">
        <v>0.16415747681564599</v>
      </c>
      <c r="F616">
        <v>0.16415747681564599</v>
      </c>
      <c r="G616">
        <v>0</v>
      </c>
      <c r="H616">
        <v>0</v>
      </c>
      <c r="I616" t="s">
        <v>126</v>
      </c>
    </row>
    <row r="617" spans="1:9" x14ac:dyDescent="0.35">
      <c r="A617" t="s">
        <v>16</v>
      </c>
      <c r="B617">
        <v>2035</v>
      </c>
      <c r="C617" t="s">
        <v>125</v>
      </c>
      <c r="D617" t="s">
        <v>42</v>
      </c>
      <c r="E617">
        <v>42.8077437117079</v>
      </c>
      <c r="F617">
        <v>42.8077437117079</v>
      </c>
      <c r="G617">
        <v>0</v>
      </c>
      <c r="H617">
        <v>0</v>
      </c>
      <c r="I617" t="s">
        <v>126</v>
      </c>
    </row>
    <row r="618" spans="1:9" x14ac:dyDescent="0.35">
      <c r="A618" t="s">
        <v>16</v>
      </c>
      <c r="B618">
        <v>2035</v>
      </c>
      <c r="C618" t="s">
        <v>125</v>
      </c>
      <c r="D618" t="s">
        <v>43</v>
      </c>
      <c r="E618">
        <v>5.3886672110223598E-2</v>
      </c>
      <c r="F618">
        <v>5.3886672110223598E-2</v>
      </c>
      <c r="G618">
        <v>0</v>
      </c>
      <c r="H618">
        <v>0</v>
      </c>
      <c r="I618" t="s">
        <v>126</v>
      </c>
    </row>
    <row r="619" spans="1:9" x14ac:dyDescent="0.35">
      <c r="A619" t="s">
        <v>16</v>
      </c>
      <c r="B619">
        <v>2035</v>
      </c>
      <c r="C619" t="s">
        <v>125</v>
      </c>
      <c r="D619" t="s">
        <v>136</v>
      </c>
      <c r="E619">
        <v>3.4493180269733501</v>
      </c>
      <c r="F619">
        <v>3.4493180269733501</v>
      </c>
      <c r="G619">
        <v>0</v>
      </c>
      <c r="H619">
        <v>0</v>
      </c>
      <c r="I619" t="s">
        <v>126</v>
      </c>
    </row>
    <row r="620" spans="1:9" x14ac:dyDescent="0.35">
      <c r="A620" t="s">
        <v>16</v>
      </c>
      <c r="B620">
        <v>2035</v>
      </c>
      <c r="C620" t="s">
        <v>125</v>
      </c>
      <c r="D620" t="s">
        <v>45</v>
      </c>
      <c r="E620">
        <v>5.0300273300423699E-2</v>
      </c>
      <c r="F620">
        <v>5.0300273300423699E-2</v>
      </c>
      <c r="G620">
        <v>0</v>
      </c>
      <c r="H620">
        <v>0</v>
      </c>
      <c r="I620" t="s">
        <v>126</v>
      </c>
    </row>
    <row r="621" spans="1:9" x14ac:dyDescent="0.35">
      <c r="A621" t="s">
        <v>16</v>
      </c>
      <c r="B621">
        <v>2035</v>
      </c>
      <c r="C621" t="s">
        <v>125</v>
      </c>
      <c r="D621" t="s">
        <v>46</v>
      </c>
      <c r="E621">
        <v>0.14270457447524099</v>
      </c>
      <c r="F621">
        <v>0.14270457447524099</v>
      </c>
      <c r="G621">
        <v>0</v>
      </c>
      <c r="H621">
        <v>0</v>
      </c>
      <c r="I621" t="s">
        <v>126</v>
      </c>
    </row>
    <row r="622" spans="1:9" x14ac:dyDescent="0.35">
      <c r="A622" t="s">
        <v>16</v>
      </c>
      <c r="B622">
        <v>2035</v>
      </c>
      <c r="C622" t="s">
        <v>125</v>
      </c>
      <c r="D622" t="s">
        <v>47</v>
      </c>
      <c r="E622">
        <v>9.3249660914280497E-3</v>
      </c>
      <c r="F622">
        <v>9.3249660914280497E-3</v>
      </c>
      <c r="G622">
        <v>0</v>
      </c>
      <c r="H622">
        <v>0</v>
      </c>
      <c r="I622" t="s">
        <v>126</v>
      </c>
    </row>
    <row r="623" spans="1:9" x14ac:dyDescent="0.35">
      <c r="A623" t="s">
        <v>16</v>
      </c>
      <c r="B623">
        <v>2035</v>
      </c>
      <c r="C623" t="s">
        <v>125</v>
      </c>
      <c r="D623" t="s">
        <v>48</v>
      </c>
      <c r="E623">
        <v>19.6161615822169</v>
      </c>
      <c r="F623">
        <v>19.6161615822169</v>
      </c>
      <c r="G623">
        <v>0</v>
      </c>
      <c r="H623">
        <v>0</v>
      </c>
      <c r="I623" t="s">
        <v>126</v>
      </c>
    </row>
    <row r="624" spans="1:9" x14ac:dyDescent="0.35">
      <c r="A624" t="s">
        <v>16</v>
      </c>
      <c r="B624">
        <v>2035</v>
      </c>
      <c r="C624" t="s">
        <v>125</v>
      </c>
      <c r="D624" t="s">
        <v>49</v>
      </c>
      <c r="E624">
        <v>0.18165532714236901</v>
      </c>
      <c r="F624">
        <v>0.18165532714236901</v>
      </c>
      <c r="G624">
        <v>0</v>
      </c>
      <c r="H624">
        <v>0</v>
      </c>
      <c r="I624" t="s">
        <v>126</v>
      </c>
    </row>
    <row r="625" spans="1:9" x14ac:dyDescent="0.35">
      <c r="A625" t="s">
        <v>16</v>
      </c>
      <c r="B625">
        <v>2035</v>
      </c>
      <c r="C625" t="s">
        <v>125</v>
      </c>
      <c r="D625" t="s">
        <v>50</v>
      </c>
      <c r="E625">
        <v>8.0579977311266607E-2</v>
      </c>
      <c r="F625">
        <v>8.0579977311266607E-2</v>
      </c>
      <c r="G625">
        <v>0</v>
      </c>
      <c r="H625">
        <v>0</v>
      </c>
      <c r="I625" t="s">
        <v>126</v>
      </c>
    </row>
    <row r="626" spans="1:9" x14ac:dyDescent="0.35">
      <c r="A626" t="s">
        <v>16</v>
      </c>
      <c r="B626">
        <v>2035</v>
      </c>
      <c r="C626" t="s">
        <v>125</v>
      </c>
      <c r="D626" t="s">
        <v>51</v>
      </c>
      <c r="E626">
        <v>0.33256283377623003</v>
      </c>
      <c r="F626">
        <v>0.33256283377623003</v>
      </c>
      <c r="G626">
        <v>0</v>
      </c>
      <c r="H626">
        <v>0</v>
      </c>
      <c r="I626" t="s">
        <v>126</v>
      </c>
    </row>
    <row r="627" spans="1:9" x14ac:dyDescent="0.35">
      <c r="A627" t="s">
        <v>16</v>
      </c>
      <c r="B627">
        <v>2035</v>
      </c>
      <c r="C627" t="s">
        <v>125</v>
      </c>
      <c r="D627" t="s">
        <v>52</v>
      </c>
      <c r="E627">
        <v>0.16251609410589199</v>
      </c>
      <c r="F627">
        <v>0.16251609410589199</v>
      </c>
      <c r="G627">
        <v>0</v>
      </c>
      <c r="H627">
        <v>0</v>
      </c>
      <c r="I627" t="s">
        <v>126</v>
      </c>
    </row>
    <row r="628" spans="1:9" x14ac:dyDescent="0.35">
      <c r="A628" t="s">
        <v>16</v>
      </c>
      <c r="B628">
        <v>2035</v>
      </c>
      <c r="C628" t="s">
        <v>125</v>
      </c>
      <c r="D628" t="s">
        <v>53</v>
      </c>
      <c r="E628">
        <v>1.0963354263656899</v>
      </c>
      <c r="F628">
        <v>1.0963354263656899</v>
      </c>
      <c r="G628">
        <v>0</v>
      </c>
      <c r="H628">
        <v>0</v>
      </c>
      <c r="I628" t="s">
        <v>126</v>
      </c>
    </row>
    <row r="629" spans="1:9" x14ac:dyDescent="0.35">
      <c r="A629" t="s">
        <v>16</v>
      </c>
      <c r="B629">
        <v>2035</v>
      </c>
      <c r="C629" t="s">
        <v>125</v>
      </c>
      <c r="D629" t="s">
        <v>54</v>
      </c>
      <c r="E629">
        <v>3.4555001613546001</v>
      </c>
      <c r="F629">
        <v>3.4555001613546001</v>
      </c>
      <c r="G629">
        <v>0</v>
      </c>
      <c r="H629">
        <v>0</v>
      </c>
      <c r="I629" t="s">
        <v>126</v>
      </c>
    </row>
    <row r="630" spans="1:9" x14ac:dyDescent="0.35">
      <c r="A630" t="s">
        <v>16</v>
      </c>
      <c r="B630">
        <v>2035</v>
      </c>
      <c r="C630" t="s">
        <v>125</v>
      </c>
      <c r="D630" t="s">
        <v>55</v>
      </c>
      <c r="E630">
        <v>2.9895238650770302</v>
      </c>
      <c r="F630">
        <v>2.9895238650770302</v>
      </c>
      <c r="G630">
        <v>0</v>
      </c>
      <c r="H630">
        <v>0</v>
      </c>
      <c r="I630" t="s">
        <v>126</v>
      </c>
    </row>
    <row r="631" spans="1:9" x14ac:dyDescent="0.35">
      <c r="A631" t="s">
        <v>16</v>
      </c>
      <c r="B631">
        <v>2035</v>
      </c>
      <c r="C631" t="s">
        <v>125</v>
      </c>
      <c r="D631" t="s">
        <v>56</v>
      </c>
      <c r="E631" s="1">
        <v>2.8113323840202198E-7</v>
      </c>
      <c r="F631" s="1">
        <v>2.8113323840202198E-7</v>
      </c>
      <c r="G631">
        <v>0</v>
      </c>
      <c r="H631">
        <v>0</v>
      </c>
      <c r="I631" t="s">
        <v>126</v>
      </c>
    </row>
    <row r="632" spans="1:9" x14ac:dyDescent="0.35">
      <c r="A632" t="s">
        <v>18</v>
      </c>
      <c r="B632">
        <v>2040</v>
      </c>
      <c r="C632" t="s">
        <v>125</v>
      </c>
      <c r="D632" t="s">
        <v>38</v>
      </c>
      <c r="E632">
        <v>1.1595848304684E-3</v>
      </c>
      <c r="F632">
        <v>1.10886801241727E-3</v>
      </c>
      <c r="G632" s="1">
        <v>-5.0716818051134903E-5</v>
      </c>
      <c r="H632">
        <v>-4.3737048569916297</v>
      </c>
      <c r="I632" t="s">
        <v>126</v>
      </c>
    </row>
    <row r="633" spans="1:9" x14ac:dyDescent="0.35">
      <c r="A633" t="s">
        <v>18</v>
      </c>
      <c r="B633">
        <v>2040</v>
      </c>
      <c r="C633" t="s">
        <v>125</v>
      </c>
      <c r="D633" t="s">
        <v>40</v>
      </c>
      <c r="E633">
        <v>1.24279944699147E-2</v>
      </c>
      <c r="F633">
        <v>1.24279944699147E-2</v>
      </c>
      <c r="G633">
        <v>0</v>
      </c>
      <c r="H633">
        <v>0</v>
      </c>
      <c r="I633" t="s">
        <v>126</v>
      </c>
    </row>
    <row r="634" spans="1:9" x14ac:dyDescent="0.35">
      <c r="A634" t="s">
        <v>18</v>
      </c>
      <c r="B634">
        <v>2040</v>
      </c>
      <c r="C634" t="s">
        <v>125</v>
      </c>
      <c r="D634" t="s">
        <v>41</v>
      </c>
      <c r="E634">
        <v>0.16317819615024001</v>
      </c>
      <c r="F634">
        <v>0.159744284126415</v>
      </c>
      <c r="G634">
        <v>-3.433912023825E-3</v>
      </c>
      <c r="H634">
        <v>-2.1043939109753</v>
      </c>
      <c r="I634" t="s">
        <v>126</v>
      </c>
    </row>
    <row r="635" spans="1:9" x14ac:dyDescent="0.35">
      <c r="A635" t="s">
        <v>18</v>
      </c>
      <c r="B635">
        <v>2040</v>
      </c>
      <c r="C635" t="s">
        <v>125</v>
      </c>
      <c r="D635" t="s">
        <v>42</v>
      </c>
      <c r="E635">
        <v>42.7525349165332</v>
      </c>
      <c r="F635">
        <v>42.728797260051898</v>
      </c>
      <c r="G635">
        <v>-2.37376564813374E-2</v>
      </c>
      <c r="H635">
        <v>-5.5523389496508098E-2</v>
      </c>
      <c r="I635" t="s">
        <v>126</v>
      </c>
    </row>
    <row r="636" spans="1:9" x14ac:dyDescent="0.35">
      <c r="A636" t="s">
        <v>18</v>
      </c>
      <c r="B636">
        <v>2040</v>
      </c>
      <c r="C636" t="s">
        <v>125</v>
      </c>
      <c r="D636" t="s">
        <v>43</v>
      </c>
      <c r="E636">
        <v>5.3695963892477501E-2</v>
      </c>
      <c r="F636">
        <v>5.36959190735612E-2</v>
      </c>
      <c r="G636" s="1">
        <v>-4.4818916328237502E-8</v>
      </c>
      <c r="H636" s="1">
        <v>-8.3467942614801202E-5</v>
      </c>
      <c r="I636" t="s">
        <v>126</v>
      </c>
    </row>
    <row r="637" spans="1:9" x14ac:dyDescent="0.35">
      <c r="A637" t="s">
        <v>18</v>
      </c>
      <c r="B637">
        <v>2040</v>
      </c>
      <c r="C637" t="s">
        <v>125</v>
      </c>
      <c r="D637" t="s">
        <v>136</v>
      </c>
      <c r="E637">
        <v>3.1524775248068599</v>
      </c>
      <c r="F637">
        <v>3.1520728395331101</v>
      </c>
      <c r="G637">
        <v>-4.04685273746707E-4</v>
      </c>
      <c r="H637">
        <v>-1.28370550007807E-2</v>
      </c>
      <c r="I637" t="s">
        <v>126</v>
      </c>
    </row>
    <row r="638" spans="1:9" x14ac:dyDescent="0.35">
      <c r="A638" t="s">
        <v>18</v>
      </c>
      <c r="B638">
        <v>2040</v>
      </c>
      <c r="C638" t="s">
        <v>125</v>
      </c>
      <c r="D638" t="s">
        <v>45</v>
      </c>
      <c r="E638">
        <v>4.9811235977081599E-2</v>
      </c>
      <c r="F638">
        <v>4.1325425847381199E-2</v>
      </c>
      <c r="G638">
        <v>-8.4858101297003597E-3</v>
      </c>
      <c r="H638">
        <v>-17.035935694518201</v>
      </c>
      <c r="I638" t="s">
        <v>126</v>
      </c>
    </row>
    <row r="639" spans="1:9" x14ac:dyDescent="0.35">
      <c r="A639" t="s">
        <v>18</v>
      </c>
      <c r="B639">
        <v>2040</v>
      </c>
      <c r="C639" t="s">
        <v>125</v>
      </c>
      <c r="D639" t="s">
        <v>46</v>
      </c>
      <c r="E639">
        <v>0.19008609341854099</v>
      </c>
      <c r="F639">
        <v>0.19008609341854099</v>
      </c>
      <c r="G639">
        <v>0</v>
      </c>
      <c r="H639">
        <v>0</v>
      </c>
      <c r="I639" t="s">
        <v>126</v>
      </c>
    </row>
    <row r="640" spans="1:9" x14ac:dyDescent="0.35">
      <c r="A640" t="s">
        <v>18</v>
      </c>
      <c r="B640">
        <v>2040</v>
      </c>
      <c r="C640" t="s">
        <v>125</v>
      </c>
      <c r="D640" t="s">
        <v>47</v>
      </c>
      <c r="E640">
        <v>9.2425134171881008E-3</v>
      </c>
      <c r="F640">
        <v>9.2425134171881008E-3</v>
      </c>
      <c r="G640">
        <v>0</v>
      </c>
      <c r="H640">
        <v>0</v>
      </c>
      <c r="I640" t="s">
        <v>126</v>
      </c>
    </row>
    <row r="641" spans="1:9" x14ac:dyDescent="0.35">
      <c r="A641" t="s">
        <v>18</v>
      </c>
      <c r="B641">
        <v>2040</v>
      </c>
      <c r="C641" t="s">
        <v>125</v>
      </c>
      <c r="D641" t="s">
        <v>48</v>
      </c>
      <c r="E641">
        <v>19.621708530508599</v>
      </c>
      <c r="F641">
        <v>19.621708530508599</v>
      </c>
      <c r="G641">
        <v>0</v>
      </c>
      <c r="H641">
        <v>0</v>
      </c>
      <c r="I641" t="s">
        <v>126</v>
      </c>
    </row>
    <row r="642" spans="1:9" x14ac:dyDescent="0.35">
      <c r="A642" t="s">
        <v>18</v>
      </c>
      <c r="B642">
        <v>2040</v>
      </c>
      <c r="C642" t="s">
        <v>125</v>
      </c>
      <c r="D642" t="s">
        <v>49</v>
      </c>
      <c r="E642">
        <v>0.179850438445462</v>
      </c>
      <c r="F642">
        <v>0.13750021139820601</v>
      </c>
      <c r="G642">
        <v>-4.2350227047255801E-2</v>
      </c>
      <c r="H642">
        <v>-23.547469449232398</v>
      </c>
      <c r="I642" t="s">
        <v>126</v>
      </c>
    </row>
    <row r="643" spans="1:9" x14ac:dyDescent="0.35">
      <c r="A643" t="s">
        <v>18</v>
      </c>
      <c r="B643">
        <v>2040</v>
      </c>
      <c r="C643" t="s">
        <v>125</v>
      </c>
      <c r="D643" t="s">
        <v>50</v>
      </c>
      <c r="E643">
        <v>8.1041568626912905E-2</v>
      </c>
      <c r="F643">
        <v>8.1041568626912905E-2</v>
      </c>
      <c r="G643">
        <v>0</v>
      </c>
      <c r="H643">
        <v>0</v>
      </c>
      <c r="I643" t="s">
        <v>126</v>
      </c>
    </row>
    <row r="644" spans="1:9" x14ac:dyDescent="0.35">
      <c r="A644" t="s">
        <v>18</v>
      </c>
      <c r="B644">
        <v>2040</v>
      </c>
      <c r="C644" t="s">
        <v>125</v>
      </c>
      <c r="D644" t="s">
        <v>51</v>
      </c>
      <c r="E644">
        <v>0.338956079380203</v>
      </c>
      <c r="F644">
        <v>0.338956079380203</v>
      </c>
      <c r="G644">
        <v>0</v>
      </c>
      <c r="H644">
        <v>0</v>
      </c>
      <c r="I644" t="s">
        <v>126</v>
      </c>
    </row>
    <row r="645" spans="1:9" x14ac:dyDescent="0.35">
      <c r="A645" t="s">
        <v>18</v>
      </c>
      <c r="B645">
        <v>2040</v>
      </c>
      <c r="C645" t="s">
        <v>125</v>
      </c>
      <c r="D645" t="s">
        <v>52</v>
      </c>
      <c r="E645">
        <v>0.13807172955715299</v>
      </c>
      <c r="F645">
        <v>0.13807172955715299</v>
      </c>
      <c r="G645">
        <v>0</v>
      </c>
      <c r="H645">
        <v>0</v>
      </c>
      <c r="I645" t="s">
        <v>126</v>
      </c>
    </row>
    <row r="646" spans="1:9" x14ac:dyDescent="0.35">
      <c r="A646" t="s">
        <v>18</v>
      </c>
      <c r="B646">
        <v>2040</v>
      </c>
      <c r="C646" t="s">
        <v>125</v>
      </c>
      <c r="D646" t="s">
        <v>53</v>
      </c>
      <c r="E646">
        <v>0.99364453795835495</v>
      </c>
      <c r="F646">
        <v>0.99364453795835495</v>
      </c>
      <c r="G646">
        <v>0</v>
      </c>
      <c r="H646">
        <v>0</v>
      </c>
      <c r="I646" t="s">
        <v>126</v>
      </c>
    </row>
    <row r="647" spans="1:9" x14ac:dyDescent="0.35">
      <c r="A647" t="s">
        <v>18</v>
      </c>
      <c r="B647">
        <v>2040</v>
      </c>
      <c r="C647" t="s">
        <v>125</v>
      </c>
      <c r="D647" t="s">
        <v>54</v>
      </c>
      <c r="E647">
        <v>3.4580438997632599</v>
      </c>
      <c r="F647">
        <v>3.4554470572849101</v>
      </c>
      <c r="G647">
        <v>-2.5968424783511198E-3</v>
      </c>
      <c r="H647">
        <v>-7.5095705943146004E-2</v>
      </c>
      <c r="I647" t="s">
        <v>126</v>
      </c>
    </row>
    <row r="648" spans="1:9" x14ac:dyDescent="0.35">
      <c r="A648" t="s">
        <v>18</v>
      </c>
      <c r="B648">
        <v>2040</v>
      </c>
      <c r="C648" t="s">
        <v>125</v>
      </c>
      <c r="D648" t="s">
        <v>55</v>
      </c>
      <c r="E648">
        <v>2.9915354767323099</v>
      </c>
      <c r="F648">
        <v>2.9910835851164799</v>
      </c>
      <c r="G648">
        <v>-4.5189161582603801E-4</v>
      </c>
      <c r="H648">
        <v>-1.5105674639019901E-2</v>
      </c>
      <c r="I648" t="s">
        <v>126</v>
      </c>
    </row>
    <row r="649" spans="1:9" x14ac:dyDescent="0.35">
      <c r="A649" t="s">
        <v>18</v>
      </c>
      <c r="B649">
        <v>2040</v>
      </c>
      <c r="C649" t="s">
        <v>125</v>
      </c>
      <c r="D649" t="s">
        <v>56</v>
      </c>
      <c r="E649" s="1">
        <v>2.5697003429021601E-7</v>
      </c>
      <c r="F649" s="1">
        <v>2.5697003429021601E-7</v>
      </c>
      <c r="G649">
        <v>0</v>
      </c>
      <c r="H649">
        <v>0</v>
      </c>
      <c r="I649" t="s">
        <v>126</v>
      </c>
    </row>
    <row r="650" spans="1:9" x14ac:dyDescent="0.35">
      <c r="A650" t="s">
        <v>12</v>
      </c>
      <c r="B650">
        <v>2025</v>
      </c>
      <c r="C650" t="s">
        <v>85</v>
      </c>
      <c r="D650" t="s">
        <v>38</v>
      </c>
      <c r="E650">
        <v>2.21202318412482E-4</v>
      </c>
      <c r="F650">
        <v>2.21202318412482E-4</v>
      </c>
      <c r="G650">
        <v>0</v>
      </c>
      <c r="H650">
        <v>0</v>
      </c>
      <c r="I650" t="s">
        <v>86</v>
      </c>
    </row>
    <row r="651" spans="1:9" x14ac:dyDescent="0.35">
      <c r="A651" t="s">
        <v>12</v>
      </c>
      <c r="B651">
        <v>2025</v>
      </c>
      <c r="C651" t="s">
        <v>85</v>
      </c>
      <c r="D651" t="s">
        <v>40</v>
      </c>
      <c r="E651">
        <v>2.7218001414073699E-4</v>
      </c>
      <c r="F651">
        <v>2.7218001414073699E-4</v>
      </c>
      <c r="G651">
        <v>0</v>
      </c>
      <c r="H651">
        <v>0</v>
      </c>
      <c r="I651" t="s">
        <v>86</v>
      </c>
    </row>
    <row r="652" spans="1:9" x14ac:dyDescent="0.35">
      <c r="A652" t="s">
        <v>12</v>
      </c>
      <c r="B652">
        <v>2025</v>
      </c>
      <c r="C652" t="s">
        <v>85</v>
      </c>
      <c r="D652" t="s">
        <v>41</v>
      </c>
      <c r="E652">
        <v>4.11224137511458E-3</v>
      </c>
      <c r="F652">
        <v>4.11224137511458E-3</v>
      </c>
      <c r="G652">
        <v>0</v>
      </c>
      <c r="H652">
        <v>0</v>
      </c>
      <c r="I652" t="s">
        <v>86</v>
      </c>
    </row>
    <row r="653" spans="1:9" x14ac:dyDescent="0.35">
      <c r="A653" t="s">
        <v>12</v>
      </c>
      <c r="B653">
        <v>2025</v>
      </c>
      <c r="C653" t="s">
        <v>85</v>
      </c>
      <c r="D653" t="s">
        <v>42</v>
      </c>
      <c r="E653">
        <v>1.8653254233977601</v>
      </c>
      <c r="F653">
        <v>1.8653254233977601</v>
      </c>
      <c r="G653">
        <v>0</v>
      </c>
      <c r="H653">
        <v>0</v>
      </c>
      <c r="I653" t="s">
        <v>86</v>
      </c>
    </row>
    <row r="654" spans="1:9" x14ac:dyDescent="0.35">
      <c r="A654" t="s">
        <v>12</v>
      </c>
      <c r="B654">
        <v>2025</v>
      </c>
      <c r="C654" t="s">
        <v>85</v>
      </c>
      <c r="D654" t="s">
        <v>43</v>
      </c>
      <c r="E654">
        <v>7.1500507646482796E-4</v>
      </c>
      <c r="F654">
        <v>7.1500507646482796E-4</v>
      </c>
      <c r="G654">
        <v>0</v>
      </c>
      <c r="H654">
        <v>0</v>
      </c>
      <c r="I654" t="s">
        <v>86</v>
      </c>
    </row>
    <row r="655" spans="1:9" x14ac:dyDescent="0.35">
      <c r="A655" t="s">
        <v>12</v>
      </c>
      <c r="B655">
        <v>2025</v>
      </c>
      <c r="C655" t="s">
        <v>85</v>
      </c>
      <c r="D655" t="s">
        <v>136</v>
      </c>
      <c r="E655">
        <v>0.599662944394595</v>
      </c>
      <c r="F655">
        <v>0.599662944394595</v>
      </c>
      <c r="G655">
        <v>0</v>
      </c>
      <c r="H655">
        <v>0</v>
      </c>
      <c r="I655" t="s">
        <v>86</v>
      </c>
    </row>
    <row r="656" spans="1:9" x14ac:dyDescent="0.35">
      <c r="A656" t="s">
        <v>12</v>
      </c>
      <c r="B656">
        <v>2025</v>
      </c>
      <c r="C656" t="s">
        <v>85</v>
      </c>
      <c r="D656" t="s">
        <v>45</v>
      </c>
      <c r="E656">
        <v>5.65390523671668E-3</v>
      </c>
      <c r="F656">
        <v>5.65390523671668E-3</v>
      </c>
      <c r="G656">
        <v>0</v>
      </c>
      <c r="H656">
        <v>0</v>
      </c>
      <c r="I656" t="s">
        <v>86</v>
      </c>
    </row>
    <row r="657" spans="1:9" x14ac:dyDescent="0.35">
      <c r="A657" t="s">
        <v>12</v>
      </c>
      <c r="B657">
        <v>2025</v>
      </c>
      <c r="C657" t="s">
        <v>85</v>
      </c>
      <c r="D657" t="s">
        <v>46</v>
      </c>
      <c r="E657">
        <v>2.2398658524890799E-2</v>
      </c>
      <c r="F657">
        <v>2.2398658524890799E-2</v>
      </c>
      <c r="G657">
        <v>0</v>
      </c>
      <c r="H657">
        <v>0</v>
      </c>
      <c r="I657" t="s">
        <v>86</v>
      </c>
    </row>
    <row r="658" spans="1:9" x14ac:dyDescent="0.35">
      <c r="A658" t="s">
        <v>12</v>
      </c>
      <c r="B658">
        <v>2025</v>
      </c>
      <c r="C658" t="s">
        <v>85</v>
      </c>
      <c r="D658" t="s">
        <v>47</v>
      </c>
      <c r="E658">
        <v>2.6606575182278199E-4</v>
      </c>
      <c r="F658">
        <v>2.6606575182278199E-4</v>
      </c>
      <c r="G658">
        <v>0</v>
      </c>
      <c r="H658">
        <v>0</v>
      </c>
      <c r="I658" t="s">
        <v>86</v>
      </c>
    </row>
    <row r="659" spans="1:9" x14ac:dyDescent="0.35">
      <c r="A659" t="s">
        <v>12</v>
      </c>
      <c r="B659">
        <v>2025</v>
      </c>
      <c r="C659" t="s">
        <v>85</v>
      </c>
      <c r="D659" t="s">
        <v>48</v>
      </c>
      <c r="E659">
        <v>42.685990091784298</v>
      </c>
      <c r="F659">
        <v>42.685990091784298</v>
      </c>
      <c r="G659">
        <v>0</v>
      </c>
      <c r="H659">
        <v>0</v>
      </c>
      <c r="I659" t="s">
        <v>86</v>
      </c>
    </row>
    <row r="660" spans="1:9" x14ac:dyDescent="0.35">
      <c r="A660" t="s">
        <v>12</v>
      </c>
      <c r="B660">
        <v>2025</v>
      </c>
      <c r="C660" t="s">
        <v>85</v>
      </c>
      <c r="D660" t="s">
        <v>49</v>
      </c>
      <c r="E660">
        <v>2.3761044934213799E-2</v>
      </c>
      <c r="F660">
        <v>2.3761044934213799E-2</v>
      </c>
      <c r="G660">
        <v>0</v>
      </c>
      <c r="H660">
        <v>0</v>
      </c>
      <c r="I660" t="s">
        <v>86</v>
      </c>
    </row>
    <row r="661" spans="1:9" x14ac:dyDescent="0.35">
      <c r="A661" t="s">
        <v>12</v>
      </c>
      <c r="B661">
        <v>2025</v>
      </c>
      <c r="C661" t="s">
        <v>85</v>
      </c>
      <c r="D661" t="s">
        <v>50</v>
      </c>
      <c r="E661">
        <v>5.5569802657944797E-3</v>
      </c>
      <c r="F661">
        <v>5.5569802657944797E-3</v>
      </c>
      <c r="G661">
        <v>0</v>
      </c>
      <c r="H661">
        <v>0</v>
      </c>
      <c r="I661" t="s">
        <v>86</v>
      </c>
    </row>
    <row r="662" spans="1:9" x14ac:dyDescent="0.35">
      <c r="A662" t="s">
        <v>12</v>
      </c>
      <c r="B662">
        <v>2025</v>
      </c>
      <c r="C662" t="s">
        <v>85</v>
      </c>
      <c r="D662" t="s">
        <v>51</v>
      </c>
      <c r="E662">
        <v>3.6629547368375599E-2</v>
      </c>
      <c r="F662">
        <v>3.6629547368375599E-2</v>
      </c>
      <c r="G662">
        <v>0</v>
      </c>
      <c r="H662">
        <v>0</v>
      </c>
      <c r="I662" t="s">
        <v>86</v>
      </c>
    </row>
    <row r="663" spans="1:9" x14ac:dyDescent="0.35">
      <c r="A663" t="s">
        <v>12</v>
      </c>
      <c r="B663">
        <v>2025</v>
      </c>
      <c r="C663" t="s">
        <v>85</v>
      </c>
      <c r="D663" t="s">
        <v>52</v>
      </c>
      <c r="E663">
        <v>9.9963605193377603E-2</v>
      </c>
      <c r="F663">
        <v>9.9963605193377603E-2</v>
      </c>
      <c r="G663">
        <v>0</v>
      </c>
      <c r="H663">
        <v>0</v>
      </c>
      <c r="I663" t="s">
        <v>86</v>
      </c>
    </row>
    <row r="664" spans="1:9" x14ac:dyDescent="0.35">
      <c r="A664" t="s">
        <v>12</v>
      </c>
      <c r="B664">
        <v>2025</v>
      </c>
      <c r="C664" t="s">
        <v>85</v>
      </c>
      <c r="D664" t="s">
        <v>53</v>
      </c>
      <c r="E664">
        <v>0.25659424849738599</v>
      </c>
      <c r="F664">
        <v>0.25659424849738599</v>
      </c>
      <c r="G664">
        <v>0</v>
      </c>
      <c r="H664">
        <v>0</v>
      </c>
      <c r="I664" t="s">
        <v>86</v>
      </c>
    </row>
    <row r="665" spans="1:9" x14ac:dyDescent="0.35">
      <c r="A665" t="s">
        <v>12</v>
      </c>
      <c r="B665">
        <v>2025</v>
      </c>
      <c r="C665" t="s">
        <v>85</v>
      </c>
      <c r="D665" t="s">
        <v>54</v>
      </c>
      <c r="E665">
        <v>4.8839658874570299E-2</v>
      </c>
      <c r="F665">
        <v>4.8839658874570299E-2</v>
      </c>
      <c r="G665">
        <v>0</v>
      </c>
      <c r="H665">
        <v>0</v>
      </c>
      <c r="I665" t="s">
        <v>86</v>
      </c>
    </row>
    <row r="666" spans="1:9" x14ac:dyDescent="0.35">
      <c r="A666" t="s">
        <v>12</v>
      </c>
      <c r="B666">
        <v>2025</v>
      </c>
      <c r="C666" t="s">
        <v>85</v>
      </c>
      <c r="D666" t="s">
        <v>55</v>
      </c>
      <c r="E666">
        <v>4.5309495996271897E-2</v>
      </c>
      <c r="F666">
        <v>4.5309495996271897E-2</v>
      </c>
      <c r="G666">
        <v>0</v>
      </c>
      <c r="H666">
        <v>0</v>
      </c>
      <c r="I666" t="s">
        <v>86</v>
      </c>
    </row>
    <row r="667" spans="1:9" x14ac:dyDescent="0.35">
      <c r="A667" t="s">
        <v>12</v>
      </c>
      <c r="B667">
        <v>2025</v>
      </c>
      <c r="C667" t="s">
        <v>85</v>
      </c>
      <c r="D667" t="s">
        <v>56</v>
      </c>
      <c r="E667" s="1">
        <v>5.1723143500649797E-8</v>
      </c>
      <c r="F667" s="1">
        <v>5.1723143500649797E-8</v>
      </c>
      <c r="G667">
        <v>0</v>
      </c>
      <c r="H667">
        <v>0</v>
      </c>
      <c r="I667" t="s">
        <v>86</v>
      </c>
    </row>
    <row r="668" spans="1:9" x14ac:dyDescent="0.35">
      <c r="A668" t="s">
        <v>14</v>
      </c>
      <c r="B668">
        <v>2030</v>
      </c>
      <c r="C668" t="s">
        <v>85</v>
      </c>
      <c r="D668" t="s">
        <v>38</v>
      </c>
      <c r="E668">
        <v>2.30773326182118E-4</v>
      </c>
      <c r="F668">
        <v>2.30773326182118E-4</v>
      </c>
      <c r="G668">
        <v>0</v>
      </c>
      <c r="H668">
        <v>0</v>
      </c>
      <c r="I668" t="s">
        <v>86</v>
      </c>
    </row>
    <row r="669" spans="1:9" x14ac:dyDescent="0.35">
      <c r="A669" t="s">
        <v>14</v>
      </c>
      <c r="B669">
        <v>2030</v>
      </c>
      <c r="C669" t="s">
        <v>85</v>
      </c>
      <c r="D669" t="s">
        <v>40</v>
      </c>
      <c r="E669">
        <v>2.5896735962966001E-4</v>
      </c>
      <c r="F669">
        <v>2.5896735962966001E-4</v>
      </c>
      <c r="G669">
        <v>0</v>
      </c>
      <c r="H669">
        <v>0</v>
      </c>
      <c r="I669" t="s">
        <v>86</v>
      </c>
    </row>
    <row r="670" spans="1:9" x14ac:dyDescent="0.35">
      <c r="A670" t="s">
        <v>14</v>
      </c>
      <c r="B670">
        <v>2030</v>
      </c>
      <c r="C670" t="s">
        <v>85</v>
      </c>
      <c r="D670" t="s">
        <v>41</v>
      </c>
      <c r="E670">
        <v>3.9204147851093904E-3</v>
      </c>
      <c r="F670">
        <v>3.9204147851093904E-3</v>
      </c>
      <c r="G670">
        <v>0</v>
      </c>
      <c r="H670">
        <v>0</v>
      </c>
      <c r="I670" t="s">
        <v>86</v>
      </c>
    </row>
    <row r="671" spans="1:9" x14ac:dyDescent="0.35">
      <c r="A671" t="s">
        <v>14</v>
      </c>
      <c r="B671">
        <v>2030</v>
      </c>
      <c r="C671" t="s">
        <v>85</v>
      </c>
      <c r="D671" t="s">
        <v>42</v>
      </c>
      <c r="E671">
        <v>1.83355391140297</v>
      </c>
      <c r="F671">
        <v>1.83355391140297</v>
      </c>
      <c r="G671">
        <v>0</v>
      </c>
      <c r="H671">
        <v>0</v>
      </c>
      <c r="I671" t="s">
        <v>86</v>
      </c>
    </row>
    <row r="672" spans="1:9" x14ac:dyDescent="0.35">
      <c r="A672" t="s">
        <v>14</v>
      </c>
      <c r="B672">
        <v>2030</v>
      </c>
      <c r="C672" t="s">
        <v>85</v>
      </c>
      <c r="D672" t="s">
        <v>43</v>
      </c>
      <c r="E672">
        <v>6.4967009597297705E-4</v>
      </c>
      <c r="F672">
        <v>6.4967009597297705E-4</v>
      </c>
      <c r="G672">
        <v>0</v>
      </c>
      <c r="H672">
        <v>0</v>
      </c>
      <c r="I672" t="s">
        <v>86</v>
      </c>
    </row>
    <row r="673" spans="1:9" x14ac:dyDescent="0.35">
      <c r="A673" t="s">
        <v>14</v>
      </c>
      <c r="B673">
        <v>2030</v>
      </c>
      <c r="C673" t="s">
        <v>85</v>
      </c>
      <c r="D673" t="s">
        <v>136</v>
      </c>
      <c r="E673">
        <v>0.52543218931914704</v>
      </c>
      <c r="F673">
        <v>0.52543218931914704</v>
      </c>
      <c r="G673">
        <v>0</v>
      </c>
      <c r="H673">
        <v>0</v>
      </c>
      <c r="I673" t="s">
        <v>86</v>
      </c>
    </row>
    <row r="674" spans="1:9" x14ac:dyDescent="0.35">
      <c r="A674" t="s">
        <v>14</v>
      </c>
      <c r="B674">
        <v>2030</v>
      </c>
      <c r="C674" t="s">
        <v>85</v>
      </c>
      <c r="D674" t="s">
        <v>45</v>
      </c>
      <c r="E674">
        <v>5.4313138883168403E-3</v>
      </c>
      <c r="F674">
        <v>5.4313138883168403E-3</v>
      </c>
      <c r="G674">
        <v>0</v>
      </c>
      <c r="H674">
        <v>0</v>
      </c>
      <c r="I674" t="s">
        <v>86</v>
      </c>
    </row>
    <row r="675" spans="1:9" x14ac:dyDescent="0.35">
      <c r="A675" t="s">
        <v>14</v>
      </c>
      <c r="B675">
        <v>2030</v>
      </c>
      <c r="C675" t="s">
        <v>85</v>
      </c>
      <c r="D675" t="s">
        <v>46</v>
      </c>
      <c r="E675">
        <v>2.48970909324157E-2</v>
      </c>
      <c r="F675">
        <v>2.48970909324157E-2</v>
      </c>
      <c r="G675">
        <v>0</v>
      </c>
      <c r="H675">
        <v>0</v>
      </c>
      <c r="I675" t="s">
        <v>86</v>
      </c>
    </row>
    <row r="676" spans="1:9" x14ac:dyDescent="0.35">
      <c r="A676" t="s">
        <v>14</v>
      </c>
      <c r="B676">
        <v>2030</v>
      </c>
      <c r="C676" t="s">
        <v>85</v>
      </c>
      <c r="D676" t="s">
        <v>47</v>
      </c>
      <c r="E676">
        <v>2.2081115467302199E-4</v>
      </c>
      <c r="F676">
        <v>2.2081115467302199E-4</v>
      </c>
      <c r="G676">
        <v>0</v>
      </c>
      <c r="H676">
        <v>0</v>
      </c>
      <c r="I676" t="s">
        <v>86</v>
      </c>
    </row>
    <row r="677" spans="1:9" x14ac:dyDescent="0.35">
      <c r="A677" t="s">
        <v>14</v>
      </c>
      <c r="B677">
        <v>2030</v>
      </c>
      <c r="C677" t="s">
        <v>85</v>
      </c>
      <c r="D677" t="s">
        <v>48</v>
      </c>
      <c r="E677">
        <v>42.685912997269597</v>
      </c>
      <c r="F677">
        <v>42.685912997269597</v>
      </c>
      <c r="G677">
        <v>0</v>
      </c>
      <c r="H677">
        <v>0</v>
      </c>
      <c r="I677" t="s">
        <v>86</v>
      </c>
    </row>
    <row r="678" spans="1:9" x14ac:dyDescent="0.35">
      <c r="A678" t="s">
        <v>14</v>
      </c>
      <c r="B678">
        <v>2030</v>
      </c>
      <c r="C678" t="s">
        <v>85</v>
      </c>
      <c r="D678" t="s">
        <v>49</v>
      </c>
      <c r="E678">
        <v>2.34759593524691E-2</v>
      </c>
      <c r="F678">
        <v>2.34759593524691E-2</v>
      </c>
      <c r="G678">
        <v>0</v>
      </c>
      <c r="H678">
        <v>0</v>
      </c>
      <c r="I678" t="s">
        <v>86</v>
      </c>
    </row>
    <row r="679" spans="1:9" x14ac:dyDescent="0.35">
      <c r="A679" t="s">
        <v>14</v>
      </c>
      <c r="B679">
        <v>2030</v>
      </c>
      <c r="C679" t="s">
        <v>85</v>
      </c>
      <c r="D679" t="s">
        <v>50</v>
      </c>
      <c r="E679">
        <v>5.3701164208167802E-3</v>
      </c>
      <c r="F679">
        <v>5.3701164208167802E-3</v>
      </c>
      <c r="G679">
        <v>0</v>
      </c>
      <c r="H679">
        <v>0</v>
      </c>
      <c r="I679" t="s">
        <v>86</v>
      </c>
    </row>
    <row r="680" spans="1:9" x14ac:dyDescent="0.35">
      <c r="A680" t="s">
        <v>14</v>
      </c>
      <c r="B680">
        <v>2030</v>
      </c>
      <c r="C680" t="s">
        <v>85</v>
      </c>
      <c r="D680" t="s">
        <v>51</v>
      </c>
      <c r="E680">
        <v>3.6911028107266403E-2</v>
      </c>
      <c r="F680">
        <v>3.6911028107266403E-2</v>
      </c>
      <c r="G680">
        <v>0</v>
      </c>
      <c r="H680">
        <v>0</v>
      </c>
      <c r="I680" t="s">
        <v>86</v>
      </c>
    </row>
    <row r="681" spans="1:9" x14ac:dyDescent="0.35">
      <c r="A681" t="s">
        <v>14</v>
      </c>
      <c r="B681">
        <v>2030</v>
      </c>
      <c r="C681" t="s">
        <v>85</v>
      </c>
      <c r="D681" t="s">
        <v>52</v>
      </c>
      <c r="E681">
        <v>8.8452077138520296E-2</v>
      </c>
      <c r="F681">
        <v>8.8452077138520296E-2</v>
      </c>
      <c r="G681">
        <v>0</v>
      </c>
      <c r="H681">
        <v>0</v>
      </c>
      <c r="I681" t="s">
        <v>86</v>
      </c>
    </row>
    <row r="682" spans="1:9" x14ac:dyDescent="0.35">
      <c r="A682" t="s">
        <v>14</v>
      </c>
      <c r="B682">
        <v>2030</v>
      </c>
      <c r="C682" t="s">
        <v>85</v>
      </c>
      <c r="D682" t="s">
        <v>53</v>
      </c>
      <c r="E682">
        <v>0.235587000080209</v>
      </c>
      <c r="F682">
        <v>0.235587000080209</v>
      </c>
      <c r="G682">
        <v>0</v>
      </c>
      <c r="H682">
        <v>0</v>
      </c>
      <c r="I682" t="s">
        <v>86</v>
      </c>
    </row>
    <row r="683" spans="1:9" x14ac:dyDescent="0.35">
      <c r="A683" t="s">
        <v>14</v>
      </c>
      <c r="B683">
        <v>2030</v>
      </c>
      <c r="C683" t="s">
        <v>85</v>
      </c>
      <c r="D683" t="s">
        <v>54</v>
      </c>
      <c r="E683">
        <v>4.8660750432506603E-2</v>
      </c>
      <c r="F683">
        <v>4.8660750432506603E-2</v>
      </c>
      <c r="G683">
        <v>0</v>
      </c>
      <c r="H683">
        <v>0</v>
      </c>
      <c r="I683" t="s">
        <v>86</v>
      </c>
    </row>
    <row r="684" spans="1:9" x14ac:dyDescent="0.35">
      <c r="A684" t="s">
        <v>14</v>
      </c>
      <c r="B684">
        <v>2030</v>
      </c>
      <c r="C684" t="s">
        <v>85</v>
      </c>
      <c r="D684" t="s">
        <v>55</v>
      </c>
      <c r="E684">
        <v>4.5060010795231802E-2</v>
      </c>
      <c r="F684">
        <v>4.5060010795231802E-2</v>
      </c>
      <c r="G684">
        <v>0</v>
      </c>
      <c r="H684">
        <v>0</v>
      </c>
      <c r="I684" t="s">
        <v>86</v>
      </c>
    </row>
    <row r="685" spans="1:9" x14ac:dyDescent="0.35">
      <c r="A685" t="s">
        <v>14</v>
      </c>
      <c r="B685">
        <v>2030</v>
      </c>
      <c r="C685" t="s">
        <v>85</v>
      </c>
      <c r="D685" t="s">
        <v>56</v>
      </c>
      <c r="E685" s="1">
        <v>4.6836793318167698E-8</v>
      </c>
      <c r="F685" s="1">
        <v>4.6836793318167698E-8</v>
      </c>
      <c r="G685">
        <v>0</v>
      </c>
      <c r="H685">
        <v>0</v>
      </c>
      <c r="I685" t="s">
        <v>86</v>
      </c>
    </row>
    <row r="686" spans="1:9" x14ac:dyDescent="0.35">
      <c r="A686" t="s">
        <v>16</v>
      </c>
      <c r="B686">
        <v>2035</v>
      </c>
      <c r="C686" t="s">
        <v>85</v>
      </c>
      <c r="D686" t="s">
        <v>38</v>
      </c>
      <c r="E686">
        <v>2.9047514789850898E-4</v>
      </c>
      <c r="F686">
        <v>2.9047514789850898E-4</v>
      </c>
      <c r="G686">
        <v>0</v>
      </c>
      <c r="H686">
        <v>0</v>
      </c>
      <c r="I686" t="s">
        <v>86</v>
      </c>
    </row>
    <row r="687" spans="1:9" x14ac:dyDescent="0.35">
      <c r="A687" t="s">
        <v>16</v>
      </c>
      <c r="B687">
        <v>2035</v>
      </c>
      <c r="C687" t="s">
        <v>85</v>
      </c>
      <c r="D687" t="s">
        <v>40</v>
      </c>
      <c r="E687">
        <v>2.4797441284299398E-4</v>
      </c>
      <c r="F687">
        <v>2.4797441284299398E-4</v>
      </c>
      <c r="G687">
        <v>0</v>
      </c>
      <c r="H687">
        <v>0</v>
      </c>
      <c r="I687" t="s">
        <v>86</v>
      </c>
    </row>
    <row r="688" spans="1:9" x14ac:dyDescent="0.35">
      <c r="A688" t="s">
        <v>16</v>
      </c>
      <c r="B688">
        <v>2035</v>
      </c>
      <c r="C688" t="s">
        <v>85</v>
      </c>
      <c r="D688" t="s">
        <v>41</v>
      </c>
      <c r="E688">
        <v>3.7970939153344398E-3</v>
      </c>
      <c r="F688">
        <v>3.7970939153344398E-3</v>
      </c>
      <c r="G688">
        <v>0</v>
      </c>
      <c r="H688">
        <v>0</v>
      </c>
      <c r="I688" t="s">
        <v>86</v>
      </c>
    </row>
    <row r="689" spans="1:9" x14ac:dyDescent="0.35">
      <c r="A689" t="s">
        <v>16</v>
      </c>
      <c r="B689">
        <v>2035</v>
      </c>
      <c r="C689" t="s">
        <v>85</v>
      </c>
      <c r="D689" t="s">
        <v>42</v>
      </c>
      <c r="E689">
        <v>1.8107790007734501</v>
      </c>
      <c r="F689">
        <v>1.8107790007734501</v>
      </c>
      <c r="G689">
        <v>0</v>
      </c>
      <c r="H689">
        <v>0</v>
      </c>
      <c r="I689" t="s">
        <v>86</v>
      </c>
    </row>
    <row r="690" spans="1:9" x14ac:dyDescent="0.35">
      <c r="A690" t="s">
        <v>16</v>
      </c>
      <c r="B690">
        <v>2035</v>
      </c>
      <c r="C690" t="s">
        <v>85</v>
      </c>
      <c r="D690" t="s">
        <v>43</v>
      </c>
      <c r="E690">
        <v>6.1997209844606596E-4</v>
      </c>
      <c r="F690">
        <v>6.1997209844606596E-4</v>
      </c>
      <c r="G690">
        <v>0</v>
      </c>
      <c r="H690">
        <v>0</v>
      </c>
      <c r="I690" t="s">
        <v>86</v>
      </c>
    </row>
    <row r="691" spans="1:9" x14ac:dyDescent="0.35">
      <c r="A691" t="s">
        <v>16</v>
      </c>
      <c r="B691">
        <v>2035</v>
      </c>
      <c r="C691" t="s">
        <v>85</v>
      </c>
      <c r="D691" t="s">
        <v>136</v>
      </c>
      <c r="E691">
        <v>0.46870843348884</v>
      </c>
      <c r="F691">
        <v>0.46870843348884</v>
      </c>
      <c r="G691">
        <v>0</v>
      </c>
      <c r="H691">
        <v>0</v>
      </c>
      <c r="I691" t="s">
        <v>86</v>
      </c>
    </row>
    <row r="692" spans="1:9" x14ac:dyDescent="0.35">
      <c r="A692" t="s">
        <v>16</v>
      </c>
      <c r="B692">
        <v>2035</v>
      </c>
      <c r="C692" t="s">
        <v>85</v>
      </c>
      <c r="D692" t="s">
        <v>45</v>
      </c>
      <c r="E692">
        <v>5.27281408356833E-3</v>
      </c>
      <c r="F692">
        <v>5.27281408356833E-3</v>
      </c>
      <c r="G692">
        <v>0</v>
      </c>
      <c r="H692">
        <v>0</v>
      </c>
      <c r="I692" t="s">
        <v>86</v>
      </c>
    </row>
    <row r="693" spans="1:9" x14ac:dyDescent="0.35">
      <c r="A693" t="s">
        <v>16</v>
      </c>
      <c r="B693">
        <v>2035</v>
      </c>
      <c r="C693" t="s">
        <v>85</v>
      </c>
      <c r="D693" t="s">
        <v>46</v>
      </c>
      <c r="E693">
        <v>3.3002419033922897E-2</v>
      </c>
      <c r="F693">
        <v>3.3002419033922897E-2</v>
      </c>
      <c r="G693">
        <v>0</v>
      </c>
      <c r="H693">
        <v>0</v>
      </c>
      <c r="I693" t="s">
        <v>86</v>
      </c>
    </row>
    <row r="694" spans="1:9" x14ac:dyDescent="0.35">
      <c r="A694" t="s">
        <v>16</v>
      </c>
      <c r="B694">
        <v>2035</v>
      </c>
      <c r="C694" t="s">
        <v>85</v>
      </c>
      <c r="D694" t="s">
        <v>47</v>
      </c>
      <c r="E694">
        <v>1.8546555872514601E-4</v>
      </c>
      <c r="F694">
        <v>1.8546555872514601E-4</v>
      </c>
      <c r="G694">
        <v>0</v>
      </c>
      <c r="H694">
        <v>0</v>
      </c>
      <c r="I694" t="s">
        <v>86</v>
      </c>
    </row>
    <row r="695" spans="1:9" x14ac:dyDescent="0.35">
      <c r="A695" t="s">
        <v>16</v>
      </c>
      <c r="B695">
        <v>2035</v>
      </c>
      <c r="C695" t="s">
        <v>85</v>
      </c>
      <c r="D695" t="s">
        <v>48</v>
      </c>
      <c r="E695">
        <v>42.6858828623009</v>
      </c>
      <c r="F695">
        <v>42.6858828623009</v>
      </c>
      <c r="G695">
        <v>0</v>
      </c>
      <c r="H695">
        <v>0</v>
      </c>
      <c r="I695" t="s">
        <v>86</v>
      </c>
    </row>
    <row r="696" spans="1:9" x14ac:dyDescent="0.35">
      <c r="A696" t="s">
        <v>16</v>
      </c>
      <c r="B696">
        <v>2035</v>
      </c>
      <c r="C696" t="s">
        <v>85</v>
      </c>
      <c r="D696" t="s">
        <v>49</v>
      </c>
      <c r="E696">
        <v>2.32888814496762E-2</v>
      </c>
      <c r="F696">
        <v>2.32888814496762E-2</v>
      </c>
      <c r="G696">
        <v>0</v>
      </c>
      <c r="H696">
        <v>0</v>
      </c>
      <c r="I696" t="s">
        <v>86</v>
      </c>
    </row>
    <row r="697" spans="1:9" x14ac:dyDescent="0.35">
      <c r="A697" t="s">
        <v>16</v>
      </c>
      <c r="B697">
        <v>2035</v>
      </c>
      <c r="C697" t="s">
        <v>85</v>
      </c>
      <c r="D697" t="s">
        <v>50</v>
      </c>
      <c r="E697">
        <v>5.4012636367905898E-3</v>
      </c>
      <c r="F697">
        <v>5.4012636367905898E-3</v>
      </c>
      <c r="G697">
        <v>0</v>
      </c>
      <c r="H697">
        <v>0</v>
      </c>
      <c r="I697" t="s">
        <v>86</v>
      </c>
    </row>
    <row r="698" spans="1:9" x14ac:dyDescent="0.35">
      <c r="A698" t="s">
        <v>16</v>
      </c>
      <c r="B698">
        <v>2035</v>
      </c>
      <c r="C698" t="s">
        <v>85</v>
      </c>
      <c r="D698" t="s">
        <v>51</v>
      </c>
      <c r="E698">
        <v>3.7426136624418002E-2</v>
      </c>
      <c r="F698">
        <v>3.7426136624418002E-2</v>
      </c>
      <c r="G698">
        <v>0</v>
      </c>
      <c r="H698">
        <v>0</v>
      </c>
      <c r="I698" t="s">
        <v>86</v>
      </c>
    </row>
    <row r="699" spans="1:9" x14ac:dyDescent="0.35">
      <c r="A699" t="s">
        <v>16</v>
      </c>
      <c r="B699">
        <v>2035</v>
      </c>
      <c r="C699" t="s">
        <v>85</v>
      </c>
      <c r="D699" t="s">
        <v>52</v>
      </c>
      <c r="E699">
        <v>7.6198679386463894E-2</v>
      </c>
      <c r="F699">
        <v>7.6198679386463894E-2</v>
      </c>
      <c r="G699">
        <v>0</v>
      </c>
      <c r="H699">
        <v>0</v>
      </c>
      <c r="I699" t="s">
        <v>86</v>
      </c>
    </row>
    <row r="700" spans="1:9" x14ac:dyDescent="0.35">
      <c r="A700" t="s">
        <v>16</v>
      </c>
      <c r="B700">
        <v>2035</v>
      </c>
      <c r="C700" t="s">
        <v>85</v>
      </c>
      <c r="D700" t="s">
        <v>53</v>
      </c>
      <c r="E700">
        <v>0.21920713846701101</v>
      </c>
      <c r="F700">
        <v>0.21920713846701101</v>
      </c>
      <c r="G700">
        <v>0</v>
      </c>
      <c r="H700">
        <v>0</v>
      </c>
      <c r="I700" t="s">
        <v>86</v>
      </c>
    </row>
    <row r="701" spans="1:9" x14ac:dyDescent="0.35">
      <c r="A701" t="s">
        <v>16</v>
      </c>
      <c r="B701">
        <v>2035</v>
      </c>
      <c r="C701" t="s">
        <v>85</v>
      </c>
      <c r="D701" t="s">
        <v>54</v>
      </c>
      <c r="E701">
        <v>4.8618249882077497E-2</v>
      </c>
      <c r="F701">
        <v>4.8618249882077497E-2</v>
      </c>
      <c r="G701">
        <v>0</v>
      </c>
      <c r="H701">
        <v>0</v>
      </c>
      <c r="I701" t="s">
        <v>86</v>
      </c>
    </row>
    <row r="702" spans="1:9" x14ac:dyDescent="0.35">
      <c r="A702" t="s">
        <v>16</v>
      </c>
      <c r="B702">
        <v>2035</v>
      </c>
      <c r="C702" t="s">
        <v>85</v>
      </c>
      <c r="D702" t="s">
        <v>55</v>
      </c>
      <c r="E702">
        <v>4.4966607664760398E-2</v>
      </c>
      <c r="F702">
        <v>4.4966607664760398E-2</v>
      </c>
      <c r="G702">
        <v>0</v>
      </c>
      <c r="H702">
        <v>0</v>
      </c>
      <c r="I702" t="s">
        <v>86</v>
      </c>
    </row>
    <row r="703" spans="1:9" x14ac:dyDescent="0.35">
      <c r="A703" t="s">
        <v>16</v>
      </c>
      <c r="B703">
        <v>2035</v>
      </c>
      <c r="C703" t="s">
        <v>85</v>
      </c>
      <c r="D703" t="s">
        <v>56</v>
      </c>
      <c r="E703" s="1">
        <v>4.3807247928630403E-8</v>
      </c>
      <c r="F703" s="1">
        <v>4.3807247928630403E-8</v>
      </c>
      <c r="G703">
        <v>0</v>
      </c>
      <c r="H703">
        <v>0</v>
      </c>
      <c r="I703" t="s">
        <v>86</v>
      </c>
    </row>
    <row r="704" spans="1:9" x14ac:dyDescent="0.35">
      <c r="A704" t="s">
        <v>18</v>
      </c>
      <c r="B704">
        <v>2040</v>
      </c>
      <c r="C704" t="s">
        <v>85</v>
      </c>
      <c r="D704" t="s">
        <v>38</v>
      </c>
      <c r="E704">
        <v>3.8100479155192302E-4</v>
      </c>
      <c r="F704">
        <v>3.8100246284725002E-4</v>
      </c>
      <c r="G704" s="1">
        <v>-2.32870467277868E-9</v>
      </c>
      <c r="H704">
        <v>-6.1120088891620399E-4</v>
      </c>
      <c r="I704" t="s">
        <v>86</v>
      </c>
    </row>
    <row r="705" spans="1:9" x14ac:dyDescent="0.35">
      <c r="A705" t="s">
        <v>18</v>
      </c>
      <c r="B705">
        <v>2040</v>
      </c>
      <c r="C705" t="s">
        <v>85</v>
      </c>
      <c r="D705" t="s">
        <v>40</v>
      </c>
      <c r="E705">
        <v>2.37828104063352E-4</v>
      </c>
      <c r="F705">
        <v>2.37828104063352E-4</v>
      </c>
      <c r="G705">
        <v>0</v>
      </c>
      <c r="H705">
        <v>0</v>
      </c>
      <c r="I705" t="s">
        <v>86</v>
      </c>
    </row>
    <row r="706" spans="1:9" x14ac:dyDescent="0.35">
      <c r="A706" t="s">
        <v>18</v>
      </c>
      <c r="B706">
        <v>2040</v>
      </c>
      <c r="C706" t="s">
        <v>85</v>
      </c>
      <c r="D706" t="s">
        <v>41</v>
      </c>
      <c r="E706">
        <v>3.7241418770232299E-3</v>
      </c>
      <c r="F706">
        <v>3.6538942375441601E-3</v>
      </c>
      <c r="G706" s="1">
        <v>-7.0247639479074505E-5</v>
      </c>
      <c r="H706">
        <v>-1.88627720958967</v>
      </c>
      <c r="I706" t="s">
        <v>86</v>
      </c>
    </row>
    <row r="707" spans="1:9" x14ac:dyDescent="0.35">
      <c r="A707" t="s">
        <v>18</v>
      </c>
      <c r="B707">
        <v>2040</v>
      </c>
      <c r="C707" t="s">
        <v>85</v>
      </c>
      <c r="D707" t="s">
        <v>42</v>
      </c>
      <c r="E707">
        <v>1.80272550623651</v>
      </c>
      <c r="F707">
        <v>0.45001417299117202</v>
      </c>
      <c r="G707">
        <v>-1.35271133324534</v>
      </c>
      <c r="H707">
        <v>-75.037010824201801</v>
      </c>
      <c r="I707" t="s">
        <v>86</v>
      </c>
    </row>
    <row r="708" spans="1:9" x14ac:dyDescent="0.35">
      <c r="A708" t="s">
        <v>18</v>
      </c>
      <c r="B708">
        <v>2040</v>
      </c>
      <c r="C708" t="s">
        <v>85</v>
      </c>
      <c r="D708" t="s">
        <v>43</v>
      </c>
      <c r="E708">
        <v>6.1781262169264802E-4</v>
      </c>
      <c r="F708">
        <v>6.1781262169264802E-4</v>
      </c>
      <c r="G708">
        <v>0</v>
      </c>
      <c r="H708">
        <v>0</v>
      </c>
      <c r="I708" t="s">
        <v>86</v>
      </c>
    </row>
    <row r="709" spans="1:9" x14ac:dyDescent="0.35">
      <c r="A709" t="s">
        <v>18</v>
      </c>
      <c r="B709">
        <v>2040</v>
      </c>
      <c r="C709" t="s">
        <v>85</v>
      </c>
      <c r="D709" t="s">
        <v>136</v>
      </c>
      <c r="E709">
        <v>0.43417228564481802</v>
      </c>
      <c r="F709">
        <v>0.43417228564481802</v>
      </c>
      <c r="G709">
        <v>0</v>
      </c>
      <c r="H709">
        <v>0</v>
      </c>
      <c r="I709" t="s">
        <v>86</v>
      </c>
    </row>
    <row r="710" spans="1:9" x14ac:dyDescent="0.35">
      <c r="A710" t="s">
        <v>18</v>
      </c>
      <c r="B710">
        <v>2040</v>
      </c>
      <c r="C710" t="s">
        <v>85</v>
      </c>
      <c r="D710" t="s">
        <v>45</v>
      </c>
      <c r="E710">
        <v>5.2007671245030201E-3</v>
      </c>
      <c r="F710">
        <v>5.0274896034598199E-3</v>
      </c>
      <c r="G710">
        <v>-1.73277521043194E-4</v>
      </c>
      <c r="H710">
        <v>-3.3317685044348599</v>
      </c>
      <c r="I710" t="s">
        <v>86</v>
      </c>
    </row>
    <row r="711" spans="1:9" x14ac:dyDescent="0.35">
      <c r="A711" t="s">
        <v>18</v>
      </c>
      <c r="B711">
        <v>2040</v>
      </c>
      <c r="C711" t="s">
        <v>85</v>
      </c>
      <c r="D711" t="s">
        <v>46</v>
      </c>
      <c r="E711">
        <v>4.3797691887381397E-2</v>
      </c>
      <c r="F711">
        <v>4.3797691887381397E-2</v>
      </c>
      <c r="G711">
        <v>0</v>
      </c>
      <c r="H711">
        <v>0</v>
      </c>
      <c r="I711" t="s">
        <v>86</v>
      </c>
    </row>
    <row r="712" spans="1:9" x14ac:dyDescent="0.35">
      <c r="A712" t="s">
        <v>18</v>
      </c>
      <c r="B712">
        <v>2040</v>
      </c>
      <c r="C712" t="s">
        <v>85</v>
      </c>
      <c r="D712" t="s">
        <v>47</v>
      </c>
      <c r="E712">
        <v>1.72112078479208E-4</v>
      </c>
      <c r="F712">
        <v>1.72112078479208E-4</v>
      </c>
      <c r="G712">
        <v>0</v>
      </c>
      <c r="H712">
        <v>0</v>
      </c>
      <c r="I712" t="s">
        <v>86</v>
      </c>
    </row>
    <row r="713" spans="1:9" x14ac:dyDescent="0.35">
      <c r="A713" t="s">
        <v>18</v>
      </c>
      <c r="B713">
        <v>2040</v>
      </c>
      <c r="C713" t="s">
        <v>85</v>
      </c>
      <c r="D713" t="s">
        <v>48</v>
      </c>
      <c r="E713">
        <v>42.686560730662002</v>
      </c>
      <c r="F713">
        <v>42.686560730662002</v>
      </c>
      <c r="G713">
        <v>0</v>
      </c>
      <c r="H713">
        <v>0</v>
      </c>
      <c r="I713" t="s">
        <v>86</v>
      </c>
    </row>
    <row r="714" spans="1:9" x14ac:dyDescent="0.35">
      <c r="A714" t="s">
        <v>18</v>
      </c>
      <c r="B714">
        <v>2040</v>
      </c>
      <c r="C714" t="s">
        <v>85</v>
      </c>
      <c r="D714" t="s">
        <v>49</v>
      </c>
      <c r="E714">
        <v>2.3204064391570099E-2</v>
      </c>
      <c r="F714">
        <v>2.2337676799264301E-2</v>
      </c>
      <c r="G714">
        <v>-8.6638759230578996E-4</v>
      </c>
      <c r="H714">
        <v>-3.73377515975409</v>
      </c>
      <c r="I714" t="s">
        <v>86</v>
      </c>
    </row>
    <row r="715" spans="1:9" x14ac:dyDescent="0.35">
      <c r="A715" t="s">
        <v>18</v>
      </c>
      <c r="B715">
        <v>2040</v>
      </c>
      <c r="C715" t="s">
        <v>85</v>
      </c>
      <c r="D715" t="s">
        <v>50</v>
      </c>
      <c r="E715">
        <v>5.6094101056798204E-3</v>
      </c>
      <c r="F715">
        <v>5.6094101056798204E-3</v>
      </c>
      <c r="G715">
        <v>0</v>
      </c>
      <c r="H715">
        <v>0</v>
      </c>
      <c r="I715" t="s">
        <v>86</v>
      </c>
    </row>
    <row r="716" spans="1:9" x14ac:dyDescent="0.35">
      <c r="A716" t="s">
        <v>18</v>
      </c>
      <c r="B716">
        <v>2040</v>
      </c>
      <c r="C716" t="s">
        <v>85</v>
      </c>
      <c r="D716" t="s">
        <v>51</v>
      </c>
      <c r="E716">
        <v>3.8044877136020297E-2</v>
      </c>
      <c r="F716">
        <v>3.8044877136020297E-2</v>
      </c>
      <c r="G716">
        <v>0</v>
      </c>
      <c r="H716">
        <v>0</v>
      </c>
      <c r="I716" t="s">
        <v>86</v>
      </c>
    </row>
    <row r="717" spans="1:9" x14ac:dyDescent="0.35">
      <c r="A717" t="s">
        <v>18</v>
      </c>
      <c r="B717">
        <v>2040</v>
      </c>
      <c r="C717" t="s">
        <v>85</v>
      </c>
      <c r="D717" t="s">
        <v>52</v>
      </c>
      <c r="E717">
        <v>6.5343244025778693E-2</v>
      </c>
      <c r="F717">
        <v>6.5343244025778693E-2</v>
      </c>
      <c r="G717">
        <v>0</v>
      </c>
      <c r="H717">
        <v>0</v>
      </c>
      <c r="I717" t="s">
        <v>86</v>
      </c>
    </row>
    <row r="718" spans="1:9" x14ac:dyDescent="0.35">
      <c r="A718" t="s">
        <v>18</v>
      </c>
      <c r="B718">
        <v>2040</v>
      </c>
      <c r="C718" t="s">
        <v>85</v>
      </c>
      <c r="D718" t="s">
        <v>53</v>
      </c>
      <c r="E718">
        <v>0.207798007519608</v>
      </c>
      <c r="F718">
        <v>0.207798007519608</v>
      </c>
      <c r="G718">
        <v>0</v>
      </c>
      <c r="H718">
        <v>0</v>
      </c>
      <c r="I718" t="s">
        <v>86</v>
      </c>
    </row>
    <row r="719" spans="1:9" x14ac:dyDescent="0.35">
      <c r="A719" t="s">
        <v>18</v>
      </c>
      <c r="B719">
        <v>2040</v>
      </c>
      <c r="C719" t="s">
        <v>85</v>
      </c>
      <c r="D719" t="s">
        <v>54</v>
      </c>
      <c r="E719">
        <v>4.8918315733673799E-2</v>
      </c>
      <c r="F719">
        <v>4.1668235723465598E-2</v>
      </c>
      <c r="G719">
        <v>-7.2500800102081901E-3</v>
      </c>
      <c r="H719">
        <v>-14.820788290585901</v>
      </c>
      <c r="I719" t="s">
        <v>86</v>
      </c>
    </row>
    <row r="720" spans="1:9" x14ac:dyDescent="0.35">
      <c r="A720" t="s">
        <v>18</v>
      </c>
      <c r="B720">
        <v>2040</v>
      </c>
      <c r="C720" t="s">
        <v>85</v>
      </c>
      <c r="D720" t="s">
        <v>55</v>
      </c>
      <c r="E720">
        <v>4.5206396687339202E-2</v>
      </c>
      <c r="F720">
        <v>3.8058338537504399E-2</v>
      </c>
      <c r="G720">
        <v>-7.1480581498347398E-3</v>
      </c>
      <c r="H720">
        <v>-15.8120502265925</v>
      </c>
      <c r="I720" t="s">
        <v>86</v>
      </c>
    </row>
    <row r="721" spans="1:9" x14ac:dyDescent="0.35">
      <c r="A721" t="s">
        <v>18</v>
      </c>
      <c r="B721">
        <v>2040</v>
      </c>
      <c r="C721" t="s">
        <v>85</v>
      </c>
      <c r="D721" t="s">
        <v>56</v>
      </c>
      <c r="E721" s="1">
        <v>4.1705207362506998E-8</v>
      </c>
      <c r="F721" s="1">
        <v>4.1705207362506998E-8</v>
      </c>
      <c r="G721">
        <v>0</v>
      </c>
      <c r="H721">
        <v>0</v>
      </c>
      <c r="I721" t="s">
        <v>86</v>
      </c>
    </row>
    <row r="722" spans="1:9" x14ac:dyDescent="0.35">
      <c r="A722" t="s">
        <v>12</v>
      </c>
      <c r="B722">
        <v>2025</v>
      </c>
      <c r="C722" t="s">
        <v>72</v>
      </c>
      <c r="D722" t="s">
        <v>38</v>
      </c>
      <c r="E722">
        <v>2.2242737702389001E-3</v>
      </c>
      <c r="F722">
        <v>2.2242737702389001E-3</v>
      </c>
      <c r="G722">
        <v>0</v>
      </c>
      <c r="H722">
        <v>0</v>
      </c>
      <c r="I722" t="s">
        <v>73</v>
      </c>
    </row>
    <row r="723" spans="1:9" x14ac:dyDescent="0.35">
      <c r="A723" t="s">
        <v>12</v>
      </c>
      <c r="B723">
        <v>2025</v>
      </c>
      <c r="C723" t="s">
        <v>72</v>
      </c>
      <c r="D723" t="s">
        <v>40</v>
      </c>
      <c r="E723">
        <v>1.2772722780027999E-3</v>
      </c>
      <c r="F723">
        <v>1.2772722780027999E-3</v>
      </c>
      <c r="G723">
        <v>0</v>
      </c>
      <c r="H723">
        <v>0</v>
      </c>
      <c r="I723" t="s">
        <v>73</v>
      </c>
    </row>
    <row r="724" spans="1:9" x14ac:dyDescent="0.35">
      <c r="A724" t="s">
        <v>12</v>
      </c>
      <c r="B724">
        <v>2025</v>
      </c>
      <c r="C724" t="s">
        <v>72</v>
      </c>
      <c r="D724" t="s">
        <v>41</v>
      </c>
      <c r="E724">
        <v>3.5440338459572999E-2</v>
      </c>
      <c r="F724">
        <v>3.5440338459572999E-2</v>
      </c>
      <c r="G724">
        <v>0</v>
      </c>
      <c r="H724">
        <v>0</v>
      </c>
      <c r="I724" t="s">
        <v>73</v>
      </c>
    </row>
    <row r="725" spans="1:9" x14ac:dyDescent="0.35">
      <c r="A725" t="s">
        <v>12</v>
      </c>
      <c r="B725">
        <v>2025</v>
      </c>
      <c r="C725" t="s">
        <v>72</v>
      </c>
      <c r="D725" t="s">
        <v>42</v>
      </c>
      <c r="E725">
        <v>5.3463087725357896</v>
      </c>
      <c r="F725">
        <v>5.3463087725357896</v>
      </c>
      <c r="G725">
        <v>0</v>
      </c>
      <c r="H725">
        <v>0</v>
      </c>
      <c r="I725" t="s">
        <v>73</v>
      </c>
    </row>
    <row r="726" spans="1:9" x14ac:dyDescent="0.35">
      <c r="A726" t="s">
        <v>12</v>
      </c>
      <c r="B726">
        <v>2025</v>
      </c>
      <c r="C726" t="s">
        <v>72</v>
      </c>
      <c r="D726" t="s">
        <v>43</v>
      </c>
      <c r="E726">
        <v>3.9430607551536101E-2</v>
      </c>
      <c r="F726">
        <v>3.9430607551536101E-2</v>
      </c>
      <c r="G726">
        <v>0</v>
      </c>
      <c r="H726">
        <v>0</v>
      </c>
      <c r="I726" t="s">
        <v>73</v>
      </c>
    </row>
    <row r="727" spans="1:9" x14ac:dyDescent="0.35">
      <c r="A727" t="s">
        <v>12</v>
      </c>
      <c r="B727">
        <v>2025</v>
      </c>
      <c r="C727" t="s">
        <v>72</v>
      </c>
      <c r="D727" t="s">
        <v>136</v>
      </c>
      <c r="E727">
        <v>8.2279932197674999</v>
      </c>
      <c r="F727">
        <v>8.2279932197674999</v>
      </c>
      <c r="G727">
        <v>0</v>
      </c>
      <c r="H727">
        <v>0</v>
      </c>
      <c r="I727" t="s">
        <v>73</v>
      </c>
    </row>
    <row r="728" spans="1:9" x14ac:dyDescent="0.35">
      <c r="A728" t="s">
        <v>12</v>
      </c>
      <c r="B728">
        <v>2025</v>
      </c>
      <c r="C728" t="s">
        <v>72</v>
      </c>
      <c r="D728" t="s">
        <v>45</v>
      </c>
      <c r="E728">
        <v>3.3935123213349398E-2</v>
      </c>
      <c r="F728">
        <v>3.3935123213349398E-2</v>
      </c>
      <c r="G728">
        <v>0</v>
      </c>
      <c r="H728">
        <v>0</v>
      </c>
      <c r="I728" t="s">
        <v>73</v>
      </c>
    </row>
    <row r="729" spans="1:9" x14ac:dyDescent="0.35">
      <c r="A729" t="s">
        <v>12</v>
      </c>
      <c r="B729">
        <v>2025</v>
      </c>
      <c r="C729" t="s">
        <v>72</v>
      </c>
      <c r="D729" t="s">
        <v>46</v>
      </c>
      <c r="E729">
        <v>0.19346160283318201</v>
      </c>
      <c r="F729">
        <v>0.19346160283318201</v>
      </c>
      <c r="G729">
        <v>0</v>
      </c>
      <c r="H729">
        <v>0</v>
      </c>
      <c r="I729" t="s">
        <v>73</v>
      </c>
    </row>
    <row r="730" spans="1:9" x14ac:dyDescent="0.35">
      <c r="A730" t="s">
        <v>12</v>
      </c>
      <c r="B730">
        <v>2025</v>
      </c>
      <c r="C730" t="s">
        <v>72</v>
      </c>
      <c r="D730" t="s">
        <v>47</v>
      </c>
      <c r="E730">
        <v>5.3494923368463398E-3</v>
      </c>
      <c r="F730">
        <v>5.3494923368463398E-3</v>
      </c>
      <c r="G730">
        <v>0</v>
      </c>
      <c r="H730">
        <v>0</v>
      </c>
      <c r="I730" t="s">
        <v>73</v>
      </c>
    </row>
    <row r="731" spans="1:9" x14ac:dyDescent="0.35">
      <c r="A731" t="s">
        <v>12</v>
      </c>
      <c r="B731">
        <v>2025</v>
      </c>
      <c r="C731" t="s">
        <v>72</v>
      </c>
      <c r="D731" t="s">
        <v>48</v>
      </c>
      <c r="E731">
        <v>1.1844589357547699</v>
      </c>
      <c r="F731">
        <v>1.1844589357547699</v>
      </c>
      <c r="G731">
        <v>0</v>
      </c>
      <c r="H731">
        <v>0</v>
      </c>
      <c r="I731" t="s">
        <v>73</v>
      </c>
    </row>
    <row r="732" spans="1:9" x14ac:dyDescent="0.35">
      <c r="A732" t="s">
        <v>12</v>
      </c>
      <c r="B732">
        <v>2025</v>
      </c>
      <c r="C732" t="s">
        <v>72</v>
      </c>
      <c r="D732" t="s">
        <v>49</v>
      </c>
      <c r="E732">
        <v>6.1400043931237297E-2</v>
      </c>
      <c r="F732">
        <v>6.1400043931237297E-2</v>
      </c>
      <c r="G732">
        <v>0</v>
      </c>
      <c r="H732">
        <v>0</v>
      </c>
      <c r="I732" t="s">
        <v>73</v>
      </c>
    </row>
    <row r="733" spans="1:9" x14ac:dyDescent="0.35">
      <c r="A733" t="s">
        <v>12</v>
      </c>
      <c r="B733">
        <v>2025</v>
      </c>
      <c r="C733" t="s">
        <v>72</v>
      </c>
      <c r="D733" t="s">
        <v>50</v>
      </c>
      <c r="E733">
        <v>0.13528795227703799</v>
      </c>
      <c r="F733">
        <v>0.13528795227703799</v>
      </c>
      <c r="G733">
        <v>0</v>
      </c>
      <c r="H733">
        <v>0</v>
      </c>
      <c r="I733" t="s">
        <v>73</v>
      </c>
    </row>
    <row r="734" spans="1:9" x14ac:dyDescent="0.35">
      <c r="A734" t="s">
        <v>12</v>
      </c>
      <c r="B734">
        <v>2025</v>
      </c>
      <c r="C734" t="s">
        <v>72</v>
      </c>
      <c r="D734" t="s">
        <v>51</v>
      </c>
      <c r="E734">
        <v>0.23202115378239599</v>
      </c>
      <c r="F734">
        <v>0.23202115378239599</v>
      </c>
      <c r="G734">
        <v>0</v>
      </c>
      <c r="H734">
        <v>0</v>
      </c>
      <c r="I734" t="s">
        <v>73</v>
      </c>
    </row>
    <row r="735" spans="1:9" x14ac:dyDescent="0.35">
      <c r="A735" t="s">
        <v>12</v>
      </c>
      <c r="B735">
        <v>2025</v>
      </c>
      <c r="C735" t="s">
        <v>72</v>
      </c>
      <c r="D735" t="s">
        <v>52</v>
      </c>
      <c r="E735">
        <v>0.63457392302834803</v>
      </c>
      <c r="F735">
        <v>0.63457392302834803</v>
      </c>
      <c r="G735">
        <v>0</v>
      </c>
      <c r="H735">
        <v>0</v>
      </c>
      <c r="I735" t="s">
        <v>73</v>
      </c>
    </row>
    <row r="736" spans="1:9" x14ac:dyDescent="0.35">
      <c r="A736" t="s">
        <v>12</v>
      </c>
      <c r="B736">
        <v>2025</v>
      </c>
      <c r="C736" t="s">
        <v>72</v>
      </c>
      <c r="D736" t="s">
        <v>53</v>
      </c>
      <c r="E736">
        <v>2.6005363977385998</v>
      </c>
      <c r="F736">
        <v>2.6005363977385998</v>
      </c>
      <c r="G736">
        <v>0</v>
      </c>
      <c r="H736">
        <v>0</v>
      </c>
      <c r="I736" t="s">
        <v>73</v>
      </c>
    </row>
    <row r="737" spans="1:9" x14ac:dyDescent="0.35">
      <c r="A737" t="s">
        <v>12</v>
      </c>
      <c r="B737">
        <v>2025</v>
      </c>
      <c r="C737" t="s">
        <v>72</v>
      </c>
      <c r="D737" t="s">
        <v>54</v>
      </c>
      <c r="E737">
        <v>0.87419102671330096</v>
      </c>
      <c r="F737">
        <v>0.87419102671330096</v>
      </c>
      <c r="G737">
        <v>0</v>
      </c>
      <c r="H737">
        <v>0</v>
      </c>
      <c r="I737" t="s">
        <v>73</v>
      </c>
    </row>
    <row r="738" spans="1:9" x14ac:dyDescent="0.35">
      <c r="A738" t="s">
        <v>12</v>
      </c>
      <c r="B738">
        <v>2025</v>
      </c>
      <c r="C738" t="s">
        <v>72</v>
      </c>
      <c r="D738" t="s">
        <v>55</v>
      </c>
      <c r="E738">
        <v>0.52537347231759102</v>
      </c>
      <c r="F738">
        <v>0.52537347231759102</v>
      </c>
      <c r="G738">
        <v>0</v>
      </c>
      <c r="H738">
        <v>0</v>
      </c>
      <c r="I738" t="s">
        <v>73</v>
      </c>
    </row>
    <row r="739" spans="1:9" x14ac:dyDescent="0.35">
      <c r="A739" t="s">
        <v>12</v>
      </c>
      <c r="B739">
        <v>2025</v>
      </c>
      <c r="C739" t="s">
        <v>72</v>
      </c>
      <c r="D739" t="s">
        <v>56</v>
      </c>
      <c r="E739" s="1">
        <v>1.0120643089681499E-6</v>
      </c>
      <c r="F739" s="1">
        <v>1.0120643089681499E-6</v>
      </c>
      <c r="G739">
        <v>0</v>
      </c>
      <c r="H739">
        <v>0</v>
      </c>
      <c r="I739" t="s">
        <v>73</v>
      </c>
    </row>
    <row r="740" spans="1:9" x14ac:dyDescent="0.35">
      <c r="A740" t="s">
        <v>14</v>
      </c>
      <c r="B740">
        <v>2030</v>
      </c>
      <c r="C740" t="s">
        <v>72</v>
      </c>
      <c r="D740" t="s">
        <v>38</v>
      </c>
      <c r="E740">
        <v>2.2692814619960401E-3</v>
      </c>
      <c r="F740">
        <v>2.2692814619960401E-3</v>
      </c>
      <c r="G740">
        <v>0</v>
      </c>
      <c r="H740">
        <v>0</v>
      </c>
      <c r="I740" t="s">
        <v>73</v>
      </c>
    </row>
    <row r="741" spans="1:9" x14ac:dyDescent="0.35">
      <c r="A741" t="s">
        <v>14</v>
      </c>
      <c r="B741">
        <v>2030</v>
      </c>
      <c r="C741" t="s">
        <v>72</v>
      </c>
      <c r="D741" t="s">
        <v>40</v>
      </c>
      <c r="E741">
        <v>1.2034894899267E-3</v>
      </c>
      <c r="F741">
        <v>1.2034894899267E-3</v>
      </c>
      <c r="G741">
        <v>0</v>
      </c>
      <c r="H741">
        <v>0</v>
      </c>
      <c r="I741" t="s">
        <v>73</v>
      </c>
    </row>
    <row r="742" spans="1:9" x14ac:dyDescent="0.35">
      <c r="A742" t="s">
        <v>14</v>
      </c>
      <c r="B742">
        <v>2030</v>
      </c>
      <c r="C742" t="s">
        <v>72</v>
      </c>
      <c r="D742" t="s">
        <v>41</v>
      </c>
      <c r="E742">
        <v>3.4110215175181903E-2</v>
      </c>
      <c r="F742">
        <v>3.4110215175181903E-2</v>
      </c>
      <c r="G742">
        <v>0</v>
      </c>
      <c r="H742">
        <v>0</v>
      </c>
      <c r="I742" t="s">
        <v>73</v>
      </c>
    </row>
    <row r="743" spans="1:9" x14ac:dyDescent="0.35">
      <c r="A743" t="s">
        <v>14</v>
      </c>
      <c r="B743">
        <v>2030</v>
      </c>
      <c r="C743" t="s">
        <v>72</v>
      </c>
      <c r="D743" t="s">
        <v>42</v>
      </c>
      <c r="E743">
        <v>5.1715627800211896</v>
      </c>
      <c r="F743">
        <v>5.1715627800211896</v>
      </c>
      <c r="G743">
        <v>0</v>
      </c>
      <c r="H743">
        <v>0</v>
      </c>
      <c r="I743" t="s">
        <v>73</v>
      </c>
    </row>
    <row r="744" spans="1:9" x14ac:dyDescent="0.35">
      <c r="A744" t="s">
        <v>14</v>
      </c>
      <c r="B744">
        <v>2030</v>
      </c>
      <c r="C744" t="s">
        <v>72</v>
      </c>
      <c r="D744" t="s">
        <v>43</v>
      </c>
      <c r="E744">
        <v>3.8985023580815403E-2</v>
      </c>
      <c r="F744">
        <v>3.8985023580815403E-2</v>
      </c>
      <c r="G744">
        <v>0</v>
      </c>
      <c r="H744">
        <v>0</v>
      </c>
      <c r="I744" t="s">
        <v>73</v>
      </c>
    </row>
    <row r="745" spans="1:9" x14ac:dyDescent="0.35">
      <c r="A745" t="s">
        <v>14</v>
      </c>
      <c r="B745">
        <v>2030</v>
      </c>
      <c r="C745" t="s">
        <v>72</v>
      </c>
      <c r="D745" t="s">
        <v>136</v>
      </c>
      <c r="E745">
        <v>7.4988837291579804</v>
      </c>
      <c r="F745">
        <v>7.4988837291579804</v>
      </c>
      <c r="G745">
        <v>0</v>
      </c>
      <c r="H745">
        <v>0</v>
      </c>
      <c r="I745" t="s">
        <v>73</v>
      </c>
    </row>
    <row r="746" spans="1:9" x14ac:dyDescent="0.35">
      <c r="A746" t="s">
        <v>14</v>
      </c>
      <c r="B746">
        <v>2030</v>
      </c>
      <c r="C746" t="s">
        <v>72</v>
      </c>
      <c r="D746" t="s">
        <v>45</v>
      </c>
      <c r="E746">
        <v>3.2481342657187898E-2</v>
      </c>
      <c r="F746">
        <v>3.2481342657187898E-2</v>
      </c>
      <c r="G746">
        <v>0</v>
      </c>
      <c r="H746">
        <v>0</v>
      </c>
      <c r="I746" t="s">
        <v>73</v>
      </c>
    </row>
    <row r="747" spans="1:9" x14ac:dyDescent="0.35">
      <c r="A747" t="s">
        <v>14</v>
      </c>
      <c r="B747">
        <v>2030</v>
      </c>
      <c r="C747" t="s">
        <v>72</v>
      </c>
      <c r="D747" t="s">
        <v>46</v>
      </c>
      <c r="E747">
        <v>0.206202959873553</v>
      </c>
      <c r="F747">
        <v>0.206202959873553</v>
      </c>
      <c r="G747">
        <v>0</v>
      </c>
      <c r="H747">
        <v>0</v>
      </c>
      <c r="I747" t="s">
        <v>73</v>
      </c>
    </row>
    <row r="748" spans="1:9" x14ac:dyDescent="0.35">
      <c r="A748" t="s">
        <v>14</v>
      </c>
      <c r="B748">
        <v>2030</v>
      </c>
      <c r="C748" t="s">
        <v>72</v>
      </c>
      <c r="D748" t="s">
        <v>47</v>
      </c>
      <c r="E748">
        <v>5.1303866699507197E-3</v>
      </c>
      <c r="F748">
        <v>5.1303866699507197E-3</v>
      </c>
      <c r="G748">
        <v>0</v>
      </c>
      <c r="H748">
        <v>0</v>
      </c>
      <c r="I748" t="s">
        <v>73</v>
      </c>
    </row>
    <row r="749" spans="1:9" x14ac:dyDescent="0.35">
      <c r="A749" t="s">
        <v>14</v>
      </c>
      <c r="B749">
        <v>2030</v>
      </c>
      <c r="C749" t="s">
        <v>72</v>
      </c>
      <c r="D749" t="s">
        <v>48</v>
      </c>
      <c r="E749">
        <v>1.1861779586112999</v>
      </c>
      <c r="F749">
        <v>1.1861779586112999</v>
      </c>
      <c r="G749">
        <v>0</v>
      </c>
      <c r="H749">
        <v>0</v>
      </c>
      <c r="I749" t="s">
        <v>73</v>
      </c>
    </row>
    <row r="750" spans="1:9" x14ac:dyDescent="0.35">
      <c r="A750" t="s">
        <v>14</v>
      </c>
      <c r="B750">
        <v>2030</v>
      </c>
      <c r="C750" t="s">
        <v>72</v>
      </c>
      <c r="D750" t="s">
        <v>49</v>
      </c>
      <c r="E750">
        <v>5.9544662092004902E-2</v>
      </c>
      <c r="F750">
        <v>5.9544662092004902E-2</v>
      </c>
      <c r="G750">
        <v>0</v>
      </c>
      <c r="H750">
        <v>0</v>
      </c>
      <c r="I750" t="s">
        <v>73</v>
      </c>
    </row>
    <row r="751" spans="1:9" x14ac:dyDescent="0.35">
      <c r="A751" t="s">
        <v>14</v>
      </c>
      <c r="B751">
        <v>2030</v>
      </c>
      <c r="C751" t="s">
        <v>72</v>
      </c>
      <c r="D751" t="s">
        <v>50</v>
      </c>
      <c r="E751">
        <v>0.13355006469243499</v>
      </c>
      <c r="F751">
        <v>0.13355006469243499</v>
      </c>
      <c r="G751">
        <v>0</v>
      </c>
      <c r="H751">
        <v>0</v>
      </c>
      <c r="I751" t="s">
        <v>73</v>
      </c>
    </row>
    <row r="752" spans="1:9" x14ac:dyDescent="0.35">
      <c r="A752" t="s">
        <v>14</v>
      </c>
      <c r="B752">
        <v>2030</v>
      </c>
      <c r="C752" t="s">
        <v>72</v>
      </c>
      <c r="D752" t="s">
        <v>51</v>
      </c>
      <c r="E752">
        <v>0.23405507446462401</v>
      </c>
      <c r="F752">
        <v>0.23405507446462401</v>
      </c>
      <c r="G752">
        <v>0</v>
      </c>
      <c r="H752">
        <v>0</v>
      </c>
      <c r="I752" t="s">
        <v>73</v>
      </c>
    </row>
    <row r="753" spans="1:9" x14ac:dyDescent="0.35">
      <c r="A753" t="s">
        <v>14</v>
      </c>
      <c r="B753">
        <v>2030</v>
      </c>
      <c r="C753" t="s">
        <v>72</v>
      </c>
      <c r="D753" t="s">
        <v>52</v>
      </c>
      <c r="E753">
        <v>0.62164098558186798</v>
      </c>
      <c r="F753">
        <v>0.62164098558186798</v>
      </c>
      <c r="G753">
        <v>0</v>
      </c>
      <c r="H753">
        <v>0</v>
      </c>
      <c r="I753" t="s">
        <v>73</v>
      </c>
    </row>
    <row r="754" spans="1:9" x14ac:dyDescent="0.35">
      <c r="A754" t="s">
        <v>14</v>
      </c>
      <c r="B754">
        <v>2030</v>
      </c>
      <c r="C754" t="s">
        <v>72</v>
      </c>
      <c r="D754" t="s">
        <v>53</v>
      </c>
      <c r="E754">
        <v>2.4367145173243099</v>
      </c>
      <c r="F754">
        <v>2.4367145173243099</v>
      </c>
      <c r="G754">
        <v>0</v>
      </c>
      <c r="H754">
        <v>0</v>
      </c>
      <c r="I754" t="s">
        <v>73</v>
      </c>
    </row>
    <row r="755" spans="1:9" x14ac:dyDescent="0.35">
      <c r="A755" t="s">
        <v>14</v>
      </c>
      <c r="B755">
        <v>2030</v>
      </c>
      <c r="C755" t="s">
        <v>72</v>
      </c>
      <c r="D755" t="s">
        <v>54</v>
      </c>
      <c r="E755">
        <v>0.87620438219608798</v>
      </c>
      <c r="F755">
        <v>0.87620438219608798</v>
      </c>
      <c r="G755">
        <v>0</v>
      </c>
      <c r="H755">
        <v>0</v>
      </c>
      <c r="I755" t="s">
        <v>73</v>
      </c>
    </row>
    <row r="756" spans="1:9" x14ac:dyDescent="0.35">
      <c r="A756" t="s">
        <v>14</v>
      </c>
      <c r="B756">
        <v>2030</v>
      </c>
      <c r="C756" t="s">
        <v>72</v>
      </c>
      <c r="D756" t="s">
        <v>55</v>
      </c>
      <c r="E756">
        <v>0.52645760410307896</v>
      </c>
      <c r="F756">
        <v>0.52645760410307896</v>
      </c>
      <c r="G756">
        <v>0</v>
      </c>
      <c r="H756">
        <v>0</v>
      </c>
      <c r="I756" t="s">
        <v>73</v>
      </c>
    </row>
    <row r="757" spans="1:9" x14ac:dyDescent="0.35">
      <c r="A757" t="s">
        <v>14</v>
      </c>
      <c r="B757">
        <v>2030</v>
      </c>
      <c r="C757" t="s">
        <v>72</v>
      </c>
      <c r="D757" t="s">
        <v>56</v>
      </c>
      <c r="E757" s="1">
        <v>9.8201715707553306E-7</v>
      </c>
      <c r="F757" s="1">
        <v>9.8201715707553306E-7</v>
      </c>
      <c r="G757">
        <v>0</v>
      </c>
      <c r="H757">
        <v>0</v>
      </c>
      <c r="I757" t="s">
        <v>73</v>
      </c>
    </row>
    <row r="758" spans="1:9" x14ac:dyDescent="0.35">
      <c r="A758" t="s">
        <v>16</v>
      </c>
      <c r="B758">
        <v>2035</v>
      </c>
      <c r="C758" t="s">
        <v>72</v>
      </c>
      <c r="D758" t="s">
        <v>38</v>
      </c>
      <c r="E758">
        <v>2.6464032236941399E-3</v>
      </c>
      <c r="F758">
        <v>2.6464032236941399E-3</v>
      </c>
      <c r="G758">
        <v>0</v>
      </c>
      <c r="H758">
        <v>0</v>
      </c>
      <c r="I758" t="s">
        <v>73</v>
      </c>
    </row>
    <row r="759" spans="1:9" x14ac:dyDescent="0.35">
      <c r="A759" t="s">
        <v>16</v>
      </c>
      <c r="B759">
        <v>2035</v>
      </c>
      <c r="C759" t="s">
        <v>72</v>
      </c>
      <c r="D759" t="s">
        <v>40</v>
      </c>
      <c r="E759">
        <v>1.14178063293712E-3</v>
      </c>
      <c r="F759">
        <v>1.14178063293712E-3</v>
      </c>
      <c r="G759">
        <v>0</v>
      </c>
      <c r="H759">
        <v>0</v>
      </c>
      <c r="I759" t="s">
        <v>73</v>
      </c>
    </row>
    <row r="760" spans="1:9" x14ac:dyDescent="0.35">
      <c r="A760" t="s">
        <v>16</v>
      </c>
      <c r="B760">
        <v>2035</v>
      </c>
      <c r="C760" t="s">
        <v>72</v>
      </c>
      <c r="D760" t="s">
        <v>41</v>
      </c>
      <c r="E760">
        <v>3.3189365788353402E-2</v>
      </c>
      <c r="F760">
        <v>3.3189365788353402E-2</v>
      </c>
      <c r="G760">
        <v>0</v>
      </c>
      <c r="H760">
        <v>0</v>
      </c>
      <c r="I760" t="s">
        <v>73</v>
      </c>
    </row>
    <row r="761" spans="1:9" x14ac:dyDescent="0.35">
      <c r="A761" t="s">
        <v>16</v>
      </c>
      <c r="B761">
        <v>2035</v>
      </c>
      <c r="C761" t="s">
        <v>72</v>
      </c>
      <c r="D761" t="s">
        <v>42</v>
      </c>
      <c r="E761">
        <v>5.0524729162259199</v>
      </c>
      <c r="F761">
        <v>5.0524729162259199</v>
      </c>
      <c r="G761">
        <v>0</v>
      </c>
      <c r="H761">
        <v>0</v>
      </c>
      <c r="I761" t="s">
        <v>73</v>
      </c>
    </row>
    <row r="762" spans="1:9" x14ac:dyDescent="0.35">
      <c r="A762" t="s">
        <v>16</v>
      </c>
      <c r="B762">
        <v>2035</v>
      </c>
      <c r="C762" t="s">
        <v>72</v>
      </c>
      <c r="D762" t="s">
        <v>43</v>
      </c>
      <c r="E762">
        <v>3.8753081014607303E-2</v>
      </c>
      <c r="F762">
        <v>3.8753081014607303E-2</v>
      </c>
      <c r="G762">
        <v>0</v>
      </c>
      <c r="H762">
        <v>0</v>
      </c>
      <c r="I762" t="s">
        <v>73</v>
      </c>
    </row>
    <row r="763" spans="1:9" x14ac:dyDescent="0.35">
      <c r="A763" t="s">
        <v>16</v>
      </c>
      <c r="B763">
        <v>2035</v>
      </c>
      <c r="C763" t="s">
        <v>72</v>
      </c>
      <c r="D763" t="s">
        <v>136</v>
      </c>
      <c r="E763">
        <v>6.9533872004753796</v>
      </c>
      <c r="F763">
        <v>6.9533872004753796</v>
      </c>
      <c r="G763">
        <v>0</v>
      </c>
      <c r="H763">
        <v>0</v>
      </c>
      <c r="I763" t="s">
        <v>73</v>
      </c>
    </row>
    <row r="764" spans="1:9" x14ac:dyDescent="0.35">
      <c r="A764" t="s">
        <v>16</v>
      </c>
      <c r="B764">
        <v>2035</v>
      </c>
      <c r="C764" t="s">
        <v>72</v>
      </c>
      <c r="D764" t="s">
        <v>45</v>
      </c>
      <c r="E764">
        <v>3.1507943930711602E-2</v>
      </c>
      <c r="F764">
        <v>3.1507943930711602E-2</v>
      </c>
      <c r="G764">
        <v>0</v>
      </c>
      <c r="H764">
        <v>0</v>
      </c>
      <c r="I764" t="s">
        <v>73</v>
      </c>
    </row>
    <row r="765" spans="1:9" x14ac:dyDescent="0.35">
      <c r="A765" t="s">
        <v>16</v>
      </c>
      <c r="B765">
        <v>2035</v>
      </c>
      <c r="C765" t="s">
        <v>72</v>
      </c>
      <c r="D765" t="s">
        <v>46</v>
      </c>
      <c r="E765">
        <v>0.25509292011492302</v>
      </c>
      <c r="F765">
        <v>0.25509292011492302</v>
      </c>
      <c r="G765">
        <v>0</v>
      </c>
      <c r="H765">
        <v>0</v>
      </c>
      <c r="I765" t="s">
        <v>73</v>
      </c>
    </row>
    <row r="766" spans="1:9" x14ac:dyDescent="0.35">
      <c r="A766" t="s">
        <v>16</v>
      </c>
      <c r="B766">
        <v>2035</v>
      </c>
      <c r="C766" t="s">
        <v>72</v>
      </c>
      <c r="D766" t="s">
        <v>47</v>
      </c>
      <c r="E766">
        <v>4.9609136665854899E-3</v>
      </c>
      <c r="F766">
        <v>4.9609136665854899E-3</v>
      </c>
      <c r="G766">
        <v>0</v>
      </c>
      <c r="H766">
        <v>0</v>
      </c>
      <c r="I766" t="s">
        <v>73</v>
      </c>
    </row>
    <row r="767" spans="1:9" x14ac:dyDescent="0.35">
      <c r="A767" t="s">
        <v>16</v>
      </c>
      <c r="B767">
        <v>2035</v>
      </c>
      <c r="C767" t="s">
        <v>72</v>
      </c>
      <c r="D767" t="s">
        <v>48</v>
      </c>
      <c r="E767">
        <v>1.1879045403180299</v>
      </c>
      <c r="F767">
        <v>1.1879045403180299</v>
      </c>
      <c r="G767">
        <v>0</v>
      </c>
      <c r="H767">
        <v>0</v>
      </c>
      <c r="I767" t="s">
        <v>73</v>
      </c>
    </row>
    <row r="768" spans="1:9" x14ac:dyDescent="0.35">
      <c r="A768" t="s">
        <v>16</v>
      </c>
      <c r="B768">
        <v>2035</v>
      </c>
      <c r="C768" t="s">
        <v>72</v>
      </c>
      <c r="D768" t="s">
        <v>49</v>
      </c>
      <c r="E768">
        <v>5.8367985058078997E-2</v>
      </c>
      <c r="F768">
        <v>5.8367985058078997E-2</v>
      </c>
      <c r="G768">
        <v>0</v>
      </c>
      <c r="H768">
        <v>0</v>
      </c>
      <c r="I768" t="s">
        <v>73</v>
      </c>
    </row>
    <row r="769" spans="1:9" x14ac:dyDescent="0.35">
      <c r="A769" t="s">
        <v>16</v>
      </c>
      <c r="B769">
        <v>2035</v>
      </c>
      <c r="C769" t="s">
        <v>72</v>
      </c>
      <c r="D769" t="s">
        <v>50</v>
      </c>
      <c r="E769">
        <v>0.13342608763170499</v>
      </c>
      <c r="F769">
        <v>0.13342608763170499</v>
      </c>
      <c r="G769">
        <v>0</v>
      </c>
      <c r="H769">
        <v>0</v>
      </c>
      <c r="I769" t="s">
        <v>73</v>
      </c>
    </row>
    <row r="770" spans="1:9" x14ac:dyDescent="0.35">
      <c r="A770" t="s">
        <v>16</v>
      </c>
      <c r="B770">
        <v>2035</v>
      </c>
      <c r="C770" t="s">
        <v>72</v>
      </c>
      <c r="D770" t="s">
        <v>51</v>
      </c>
      <c r="E770">
        <v>0.23867756607691201</v>
      </c>
      <c r="F770">
        <v>0.23867756607691201</v>
      </c>
      <c r="G770">
        <v>0</v>
      </c>
      <c r="H770">
        <v>0</v>
      </c>
      <c r="I770" t="s">
        <v>73</v>
      </c>
    </row>
    <row r="771" spans="1:9" x14ac:dyDescent="0.35">
      <c r="A771" t="s">
        <v>16</v>
      </c>
      <c r="B771">
        <v>2035</v>
      </c>
      <c r="C771" t="s">
        <v>72</v>
      </c>
      <c r="D771" t="s">
        <v>52</v>
      </c>
      <c r="E771">
        <v>0.598148840517156</v>
      </c>
      <c r="F771">
        <v>0.598148840517156</v>
      </c>
      <c r="G771">
        <v>0</v>
      </c>
      <c r="H771">
        <v>0</v>
      </c>
      <c r="I771" t="s">
        <v>73</v>
      </c>
    </row>
    <row r="772" spans="1:9" x14ac:dyDescent="0.35">
      <c r="A772" t="s">
        <v>16</v>
      </c>
      <c r="B772">
        <v>2035</v>
      </c>
      <c r="C772" t="s">
        <v>72</v>
      </c>
      <c r="D772" t="s">
        <v>53</v>
      </c>
      <c r="E772">
        <v>2.3112550212774798</v>
      </c>
      <c r="F772">
        <v>2.3112550212774798</v>
      </c>
      <c r="G772">
        <v>0</v>
      </c>
      <c r="H772">
        <v>0</v>
      </c>
      <c r="I772" t="s">
        <v>73</v>
      </c>
    </row>
    <row r="773" spans="1:9" x14ac:dyDescent="0.35">
      <c r="A773" t="s">
        <v>16</v>
      </c>
      <c r="B773">
        <v>2035</v>
      </c>
      <c r="C773" t="s">
        <v>72</v>
      </c>
      <c r="D773" t="s">
        <v>54</v>
      </c>
      <c r="E773">
        <v>0.87773176078219295</v>
      </c>
      <c r="F773">
        <v>0.87773176078219295</v>
      </c>
      <c r="G773">
        <v>0</v>
      </c>
      <c r="H773">
        <v>0</v>
      </c>
      <c r="I773" t="s">
        <v>73</v>
      </c>
    </row>
    <row r="774" spans="1:9" x14ac:dyDescent="0.35">
      <c r="A774" t="s">
        <v>16</v>
      </c>
      <c r="B774">
        <v>2035</v>
      </c>
      <c r="C774" t="s">
        <v>72</v>
      </c>
      <c r="D774" t="s">
        <v>55</v>
      </c>
      <c r="E774">
        <v>0.52740801469764098</v>
      </c>
      <c r="F774">
        <v>0.52740801469764098</v>
      </c>
      <c r="G774">
        <v>0</v>
      </c>
      <c r="H774">
        <v>0</v>
      </c>
      <c r="I774" t="s">
        <v>73</v>
      </c>
    </row>
    <row r="775" spans="1:9" x14ac:dyDescent="0.35">
      <c r="A775" t="s">
        <v>16</v>
      </c>
      <c r="B775">
        <v>2035</v>
      </c>
      <c r="C775" t="s">
        <v>72</v>
      </c>
      <c r="D775" t="s">
        <v>56</v>
      </c>
      <c r="E775" s="1">
        <v>9.6401491811298796E-7</v>
      </c>
      <c r="F775" s="1">
        <v>9.6401491811298796E-7</v>
      </c>
      <c r="G775">
        <v>0</v>
      </c>
      <c r="H775">
        <v>0</v>
      </c>
      <c r="I775" t="s">
        <v>73</v>
      </c>
    </row>
    <row r="776" spans="1:9" x14ac:dyDescent="0.35">
      <c r="A776" t="s">
        <v>18</v>
      </c>
      <c r="B776">
        <v>2040</v>
      </c>
      <c r="C776" t="s">
        <v>72</v>
      </c>
      <c r="D776" t="s">
        <v>38</v>
      </c>
      <c r="E776">
        <v>3.20883434096859E-3</v>
      </c>
      <c r="F776">
        <v>3.20883434096859E-3</v>
      </c>
      <c r="G776">
        <v>0</v>
      </c>
      <c r="H776">
        <v>0</v>
      </c>
      <c r="I776" t="s">
        <v>73</v>
      </c>
    </row>
    <row r="777" spans="1:9" x14ac:dyDescent="0.35">
      <c r="A777" t="s">
        <v>18</v>
      </c>
      <c r="B777">
        <v>2040</v>
      </c>
      <c r="C777" t="s">
        <v>72</v>
      </c>
      <c r="D777" t="s">
        <v>40</v>
      </c>
      <c r="E777">
        <v>1.0878542569440501E-3</v>
      </c>
      <c r="F777">
        <v>1.0878542569440501E-3</v>
      </c>
      <c r="G777">
        <v>0</v>
      </c>
      <c r="H777">
        <v>0</v>
      </c>
      <c r="I777" t="s">
        <v>73</v>
      </c>
    </row>
    <row r="778" spans="1:9" x14ac:dyDescent="0.35">
      <c r="A778" t="s">
        <v>18</v>
      </c>
      <c r="B778">
        <v>2040</v>
      </c>
      <c r="C778" t="s">
        <v>72</v>
      </c>
      <c r="D778" t="s">
        <v>41</v>
      </c>
      <c r="E778">
        <v>3.2639702506833297E-2</v>
      </c>
      <c r="F778">
        <v>3.1429079213443303E-2</v>
      </c>
      <c r="G778">
        <v>-1.21062329339002E-3</v>
      </c>
      <c r="H778">
        <v>-3.7090512486643101</v>
      </c>
      <c r="I778" t="s">
        <v>73</v>
      </c>
    </row>
    <row r="779" spans="1:9" x14ac:dyDescent="0.35">
      <c r="A779" t="s">
        <v>18</v>
      </c>
      <c r="B779">
        <v>2040</v>
      </c>
      <c r="C779" t="s">
        <v>72</v>
      </c>
      <c r="D779" t="s">
        <v>42</v>
      </c>
      <c r="E779">
        <v>5.0078419981180904</v>
      </c>
      <c r="F779">
        <v>5.0078419981180904</v>
      </c>
      <c r="G779">
        <v>0</v>
      </c>
      <c r="H779">
        <v>0</v>
      </c>
      <c r="I779" t="s">
        <v>73</v>
      </c>
    </row>
    <row r="780" spans="1:9" x14ac:dyDescent="0.35">
      <c r="A780" t="s">
        <v>18</v>
      </c>
      <c r="B780">
        <v>2040</v>
      </c>
      <c r="C780" t="s">
        <v>72</v>
      </c>
      <c r="D780" t="s">
        <v>43</v>
      </c>
      <c r="E780">
        <v>3.8702080811192398E-2</v>
      </c>
      <c r="F780">
        <v>1.24269476057238E-2</v>
      </c>
      <c r="G780">
        <v>-2.6275133205468499E-2</v>
      </c>
      <c r="H780">
        <v>-67.890750716095695</v>
      </c>
      <c r="I780" t="s">
        <v>73</v>
      </c>
    </row>
    <row r="781" spans="1:9" x14ac:dyDescent="0.35">
      <c r="A781" t="s">
        <v>18</v>
      </c>
      <c r="B781">
        <v>2040</v>
      </c>
      <c r="C781" t="s">
        <v>72</v>
      </c>
      <c r="D781" t="s">
        <v>136</v>
      </c>
      <c r="E781">
        <v>6.6188962068658403</v>
      </c>
      <c r="F781">
        <v>6.6188962068658403</v>
      </c>
      <c r="G781">
        <v>0</v>
      </c>
      <c r="H781">
        <v>0</v>
      </c>
      <c r="I781" t="s">
        <v>73</v>
      </c>
    </row>
    <row r="782" spans="1:9" x14ac:dyDescent="0.35">
      <c r="A782" t="s">
        <v>18</v>
      </c>
      <c r="B782">
        <v>2040</v>
      </c>
      <c r="C782" t="s">
        <v>72</v>
      </c>
      <c r="D782" t="s">
        <v>45</v>
      </c>
      <c r="E782">
        <v>3.1042381251376299E-2</v>
      </c>
      <c r="F782">
        <v>3.0288207408498399E-2</v>
      </c>
      <c r="G782">
        <v>-7.5417384287787201E-4</v>
      </c>
      <c r="H782">
        <v>-2.4294973918743201</v>
      </c>
      <c r="I782" t="s">
        <v>73</v>
      </c>
    </row>
    <row r="783" spans="1:9" x14ac:dyDescent="0.35">
      <c r="A783" t="s">
        <v>18</v>
      </c>
      <c r="B783">
        <v>2040</v>
      </c>
      <c r="C783" t="s">
        <v>72</v>
      </c>
      <c r="D783" t="s">
        <v>46</v>
      </c>
      <c r="E783">
        <v>0.32868638761145602</v>
      </c>
      <c r="F783">
        <v>0.32868638761145602</v>
      </c>
      <c r="G783">
        <v>0</v>
      </c>
      <c r="H783">
        <v>0</v>
      </c>
      <c r="I783" t="s">
        <v>73</v>
      </c>
    </row>
    <row r="784" spans="1:9" x14ac:dyDescent="0.35">
      <c r="A784" t="s">
        <v>18</v>
      </c>
      <c r="B784">
        <v>2040</v>
      </c>
      <c r="C784" t="s">
        <v>72</v>
      </c>
      <c r="D784" t="s">
        <v>47</v>
      </c>
      <c r="E784">
        <v>4.8925323450619397E-3</v>
      </c>
      <c r="F784">
        <v>2.2361420071763398E-3</v>
      </c>
      <c r="G784">
        <v>-2.65639033788559E-3</v>
      </c>
      <c r="H784">
        <v>-54.294793586121102</v>
      </c>
      <c r="I784" t="s">
        <v>73</v>
      </c>
    </row>
    <row r="785" spans="1:9" x14ac:dyDescent="0.35">
      <c r="A785" t="s">
        <v>18</v>
      </c>
      <c r="B785">
        <v>2040</v>
      </c>
      <c r="C785" t="s">
        <v>72</v>
      </c>
      <c r="D785" t="s">
        <v>48</v>
      </c>
      <c r="E785">
        <v>1.1935514455438401</v>
      </c>
      <c r="F785">
        <v>1.1935514455438401</v>
      </c>
      <c r="G785">
        <v>0</v>
      </c>
      <c r="H785">
        <v>0</v>
      </c>
      <c r="I785" t="s">
        <v>73</v>
      </c>
    </row>
    <row r="786" spans="1:9" x14ac:dyDescent="0.35">
      <c r="A786" t="s">
        <v>18</v>
      </c>
      <c r="B786">
        <v>2040</v>
      </c>
      <c r="C786" t="s">
        <v>72</v>
      </c>
      <c r="D786" t="s">
        <v>49</v>
      </c>
      <c r="E786">
        <v>5.7784063779320403E-2</v>
      </c>
      <c r="F786">
        <v>5.7026340589363102E-2</v>
      </c>
      <c r="G786">
        <v>-7.5772318995732902E-4</v>
      </c>
      <c r="H786">
        <v>-1.3113013180435</v>
      </c>
      <c r="I786" t="s">
        <v>73</v>
      </c>
    </row>
    <row r="787" spans="1:9" x14ac:dyDescent="0.35">
      <c r="A787" t="s">
        <v>18</v>
      </c>
      <c r="B787">
        <v>2040</v>
      </c>
      <c r="C787" t="s">
        <v>72</v>
      </c>
      <c r="D787" t="s">
        <v>50</v>
      </c>
      <c r="E787">
        <v>0.13456838681864999</v>
      </c>
      <c r="F787">
        <v>0.13456838681864999</v>
      </c>
      <c r="G787">
        <v>0</v>
      </c>
      <c r="H787">
        <v>0</v>
      </c>
      <c r="I787" t="s">
        <v>73</v>
      </c>
    </row>
    <row r="788" spans="1:9" x14ac:dyDescent="0.35">
      <c r="A788" t="s">
        <v>18</v>
      </c>
      <c r="B788">
        <v>2040</v>
      </c>
      <c r="C788" t="s">
        <v>72</v>
      </c>
      <c r="D788" t="s">
        <v>51</v>
      </c>
      <c r="E788">
        <v>0.243871020340717</v>
      </c>
      <c r="F788">
        <v>0.243871020340717</v>
      </c>
      <c r="G788">
        <v>0</v>
      </c>
      <c r="H788">
        <v>0</v>
      </c>
      <c r="I788" t="s">
        <v>73</v>
      </c>
    </row>
    <row r="789" spans="1:9" x14ac:dyDescent="0.35">
      <c r="A789" t="s">
        <v>18</v>
      </c>
      <c r="B789">
        <v>2040</v>
      </c>
      <c r="C789" t="s">
        <v>72</v>
      </c>
      <c r="D789" t="s">
        <v>52</v>
      </c>
      <c r="E789">
        <v>0.57527631013972202</v>
      </c>
      <c r="F789">
        <v>0.57527631013972202</v>
      </c>
      <c r="G789">
        <v>0</v>
      </c>
      <c r="H789">
        <v>0</v>
      </c>
      <c r="I789" t="s">
        <v>73</v>
      </c>
    </row>
    <row r="790" spans="1:9" x14ac:dyDescent="0.35">
      <c r="A790" t="s">
        <v>18</v>
      </c>
      <c r="B790">
        <v>2040</v>
      </c>
      <c r="C790" t="s">
        <v>72</v>
      </c>
      <c r="D790" t="s">
        <v>53</v>
      </c>
      <c r="E790">
        <v>2.2297556058588301</v>
      </c>
      <c r="F790">
        <v>2.2297556058588301</v>
      </c>
      <c r="G790">
        <v>0</v>
      </c>
      <c r="H790">
        <v>0</v>
      </c>
      <c r="I790" t="s">
        <v>73</v>
      </c>
    </row>
    <row r="791" spans="1:9" x14ac:dyDescent="0.35">
      <c r="A791" t="s">
        <v>18</v>
      </c>
      <c r="B791">
        <v>2040</v>
      </c>
      <c r="C791" t="s">
        <v>72</v>
      </c>
      <c r="D791" t="s">
        <v>54</v>
      </c>
      <c r="E791">
        <v>0.87994884611320001</v>
      </c>
      <c r="F791">
        <v>0.58816445579986398</v>
      </c>
      <c r="G791">
        <v>-0.29178439031333497</v>
      </c>
      <c r="H791">
        <v>-33.159244608612099</v>
      </c>
      <c r="I791" t="s">
        <v>73</v>
      </c>
    </row>
    <row r="792" spans="1:9" x14ac:dyDescent="0.35">
      <c r="A792" t="s">
        <v>18</v>
      </c>
      <c r="B792">
        <v>2040</v>
      </c>
      <c r="C792" t="s">
        <v>72</v>
      </c>
      <c r="D792" t="s">
        <v>55</v>
      </c>
      <c r="E792">
        <v>0.52912270317779297</v>
      </c>
      <c r="F792">
        <v>0.51130215557274705</v>
      </c>
      <c r="G792">
        <v>-1.78205476050457E-2</v>
      </c>
      <c r="H792">
        <v>-3.36794235023737</v>
      </c>
      <c r="I792" t="s">
        <v>73</v>
      </c>
    </row>
    <row r="793" spans="1:9" x14ac:dyDescent="0.35">
      <c r="A793" t="s">
        <v>18</v>
      </c>
      <c r="B793">
        <v>2040</v>
      </c>
      <c r="C793" t="s">
        <v>72</v>
      </c>
      <c r="D793" t="s">
        <v>56</v>
      </c>
      <c r="E793" s="1">
        <v>9.5288539971399297E-7</v>
      </c>
      <c r="F793" s="1">
        <v>9.5288539971399297E-7</v>
      </c>
      <c r="G793">
        <v>0</v>
      </c>
      <c r="H793">
        <v>0</v>
      </c>
      <c r="I793" t="s">
        <v>73</v>
      </c>
    </row>
    <row r="794" spans="1:9" x14ac:dyDescent="0.35">
      <c r="A794" t="s">
        <v>12</v>
      </c>
      <c r="B794">
        <v>2025</v>
      </c>
      <c r="C794" t="s">
        <v>61</v>
      </c>
      <c r="D794" t="s">
        <v>38</v>
      </c>
      <c r="E794">
        <v>3.4106168821618301E-3</v>
      </c>
      <c r="F794">
        <v>3.4106168821618301E-3</v>
      </c>
      <c r="G794">
        <v>0</v>
      </c>
      <c r="H794">
        <v>0</v>
      </c>
      <c r="I794" t="s">
        <v>62</v>
      </c>
    </row>
    <row r="795" spans="1:9" x14ac:dyDescent="0.35">
      <c r="A795" t="s">
        <v>12</v>
      </c>
      <c r="B795">
        <v>2025</v>
      </c>
      <c r="C795" t="s">
        <v>61</v>
      </c>
      <c r="D795" t="s">
        <v>40</v>
      </c>
      <c r="E795">
        <v>4.3142060781981902E-3</v>
      </c>
      <c r="F795">
        <v>4.3142060781981902E-3</v>
      </c>
      <c r="G795">
        <v>0</v>
      </c>
      <c r="H795">
        <v>0</v>
      </c>
      <c r="I795" t="s">
        <v>62</v>
      </c>
    </row>
    <row r="796" spans="1:9" x14ac:dyDescent="0.35">
      <c r="A796" t="s">
        <v>12</v>
      </c>
      <c r="B796">
        <v>2025</v>
      </c>
      <c r="C796" t="s">
        <v>61</v>
      </c>
      <c r="D796" t="s">
        <v>41</v>
      </c>
      <c r="E796">
        <v>0.14677141160760099</v>
      </c>
      <c r="F796">
        <v>0.14677141160760099</v>
      </c>
      <c r="G796">
        <v>0</v>
      </c>
      <c r="H796">
        <v>0</v>
      </c>
      <c r="I796" t="s">
        <v>62</v>
      </c>
    </row>
    <row r="797" spans="1:9" x14ac:dyDescent="0.35">
      <c r="A797" t="s">
        <v>12</v>
      </c>
      <c r="B797">
        <v>2025</v>
      </c>
      <c r="C797" t="s">
        <v>61</v>
      </c>
      <c r="D797" t="s">
        <v>42</v>
      </c>
      <c r="E797">
        <v>17.3086381339191</v>
      </c>
      <c r="F797">
        <v>17.3086381339191</v>
      </c>
      <c r="G797">
        <v>0</v>
      </c>
      <c r="H797">
        <v>0</v>
      </c>
      <c r="I797" t="s">
        <v>62</v>
      </c>
    </row>
    <row r="798" spans="1:9" x14ac:dyDescent="0.35">
      <c r="A798" t="s">
        <v>12</v>
      </c>
      <c r="B798">
        <v>2025</v>
      </c>
      <c r="C798" t="s">
        <v>61</v>
      </c>
      <c r="D798" t="s">
        <v>43</v>
      </c>
      <c r="E798">
        <v>1.36919950188655E-2</v>
      </c>
      <c r="F798">
        <v>1.36919950188655E-2</v>
      </c>
      <c r="G798">
        <v>0</v>
      </c>
      <c r="H798">
        <v>0</v>
      </c>
      <c r="I798" t="s">
        <v>62</v>
      </c>
    </row>
    <row r="799" spans="1:9" x14ac:dyDescent="0.35">
      <c r="A799" t="s">
        <v>12</v>
      </c>
      <c r="B799">
        <v>2025</v>
      </c>
      <c r="C799" t="s">
        <v>61</v>
      </c>
      <c r="D799" t="s">
        <v>136</v>
      </c>
      <c r="E799">
        <v>9.6509230866601108</v>
      </c>
      <c r="F799">
        <v>9.6509230866601108</v>
      </c>
      <c r="G799">
        <v>0</v>
      </c>
      <c r="H799">
        <v>0</v>
      </c>
      <c r="I799" t="s">
        <v>62</v>
      </c>
    </row>
    <row r="800" spans="1:9" x14ac:dyDescent="0.35">
      <c r="A800" t="s">
        <v>12</v>
      </c>
      <c r="B800">
        <v>2025</v>
      </c>
      <c r="C800" t="s">
        <v>61</v>
      </c>
      <c r="D800" t="s">
        <v>45</v>
      </c>
      <c r="E800">
        <v>0.28521757118475199</v>
      </c>
      <c r="F800">
        <v>0.28521757118475199</v>
      </c>
      <c r="G800">
        <v>0</v>
      </c>
      <c r="H800">
        <v>0</v>
      </c>
      <c r="I800" t="s">
        <v>62</v>
      </c>
    </row>
    <row r="801" spans="1:9" x14ac:dyDescent="0.35">
      <c r="A801" t="s">
        <v>12</v>
      </c>
      <c r="B801">
        <v>2025</v>
      </c>
      <c r="C801" t="s">
        <v>61</v>
      </c>
      <c r="D801" t="s">
        <v>46</v>
      </c>
      <c r="E801">
        <v>0.30235573364581397</v>
      </c>
      <c r="F801">
        <v>0.30235573364581397</v>
      </c>
      <c r="G801">
        <v>0</v>
      </c>
      <c r="H801">
        <v>0</v>
      </c>
      <c r="I801" t="s">
        <v>62</v>
      </c>
    </row>
    <row r="802" spans="1:9" x14ac:dyDescent="0.35">
      <c r="A802" t="s">
        <v>12</v>
      </c>
      <c r="B802">
        <v>2025</v>
      </c>
      <c r="C802" t="s">
        <v>61</v>
      </c>
      <c r="D802" t="s">
        <v>47</v>
      </c>
      <c r="E802">
        <v>1.15533853751929E-2</v>
      </c>
      <c r="F802">
        <v>1.15533853751929E-2</v>
      </c>
      <c r="G802">
        <v>0</v>
      </c>
      <c r="H802">
        <v>0</v>
      </c>
      <c r="I802" t="s">
        <v>62</v>
      </c>
    </row>
    <row r="803" spans="1:9" x14ac:dyDescent="0.35">
      <c r="A803" t="s">
        <v>12</v>
      </c>
      <c r="B803">
        <v>2025</v>
      </c>
      <c r="C803" t="s">
        <v>61</v>
      </c>
      <c r="D803" t="s">
        <v>48</v>
      </c>
      <c r="E803">
        <v>28.637437111295601</v>
      </c>
      <c r="F803">
        <v>28.637437111295601</v>
      </c>
      <c r="G803">
        <v>0</v>
      </c>
      <c r="H803">
        <v>0</v>
      </c>
      <c r="I803" t="s">
        <v>62</v>
      </c>
    </row>
    <row r="804" spans="1:9" x14ac:dyDescent="0.35">
      <c r="A804" t="s">
        <v>12</v>
      </c>
      <c r="B804">
        <v>2025</v>
      </c>
      <c r="C804" t="s">
        <v>61</v>
      </c>
      <c r="D804" t="s">
        <v>49</v>
      </c>
      <c r="E804">
        <v>1.3678304719479</v>
      </c>
      <c r="F804">
        <v>1.3678304719479</v>
      </c>
      <c r="G804">
        <v>0</v>
      </c>
      <c r="H804">
        <v>0</v>
      </c>
      <c r="I804" t="s">
        <v>62</v>
      </c>
    </row>
    <row r="805" spans="1:9" x14ac:dyDescent="0.35">
      <c r="A805" t="s">
        <v>12</v>
      </c>
      <c r="B805">
        <v>2025</v>
      </c>
      <c r="C805" t="s">
        <v>61</v>
      </c>
      <c r="D805" t="s">
        <v>50</v>
      </c>
      <c r="E805">
        <v>0.110239395585895</v>
      </c>
      <c r="F805">
        <v>0.110239395585895</v>
      </c>
      <c r="G805">
        <v>0</v>
      </c>
      <c r="H805">
        <v>0</v>
      </c>
      <c r="I805" t="s">
        <v>62</v>
      </c>
    </row>
    <row r="806" spans="1:9" x14ac:dyDescent="0.35">
      <c r="A806" t="s">
        <v>12</v>
      </c>
      <c r="B806">
        <v>2025</v>
      </c>
      <c r="C806" t="s">
        <v>61</v>
      </c>
      <c r="D806" t="s">
        <v>51</v>
      </c>
      <c r="E806">
        <v>0.56586822756190402</v>
      </c>
      <c r="F806">
        <v>0.56586822756190402</v>
      </c>
      <c r="G806">
        <v>0</v>
      </c>
      <c r="H806">
        <v>0</v>
      </c>
      <c r="I806" t="s">
        <v>62</v>
      </c>
    </row>
    <row r="807" spans="1:9" x14ac:dyDescent="0.35">
      <c r="A807" t="s">
        <v>12</v>
      </c>
      <c r="B807">
        <v>2025</v>
      </c>
      <c r="C807" t="s">
        <v>61</v>
      </c>
      <c r="D807" t="s">
        <v>52</v>
      </c>
      <c r="E807">
        <v>0.63171116176021103</v>
      </c>
      <c r="F807">
        <v>0.63171116176021103</v>
      </c>
      <c r="G807">
        <v>0</v>
      </c>
      <c r="H807">
        <v>0</v>
      </c>
      <c r="I807" t="s">
        <v>62</v>
      </c>
    </row>
    <row r="808" spans="1:9" x14ac:dyDescent="0.35">
      <c r="A808" t="s">
        <v>12</v>
      </c>
      <c r="B808">
        <v>2025</v>
      </c>
      <c r="C808" t="s">
        <v>61</v>
      </c>
      <c r="D808" t="s">
        <v>53</v>
      </c>
      <c r="E808">
        <v>2.3748820497115202</v>
      </c>
      <c r="F808">
        <v>2.3748820497115202</v>
      </c>
      <c r="G808">
        <v>0</v>
      </c>
      <c r="H808">
        <v>0</v>
      </c>
      <c r="I808" t="s">
        <v>62</v>
      </c>
    </row>
    <row r="809" spans="1:9" x14ac:dyDescent="0.35">
      <c r="A809" t="s">
        <v>12</v>
      </c>
      <c r="B809">
        <v>2025</v>
      </c>
      <c r="C809" t="s">
        <v>61</v>
      </c>
      <c r="D809" t="s">
        <v>54</v>
      </c>
      <c r="E809">
        <v>7.0745337092239797</v>
      </c>
      <c r="F809">
        <v>7.0745337092239797</v>
      </c>
      <c r="G809">
        <v>0</v>
      </c>
      <c r="H809">
        <v>0</v>
      </c>
      <c r="I809" t="s">
        <v>62</v>
      </c>
    </row>
    <row r="810" spans="1:9" x14ac:dyDescent="0.35">
      <c r="A810" t="s">
        <v>12</v>
      </c>
      <c r="B810">
        <v>2025</v>
      </c>
      <c r="C810" t="s">
        <v>61</v>
      </c>
      <c r="D810" t="s">
        <v>55</v>
      </c>
      <c r="E810">
        <v>6.5276583170056304</v>
      </c>
      <c r="F810">
        <v>6.5276583170056304</v>
      </c>
      <c r="G810">
        <v>0</v>
      </c>
      <c r="H810">
        <v>0</v>
      </c>
      <c r="I810" t="s">
        <v>62</v>
      </c>
    </row>
    <row r="811" spans="1:9" x14ac:dyDescent="0.35">
      <c r="A811" t="s">
        <v>12</v>
      </c>
      <c r="B811">
        <v>2025</v>
      </c>
      <c r="C811" t="s">
        <v>61</v>
      </c>
      <c r="D811" t="s">
        <v>56</v>
      </c>
      <c r="E811" s="1">
        <v>5.8687980779881799E-7</v>
      </c>
      <c r="F811" s="1">
        <v>5.8687980779881799E-7</v>
      </c>
      <c r="G811">
        <v>0</v>
      </c>
      <c r="H811">
        <v>0</v>
      </c>
      <c r="I811" t="s">
        <v>62</v>
      </c>
    </row>
    <row r="812" spans="1:9" x14ac:dyDescent="0.35">
      <c r="A812" t="s">
        <v>14</v>
      </c>
      <c r="B812">
        <v>2030</v>
      </c>
      <c r="C812" t="s">
        <v>61</v>
      </c>
      <c r="D812" t="s">
        <v>38</v>
      </c>
      <c r="E812">
        <v>3.46350230678929E-3</v>
      </c>
      <c r="F812">
        <v>3.46350230678929E-3</v>
      </c>
      <c r="G812">
        <v>0</v>
      </c>
      <c r="H812">
        <v>0</v>
      </c>
      <c r="I812" t="s">
        <v>62</v>
      </c>
    </row>
    <row r="813" spans="1:9" x14ac:dyDescent="0.35">
      <c r="A813" t="s">
        <v>14</v>
      </c>
      <c r="B813">
        <v>2030</v>
      </c>
      <c r="C813" t="s">
        <v>61</v>
      </c>
      <c r="D813" t="s">
        <v>40</v>
      </c>
      <c r="E813">
        <v>4.2987335848452797E-3</v>
      </c>
      <c r="F813">
        <v>4.2987335848452797E-3</v>
      </c>
      <c r="G813">
        <v>0</v>
      </c>
      <c r="H813">
        <v>0</v>
      </c>
      <c r="I813" t="s">
        <v>62</v>
      </c>
    </row>
    <row r="814" spans="1:9" x14ac:dyDescent="0.35">
      <c r="A814" t="s">
        <v>14</v>
      </c>
      <c r="B814">
        <v>2030</v>
      </c>
      <c r="C814" t="s">
        <v>61</v>
      </c>
      <c r="D814" t="s">
        <v>41</v>
      </c>
      <c r="E814">
        <v>0.147650185784785</v>
      </c>
      <c r="F814">
        <v>0.147650185784785</v>
      </c>
      <c r="G814">
        <v>0</v>
      </c>
      <c r="H814">
        <v>0</v>
      </c>
      <c r="I814" t="s">
        <v>62</v>
      </c>
    </row>
    <row r="815" spans="1:9" x14ac:dyDescent="0.35">
      <c r="A815" t="s">
        <v>14</v>
      </c>
      <c r="B815">
        <v>2030</v>
      </c>
      <c r="C815" t="s">
        <v>61</v>
      </c>
      <c r="D815" t="s">
        <v>42</v>
      </c>
      <c r="E815">
        <v>17.205214371366999</v>
      </c>
      <c r="F815">
        <v>17.205214371366999</v>
      </c>
      <c r="G815">
        <v>0</v>
      </c>
      <c r="H815">
        <v>0</v>
      </c>
      <c r="I815" t="s">
        <v>62</v>
      </c>
    </row>
    <row r="816" spans="1:9" x14ac:dyDescent="0.35">
      <c r="A816" t="s">
        <v>14</v>
      </c>
      <c r="B816">
        <v>2030</v>
      </c>
      <c r="C816" t="s">
        <v>61</v>
      </c>
      <c r="D816" t="s">
        <v>43</v>
      </c>
      <c r="E816">
        <v>1.4103526690954901E-2</v>
      </c>
      <c r="F816">
        <v>1.4103526690954901E-2</v>
      </c>
      <c r="G816">
        <v>0</v>
      </c>
      <c r="H816">
        <v>0</v>
      </c>
      <c r="I816" t="s">
        <v>62</v>
      </c>
    </row>
    <row r="817" spans="1:9" x14ac:dyDescent="0.35">
      <c r="A817" t="s">
        <v>14</v>
      </c>
      <c r="B817">
        <v>2030</v>
      </c>
      <c r="C817" t="s">
        <v>61</v>
      </c>
      <c r="D817" t="s">
        <v>136</v>
      </c>
      <c r="E817">
        <v>9.2000621252525399</v>
      </c>
      <c r="F817">
        <v>9.2000621252525399</v>
      </c>
      <c r="G817">
        <v>0</v>
      </c>
      <c r="H817">
        <v>0</v>
      </c>
      <c r="I817" t="s">
        <v>62</v>
      </c>
    </row>
    <row r="818" spans="1:9" x14ac:dyDescent="0.35">
      <c r="A818" t="s">
        <v>14</v>
      </c>
      <c r="B818">
        <v>2030</v>
      </c>
      <c r="C818" t="s">
        <v>61</v>
      </c>
      <c r="D818" t="s">
        <v>45</v>
      </c>
      <c r="E818">
        <v>0.28422561005584501</v>
      </c>
      <c r="F818">
        <v>0.28422561005584501</v>
      </c>
      <c r="G818">
        <v>0</v>
      </c>
      <c r="H818">
        <v>0</v>
      </c>
      <c r="I818" t="s">
        <v>62</v>
      </c>
    </row>
    <row r="819" spans="1:9" x14ac:dyDescent="0.35">
      <c r="A819" t="s">
        <v>14</v>
      </c>
      <c r="B819">
        <v>2030</v>
      </c>
      <c r="C819" t="s">
        <v>61</v>
      </c>
      <c r="D819" t="s">
        <v>46</v>
      </c>
      <c r="E819">
        <v>0.44693542447484402</v>
      </c>
      <c r="F819">
        <v>0.44693542447484402</v>
      </c>
      <c r="G819">
        <v>0</v>
      </c>
      <c r="H819">
        <v>0</v>
      </c>
      <c r="I819" t="s">
        <v>62</v>
      </c>
    </row>
    <row r="820" spans="1:9" x14ac:dyDescent="0.35">
      <c r="A820" t="s">
        <v>14</v>
      </c>
      <c r="B820">
        <v>2030</v>
      </c>
      <c r="C820" t="s">
        <v>61</v>
      </c>
      <c r="D820" t="s">
        <v>47</v>
      </c>
      <c r="E820">
        <v>1.14278370529395E-2</v>
      </c>
      <c r="F820">
        <v>1.14278370529395E-2</v>
      </c>
      <c r="G820">
        <v>0</v>
      </c>
      <c r="H820">
        <v>0</v>
      </c>
      <c r="I820" t="s">
        <v>62</v>
      </c>
    </row>
    <row r="821" spans="1:9" x14ac:dyDescent="0.35">
      <c r="A821" t="s">
        <v>14</v>
      </c>
      <c r="B821">
        <v>2030</v>
      </c>
      <c r="C821" t="s">
        <v>61</v>
      </c>
      <c r="D821" t="s">
        <v>48</v>
      </c>
      <c r="E821">
        <v>28.638313999085</v>
      </c>
      <c r="F821">
        <v>28.638313999085</v>
      </c>
      <c r="G821">
        <v>0</v>
      </c>
      <c r="H821">
        <v>0</v>
      </c>
      <c r="I821" t="s">
        <v>62</v>
      </c>
    </row>
    <row r="822" spans="1:9" x14ac:dyDescent="0.35">
      <c r="A822" t="s">
        <v>14</v>
      </c>
      <c r="B822">
        <v>2030</v>
      </c>
      <c r="C822" t="s">
        <v>61</v>
      </c>
      <c r="D822" t="s">
        <v>49</v>
      </c>
      <c r="E822">
        <v>1.3672035980192201</v>
      </c>
      <c r="F822">
        <v>1.3672035980192201</v>
      </c>
      <c r="G822">
        <v>0</v>
      </c>
      <c r="H822">
        <v>0</v>
      </c>
      <c r="I822" t="s">
        <v>62</v>
      </c>
    </row>
    <row r="823" spans="1:9" x14ac:dyDescent="0.35">
      <c r="A823" t="s">
        <v>14</v>
      </c>
      <c r="B823">
        <v>2030</v>
      </c>
      <c r="C823" t="s">
        <v>61</v>
      </c>
      <c r="D823" t="s">
        <v>50</v>
      </c>
      <c r="E823">
        <v>0.109348395483033</v>
      </c>
      <c r="F823">
        <v>0.109348395483033</v>
      </c>
      <c r="G823">
        <v>0</v>
      </c>
      <c r="H823">
        <v>0</v>
      </c>
      <c r="I823" t="s">
        <v>62</v>
      </c>
    </row>
    <row r="824" spans="1:9" x14ac:dyDescent="0.35">
      <c r="A824" t="s">
        <v>14</v>
      </c>
      <c r="B824">
        <v>2030</v>
      </c>
      <c r="C824" t="s">
        <v>61</v>
      </c>
      <c r="D824" t="s">
        <v>51</v>
      </c>
      <c r="E824">
        <v>0.57471083098396103</v>
      </c>
      <c r="F824">
        <v>0.57471083098396103</v>
      </c>
      <c r="G824">
        <v>0</v>
      </c>
      <c r="H824">
        <v>0</v>
      </c>
      <c r="I824" t="s">
        <v>62</v>
      </c>
    </row>
    <row r="825" spans="1:9" x14ac:dyDescent="0.35">
      <c r="A825" t="s">
        <v>14</v>
      </c>
      <c r="B825">
        <v>2030</v>
      </c>
      <c r="C825" t="s">
        <v>61</v>
      </c>
      <c r="D825" t="s">
        <v>52</v>
      </c>
      <c r="E825">
        <v>0.56717767213917003</v>
      </c>
      <c r="F825">
        <v>0.56717767213917003</v>
      </c>
      <c r="G825">
        <v>0</v>
      </c>
      <c r="H825">
        <v>0</v>
      </c>
      <c r="I825" t="s">
        <v>62</v>
      </c>
    </row>
    <row r="826" spans="1:9" x14ac:dyDescent="0.35">
      <c r="A826" t="s">
        <v>14</v>
      </c>
      <c r="B826">
        <v>2030</v>
      </c>
      <c r="C826" t="s">
        <v>61</v>
      </c>
      <c r="D826" t="s">
        <v>53</v>
      </c>
      <c r="E826">
        <v>2.2451390364359001</v>
      </c>
      <c r="F826">
        <v>2.2451390364359001</v>
      </c>
      <c r="G826">
        <v>0</v>
      </c>
      <c r="H826">
        <v>0</v>
      </c>
      <c r="I826" t="s">
        <v>62</v>
      </c>
    </row>
    <row r="827" spans="1:9" x14ac:dyDescent="0.35">
      <c r="A827" t="s">
        <v>14</v>
      </c>
      <c r="B827">
        <v>2030</v>
      </c>
      <c r="C827" t="s">
        <v>61</v>
      </c>
      <c r="D827" t="s">
        <v>54</v>
      </c>
      <c r="E827">
        <v>7.0760577799056801</v>
      </c>
      <c r="F827">
        <v>7.0760577799056801</v>
      </c>
      <c r="G827">
        <v>0</v>
      </c>
      <c r="H827">
        <v>0</v>
      </c>
      <c r="I827" t="s">
        <v>62</v>
      </c>
    </row>
    <row r="828" spans="1:9" x14ac:dyDescent="0.35">
      <c r="A828" t="s">
        <v>14</v>
      </c>
      <c r="B828">
        <v>2030</v>
      </c>
      <c r="C828" t="s">
        <v>61</v>
      </c>
      <c r="D828" t="s">
        <v>55</v>
      </c>
      <c r="E828">
        <v>6.5286318405614097</v>
      </c>
      <c r="F828">
        <v>6.5286318405614097</v>
      </c>
      <c r="G828">
        <v>0</v>
      </c>
      <c r="H828">
        <v>0</v>
      </c>
      <c r="I828" t="s">
        <v>62</v>
      </c>
    </row>
    <row r="829" spans="1:9" x14ac:dyDescent="0.35">
      <c r="A829" t="s">
        <v>14</v>
      </c>
      <c r="B829">
        <v>2030</v>
      </c>
      <c r="C829" t="s">
        <v>61</v>
      </c>
      <c r="D829" t="s">
        <v>56</v>
      </c>
      <c r="E829" s="1">
        <v>5.4081677622664002E-7</v>
      </c>
      <c r="F829" s="1">
        <v>5.4081677622664002E-7</v>
      </c>
      <c r="G829">
        <v>0</v>
      </c>
      <c r="H829">
        <v>0</v>
      </c>
      <c r="I829" t="s">
        <v>62</v>
      </c>
    </row>
    <row r="830" spans="1:9" x14ac:dyDescent="0.35">
      <c r="A830" t="s">
        <v>16</v>
      </c>
      <c r="B830">
        <v>2035</v>
      </c>
      <c r="C830" t="s">
        <v>61</v>
      </c>
      <c r="D830" t="s">
        <v>38</v>
      </c>
      <c r="E830">
        <v>3.8656942331369601E-3</v>
      </c>
      <c r="F830">
        <v>3.8656942331369601E-3</v>
      </c>
      <c r="G830">
        <v>0</v>
      </c>
      <c r="H830">
        <v>0</v>
      </c>
      <c r="I830" t="s">
        <v>62</v>
      </c>
    </row>
    <row r="831" spans="1:9" x14ac:dyDescent="0.35">
      <c r="A831" t="s">
        <v>16</v>
      </c>
      <c r="B831">
        <v>2035</v>
      </c>
      <c r="C831" t="s">
        <v>61</v>
      </c>
      <c r="D831" t="s">
        <v>40</v>
      </c>
      <c r="E831">
        <v>4.3558747305905404E-3</v>
      </c>
      <c r="F831">
        <v>4.3558747305905404E-3</v>
      </c>
      <c r="G831">
        <v>0</v>
      </c>
      <c r="H831">
        <v>0</v>
      </c>
      <c r="I831" t="s">
        <v>62</v>
      </c>
    </row>
    <row r="832" spans="1:9" x14ac:dyDescent="0.35">
      <c r="A832" t="s">
        <v>16</v>
      </c>
      <c r="B832">
        <v>2035</v>
      </c>
      <c r="C832" t="s">
        <v>61</v>
      </c>
      <c r="D832" t="s">
        <v>41</v>
      </c>
      <c r="E832">
        <v>0.14692939660944099</v>
      </c>
      <c r="F832">
        <v>0.14692939660944099</v>
      </c>
      <c r="G832">
        <v>0</v>
      </c>
      <c r="H832">
        <v>0</v>
      </c>
      <c r="I832" t="s">
        <v>62</v>
      </c>
    </row>
    <row r="833" spans="1:9" x14ac:dyDescent="0.35">
      <c r="A833" t="s">
        <v>16</v>
      </c>
      <c r="B833">
        <v>2035</v>
      </c>
      <c r="C833" t="s">
        <v>61</v>
      </c>
      <c r="D833" t="s">
        <v>42</v>
      </c>
      <c r="E833">
        <v>17.226312278892099</v>
      </c>
      <c r="F833">
        <v>17.226312278892099</v>
      </c>
      <c r="G833">
        <v>0</v>
      </c>
      <c r="H833">
        <v>0</v>
      </c>
      <c r="I833" t="s">
        <v>62</v>
      </c>
    </row>
    <row r="834" spans="1:9" x14ac:dyDescent="0.35">
      <c r="A834" t="s">
        <v>16</v>
      </c>
      <c r="B834">
        <v>2035</v>
      </c>
      <c r="C834" t="s">
        <v>61</v>
      </c>
      <c r="D834" t="s">
        <v>43</v>
      </c>
      <c r="E834">
        <v>1.4020665296674799E-2</v>
      </c>
      <c r="F834">
        <v>1.4020665296674799E-2</v>
      </c>
      <c r="G834">
        <v>0</v>
      </c>
      <c r="H834">
        <v>0</v>
      </c>
      <c r="I834" t="s">
        <v>62</v>
      </c>
    </row>
    <row r="835" spans="1:9" x14ac:dyDescent="0.35">
      <c r="A835" t="s">
        <v>16</v>
      </c>
      <c r="B835">
        <v>2035</v>
      </c>
      <c r="C835" t="s">
        <v>61</v>
      </c>
      <c r="D835" t="s">
        <v>136</v>
      </c>
      <c r="E835">
        <v>8.8882853869900806</v>
      </c>
      <c r="F835">
        <v>8.8882853869900806</v>
      </c>
      <c r="G835">
        <v>0</v>
      </c>
      <c r="H835">
        <v>0</v>
      </c>
      <c r="I835" t="s">
        <v>62</v>
      </c>
    </row>
    <row r="836" spans="1:9" x14ac:dyDescent="0.35">
      <c r="A836" t="s">
        <v>16</v>
      </c>
      <c r="B836">
        <v>2035</v>
      </c>
      <c r="C836" t="s">
        <v>61</v>
      </c>
      <c r="D836" t="s">
        <v>45</v>
      </c>
      <c r="E836">
        <v>0.283196056653025</v>
      </c>
      <c r="F836">
        <v>0.283196056653025</v>
      </c>
      <c r="G836">
        <v>0</v>
      </c>
      <c r="H836">
        <v>0</v>
      </c>
      <c r="I836" t="s">
        <v>62</v>
      </c>
    </row>
    <row r="837" spans="1:9" x14ac:dyDescent="0.35">
      <c r="A837" t="s">
        <v>16</v>
      </c>
      <c r="B837">
        <v>2035</v>
      </c>
      <c r="C837" t="s">
        <v>61</v>
      </c>
      <c r="D837" t="s">
        <v>46</v>
      </c>
      <c r="E837">
        <v>0.71231826668371501</v>
      </c>
      <c r="F837">
        <v>0.71231826668371501</v>
      </c>
      <c r="G837">
        <v>0</v>
      </c>
      <c r="H837">
        <v>0</v>
      </c>
      <c r="I837" t="s">
        <v>62</v>
      </c>
    </row>
    <row r="838" spans="1:9" x14ac:dyDescent="0.35">
      <c r="A838" t="s">
        <v>16</v>
      </c>
      <c r="B838">
        <v>2035</v>
      </c>
      <c r="C838" t="s">
        <v>61</v>
      </c>
      <c r="D838" t="s">
        <v>47</v>
      </c>
      <c r="E838">
        <v>1.1473433057823E-2</v>
      </c>
      <c r="F838">
        <v>1.1473433057823E-2</v>
      </c>
      <c r="G838">
        <v>0</v>
      </c>
      <c r="H838">
        <v>0</v>
      </c>
      <c r="I838" t="s">
        <v>62</v>
      </c>
    </row>
    <row r="839" spans="1:9" x14ac:dyDescent="0.35">
      <c r="A839" t="s">
        <v>16</v>
      </c>
      <c r="B839">
        <v>2035</v>
      </c>
      <c r="C839" t="s">
        <v>61</v>
      </c>
      <c r="D839" t="s">
        <v>48</v>
      </c>
      <c r="E839">
        <v>28.6410636963071</v>
      </c>
      <c r="F839">
        <v>28.6410636963071</v>
      </c>
      <c r="G839">
        <v>0</v>
      </c>
      <c r="H839">
        <v>0</v>
      </c>
      <c r="I839" t="s">
        <v>62</v>
      </c>
    </row>
    <row r="840" spans="1:9" x14ac:dyDescent="0.35">
      <c r="A840" t="s">
        <v>16</v>
      </c>
      <c r="B840">
        <v>2035</v>
      </c>
      <c r="C840" t="s">
        <v>61</v>
      </c>
      <c r="D840" t="s">
        <v>49</v>
      </c>
      <c r="E840">
        <v>1.3660962005493</v>
      </c>
      <c r="F840">
        <v>1.3660962005493</v>
      </c>
      <c r="G840">
        <v>0</v>
      </c>
      <c r="H840">
        <v>0</v>
      </c>
      <c r="I840" t="s">
        <v>62</v>
      </c>
    </row>
    <row r="841" spans="1:9" x14ac:dyDescent="0.35">
      <c r="A841" t="s">
        <v>16</v>
      </c>
      <c r="B841">
        <v>2035</v>
      </c>
      <c r="C841" t="s">
        <v>61</v>
      </c>
      <c r="D841" t="s">
        <v>50</v>
      </c>
      <c r="E841">
        <v>0.110063742116215</v>
      </c>
      <c r="F841">
        <v>0.110063742116215</v>
      </c>
      <c r="G841">
        <v>0</v>
      </c>
      <c r="H841">
        <v>0</v>
      </c>
      <c r="I841" t="s">
        <v>62</v>
      </c>
    </row>
    <row r="842" spans="1:9" x14ac:dyDescent="0.35">
      <c r="A842" t="s">
        <v>16</v>
      </c>
      <c r="B842">
        <v>2035</v>
      </c>
      <c r="C842" t="s">
        <v>61</v>
      </c>
      <c r="D842" t="s">
        <v>51</v>
      </c>
      <c r="E842">
        <v>0.59064191245657305</v>
      </c>
      <c r="F842">
        <v>0.59064191245657305</v>
      </c>
      <c r="G842">
        <v>0</v>
      </c>
      <c r="H842">
        <v>0</v>
      </c>
      <c r="I842" t="s">
        <v>62</v>
      </c>
    </row>
    <row r="843" spans="1:9" x14ac:dyDescent="0.35">
      <c r="A843" t="s">
        <v>16</v>
      </c>
      <c r="B843">
        <v>2035</v>
      </c>
      <c r="C843" t="s">
        <v>61</v>
      </c>
      <c r="D843" t="s">
        <v>52</v>
      </c>
      <c r="E843">
        <v>0.49476405356763198</v>
      </c>
      <c r="F843">
        <v>0.49476405356763198</v>
      </c>
      <c r="G843">
        <v>0</v>
      </c>
      <c r="H843">
        <v>0</v>
      </c>
      <c r="I843" t="s">
        <v>62</v>
      </c>
    </row>
    <row r="844" spans="1:9" x14ac:dyDescent="0.35">
      <c r="A844" t="s">
        <v>16</v>
      </c>
      <c r="B844">
        <v>2035</v>
      </c>
      <c r="C844" t="s">
        <v>61</v>
      </c>
      <c r="D844" t="s">
        <v>53</v>
      </c>
      <c r="E844">
        <v>2.15241731670949</v>
      </c>
      <c r="F844">
        <v>2.15241731670949</v>
      </c>
      <c r="G844">
        <v>0</v>
      </c>
      <c r="H844">
        <v>0</v>
      </c>
      <c r="I844" t="s">
        <v>62</v>
      </c>
    </row>
    <row r="845" spans="1:9" x14ac:dyDescent="0.35">
      <c r="A845" t="s">
        <v>16</v>
      </c>
      <c r="B845">
        <v>2035</v>
      </c>
      <c r="C845" t="s">
        <v>61</v>
      </c>
      <c r="D845" t="s">
        <v>54</v>
      </c>
      <c r="E845">
        <v>7.0804010004855096</v>
      </c>
      <c r="F845">
        <v>7.0804010004855096</v>
      </c>
      <c r="G845">
        <v>0</v>
      </c>
      <c r="H845">
        <v>0</v>
      </c>
      <c r="I845" t="s">
        <v>62</v>
      </c>
    </row>
    <row r="846" spans="1:9" x14ac:dyDescent="0.35">
      <c r="A846" t="s">
        <v>16</v>
      </c>
      <c r="B846">
        <v>2035</v>
      </c>
      <c r="C846" t="s">
        <v>61</v>
      </c>
      <c r="D846" t="s">
        <v>55</v>
      </c>
      <c r="E846">
        <v>6.5324879108007696</v>
      </c>
      <c r="F846">
        <v>6.5324879108007696</v>
      </c>
      <c r="G846">
        <v>0</v>
      </c>
      <c r="H846">
        <v>0</v>
      </c>
      <c r="I846" t="s">
        <v>62</v>
      </c>
    </row>
    <row r="847" spans="1:9" x14ac:dyDescent="0.35">
      <c r="A847" t="s">
        <v>16</v>
      </c>
      <c r="B847">
        <v>2035</v>
      </c>
      <c r="C847" t="s">
        <v>61</v>
      </c>
      <c r="D847" t="s">
        <v>56</v>
      </c>
      <c r="E847" s="1">
        <v>4.9916135338169995E-7</v>
      </c>
      <c r="F847" s="1">
        <v>4.9916135338169995E-7</v>
      </c>
      <c r="G847">
        <v>0</v>
      </c>
      <c r="H847">
        <v>0</v>
      </c>
      <c r="I847" t="s">
        <v>62</v>
      </c>
    </row>
    <row r="848" spans="1:9" x14ac:dyDescent="0.35">
      <c r="A848" t="s">
        <v>18</v>
      </c>
      <c r="B848">
        <v>2040</v>
      </c>
      <c r="C848" t="s">
        <v>61</v>
      </c>
      <c r="D848" t="s">
        <v>38</v>
      </c>
      <c r="E848">
        <v>4.53557394299861E-3</v>
      </c>
      <c r="F848">
        <v>3.9756031572317401E-3</v>
      </c>
      <c r="G848">
        <v>-5.5997078576686598E-4</v>
      </c>
      <c r="H848">
        <v>-12.3461946118477</v>
      </c>
      <c r="I848" t="s">
        <v>62</v>
      </c>
    </row>
    <row r="849" spans="1:9" x14ac:dyDescent="0.35">
      <c r="A849" t="s">
        <v>18</v>
      </c>
      <c r="B849">
        <v>2040</v>
      </c>
      <c r="C849" t="s">
        <v>61</v>
      </c>
      <c r="D849" t="s">
        <v>40</v>
      </c>
      <c r="E849">
        <v>4.3994910019322601E-3</v>
      </c>
      <c r="F849">
        <v>4.3994910019322601E-3</v>
      </c>
      <c r="G849">
        <v>0</v>
      </c>
      <c r="H849">
        <v>0</v>
      </c>
      <c r="I849" t="s">
        <v>62</v>
      </c>
    </row>
    <row r="850" spans="1:9" x14ac:dyDescent="0.35">
      <c r="A850" t="s">
        <v>18</v>
      </c>
      <c r="B850">
        <v>2040</v>
      </c>
      <c r="C850" t="s">
        <v>61</v>
      </c>
      <c r="D850" t="s">
        <v>41</v>
      </c>
      <c r="E850">
        <v>0.14655100197443199</v>
      </c>
      <c r="F850">
        <v>4.2718159254611601E-2</v>
      </c>
      <c r="G850">
        <v>-0.10383284271982</v>
      </c>
      <c r="H850">
        <v>-70.850994753304803</v>
      </c>
      <c r="I850" t="s">
        <v>62</v>
      </c>
    </row>
    <row r="851" spans="1:9" x14ac:dyDescent="0.35">
      <c r="A851" t="s">
        <v>18</v>
      </c>
      <c r="B851">
        <v>2040</v>
      </c>
      <c r="C851" t="s">
        <v>61</v>
      </c>
      <c r="D851" t="s">
        <v>42</v>
      </c>
      <c r="E851">
        <v>17.427733481891401</v>
      </c>
      <c r="F851">
        <v>16.555666391312801</v>
      </c>
      <c r="G851">
        <v>-0.87206709057862497</v>
      </c>
      <c r="H851">
        <v>-5.00390421671732</v>
      </c>
      <c r="I851" t="s">
        <v>62</v>
      </c>
    </row>
    <row r="852" spans="1:9" x14ac:dyDescent="0.35">
      <c r="A852" t="s">
        <v>18</v>
      </c>
      <c r="B852">
        <v>2040</v>
      </c>
      <c r="C852" t="s">
        <v>61</v>
      </c>
      <c r="D852" t="s">
        <v>43</v>
      </c>
      <c r="E852">
        <v>1.41690102110037E-2</v>
      </c>
      <c r="F852">
        <v>1.41690102110037E-2</v>
      </c>
      <c r="G852">
        <v>0</v>
      </c>
      <c r="H852">
        <v>0</v>
      </c>
      <c r="I852" t="s">
        <v>62</v>
      </c>
    </row>
    <row r="853" spans="1:9" x14ac:dyDescent="0.35">
      <c r="A853" t="s">
        <v>18</v>
      </c>
      <c r="B853">
        <v>2040</v>
      </c>
      <c r="C853" t="s">
        <v>61</v>
      </c>
      <c r="D853" t="s">
        <v>136</v>
      </c>
      <c r="E853">
        <v>8.7731184191554394</v>
      </c>
      <c r="F853">
        <v>8.3976854516741799</v>
      </c>
      <c r="G853">
        <v>-0.37543296748124999</v>
      </c>
      <c r="H853">
        <v>-4.2793559774768397</v>
      </c>
      <c r="I853" t="s">
        <v>62</v>
      </c>
    </row>
    <row r="854" spans="1:9" x14ac:dyDescent="0.35">
      <c r="A854" t="s">
        <v>18</v>
      </c>
      <c r="B854">
        <v>2040</v>
      </c>
      <c r="C854" t="s">
        <v>61</v>
      </c>
      <c r="D854" t="s">
        <v>45</v>
      </c>
      <c r="E854">
        <v>0.28277216291441798</v>
      </c>
      <c r="F854">
        <v>2.64019716411459E-2</v>
      </c>
      <c r="G854">
        <v>-0.25637019127327199</v>
      </c>
      <c r="H854">
        <v>-90.663164517669799</v>
      </c>
      <c r="I854" t="s">
        <v>62</v>
      </c>
    </row>
    <row r="855" spans="1:9" x14ac:dyDescent="0.35">
      <c r="A855" t="s">
        <v>18</v>
      </c>
      <c r="B855">
        <v>2040</v>
      </c>
      <c r="C855" t="s">
        <v>61</v>
      </c>
      <c r="D855" t="s">
        <v>46</v>
      </c>
      <c r="E855">
        <v>1.01573421654069</v>
      </c>
      <c r="F855">
        <v>1.01573421654069</v>
      </c>
      <c r="G855">
        <v>0</v>
      </c>
      <c r="H855">
        <v>0</v>
      </c>
      <c r="I855" t="s">
        <v>62</v>
      </c>
    </row>
    <row r="856" spans="1:9" x14ac:dyDescent="0.35">
      <c r="A856" t="s">
        <v>18</v>
      </c>
      <c r="B856">
        <v>2040</v>
      </c>
      <c r="C856" t="s">
        <v>61</v>
      </c>
      <c r="D856" t="s">
        <v>47</v>
      </c>
      <c r="E856">
        <v>1.1801873119841299E-2</v>
      </c>
      <c r="F856">
        <v>1.1801873119841299E-2</v>
      </c>
      <c r="G856">
        <v>0</v>
      </c>
      <c r="H856">
        <v>0</v>
      </c>
      <c r="I856" t="s">
        <v>62</v>
      </c>
    </row>
    <row r="857" spans="1:9" x14ac:dyDescent="0.35">
      <c r="A857" t="s">
        <v>18</v>
      </c>
      <c r="B857">
        <v>2040</v>
      </c>
      <c r="C857" t="s">
        <v>61</v>
      </c>
      <c r="D857" t="s">
        <v>48</v>
      </c>
      <c r="E857">
        <v>28.649694718835001</v>
      </c>
      <c r="F857">
        <v>28.649694718835001</v>
      </c>
      <c r="G857">
        <v>0</v>
      </c>
      <c r="H857">
        <v>0</v>
      </c>
      <c r="I857" t="s">
        <v>62</v>
      </c>
    </row>
    <row r="858" spans="1:9" x14ac:dyDescent="0.35">
      <c r="A858" t="s">
        <v>18</v>
      </c>
      <c r="B858">
        <v>2040</v>
      </c>
      <c r="C858" t="s">
        <v>61</v>
      </c>
      <c r="D858" t="s">
        <v>49</v>
      </c>
      <c r="E858">
        <v>1.3657755987857501</v>
      </c>
      <c r="F858">
        <v>8.5170481327124695E-2</v>
      </c>
      <c r="G858">
        <v>-1.2806051174586299</v>
      </c>
      <c r="H858">
        <v>-93.763947649756901</v>
      </c>
      <c r="I858" t="s">
        <v>62</v>
      </c>
    </row>
    <row r="859" spans="1:9" x14ac:dyDescent="0.35">
      <c r="A859" t="s">
        <v>18</v>
      </c>
      <c r="B859">
        <v>2040</v>
      </c>
      <c r="C859" t="s">
        <v>61</v>
      </c>
      <c r="D859" t="s">
        <v>50</v>
      </c>
      <c r="E859">
        <v>0.112219850342078</v>
      </c>
      <c r="F859">
        <v>0.112219850342078</v>
      </c>
      <c r="G859">
        <v>0</v>
      </c>
      <c r="H859">
        <v>0</v>
      </c>
      <c r="I859" t="s">
        <v>62</v>
      </c>
    </row>
    <row r="860" spans="1:9" x14ac:dyDescent="0.35">
      <c r="A860" t="s">
        <v>18</v>
      </c>
      <c r="B860">
        <v>2040</v>
      </c>
      <c r="C860" t="s">
        <v>61</v>
      </c>
      <c r="D860" t="s">
        <v>51</v>
      </c>
      <c r="E860">
        <v>0.60726003615092605</v>
      </c>
      <c r="F860">
        <v>0.60726003615092605</v>
      </c>
      <c r="G860">
        <v>0</v>
      </c>
      <c r="H860">
        <v>0</v>
      </c>
      <c r="I860" t="s">
        <v>62</v>
      </c>
    </row>
    <row r="861" spans="1:9" x14ac:dyDescent="0.35">
      <c r="A861" t="s">
        <v>18</v>
      </c>
      <c r="B861">
        <v>2040</v>
      </c>
      <c r="C861" t="s">
        <v>61</v>
      </c>
      <c r="D861" t="s">
        <v>52</v>
      </c>
      <c r="E861">
        <v>0.42673677357993001</v>
      </c>
      <c r="F861">
        <v>0.42673677357993001</v>
      </c>
      <c r="G861">
        <v>0</v>
      </c>
      <c r="H861">
        <v>0</v>
      </c>
      <c r="I861" t="s">
        <v>62</v>
      </c>
    </row>
    <row r="862" spans="1:9" x14ac:dyDescent="0.35">
      <c r="A862" t="s">
        <v>18</v>
      </c>
      <c r="B862">
        <v>2040</v>
      </c>
      <c r="C862" t="s">
        <v>61</v>
      </c>
      <c r="D862" t="s">
        <v>53</v>
      </c>
      <c r="E862">
        <v>2.1066699175774199</v>
      </c>
      <c r="F862">
        <v>2.1066699175774199</v>
      </c>
      <c r="G862">
        <v>0</v>
      </c>
      <c r="H862">
        <v>0</v>
      </c>
      <c r="I862" t="s">
        <v>62</v>
      </c>
    </row>
    <row r="863" spans="1:9" x14ac:dyDescent="0.35">
      <c r="A863" t="s">
        <v>18</v>
      </c>
      <c r="B863">
        <v>2040</v>
      </c>
      <c r="C863" t="s">
        <v>61</v>
      </c>
      <c r="D863" t="s">
        <v>54</v>
      </c>
      <c r="E863">
        <v>7.0894491387759899</v>
      </c>
      <c r="F863">
        <v>7.0892582400970099</v>
      </c>
      <c r="G863">
        <v>-1.9089867897914499E-4</v>
      </c>
      <c r="H863">
        <v>-2.6927152623892601E-3</v>
      </c>
      <c r="I863" t="s">
        <v>62</v>
      </c>
    </row>
    <row r="864" spans="1:9" x14ac:dyDescent="0.35">
      <c r="A864" t="s">
        <v>18</v>
      </c>
      <c r="B864">
        <v>2040</v>
      </c>
      <c r="C864" t="s">
        <v>61</v>
      </c>
      <c r="D864" t="s">
        <v>55</v>
      </c>
      <c r="E864">
        <v>6.54084363113527</v>
      </c>
      <c r="F864">
        <v>6.5203590663283704</v>
      </c>
      <c r="G864">
        <v>-2.0484564806898701E-2</v>
      </c>
      <c r="H864">
        <v>-0.31317924662484697</v>
      </c>
      <c r="I864" t="s">
        <v>62</v>
      </c>
    </row>
    <row r="865" spans="1:9" x14ac:dyDescent="0.35">
      <c r="A865" t="s">
        <v>18</v>
      </c>
      <c r="B865">
        <v>2040</v>
      </c>
      <c r="C865" t="s">
        <v>61</v>
      </c>
      <c r="D865" t="s">
        <v>56</v>
      </c>
      <c r="E865" s="1">
        <v>4.5768313584455601E-7</v>
      </c>
      <c r="F865" s="1">
        <v>4.5768313584455601E-7</v>
      </c>
      <c r="G865">
        <v>0</v>
      </c>
      <c r="H865">
        <v>0</v>
      </c>
      <c r="I865" t="s">
        <v>62</v>
      </c>
    </row>
    <row r="866" spans="1:9" x14ac:dyDescent="0.35">
      <c r="A866" t="s">
        <v>12</v>
      </c>
      <c r="B866">
        <v>2025</v>
      </c>
      <c r="C866" t="s">
        <v>127</v>
      </c>
      <c r="D866" t="s">
        <v>38</v>
      </c>
      <c r="E866">
        <v>5.3347898468569799E-3</v>
      </c>
      <c r="F866">
        <v>5.3347898468569799E-3</v>
      </c>
      <c r="G866">
        <v>0</v>
      </c>
      <c r="H866">
        <v>0</v>
      </c>
      <c r="I866" t="s">
        <v>128</v>
      </c>
    </row>
    <row r="867" spans="1:9" x14ac:dyDescent="0.35">
      <c r="A867" t="s">
        <v>12</v>
      </c>
      <c r="B867">
        <v>2025</v>
      </c>
      <c r="C867" t="s">
        <v>127</v>
      </c>
      <c r="D867" t="s">
        <v>40</v>
      </c>
      <c r="E867">
        <v>5.506234029169E-2</v>
      </c>
      <c r="F867">
        <v>5.506234029169E-2</v>
      </c>
      <c r="G867">
        <v>0</v>
      </c>
      <c r="H867">
        <v>0</v>
      </c>
      <c r="I867" t="s">
        <v>128</v>
      </c>
    </row>
    <row r="868" spans="1:9" x14ac:dyDescent="0.35">
      <c r="A868" t="s">
        <v>12</v>
      </c>
      <c r="B868">
        <v>2025</v>
      </c>
      <c r="C868" t="s">
        <v>127</v>
      </c>
      <c r="D868" t="s">
        <v>41</v>
      </c>
      <c r="E868">
        <v>0.76172095162346898</v>
      </c>
      <c r="F868">
        <v>0.76172095162346898</v>
      </c>
      <c r="G868">
        <v>0</v>
      </c>
      <c r="H868">
        <v>0</v>
      </c>
      <c r="I868" t="s">
        <v>128</v>
      </c>
    </row>
    <row r="869" spans="1:9" x14ac:dyDescent="0.35">
      <c r="A869" t="s">
        <v>12</v>
      </c>
      <c r="B869">
        <v>2025</v>
      </c>
      <c r="C869" t="s">
        <v>127</v>
      </c>
      <c r="D869" t="s">
        <v>42</v>
      </c>
      <c r="E869">
        <v>180.29943094792699</v>
      </c>
      <c r="F869">
        <v>180.29943094792699</v>
      </c>
      <c r="G869">
        <v>0</v>
      </c>
      <c r="H869">
        <v>0</v>
      </c>
      <c r="I869" t="s">
        <v>128</v>
      </c>
    </row>
    <row r="870" spans="1:9" x14ac:dyDescent="0.35">
      <c r="A870" t="s">
        <v>12</v>
      </c>
      <c r="B870">
        <v>2025</v>
      </c>
      <c r="C870" t="s">
        <v>127</v>
      </c>
      <c r="D870" t="s">
        <v>43</v>
      </c>
      <c r="E870">
        <v>0.23749311495431799</v>
      </c>
      <c r="F870">
        <v>0.23749311495431799</v>
      </c>
      <c r="G870">
        <v>0</v>
      </c>
      <c r="H870">
        <v>0</v>
      </c>
      <c r="I870" t="s">
        <v>128</v>
      </c>
    </row>
    <row r="871" spans="1:9" x14ac:dyDescent="0.35">
      <c r="A871" t="s">
        <v>12</v>
      </c>
      <c r="B871">
        <v>2025</v>
      </c>
      <c r="C871" t="s">
        <v>127</v>
      </c>
      <c r="D871" t="s">
        <v>136</v>
      </c>
      <c r="E871">
        <v>30.405242935718999</v>
      </c>
      <c r="F871">
        <v>30.405242935718999</v>
      </c>
      <c r="G871">
        <v>0</v>
      </c>
      <c r="H871">
        <v>0</v>
      </c>
      <c r="I871" t="s">
        <v>128</v>
      </c>
    </row>
    <row r="872" spans="1:9" x14ac:dyDescent="0.35">
      <c r="A872" t="s">
        <v>12</v>
      </c>
      <c r="B872">
        <v>2025</v>
      </c>
      <c r="C872" t="s">
        <v>127</v>
      </c>
      <c r="D872" t="s">
        <v>45</v>
      </c>
      <c r="E872">
        <v>0.237249180120295</v>
      </c>
      <c r="F872">
        <v>0.237249180120295</v>
      </c>
      <c r="G872">
        <v>0</v>
      </c>
      <c r="H872">
        <v>0</v>
      </c>
      <c r="I872" t="s">
        <v>128</v>
      </c>
    </row>
    <row r="873" spans="1:9" x14ac:dyDescent="0.35">
      <c r="A873" t="s">
        <v>12</v>
      </c>
      <c r="B873">
        <v>2025</v>
      </c>
      <c r="C873" t="s">
        <v>127</v>
      </c>
      <c r="D873" t="s">
        <v>46</v>
      </c>
      <c r="E873">
        <v>0.54776964043361498</v>
      </c>
      <c r="F873">
        <v>0.54776964043361498</v>
      </c>
      <c r="G873">
        <v>0</v>
      </c>
      <c r="H873">
        <v>0</v>
      </c>
      <c r="I873" t="s">
        <v>128</v>
      </c>
    </row>
    <row r="874" spans="1:9" x14ac:dyDescent="0.35">
      <c r="A874" t="s">
        <v>12</v>
      </c>
      <c r="B874">
        <v>2025</v>
      </c>
      <c r="C874" t="s">
        <v>127</v>
      </c>
      <c r="D874" t="s">
        <v>47</v>
      </c>
      <c r="E874">
        <v>4.5973859104350701E-2</v>
      </c>
      <c r="F874">
        <v>4.5973859104350701E-2</v>
      </c>
      <c r="G874">
        <v>0</v>
      </c>
      <c r="H874">
        <v>0</v>
      </c>
      <c r="I874" t="s">
        <v>128</v>
      </c>
    </row>
    <row r="875" spans="1:9" x14ac:dyDescent="0.35">
      <c r="A875" t="s">
        <v>12</v>
      </c>
      <c r="B875">
        <v>2025</v>
      </c>
      <c r="C875" t="s">
        <v>127</v>
      </c>
      <c r="D875" t="s">
        <v>48</v>
      </c>
      <c r="E875">
        <v>79.7649628748254</v>
      </c>
      <c r="F875">
        <v>79.7649628748254</v>
      </c>
      <c r="G875">
        <v>0</v>
      </c>
      <c r="H875">
        <v>0</v>
      </c>
      <c r="I875" t="s">
        <v>128</v>
      </c>
    </row>
    <row r="876" spans="1:9" x14ac:dyDescent="0.35">
      <c r="A876" t="s">
        <v>12</v>
      </c>
      <c r="B876">
        <v>2025</v>
      </c>
      <c r="C876" t="s">
        <v>127</v>
      </c>
      <c r="D876" t="s">
        <v>49</v>
      </c>
      <c r="E876">
        <v>0.84733070819365897</v>
      </c>
      <c r="F876">
        <v>0.84733070819365897</v>
      </c>
      <c r="G876">
        <v>0</v>
      </c>
      <c r="H876">
        <v>0</v>
      </c>
      <c r="I876" t="s">
        <v>128</v>
      </c>
    </row>
    <row r="877" spans="1:9" x14ac:dyDescent="0.35">
      <c r="A877" t="s">
        <v>12</v>
      </c>
      <c r="B877">
        <v>2025</v>
      </c>
      <c r="C877" t="s">
        <v>127</v>
      </c>
      <c r="D877" t="s">
        <v>50</v>
      </c>
      <c r="E877">
        <v>0.50054450877490897</v>
      </c>
      <c r="F877">
        <v>0.50054450877490897</v>
      </c>
      <c r="G877">
        <v>0</v>
      </c>
      <c r="H877">
        <v>0</v>
      </c>
      <c r="I877" t="s">
        <v>128</v>
      </c>
    </row>
    <row r="878" spans="1:9" x14ac:dyDescent="0.35">
      <c r="A878" t="s">
        <v>12</v>
      </c>
      <c r="B878">
        <v>2025</v>
      </c>
      <c r="C878" t="s">
        <v>127</v>
      </c>
      <c r="D878" t="s">
        <v>51</v>
      </c>
      <c r="E878">
        <v>1.4918402675249101</v>
      </c>
      <c r="F878">
        <v>1.4918402675249101</v>
      </c>
      <c r="G878">
        <v>0</v>
      </c>
      <c r="H878">
        <v>0</v>
      </c>
      <c r="I878" t="s">
        <v>128</v>
      </c>
    </row>
    <row r="879" spans="1:9" x14ac:dyDescent="0.35">
      <c r="A879" t="s">
        <v>12</v>
      </c>
      <c r="B879">
        <v>2025</v>
      </c>
      <c r="C879" t="s">
        <v>127</v>
      </c>
      <c r="D879" t="s">
        <v>52</v>
      </c>
      <c r="E879">
        <v>1.8162040877931001</v>
      </c>
      <c r="F879">
        <v>1.8162040877931001</v>
      </c>
      <c r="G879">
        <v>0</v>
      </c>
      <c r="H879">
        <v>0</v>
      </c>
      <c r="I879" t="s">
        <v>128</v>
      </c>
    </row>
    <row r="880" spans="1:9" x14ac:dyDescent="0.35">
      <c r="A880" t="s">
        <v>12</v>
      </c>
      <c r="B880">
        <v>2025</v>
      </c>
      <c r="C880" t="s">
        <v>127</v>
      </c>
      <c r="D880" t="s">
        <v>53</v>
      </c>
      <c r="E880">
        <v>11.5230968928281</v>
      </c>
      <c r="F880">
        <v>11.5230968928281</v>
      </c>
      <c r="G880">
        <v>0</v>
      </c>
      <c r="H880">
        <v>0</v>
      </c>
      <c r="I880" t="s">
        <v>128</v>
      </c>
    </row>
    <row r="881" spans="1:9" x14ac:dyDescent="0.35">
      <c r="A881" t="s">
        <v>12</v>
      </c>
      <c r="B881">
        <v>2025</v>
      </c>
      <c r="C881" t="s">
        <v>127</v>
      </c>
      <c r="D881" t="s">
        <v>54</v>
      </c>
      <c r="E881">
        <v>14.262290268004699</v>
      </c>
      <c r="F881">
        <v>14.262290268004699</v>
      </c>
      <c r="G881">
        <v>0</v>
      </c>
      <c r="H881">
        <v>0</v>
      </c>
      <c r="I881" t="s">
        <v>128</v>
      </c>
    </row>
    <row r="882" spans="1:9" x14ac:dyDescent="0.35">
      <c r="A882" t="s">
        <v>12</v>
      </c>
      <c r="B882">
        <v>2025</v>
      </c>
      <c r="C882" t="s">
        <v>127</v>
      </c>
      <c r="D882" t="s">
        <v>55</v>
      </c>
      <c r="E882">
        <v>12.359980292816999</v>
      </c>
      <c r="F882">
        <v>12.359980292816999</v>
      </c>
      <c r="G882">
        <v>0</v>
      </c>
      <c r="H882">
        <v>0</v>
      </c>
      <c r="I882" t="s">
        <v>128</v>
      </c>
    </row>
    <row r="883" spans="1:9" x14ac:dyDescent="0.35">
      <c r="A883" t="s">
        <v>12</v>
      </c>
      <c r="B883">
        <v>2025</v>
      </c>
      <c r="C883" t="s">
        <v>127</v>
      </c>
      <c r="D883" t="s">
        <v>56</v>
      </c>
      <c r="E883" s="1">
        <v>2.79813969245347E-6</v>
      </c>
      <c r="F883" s="1">
        <v>2.79813969245347E-6</v>
      </c>
      <c r="G883">
        <v>0</v>
      </c>
      <c r="H883">
        <v>0</v>
      </c>
      <c r="I883" t="s">
        <v>128</v>
      </c>
    </row>
    <row r="884" spans="1:9" x14ac:dyDescent="0.35">
      <c r="A884" t="s">
        <v>14</v>
      </c>
      <c r="B884">
        <v>2030</v>
      </c>
      <c r="C884" t="s">
        <v>127</v>
      </c>
      <c r="D884" t="s">
        <v>38</v>
      </c>
      <c r="E884">
        <v>5.9186244062312196E-3</v>
      </c>
      <c r="F884">
        <v>5.9186244062312196E-3</v>
      </c>
      <c r="G884">
        <v>0</v>
      </c>
      <c r="H884">
        <v>0</v>
      </c>
      <c r="I884" t="s">
        <v>128</v>
      </c>
    </row>
    <row r="885" spans="1:9" x14ac:dyDescent="0.35">
      <c r="A885" t="s">
        <v>14</v>
      </c>
      <c r="B885">
        <v>2030</v>
      </c>
      <c r="C885" t="s">
        <v>127</v>
      </c>
      <c r="D885" t="s">
        <v>40</v>
      </c>
      <c r="E885">
        <v>5.5335881903869802E-2</v>
      </c>
      <c r="F885">
        <v>5.5335881903869802E-2</v>
      </c>
      <c r="G885">
        <v>0</v>
      </c>
      <c r="H885">
        <v>0</v>
      </c>
      <c r="I885" t="s">
        <v>128</v>
      </c>
    </row>
    <row r="886" spans="1:9" x14ac:dyDescent="0.35">
      <c r="A886" t="s">
        <v>14</v>
      </c>
      <c r="B886">
        <v>2030</v>
      </c>
      <c r="C886" t="s">
        <v>127</v>
      </c>
      <c r="D886" t="s">
        <v>41</v>
      </c>
      <c r="E886">
        <v>0.74838371908249801</v>
      </c>
      <c r="F886">
        <v>0.74838371908249801</v>
      </c>
      <c r="G886">
        <v>0</v>
      </c>
      <c r="H886">
        <v>0</v>
      </c>
      <c r="I886" t="s">
        <v>128</v>
      </c>
    </row>
    <row r="887" spans="1:9" x14ac:dyDescent="0.35">
      <c r="A887" t="s">
        <v>14</v>
      </c>
      <c r="B887">
        <v>2030</v>
      </c>
      <c r="C887" t="s">
        <v>127</v>
      </c>
      <c r="D887" t="s">
        <v>42</v>
      </c>
      <c r="E887">
        <v>178.24492590954301</v>
      </c>
      <c r="F887">
        <v>178.24492590954301</v>
      </c>
      <c r="G887">
        <v>0</v>
      </c>
      <c r="H887">
        <v>0</v>
      </c>
      <c r="I887" t="s">
        <v>128</v>
      </c>
    </row>
    <row r="888" spans="1:9" x14ac:dyDescent="0.35">
      <c r="A888" t="s">
        <v>14</v>
      </c>
      <c r="B888">
        <v>2030</v>
      </c>
      <c r="C888" t="s">
        <v>127</v>
      </c>
      <c r="D888" t="s">
        <v>43</v>
      </c>
      <c r="E888">
        <v>0.23284967818353</v>
      </c>
      <c r="F888">
        <v>0.23284967818353</v>
      </c>
      <c r="G888">
        <v>0</v>
      </c>
      <c r="H888">
        <v>0</v>
      </c>
      <c r="I888" t="s">
        <v>128</v>
      </c>
    </row>
    <row r="889" spans="1:9" x14ac:dyDescent="0.35">
      <c r="A889" t="s">
        <v>14</v>
      </c>
      <c r="B889">
        <v>2030</v>
      </c>
      <c r="C889" t="s">
        <v>127</v>
      </c>
      <c r="D889" t="s">
        <v>136</v>
      </c>
      <c r="E889">
        <v>25.852908956679101</v>
      </c>
      <c r="F889">
        <v>25.852908956679101</v>
      </c>
      <c r="G889">
        <v>0</v>
      </c>
      <c r="H889">
        <v>0</v>
      </c>
      <c r="I889" t="s">
        <v>128</v>
      </c>
    </row>
    <row r="890" spans="1:9" x14ac:dyDescent="0.35">
      <c r="A890" t="s">
        <v>14</v>
      </c>
      <c r="B890">
        <v>2030</v>
      </c>
      <c r="C890" t="s">
        <v>127</v>
      </c>
      <c r="D890" t="s">
        <v>45</v>
      </c>
      <c r="E890">
        <v>0.225578842411813</v>
      </c>
      <c r="F890">
        <v>0.225578842411813</v>
      </c>
      <c r="G890">
        <v>0</v>
      </c>
      <c r="H890">
        <v>0</v>
      </c>
      <c r="I890" t="s">
        <v>128</v>
      </c>
    </row>
    <row r="891" spans="1:9" x14ac:dyDescent="0.35">
      <c r="A891" t="s">
        <v>14</v>
      </c>
      <c r="B891">
        <v>2030</v>
      </c>
      <c r="C891" t="s">
        <v>127</v>
      </c>
      <c r="D891" t="s">
        <v>46</v>
      </c>
      <c r="E891">
        <v>0.78612239035803799</v>
      </c>
      <c r="F891">
        <v>0.78612239035803799</v>
      </c>
      <c r="G891">
        <v>0</v>
      </c>
      <c r="H891">
        <v>0</v>
      </c>
      <c r="I891" t="s">
        <v>128</v>
      </c>
    </row>
    <row r="892" spans="1:9" x14ac:dyDescent="0.35">
      <c r="A892" t="s">
        <v>14</v>
      </c>
      <c r="B892">
        <v>2030</v>
      </c>
      <c r="C892" t="s">
        <v>127</v>
      </c>
      <c r="D892" t="s">
        <v>47</v>
      </c>
      <c r="E892">
        <v>4.3214229105211902E-2</v>
      </c>
      <c r="F892">
        <v>4.3214229105211902E-2</v>
      </c>
      <c r="G892">
        <v>0</v>
      </c>
      <c r="H892">
        <v>0</v>
      </c>
      <c r="I892" t="s">
        <v>128</v>
      </c>
    </row>
    <row r="893" spans="1:9" x14ac:dyDescent="0.35">
      <c r="A893" t="s">
        <v>14</v>
      </c>
      <c r="B893">
        <v>2030</v>
      </c>
      <c r="C893" t="s">
        <v>127</v>
      </c>
      <c r="D893" t="s">
        <v>48</v>
      </c>
      <c r="E893">
        <v>79.792281632599796</v>
      </c>
      <c r="F893">
        <v>79.792281632599796</v>
      </c>
      <c r="G893">
        <v>0</v>
      </c>
      <c r="H893">
        <v>0</v>
      </c>
      <c r="I893" t="s">
        <v>128</v>
      </c>
    </row>
    <row r="894" spans="1:9" x14ac:dyDescent="0.35">
      <c r="A894" t="s">
        <v>14</v>
      </c>
      <c r="B894">
        <v>2030</v>
      </c>
      <c r="C894" t="s">
        <v>127</v>
      </c>
      <c r="D894" t="s">
        <v>49</v>
      </c>
      <c r="E894">
        <v>0.80244043561855005</v>
      </c>
      <c r="F894">
        <v>0.80244043561855005</v>
      </c>
      <c r="G894">
        <v>0</v>
      </c>
      <c r="H894">
        <v>0</v>
      </c>
      <c r="I894" t="s">
        <v>128</v>
      </c>
    </row>
    <row r="895" spans="1:9" x14ac:dyDescent="0.35">
      <c r="A895" t="s">
        <v>14</v>
      </c>
      <c r="B895">
        <v>2030</v>
      </c>
      <c r="C895" t="s">
        <v>127</v>
      </c>
      <c r="D895" t="s">
        <v>50</v>
      </c>
      <c r="E895">
        <v>0.50131393957808701</v>
      </c>
      <c r="F895">
        <v>0.50131393957808701</v>
      </c>
      <c r="G895">
        <v>0</v>
      </c>
      <c r="H895">
        <v>0</v>
      </c>
      <c r="I895" t="s">
        <v>128</v>
      </c>
    </row>
    <row r="896" spans="1:9" x14ac:dyDescent="0.35">
      <c r="A896" t="s">
        <v>14</v>
      </c>
      <c r="B896">
        <v>2030</v>
      </c>
      <c r="C896" t="s">
        <v>127</v>
      </c>
      <c r="D896" t="s">
        <v>51</v>
      </c>
      <c r="E896">
        <v>1.49200583226031</v>
      </c>
      <c r="F896">
        <v>1.49200583226031</v>
      </c>
      <c r="G896">
        <v>0</v>
      </c>
      <c r="H896">
        <v>0</v>
      </c>
      <c r="I896" t="s">
        <v>128</v>
      </c>
    </row>
    <row r="897" spans="1:9" x14ac:dyDescent="0.35">
      <c r="A897" t="s">
        <v>14</v>
      </c>
      <c r="B897">
        <v>2030</v>
      </c>
      <c r="C897" t="s">
        <v>127</v>
      </c>
      <c r="D897" t="s">
        <v>52</v>
      </c>
      <c r="E897">
        <v>1.6148696405901499</v>
      </c>
      <c r="F897">
        <v>1.6148696405901499</v>
      </c>
      <c r="G897">
        <v>0</v>
      </c>
      <c r="H897">
        <v>0</v>
      </c>
      <c r="I897" t="s">
        <v>128</v>
      </c>
    </row>
    <row r="898" spans="1:9" x14ac:dyDescent="0.35">
      <c r="A898" t="s">
        <v>14</v>
      </c>
      <c r="B898">
        <v>2030</v>
      </c>
      <c r="C898" t="s">
        <v>127</v>
      </c>
      <c r="D898" t="s">
        <v>53</v>
      </c>
      <c r="E898">
        <v>10.569781593457799</v>
      </c>
      <c r="F898">
        <v>10.569781593457799</v>
      </c>
      <c r="G898">
        <v>0</v>
      </c>
      <c r="H898">
        <v>0</v>
      </c>
      <c r="I898" t="s">
        <v>128</v>
      </c>
    </row>
    <row r="899" spans="1:9" x14ac:dyDescent="0.35">
      <c r="A899" t="s">
        <v>14</v>
      </c>
      <c r="B899">
        <v>2030</v>
      </c>
      <c r="C899" t="s">
        <v>127</v>
      </c>
      <c r="D899" t="s">
        <v>54</v>
      </c>
      <c r="E899">
        <v>14.244319658946599</v>
      </c>
      <c r="F899">
        <v>14.244319658946599</v>
      </c>
      <c r="G899">
        <v>0</v>
      </c>
      <c r="H899">
        <v>0</v>
      </c>
      <c r="I899" t="s">
        <v>128</v>
      </c>
    </row>
    <row r="900" spans="1:9" x14ac:dyDescent="0.35">
      <c r="A900" t="s">
        <v>14</v>
      </c>
      <c r="B900">
        <v>2030</v>
      </c>
      <c r="C900" t="s">
        <v>127</v>
      </c>
      <c r="D900" t="s">
        <v>55</v>
      </c>
      <c r="E900">
        <v>12.337075170292</v>
      </c>
      <c r="F900">
        <v>12.337075170292</v>
      </c>
      <c r="G900">
        <v>0</v>
      </c>
      <c r="H900">
        <v>0</v>
      </c>
      <c r="I900" t="s">
        <v>128</v>
      </c>
    </row>
    <row r="901" spans="1:9" x14ac:dyDescent="0.35">
      <c r="A901" t="s">
        <v>14</v>
      </c>
      <c r="B901">
        <v>2030</v>
      </c>
      <c r="C901" t="s">
        <v>127</v>
      </c>
      <c r="D901" t="s">
        <v>56</v>
      </c>
      <c r="E901" s="1">
        <v>2.75627647583677E-6</v>
      </c>
      <c r="F901" s="1">
        <v>2.75627647583677E-6</v>
      </c>
      <c r="G901">
        <v>0</v>
      </c>
      <c r="H901">
        <v>0</v>
      </c>
      <c r="I901" t="s">
        <v>128</v>
      </c>
    </row>
    <row r="902" spans="1:9" x14ac:dyDescent="0.35">
      <c r="A902" t="s">
        <v>16</v>
      </c>
      <c r="B902">
        <v>2035</v>
      </c>
      <c r="C902" t="s">
        <v>127</v>
      </c>
      <c r="D902" t="s">
        <v>38</v>
      </c>
      <c r="E902">
        <v>8.3447342349602504E-3</v>
      </c>
      <c r="F902">
        <v>8.3447342349602504E-3</v>
      </c>
      <c r="G902">
        <v>0</v>
      </c>
      <c r="H902">
        <v>0</v>
      </c>
      <c r="I902" t="s">
        <v>128</v>
      </c>
    </row>
    <row r="903" spans="1:9" x14ac:dyDescent="0.35">
      <c r="A903" t="s">
        <v>16</v>
      </c>
      <c r="B903">
        <v>2035</v>
      </c>
      <c r="C903" t="s">
        <v>127</v>
      </c>
      <c r="D903" t="s">
        <v>40</v>
      </c>
      <c r="E903">
        <v>5.49934934860817E-2</v>
      </c>
      <c r="F903">
        <v>5.49934934860817E-2</v>
      </c>
      <c r="G903">
        <v>0</v>
      </c>
      <c r="H903">
        <v>0</v>
      </c>
      <c r="I903" t="s">
        <v>128</v>
      </c>
    </row>
    <row r="904" spans="1:9" x14ac:dyDescent="0.35">
      <c r="A904" t="s">
        <v>16</v>
      </c>
      <c r="B904">
        <v>2035</v>
      </c>
      <c r="C904" t="s">
        <v>127</v>
      </c>
      <c r="D904" t="s">
        <v>41</v>
      </c>
      <c r="E904">
        <v>0.73784306166162394</v>
      </c>
      <c r="F904">
        <v>0.73784306166162394</v>
      </c>
      <c r="G904">
        <v>0</v>
      </c>
      <c r="H904">
        <v>0</v>
      </c>
      <c r="I904" t="s">
        <v>128</v>
      </c>
    </row>
    <row r="905" spans="1:9" x14ac:dyDescent="0.35">
      <c r="A905" t="s">
        <v>16</v>
      </c>
      <c r="B905">
        <v>2035</v>
      </c>
      <c r="C905" t="s">
        <v>127</v>
      </c>
      <c r="D905" t="s">
        <v>42</v>
      </c>
      <c r="E905">
        <v>177.28103547517401</v>
      </c>
      <c r="F905">
        <v>177.28103547517401</v>
      </c>
      <c r="G905">
        <v>0</v>
      </c>
      <c r="H905">
        <v>0</v>
      </c>
      <c r="I905" t="s">
        <v>128</v>
      </c>
    </row>
    <row r="906" spans="1:9" x14ac:dyDescent="0.35">
      <c r="A906" t="s">
        <v>16</v>
      </c>
      <c r="B906">
        <v>2035</v>
      </c>
      <c r="C906" t="s">
        <v>127</v>
      </c>
      <c r="D906" t="s">
        <v>43</v>
      </c>
      <c r="E906">
        <v>0.230052524064813</v>
      </c>
      <c r="F906">
        <v>0.230052524064813</v>
      </c>
      <c r="G906">
        <v>0</v>
      </c>
      <c r="H906">
        <v>0</v>
      </c>
      <c r="I906" t="s">
        <v>128</v>
      </c>
    </row>
    <row r="907" spans="1:9" x14ac:dyDescent="0.35">
      <c r="A907" t="s">
        <v>16</v>
      </c>
      <c r="B907">
        <v>2035</v>
      </c>
      <c r="C907" t="s">
        <v>127</v>
      </c>
      <c r="D907" t="s">
        <v>136</v>
      </c>
      <c r="E907">
        <v>22.9391708212362</v>
      </c>
      <c r="F907">
        <v>22.9391708212362</v>
      </c>
      <c r="G907">
        <v>0</v>
      </c>
      <c r="H907">
        <v>0</v>
      </c>
      <c r="I907" t="s">
        <v>128</v>
      </c>
    </row>
    <row r="908" spans="1:9" x14ac:dyDescent="0.35">
      <c r="A908" t="s">
        <v>16</v>
      </c>
      <c r="B908">
        <v>2035</v>
      </c>
      <c r="C908" t="s">
        <v>127</v>
      </c>
      <c r="D908" t="s">
        <v>45</v>
      </c>
      <c r="E908">
        <v>0.218210759227077</v>
      </c>
      <c r="F908">
        <v>0.218210759227077</v>
      </c>
      <c r="G908">
        <v>0</v>
      </c>
      <c r="H908">
        <v>0</v>
      </c>
      <c r="I908" t="s">
        <v>128</v>
      </c>
    </row>
    <row r="909" spans="1:9" x14ac:dyDescent="0.35">
      <c r="A909" t="s">
        <v>16</v>
      </c>
      <c r="B909">
        <v>2035</v>
      </c>
      <c r="C909" t="s">
        <v>127</v>
      </c>
      <c r="D909" t="s">
        <v>46</v>
      </c>
      <c r="E909">
        <v>1.39108422362785</v>
      </c>
      <c r="F909">
        <v>1.39108422362785</v>
      </c>
      <c r="G909">
        <v>0</v>
      </c>
      <c r="H909">
        <v>0</v>
      </c>
      <c r="I909" t="s">
        <v>128</v>
      </c>
    </row>
    <row r="910" spans="1:9" x14ac:dyDescent="0.35">
      <c r="A910" t="s">
        <v>16</v>
      </c>
      <c r="B910">
        <v>2035</v>
      </c>
      <c r="C910" t="s">
        <v>127</v>
      </c>
      <c r="D910" t="s">
        <v>47</v>
      </c>
      <c r="E910">
        <v>4.18736469031116E-2</v>
      </c>
      <c r="F910">
        <v>4.18736469031116E-2</v>
      </c>
      <c r="G910">
        <v>0</v>
      </c>
      <c r="H910">
        <v>0</v>
      </c>
      <c r="I910" t="s">
        <v>128</v>
      </c>
    </row>
    <row r="911" spans="1:9" x14ac:dyDescent="0.35">
      <c r="A911" t="s">
        <v>16</v>
      </c>
      <c r="B911">
        <v>2035</v>
      </c>
      <c r="C911" t="s">
        <v>127</v>
      </c>
      <c r="D911" t="s">
        <v>48</v>
      </c>
      <c r="E911">
        <v>79.833004999163094</v>
      </c>
      <c r="F911">
        <v>79.833004999163094</v>
      </c>
      <c r="G911">
        <v>0</v>
      </c>
      <c r="H911">
        <v>0</v>
      </c>
      <c r="I911" t="s">
        <v>128</v>
      </c>
    </row>
    <row r="912" spans="1:9" x14ac:dyDescent="0.35">
      <c r="A912" t="s">
        <v>16</v>
      </c>
      <c r="B912">
        <v>2035</v>
      </c>
      <c r="C912" t="s">
        <v>127</v>
      </c>
      <c r="D912" t="s">
        <v>49</v>
      </c>
      <c r="E912">
        <v>0.77529386275879797</v>
      </c>
      <c r="F912">
        <v>0.77529386275879797</v>
      </c>
      <c r="G912">
        <v>0</v>
      </c>
      <c r="H912">
        <v>0</v>
      </c>
      <c r="I912" t="s">
        <v>128</v>
      </c>
    </row>
    <row r="913" spans="1:9" x14ac:dyDescent="0.35">
      <c r="A913" t="s">
        <v>16</v>
      </c>
      <c r="B913">
        <v>2035</v>
      </c>
      <c r="C913" t="s">
        <v>127</v>
      </c>
      <c r="D913" t="s">
        <v>50</v>
      </c>
      <c r="E913">
        <v>0.50788123514601202</v>
      </c>
      <c r="F913">
        <v>0.50788123514601202</v>
      </c>
      <c r="G913">
        <v>0</v>
      </c>
      <c r="H913">
        <v>0</v>
      </c>
      <c r="I913" t="s">
        <v>128</v>
      </c>
    </row>
    <row r="914" spans="1:9" x14ac:dyDescent="0.35">
      <c r="A914" t="s">
        <v>16</v>
      </c>
      <c r="B914">
        <v>2035</v>
      </c>
      <c r="C914" t="s">
        <v>127</v>
      </c>
      <c r="D914" t="s">
        <v>51</v>
      </c>
      <c r="E914">
        <v>1.52726440035635</v>
      </c>
      <c r="F914">
        <v>1.52726440035635</v>
      </c>
      <c r="G914">
        <v>0</v>
      </c>
      <c r="H914">
        <v>0</v>
      </c>
      <c r="I914" t="s">
        <v>128</v>
      </c>
    </row>
    <row r="915" spans="1:9" x14ac:dyDescent="0.35">
      <c r="A915" t="s">
        <v>16</v>
      </c>
      <c r="B915">
        <v>2035</v>
      </c>
      <c r="C915" t="s">
        <v>127</v>
      </c>
      <c r="D915" t="s">
        <v>52</v>
      </c>
      <c r="E915">
        <v>1.42104381381369</v>
      </c>
      <c r="F915">
        <v>1.42104381381369</v>
      </c>
      <c r="G915">
        <v>0</v>
      </c>
      <c r="H915">
        <v>0</v>
      </c>
      <c r="I915" t="s">
        <v>128</v>
      </c>
    </row>
    <row r="916" spans="1:9" x14ac:dyDescent="0.35">
      <c r="A916" t="s">
        <v>16</v>
      </c>
      <c r="B916">
        <v>2035</v>
      </c>
      <c r="C916" t="s">
        <v>127</v>
      </c>
      <c r="D916" t="s">
        <v>53</v>
      </c>
      <c r="E916">
        <v>9.7944183864943692</v>
      </c>
      <c r="F916">
        <v>9.7944183864943692</v>
      </c>
      <c r="G916">
        <v>0</v>
      </c>
      <c r="H916">
        <v>0</v>
      </c>
      <c r="I916" t="s">
        <v>128</v>
      </c>
    </row>
    <row r="917" spans="1:9" x14ac:dyDescent="0.35">
      <c r="A917" t="s">
        <v>16</v>
      </c>
      <c r="B917">
        <v>2035</v>
      </c>
      <c r="C917" t="s">
        <v>127</v>
      </c>
      <c r="D917" t="s">
        <v>54</v>
      </c>
      <c r="E917">
        <v>14.256283464365101</v>
      </c>
      <c r="F917">
        <v>14.256283464365101</v>
      </c>
      <c r="G917">
        <v>0</v>
      </c>
      <c r="H917">
        <v>0</v>
      </c>
      <c r="I917" t="s">
        <v>128</v>
      </c>
    </row>
    <row r="918" spans="1:9" x14ac:dyDescent="0.35">
      <c r="A918" t="s">
        <v>16</v>
      </c>
      <c r="B918">
        <v>2035</v>
      </c>
      <c r="C918" t="s">
        <v>127</v>
      </c>
      <c r="D918" t="s">
        <v>55</v>
      </c>
      <c r="E918">
        <v>12.343934944422299</v>
      </c>
      <c r="F918">
        <v>12.343934944422299</v>
      </c>
      <c r="G918">
        <v>0</v>
      </c>
      <c r="H918">
        <v>0</v>
      </c>
      <c r="I918" t="s">
        <v>128</v>
      </c>
    </row>
    <row r="919" spans="1:9" x14ac:dyDescent="0.35">
      <c r="A919" t="s">
        <v>16</v>
      </c>
      <c r="B919">
        <v>2035</v>
      </c>
      <c r="C919" t="s">
        <v>127</v>
      </c>
      <c r="D919" t="s">
        <v>56</v>
      </c>
      <c r="E919" s="1">
        <v>2.6089318128948398E-6</v>
      </c>
      <c r="F919" s="1">
        <v>2.6089318128948398E-6</v>
      </c>
      <c r="G919">
        <v>0</v>
      </c>
      <c r="H919">
        <v>0</v>
      </c>
      <c r="I919" t="s">
        <v>128</v>
      </c>
    </row>
    <row r="920" spans="1:9" x14ac:dyDescent="0.35">
      <c r="A920" t="s">
        <v>18</v>
      </c>
      <c r="B920">
        <v>2040</v>
      </c>
      <c r="C920" t="s">
        <v>127</v>
      </c>
      <c r="D920" t="s">
        <v>38</v>
      </c>
      <c r="E920">
        <v>1.30898785615992E-2</v>
      </c>
      <c r="F920">
        <v>1.29771737670453E-2</v>
      </c>
      <c r="G920">
        <v>-1.1270479455395199E-4</v>
      </c>
      <c r="H920">
        <v>-0.86100718217955796</v>
      </c>
      <c r="I920" t="s">
        <v>128</v>
      </c>
    </row>
    <row r="921" spans="1:9" x14ac:dyDescent="0.35">
      <c r="A921" t="s">
        <v>18</v>
      </c>
      <c r="B921">
        <v>2040</v>
      </c>
      <c r="C921" t="s">
        <v>127</v>
      </c>
      <c r="D921" t="s">
        <v>40</v>
      </c>
      <c r="E921">
        <v>5.4143893626803899E-2</v>
      </c>
      <c r="F921">
        <v>5.4143893626803899E-2</v>
      </c>
      <c r="G921">
        <v>0</v>
      </c>
      <c r="H921">
        <v>0</v>
      </c>
      <c r="I921" t="s">
        <v>128</v>
      </c>
    </row>
    <row r="922" spans="1:9" x14ac:dyDescent="0.35">
      <c r="A922" t="s">
        <v>18</v>
      </c>
      <c r="B922">
        <v>2040</v>
      </c>
      <c r="C922" t="s">
        <v>127</v>
      </c>
      <c r="D922" t="s">
        <v>41</v>
      </c>
      <c r="E922">
        <v>0.73033909024606303</v>
      </c>
      <c r="F922">
        <v>0.73032745517197195</v>
      </c>
      <c r="G922" s="1">
        <v>-1.16350740912984E-5</v>
      </c>
      <c r="H922">
        <v>-1.59310575685856E-3</v>
      </c>
      <c r="I922" t="s">
        <v>128</v>
      </c>
    </row>
    <row r="923" spans="1:9" x14ac:dyDescent="0.35">
      <c r="A923" t="s">
        <v>18</v>
      </c>
      <c r="B923">
        <v>2040</v>
      </c>
      <c r="C923" t="s">
        <v>127</v>
      </c>
      <c r="D923" t="s">
        <v>42</v>
      </c>
      <c r="E923">
        <v>177.272645099367</v>
      </c>
      <c r="F923">
        <v>177.19115196175599</v>
      </c>
      <c r="G923">
        <v>-8.1493137610323105E-2</v>
      </c>
      <c r="H923">
        <v>-4.5970509192009602E-2</v>
      </c>
      <c r="I923" t="s">
        <v>128</v>
      </c>
    </row>
    <row r="924" spans="1:9" x14ac:dyDescent="0.35">
      <c r="A924" t="s">
        <v>18</v>
      </c>
      <c r="B924">
        <v>2040</v>
      </c>
      <c r="C924" t="s">
        <v>127</v>
      </c>
      <c r="D924" t="s">
        <v>43</v>
      </c>
      <c r="E924">
        <v>0.22899443159573199</v>
      </c>
      <c r="F924">
        <v>0.22899442096049999</v>
      </c>
      <c r="G924" s="1">
        <v>-1.06352317508218E-8</v>
      </c>
      <c r="H924" s="1">
        <v>-4.6443189368016098E-6</v>
      </c>
      <c r="I924" t="s">
        <v>128</v>
      </c>
    </row>
    <row r="925" spans="1:9" x14ac:dyDescent="0.35">
      <c r="A925" t="s">
        <v>18</v>
      </c>
      <c r="B925">
        <v>2040</v>
      </c>
      <c r="C925" t="s">
        <v>127</v>
      </c>
      <c r="D925" t="s">
        <v>136</v>
      </c>
      <c r="E925">
        <v>21.349240691459801</v>
      </c>
      <c r="F925">
        <v>21.349149347018798</v>
      </c>
      <c r="G925" s="1">
        <v>-9.1344441049301395E-5</v>
      </c>
      <c r="H925">
        <v>-4.2785803190574799E-4</v>
      </c>
      <c r="I925" t="s">
        <v>128</v>
      </c>
    </row>
    <row r="926" spans="1:9" x14ac:dyDescent="0.35">
      <c r="A926" t="s">
        <v>18</v>
      </c>
      <c r="B926">
        <v>2040</v>
      </c>
      <c r="C926" t="s">
        <v>127</v>
      </c>
      <c r="D926" t="s">
        <v>45</v>
      </c>
      <c r="E926">
        <v>0.21484708827111301</v>
      </c>
      <c r="F926">
        <v>0.21481454480519999</v>
      </c>
      <c r="G926" s="1">
        <v>-3.2543465912554498E-5</v>
      </c>
      <c r="H926">
        <v>-1.5147268773541901E-2</v>
      </c>
      <c r="I926" t="s">
        <v>128</v>
      </c>
    </row>
    <row r="927" spans="1:9" x14ac:dyDescent="0.35">
      <c r="A927" t="s">
        <v>18</v>
      </c>
      <c r="B927">
        <v>2040</v>
      </c>
      <c r="C927" t="s">
        <v>127</v>
      </c>
      <c r="D927" t="s">
        <v>46</v>
      </c>
      <c r="E927">
        <v>2.1240376320004</v>
      </c>
      <c r="F927">
        <v>2.1240376320004</v>
      </c>
      <c r="G927">
        <v>0</v>
      </c>
      <c r="H927">
        <v>0</v>
      </c>
      <c r="I927" t="s">
        <v>128</v>
      </c>
    </row>
    <row r="928" spans="1:9" x14ac:dyDescent="0.35">
      <c r="A928" t="s">
        <v>18</v>
      </c>
      <c r="B928">
        <v>2040</v>
      </c>
      <c r="C928" t="s">
        <v>127</v>
      </c>
      <c r="D928" t="s">
        <v>47</v>
      </c>
      <c r="E928">
        <v>4.1840310026563202E-2</v>
      </c>
      <c r="F928">
        <v>4.1840310026563202E-2</v>
      </c>
      <c r="G928">
        <v>0</v>
      </c>
      <c r="H928">
        <v>0</v>
      </c>
      <c r="I928" t="s">
        <v>128</v>
      </c>
    </row>
    <row r="929" spans="1:9" x14ac:dyDescent="0.35">
      <c r="A929" t="s">
        <v>18</v>
      </c>
      <c r="B929">
        <v>2040</v>
      </c>
      <c r="C929" t="s">
        <v>127</v>
      </c>
      <c r="D929" t="s">
        <v>48</v>
      </c>
      <c r="E929">
        <v>79.8953575025524</v>
      </c>
      <c r="F929">
        <v>79.8953575025524</v>
      </c>
      <c r="G929">
        <v>0</v>
      </c>
      <c r="H929">
        <v>0</v>
      </c>
      <c r="I929" t="s">
        <v>128</v>
      </c>
    </row>
    <row r="930" spans="1:9" x14ac:dyDescent="0.35">
      <c r="A930" t="s">
        <v>18</v>
      </c>
      <c r="B930">
        <v>2040</v>
      </c>
      <c r="C930" t="s">
        <v>127</v>
      </c>
      <c r="D930" t="s">
        <v>49</v>
      </c>
      <c r="E930">
        <v>0.76331439473208196</v>
      </c>
      <c r="F930">
        <v>0.76317121736063498</v>
      </c>
      <c r="G930">
        <v>-1.4317737144664501E-4</v>
      </c>
      <c r="H930">
        <v>-1.8757326264873999E-2</v>
      </c>
      <c r="I930" t="s">
        <v>128</v>
      </c>
    </row>
    <row r="931" spans="1:9" x14ac:dyDescent="0.35">
      <c r="A931" t="s">
        <v>18</v>
      </c>
      <c r="B931">
        <v>2040</v>
      </c>
      <c r="C931" t="s">
        <v>127</v>
      </c>
      <c r="D931" t="s">
        <v>50</v>
      </c>
      <c r="E931">
        <v>0.51747245166488298</v>
      </c>
      <c r="F931">
        <v>0.51747245166488298</v>
      </c>
      <c r="G931">
        <v>0</v>
      </c>
      <c r="H931">
        <v>0</v>
      </c>
      <c r="I931" t="s">
        <v>128</v>
      </c>
    </row>
    <row r="932" spans="1:9" x14ac:dyDescent="0.35">
      <c r="A932" t="s">
        <v>18</v>
      </c>
      <c r="B932">
        <v>2040</v>
      </c>
      <c r="C932" t="s">
        <v>127</v>
      </c>
      <c r="D932" t="s">
        <v>51</v>
      </c>
      <c r="E932">
        <v>1.5893428571246599</v>
      </c>
      <c r="F932">
        <v>1.5893428571246599</v>
      </c>
      <c r="G932">
        <v>0</v>
      </c>
      <c r="H932">
        <v>0</v>
      </c>
      <c r="I932" t="s">
        <v>128</v>
      </c>
    </row>
    <row r="933" spans="1:9" x14ac:dyDescent="0.35">
      <c r="A933" t="s">
        <v>18</v>
      </c>
      <c r="B933">
        <v>2040</v>
      </c>
      <c r="C933" t="s">
        <v>127</v>
      </c>
      <c r="D933" t="s">
        <v>52</v>
      </c>
      <c r="E933">
        <v>1.22923745965134</v>
      </c>
      <c r="F933">
        <v>1.22923745965134</v>
      </c>
      <c r="G933">
        <v>0</v>
      </c>
      <c r="H933">
        <v>0</v>
      </c>
      <c r="I933" t="s">
        <v>128</v>
      </c>
    </row>
    <row r="934" spans="1:9" x14ac:dyDescent="0.35">
      <c r="A934" t="s">
        <v>18</v>
      </c>
      <c r="B934">
        <v>2040</v>
      </c>
      <c r="C934" t="s">
        <v>127</v>
      </c>
      <c r="D934" t="s">
        <v>53</v>
      </c>
      <c r="E934">
        <v>9.1720425666016308</v>
      </c>
      <c r="F934">
        <v>9.1720425666016308</v>
      </c>
      <c r="G934">
        <v>0</v>
      </c>
      <c r="H934">
        <v>0</v>
      </c>
      <c r="I934" t="s">
        <v>128</v>
      </c>
    </row>
    <row r="935" spans="1:9" x14ac:dyDescent="0.35">
      <c r="A935" t="s">
        <v>18</v>
      </c>
      <c r="B935">
        <v>2040</v>
      </c>
      <c r="C935" t="s">
        <v>127</v>
      </c>
      <c r="D935" t="s">
        <v>54</v>
      </c>
      <c r="E935">
        <v>14.2924875545582</v>
      </c>
      <c r="F935">
        <v>14.2866291395425</v>
      </c>
      <c r="G935">
        <v>-5.85841501572481E-3</v>
      </c>
      <c r="H935">
        <v>-4.0989470820678699E-2</v>
      </c>
      <c r="I935" t="s">
        <v>128</v>
      </c>
    </row>
    <row r="936" spans="1:9" x14ac:dyDescent="0.35">
      <c r="A936" t="s">
        <v>18</v>
      </c>
      <c r="B936">
        <v>2040</v>
      </c>
      <c r="C936" t="s">
        <v>127</v>
      </c>
      <c r="D936" t="s">
        <v>55</v>
      </c>
      <c r="E936">
        <v>12.374666383821401</v>
      </c>
      <c r="F936">
        <v>12.373682822001999</v>
      </c>
      <c r="G936">
        <v>-9.8356181944581002E-4</v>
      </c>
      <c r="H936">
        <v>-7.9481885728387002E-3</v>
      </c>
      <c r="I936" t="s">
        <v>128</v>
      </c>
    </row>
    <row r="937" spans="1:9" x14ac:dyDescent="0.35">
      <c r="A937" t="s">
        <v>18</v>
      </c>
      <c r="B937">
        <v>2040</v>
      </c>
      <c r="C937" t="s">
        <v>127</v>
      </c>
      <c r="D937" t="s">
        <v>56</v>
      </c>
      <c r="E937" s="1">
        <v>2.3566893090320101E-6</v>
      </c>
      <c r="F937" s="1">
        <v>2.3566893090320101E-6</v>
      </c>
      <c r="G937">
        <v>0</v>
      </c>
      <c r="H937">
        <v>0</v>
      </c>
      <c r="I937" t="s">
        <v>128</v>
      </c>
    </row>
    <row r="938" spans="1:9" x14ac:dyDescent="0.35">
      <c r="A938" t="s">
        <v>12</v>
      </c>
      <c r="B938">
        <v>2025</v>
      </c>
      <c r="C938" t="s">
        <v>74</v>
      </c>
      <c r="D938" t="s">
        <v>38</v>
      </c>
      <c r="E938" s="1">
        <v>2.5350991794569402E-6</v>
      </c>
      <c r="F938" s="1">
        <v>2.5350991794569402E-6</v>
      </c>
      <c r="G938">
        <v>0</v>
      </c>
      <c r="H938">
        <v>0</v>
      </c>
      <c r="I938" t="s">
        <v>75</v>
      </c>
    </row>
    <row r="939" spans="1:9" x14ac:dyDescent="0.35">
      <c r="A939" t="s">
        <v>12</v>
      </c>
      <c r="B939">
        <v>2025</v>
      </c>
      <c r="C939" t="s">
        <v>74</v>
      </c>
      <c r="D939" t="s">
        <v>40</v>
      </c>
      <c r="E939">
        <v>1.40846536134117E-4</v>
      </c>
      <c r="F939">
        <v>1.40846536134117E-4</v>
      </c>
      <c r="G939">
        <v>0</v>
      </c>
      <c r="H939">
        <v>0</v>
      </c>
      <c r="I939" t="s">
        <v>75</v>
      </c>
    </row>
    <row r="940" spans="1:9" x14ac:dyDescent="0.35">
      <c r="A940" t="s">
        <v>12</v>
      </c>
      <c r="B940">
        <v>2025</v>
      </c>
      <c r="C940" t="s">
        <v>74</v>
      </c>
      <c r="D940" t="s">
        <v>41</v>
      </c>
      <c r="E940">
        <v>1.5464470223067699E-4</v>
      </c>
      <c r="F940">
        <v>1.5464470223067699E-4</v>
      </c>
      <c r="G940">
        <v>0</v>
      </c>
      <c r="H940">
        <v>0</v>
      </c>
      <c r="I940" t="s">
        <v>75</v>
      </c>
    </row>
    <row r="941" spans="1:9" x14ac:dyDescent="0.35">
      <c r="A941" t="s">
        <v>12</v>
      </c>
      <c r="B941">
        <v>2025</v>
      </c>
      <c r="C941" t="s">
        <v>74</v>
      </c>
      <c r="D941" t="s">
        <v>42</v>
      </c>
      <c r="E941">
        <v>2.6060010332380401E-3</v>
      </c>
      <c r="F941">
        <v>2.6060010332380401E-3</v>
      </c>
      <c r="G941">
        <v>0</v>
      </c>
      <c r="H941">
        <v>0</v>
      </c>
      <c r="I941" t="s">
        <v>75</v>
      </c>
    </row>
    <row r="942" spans="1:9" x14ac:dyDescent="0.35">
      <c r="A942" t="s">
        <v>12</v>
      </c>
      <c r="B942">
        <v>2025</v>
      </c>
      <c r="C942" t="s">
        <v>74</v>
      </c>
      <c r="D942" t="s">
        <v>43</v>
      </c>
      <c r="E942" s="1">
        <v>5.1873162868918401E-5</v>
      </c>
      <c r="F942" s="1">
        <v>5.1873162868918401E-5</v>
      </c>
      <c r="G942">
        <v>0</v>
      </c>
      <c r="H942">
        <v>0</v>
      </c>
      <c r="I942" t="s">
        <v>75</v>
      </c>
    </row>
    <row r="943" spans="1:9" x14ac:dyDescent="0.35">
      <c r="A943" t="s">
        <v>12</v>
      </c>
      <c r="B943">
        <v>2025</v>
      </c>
      <c r="C943" t="s">
        <v>74</v>
      </c>
      <c r="D943" t="s">
        <v>136</v>
      </c>
      <c r="E943">
        <v>1.5157665931657601E-2</v>
      </c>
      <c r="F943">
        <v>1.5157665931657601E-2</v>
      </c>
      <c r="G943">
        <v>0</v>
      </c>
      <c r="H943">
        <v>0</v>
      </c>
      <c r="I943" t="s">
        <v>75</v>
      </c>
    </row>
    <row r="944" spans="1:9" x14ac:dyDescent="0.35">
      <c r="A944" t="s">
        <v>12</v>
      </c>
      <c r="B944">
        <v>2025</v>
      </c>
      <c r="C944" t="s">
        <v>74</v>
      </c>
      <c r="D944" t="s">
        <v>45</v>
      </c>
      <c r="E944" s="1">
        <v>5.2780162600689497E-5</v>
      </c>
      <c r="F944" s="1">
        <v>5.2780162600689497E-5</v>
      </c>
      <c r="G944">
        <v>0</v>
      </c>
      <c r="H944">
        <v>0</v>
      </c>
      <c r="I944" t="s">
        <v>75</v>
      </c>
    </row>
    <row r="945" spans="1:9" x14ac:dyDescent="0.35">
      <c r="A945" t="s">
        <v>12</v>
      </c>
      <c r="B945">
        <v>2025</v>
      </c>
      <c r="C945" t="s">
        <v>74</v>
      </c>
      <c r="D945" t="s">
        <v>46</v>
      </c>
      <c r="E945">
        <v>1.8866646533987499E-4</v>
      </c>
      <c r="F945">
        <v>1.8866646533987499E-4</v>
      </c>
      <c r="G945">
        <v>0</v>
      </c>
      <c r="H945">
        <v>0</v>
      </c>
      <c r="I945" t="s">
        <v>75</v>
      </c>
    </row>
    <row r="946" spans="1:9" x14ac:dyDescent="0.35">
      <c r="A946" t="s">
        <v>12</v>
      </c>
      <c r="B946">
        <v>2025</v>
      </c>
      <c r="C946" t="s">
        <v>74</v>
      </c>
      <c r="D946" t="s">
        <v>47</v>
      </c>
      <c r="E946" s="1">
        <v>3.0100818302390201E-6</v>
      </c>
      <c r="F946" s="1">
        <v>3.0100818302390201E-6</v>
      </c>
      <c r="G946">
        <v>0</v>
      </c>
      <c r="H946">
        <v>0</v>
      </c>
      <c r="I946" t="s">
        <v>75</v>
      </c>
    </row>
    <row r="947" spans="1:9" x14ac:dyDescent="0.35">
      <c r="A947" t="s">
        <v>12</v>
      </c>
      <c r="B947">
        <v>2025</v>
      </c>
      <c r="C947" t="s">
        <v>74</v>
      </c>
      <c r="D947" t="s">
        <v>48</v>
      </c>
      <c r="E947">
        <v>5.2062940767335904E-4</v>
      </c>
      <c r="F947">
        <v>5.2062940767335904E-4</v>
      </c>
      <c r="G947">
        <v>0</v>
      </c>
      <c r="H947">
        <v>0</v>
      </c>
      <c r="I947" t="s">
        <v>75</v>
      </c>
    </row>
    <row r="948" spans="1:9" x14ac:dyDescent="0.35">
      <c r="A948" t="s">
        <v>12</v>
      </c>
      <c r="B948">
        <v>2025</v>
      </c>
      <c r="C948" t="s">
        <v>74</v>
      </c>
      <c r="D948" t="s">
        <v>49</v>
      </c>
      <c r="E948" s="1">
        <v>9.7917498416759705E-5</v>
      </c>
      <c r="F948" s="1">
        <v>9.7917498416759705E-5</v>
      </c>
      <c r="G948">
        <v>0</v>
      </c>
      <c r="H948">
        <v>0</v>
      </c>
      <c r="I948" t="s">
        <v>75</v>
      </c>
    </row>
    <row r="949" spans="1:9" x14ac:dyDescent="0.35">
      <c r="A949" t="s">
        <v>12</v>
      </c>
      <c r="B949">
        <v>2025</v>
      </c>
      <c r="C949" t="s">
        <v>74</v>
      </c>
      <c r="D949" t="s">
        <v>50</v>
      </c>
      <c r="E949" s="1">
        <v>2.73332597053014E-5</v>
      </c>
      <c r="F949" s="1">
        <v>2.73332597053014E-5</v>
      </c>
      <c r="G949">
        <v>0</v>
      </c>
      <c r="H949">
        <v>0</v>
      </c>
      <c r="I949" t="s">
        <v>75</v>
      </c>
    </row>
    <row r="950" spans="1:9" x14ac:dyDescent="0.35">
      <c r="A950" t="s">
        <v>12</v>
      </c>
      <c r="B950">
        <v>2025</v>
      </c>
      <c r="C950" t="s">
        <v>74</v>
      </c>
      <c r="D950" t="s">
        <v>51</v>
      </c>
      <c r="E950">
        <v>1.71748469651016E-2</v>
      </c>
      <c r="F950">
        <v>1.71748469651016E-2</v>
      </c>
      <c r="G950">
        <v>0</v>
      </c>
      <c r="H950">
        <v>0</v>
      </c>
      <c r="I950" t="s">
        <v>75</v>
      </c>
    </row>
    <row r="951" spans="1:9" x14ac:dyDescent="0.35">
      <c r="A951" t="s">
        <v>12</v>
      </c>
      <c r="B951">
        <v>2025</v>
      </c>
      <c r="C951" t="s">
        <v>74</v>
      </c>
      <c r="D951" t="s">
        <v>52</v>
      </c>
      <c r="E951">
        <v>1.44299253328512E-3</v>
      </c>
      <c r="F951">
        <v>1.44299253328512E-3</v>
      </c>
      <c r="G951">
        <v>0</v>
      </c>
      <c r="H951">
        <v>0</v>
      </c>
      <c r="I951" t="s">
        <v>75</v>
      </c>
    </row>
    <row r="952" spans="1:9" x14ac:dyDescent="0.35">
      <c r="A952" t="s">
        <v>12</v>
      </c>
      <c r="B952">
        <v>2025</v>
      </c>
      <c r="C952" t="s">
        <v>74</v>
      </c>
      <c r="D952" t="s">
        <v>53</v>
      </c>
      <c r="E952">
        <v>4.9080292886141E-3</v>
      </c>
      <c r="F952">
        <v>4.9080292886141E-3</v>
      </c>
      <c r="G952">
        <v>0</v>
      </c>
      <c r="H952">
        <v>0</v>
      </c>
      <c r="I952" t="s">
        <v>75</v>
      </c>
    </row>
    <row r="953" spans="1:9" x14ac:dyDescent="0.35">
      <c r="A953" t="s">
        <v>12</v>
      </c>
      <c r="B953">
        <v>2025</v>
      </c>
      <c r="C953" t="s">
        <v>74</v>
      </c>
      <c r="D953" t="s">
        <v>54</v>
      </c>
      <c r="E953">
        <v>2.43110630062884E-4</v>
      </c>
      <c r="F953">
        <v>2.43110630062884E-4</v>
      </c>
      <c r="G953">
        <v>0</v>
      </c>
      <c r="H953">
        <v>0</v>
      </c>
      <c r="I953" t="s">
        <v>75</v>
      </c>
    </row>
    <row r="954" spans="1:9" x14ac:dyDescent="0.35">
      <c r="A954" t="s">
        <v>12</v>
      </c>
      <c r="B954">
        <v>2025</v>
      </c>
      <c r="C954" t="s">
        <v>74</v>
      </c>
      <c r="D954" t="s">
        <v>55</v>
      </c>
      <c r="E954">
        <v>2.17915297325856E-4</v>
      </c>
      <c r="F954">
        <v>2.17915297325856E-4</v>
      </c>
      <c r="G954">
        <v>0</v>
      </c>
      <c r="H954">
        <v>0</v>
      </c>
      <c r="I954" t="s">
        <v>75</v>
      </c>
    </row>
    <row r="955" spans="1:9" x14ac:dyDescent="0.35">
      <c r="A955" t="s">
        <v>12</v>
      </c>
      <c r="B955">
        <v>2025</v>
      </c>
      <c r="C955" t="s">
        <v>74</v>
      </c>
      <c r="D955" t="s">
        <v>56</v>
      </c>
      <c r="E955" s="1">
        <v>1.79103858236554E-9</v>
      </c>
      <c r="F955" s="1">
        <v>1.79103858236554E-9</v>
      </c>
      <c r="G955">
        <v>0</v>
      </c>
      <c r="H955">
        <v>0</v>
      </c>
      <c r="I955" t="s">
        <v>75</v>
      </c>
    </row>
    <row r="956" spans="1:9" x14ac:dyDescent="0.35">
      <c r="A956" t="s">
        <v>14</v>
      </c>
      <c r="B956">
        <v>2030</v>
      </c>
      <c r="C956" t="s">
        <v>74</v>
      </c>
      <c r="D956" t="s">
        <v>38</v>
      </c>
      <c r="E956" s="1">
        <v>3.84252511150508E-6</v>
      </c>
      <c r="F956" s="1">
        <v>3.84252511150508E-6</v>
      </c>
      <c r="G956">
        <v>0</v>
      </c>
      <c r="H956">
        <v>0</v>
      </c>
      <c r="I956" t="s">
        <v>75</v>
      </c>
    </row>
    <row r="957" spans="1:9" x14ac:dyDescent="0.35">
      <c r="A957" t="s">
        <v>14</v>
      </c>
      <c r="B957">
        <v>2030</v>
      </c>
      <c r="C957" t="s">
        <v>74</v>
      </c>
      <c r="D957" t="s">
        <v>40</v>
      </c>
      <c r="E957">
        <v>1.4064960896898699E-4</v>
      </c>
      <c r="F957">
        <v>1.4064960896898699E-4</v>
      </c>
      <c r="G957">
        <v>0</v>
      </c>
      <c r="H957">
        <v>0</v>
      </c>
      <c r="I957" t="s">
        <v>75</v>
      </c>
    </row>
    <row r="958" spans="1:9" x14ac:dyDescent="0.35">
      <c r="A958" t="s">
        <v>14</v>
      </c>
      <c r="B958">
        <v>2030</v>
      </c>
      <c r="C958" t="s">
        <v>74</v>
      </c>
      <c r="D958" t="s">
        <v>41</v>
      </c>
      <c r="E958">
        <v>1.5339328301445501E-4</v>
      </c>
      <c r="F958">
        <v>1.5339328301445501E-4</v>
      </c>
      <c r="G958">
        <v>0</v>
      </c>
      <c r="H958">
        <v>0</v>
      </c>
      <c r="I958" t="s">
        <v>75</v>
      </c>
    </row>
    <row r="959" spans="1:9" x14ac:dyDescent="0.35">
      <c r="A959" t="s">
        <v>14</v>
      </c>
      <c r="B959">
        <v>2030</v>
      </c>
      <c r="C959" t="s">
        <v>74</v>
      </c>
      <c r="D959" t="s">
        <v>42</v>
      </c>
      <c r="E959">
        <v>2.7087192970726799E-3</v>
      </c>
      <c r="F959">
        <v>2.7087192970726799E-3</v>
      </c>
      <c r="G959">
        <v>0</v>
      </c>
      <c r="H959">
        <v>0</v>
      </c>
      <c r="I959" t="s">
        <v>75</v>
      </c>
    </row>
    <row r="960" spans="1:9" x14ac:dyDescent="0.35">
      <c r="A960" t="s">
        <v>14</v>
      </c>
      <c r="B960">
        <v>2030</v>
      </c>
      <c r="C960" t="s">
        <v>74</v>
      </c>
      <c r="D960" t="s">
        <v>43</v>
      </c>
      <c r="E960" s="1">
        <v>5.19241319607707E-5</v>
      </c>
      <c r="F960" s="1">
        <v>5.19241319607707E-5</v>
      </c>
      <c r="G960">
        <v>0</v>
      </c>
      <c r="H960">
        <v>0</v>
      </c>
      <c r="I960" t="s">
        <v>75</v>
      </c>
    </row>
    <row r="961" spans="1:9" x14ac:dyDescent="0.35">
      <c r="A961" t="s">
        <v>14</v>
      </c>
      <c r="B961">
        <v>2030</v>
      </c>
      <c r="C961" t="s">
        <v>74</v>
      </c>
      <c r="D961" t="s">
        <v>136</v>
      </c>
      <c r="E961">
        <v>1.50137331623428E-2</v>
      </c>
      <c r="F961">
        <v>1.50137331623428E-2</v>
      </c>
      <c r="G961">
        <v>0</v>
      </c>
      <c r="H961">
        <v>0</v>
      </c>
      <c r="I961" t="s">
        <v>75</v>
      </c>
    </row>
    <row r="962" spans="1:9" x14ac:dyDescent="0.35">
      <c r="A962" t="s">
        <v>14</v>
      </c>
      <c r="B962">
        <v>2030</v>
      </c>
      <c r="C962" t="s">
        <v>74</v>
      </c>
      <c r="D962" t="s">
        <v>45</v>
      </c>
      <c r="E962" s="1">
        <v>5.0618582704880897E-5</v>
      </c>
      <c r="F962" s="1">
        <v>5.0618582704880897E-5</v>
      </c>
      <c r="G962">
        <v>0</v>
      </c>
      <c r="H962">
        <v>0</v>
      </c>
      <c r="I962" t="s">
        <v>75</v>
      </c>
    </row>
    <row r="963" spans="1:9" x14ac:dyDescent="0.35">
      <c r="A963" t="s">
        <v>14</v>
      </c>
      <c r="B963">
        <v>2030</v>
      </c>
      <c r="C963" t="s">
        <v>74</v>
      </c>
      <c r="D963" t="s">
        <v>46</v>
      </c>
      <c r="E963">
        <v>5.3994107082290098E-4</v>
      </c>
      <c r="F963">
        <v>5.3994107082290098E-4</v>
      </c>
      <c r="G963">
        <v>0</v>
      </c>
      <c r="H963">
        <v>0</v>
      </c>
      <c r="I963" t="s">
        <v>75</v>
      </c>
    </row>
    <row r="964" spans="1:9" x14ac:dyDescent="0.35">
      <c r="A964" t="s">
        <v>14</v>
      </c>
      <c r="B964">
        <v>2030</v>
      </c>
      <c r="C964" t="s">
        <v>74</v>
      </c>
      <c r="D964" t="s">
        <v>47</v>
      </c>
      <c r="E964" s="1">
        <v>3.1492959205180302E-6</v>
      </c>
      <c r="F964" s="1">
        <v>3.1492959205180302E-6</v>
      </c>
      <c r="G964">
        <v>0</v>
      </c>
      <c r="H964">
        <v>0</v>
      </c>
      <c r="I964" t="s">
        <v>75</v>
      </c>
    </row>
    <row r="965" spans="1:9" x14ac:dyDescent="0.35">
      <c r="A965" t="s">
        <v>14</v>
      </c>
      <c r="B965">
        <v>2030</v>
      </c>
      <c r="C965" t="s">
        <v>74</v>
      </c>
      <c r="D965" t="s">
        <v>48</v>
      </c>
      <c r="E965">
        <v>5.3610487683011397E-4</v>
      </c>
      <c r="F965">
        <v>5.3610487683011397E-4</v>
      </c>
      <c r="G965">
        <v>0</v>
      </c>
      <c r="H965">
        <v>0</v>
      </c>
      <c r="I965" t="s">
        <v>75</v>
      </c>
    </row>
    <row r="966" spans="1:9" x14ac:dyDescent="0.35">
      <c r="A966" t="s">
        <v>14</v>
      </c>
      <c r="B966">
        <v>2030</v>
      </c>
      <c r="C966" t="s">
        <v>74</v>
      </c>
      <c r="D966" t="s">
        <v>49</v>
      </c>
      <c r="E966" s="1">
        <v>9.6220573989000302E-5</v>
      </c>
      <c r="F966" s="1">
        <v>9.6220573989000302E-5</v>
      </c>
      <c r="G966">
        <v>0</v>
      </c>
      <c r="H966">
        <v>0</v>
      </c>
      <c r="I966" t="s">
        <v>75</v>
      </c>
    </row>
    <row r="967" spans="1:9" x14ac:dyDescent="0.35">
      <c r="A967" t="s">
        <v>14</v>
      </c>
      <c r="B967">
        <v>2030</v>
      </c>
      <c r="C967" t="s">
        <v>74</v>
      </c>
      <c r="D967" t="s">
        <v>50</v>
      </c>
      <c r="E967" s="1">
        <v>3.2148978227919998E-5</v>
      </c>
      <c r="F967" s="1">
        <v>3.2148978227919998E-5</v>
      </c>
      <c r="G967">
        <v>0</v>
      </c>
      <c r="H967">
        <v>0</v>
      </c>
      <c r="I967" t="s">
        <v>75</v>
      </c>
    </row>
    <row r="968" spans="1:9" x14ac:dyDescent="0.35">
      <c r="A968" t="s">
        <v>14</v>
      </c>
      <c r="B968">
        <v>2030</v>
      </c>
      <c r="C968" t="s">
        <v>74</v>
      </c>
      <c r="D968" t="s">
        <v>51</v>
      </c>
      <c r="E968">
        <v>1.71963723785989E-2</v>
      </c>
      <c r="F968">
        <v>1.71963723785989E-2</v>
      </c>
      <c r="G968">
        <v>0</v>
      </c>
      <c r="H968">
        <v>0</v>
      </c>
      <c r="I968" t="s">
        <v>75</v>
      </c>
    </row>
    <row r="969" spans="1:9" x14ac:dyDescent="0.35">
      <c r="A969" t="s">
        <v>14</v>
      </c>
      <c r="B969">
        <v>2030</v>
      </c>
      <c r="C969" t="s">
        <v>74</v>
      </c>
      <c r="D969" t="s">
        <v>52</v>
      </c>
      <c r="E969">
        <v>1.3406579333698201E-3</v>
      </c>
      <c r="F969">
        <v>1.3406579333698201E-3</v>
      </c>
      <c r="G969">
        <v>0</v>
      </c>
      <c r="H969">
        <v>0</v>
      </c>
      <c r="I969" t="s">
        <v>75</v>
      </c>
    </row>
    <row r="970" spans="1:9" x14ac:dyDescent="0.35">
      <c r="A970" t="s">
        <v>14</v>
      </c>
      <c r="B970">
        <v>2030</v>
      </c>
      <c r="C970" t="s">
        <v>74</v>
      </c>
      <c r="D970" t="s">
        <v>53</v>
      </c>
      <c r="E970">
        <v>4.8377662750964199E-3</v>
      </c>
      <c r="F970">
        <v>4.8377662750964199E-3</v>
      </c>
      <c r="G970">
        <v>0</v>
      </c>
      <c r="H970">
        <v>0</v>
      </c>
      <c r="I970" t="s">
        <v>75</v>
      </c>
    </row>
    <row r="971" spans="1:9" x14ac:dyDescent="0.35">
      <c r="A971" t="s">
        <v>14</v>
      </c>
      <c r="B971">
        <v>2030</v>
      </c>
      <c r="C971" t="s">
        <v>74</v>
      </c>
      <c r="D971" t="s">
        <v>54</v>
      </c>
      <c r="E971">
        <v>2.5821605730937499E-4</v>
      </c>
      <c r="F971">
        <v>2.5821605730937499E-4</v>
      </c>
      <c r="G971">
        <v>0</v>
      </c>
      <c r="H971">
        <v>0</v>
      </c>
      <c r="I971" t="s">
        <v>75</v>
      </c>
    </row>
    <row r="972" spans="1:9" x14ac:dyDescent="0.35">
      <c r="A972" t="s">
        <v>14</v>
      </c>
      <c r="B972">
        <v>2030</v>
      </c>
      <c r="C972" t="s">
        <v>74</v>
      </c>
      <c r="D972" t="s">
        <v>55</v>
      </c>
      <c r="E972">
        <v>2.3124729568533699E-4</v>
      </c>
      <c r="F972">
        <v>2.3124729568533699E-4</v>
      </c>
      <c r="G972">
        <v>0</v>
      </c>
      <c r="H972">
        <v>0</v>
      </c>
      <c r="I972" t="s">
        <v>75</v>
      </c>
    </row>
    <row r="973" spans="1:9" x14ac:dyDescent="0.35">
      <c r="A973" t="s">
        <v>14</v>
      </c>
      <c r="B973">
        <v>2030</v>
      </c>
      <c r="C973" t="s">
        <v>74</v>
      </c>
      <c r="D973" t="s">
        <v>56</v>
      </c>
      <c r="E973" s="1">
        <v>1.6767642488740701E-9</v>
      </c>
      <c r="F973" s="1">
        <v>1.6767642488740701E-9</v>
      </c>
      <c r="G973">
        <v>0</v>
      </c>
      <c r="H973">
        <v>0</v>
      </c>
      <c r="I973" t="s">
        <v>75</v>
      </c>
    </row>
    <row r="974" spans="1:9" x14ac:dyDescent="0.35">
      <c r="A974" t="s">
        <v>16</v>
      </c>
      <c r="B974">
        <v>2035</v>
      </c>
      <c r="C974" t="s">
        <v>74</v>
      </c>
      <c r="D974" t="s">
        <v>38</v>
      </c>
      <c r="E974" s="1">
        <v>6.8563853049391403E-6</v>
      </c>
      <c r="F974" s="1">
        <v>6.8563853049391403E-6</v>
      </c>
      <c r="G974">
        <v>0</v>
      </c>
      <c r="H974">
        <v>0</v>
      </c>
      <c r="I974" t="s">
        <v>75</v>
      </c>
    </row>
    <row r="975" spans="1:9" x14ac:dyDescent="0.35">
      <c r="A975" t="s">
        <v>16</v>
      </c>
      <c r="B975">
        <v>2035</v>
      </c>
      <c r="C975" t="s">
        <v>74</v>
      </c>
      <c r="D975" t="s">
        <v>40</v>
      </c>
      <c r="E975">
        <v>1.4039952133907701E-4</v>
      </c>
      <c r="F975">
        <v>1.4039952133907701E-4</v>
      </c>
      <c r="G975">
        <v>0</v>
      </c>
      <c r="H975">
        <v>0</v>
      </c>
      <c r="I975" t="s">
        <v>75</v>
      </c>
    </row>
    <row r="976" spans="1:9" x14ac:dyDescent="0.35">
      <c r="A976" t="s">
        <v>16</v>
      </c>
      <c r="B976">
        <v>2035</v>
      </c>
      <c r="C976" t="s">
        <v>74</v>
      </c>
      <c r="D976" t="s">
        <v>41</v>
      </c>
      <c r="E976">
        <v>1.5275269902411E-4</v>
      </c>
      <c r="F976">
        <v>1.5275269902411E-4</v>
      </c>
      <c r="G976">
        <v>0</v>
      </c>
      <c r="H976">
        <v>0</v>
      </c>
      <c r="I976" t="s">
        <v>75</v>
      </c>
    </row>
    <row r="977" spans="1:9" x14ac:dyDescent="0.35">
      <c r="A977" t="s">
        <v>16</v>
      </c>
      <c r="B977">
        <v>2035</v>
      </c>
      <c r="C977" t="s">
        <v>74</v>
      </c>
      <c r="D977" t="s">
        <v>42</v>
      </c>
      <c r="E977">
        <v>3.1098164947856799E-3</v>
      </c>
      <c r="F977">
        <v>3.1098164947856799E-3</v>
      </c>
      <c r="G977">
        <v>0</v>
      </c>
      <c r="H977">
        <v>0</v>
      </c>
      <c r="I977" t="s">
        <v>75</v>
      </c>
    </row>
    <row r="978" spans="1:9" x14ac:dyDescent="0.35">
      <c r="A978" t="s">
        <v>16</v>
      </c>
      <c r="B978">
        <v>2035</v>
      </c>
      <c r="C978" t="s">
        <v>74</v>
      </c>
      <c r="D978" t="s">
        <v>43</v>
      </c>
      <c r="E978" s="1">
        <v>5.25436434767318E-5</v>
      </c>
      <c r="F978" s="1">
        <v>5.25436434767318E-5</v>
      </c>
      <c r="G978">
        <v>0</v>
      </c>
      <c r="H978">
        <v>0</v>
      </c>
      <c r="I978" t="s">
        <v>75</v>
      </c>
    </row>
    <row r="979" spans="1:9" x14ac:dyDescent="0.35">
      <c r="A979" t="s">
        <v>16</v>
      </c>
      <c r="B979">
        <v>2035</v>
      </c>
      <c r="C979" t="s">
        <v>74</v>
      </c>
      <c r="D979" t="s">
        <v>136</v>
      </c>
      <c r="E979">
        <v>1.5347942914480101E-2</v>
      </c>
      <c r="F979">
        <v>1.5347942914480101E-2</v>
      </c>
      <c r="G979">
        <v>0</v>
      </c>
      <c r="H979">
        <v>0</v>
      </c>
      <c r="I979" t="s">
        <v>75</v>
      </c>
    </row>
    <row r="980" spans="1:9" x14ac:dyDescent="0.35">
      <c r="A980" t="s">
        <v>16</v>
      </c>
      <c r="B980">
        <v>2035</v>
      </c>
      <c r="C980" t="s">
        <v>74</v>
      </c>
      <c r="D980" t="s">
        <v>45</v>
      </c>
      <c r="E980" s="1">
        <v>4.9255427775348803E-5</v>
      </c>
      <c r="F980" s="1">
        <v>4.9255427775348803E-5</v>
      </c>
      <c r="G980">
        <v>0</v>
      </c>
      <c r="H980">
        <v>0</v>
      </c>
      <c r="I980" t="s">
        <v>75</v>
      </c>
    </row>
    <row r="981" spans="1:9" x14ac:dyDescent="0.35">
      <c r="A981" t="s">
        <v>16</v>
      </c>
      <c r="B981">
        <v>2035</v>
      </c>
      <c r="C981" t="s">
        <v>74</v>
      </c>
      <c r="D981" t="s">
        <v>46</v>
      </c>
      <c r="E981">
        <v>1.33480500825299E-3</v>
      </c>
      <c r="F981">
        <v>1.33480500825299E-3</v>
      </c>
      <c r="G981">
        <v>0</v>
      </c>
      <c r="H981">
        <v>0</v>
      </c>
      <c r="I981" t="s">
        <v>75</v>
      </c>
    </row>
    <row r="982" spans="1:9" x14ac:dyDescent="0.35">
      <c r="A982" t="s">
        <v>16</v>
      </c>
      <c r="B982">
        <v>2035</v>
      </c>
      <c r="C982" t="s">
        <v>74</v>
      </c>
      <c r="D982" t="s">
        <v>47</v>
      </c>
      <c r="E982" s="1">
        <v>3.7118448798410301E-6</v>
      </c>
      <c r="F982" s="1">
        <v>3.7118448798410301E-6</v>
      </c>
      <c r="G982">
        <v>0</v>
      </c>
      <c r="H982">
        <v>0</v>
      </c>
      <c r="I982" t="s">
        <v>75</v>
      </c>
    </row>
    <row r="983" spans="1:9" x14ac:dyDescent="0.35">
      <c r="A983" t="s">
        <v>16</v>
      </c>
      <c r="B983">
        <v>2035</v>
      </c>
      <c r="C983" t="s">
        <v>74</v>
      </c>
      <c r="D983" t="s">
        <v>48</v>
      </c>
      <c r="E983">
        <v>5.5718034369981796E-4</v>
      </c>
      <c r="F983">
        <v>5.5718034369981796E-4</v>
      </c>
      <c r="G983">
        <v>0</v>
      </c>
      <c r="H983">
        <v>0</v>
      </c>
      <c r="I983" t="s">
        <v>75</v>
      </c>
    </row>
    <row r="984" spans="1:9" x14ac:dyDescent="0.35">
      <c r="A984" t="s">
        <v>16</v>
      </c>
      <c r="B984">
        <v>2035</v>
      </c>
      <c r="C984" t="s">
        <v>74</v>
      </c>
      <c r="D984" t="s">
        <v>49</v>
      </c>
      <c r="E984" s="1">
        <v>9.60669870807702E-5</v>
      </c>
      <c r="F984" s="1">
        <v>9.60669870807702E-5</v>
      </c>
      <c r="G984">
        <v>0</v>
      </c>
      <c r="H984">
        <v>0</v>
      </c>
      <c r="I984" t="s">
        <v>75</v>
      </c>
    </row>
    <row r="985" spans="1:9" x14ac:dyDescent="0.35">
      <c r="A985" t="s">
        <v>16</v>
      </c>
      <c r="B985">
        <v>2035</v>
      </c>
      <c r="C985" t="s">
        <v>74</v>
      </c>
      <c r="D985" t="s">
        <v>50</v>
      </c>
      <c r="E985" s="1">
        <v>4.2142109458449802E-5</v>
      </c>
      <c r="F985" s="1">
        <v>4.2142109458449802E-5</v>
      </c>
      <c r="G985">
        <v>0</v>
      </c>
      <c r="H985">
        <v>0</v>
      </c>
      <c r="I985" t="s">
        <v>75</v>
      </c>
    </row>
    <row r="986" spans="1:9" x14ac:dyDescent="0.35">
      <c r="A986" t="s">
        <v>16</v>
      </c>
      <c r="B986">
        <v>2035</v>
      </c>
      <c r="C986" t="s">
        <v>74</v>
      </c>
      <c r="D986" t="s">
        <v>51</v>
      </c>
      <c r="E986">
        <v>1.72316435862391E-2</v>
      </c>
      <c r="F986">
        <v>1.72316435862391E-2</v>
      </c>
      <c r="G986">
        <v>0</v>
      </c>
      <c r="H986">
        <v>0</v>
      </c>
      <c r="I986" t="s">
        <v>75</v>
      </c>
    </row>
    <row r="987" spans="1:9" x14ac:dyDescent="0.35">
      <c r="A987" t="s">
        <v>16</v>
      </c>
      <c r="B987">
        <v>2035</v>
      </c>
      <c r="C987" t="s">
        <v>74</v>
      </c>
      <c r="D987" t="s">
        <v>52</v>
      </c>
      <c r="E987">
        <v>1.2062019399310701E-3</v>
      </c>
      <c r="F987">
        <v>1.2062019399310701E-3</v>
      </c>
      <c r="G987">
        <v>0</v>
      </c>
      <c r="H987">
        <v>0</v>
      </c>
      <c r="I987" t="s">
        <v>75</v>
      </c>
    </row>
    <row r="988" spans="1:9" x14ac:dyDescent="0.35">
      <c r="A988" t="s">
        <v>16</v>
      </c>
      <c r="B988">
        <v>2035</v>
      </c>
      <c r="C988" t="s">
        <v>74</v>
      </c>
      <c r="D988" t="s">
        <v>53</v>
      </c>
      <c r="E988">
        <v>4.8682622138072904E-3</v>
      </c>
      <c r="F988">
        <v>4.8682622138072904E-3</v>
      </c>
      <c r="G988">
        <v>0</v>
      </c>
      <c r="H988">
        <v>0</v>
      </c>
      <c r="I988" t="s">
        <v>75</v>
      </c>
    </row>
    <row r="989" spans="1:9" x14ac:dyDescent="0.35">
      <c r="A989" t="s">
        <v>16</v>
      </c>
      <c r="B989">
        <v>2035</v>
      </c>
      <c r="C989" t="s">
        <v>74</v>
      </c>
      <c r="D989" t="s">
        <v>54</v>
      </c>
      <c r="E989">
        <v>2.8475324756226399E-4</v>
      </c>
      <c r="F989">
        <v>2.8475324756226399E-4</v>
      </c>
      <c r="G989">
        <v>0</v>
      </c>
      <c r="H989">
        <v>0</v>
      </c>
      <c r="I989" t="s">
        <v>75</v>
      </c>
    </row>
    <row r="990" spans="1:9" x14ac:dyDescent="0.35">
      <c r="A990" t="s">
        <v>16</v>
      </c>
      <c r="B990">
        <v>2035</v>
      </c>
      <c r="C990" t="s">
        <v>74</v>
      </c>
      <c r="D990" t="s">
        <v>55</v>
      </c>
      <c r="E990">
        <v>2.5511341068679898E-4</v>
      </c>
      <c r="F990">
        <v>2.5511341068679898E-4</v>
      </c>
      <c r="G990">
        <v>0</v>
      </c>
      <c r="H990">
        <v>0</v>
      </c>
      <c r="I990" t="s">
        <v>75</v>
      </c>
    </row>
    <row r="991" spans="1:9" x14ac:dyDescent="0.35">
      <c r="A991" t="s">
        <v>16</v>
      </c>
      <c r="B991">
        <v>2035</v>
      </c>
      <c r="C991" t="s">
        <v>74</v>
      </c>
      <c r="D991" t="s">
        <v>56</v>
      </c>
      <c r="E991" s="1">
        <v>1.51036716536315E-9</v>
      </c>
      <c r="F991" s="1">
        <v>1.51036716536315E-9</v>
      </c>
      <c r="G991">
        <v>0</v>
      </c>
      <c r="H991">
        <v>0</v>
      </c>
      <c r="I991" t="s">
        <v>75</v>
      </c>
    </row>
    <row r="992" spans="1:9" x14ac:dyDescent="0.35">
      <c r="A992" t="s">
        <v>18</v>
      </c>
      <c r="B992">
        <v>2040</v>
      </c>
      <c r="C992" t="s">
        <v>74</v>
      </c>
      <c r="D992" t="s">
        <v>38</v>
      </c>
      <c r="E992" s="1">
        <v>1.29692734992638E-5</v>
      </c>
      <c r="F992" s="1">
        <v>1.29692734992638E-5</v>
      </c>
      <c r="G992">
        <v>0</v>
      </c>
      <c r="H992">
        <v>0</v>
      </c>
      <c r="I992" t="s">
        <v>75</v>
      </c>
    </row>
    <row r="993" spans="1:9" x14ac:dyDescent="0.35">
      <c r="A993" t="s">
        <v>18</v>
      </c>
      <c r="B993">
        <v>2040</v>
      </c>
      <c r="C993" t="s">
        <v>74</v>
      </c>
      <c r="D993" t="s">
        <v>40</v>
      </c>
      <c r="E993">
        <v>1.4005761022590899E-4</v>
      </c>
      <c r="F993">
        <v>1.4005761022590899E-4</v>
      </c>
      <c r="G993">
        <v>0</v>
      </c>
      <c r="H993">
        <v>0</v>
      </c>
      <c r="I993" t="s">
        <v>75</v>
      </c>
    </row>
    <row r="994" spans="1:9" x14ac:dyDescent="0.35">
      <c r="A994" t="s">
        <v>18</v>
      </c>
      <c r="B994">
        <v>2040</v>
      </c>
      <c r="C994" t="s">
        <v>74</v>
      </c>
      <c r="D994" t="s">
        <v>41</v>
      </c>
      <c r="E994">
        <v>1.52857933086951E-4</v>
      </c>
      <c r="F994">
        <v>1.52857933086951E-4</v>
      </c>
      <c r="G994">
        <v>0</v>
      </c>
      <c r="H994">
        <v>0</v>
      </c>
      <c r="I994" t="s">
        <v>75</v>
      </c>
    </row>
    <row r="995" spans="1:9" x14ac:dyDescent="0.35">
      <c r="A995" t="s">
        <v>18</v>
      </c>
      <c r="B995">
        <v>2040</v>
      </c>
      <c r="C995" t="s">
        <v>74</v>
      </c>
      <c r="D995" t="s">
        <v>42</v>
      </c>
      <c r="E995">
        <v>3.89165460317329E-3</v>
      </c>
      <c r="F995">
        <v>3.89165460317329E-3</v>
      </c>
      <c r="G995">
        <v>0</v>
      </c>
      <c r="H995">
        <v>0</v>
      </c>
      <c r="I995" t="s">
        <v>75</v>
      </c>
    </row>
    <row r="996" spans="1:9" x14ac:dyDescent="0.35">
      <c r="A996" t="s">
        <v>18</v>
      </c>
      <c r="B996">
        <v>2040</v>
      </c>
      <c r="C996" t="s">
        <v>74</v>
      </c>
      <c r="D996" t="s">
        <v>43</v>
      </c>
      <c r="E996" s="1">
        <v>5.3782999265729598E-5</v>
      </c>
      <c r="F996" s="1">
        <v>5.3782999265729598E-5</v>
      </c>
      <c r="G996">
        <v>0</v>
      </c>
      <c r="H996">
        <v>0</v>
      </c>
      <c r="I996" t="s">
        <v>75</v>
      </c>
    </row>
    <row r="997" spans="1:9" x14ac:dyDescent="0.35">
      <c r="A997" t="s">
        <v>18</v>
      </c>
      <c r="B997">
        <v>2040</v>
      </c>
      <c r="C997" t="s">
        <v>74</v>
      </c>
      <c r="D997" t="s">
        <v>136</v>
      </c>
      <c r="E997">
        <v>1.6269592656704902E-2</v>
      </c>
      <c r="F997">
        <v>1.6269592656704902E-2</v>
      </c>
      <c r="G997">
        <v>0</v>
      </c>
      <c r="H997">
        <v>0</v>
      </c>
      <c r="I997" t="s">
        <v>75</v>
      </c>
    </row>
    <row r="998" spans="1:9" x14ac:dyDescent="0.35">
      <c r="A998" t="s">
        <v>18</v>
      </c>
      <c r="B998">
        <v>2040</v>
      </c>
      <c r="C998" t="s">
        <v>74</v>
      </c>
      <c r="D998" t="s">
        <v>45</v>
      </c>
      <c r="E998" s="1">
        <v>4.9185525197910299E-5</v>
      </c>
      <c r="F998" s="1">
        <v>4.9185525197910299E-5</v>
      </c>
      <c r="G998">
        <v>0</v>
      </c>
      <c r="H998">
        <v>0</v>
      </c>
      <c r="I998" t="s">
        <v>75</v>
      </c>
    </row>
    <row r="999" spans="1:9" x14ac:dyDescent="0.35">
      <c r="A999" t="s">
        <v>18</v>
      </c>
      <c r="B999">
        <v>2040</v>
      </c>
      <c r="C999" t="s">
        <v>74</v>
      </c>
      <c r="D999" t="s">
        <v>46</v>
      </c>
      <c r="E999">
        <v>2.2916489823479398E-3</v>
      </c>
      <c r="F999">
        <v>2.2916489823479398E-3</v>
      </c>
      <c r="G999">
        <v>0</v>
      </c>
      <c r="H999">
        <v>0</v>
      </c>
      <c r="I999" t="s">
        <v>75</v>
      </c>
    </row>
    <row r="1000" spans="1:9" x14ac:dyDescent="0.35">
      <c r="A1000" t="s">
        <v>18</v>
      </c>
      <c r="B1000">
        <v>2040</v>
      </c>
      <c r="C1000" t="s">
        <v>74</v>
      </c>
      <c r="D1000" t="s">
        <v>47</v>
      </c>
      <c r="E1000" s="1">
        <v>4.8417394353111997E-6</v>
      </c>
      <c r="F1000" s="1">
        <v>4.8417394353111997E-6</v>
      </c>
      <c r="G1000">
        <v>0</v>
      </c>
      <c r="H1000">
        <v>0</v>
      </c>
      <c r="I1000" t="s">
        <v>75</v>
      </c>
    </row>
    <row r="1001" spans="1:9" x14ac:dyDescent="0.35">
      <c r="A1001" t="s">
        <v>18</v>
      </c>
      <c r="B1001">
        <v>2040</v>
      </c>
      <c r="C1001" t="s">
        <v>74</v>
      </c>
      <c r="D1001" t="s">
        <v>48</v>
      </c>
      <c r="E1001">
        <v>5.9393244034904101E-4</v>
      </c>
      <c r="F1001">
        <v>5.9393244034904101E-4</v>
      </c>
      <c r="G1001">
        <v>0</v>
      </c>
      <c r="H1001">
        <v>0</v>
      </c>
      <c r="I1001" t="s">
        <v>75</v>
      </c>
    </row>
    <row r="1002" spans="1:9" x14ac:dyDescent="0.35">
      <c r="A1002" t="s">
        <v>18</v>
      </c>
      <c r="B1002">
        <v>2040</v>
      </c>
      <c r="C1002" t="s">
        <v>74</v>
      </c>
      <c r="D1002" t="s">
        <v>49</v>
      </c>
      <c r="E1002" s="1">
        <v>9.7882163721508406E-5</v>
      </c>
      <c r="F1002" s="1">
        <v>9.7882163721508406E-5</v>
      </c>
      <c r="G1002">
        <v>0</v>
      </c>
      <c r="H1002">
        <v>0</v>
      </c>
      <c r="I1002" t="s">
        <v>75</v>
      </c>
    </row>
    <row r="1003" spans="1:9" x14ac:dyDescent="0.35">
      <c r="A1003" t="s">
        <v>18</v>
      </c>
      <c r="B1003">
        <v>2040</v>
      </c>
      <c r="C1003" t="s">
        <v>74</v>
      </c>
      <c r="D1003" t="s">
        <v>50</v>
      </c>
      <c r="E1003" s="1">
        <v>5.61750742917215E-5</v>
      </c>
      <c r="F1003" s="1">
        <v>5.61750742917215E-5</v>
      </c>
      <c r="G1003">
        <v>0</v>
      </c>
      <c r="H1003">
        <v>0</v>
      </c>
      <c r="I1003" t="s">
        <v>75</v>
      </c>
    </row>
    <row r="1004" spans="1:9" x14ac:dyDescent="0.35">
      <c r="A1004" t="s">
        <v>18</v>
      </c>
      <c r="B1004">
        <v>2040</v>
      </c>
      <c r="C1004" t="s">
        <v>74</v>
      </c>
      <c r="D1004" t="s">
        <v>51</v>
      </c>
      <c r="E1004">
        <v>1.7275146935514098E-2</v>
      </c>
      <c r="F1004">
        <v>1.7275146935514098E-2</v>
      </c>
      <c r="G1004">
        <v>0</v>
      </c>
      <c r="H1004">
        <v>0</v>
      </c>
      <c r="I1004" t="s">
        <v>75</v>
      </c>
    </row>
    <row r="1005" spans="1:9" x14ac:dyDescent="0.35">
      <c r="A1005" t="s">
        <v>18</v>
      </c>
      <c r="B1005">
        <v>2040</v>
      </c>
      <c r="C1005" t="s">
        <v>74</v>
      </c>
      <c r="D1005" t="s">
        <v>52</v>
      </c>
      <c r="E1005">
        <v>1.0615501019454201E-3</v>
      </c>
      <c r="F1005">
        <v>1.0615501019454201E-3</v>
      </c>
      <c r="G1005">
        <v>0</v>
      </c>
      <c r="H1005">
        <v>0</v>
      </c>
      <c r="I1005" t="s">
        <v>75</v>
      </c>
    </row>
    <row r="1006" spans="1:9" x14ac:dyDescent="0.35">
      <c r="A1006" t="s">
        <v>18</v>
      </c>
      <c r="B1006">
        <v>2040</v>
      </c>
      <c r="C1006" t="s">
        <v>74</v>
      </c>
      <c r="D1006" t="s">
        <v>53</v>
      </c>
      <c r="E1006">
        <v>5.01284312983118E-3</v>
      </c>
      <c r="F1006">
        <v>5.01284312983118E-3</v>
      </c>
      <c r="G1006">
        <v>0</v>
      </c>
      <c r="H1006">
        <v>0</v>
      </c>
      <c r="I1006" t="s">
        <v>75</v>
      </c>
    </row>
    <row r="1007" spans="1:9" x14ac:dyDescent="0.35">
      <c r="A1007" t="s">
        <v>18</v>
      </c>
      <c r="B1007">
        <v>2040</v>
      </c>
      <c r="C1007" t="s">
        <v>74</v>
      </c>
      <c r="D1007" t="s">
        <v>54</v>
      </c>
      <c r="E1007">
        <v>3.24719276342717E-4</v>
      </c>
      <c r="F1007">
        <v>3.24719276342717E-4</v>
      </c>
      <c r="G1007">
        <v>0</v>
      </c>
      <c r="H1007">
        <v>0</v>
      </c>
      <c r="I1007" t="s">
        <v>75</v>
      </c>
    </row>
    <row r="1008" spans="1:9" x14ac:dyDescent="0.35">
      <c r="A1008" t="s">
        <v>18</v>
      </c>
      <c r="B1008">
        <v>2040</v>
      </c>
      <c r="C1008" t="s">
        <v>74</v>
      </c>
      <c r="D1008" t="s">
        <v>55</v>
      </c>
      <c r="E1008">
        <v>2.91354013968777E-4</v>
      </c>
      <c r="F1008">
        <v>2.91354013968777E-4</v>
      </c>
      <c r="G1008">
        <v>0</v>
      </c>
      <c r="H1008">
        <v>0</v>
      </c>
      <c r="I1008" t="s">
        <v>75</v>
      </c>
    </row>
    <row r="1009" spans="1:9" x14ac:dyDescent="0.35">
      <c r="A1009" t="s">
        <v>18</v>
      </c>
      <c r="B1009">
        <v>2040</v>
      </c>
      <c r="C1009" t="s">
        <v>74</v>
      </c>
      <c r="D1009" t="s">
        <v>56</v>
      </c>
      <c r="E1009" s="1">
        <v>1.3035914170903601E-9</v>
      </c>
      <c r="F1009" s="1">
        <v>1.3035914170903601E-9</v>
      </c>
      <c r="G1009">
        <v>0</v>
      </c>
      <c r="H1009">
        <v>0</v>
      </c>
      <c r="I1009" t="s">
        <v>75</v>
      </c>
    </row>
    <row r="1010" spans="1:9" x14ac:dyDescent="0.35">
      <c r="A1010" t="s">
        <v>12</v>
      </c>
      <c r="B1010">
        <v>2025</v>
      </c>
      <c r="C1010" t="s">
        <v>67</v>
      </c>
      <c r="D1010" t="s">
        <v>38</v>
      </c>
      <c r="E1010">
        <v>2.3943082445541601E-2</v>
      </c>
      <c r="F1010">
        <v>2.3943082445541601E-2</v>
      </c>
      <c r="G1010">
        <v>0</v>
      </c>
      <c r="H1010">
        <v>0</v>
      </c>
      <c r="I1010" t="s">
        <v>68</v>
      </c>
    </row>
    <row r="1011" spans="1:9" x14ac:dyDescent="0.35">
      <c r="A1011" t="s">
        <v>12</v>
      </c>
      <c r="B1011">
        <v>2025</v>
      </c>
      <c r="C1011" t="s">
        <v>67</v>
      </c>
      <c r="D1011" t="s">
        <v>40</v>
      </c>
      <c r="E1011">
        <v>7.1409006324814599E-3</v>
      </c>
      <c r="F1011">
        <v>7.1409006324814599E-3</v>
      </c>
      <c r="G1011">
        <v>0</v>
      </c>
      <c r="H1011">
        <v>0</v>
      </c>
      <c r="I1011" t="s">
        <v>68</v>
      </c>
    </row>
    <row r="1012" spans="1:9" x14ac:dyDescent="0.35">
      <c r="A1012" t="s">
        <v>12</v>
      </c>
      <c r="B1012">
        <v>2025</v>
      </c>
      <c r="C1012" t="s">
        <v>67</v>
      </c>
      <c r="D1012" t="s">
        <v>41</v>
      </c>
      <c r="E1012">
        <v>6.6245524088469995E-2</v>
      </c>
      <c r="F1012">
        <v>6.6245524088469995E-2</v>
      </c>
      <c r="G1012">
        <v>0</v>
      </c>
      <c r="H1012">
        <v>0</v>
      </c>
      <c r="I1012" t="s">
        <v>68</v>
      </c>
    </row>
    <row r="1013" spans="1:9" x14ac:dyDescent="0.35">
      <c r="A1013" t="s">
        <v>12</v>
      </c>
      <c r="B1013">
        <v>2025</v>
      </c>
      <c r="C1013" t="s">
        <v>67</v>
      </c>
      <c r="D1013" t="s">
        <v>42</v>
      </c>
      <c r="E1013">
        <v>30.776910988599301</v>
      </c>
      <c r="F1013">
        <v>30.776910988599301</v>
      </c>
      <c r="G1013">
        <v>0</v>
      </c>
      <c r="H1013">
        <v>0</v>
      </c>
      <c r="I1013" t="s">
        <v>68</v>
      </c>
    </row>
    <row r="1014" spans="1:9" x14ac:dyDescent="0.35">
      <c r="A1014" t="s">
        <v>12</v>
      </c>
      <c r="B1014">
        <v>2025</v>
      </c>
      <c r="C1014" t="s">
        <v>67</v>
      </c>
      <c r="D1014" t="s">
        <v>43</v>
      </c>
      <c r="E1014">
        <v>2.8586836133215499E-2</v>
      </c>
      <c r="F1014">
        <v>2.8586836133215499E-2</v>
      </c>
      <c r="G1014">
        <v>0</v>
      </c>
      <c r="H1014">
        <v>0</v>
      </c>
      <c r="I1014" t="s">
        <v>68</v>
      </c>
    </row>
    <row r="1015" spans="1:9" x14ac:dyDescent="0.35">
      <c r="A1015" t="s">
        <v>12</v>
      </c>
      <c r="B1015">
        <v>2025</v>
      </c>
      <c r="C1015" t="s">
        <v>67</v>
      </c>
      <c r="D1015" t="s">
        <v>136</v>
      </c>
      <c r="E1015">
        <v>21.611586563424598</v>
      </c>
      <c r="F1015">
        <v>21.611586563424598</v>
      </c>
      <c r="G1015">
        <v>0</v>
      </c>
      <c r="H1015">
        <v>0</v>
      </c>
      <c r="I1015" t="s">
        <v>68</v>
      </c>
    </row>
    <row r="1016" spans="1:9" x14ac:dyDescent="0.35">
      <c r="A1016" t="s">
        <v>12</v>
      </c>
      <c r="B1016">
        <v>2025</v>
      </c>
      <c r="C1016" t="s">
        <v>67</v>
      </c>
      <c r="D1016" t="s">
        <v>45</v>
      </c>
      <c r="E1016">
        <v>6.0651700918116301E-2</v>
      </c>
      <c r="F1016">
        <v>6.0651700918116301E-2</v>
      </c>
      <c r="G1016">
        <v>0</v>
      </c>
      <c r="H1016">
        <v>0</v>
      </c>
      <c r="I1016" t="s">
        <v>68</v>
      </c>
    </row>
    <row r="1017" spans="1:9" x14ac:dyDescent="0.35">
      <c r="A1017" t="s">
        <v>12</v>
      </c>
      <c r="B1017">
        <v>2025</v>
      </c>
      <c r="C1017" t="s">
        <v>67</v>
      </c>
      <c r="D1017" t="s">
        <v>46</v>
      </c>
      <c r="E1017">
        <v>0.25296751733592099</v>
      </c>
      <c r="F1017">
        <v>0.25296751733592099</v>
      </c>
      <c r="G1017">
        <v>0</v>
      </c>
      <c r="H1017">
        <v>0</v>
      </c>
      <c r="I1017" t="s">
        <v>68</v>
      </c>
    </row>
    <row r="1018" spans="1:9" x14ac:dyDescent="0.35">
      <c r="A1018" t="s">
        <v>12</v>
      </c>
      <c r="B1018">
        <v>2025</v>
      </c>
      <c r="C1018" t="s">
        <v>67</v>
      </c>
      <c r="D1018" t="s">
        <v>47</v>
      </c>
      <c r="E1018">
        <v>7.2277911122063604E-3</v>
      </c>
      <c r="F1018">
        <v>7.2277911122063604E-3</v>
      </c>
      <c r="G1018">
        <v>0</v>
      </c>
      <c r="H1018">
        <v>0</v>
      </c>
      <c r="I1018" t="s">
        <v>68</v>
      </c>
    </row>
    <row r="1019" spans="1:9" x14ac:dyDescent="0.35">
      <c r="A1019" t="s">
        <v>12</v>
      </c>
      <c r="B1019">
        <v>2025</v>
      </c>
      <c r="C1019" t="s">
        <v>67</v>
      </c>
      <c r="D1019" t="s">
        <v>48</v>
      </c>
      <c r="E1019">
        <v>108.596344512191</v>
      </c>
      <c r="F1019">
        <v>108.596344512191</v>
      </c>
      <c r="G1019">
        <v>0</v>
      </c>
      <c r="H1019">
        <v>0</v>
      </c>
      <c r="I1019" t="s">
        <v>68</v>
      </c>
    </row>
    <row r="1020" spans="1:9" x14ac:dyDescent="0.35">
      <c r="A1020" t="s">
        <v>12</v>
      </c>
      <c r="B1020">
        <v>2025</v>
      </c>
      <c r="C1020" t="s">
        <v>67</v>
      </c>
      <c r="D1020" t="s">
        <v>49</v>
      </c>
      <c r="E1020">
        <v>0.15616641524130301</v>
      </c>
      <c r="F1020">
        <v>0.15616641524130301</v>
      </c>
      <c r="G1020">
        <v>0</v>
      </c>
      <c r="H1020">
        <v>0</v>
      </c>
      <c r="I1020" t="s">
        <v>68</v>
      </c>
    </row>
    <row r="1021" spans="1:9" x14ac:dyDescent="0.35">
      <c r="A1021" t="s">
        <v>12</v>
      </c>
      <c r="B1021">
        <v>2025</v>
      </c>
      <c r="C1021" t="s">
        <v>67</v>
      </c>
      <c r="D1021" t="s">
        <v>50</v>
      </c>
      <c r="E1021">
        <v>0.39543931016287198</v>
      </c>
      <c r="F1021">
        <v>0.39543931016287198</v>
      </c>
      <c r="G1021">
        <v>0</v>
      </c>
      <c r="H1021">
        <v>0</v>
      </c>
      <c r="I1021" t="s">
        <v>68</v>
      </c>
    </row>
    <row r="1022" spans="1:9" x14ac:dyDescent="0.35">
      <c r="A1022" t="s">
        <v>12</v>
      </c>
      <c r="B1022">
        <v>2025</v>
      </c>
      <c r="C1022" t="s">
        <v>67</v>
      </c>
      <c r="D1022" t="s">
        <v>51</v>
      </c>
      <c r="E1022">
        <v>0.62992968281807904</v>
      </c>
      <c r="F1022">
        <v>0.62992968281807904</v>
      </c>
      <c r="G1022">
        <v>0</v>
      </c>
      <c r="H1022">
        <v>0</v>
      </c>
      <c r="I1022" t="s">
        <v>68</v>
      </c>
    </row>
    <row r="1023" spans="1:9" x14ac:dyDescent="0.35">
      <c r="A1023" t="s">
        <v>12</v>
      </c>
      <c r="B1023">
        <v>2025</v>
      </c>
      <c r="C1023" t="s">
        <v>67</v>
      </c>
      <c r="D1023" t="s">
        <v>52</v>
      </c>
      <c r="E1023">
        <v>11.1451494876796</v>
      </c>
      <c r="F1023">
        <v>11.1451494876796</v>
      </c>
      <c r="G1023">
        <v>0</v>
      </c>
      <c r="H1023">
        <v>0</v>
      </c>
      <c r="I1023" t="s">
        <v>68</v>
      </c>
    </row>
    <row r="1024" spans="1:9" x14ac:dyDescent="0.35">
      <c r="A1024" t="s">
        <v>12</v>
      </c>
      <c r="B1024">
        <v>2025</v>
      </c>
      <c r="C1024" t="s">
        <v>67</v>
      </c>
      <c r="D1024" t="s">
        <v>53</v>
      </c>
      <c r="E1024">
        <v>7.63913006403184</v>
      </c>
      <c r="F1024">
        <v>7.63913006403184</v>
      </c>
      <c r="G1024">
        <v>0</v>
      </c>
      <c r="H1024">
        <v>0</v>
      </c>
      <c r="I1024" t="s">
        <v>68</v>
      </c>
    </row>
    <row r="1025" spans="1:9" x14ac:dyDescent="0.35">
      <c r="A1025" t="s">
        <v>12</v>
      </c>
      <c r="B1025">
        <v>2025</v>
      </c>
      <c r="C1025" t="s">
        <v>67</v>
      </c>
      <c r="D1025" t="s">
        <v>54</v>
      </c>
      <c r="E1025">
        <v>2.8418806532789298</v>
      </c>
      <c r="F1025">
        <v>2.8418806532789298</v>
      </c>
      <c r="G1025">
        <v>0</v>
      </c>
      <c r="H1025">
        <v>0</v>
      </c>
      <c r="I1025" t="s">
        <v>68</v>
      </c>
    </row>
    <row r="1026" spans="1:9" x14ac:dyDescent="0.35">
      <c r="A1026" t="s">
        <v>12</v>
      </c>
      <c r="B1026">
        <v>2025</v>
      </c>
      <c r="C1026" t="s">
        <v>67</v>
      </c>
      <c r="D1026" t="s">
        <v>55</v>
      </c>
      <c r="E1026">
        <v>2.6354569978182401</v>
      </c>
      <c r="F1026">
        <v>2.6354569978182401</v>
      </c>
      <c r="G1026">
        <v>0</v>
      </c>
      <c r="H1026">
        <v>0</v>
      </c>
      <c r="I1026" t="s">
        <v>68</v>
      </c>
    </row>
    <row r="1027" spans="1:9" x14ac:dyDescent="0.35">
      <c r="A1027" t="s">
        <v>12</v>
      </c>
      <c r="B1027">
        <v>2025</v>
      </c>
      <c r="C1027" t="s">
        <v>67</v>
      </c>
      <c r="D1027" t="s">
        <v>56</v>
      </c>
      <c r="E1027" s="1">
        <v>2.4217029202828099E-6</v>
      </c>
      <c r="F1027" s="1">
        <v>2.4217029202828099E-6</v>
      </c>
      <c r="G1027">
        <v>0</v>
      </c>
      <c r="H1027">
        <v>0</v>
      </c>
      <c r="I1027" t="s">
        <v>68</v>
      </c>
    </row>
    <row r="1028" spans="1:9" x14ac:dyDescent="0.35">
      <c r="A1028" t="s">
        <v>14</v>
      </c>
      <c r="B1028">
        <v>2030</v>
      </c>
      <c r="C1028" t="s">
        <v>67</v>
      </c>
      <c r="D1028" t="s">
        <v>38</v>
      </c>
      <c r="E1028">
        <v>2.4325458695369E-2</v>
      </c>
      <c r="F1028">
        <v>2.4325458695369E-2</v>
      </c>
      <c r="G1028">
        <v>0</v>
      </c>
      <c r="H1028">
        <v>0</v>
      </c>
      <c r="I1028" t="s">
        <v>68</v>
      </c>
    </row>
    <row r="1029" spans="1:9" x14ac:dyDescent="0.35">
      <c r="A1029" t="s">
        <v>14</v>
      </c>
      <c r="B1029">
        <v>2030</v>
      </c>
      <c r="C1029" t="s">
        <v>67</v>
      </c>
      <c r="D1029" t="s">
        <v>40</v>
      </c>
      <c r="E1029">
        <v>6.8719517880489701E-3</v>
      </c>
      <c r="F1029">
        <v>6.8719517880489701E-3</v>
      </c>
      <c r="G1029">
        <v>0</v>
      </c>
      <c r="H1029">
        <v>0</v>
      </c>
      <c r="I1029" t="s">
        <v>68</v>
      </c>
    </row>
    <row r="1030" spans="1:9" x14ac:dyDescent="0.35">
      <c r="A1030" t="s">
        <v>14</v>
      </c>
      <c r="B1030">
        <v>2030</v>
      </c>
      <c r="C1030" t="s">
        <v>67</v>
      </c>
      <c r="D1030" t="s">
        <v>41</v>
      </c>
      <c r="E1030">
        <v>6.4164917629675994E-2</v>
      </c>
      <c r="F1030">
        <v>6.4164917629675994E-2</v>
      </c>
      <c r="G1030">
        <v>0</v>
      </c>
      <c r="H1030">
        <v>0</v>
      </c>
      <c r="I1030" t="s">
        <v>68</v>
      </c>
    </row>
    <row r="1031" spans="1:9" x14ac:dyDescent="0.35">
      <c r="A1031" t="s">
        <v>14</v>
      </c>
      <c r="B1031">
        <v>2030</v>
      </c>
      <c r="C1031" t="s">
        <v>67</v>
      </c>
      <c r="D1031" t="s">
        <v>42</v>
      </c>
      <c r="E1031">
        <v>30.632859694653899</v>
      </c>
      <c r="F1031">
        <v>30.632859694653899</v>
      </c>
      <c r="G1031">
        <v>0</v>
      </c>
      <c r="H1031">
        <v>0</v>
      </c>
      <c r="I1031" t="s">
        <v>68</v>
      </c>
    </row>
    <row r="1032" spans="1:9" x14ac:dyDescent="0.35">
      <c r="A1032" t="s">
        <v>14</v>
      </c>
      <c r="B1032">
        <v>2030</v>
      </c>
      <c r="C1032" t="s">
        <v>67</v>
      </c>
      <c r="D1032" t="s">
        <v>43</v>
      </c>
      <c r="E1032">
        <v>2.8146200338515701E-2</v>
      </c>
      <c r="F1032">
        <v>2.8146200338515701E-2</v>
      </c>
      <c r="G1032">
        <v>0</v>
      </c>
      <c r="H1032">
        <v>0</v>
      </c>
      <c r="I1032" t="s">
        <v>68</v>
      </c>
    </row>
    <row r="1033" spans="1:9" x14ac:dyDescent="0.35">
      <c r="A1033" t="s">
        <v>14</v>
      </c>
      <c r="B1033">
        <v>2030</v>
      </c>
      <c r="C1033" t="s">
        <v>67</v>
      </c>
      <c r="D1033" t="s">
        <v>136</v>
      </c>
      <c r="E1033">
        <v>21.027768756414599</v>
      </c>
      <c r="F1033">
        <v>21.027768756414599</v>
      </c>
      <c r="G1033">
        <v>0</v>
      </c>
      <c r="H1033">
        <v>0</v>
      </c>
      <c r="I1033" t="s">
        <v>68</v>
      </c>
    </row>
    <row r="1034" spans="1:9" x14ac:dyDescent="0.35">
      <c r="A1034" t="s">
        <v>14</v>
      </c>
      <c r="B1034">
        <v>2030</v>
      </c>
      <c r="C1034" t="s">
        <v>67</v>
      </c>
      <c r="D1034" t="s">
        <v>45</v>
      </c>
      <c r="E1034">
        <v>5.89338427262684E-2</v>
      </c>
      <c r="F1034">
        <v>5.89338427262684E-2</v>
      </c>
      <c r="G1034">
        <v>0</v>
      </c>
      <c r="H1034">
        <v>0</v>
      </c>
      <c r="I1034" t="s">
        <v>68</v>
      </c>
    </row>
    <row r="1035" spans="1:9" x14ac:dyDescent="0.35">
      <c r="A1035" t="s">
        <v>14</v>
      </c>
      <c r="B1035">
        <v>2030</v>
      </c>
      <c r="C1035" t="s">
        <v>67</v>
      </c>
      <c r="D1035" t="s">
        <v>46</v>
      </c>
      <c r="E1035">
        <v>0.35706795411416697</v>
      </c>
      <c r="F1035">
        <v>0.35706795411416697</v>
      </c>
      <c r="G1035">
        <v>0</v>
      </c>
      <c r="H1035">
        <v>0</v>
      </c>
      <c r="I1035" t="s">
        <v>68</v>
      </c>
    </row>
    <row r="1036" spans="1:9" x14ac:dyDescent="0.35">
      <c r="A1036" t="s">
        <v>14</v>
      </c>
      <c r="B1036">
        <v>2030</v>
      </c>
      <c r="C1036" t="s">
        <v>67</v>
      </c>
      <c r="D1036" t="s">
        <v>47</v>
      </c>
      <c r="E1036">
        <v>7.0708749517122997E-3</v>
      </c>
      <c r="F1036">
        <v>7.0708749517122997E-3</v>
      </c>
      <c r="G1036">
        <v>0</v>
      </c>
      <c r="H1036">
        <v>0</v>
      </c>
      <c r="I1036" t="s">
        <v>68</v>
      </c>
    </row>
    <row r="1037" spans="1:9" x14ac:dyDescent="0.35">
      <c r="A1037" t="s">
        <v>14</v>
      </c>
      <c r="B1037">
        <v>2030</v>
      </c>
      <c r="C1037" t="s">
        <v>67</v>
      </c>
      <c r="D1037" t="s">
        <v>48</v>
      </c>
      <c r="E1037">
        <v>108.579624198959</v>
      </c>
      <c r="F1037">
        <v>108.579624198959</v>
      </c>
      <c r="G1037">
        <v>0</v>
      </c>
      <c r="H1037">
        <v>0</v>
      </c>
      <c r="I1037" t="s">
        <v>68</v>
      </c>
    </row>
    <row r="1038" spans="1:9" x14ac:dyDescent="0.35">
      <c r="A1038" t="s">
        <v>14</v>
      </c>
      <c r="B1038">
        <v>2030</v>
      </c>
      <c r="C1038" t="s">
        <v>67</v>
      </c>
      <c r="D1038" t="s">
        <v>49</v>
      </c>
      <c r="E1038">
        <v>0.154043598377576</v>
      </c>
      <c r="F1038">
        <v>0.154043598377576</v>
      </c>
      <c r="G1038">
        <v>0</v>
      </c>
      <c r="H1038">
        <v>0</v>
      </c>
      <c r="I1038" t="s">
        <v>68</v>
      </c>
    </row>
    <row r="1039" spans="1:9" x14ac:dyDescent="0.35">
      <c r="A1039" t="s">
        <v>14</v>
      </c>
      <c r="B1039">
        <v>2030</v>
      </c>
      <c r="C1039" t="s">
        <v>67</v>
      </c>
      <c r="D1039" t="s">
        <v>50</v>
      </c>
      <c r="E1039">
        <v>0.39611203750448698</v>
      </c>
      <c r="F1039">
        <v>0.39611203750448698</v>
      </c>
      <c r="G1039">
        <v>0</v>
      </c>
      <c r="H1039">
        <v>0</v>
      </c>
      <c r="I1039" t="s">
        <v>68</v>
      </c>
    </row>
    <row r="1040" spans="1:9" x14ac:dyDescent="0.35">
      <c r="A1040" t="s">
        <v>14</v>
      </c>
      <c r="B1040">
        <v>2030</v>
      </c>
      <c r="C1040" t="s">
        <v>67</v>
      </c>
      <c r="D1040" t="s">
        <v>51</v>
      </c>
      <c r="E1040">
        <v>0.63177673822892899</v>
      </c>
      <c r="F1040">
        <v>0.63177673822892899</v>
      </c>
      <c r="G1040">
        <v>0</v>
      </c>
      <c r="H1040">
        <v>0</v>
      </c>
      <c r="I1040" t="s">
        <v>68</v>
      </c>
    </row>
    <row r="1041" spans="1:9" x14ac:dyDescent="0.35">
      <c r="A1041" t="s">
        <v>14</v>
      </c>
      <c r="B1041">
        <v>2030</v>
      </c>
      <c r="C1041" t="s">
        <v>67</v>
      </c>
      <c r="D1041" t="s">
        <v>52</v>
      </c>
      <c r="E1041">
        <v>11.0409999406238</v>
      </c>
      <c r="F1041">
        <v>11.0409999406238</v>
      </c>
      <c r="G1041">
        <v>0</v>
      </c>
      <c r="H1041">
        <v>0</v>
      </c>
      <c r="I1041" t="s">
        <v>68</v>
      </c>
    </row>
    <row r="1042" spans="1:9" x14ac:dyDescent="0.35">
      <c r="A1042" t="s">
        <v>14</v>
      </c>
      <c r="B1042">
        <v>2030</v>
      </c>
      <c r="C1042" t="s">
        <v>67</v>
      </c>
      <c r="D1042" t="s">
        <v>53</v>
      </c>
      <c r="E1042">
        <v>7.3900224361101499</v>
      </c>
      <c r="F1042">
        <v>7.3900224361101499</v>
      </c>
      <c r="G1042">
        <v>0</v>
      </c>
      <c r="H1042">
        <v>0</v>
      </c>
      <c r="I1042" t="s">
        <v>68</v>
      </c>
    </row>
    <row r="1043" spans="1:9" x14ac:dyDescent="0.35">
      <c r="A1043" t="s">
        <v>14</v>
      </c>
      <c r="B1043">
        <v>2030</v>
      </c>
      <c r="C1043" t="s">
        <v>67</v>
      </c>
      <c r="D1043" t="s">
        <v>54</v>
      </c>
      <c r="E1043">
        <v>2.8450710883690098</v>
      </c>
      <c r="F1043">
        <v>2.8450710883690098</v>
      </c>
      <c r="G1043">
        <v>0</v>
      </c>
      <c r="H1043">
        <v>0</v>
      </c>
      <c r="I1043" t="s">
        <v>68</v>
      </c>
    </row>
    <row r="1044" spans="1:9" x14ac:dyDescent="0.35">
      <c r="A1044" t="s">
        <v>14</v>
      </c>
      <c r="B1044">
        <v>2030</v>
      </c>
      <c r="C1044" t="s">
        <v>67</v>
      </c>
      <c r="D1044" t="s">
        <v>55</v>
      </c>
      <c r="E1044">
        <v>2.63735671313722</v>
      </c>
      <c r="F1044">
        <v>2.63735671313722</v>
      </c>
      <c r="G1044">
        <v>0</v>
      </c>
      <c r="H1044">
        <v>0</v>
      </c>
      <c r="I1044" t="s">
        <v>68</v>
      </c>
    </row>
    <row r="1045" spans="1:9" x14ac:dyDescent="0.35">
      <c r="A1045" t="s">
        <v>14</v>
      </c>
      <c r="B1045">
        <v>2030</v>
      </c>
      <c r="C1045" t="s">
        <v>67</v>
      </c>
      <c r="D1045" t="s">
        <v>56</v>
      </c>
      <c r="E1045" s="1">
        <v>2.3070456856947802E-6</v>
      </c>
      <c r="F1045" s="1">
        <v>2.3070456856947802E-6</v>
      </c>
      <c r="G1045">
        <v>0</v>
      </c>
      <c r="H1045">
        <v>0</v>
      </c>
      <c r="I1045" t="s">
        <v>68</v>
      </c>
    </row>
    <row r="1046" spans="1:9" x14ac:dyDescent="0.35">
      <c r="A1046" t="s">
        <v>16</v>
      </c>
      <c r="B1046">
        <v>2035</v>
      </c>
      <c r="C1046" t="s">
        <v>67</v>
      </c>
      <c r="D1046" t="s">
        <v>38</v>
      </c>
      <c r="E1046">
        <v>2.60696620563435E-2</v>
      </c>
      <c r="F1046">
        <v>2.60696620563435E-2</v>
      </c>
      <c r="G1046">
        <v>0</v>
      </c>
      <c r="H1046">
        <v>0</v>
      </c>
      <c r="I1046" t="s">
        <v>68</v>
      </c>
    </row>
    <row r="1047" spans="1:9" x14ac:dyDescent="0.35">
      <c r="A1047" t="s">
        <v>16</v>
      </c>
      <c r="B1047">
        <v>2035</v>
      </c>
      <c r="C1047" t="s">
        <v>67</v>
      </c>
      <c r="D1047" t="s">
        <v>40</v>
      </c>
      <c r="E1047">
        <v>6.62641286959434E-3</v>
      </c>
      <c r="F1047">
        <v>6.62641286959434E-3</v>
      </c>
      <c r="G1047">
        <v>0</v>
      </c>
      <c r="H1047">
        <v>0</v>
      </c>
      <c r="I1047" t="s">
        <v>68</v>
      </c>
    </row>
    <row r="1048" spans="1:9" x14ac:dyDescent="0.35">
      <c r="A1048" t="s">
        <v>16</v>
      </c>
      <c r="B1048">
        <v>2035</v>
      </c>
      <c r="C1048" t="s">
        <v>67</v>
      </c>
      <c r="D1048" t="s">
        <v>41</v>
      </c>
      <c r="E1048">
        <v>6.3004165787809305E-2</v>
      </c>
      <c r="F1048">
        <v>6.3004165787809305E-2</v>
      </c>
      <c r="G1048">
        <v>0</v>
      </c>
      <c r="H1048">
        <v>0</v>
      </c>
      <c r="I1048" t="s">
        <v>68</v>
      </c>
    </row>
    <row r="1049" spans="1:9" x14ac:dyDescent="0.35">
      <c r="A1049" t="s">
        <v>16</v>
      </c>
      <c r="B1049">
        <v>2035</v>
      </c>
      <c r="C1049" t="s">
        <v>67</v>
      </c>
      <c r="D1049" t="s">
        <v>42</v>
      </c>
      <c r="E1049">
        <v>30.6328236412932</v>
      </c>
      <c r="F1049">
        <v>30.6328236412932</v>
      </c>
      <c r="G1049">
        <v>0</v>
      </c>
      <c r="H1049">
        <v>0</v>
      </c>
      <c r="I1049" t="s">
        <v>68</v>
      </c>
    </row>
    <row r="1050" spans="1:9" x14ac:dyDescent="0.35">
      <c r="A1050" t="s">
        <v>16</v>
      </c>
      <c r="B1050">
        <v>2035</v>
      </c>
      <c r="C1050" t="s">
        <v>67</v>
      </c>
      <c r="D1050" t="s">
        <v>43</v>
      </c>
      <c r="E1050">
        <v>2.8283589549780299E-2</v>
      </c>
      <c r="F1050">
        <v>2.8283589549780299E-2</v>
      </c>
      <c r="G1050">
        <v>0</v>
      </c>
      <c r="H1050">
        <v>0</v>
      </c>
      <c r="I1050" t="s">
        <v>68</v>
      </c>
    </row>
    <row r="1051" spans="1:9" x14ac:dyDescent="0.35">
      <c r="A1051" t="s">
        <v>16</v>
      </c>
      <c r="B1051">
        <v>2035</v>
      </c>
      <c r="C1051" t="s">
        <v>67</v>
      </c>
      <c r="D1051" t="s">
        <v>136</v>
      </c>
      <c r="E1051">
        <v>20.717322873350302</v>
      </c>
      <c r="F1051">
        <v>20.717322873350302</v>
      </c>
      <c r="G1051">
        <v>0</v>
      </c>
      <c r="H1051">
        <v>0</v>
      </c>
      <c r="I1051" t="s">
        <v>68</v>
      </c>
    </row>
    <row r="1052" spans="1:9" x14ac:dyDescent="0.35">
      <c r="A1052" t="s">
        <v>16</v>
      </c>
      <c r="B1052">
        <v>2035</v>
      </c>
      <c r="C1052" t="s">
        <v>67</v>
      </c>
      <c r="D1052" t="s">
        <v>45</v>
      </c>
      <c r="E1052">
        <v>5.7835318644571601E-2</v>
      </c>
      <c r="F1052">
        <v>5.7835318644571601E-2</v>
      </c>
      <c r="G1052">
        <v>0</v>
      </c>
      <c r="H1052">
        <v>0</v>
      </c>
      <c r="I1052" t="s">
        <v>68</v>
      </c>
    </row>
    <row r="1053" spans="1:9" x14ac:dyDescent="0.35">
      <c r="A1053" t="s">
        <v>16</v>
      </c>
      <c r="B1053">
        <v>2035</v>
      </c>
      <c r="C1053" t="s">
        <v>67</v>
      </c>
      <c r="D1053" t="s">
        <v>46</v>
      </c>
      <c r="E1053">
        <v>0.62550309310678298</v>
      </c>
      <c r="F1053">
        <v>0.62550309310678298</v>
      </c>
      <c r="G1053">
        <v>0</v>
      </c>
      <c r="H1053">
        <v>0</v>
      </c>
      <c r="I1053" t="s">
        <v>68</v>
      </c>
    </row>
    <row r="1054" spans="1:9" x14ac:dyDescent="0.35">
      <c r="A1054" t="s">
        <v>16</v>
      </c>
      <c r="B1054">
        <v>2035</v>
      </c>
      <c r="C1054" t="s">
        <v>67</v>
      </c>
      <c r="D1054" t="s">
        <v>47</v>
      </c>
      <c r="E1054">
        <v>7.0526411861347301E-3</v>
      </c>
      <c r="F1054">
        <v>7.0526411861347301E-3</v>
      </c>
      <c r="G1054">
        <v>0</v>
      </c>
      <c r="H1054">
        <v>0</v>
      </c>
      <c r="I1054" t="s">
        <v>68</v>
      </c>
    </row>
    <row r="1055" spans="1:9" x14ac:dyDescent="0.35">
      <c r="A1055" t="s">
        <v>16</v>
      </c>
      <c r="B1055">
        <v>2035</v>
      </c>
      <c r="C1055" t="s">
        <v>67</v>
      </c>
      <c r="D1055" t="s">
        <v>48</v>
      </c>
      <c r="E1055">
        <v>108.562914278185</v>
      </c>
      <c r="F1055">
        <v>108.562914278185</v>
      </c>
      <c r="G1055">
        <v>0</v>
      </c>
      <c r="H1055">
        <v>0</v>
      </c>
      <c r="I1055" t="s">
        <v>68</v>
      </c>
    </row>
    <row r="1056" spans="1:9" x14ac:dyDescent="0.35">
      <c r="A1056" t="s">
        <v>16</v>
      </c>
      <c r="B1056">
        <v>2035</v>
      </c>
      <c r="C1056" t="s">
        <v>67</v>
      </c>
      <c r="D1056" t="s">
        <v>49</v>
      </c>
      <c r="E1056">
        <v>0.15322090720241199</v>
      </c>
      <c r="F1056">
        <v>0.15322090720241199</v>
      </c>
      <c r="G1056">
        <v>0</v>
      </c>
      <c r="H1056">
        <v>0</v>
      </c>
      <c r="I1056" t="s">
        <v>68</v>
      </c>
    </row>
    <row r="1057" spans="1:9" x14ac:dyDescent="0.35">
      <c r="A1057" t="s">
        <v>16</v>
      </c>
      <c r="B1057">
        <v>2035</v>
      </c>
      <c r="C1057" t="s">
        <v>67</v>
      </c>
      <c r="D1057" t="s">
        <v>50</v>
      </c>
      <c r="E1057">
        <v>0.40209289342765098</v>
      </c>
      <c r="F1057">
        <v>0.40209289342765098</v>
      </c>
      <c r="G1057">
        <v>0</v>
      </c>
      <c r="H1057">
        <v>0</v>
      </c>
      <c r="I1057" t="s">
        <v>68</v>
      </c>
    </row>
    <row r="1058" spans="1:9" x14ac:dyDescent="0.35">
      <c r="A1058" t="s">
        <v>16</v>
      </c>
      <c r="B1058">
        <v>2035</v>
      </c>
      <c r="C1058" t="s">
        <v>67</v>
      </c>
      <c r="D1058" t="s">
        <v>51</v>
      </c>
      <c r="E1058">
        <v>0.63941309871569896</v>
      </c>
      <c r="F1058">
        <v>0.63941309871569896</v>
      </c>
      <c r="G1058">
        <v>0</v>
      </c>
      <c r="H1058">
        <v>0</v>
      </c>
      <c r="I1058" t="s">
        <v>68</v>
      </c>
    </row>
    <row r="1059" spans="1:9" x14ac:dyDescent="0.35">
      <c r="A1059" t="s">
        <v>16</v>
      </c>
      <c r="B1059">
        <v>2035</v>
      </c>
      <c r="C1059" t="s">
        <v>67</v>
      </c>
      <c r="D1059" t="s">
        <v>52</v>
      </c>
      <c r="E1059">
        <v>10.9454627546081</v>
      </c>
      <c r="F1059">
        <v>10.9454627546081</v>
      </c>
      <c r="G1059">
        <v>0</v>
      </c>
      <c r="H1059">
        <v>0</v>
      </c>
      <c r="I1059" t="s">
        <v>68</v>
      </c>
    </row>
    <row r="1060" spans="1:9" x14ac:dyDescent="0.35">
      <c r="A1060" t="s">
        <v>16</v>
      </c>
      <c r="B1060">
        <v>2035</v>
      </c>
      <c r="C1060" t="s">
        <v>67</v>
      </c>
      <c r="D1060" t="s">
        <v>53</v>
      </c>
      <c r="E1060">
        <v>7.2126523984291397</v>
      </c>
      <c r="F1060">
        <v>7.2126523984291397</v>
      </c>
      <c r="G1060">
        <v>0</v>
      </c>
      <c r="H1060">
        <v>0</v>
      </c>
      <c r="I1060" t="s">
        <v>68</v>
      </c>
    </row>
    <row r="1061" spans="1:9" x14ac:dyDescent="0.35">
      <c r="A1061" t="s">
        <v>16</v>
      </c>
      <c r="B1061">
        <v>2035</v>
      </c>
      <c r="C1061" t="s">
        <v>67</v>
      </c>
      <c r="D1061" t="s">
        <v>54</v>
      </c>
      <c r="E1061">
        <v>2.8517390405956098</v>
      </c>
      <c r="F1061">
        <v>2.8517390405956098</v>
      </c>
      <c r="G1061">
        <v>0</v>
      </c>
      <c r="H1061">
        <v>0</v>
      </c>
      <c r="I1061" t="s">
        <v>68</v>
      </c>
    </row>
    <row r="1062" spans="1:9" x14ac:dyDescent="0.35">
      <c r="A1062" t="s">
        <v>16</v>
      </c>
      <c r="B1062">
        <v>2035</v>
      </c>
      <c r="C1062" t="s">
        <v>67</v>
      </c>
      <c r="D1062" t="s">
        <v>55</v>
      </c>
      <c r="E1062">
        <v>2.6431380974180301</v>
      </c>
      <c r="F1062">
        <v>2.6431380974180301</v>
      </c>
      <c r="G1062">
        <v>0</v>
      </c>
      <c r="H1062">
        <v>0</v>
      </c>
      <c r="I1062" t="s">
        <v>68</v>
      </c>
    </row>
    <row r="1063" spans="1:9" x14ac:dyDescent="0.35">
      <c r="A1063" t="s">
        <v>16</v>
      </c>
      <c r="B1063">
        <v>2035</v>
      </c>
      <c r="C1063" t="s">
        <v>67</v>
      </c>
      <c r="D1063" t="s">
        <v>56</v>
      </c>
      <c r="E1063" s="1">
        <v>2.2239545795343599E-6</v>
      </c>
      <c r="F1063" s="1">
        <v>2.2239545795343599E-6</v>
      </c>
      <c r="G1063">
        <v>0</v>
      </c>
      <c r="H1063">
        <v>0</v>
      </c>
      <c r="I1063" t="s">
        <v>68</v>
      </c>
    </row>
    <row r="1064" spans="1:9" x14ac:dyDescent="0.35">
      <c r="A1064" t="s">
        <v>18</v>
      </c>
      <c r="B1064">
        <v>2040</v>
      </c>
      <c r="C1064" t="s">
        <v>67</v>
      </c>
      <c r="D1064" t="s">
        <v>38</v>
      </c>
      <c r="E1064">
        <v>2.89769551041201E-2</v>
      </c>
      <c r="F1064">
        <v>1.33117678607712E-2</v>
      </c>
      <c r="G1064">
        <v>-1.5665187243348901E-2</v>
      </c>
      <c r="H1064">
        <v>-54.060846583295898</v>
      </c>
      <c r="I1064" t="s">
        <v>68</v>
      </c>
    </row>
    <row r="1065" spans="1:9" x14ac:dyDescent="0.35">
      <c r="A1065" t="s">
        <v>18</v>
      </c>
      <c r="B1065">
        <v>2040</v>
      </c>
      <c r="C1065" t="s">
        <v>67</v>
      </c>
      <c r="D1065" t="s">
        <v>40</v>
      </c>
      <c r="E1065">
        <v>6.3789499044478101E-3</v>
      </c>
      <c r="F1065">
        <v>6.3789499044478101E-3</v>
      </c>
      <c r="G1065">
        <v>0</v>
      </c>
      <c r="H1065">
        <v>0</v>
      </c>
      <c r="I1065" t="s">
        <v>68</v>
      </c>
    </row>
    <row r="1066" spans="1:9" x14ac:dyDescent="0.35">
      <c r="A1066" t="s">
        <v>18</v>
      </c>
      <c r="B1066">
        <v>2040</v>
      </c>
      <c r="C1066" t="s">
        <v>67</v>
      </c>
      <c r="D1066" t="s">
        <v>41</v>
      </c>
      <c r="E1066">
        <v>6.2445233834767799E-2</v>
      </c>
      <c r="F1066">
        <v>5.51216367850011E-2</v>
      </c>
      <c r="G1066">
        <v>-7.3235970497667604E-3</v>
      </c>
      <c r="H1066">
        <v>-11.728032069101101</v>
      </c>
      <c r="I1066" t="s">
        <v>68</v>
      </c>
    </row>
    <row r="1067" spans="1:9" x14ac:dyDescent="0.35">
      <c r="A1067" t="s">
        <v>18</v>
      </c>
      <c r="B1067">
        <v>2040</v>
      </c>
      <c r="C1067" t="s">
        <v>67</v>
      </c>
      <c r="D1067" t="s">
        <v>42</v>
      </c>
      <c r="E1067">
        <v>30.796590276961101</v>
      </c>
      <c r="F1067">
        <v>25.009463330919299</v>
      </c>
      <c r="G1067">
        <v>-5.7871269460417398</v>
      </c>
      <c r="H1067">
        <v>-18.7914535148103</v>
      </c>
      <c r="I1067" t="s">
        <v>68</v>
      </c>
    </row>
    <row r="1068" spans="1:9" x14ac:dyDescent="0.35">
      <c r="A1068" t="s">
        <v>18</v>
      </c>
      <c r="B1068">
        <v>2040</v>
      </c>
      <c r="C1068" t="s">
        <v>67</v>
      </c>
      <c r="D1068" t="s">
        <v>43</v>
      </c>
      <c r="E1068">
        <v>2.88474226725337E-2</v>
      </c>
      <c r="F1068">
        <v>2.6636147928071799E-2</v>
      </c>
      <c r="G1068">
        <v>-2.2112747444618902E-3</v>
      </c>
      <c r="H1068">
        <v>-7.6654152766558701</v>
      </c>
      <c r="I1068" t="s">
        <v>68</v>
      </c>
    </row>
    <row r="1069" spans="1:9" x14ac:dyDescent="0.35">
      <c r="A1069" t="s">
        <v>18</v>
      </c>
      <c r="B1069">
        <v>2040</v>
      </c>
      <c r="C1069" t="s">
        <v>67</v>
      </c>
      <c r="D1069" t="s">
        <v>136</v>
      </c>
      <c r="E1069">
        <v>20.6373695408437</v>
      </c>
      <c r="F1069">
        <v>20.042067550111799</v>
      </c>
      <c r="G1069">
        <v>-0.59530199073185097</v>
      </c>
      <c r="H1069">
        <v>-2.8845826962282102</v>
      </c>
      <c r="I1069" t="s">
        <v>68</v>
      </c>
    </row>
    <row r="1070" spans="1:9" x14ac:dyDescent="0.35">
      <c r="A1070" t="s">
        <v>18</v>
      </c>
      <c r="B1070">
        <v>2040</v>
      </c>
      <c r="C1070" t="s">
        <v>67</v>
      </c>
      <c r="D1070" t="s">
        <v>45</v>
      </c>
      <c r="E1070">
        <v>5.7529193778212702E-2</v>
      </c>
      <c r="F1070">
        <v>3.3364378972504001E-2</v>
      </c>
      <c r="G1070">
        <v>-2.41648148057086E-2</v>
      </c>
      <c r="H1070">
        <v>-42.004438474957801</v>
      </c>
      <c r="I1070" t="s">
        <v>68</v>
      </c>
    </row>
    <row r="1071" spans="1:9" x14ac:dyDescent="0.35">
      <c r="A1071" t="s">
        <v>18</v>
      </c>
      <c r="B1071">
        <v>2040</v>
      </c>
      <c r="C1071" t="s">
        <v>67</v>
      </c>
      <c r="D1071" t="s">
        <v>46</v>
      </c>
      <c r="E1071">
        <v>1.0079126631027899</v>
      </c>
      <c r="F1071">
        <v>1.0079126631027899</v>
      </c>
      <c r="G1071">
        <v>0</v>
      </c>
      <c r="H1071">
        <v>0</v>
      </c>
      <c r="I1071" t="s">
        <v>68</v>
      </c>
    </row>
    <row r="1072" spans="1:9" x14ac:dyDescent="0.35">
      <c r="A1072" t="s">
        <v>18</v>
      </c>
      <c r="B1072">
        <v>2040</v>
      </c>
      <c r="C1072" t="s">
        <v>67</v>
      </c>
      <c r="D1072" t="s">
        <v>47</v>
      </c>
      <c r="E1072">
        <v>7.25324485068847E-3</v>
      </c>
      <c r="F1072">
        <v>7.25324485068847E-3</v>
      </c>
      <c r="G1072">
        <v>0</v>
      </c>
      <c r="H1072">
        <v>0</v>
      </c>
      <c r="I1072" t="s">
        <v>68</v>
      </c>
    </row>
    <row r="1073" spans="1:9" x14ac:dyDescent="0.35">
      <c r="A1073" t="s">
        <v>18</v>
      </c>
      <c r="B1073">
        <v>2040</v>
      </c>
      <c r="C1073" t="s">
        <v>67</v>
      </c>
      <c r="D1073" t="s">
        <v>48</v>
      </c>
      <c r="E1073">
        <v>108.567100154492</v>
      </c>
      <c r="F1073">
        <v>108.567100154492</v>
      </c>
      <c r="G1073">
        <v>0</v>
      </c>
      <c r="H1073">
        <v>0</v>
      </c>
      <c r="I1073" t="s">
        <v>68</v>
      </c>
    </row>
    <row r="1074" spans="1:9" x14ac:dyDescent="0.35">
      <c r="A1074" t="s">
        <v>18</v>
      </c>
      <c r="B1074">
        <v>2040</v>
      </c>
      <c r="C1074" t="s">
        <v>67</v>
      </c>
      <c r="D1074" t="s">
        <v>49</v>
      </c>
      <c r="E1074">
        <v>0.15356099117115199</v>
      </c>
      <c r="F1074">
        <v>8.2289015492244696E-2</v>
      </c>
      <c r="G1074">
        <v>-7.1271975678907598E-2</v>
      </c>
      <c r="H1074">
        <v>-46.412813003708003</v>
      </c>
      <c r="I1074" t="s">
        <v>68</v>
      </c>
    </row>
    <row r="1075" spans="1:9" x14ac:dyDescent="0.35">
      <c r="A1075" t="s">
        <v>18</v>
      </c>
      <c r="B1075">
        <v>2040</v>
      </c>
      <c r="C1075" t="s">
        <v>67</v>
      </c>
      <c r="D1075" t="s">
        <v>50</v>
      </c>
      <c r="E1075">
        <v>0.41171647337179801</v>
      </c>
      <c r="F1075">
        <v>0.41171647337179801</v>
      </c>
      <c r="G1075">
        <v>0</v>
      </c>
      <c r="H1075">
        <v>0</v>
      </c>
      <c r="I1075" t="s">
        <v>68</v>
      </c>
    </row>
    <row r="1076" spans="1:9" x14ac:dyDescent="0.35">
      <c r="A1076" t="s">
        <v>18</v>
      </c>
      <c r="B1076">
        <v>2040</v>
      </c>
      <c r="C1076" t="s">
        <v>67</v>
      </c>
      <c r="D1076" t="s">
        <v>51</v>
      </c>
      <c r="E1076">
        <v>0.65077016294460599</v>
      </c>
      <c r="F1076">
        <v>0.65077016294460599</v>
      </c>
      <c r="G1076">
        <v>0</v>
      </c>
      <c r="H1076">
        <v>0</v>
      </c>
      <c r="I1076" t="s">
        <v>68</v>
      </c>
    </row>
    <row r="1077" spans="1:9" x14ac:dyDescent="0.35">
      <c r="A1077" t="s">
        <v>18</v>
      </c>
      <c r="B1077">
        <v>2040</v>
      </c>
      <c r="C1077" t="s">
        <v>67</v>
      </c>
      <c r="D1077" t="s">
        <v>52</v>
      </c>
      <c r="E1077">
        <v>10.853028388079199</v>
      </c>
      <c r="F1077">
        <v>10.853028388079199</v>
      </c>
      <c r="G1077">
        <v>0</v>
      </c>
      <c r="H1077">
        <v>0</v>
      </c>
      <c r="I1077" t="s">
        <v>68</v>
      </c>
    </row>
    <row r="1078" spans="1:9" x14ac:dyDescent="0.35">
      <c r="A1078" t="s">
        <v>18</v>
      </c>
      <c r="B1078">
        <v>2040</v>
      </c>
      <c r="C1078" t="s">
        <v>67</v>
      </c>
      <c r="D1078" t="s">
        <v>53</v>
      </c>
      <c r="E1078">
        <v>7.0860160377344101</v>
      </c>
      <c r="F1078">
        <v>7.0860160377344101</v>
      </c>
      <c r="G1078">
        <v>0</v>
      </c>
      <c r="H1078">
        <v>0</v>
      </c>
      <c r="I1078" t="s">
        <v>68</v>
      </c>
    </row>
    <row r="1079" spans="1:9" x14ac:dyDescent="0.35">
      <c r="A1079" t="s">
        <v>18</v>
      </c>
      <c r="B1079">
        <v>2040</v>
      </c>
      <c r="C1079" t="s">
        <v>67</v>
      </c>
      <c r="D1079" t="s">
        <v>54</v>
      </c>
      <c r="E1079">
        <v>2.86484007001373</v>
      </c>
      <c r="F1079">
        <v>2.861430734537</v>
      </c>
      <c r="G1079">
        <v>-3.4093354767330501E-3</v>
      </c>
      <c r="H1079">
        <v>-0.119006136238408</v>
      </c>
      <c r="I1079" t="s">
        <v>68</v>
      </c>
    </row>
    <row r="1080" spans="1:9" x14ac:dyDescent="0.35">
      <c r="A1080" t="s">
        <v>18</v>
      </c>
      <c r="B1080">
        <v>2040</v>
      </c>
      <c r="C1080" t="s">
        <v>67</v>
      </c>
      <c r="D1080" t="s">
        <v>55</v>
      </c>
      <c r="E1080">
        <v>2.6547943544571901</v>
      </c>
      <c r="F1080">
        <v>2.5002719595176202</v>
      </c>
      <c r="G1080">
        <v>-0.15452239493957001</v>
      </c>
      <c r="H1080">
        <v>-5.8205033727052697</v>
      </c>
      <c r="I1080" t="s">
        <v>68</v>
      </c>
    </row>
    <row r="1081" spans="1:9" x14ac:dyDescent="0.35">
      <c r="A1081" t="s">
        <v>18</v>
      </c>
      <c r="B1081">
        <v>2040</v>
      </c>
      <c r="C1081" t="s">
        <v>67</v>
      </c>
      <c r="D1081" t="s">
        <v>56</v>
      </c>
      <c r="E1081" s="1">
        <v>2.1515416150426099E-6</v>
      </c>
      <c r="F1081" s="1">
        <v>2.1515416150426099E-6</v>
      </c>
      <c r="G1081">
        <v>0</v>
      </c>
      <c r="H1081">
        <v>0</v>
      </c>
      <c r="I1081" t="s">
        <v>68</v>
      </c>
    </row>
    <row r="1082" spans="1:9" x14ac:dyDescent="0.35">
      <c r="A1082" t="s">
        <v>12</v>
      </c>
      <c r="B1082">
        <v>2025</v>
      </c>
      <c r="C1082" t="s">
        <v>80</v>
      </c>
      <c r="D1082" t="s">
        <v>38</v>
      </c>
      <c r="E1082">
        <v>3.40169605730566E-4</v>
      </c>
      <c r="F1082">
        <v>3.40169605730566E-4</v>
      </c>
      <c r="G1082">
        <v>0</v>
      </c>
      <c r="H1082">
        <v>0</v>
      </c>
      <c r="I1082" t="s">
        <v>81</v>
      </c>
    </row>
    <row r="1083" spans="1:9" x14ac:dyDescent="0.35">
      <c r="A1083" t="s">
        <v>12</v>
      </c>
      <c r="B1083">
        <v>2025</v>
      </c>
      <c r="C1083" t="s">
        <v>80</v>
      </c>
      <c r="D1083" t="s">
        <v>40</v>
      </c>
      <c r="E1083">
        <v>4.3013179930561702E-4</v>
      </c>
      <c r="F1083">
        <v>4.3013179930561702E-4</v>
      </c>
      <c r="G1083">
        <v>0</v>
      </c>
      <c r="H1083">
        <v>0</v>
      </c>
      <c r="I1083" t="s">
        <v>81</v>
      </c>
    </row>
    <row r="1084" spans="1:9" x14ac:dyDescent="0.35">
      <c r="A1084" t="s">
        <v>12</v>
      </c>
      <c r="B1084">
        <v>2025</v>
      </c>
      <c r="C1084" t="s">
        <v>80</v>
      </c>
      <c r="D1084" t="s">
        <v>41</v>
      </c>
      <c r="E1084">
        <v>4.0397972788265204E-3</v>
      </c>
      <c r="F1084">
        <v>4.0397972788265204E-3</v>
      </c>
      <c r="G1084">
        <v>0</v>
      </c>
      <c r="H1084">
        <v>0</v>
      </c>
      <c r="I1084" t="s">
        <v>81</v>
      </c>
    </row>
    <row r="1085" spans="1:9" x14ac:dyDescent="0.35">
      <c r="A1085" t="s">
        <v>12</v>
      </c>
      <c r="B1085">
        <v>2025</v>
      </c>
      <c r="C1085" t="s">
        <v>80</v>
      </c>
      <c r="D1085" t="s">
        <v>42</v>
      </c>
      <c r="E1085">
        <v>0.66823924573083604</v>
      </c>
      <c r="F1085">
        <v>0.66823924573083604</v>
      </c>
      <c r="G1085">
        <v>0</v>
      </c>
      <c r="H1085">
        <v>0</v>
      </c>
      <c r="I1085" t="s">
        <v>81</v>
      </c>
    </row>
    <row r="1086" spans="1:9" x14ac:dyDescent="0.35">
      <c r="A1086" t="s">
        <v>12</v>
      </c>
      <c r="B1086">
        <v>2025</v>
      </c>
      <c r="C1086" t="s">
        <v>80</v>
      </c>
      <c r="D1086" t="s">
        <v>43</v>
      </c>
      <c r="E1086">
        <v>1.28349589203852E-3</v>
      </c>
      <c r="F1086">
        <v>1.28349589203852E-3</v>
      </c>
      <c r="G1086">
        <v>0</v>
      </c>
      <c r="H1086">
        <v>0</v>
      </c>
      <c r="I1086" t="s">
        <v>81</v>
      </c>
    </row>
    <row r="1087" spans="1:9" x14ac:dyDescent="0.35">
      <c r="A1087" t="s">
        <v>12</v>
      </c>
      <c r="B1087">
        <v>2025</v>
      </c>
      <c r="C1087" t="s">
        <v>80</v>
      </c>
      <c r="D1087" t="s">
        <v>136</v>
      </c>
      <c r="E1087">
        <v>1.6460878089570099</v>
      </c>
      <c r="F1087">
        <v>1.6460878089570099</v>
      </c>
      <c r="G1087">
        <v>0</v>
      </c>
      <c r="H1087">
        <v>0</v>
      </c>
      <c r="I1087" t="s">
        <v>81</v>
      </c>
    </row>
    <row r="1088" spans="1:9" x14ac:dyDescent="0.35">
      <c r="A1088" t="s">
        <v>12</v>
      </c>
      <c r="B1088">
        <v>2025</v>
      </c>
      <c r="C1088" t="s">
        <v>80</v>
      </c>
      <c r="D1088" t="s">
        <v>45</v>
      </c>
      <c r="E1088">
        <v>1.75634300424082E-3</v>
      </c>
      <c r="F1088">
        <v>1.75634300424082E-3</v>
      </c>
      <c r="G1088">
        <v>0</v>
      </c>
      <c r="H1088">
        <v>0</v>
      </c>
      <c r="I1088" t="s">
        <v>81</v>
      </c>
    </row>
    <row r="1089" spans="1:9" x14ac:dyDescent="0.35">
      <c r="A1089" t="s">
        <v>12</v>
      </c>
      <c r="B1089">
        <v>2025</v>
      </c>
      <c r="C1089" t="s">
        <v>80</v>
      </c>
      <c r="D1089" t="s">
        <v>46</v>
      </c>
      <c r="E1089">
        <v>2.2506573657342901E-2</v>
      </c>
      <c r="F1089">
        <v>2.2506573657342901E-2</v>
      </c>
      <c r="G1089">
        <v>0</v>
      </c>
      <c r="H1089">
        <v>0</v>
      </c>
      <c r="I1089" t="s">
        <v>81</v>
      </c>
    </row>
    <row r="1090" spans="1:9" x14ac:dyDescent="0.35">
      <c r="A1090" t="s">
        <v>12</v>
      </c>
      <c r="B1090">
        <v>2025</v>
      </c>
      <c r="C1090" t="s">
        <v>80</v>
      </c>
      <c r="D1090" t="s">
        <v>47</v>
      </c>
      <c r="E1090">
        <v>6.1652632959366003E-4</v>
      </c>
      <c r="F1090">
        <v>6.1652632959366003E-4</v>
      </c>
      <c r="G1090">
        <v>0</v>
      </c>
      <c r="H1090">
        <v>0</v>
      </c>
      <c r="I1090" t="s">
        <v>81</v>
      </c>
    </row>
    <row r="1091" spans="1:9" x14ac:dyDescent="0.35">
      <c r="A1091" t="s">
        <v>12</v>
      </c>
      <c r="B1091">
        <v>2025</v>
      </c>
      <c r="C1091" t="s">
        <v>80</v>
      </c>
      <c r="D1091" t="s">
        <v>48</v>
      </c>
      <c r="E1091">
        <v>80.5577006504368</v>
      </c>
      <c r="F1091">
        <v>80.5577006504368</v>
      </c>
      <c r="G1091">
        <v>0</v>
      </c>
      <c r="H1091">
        <v>0</v>
      </c>
      <c r="I1091" t="s">
        <v>81</v>
      </c>
    </row>
    <row r="1092" spans="1:9" x14ac:dyDescent="0.35">
      <c r="A1092" t="s">
        <v>12</v>
      </c>
      <c r="B1092">
        <v>2025</v>
      </c>
      <c r="C1092" t="s">
        <v>80</v>
      </c>
      <c r="D1092" t="s">
        <v>49</v>
      </c>
      <c r="E1092">
        <v>4.39098049036979E-3</v>
      </c>
      <c r="F1092">
        <v>4.39098049036979E-3</v>
      </c>
      <c r="G1092">
        <v>0</v>
      </c>
      <c r="H1092">
        <v>0</v>
      </c>
      <c r="I1092" t="s">
        <v>81</v>
      </c>
    </row>
    <row r="1093" spans="1:9" x14ac:dyDescent="0.35">
      <c r="A1093" t="s">
        <v>12</v>
      </c>
      <c r="B1093">
        <v>2025</v>
      </c>
      <c r="C1093" t="s">
        <v>80</v>
      </c>
      <c r="D1093" t="s">
        <v>50</v>
      </c>
      <c r="E1093">
        <v>7.5663690949547904E-3</v>
      </c>
      <c r="F1093">
        <v>7.5663690949547904E-3</v>
      </c>
      <c r="G1093">
        <v>0</v>
      </c>
      <c r="H1093">
        <v>0</v>
      </c>
      <c r="I1093" t="s">
        <v>81</v>
      </c>
    </row>
    <row r="1094" spans="1:9" x14ac:dyDescent="0.35">
      <c r="A1094" t="s">
        <v>12</v>
      </c>
      <c r="B1094">
        <v>2025</v>
      </c>
      <c r="C1094" t="s">
        <v>80</v>
      </c>
      <c r="D1094" t="s">
        <v>51</v>
      </c>
      <c r="E1094">
        <v>5.8734277467204297E-2</v>
      </c>
      <c r="F1094">
        <v>5.8734277467204297E-2</v>
      </c>
      <c r="G1094">
        <v>0</v>
      </c>
      <c r="H1094">
        <v>0</v>
      </c>
      <c r="I1094" t="s">
        <v>81</v>
      </c>
    </row>
    <row r="1095" spans="1:9" x14ac:dyDescent="0.35">
      <c r="A1095" t="s">
        <v>12</v>
      </c>
      <c r="B1095">
        <v>2025</v>
      </c>
      <c r="C1095" t="s">
        <v>80</v>
      </c>
      <c r="D1095" t="s">
        <v>52</v>
      </c>
      <c r="E1095">
        <v>0.45420689037282802</v>
      </c>
      <c r="F1095">
        <v>0.45420689037282802</v>
      </c>
      <c r="G1095">
        <v>0</v>
      </c>
      <c r="H1095">
        <v>0</v>
      </c>
      <c r="I1095" t="s">
        <v>81</v>
      </c>
    </row>
    <row r="1096" spans="1:9" x14ac:dyDescent="0.35">
      <c r="A1096" t="s">
        <v>12</v>
      </c>
      <c r="B1096">
        <v>2025</v>
      </c>
      <c r="C1096" t="s">
        <v>80</v>
      </c>
      <c r="D1096" t="s">
        <v>53</v>
      </c>
      <c r="E1096">
        <v>0.41711296953694899</v>
      </c>
      <c r="F1096">
        <v>0.41711296953694899</v>
      </c>
      <c r="G1096">
        <v>0</v>
      </c>
      <c r="H1096">
        <v>0</v>
      </c>
      <c r="I1096" t="s">
        <v>81</v>
      </c>
    </row>
    <row r="1097" spans="1:9" x14ac:dyDescent="0.35">
      <c r="A1097" t="s">
        <v>12</v>
      </c>
      <c r="B1097">
        <v>2025</v>
      </c>
      <c r="C1097" t="s">
        <v>80</v>
      </c>
      <c r="D1097" t="s">
        <v>54</v>
      </c>
      <c r="E1097">
        <v>4.8714177094227602E-2</v>
      </c>
      <c r="F1097">
        <v>4.8714177094227602E-2</v>
      </c>
      <c r="G1097">
        <v>0</v>
      </c>
      <c r="H1097">
        <v>0</v>
      </c>
      <c r="I1097" t="s">
        <v>81</v>
      </c>
    </row>
    <row r="1098" spans="1:9" x14ac:dyDescent="0.35">
      <c r="A1098" t="s">
        <v>12</v>
      </c>
      <c r="B1098">
        <v>2025</v>
      </c>
      <c r="C1098" t="s">
        <v>80</v>
      </c>
      <c r="D1098" t="s">
        <v>55</v>
      </c>
      <c r="E1098">
        <v>4.54356073085843E-2</v>
      </c>
      <c r="F1098">
        <v>4.54356073085843E-2</v>
      </c>
      <c r="G1098">
        <v>0</v>
      </c>
      <c r="H1098">
        <v>0</v>
      </c>
      <c r="I1098" t="s">
        <v>81</v>
      </c>
    </row>
    <row r="1099" spans="1:9" x14ac:dyDescent="0.35">
      <c r="A1099" t="s">
        <v>12</v>
      </c>
      <c r="B1099">
        <v>2025</v>
      </c>
      <c r="C1099" t="s">
        <v>80</v>
      </c>
      <c r="D1099" t="s">
        <v>56</v>
      </c>
      <c r="E1099" s="1">
        <v>1.06063173861382E-7</v>
      </c>
      <c r="F1099" s="1">
        <v>1.06063173861382E-7</v>
      </c>
      <c r="G1099">
        <v>0</v>
      </c>
      <c r="H1099">
        <v>0</v>
      </c>
      <c r="I1099" t="s">
        <v>81</v>
      </c>
    </row>
    <row r="1100" spans="1:9" x14ac:dyDescent="0.35">
      <c r="A1100" t="s">
        <v>14</v>
      </c>
      <c r="B1100">
        <v>2030</v>
      </c>
      <c r="C1100" t="s">
        <v>80</v>
      </c>
      <c r="D1100" t="s">
        <v>38</v>
      </c>
      <c r="E1100">
        <v>3.6014360811529201E-4</v>
      </c>
      <c r="F1100">
        <v>3.6014360811529201E-4</v>
      </c>
      <c r="G1100">
        <v>0</v>
      </c>
      <c r="H1100">
        <v>0</v>
      </c>
      <c r="I1100" t="s">
        <v>81</v>
      </c>
    </row>
    <row r="1101" spans="1:9" x14ac:dyDescent="0.35">
      <c r="A1101" t="s">
        <v>14</v>
      </c>
      <c r="B1101">
        <v>2030</v>
      </c>
      <c r="C1101" t="s">
        <v>80</v>
      </c>
      <c r="D1101" t="s">
        <v>40</v>
      </c>
      <c r="E1101">
        <v>4.0687421399466698E-4</v>
      </c>
      <c r="F1101">
        <v>4.0687421399466698E-4</v>
      </c>
      <c r="G1101">
        <v>0</v>
      </c>
      <c r="H1101">
        <v>0</v>
      </c>
      <c r="I1101" t="s">
        <v>81</v>
      </c>
    </row>
    <row r="1102" spans="1:9" x14ac:dyDescent="0.35">
      <c r="A1102" t="s">
        <v>14</v>
      </c>
      <c r="B1102">
        <v>2030</v>
      </c>
      <c r="C1102" t="s">
        <v>80</v>
      </c>
      <c r="D1102" t="s">
        <v>41</v>
      </c>
      <c r="E1102">
        <v>3.6157676226172301E-3</v>
      </c>
      <c r="F1102">
        <v>3.6157676226172301E-3</v>
      </c>
      <c r="G1102">
        <v>0</v>
      </c>
      <c r="H1102">
        <v>0</v>
      </c>
      <c r="I1102" t="s">
        <v>81</v>
      </c>
    </row>
    <row r="1103" spans="1:9" x14ac:dyDescent="0.35">
      <c r="A1103" t="s">
        <v>14</v>
      </c>
      <c r="B1103">
        <v>2030</v>
      </c>
      <c r="C1103" t="s">
        <v>80</v>
      </c>
      <c r="D1103" t="s">
        <v>42</v>
      </c>
      <c r="E1103">
        <v>0.57409842430075697</v>
      </c>
      <c r="F1103">
        <v>0.57409842430075697</v>
      </c>
      <c r="G1103">
        <v>0</v>
      </c>
      <c r="H1103">
        <v>0</v>
      </c>
      <c r="I1103" t="s">
        <v>81</v>
      </c>
    </row>
    <row r="1104" spans="1:9" x14ac:dyDescent="0.35">
      <c r="A1104" t="s">
        <v>14</v>
      </c>
      <c r="B1104">
        <v>2030</v>
      </c>
      <c r="C1104" t="s">
        <v>80</v>
      </c>
      <c r="D1104" t="s">
        <v>43</v>
      </c>
      <c r="E1104">
        <v>1.12947141175973E-3</v>
      </c>
      <c r="F1104">
        <v>1.12947141175973E-3</v>
      </c>
      <c r="G1104">
        <v>0</v>
      </c>
      <c r="H1104">
        <v>0</v>
      </c>
      <c r="I1104" t="s">
        <v>81</v>
      </c>
    </row>
    <row r="1105" spans="1:9" x14ac:dyDescent="0.35">
      <c r="A1105" t="s">
        <v>14</v>
      </c>
      <c r="B1105">
        <v>2030</v>
      </c>
      <c r="C1105" t="s">
        <v>80</v>
      </c>
      <c r="D1105" t="s">
        <v>136</v>
      </c>
      <c r="E1105">
        <v>1.4990202199107201</v>
      </c>
      <c r="F1105">
        <v>1.4990202199107201</v>
      </c>
      <c r="G1105">
        <v>0</v>
      </c>
      <c r="H1105">
        <v>0</v>
      </c>
      <c r="I1105" t="s">
        <v>81</v>
      </c>
    </row>
    <row r="1106" spans="1:9" x14ac:dyDescent="0.35">
      <c r="A1106" t="s">
        <v>14</v>
      </c>
      <c r="B1106">
        <v>2030</v>
      </c>
      <c r="C1106" t="s">
        <v>80</v>
      </c>
      <c r="D1106" t="s">
        <v>45</v>
      </c>
      <c r="E1106">
        <v>1.53638450307621E-3</v>
      </c>
      <c r="F1106">
        <v>1.53638450307621E-3</v>
      </c>
      <c r="G1106">
        <v>0</v>
      </c>
      <c r="H1106">
        <v>0</v>
      </c>
      <c r="I1106" t="s">
        <v>81</v>
      </c>
    </row>
    <row r="1107" spans="1:9" x14ac:dyDescent="0.35">
      <c r="A1107" t="s">
        <v>14</v>
      </c>
      <c r="B1107">
        <v>2030</v>
      </c>
      <c r="C1107" t="s">
        <v>80</v>
      </c>
      <c r="D1107" t="s">
        <v>46</v>
      </c>
      <c r="E1107">
        <v>2.76355998554451E-2</v>
      </c>
      <c r="F1107">
        <v>2.76355998554451E-2</v>
      </c>
      <c r="G1107">
        <v>0</v>
      </c>
      <c r="H1107">
        <v>0</v>
      </c>
      <c r="I1107" t="s">
        <v>81</v>
      </c>
    </row>
    <row r="1108" spans="1:9" x14ac:dyDescent="0.35">
      <c r="A1108" t="s">
        <v>14</v>
      </c>
      <c r="B1108">
        <v>2030</v>
      </c>
      <c r="C1108" t="s">
        <v>80</v>
      </c>
      <c r="D1108" t="s">
        <v>47</v>
      </c>
      <c r="E1108">
        <v>4.7883343441588902E-4</v>
      </c>
      <c r="F1108">
        <v>4.7883343441588902E-4</v>
      </c>
      <c r="G1108">
        <v>0</v>
      </c>
      <c r="H1108">
        <v>0</v>
      </c>
      <c r="I1108" t="s">
        <v>81</v>
      </c>
    </row>
    <row r="1109" spans="1:9" x14ac:dyDescent="0.35">
      <c r="A1109" t="s">
        <v>14</v>
      </c>
      <c r="B1109">
        <v>2030</v>
      </c>
      <c r="C1109" t="s">
        <v>80</v>
      </c>
      <c r="D1109" t="s">
        <v>48</v>
      </c>
      <c r="E1109">
        <v>80.558387526965504</v>
      </c>
      <c r="F1109">
        <v>80.558387526965504</v>
      </c>
      <c r="G1109">
        <v>0</v>
      </c>
      <c r="H1109">
        <v>0</v>
      </c>
      <c r="I1109" t="s">
        <v>81</v>
      </c>
    </row>
    <row r="1110" spans="1:9" x14ac:dyDescent="0.35">
      <c r="A1110" t="s">
        <v>14</v>
      </c>
      <c r="B1110">
        <v>2030</v>
      </c>
      <c r="C1110" t="s">
        <v>80</v>
      </c>
      <c r="D1110" t="s">
        <v>49</v>
      </c>
      <c r="E1110">
        <v>3.7796338310855399E-3</v>
      </c>
      <c r="F1110">
        <v>3.7796338310855399E-3</v>
      </c>
      <c r="G1110">
        <v>0</v>
      </c>
      <c r="H1110">
        <v>0</v>
      </c>
      <c r="I1110" t="s">
        <v>81</v>
      </c>
    </row>
    <row r="1111" spans="1:9" x14ac:dyDescent="0.35">
      <c r="A1111" t="s">
        <v>14</v>
      </c>
      <c r="B1111">
        <v>2030</v>
      </c>
      <c r="C1111" t="s">
        <v>80</v>
      </c>
      <c r="D1111" t="s">
        <v>50</v>
      </c>
      <c r="E1111">
        <v>6.8803165269506698E-3</v>
      </c>
      <c r="F1111">
        <v>6.8803165269506698E-3</v>
      </c>
      <c r="G1111">
        <v>0</v>
      </c>
      <c r="H1111">
        <v>0</v>
      </c>
      <c r="I1111" t="s">
        <v>81</v>
      </c>
    </row>
    <row r="1112" spans="1:9" x14ac:dyDescent="0.35">
      <c r="A1112" t="s">
        <v>14</v>
      </c>
      <c r="B1112">
        <v>2030</v>
      </c>
      <c r="C1112" t="s">
        <v>80</v>
      </c>
      <c r="D1112" t="s">
        <v>51</v>
      </c>
      <c r="E1112">
        <v>5.98017490442702E-2</v>
      </c>
      <c r="F1112">
        <v>5.98017490442702E-2</v>
      </c>
      <c r="G1112">
        <v>0</v>
      </c>
      <c r="H1112">
        <v>0</v>
      </c>
      <c r="I1112" t="s">
        <v>81</v>
      </c>
    </row>
    <row r="1113" spans="1:9" x14ac:dyDescent="0.35">
      <c r="A1113" t="s">
        <v>14</v>
      </c>
      <c r="B1113">
        <v>2030</v>
      </c>
      <c r="C1113" t="s">
        <v>80</v>
      </c>
      <c r="D1113" t="s">
        <v>52</v>
      </c>
      <c r="E1113">
        <v>0.36057222505965703</v>
      </c>
      <c r="F1113">
        <v>0.36057222505965703</v>
      </c>
      <c r="G1113">
        <v>0</v>
      </c>
      <c r="H1113">
        <v>0</v>
      </c>
      <c r="I1113" t="s">
        <v>81</v>
      </c>
    </row>
    <row r="1114" spans="1:9" x14ac:dyDescent="0.35">
      <c r="A1114" t="s">
        <v>14</v>
      </c>
      <c r="B1114">
        <v>2030</v>
      </c>
      <c r="C1114" t="s">
        <v>80</v>
      </c>
      <c r="D1114" t="s">
        <v>53</v>
      </c>
      <c r="E1114">
        <v>0.37038073663187598</v>
      </c>
      <c r="F1114">
        <v>0.37038073663187598</v>
      </c>
      <c r="G1114">
        <v>0</v>
      </c>
      <c r="H1114">
        <v>0</v>
      </c>
      <c r="I1114" t="s">
        <v>81</v>
      </c>
    </row>
    <row r="1115" spans="1:9" x14ac:dyDescent="0.35">
      <c r="A1115" t="s">
        <v>14</v>
      </c>
      <c r="B1115">
        <v>2030</v>
      </c>
      <c r="C1115" t="s">
        <v>80</v>
      </c>
      <c r="D1115" t="s">
        <v>54</v>
      </c>
      <c r="E1115">
        <v>4.8076162360123402E-2</v>
      </c>
      <c r="F1115">
        <v>4.8076162360123402E-2</v>
      </c>
      <c r="G1115">
        <v>0</v>
      </c>
      <c r="H1115">
        <v>0</v>
      </c>
      <c r="I1115" t="s">
        <v>81</v>
      </c>
    </row>
    <row r="1116" spans="1:9" x14ac:dyDescent="0.35">
      <c r="A1116" t="s">
        <v>14</v>
      </c>
      <c r="B1116">
        <v>2030</v>
      </c>
      <c r="C1116" t="s">
        <v>80</v>
      </c>
      <c r="D1116" t="s">
        <v>55</v>
      </c>
      <c r="E1116">
        <v>4.4631892427346297E-2</v>
      </c>
      <c r="F1116">
        <v>4.4631892427346297E-2</v>
      </c>
      <c r="G1116">
        <v>0</v>
      </c>
      <c r="H1116">
        <v>0</v>
      </c>
      <c r="I1116" t="s">
        <v>81</v>
      </c>
    </row>
    <row r="1117" spans="1:9" x14ac:dyDescent="0.35">
      <c r="A1117" t="s">
        <v>14</v>
      </c>
      <c r="B1117">
        <v>2030</v>
      </c>
      <c r="C1117" t="s">
        <v>80</v>
      </c>
      <c r="D1117" t="s">
        <v>56</v>
      </c>
      <c r="E1117" s="1">
        <v>9.5546051900257494E-8</v>
      </c>
      <c r="F1117" s="1">
        <v>9.5546051900257494E-8</v>
      </c>
      <c r="G1117">
        <v>0</v>
      </c>
      <c r="H1117">
        <v>0</v>
      </c>
      <c r="I1117" t="s">
        <v>81</v>
      </c>
    </row>
    <row r="1118" spans="1:9" x14ac:dyDescent="0.35">
      <c r="A1118" t="s">
        <v>16</v>
      </c>
      <c r="B1118">
        <v>2035</v>
      </c>
      <c r="C1118" t="s">
        <v>80</v>
      </c>
      <c r="D1118" t="s">
        <v>38</v>
      </c>
      <c r="E1118">
        <v>4.7445158624915201E-4</v>
      </c>
      <c r="F1118">
        <v>4.7445158624915201E-4</v>
      </c>
      <c r="G1118">
        <v>0</v>
      </c>
      <c r="H1118">
        <v>0</v>
      </c>
      <c r="I1118" t="s">
        <v>81</v>
      </c>
    </row>
    <row r="1119" spans="1:9" x14ac:dyDescent="0.35">
      <c r="A1119" t="s">
        <v>16</v>
      </c>
      <c r="B1119">
        <v>2035</v>
      </c>
      <c r="C1119" t="s">
        <v>80</v>
      </c>
      <c r="D1119" t="s">
        <v>40</v>
      </c>
      <c r="E1119">
        <v>3.7883890754405298E-4</v>
      </c>
      <c r="F1119">
        <v>3.7883890754405298E-4</v>
      </c>
      <c r="G1119">
        <v>0</v>
      </c>
      <c r="H1119">
        <v>0</v>
      </c>
      <c r="I1119" t="s">
        <v>81</v>
      </c>
    </row>
    <row r="1120" spans="1:9" x14ac:dyDescent="0.35">
      <c r="A1120" t="s">
        <v>16</v>
      </c>
      <c r="B1120">
        <v>2035</v>
      </c>
      <c r="C1120" t="s">
        <v>80</v>
      </c>
      <c r="D1120" t="s">
        <v>41</v>
      </c>
      <c r="E1120">
        <v>3.29657921605205E-3</v>
      </c>
      <c r="F1120">
        <v>3.29657921605205E-3</v>
      </c>
      <c r="G1120">
        <v>0</v>
      </c>
      <c r="H1120">
        <v>0</v>
      </c>
      <c r="I1120" t="s">
        <v>81</v>
      </c>
    </row>
    <row r="1121" spans="1:9" x14ac:dyDescent="0.35">
      <c r="A1121" t="s">
        <v>16</v>
      </c>
      <c r="B1121">
        <v>2035</v>
      </c>
      <c r="C1121" t="s">
        <v>80</v>
      </c>
      <c r="D1121" t="s">
        <v>42</v>
      </c>
      <c r="E1121">
        <v>0.50558098709190302</v>
      </c>
      <c r="F1121">
        <v>0.50558098709190302</v>
      </c>
      <c r="G1121">
        <v>0</v>
      </c>
      <c r="H1121">
        <v>0</v>
      </c>
      <c r="I1121" t="s">
        <v>81</v>
      </c>
    </row>
    <row r="1122" spans="1:9" x14ac:dyDescent="0.35">
      <c r="A1122" t="s">
        <v>16</v>
      </c>
      <c r="B1122">
        <v>2035</v>
      </c>
      <c r="C1122" t="s">
        <v>80</v>
      </c>
      <c r="D1122" t="s">
        <v>43</v>
      </c>
      <c r="E1122">
        <v>1.0502688006500699E-3</v>
      </c>
      <c r="F1122">
        <v>1.0502688006500699E-3</v>
      </c>
      <c r="G1122">
        <v>0</v>
      </c>
      <c r="H1122">
        <v>0</v>
      </c>
      <c r="I1122" t="s">
        <v>81</v>
      </c>
    </row>
    <row r="1123" spans="1:9" x14ac:dyDescent="0.35">
      <c r="A1123" t="s">
        <v>16</v>
      </c>
      <c r="B1123">
        <v>2035</v>
      </c>
      <c r="C1123" t="s">
        <v>80</v>
      </c>
      <c r="D1123" t="s">
        <v>136</v>
      </c>
      <c r="E1123">
        <v>1.3608996892021901</v>
      </c>
      <c r="F1123">
        <v>1.3608996892021901</v>
      </c>
      <c r="G1123">
        <v>0</v>
      </c>
      <c r="H1123">
        <v>0</v>
      </c>
      <c r="I1123" t="s">
        <v>81</v>
      </c>
    </row>
    <row r="1124" spans="1:9" x14ac:dyDescent="0.35">
      <c r="A1124" t="s">
        <v>16</v>
      </c>
      <c r="B1124">
        <v>2035</v>
      </c>
      <c r="C1124" t="s">
        <v>80</v>
      </c>
      <c r="D1124" t="s">
        <v>45</v>
      </c>
      <c r="E1124">
        <v>1.3817670264007901E-3</v>
      </c>
      <c r="F1124">
        <v>1.3817670264007901E-3</v>
      </c>
      <c r="G1124">
        <v>0</v>
      </c>
      <c r="H1124">
        <v>0</v>
      </c>
      <c r="I1124" t="s">
        <v>81</v>
      </c>
    </row>
    <row r="1125" spans="1:9" x14ac:dyDescent="0.35">
      <c r="A1125" t="s">
        <v>16</v>
      </c>
      <c r="B1125">
        <v>2035</v>
      </c>
      <c r="C1125" t="s">
        <v>80</v>
      </c>
      <c r="D1125" t="s">
        <v>46</v>
      </c>
      <c r="E1125">
        <v>4.5658555153312699E-2</v>
      </c>
      <c r="F1125">
        <v>4.5658555153312699E-2</v>
      </c>
      <c r="G1125">
        <v>0</v>
      </c>
      <c r="H1125">
        <v>0</v>
      </c>
      <c r="I1125" t="s">
        <v>81</v>
      </c>
    </row>
    <row r="1126" spans="1:9" x14ac:dyDescent="0.35">
      <c r="A1126" t="s">
        <v>16</v>
      </c>
      <c r="B1126">
        <v>2035</v>
      </c>
      <c r="C1126" t="s">
        <v>80</v>
      </c>
      <c r="D1126" t="s">
        <v>47</v>
      </c>
      <c r="E1126">
        <v>3.7538280303320699E-4</v>
      </c>
      <c r="F1126">
        <v>3.7538280303320699E-4</v>
      </c>
      <c r="G1126">
        <v>0</v>
      </c>
      <c r="H1126">
        <v>0</v>
      </c>
      <c r="I1126" t="s">
        <v>81</v>
      </c>
    </row>
    <row r="1127" spans="1:9" x14ac:dyDescent="0.35">
      <c r="A1127" t="s">
        <v>16</v>
      </c>
      <c r="B1127">
        <v>2035</v>
      </c>
      <c r="C1127" t="s">
        <v>80</v>
      </c>
      <c r="D1127" t="s">
        <v>48</v>
      </c>
      <c r="E1127">
        <v>80.559284610689005</v>
      </c>
      <c r="F1127">
        <v>80.559284610689005</v>
      </c>
      <c r="G1127">
        <v>0</v>
      </c>
      <c r="H1127">
        <v>0</v>
      </c>
      <c r="I1127" t="s">
        <v>81</v>
      </c>
    </row>
    <row r="1128" spans="1:9" x14ac:dyDescent="0.35">
      <c r="A1128" t="s">
        <v>16</v>
      </c>
      <c r="B1128">
        <v>2035</v>
      </c>
      <c r="C1128" t="s">
        <v>80</v>
      </c>
      <c r="D1128" t="s">
        <v>49</v>
      </c>
      <c r="E1128">
        <v>3.3726976461622002E-3</v>
      </c>
      <c r="F1128">
        <v>3.3726976461622002E-3</v>
      </c>
      <c r="G1128">
        <v>0</v>
      </c>
      <c r="H1128">
        <v>0</v>
      </c>
      <c r="I1128" t="s">
        <v>81</v>
      </c>
    </row>
    <row r="1129" spans="1:9" x14ac:dyDescent="0.35">
      <c r="A1129" t="s">
        <v>16</v>
      </c>
      <c r="B1129">
        <v>2035</v>
      </c>
      <c r="C1129" t="s">
        <v>80</v>
      </c>
      <c r="D1129" t="s">
        <v>50</v>
      </c>
      <c r="E1129">
        <v>6.57021489636825E-3</v>
      </c>
      <c r="F1129">
        <v>6.57021489636825E-3</v>
      </c>
      <c r="G1129">
        <v>0</v>
      </c>
      <c r="H1129">
        <v>0</v>
      </c>
      <c r="I1129" t="s">
        <v>81</v>
      </c>
    </row>
    <row r="1130" spans="1:9" x14ac:dyDescent="0.35">
      <c r="A1130" t="s">
        <v>16</v>
      </c>
      <c r="B1130">
        <v>2035</v>
      </c>
      <c r="C1130" t="s">
        <v>80</v>
      </c>
      <c r="D1130" t="s">
        <v>51</v>
      </c>
      <c r="E1130">
        <v>6.1199670522586902E-2</v>
      </c>
      <c r="F1130">
        <v>6.1199670522586902E-2</v>
      </c>
      <c r="G1130">
        <v>0</v>
      </c>
      <c r="H1130">
        <v>0</v>
      </c>
      <c r="I1130" t="s">
        <v>81</v>
      </c>
    </row>
    <row r="1131" spans="1:9" x14ac:dyDescent="0.35">
      <c r="A1131" t="s">
        <v>16</v>
      </c>
      <c r="B1131">
        <v>2035</v>
      </c>
      <c r="C1131" t="s">
        <v>80</v>
      </c>
      <c r="D1131" t="s">
        <v>52</v>
      </c>
      <c r="E1131">
        <v>0.26933369861046202</v>
      </c>
      <c r="F1131">
        <v>0.26933369861046202</v>
      </c>
      <c r="G1131">
        <v>0</v>
      </c>
      <c r="H1131">
        <v>0</v>
      </c>
      <c r="I1131" t="s">
        <v>81</v>
      </c>
    </row>
    <row r="1132" spans="1:9" x14ac:dyDescent="0.35">
      <c r="A1132" t="s">
        <v>16</v>
      </c>
      <c r="B1132">
        <v>2035</v>
      </c>
      <c r="C1132" t="s">
        <v>80</v>
      </c>
      <c r="D1132" t="s">
        <v>53</v>
      </c>
      <c r="E1132">
        <v>0.32233417292081501</v>
      </c>
      <c r="F1132">
        <v>0.32233417292081501</v>
      </c>
      <c r="G1132">
        <v>0</v>
      </c>
      <c r="H1132">
        <v>0</v>
      </c>
      <c r="I1132" t="s">
        <v>81</v>
      </c>
    </row>
    <row r="1133" spans="1:9" x14ac:dyDescent="0.35">
      <c r="A1133" t="s">
        <v>16</v>
      </c>
      <c r="B1133">
        <v>2035</v>
      </c>
      <c r="C1133" t="s">
        <v>80</v>
      </c>
      <c r="D1133" t="s">
        <v>54</v>
      </c>
      <c r="E1133">
        <v>4.8139519650510401E-2</v>
      </c>
      <c r="F1133">
        <v>4.8139519650510401E-2</v>
      </c>
      <c r="G1133">
        <v>0</v>
      </c>
      <c r="H1133">
        <v>0</v>
      </c>
      <c r="I1133" t="s">
        <v>81</v>
      </c>
    </row>
    <row r="1134" spans="1:9" x14ac:dyDescent="0.35">
      <c r="A1134" t="s">
        <v>16</v>
      </c>
      <c r="B1134">
        <v>2035</v>
      </c>
      <c r="C1134" t="s">
        <v>80</v>
      </c>
      <c r="D1134" t="s">
        <v>55</v>
      </c>
      <c r="E1134">
        <v>4.4534824010211499E-2</v>
      </c>
      <c r="F1134">
        <v>4.4534824010211499E-2</v>
      </c>
      <c r="G1134">
        <v>0</v>
      </c>
      <c r="H1134">
        <v>0</v>
      </c>
      <c r="I1134" t="s">
        <v>81</v>
      </c>
    </row>
    <row r="1135" spans="1:9" x14ac:dyDescent="0.35">
      <c r="A1135" t="s">
        <v>16</v>
      </c>
      <c r="B1135">
        <v>2035</v>
      </c>
      <c r="C1135" t="s">
        <v>80</v>
      </c>
      <c r="D1135" t="s">
        <v>56</v>
      </c>
      <c r="E1135" s="1">
        <v>8.6252172368401097E-8</v>
      </c>
      <c r="F1135" s="1">
        <v>8.6252172368401097E-8</v>
      </c>
      <c r="G1135">
        <v>0</v>
      </c>
      <c r="H1135">
        <v>0</v>
      </c>
      <c r="I1135" t="s">
        <v>81</v>
      </c>
    </row>
    <row r="1136" spans="1:9" x14ac:dyDescent="0.35">
      <c r="A1136" t="s">
        <v>18</v>
      </c>
      <c r="B1136">
        <v>2040</v>
      </c>
      <c r="C1136" t="s">
        <v>80</v>
      </c>
      <c r="D1136" t="s">
        <v>38</v>
      </c>
      <c r="E1136">
        <v>6.4394383179059204E-4</v>
      </c>
      <c r="F1136">
        <v>6.4394383179059204E-4</v>
      </c>
      <c r="G1136">
        <v>0</v>
      </c>
      <c r="H1136">
        <v>0</v>
      </c>
      <c r="I1136" t="s">
        <v>81</v>
      </c>
    </row>
    <row r="1137" spans="1:9" x14ac:dyDescent="0.35">
      <c r="A1137" t="s">
        <v>18</v>
      </c>
      <c r="B1137">
        <v>2040</v>
      </c>
      <c r="C1137" t="s">
        <v>80</v>
      </c>
      <c r="D1137" t="s">
        <v>40</v>
      </c>
      <c r="E1137">
        <v>3.5116791661415599E-4</v>
      </c>
      <c r="F1137">
        <v>3.5116791661415599E-4</v>
      </c>
      <c r="G1137">
        <v>0</v>
      </c>
      <c r="H1137">
        <v>0</v>
      </c>
      <c r="I1137" t="s">
        <v>81</v>
      </c>
    </row>
    <row r="1138" spans="1:9" x14ac:dyDescent="0.35">
      <c r="A1138" t="s">
        <v>18</v>
      </c>
      <c r="B1138">
        <v>2040</v>
      </c>
      <c r="C1138" t="s">
        <v>80</v>
      </c>
      <c r="D1138" t="s">
        <v>41</v>
      </c>
      <c r="E1138">
        <v>3.03387097437691E-3</v>
      </c>
      <c r="F1138">
        <v>3.03387097437691E-3</v>
      </c>
      <c r="G1138">
        <v>0</v>
      </c>
      <c r="H1138">
        <v>0</v>
      </c>
      <c r="I1138" t="s">
        <v>81</v>
      </c>
    </row>
    <row r="1139" spans="1:9" x14ac:dyDescent="0.35">
      <c r="A1139" t="s">
        <v>18</v>
      </c>
      <c r="B1139">
        <v>2040</v>
      </c>
      <c r="C1139" t="s">
        <v>80</v>
      </c>
      <c r="D1139" t="s">
        <v>42</v>
      </c>
      <c r="E1139">
        <v>0.45525570895631601</v>
      </c>
      <c r="F1139">
        <v>0.45525570895631601</v>
      </c>
      <c r="G1139">
        <v>0</v>
      </c>
      <c r="H1139">
        <v>0</v>
      </c>
      <c r="I1139" t="s">
        <v>81</v>
      </c>
    </row>
    <row r="1140" spans="1:9" x14ac:dyDescent="0.35">
      <c r="A1140" t="s">
        <v>18</v>
      </c>
      <c r="B1140">
        <v>2040</v>
      </c>
      <c r="C1140" t="s">
        <v>80</v>
      </c>
      <c r="D1140" t="s">
        <v>43</v>
      </c>
      <c r="E1140">
        <v>1.0086317390045399E-3</v>
      </c>
      <c r="F1140">
        <v>1.0086317390045399E-3</v>
      </c>
      <c r="G1140">
        <v>0</v>
      </c>
      <c r="H1140">
        <v>0</v>
      </c>
      <c r="I1140" t="s">
        <v>81</v>
      </c>
    </row>
    <row r="1141" spans="1:9" x14ac:dyDescent="0.35">
      <c r="A1141" t="s">
        <v>18</v>
      </c>
      <c r="B1141">
        <v>2040</v>
      </c>
      <c r="C1141" t="s">
        <v>80</v>
      </c>
      <c r="D1141" t="s">
        <v>136</v>
      </c>
      <c r="E1141">
        <v>1.2437942601184999</v>
      </c>
      <c r="F1141">
        <v>1.00415085435855</v>
      </c>
      <c r="G1141">
        <v>-0.239643405759947</v>
      </c>
      <c r="H1141">
        <v>-19.2671258779658</v>
      </c>
      <c r="I1141" t="s">
        <v>81</v>
      </c>
    </row>
    <row r="1142" spans="1:9" x14ac:dyDescent="0.35">
      <c r="A1142" t="s">
        <v>18</v>
      </c>
      <c r="B1142">
        <v>2040</v>
      </c>
      <c r="C1142" t="s">
        <v>80</v>
      </c>
      <c r="D1142" t="s">
        <v>45</v>
      </c>
      <c r="E1142">
        <v>1.2867232299350201E-3</v>
      </c>
      <c r="F1142">
        <v>1.2867232299350201E-3</v>
      </c>
      <c r="G1142">
        <v>0</v>
      </c>
      <c r="H1142">
        <v>0</v>
      </c>
      <c r="I1142" t="s">
        <v>81</v>
      </c>
    </row>
    <row r="1143" spans="1:9" x14ac:dyDescent="0.35">
      <c r="A1143" t="s">
        <v>18</v>
      </c>
      <c r="B1143">
        <v>2040</v>
      </c>
      <c r="C1143" t="s">
        <v>80</v>
      </c>
      <c r="D1143" t="s">
        <v>46</v>
      </c>
      <c r="E1143">
        <v>6.8738716991078197E-2</v>
      </c>
      <c r="F1143">
        <v>6.8738716991078197E-2</v>
      </c>
      <c r="G1143">
        <v>0</v>
      </c>
      <c r="H1143">
        <v>0</v>
      </c>
      <c r="I1143" t="s">
        <v>81</v>
      </c>
    </row>
    <row r="1144" spans="1:9" x14ac:dyDescent="0.35">
      <c r="A1144" t="s">
        <v>18</v>
      </c>
      <c r="B1144">
        <v>2040</v>
      </c>
      <c r="C1144" t="s">
        <v>80</v>
      </c>
      <c r="D1144" t="s">
        <v>47</v>
      </c>
      <c r="E1144">
        <v>2.9877128298180301E-4</v>
      </c>
      <c r="F1144">
        <v>2.9877128298180301E-4</v>
      </c>
      <c r="G1144">
        <v>0</v>
      </c>
      <c r="H1144">
        <v>0</v>
      </c>
      <c r="I1144" t="s">
        <v>81</v>
      </c>
    </row>
    <row r="1145" spans="1:9" x14ac:dyDescent="0.35">
      <c r="A1145" t="s">
        <v>18</v>
      </c>
      <c r="B1145">
        <v>2040</v>
      </c>
      <c r="C1145" t="s">
        <v>80</v>
      </c>
      <c r="D1145" t="s">
        <v>48</v>
      </c>
      <c r="E1145">
        <v>80.561222964688596</v>
      </c>
      <c r="F1145">
        <v>80.561222964688596</v>
      </c>
      <c r="G1145">
        <v>0</v>
      </c>
      <c r="H1145">
        <v>0</v>
      </c>
      <c r="I1145" t="s">
        <v>81</v>
      </c>
    </row>
    <row r="1146" spans="1:9" x14ac:dyDescent="0.35">
      <c r="A1146" t="s">
        <v>18</v>
      </c>
      <c r="B1146">
        <v>2040</v>
      </c>
      <c r="C1146" t="s">
        <v>80</v>
      </c>
      <c r="D1146" t="s">
        <v>49</v>
      </c>
      <c r="E1146">
        <v>3.10374308993549E-3</v>
      </c>
      <c r="F1146">
        <v>3.10374308993549E-3</v>
      </c>
      <c r="G1146">
        <v>0</v>
      </c>
      <c r="H1146">
        <v>0</v>
      </c>
      <c r="I1146" t="s">
        <v>81</v>
      </c>
    </row>
    <row r="1147" spans="1:9" x14ac:dyDescent="0.35">
      <c r="A1147" t="s">
        <v>18</v>
      </c>
      <c r="B1147">
        <v>2040</v>
      </c>
      <c r="C1147" t="s">
        <v>80</v>
      </c>
      <c r="D1147" t="s">
        <v>50</v>
      </c>
      <c r="E1147">
        <v>6.5501463895367498E-3</v>
      </c>
      <c r="F1147">
        <v>6.5501463895367498E-3</v>
      </c>
      <c r="G1147">
        <v>0</v>
      </c>
      <c r="H1147">
        <v>0</v>
      </c>
      <c r="I1147" t="s">
        <v>81</v>
      </c>
    </row>
    <row r="1148" spans="1:9" x14ac:dyDescent="0.35">
      <c r="A1148" t="s">
        <v>18</v>
      </c>
      <c r="B1148">
        <v>2040</v>
      </c>
      <c r="C1148" t="s">
        <v>80</v>
      </c>
      <c r="D1148" t="s">
        <v>51</v>
      </c>
      <c r="E1148">
        <v>6.2671909999474806E-2</v>
      </c>
      <c r="F1148">
        <v>6.2671909999474806E-2</v>
      </c>
      <c r="G1148">
        <v>0</v>
      </c>
      <c r="H1148">
        <v>0</v>
      </c>
      <c r="I1148" t="s">
        <v>81</v>
      </c>
    </row>
    <row r="1149" spans="1:9" x14ac:dyDescent="0.35">
      <c r="A1149" t="s">
        <v>18</v>
      </c>
      <c r="B1149">
        <v>2040</v>
      </c>
      <c r="C1149" t="s">
        <v>80</v>
      </c>
      <c r="D1149" t="s">
        <v>52</v>
      </c>
      <c r="E1149">
        <v>0.19049983745843499</v>
      </c>
      <c r="F1149">
        <v>0.19049983745843499</v>
      </c>
      <c r="G1149">
        <v>0</v>
      </c>
      <c r="H1149">
        <v>0</v>
      </c>
      <c r="I1149" t="s">
        <v>81</v>
      </c>
    </row>
    <row r="1150" spans="1:9" x14ac:dyDescent="0.35">
      <c r="A1150" t="s">
        <v>18</v>
      </c>
      <c r="B1150">
        <v>2040</v>
      </c>
      <c r="C1150" t="s">
        <v>80</v>
      </c>
      <c r="D1150" t="s">
        <v>53</v>
      </c>
      <c r="E1150">
        <v>0.27920745544310599</v>
      </c>
      <c r="F1150">
        <v>0.27920745544310599</v>
      </c>
      <c r="G1150">
        <v>0</v>
      </c>
      <c r="H1150">
        <v>0</v>
      </c>
      <c r="I1150" t="s">
        <v>81</v>
      </c>
    </row>
    <row r="1151" spans="1:9" x14ac:dyDescent="0.35">
      <c r="A1151" t="s">
        <v>18</v>
      </c>
      <c r="B1151">
        <v>2040</v>
      </c>
      <c r="C1151" t="s">
        <v>80</v>
      </c>
      <c r="D1151" t="s">
        <v>54</v>
      </c>
      <c r="E1151">
        <v>4.8616755505694401E-2</v>
      </c>
      <c r="F1151">
        <v>4.8616755505694401E-2</v>
      </c>
      <c r="G1151">
        <v>0</v>
      </c>
      <c r="H1151">
        <v>0</v>
      </c>
      <c r="I1151" t="s">
        <v>81</v>
      </c>
    </row>
    <row r="1152" spans="1:9" x14ac:dyDescent="0.35">
      <c r="A1152" t="s">
        <v>18</v>
      </c>
      <c r="B1152">
        <v>2040</v>
      </c>
      <c r="C1152" t="s">
        <v>80</v>
      </c>
      <c r="D1152" t="s">
        <v>55</v>
      </c>
      <c r="E1152">
        <v>4.4837254401669698E-2</v>
      </c>
      <c r="F1152">
        <v>4.4837254401669698E-2</v>
      </c>
      <c r="G1152">
        <v>0</v>
      </c>
      <c r="H1152">
        <v>0</v>
      </c>
      <c r="I1152" t="s">
        <v>81</v>
      </c>
    </row>
    <row r="1153" spans="1:9" x14ac:dyDescent="0.35">
      <c r="A1153" t="s">
        <v>18</v>
      </c>
      <c r="B1153">
        <v>2040</v>
      </c>
      <c r="C1153" t="s">
        <v>80</v>
      </c>
      <c r="D1153" t="s">
        <v>56</v>
      </c>
      <c r="E1153" s="1">
        <v>7.8807324849420901E-8</v>
      </c>
      <c r="F1153" s="1">
        <v>7.8807324849420901E-8</v>
      </c>
      <c r="G1153">
        <v>0</v>
      </c>
      <c r="H1153">
        <v>0</v>
      </c>
      <c r="I1153" t="s">
        <v>81</v>
      </c>
    </row>
    <row r="1154" spans="1:9" x14ac:dyDescent="0.35">
      <c r="A1154" t="s">
        <v>12</v>
      </c>
      <c r="B1154">
        <v>2025</v>
      </c>
      <c r="C1154" t="s">
        <v>57</v>
      </c>
      <c r="D1154" t="s">
        <v>38</v>
      </c>
      <c r="E1154">
        <v>3.6463964732976601E-4</v>
      </c>
      <c r="F1154">
        <v>3.6463964732976601E-4</v>
      </c>
      <c r="G1154">
        <v>0</v>
      </c>
      <c r="H1154">
        <v>0</v>
      </c>
      <c r="I1154" t="s">
        <v>58</v>
      </c>
    </row>
    <row r="1155" spans="1:9" x14ac:dyDescent="0.35">
      <c r="A1155" t="s">
        <v>12</v>
      </c>
      <c r="B1155">
        <v>2025</v>
      </c>
      <c r="C1155" t="s">
        <v>57</v>
      </c>
      <c r="D1155" t="s">
        <v>40</v>
      </c>
      <c r="E1155">
        <v>6.1028614170609698E-4</v>
      </c>
      <c r="F1155">
        <v>6.1028614170609698E-4</v>
      </c>
      <c r="G1155">
        <v>0</v>
      </c>
      <c r="H1155">
        <v>0</v>
      </c>
      <c r="I1155" t="s">
        <v>58</v>
      </c>
    </row>
    <row r="1156" spans="1:9" x14ac:dyDescent="0.35">
      <c r="A1156" t="s">
        <v>12</v>
      </c>
      <c r="B1156">
        <v>2025</v>
      </c>
      <c r="C1156" t="s">
        <v>57</v>
      </c>
      <c r="D1156" t="s">
        <v>41</v>
      </c>
      <c r="E1156">
        <v>3.3873737241556299E-3</v>
      </c>
      <c r="F1156">
        <v>3.3873737241556299E-3</v>
      </c>
      <c r="G1156">
        <v>0</v>
      </c>
      <c r="H1156">
        <v>0</v>
      </c>
      <c r="I1156" t="s">
        <v>58</v>
      </c>
    </row>
    <row r="1157" spans="1:9" x14ac:dyDescent="0.35">
      <c r="A1157" t="s">
        <v>12</v>
      </c>
      <c r="B1157">
        <v>2025</v>
      </c>
      <c r="C1157" t="s">
        <v>57</v>
      </c>
      <c r="D1157" t="s">
        <v>42</v>
      </c>
      <c r="E1157">
        <v>2.5035841964562899</v>
      </c>
      <c r="F1157">
        <v>2.5035841964562899</v>
      </c>
      <c r="G1157">
        <v>0</v>
      </c>
      <c r="H1157">
        <v>0</v>
      </c>
      <c r="I1157" t="s">
        <v>58</v>
      </c>
    </row>
    <row r="1158" spans="1:9" x14ac:dyDescent="0.35">
      <c r="A1158" t="s">
        <v>12</v>
      </c>
      <c r="B1158">
        <v>2025</v>
      </c>
      <c r="C1158" t="s">
        <v>57</v>
      </c>
      <c r="D1158" t="s">
        <v>43</v>
      </c>
      <c r="E1158">
        <v>1.2646070451452099E-3</v>
      </c>
      <c r="F1158">
        <v>1.2646070451452099E-3</v>
      </c>
      <c r="G1158">
        <v>0</v>
      </c>
      <c r="H1158">
        <v>0</v>
      </c>
      <c r="I1158" t="s">
        <v>58</v>
      </c>
    </row>
    <row r="1159" spans="1:9" x14ac:dyDescent="0.35">
      <c r="A1159" t="s">
        <v>12</v>
      </c>
      <c r="B1159">
        <v>2025</v>
      </c>
      <c r="C1159" t="s">
        <v>57</v>
      </c>
      <c r="D1159" t="s">
        <v>136</v>
      </c>
      <c r="E1159">
        <v>0.49373866390339799</v>
      </c>
      <c r="F1159">
        <v>0.49373866390339799</v>
      </c>
      <c r="G1159">
        <v>0</v>
      </c>
      <c r="H1159">
        <v>0</v>
      </c>
      <c r="I1159" t="s">
        <v>58</v>
      </c>
    </row>
    <row r="1160" spans="1:9" x14ac:dyDescent="0.35">
      <c r="A1160" t="s">
        <v>12</v>
      </c>
      <c r="B1160">
        <v>2025</v>
      </c>
      <c r="C1160" t="s">
        <v>57</v>
      </c>
      <c r="D1160" t="s">
        <v>45</v>
      </c>
      <c r="E1160">
        <v>1.2591074257793601E-3</v>
      </c>
      <c r="F1160">
        <v>1.2591074257793601E-3</v>
      </c>
      <c r="G1160">
        <v>0</v>
      </c>
      <c r="H1160">
        <v>0</v>
      </c>
      <c r="I1160" t="s">
        <v>58</v>
      </c>
    </row>
    <row r="1161" spans="1:9" x14ac:dyDescent="0.35">
      <c r="A1161" t="s">
        <v>12</v>
      </c>
      <c r="B1161">
        <v>2025</v>
      </c>
      <c r="C1161" t="s">
        <v>57</v>
      </c>
      <c r="D1161" t="s">
        <v>46</v>
      </c>
      <c r="E1161">
        <v>2.2689064657217099E-2</v>
      </c>
      <c r="F1161">
        <v>2.2689064657217099E-2</v>
      </c>
      <c r="G1161">
        <v>0</v>
      </c>
      <c r="H1161">
        <v>0</v>
      </c>
      <c r="I1161" t="s">
        <v>58</v>
      </c>
    </row>
    <row r="1162" spans="1:9" x14ac:dyDescent="0.35">
      <c r="A1162" t="s">
        <v>12</v>
      </c>
      <c r="B1162">
        <v>2025</v>
      </c>
      <c r="C1162" t="s">
        <v>57</v>
      </c>
      <c r="D1162" t="s">
        <v>47</v>
      </c>
      <c r="E1162">
        <v>1.70711608780939E-3</v>
      </c>
      <c r="F1162">
        <v>1.70711608780939E-3</v>
      </c>
      <c r="G1162">
        <v>0</v>
      </c>
      <c r="H1162">
        <v>0</v>
      </c>
      <c r="I1162" t="s">
        <v>58</v>
      </c>
    </row>
    <row r="1163" spans="1:9" x14ac:dyDescent="0.35">
      <c r="A1163" t="s">
        <v>12</v>
      </c>
      <c r="B1163">
        <v>2025</v>
      </c>
      <c r="C1163" t="s">
        <v>57</v>
      </c>
      <c r="D1163" t="s">
        <v>48</v>
      </c>
      <c r="E1163">
        <v>5.0233750673169997</v>
      </c>
      <c r="F1163">
        <v>5.0233750673169997</v>
      </c>
      <c r="G1163">
        <v>0</v>
      </c>
      <c r="H1163">
        <v>0</v>
      </c>
      <c r="I1163" t="s">
        <v>58</v>
      </c>
    </row>
    <row r="1164" spans="1:9" x14ac:dyDescent="0.35">
      <c r="A1164" t="s">
        <v>12</v>
      </c>
      <c r="B1164">
        <v>2025</v>
      </c>
      <c r="C1164" t="s">
        <v>57</v>
      </c>
      <c r="D1164" t="s">
        <v>49</v>
      </c>
      <c r="E1164">
        <v>2.81085818188105E-3</v>
      </c>
      <c r="F1164">
        <v>2.81085818188105E-3</v>
      </c>
      <c r="G1164">
        <v>0</v>
      </c>
      <c r="H1164">
        <v>0</v>
      </c>
      <c r="I1164" t="s">
        <v>58</v>
      </c>
    </row>
    <row r="1165" spans="1:9" x14ac:dyDescent="0.35">
      <c r="A1165" t="s">
        <v>12</v>
      </c>
      <c r="B1165">
        <v>2025</v>
      </c>
      <c r="C1165" t="s">
        <v>57</v>
      </c>
      <c r="D1165" t="s">
        <v>50</v>
      </c>
      <c r="E1165">
        <v>1.5059636716789501E-2</v>
      </c>
      <c r="F1165">
        <v>1.5059636716789501E-2</v>
      </c>
      <c r="G1165">
        <v>0</v>
      </c>
      <c r="H1165">
        <v>0</v>
      </c>
      <c r="I1165" t="s">
        <v>58</v>
      </c>
    </row>
    <row r="1166" spans="1:9" x14ac:dyDescent="0.35">
      <c r="A1166" t="s">
        <v>12</v>
      </c>
      <c r="B1166">
        <v>2025</v>
      </c>
      <c r="C1166" t="s">
        <v>57</v>
      </c>
      <c r="D1166" t="s">
        <v>51</v>
      </c>
      <c r="E1166">
        <v>6.4912319417473302E-2</v>
      </c>
      <c r="F1166">
        <v>6.4912319417473302E-2</v>
      </c>
      <c r="G1166">
        <v>0</v>
      </c>
      <c r="H1166">
        <v>0</v>
      </c>
      <c r="I1166" t="s">
        <v>58</v>
      </c>
    </row>
    <row r="1167" spans="1:9" x14ac:dyDescent="0.35">
      <c r="A1167" t="s">
        <v>12</v>
      </c>
      <c r="B1167">
        <v>2025</v>
      </c>
      <c r="C1167" t="s">
        <v>57</v>
      </c>
      <c r="D1167" t="s">
        <v>52</v>
      </c>
      <c r="E1167">
        <v>2.6464788922205201E-2</v>
      </c>
      <c r="F1167">
        <v>2.6464788922205201E-2</v>
      </c>
      <c r="G1167">
        <v>0</v>
      </c>
      <c r="H1167">
        <v>0</v>
      </c>
      <c r="I1167" t="s">
        <v>58</v>
      </c>
    </row>
    <row r="1168" spans="1:9" x14ac:dyDescent="0.35">
      <c r="A1168" t="s">
        <v>12</v>
      </c>
      <c r="B1168">
        <v>2025</v>
      </c>
      <c r="C1168" t="s">
        <v>57</v>
      </c>
      <c r="D1168" t="s">
        <v>53</v>
      </c>
      <c r="E1168">
        <v>0.12693856594187</v>
      </c>
      <c r="F1168">
        <v>0.12693856594187</v>
      </c>
      <c r="G1168">
        <v>0</v>
      </c>
      <c r="H1168">
        <v>0</v>
      </c>
      <c r="I1168" t="s">
        <v>58</v>
      </c>
    </row>
    <row r="1169" spans="1:9" x14ac:dyDescent="0.35">
      <c r="A1169" t="s">
        <v>12</v>
      </c>
      <c r="B1169">
        <v>2025</v>
      </c>
      <c r="C1169" t="s">
        <v>57</v>
      </c>
      <c r="D1169" t="s">
        <v>54</v>
      </c>
      <c r="E1169">
        <v>1.1059158918588801</v>
      </c>
      <c r="F1169">
        <v>1.1059158918588801</v>
      </c>
      <c r="G1169">
        <v>0</v>
      </c>
      <c r="H1169">
        <v>0</v>
      </c>
      <c r="I1169" t="s">
        <v>58</v>
      </c>
    </row>
    <row r="1170" spans="1:9" x14ac:dyDescent="0.35">
      <c r="A1170" t="s">
        <v>12</v>
      </c>
      <c r="B1170">
        <v>2025</v>
      </c>
      <c r="C1170" t="s">
        <v>57</v>
      </c>
      <c r="D1170" t="s">
        <v>55</v>
      </c>
      <c r="E1170">
        <v>1.0099698903575101</v>
      </c>
      <c r="F1170">
        <v>1.0099698903575101</v>
      </c>
      <c r="G1170">
        <v>0</v>
      </c>
      <c r="H1170">
        <v>0</v>
      </c>
      <c r="I1170" t="s">
        <v>58</v>
      </c>
    </row>
    <row r="1171" spans="1:9" x14ac:dyDescent="0.35">
      <c r="A1171" t="s">
        <v>12</v>
      </c>
      <c r="B1171">
        <v>2025</v>
      </c>
      <c r="C1171" t="s">
        <v>57</v>
      </c>
      <c r="D1171" t="s">
        <v>56</v>
      </c>
      <c r="E1171" s="1">
        <v>5.52638533278302E-8</v>
      </c>
      <c r="F1171" s="1">
        <v>5.52638533278302E-8</v>
      </c>
      <c r="G1171">
        <v>0</v>
      </c>
      <c r="H1171">
        <v>0</v>
      </c>
      <c r="I1171" t="s">
        <v>58</v>
      </c>
    </row>
    <row r="1172" spans="1:9" x14ac:dyDescent="0.35">
      <c r="A1172" t="s">
        <v>14</v>
      </c>
      <c r="B1172">
        <v>2030</v>
      </c>
      <c r="C1172" t="s">
        <v>57</v>
      </c>
      <c r="D1172" t="s">
        <v>38</v>
      </c>
      <c r="E1172">
        <v>3.7092510696069001E-4</v>
      </c>
      <c r="F1172">
        <v>3.7092510696069001E-4</v>
      </c>
      <c r="G1172">
        <v>0</v>
      </c>
      <c r="H1172">
        <v>0</v>
      </c>
      <c r="I1172" t="s">
        <v>58</v>
      </c>
    </row>
    <row r="1173" spans="1:9" x14ac:dyDescent="0.35">
      <c r="A1173" t="s">
        <v>14</v>
      </c>
      <c r="B1173">
        <v>2030</v>
      </c>
      <c r="C1173" t="s">
        <v>57</v>
      </c>
      <c r="D1173" t="s">
        <v>40</v>
      </c>
      <c r="E1173">
        <v>6.1934275281691302E-4</v>
      </c>
      <c r="F1173">
        <v>6.1934275281691302E-4</v>
      </c>
      <c r="G1173">
        <v>0</v>
      </c>
      <c r="H1173">
        <v>0</v>
      </c>
      <c r="I1173" t="s">
        <v>58</v>
      </c>
    </row>
    <row r="1174" spans="1:9" x14ac:dyDescent="0.35">
      <c r="A1174" t="s">
        <v>14</v>
      </c>
      <c r="B1174">
        <v>2030</v>
      </c>
      <c r="C1174" t="s">
        <v>57</v>
      </c>
      <c r="D1174" t="s">
        <v>41</v>
      </c>
      <c r="E1174">
        <v>3.7045173338113601E-3</v>
      </c>
      <c r="F1174">
        <v>3.7045173338113601E-3</v>
      </c>
      <c r="G1174">
        <v>0</v>
      </c>
      <c r="H1174">
        <v>0</v>
      </c>
      <c r="I1174" t="s">
        <v>58</v>
      </c>
    </row>
    <row r="1175" spans="1:9" x14ac:dyDescent="0.35">
      <c r="A1175" t="s">
        <v>14</v>
      </c>
      <c r="B1175">
        <v>2030</v>
      </c>
      <c r="C1175" t="s">
        <v>57</v>
      </c>
      <c r="D1175" t="s">
        <v>42</v>
      </c>
      <c r="E1175">
        <v>2.5172479275797799</v>
      </c>
      <c r="F1175">
        <v>2.5172479275797799</v>
      </c>
      <c r="G1175">
        <v>0</v>
      </c>
      <c r="H1175">
        <v>0</v>
      </c>
      <c r="I1175" t="s">
        <v>58</v>
      </c>
    </row>
    <row r="1176" spans="1:9" x14ac:dyDescent="0.35">
      <c r="A1176" t="s">
        <v>14</v>
      </c>
      <c r="B1176">
        <v>2030</v>
      </c>
      <c r="C1176" t="s">
        <v>57</v>
      </c>
      <c r="D1176" t="s">
        <v>43</v>
      </c>
      <c r="E1176">
        <v>1.3947424123521501E-3</v>
      </c>
      <c r="F1176">
        <v>1.3947424123521501E-3</v>
      </c>
      <c r="G1176">
        <v>0</v>
      </c>
      <c r="H1176">
        <v>0</v>
      </c>
      <c r="I1176" t="s">
        <v>58</v>
      </c>
    </row>
    <row r="1177" spans="1:9" x14ac:dyDescent="0.35">
      <c r="A1177" t="s">
        <v>14</v>
      </c>
      <c r="B1177">
        <v>2030</v>
      </c>
      <c r="C1177" t="s">
        <v>57</v>
      </c>
      <c r="D1177" t="s">
        <v>136</v>
      </c>
      <c r="E1177">
        <v>0.48814232267621999</v>
      </c>
      <c r="F1177">
        <v>0.48814232267621999</v>
      </c>
      <c r="G1177">
        <v>0</v>
      </c>
      <c r="H1177">
        <v>0</v>
      </c>
      <c r="I1177" t="s">
        <v>58</v>
      </c>
    </row>
    <row r="1178" spans="1:9" x14ac:dyDescent="0.35">
      <c r="A1178" t="s">
        <v>14</v>
      </c>
      <c r="B1178">
        <v>2030</v>
      </c>
      <c r="C1178" t="s">
        <v>57</v>
      </c>
      <c r="D1178" t="s">
        <v>45</v>
      </c>
      <c r="E1178">
        <v>1.3250745173644101E-3</v>
      </c>
      <c r="F1178">
        <v>1.3250745173644101E-3</v>
      </c>
      <c r="G1178">
        <v>0</v>
      </c>
      <c r="H1178">
        <v>0</v>
      </c>
      <c r="I1178" t="s">
        <v>58</v>
      </c>
    </row>
    <row r="1179" spans="1:9" x14ac:dyDescent="0.35">
      <c r="A1179" t="s">
        <v>14</v>
      </c>
      <c r="B1179">
        <v>2030</v>
      </c>
      <c r="C1179" t="s">
        <v>57</v>
      </c>
      <c r="D1179" t="s">
        <v>46</v>
      </c>
      <c r="E1179">
        <v>4.6875954119720897E-2</v>
      </c>
      <c r="F1179">
        <v>4.6875954119720897E-2</v>
      </c>
      <c r="G1179">
        <v>0</v>
      </c>
      <c r="H1179">
        <v>0</v>
      </c>
      <c r="I1179" t="s">
        <v>58</v>
      </c>
    </row>
    <row r="1180" spans="1:9" x14ac:dyDescent="0.35">
      <c r="A1180" t="s">
        <v>14</v>
      </c>
      <c r="B1180">
        <v>2030</v>
      </c>
      <c r="C1180" t="s">
        <v>57</v>
      </c>
      <c r="D1180" t="s">
        <v>47</v>
      </c>
      <c r="E1180">
        <v>1.73198635946803E-3</v>
      </c>
      <c r="F1180">
        <v>1.73198635946803E-3</v>
      </c>
      <c r="G1180">
        <v>0</v>
      </c>
      <c r="H1180">
        <v>0</v>
      </c>
      <c r="I1180" t="s">
        <v>58</v>
      </c>
    </row>
    <row r="1181" spans="1:9" x14ac:dyDescent="0.35">
      <c r="A1181" t="s">
        <v>14</v>
      </c>
      <c r="B1181">
        <v>2030</v>
      </c>
      <c r="C1181" t="s">
        <v>57</v>
      </c>
      <c r="D1181" t="s">
        <v>48</v>
      </c>
      <c r="E1181">
        <v>5.0234252999352398</v>
      </c>
      <c r="F1181">
        <v>5.0234252999352398</v>
      </c>
      <c r="G1181">
        <v>0</v>
      </c>
      <c r="H1181">
        <v>0</v>
      </c>
      <c r="I1181" t="s">
        <v>58</v>
      </c>
    </row>
    <row r="1182" spans="1:9" x14ac:dyDescent="0.35">
      <c r="A1182" t="s">
        <v>14</v>
      </c>
      <c r="B1182">
        <v>2030</v>
      </c>
      <c r="C1182" t="s">
        <v>57</v>
      </c>
      <c r="D1182" t="s">
        <v>49</v>
      </c>
      <c r="E1182">
        <v>2.98814525317819E-3</v>
      </c>
      <c r="F1182">
        <v>2.98814525317819E-3</v>
      </c>
      <c r="G1182">
        <v>0</v>
      </c>
      <c r="H1182">
        <v>0</v>
      </c>
      <c r="I1182" t="s">
        <v>58</v>
      </c>
    </row>
    <row r="1183" spans="1:9" x14ac:dyDescent="0.35">
      <c r="A1183" t="s">
        <v>14</v>
      </c>
      <c r="B1183">
        <v>2030</v>
      </c>
      <c r="C1183" t="s">
        <v>57</v>
      </c>
      <c r="D1183" t="s">
        <v>50</v>
      </c>
      <c r="E1183">
        <v>1.5126798253312999E-2</v>
      </c>
      <c r="F1183">
        <v>1.5126798253312999E-2</v>
      </c>
      <c r="G1183">
        <v>0</v>
      </c>
      <c r="H1183">
        <v>0</v>
      </c>
      <c r="I1183" t="s">
        <v>58</v>
      </c>
    </row>
    <row r="1184" spans="1:9" x14ac:dyDescent="0.35">
      <c r="A1184" t="s">
        <v>14</v>
      </c>
      <c r="B1184">
        <v>2030</v>
      </c>
      <c r="C1184" t="s">
        <v>57</v>
      </c>
      <c r="D1184" t="s">
        <v>51</v>
      </c>
      <c r="E1184">
        <v>6.6197494233507195E-2</v>
      </c>
      <c r="F1184">
        <v>6.6197494233507195E-2</v>
      </c>
      <c r="G1184">
        <v>0</v>
      </c>
      <c r="H1184">
        <v>0</v>
      </c>
      <c r="I1184" t="s">
        <v>58</v>
      </c>
    </row>
    <row r="1185" spans="1:9" x14ac:dyDescent="0.35">
      <c r="A1185" t="s">
        <v>14</v>
      </c>
      <c r="B1185">
        <v>2030</v>
      </c>
      <c r="C1185" t="s">
        <v>57</v>
      </c>
      <c r="D1185" t="s">
        <v>52</v>
      </c>
      <c r="E1185">
        <v>2.46245803927213E-2</v>
      </c>
      <c r="F1185">
        <v>2.46245803927213E-2</v>
      </c>
      <c r="G1185">
        <v>0</v>
      </c>
      <c r="H1185">
        <v>0</v>
      </c>
      <c r="I1185" t="s">
        <v>58</v>
      </c>
    </row>
    <row r="1186" spans="1:9" x14ac:dyDescent="0.35">
      <c r="A1186" t="s">
        <v>14</v>
      </c>
      <c r="B1186">
        <v>2030</v>
      </c>
      <c r="C1186" t="s">
        <v>57</v>
      </c>
      <c r="D1186" t="s">
        <v>53</v>
      </c>
      <c r="E1186">
        <v>0.12480731826370001</v>
      </c>
      <c r="F1186">
        <v>0.12480731826370001</v>
      </c>
      <c r="G1186">
        <v>0</v>
      </c>
      <c r="H1186">
        <v>0</v>
      </c>
      <c r="I1186" t="s">
        <v>58</v>
      </c>
    </row>
    <row r="1187" spans="1:9" x14ac:dyDescent="0.35">
      <c r="A1187" t="s">
        <v>14</v>
      </c>
      <c r="B1187">
        <v>2030</v>
      </c>
      <c r="C1187" t="s">
        <v>57</v>
      </c>
      <c r="D1187" t="s">
        <v>54</v>
      </c>
      <c r="E1187">
        <v>1.1064915621760301</v>
      </c>
      <c r="F1187">
        <v>1.1064915621760301</v>
      </c>
      <c r="G1187">
        <v>0</v>
      </c>
      <c r="H1187">
        <v>0</v>
      </c>
      <c r="I1187" t="s">
        <v>58</v>
      </c>
    </row>
    <row r="1188" spans="1:9" x14ac:dyDescent="0.35">
      <c r="A1188" t="s">
        <v>14</v>
      </c>
      <c r="B1188">
        <v>2030</v>
      </c>
      <c r="C1188" t="s">
        <v>57</v>
      </c>
      <c r="D1188" t="s">
        <v>55</v>
      </c>
      <c r="E1188">
        <v>1.0104874964419699</v>
      </c>
      <c r="F1188">
        <v>1.0104874964419699</v>
      </c>
      <c r="G1188">
        <v>0</v>
      </c>
      <c r="H1188">
        <v>0</v>
      </c>
      <c r="I1188" t="s">
        <v>58</v>
      </c>
    </row>
    <row r="1189" spans="1:9" x14ac:dyDescent="0.35">
      <c r="A1189" t="s">
        <v>14</v>
      </c>
      <c r="B1189">
        <v>2030</v>
      </c>
      <c r="C1189" t="s">
        <v>57</v>
      </c>
      <c r="D1189" t="s">
        <v>56</v>
      </c>
      <c r="E1189" s="1">
        <v>5.0522113203513199E-8</v>
      </c>
      <c r="F1189" s="1">
        <v>5.0522113203513199E-8</v>
      </c>
      <c r="G1189">
        <v>0</v>
      </c>
      <c r="H1189">
        <v>0</v>
      </c>
      <c r="I1189" t="s">
        <v>58</v>
      </c>
    </row>
    <row r="1190" spans="1:9" x14ac:dyDescent="0.35">
      <c r="A1190" t="s">
        <v>16</v>
      </c>
      <c r="B1190">
        <v>2035</v>
      </c>
      <c r="C1190" t="s">
        <v>57</v>
      </c>
      <c r="D1190" t="s">
        <v>38</v>
      </c>
      <c r="E1190">
        <v>4.09971926080055E-4</v>
      </c>
      <c r="F1190">
        <v>4.09971926080055E-4</v>
      </c>
      <c r="G1190">
        <v>0</v>
      </c>
      <c r="H1190">
        <v>0</v>
      </c>
      <c r="I1190" t="s">
        <v>58</v>
      </c>
    </row>
    <row r="1191" spans="1:9" x14ac:dyDescent="0.35">
      <c r="A1191" t="s">
        <v>16</v>
      </c>
      <c r="B1191">
        <v>2035</v>
      </c>
      <c r="C1191" t="s">
        <v>57</v>
      </c>
      <c r="D1191" t="s">
        <v>40</v>
      </c>
      <c r="E1191">
        <v>6.3832883443562896E-4</v>
      </c>
      <c r="F1191">
        <v>6.3832883443562896E-4</v>
      </c>
      <c r="G1191">
        <v>0</v>
      </c>
      <c r="H1191">
        <v>0</v>
      </c>
      <c r="I1191" t="s">
        <v>58</v>
      </c>
    </row>
    <row r="1192" spans="1:9" x14ac:dyDescent="0.35">
      <c r="A1192" t="s">
        <v>16</v>
      </c>
      <c r="B1192">
        <v>2035</v>
      </c>
      <c r="C1192" t="s">
        <v>57</v>
      </c>
      <c r="D1192" t="s">
        <v>41</v>
      </c>
      <c r="E1192">
        <v>3.6905010814787301E-3</v>
      </c>
      <c r="F1192">
        <v>3.6905010814787301E-3</v>
      </c>
      <c r="G1192">
        <v>0</v>
      </c>
      <c r="H1192">
        <v>0</v>
      </c>
      <c r="I1192" t="s">
        <v>58</v>
      </c>
    </row>
    <row r="1193" spans="1:9" x14ac:dyDescent="0.35">
      <c r="A1193" t="s">
        <v>16</v>
      </c>
      <c r="B1193">
        <v>2035</v>
      </c>
      <c r="C1193" t="s">
        <v>57</v>
      </c>
      <c r="D1193" t="s">
        <v>42</v>
      </c>
      <c r="E1193">
        <v>2.54563818443606</v>
      </c>
      <c r="F1193">
        <v>2.54563818443606</v>
      </c>
      <c r="G1193">
        <v>0</v>
      </c>
      <c r="H1193">
        <v>0</v>
      </c>
      <c r="I1193" t="s">
        <v>58</v>
      </c>
    </row>
    <row r="1194" spans="1:9" x14ac:dyDescent="0.35">
      <c r="A1194" t="s">
        <v>16</v>
      </c>
      <c r="B1194">
        <v>2035</v>
      </c>
      <c r="C1194" t="s">
        <v>57</v>
      </c>
      <c r="D1194" t="s">
        <v>43</v>
      </c>
      <c r="E1194">
        <v>1.4146439803717601E-3</v>
      </c>
      <c r="F1194">
        <v>1.4146439803717601E-3</v>
      </c>
      <c r="G1194">
        <v>0</v>
      </c>
      <c r="H1194">
        <v>0</v>
      </c>
      <c r="I1194" t="s">
        <v>58</v>
      </c>
    </row>
    <row r="1195" spans="1:9" x14ac:dyDescent="0.35">
      <c r="A1195" t="s">
        <v>16</v>
      </c>
      <c r="B1195">
        <v>2035</v>
      </c>
      <c r="C1195" t="s">
        <v>57</v>
      </c>
      <c r="D1195" t="s">
        <v>136</v>
      </c>
      <c r="E1195">
        <v>0.49008763809517603</v>
      </c>
      <c r="F1195">
        <v>0.49008763809517603</v>
      </c>
      <c r="G1195">
        <v>0</v>
      </c>
      <c r="H1195">
        <v>0</v>
      </c>
      <c r="I1195" t="s">
        <v>58</v>
      </c>
    </row>
    <row r="1196" spans="1:9" x14ac:dyDescent="0.35">
      <c r="A1196" t="s">
        <v>16</v>
      </c>
      <c r="B1196">
        <v>2035</v>
      </c>
      <c r="C1196" t="s">
        <v>57</v>
      </c>
      <c r="D1196" t="s">
        <v>45</v>
      </c>
      <c r="E1196">
        <v>1.31623210074564E-3</v>
      </c>
      <c r="F1196">
        <v>1.31623210074564E-3</v>
      </c>
      <c r="G1196">
        <v>0</v>
      </c>
      <c r="H1196">
        <v>0</v>
      </c>
      <c r="I1196" t="s">
        <v>58</v>
      </c>
    </row>
    <row r="1197" spans="1:9" x14ac:dyDescent="0.35">
      <c r="A1197" t="s">
        <v>16</v>
      </c>
      <c r="B1197">
        <v>2035</v>
      </c>
      <c r="C1197" t="s">
        <v>57</v>
      </c>
      <c r="D1197" t="s">
        <v>46</v>
      </c>
      <c r="E1197">
        <v>9.1679345392166101E-2</v>
      </c>
      <c r="F1197">
        <v>9.1679345392166101E-2</v>
      </c>
      <c r="G1197">
        <v>0</v>
      </c>
      <c r="H1197">
        <v>0</v>
      </c>
      <c r="I1197" t="s">
        <v>58</v>
      </c>
    </row>
    <row r="1198" spans="1:9" x14ac:dyDescent="0.35">
      <c r="A1198" t="s">
        <v>16</v>
      </c>
      <c r="B1198">
        <v>2035</v>
      </c>
      <c r="C1198" t="s">
        <v>57</v>
      </c>
      <c r="D1198" t="s">
        <v>47</v>
      </c>
      <c r="E1198">
        <v>1.77790767767811E-3</v>
      </c>
      <c r="F1198">
        <v>1.77790767767811E-3</v>
      </c>
      <c r="G1198">
        <v>0</v>
      </c>
      <c r="H1198">
        <v>0</v>
      </c>
      <c r="I1198" t="s">
        <v>58</v>
      </c>
    </row>
    <row r="1199" spans="1:9" x14ac:dyDescent="0.35">
      <c r="A1199" t="s">
        <v>16</v>
      </c>
      <c r="B1199">
        <v>2035</v>
      </c>
      <c r="C1199" t="s">
        <v>57</v>
      </c>
      <c r="D1199" t="s">
        <v>48</v>
      </c>
      <c r="E1199">
        <v>5.0238334233382904</v>
      </c>
      <c r="F1199">
        <v>5.0238334233382904</v>
      </c>
      <c r="G1199">
        <v>0</v>
      </c>
      <c r="H1199">
        <v>0</v>
      </c>
      <c r="I1199" t="s">
        <v>58</v>
      </c>
    </row>
    <row r="1200" spans="1:9" x14ac:dyDescent="0.35">
      <c r="A1200" t="s">
        <v>16</v>
      </c>
      <c r="B1200">
        <v>2035</v>
      </c>
      <c r="C1200" t="s">
        <v>57</v>
      </c>
      <c r="D1200" t="s">
        <v>49</v>
      </c>
      <c r="E1200">
        <v>2.9999729582229498E-3</v>
      </c>
      <c r="F1200">
        <v>2.9999729582229498E-3</v>
      </c>
      <c r="G1200">
        <v>0</v>
      </c>
      <c r="H1200">
        <v>0</v>
      </c>
      <c r="I1200" t="s">
        <v>58</v>
      </c>
    </row>
    <row r="1201" spans="1:9" x14ac:dyDescent="0.35">
      <c r="A1201" t="s">
        <v>16</v>
      </c>
      <c r="B1201">
        <v>2035</v>
      </c>
      <c r="C1201" t="s">
        <v>57</v>
      </c>
      <c r="D1201" t="s">
        <v>50</v>
      </c>
      <c r="E1201">
        <v>1.53416942369671E-2</v>
      </c>
      <c r="F1201">
        <v>1.53416942369671E-2</v>
      </c>
      <c r="G1201">
        <v>0</v>
      </c>
      <c r="H1201">
        <v>0</v>
      </c>
      <c r="I1201" t="s">
        <v>58</v>
      </c>
    </row>
    <row r="1202" spans="1:9" x14ac:dyDescent="0.35">
      <c r="A1202" t="s">
        <v>16</v>
      </c>
      <c r="B1202">
        <v>2035</v>
      </c>
      <c r="C1202" t="s">
        <v>57</v>
      </c>
      <c r="D1202" t="s">
        <v>51</v>
      </c>
      <c r="E1202">
        <v>6.8592930370271296E-2</v>
      </c>
      <c r="F1202">
        <v>6.8592930370271296E-2</v>
      </c>
      <c r="G1202">
        <v>0</v>
      </c>
      <c r="H1202">
        <v>0</v>
      </c>
      <c r="I1202" t="s">
        <v>58</v>
      </c>
    </row>
    <row r="1203" spans="1:9" x14ac:dyDescent="0.35">
      <c r="A1203" t="s">
        <v>16</v>
      </c>
      <c r="B1203">
        <v>2035</v>
      </c>
      <c r="C1203" t="s">
        <v>57</v>
      </c>
      <c r="D1203" t="s">
        <v>52</v>
      </c>
      <c r="E1203">
        <v>2.2333997948034399E-2</v>
      </c>
      <c r="F1203">
        <v>2.2333997948034399E-2</v>
      </c>
      <c r="G1203">
        <v>0</v>
      </c>
      <c r="H1203">
        <v>0</v>
      </c>
      <c r="I1203" t="s">
        <v>58</v>
      </c>
    </row>
    <row r="1204" spans="1:9" x14ac:dyDescent="0.35">
      <c r="A1204" t="s">
        <v>16</v>
      </c>
      <c r="B1204">
        <v>2035</v>
      </c>
      <c r="C1204" t="s">
        <v>57</v>
      </c>
      <c r="D1204" t="s">
        <v>53</v>
      </c>
      <c r="E1204">
        <v>0.124501209924044</v>
      </c>
      <c r="F1204">
        <v>0.124501209924044</v>
      </c>
      <c r="G1204">
        <v>0</v>
      </c>
      <c r="H1204">
        <v>0</v>
      </c>
      <c r="I1204" t="s">
        <v>58</v>
      </c>
    </row>
    <row r="1205" spans="1:9" x14ac:dyDescent="0.35">
      <c r="A1205" t="s">
        <v>16</v>
      </c>
      <c r="B1205">
        <v>2035</v>
      </c>
      <c r="C1205" t="s">
        <v>57</v>
      </c>
      <c r="D1205" t="s">
        <v>54</v>
      </c>
      <c r="E1205">
        <v>1.10748370317755</v>
      </c>
      <c r="F1205">
        <v>1.10748370317755</v>
      </c>
      <c r="G1205">
        <v>0</v>
      </c>
      <c r="H1205">
        <v>0</v>
      </c>
      <c r="I1205" t="s">
        <v>58</v>
      </c>
    </row>
    <row r="1206" spans="1:9" x14ac:dyDescent="0.35">
      <c r="A1206" t="s">
        <v>16</v>
      </c>
      <c r="B1206">
        <v>2035</v>
      </c>
      <c r="C1206" t="s">
        <v>57</v>
      </c>
      <c r="D1206" t="s">
        <v>55</v>
      </c>
      <c r="E1206">
        <v>1.0114169251407199</v>
      </c>
      <c r="F1206">
        <v>1.0114169251407199</v>
      </c>
      <c r="G1206">
        <v>0</v>
      </c>
      <c r="H1206">
        <v>0</v>
      </c>
      <c r="I1206" t="s">
        <v>58</v>
      </c>
    </row>
    <row r="1207" spans="1:9" x14ac:dyDescent="0.35">
      <c r="A1207" t="s">
        <v>16</v>
      </c>
      <c r="B1207">
        <v>2035</v>
      </c>
      <c r="C1207" t="s">
        <v>57</v>
      </c>
      <c r="D1207" t="s">
        <v>56</v>
      </c>
      <c r="E1207" s="1">
        <v>4.5125143553649902E-8</v>
      </c>
      <c r="F1207" s="1">
        <v>4.5125143553649902E-8</v>
      </c>
      <c r="G1207">
        <v>0</v>
      </c>
      <c r="H1207">
        <v>0</v>
      </c>
      <c r="I1207" t="s">
        <v>58</v>
      </c>
    </row>
    <row r="1208" spans="1:9" x14ac:dyDescent="0.35">
      <c r="A1208" t="s">
        <v>18</v>
      </c>
      <c r="B1208">
        <v>2040</v>
      </c>
      <c r="C1208" t="s">
        <v>57</v>
      </c>
      <c r="D1208" t="s">
        <v>38</v>
      </c>
      <c r="E1208">
        <v>4.7598576566761102E-4</v>
      </c>
      <c r="F1208">
        <v>4.7598576566761102E-4</v>
      </c>
      <c r="G1208">
        <v>0</v>
      </c>
      <c r="H1208">
        <v>0</v>
      </c>
      <c r="I1208" t="s">
        <v>58</v>
      </c>
    </row>
    <row r="1209" spans="1:9" x14ac:dyDescent="0.35">
      <c r="A1209" t="s">
        <v>18</v>
      </c>
      <c r="B1209">
        <v>2040</v>
      </c>
      <c r="C1209" t="s">
        <v>57</v>
      </c>
      <c r="D1209" t="s">
        <v>40</v>
      </c>
      <c r="E1209">
        <v>6.5383275967108301E-4</v>
      </c>
      <c r="F1209">
        <v>6.5383275967108301E-4</v>
      </c>
      <c r="G1209">
        <v>0</v>
      </c>
      <c r="H1209">
        <v>0</v>
      </c>
      <c r="I1209" t="s">
        <v>58</v>
      </c>
    </row>
    <row r="1210" spans="1:9" x14ac:dyDescent="0.35">
      <c r="A1210" t="s">
        <v>18</v>
      </c>
      <c r="B1210">
        <v>2040</v>
      </c>
      <c r="C1210" t="s">
        <v>57</v>
      </c>
      <c r="D1210" t="s">
        <v>41</v>
      </c>
      <c r="E1210">
        <v>3.6904624437783702E-3</v>
      </c>
      <c r="F1210">
        <v>3.6904624437783702E-3</v>
      </c>
      <c r="G1210">
        <v>0</v>
      </c>
      <c r="H1210">
        <v>0</v>
      </c>
      <c r="I1210" t="s">
        <v>58</v>
      </c>
    </row>
    <row r="1211" spans="1:9" x14ac:dyDescent="0.35">
      <c r="A1211" t="s">
        <v>18</v>
      </c>
      <c r="B1211">
        <v>2040</v>
      </c>
      <c r="C1211" t="s">
        <v>57</v>
      </c>
      <c r="D1211" t="s">
        <v>42</v>
      </c>
      <c r="E1211">
        <v>2.5919444836619498</v>
      </c>
      <c r="F1211">
        <v>2.5919444836619498</v>
      </c>
      <c r="G1211">
        <v>0</v>
      </c>
      <c r="H1211">
        <v>0</v>
      </c>
      <c r="I1211" t="s">
        <v>58</v>
      </c>
    </row>
    <row r="1212" spans="1:9" x14ac:dyDescent="0.35">
      <c r="A1212" t="s">
        <v>18</v>
      </c>
      <c r="B1212">
        <v>2040</v>
      </c>
      <c r="C1212" t="s">
        <v>57</v>
      </c>
      <c r="D1212" t="s">
        <v>43</v>
      </c>
      <c r="E1212">
        <v>1.4519877189644499E-3</v>
      </c>
      <c r="F1212">
        <v>1.4519877189644499E-3</v>
      </c>
      <c r="G1212">
        <v>0</v>
      </c>
      <c r="H1212">
        <v>0</v>
      </c>
      <c r="I1212" t="s">
        <v>58</v>
      </c>
    </row>
    <row r="1213" spans="1:9" x14ac:dyDescent="0.35">
      <c r="A1213" t="s">
        <v>18</v>
      </c>
      <c r="B1213">
        <v>2040</v>
      </c>
      <c r="C1213" t="s">
        <v>57</v>
      </c>
      <c r="D1213" t="s">
        <v>136</v>
      </c>
      <c r="E1213">
        <v>0.505675380755649</v>
      </c>
      <c r="F1213">
        <v>0.505675380755649</v>
      </c>
      <c r="G1213">
        <v>0</v>
      </c>
      <c r="H1213">
        <v>0</v>
      </c>
      <c r="I1213" t="s">
        <v>58</v>
      </c>
    </row>
    <row r="1214" spans="1:9" x14ac:dyDescent="0.35">
      <c r="A1214" t="s">
        <v>18</v>
      </c>
      <c r="B1214">
        <v>2040</v>
      </c>
      <c r="C1214" t="s">
        <v>57</v>
      </c>
      <c r="D1214" t="s">
        <v>45</v>
      </c>
      <c r="E1214">
        <v>1.3234819292197999E-3</v>
      </c>
      <c r="F1214">
        <v>1.3234819292197999E-3</v>
      </c>
      <c r="G1214">
        <v>0</v>
      </c>
      <c r="H1214">
        <v>0</v>
      </c>
      <c r="I1214" t="s">
        <v>58</v>
      </c>
    </row>
    <row r="1215" spans="1:9" x14ac:dyDescent="0.35">
      <c r="A1215" t="s">
        <v>18</v>
      </c>
      <c r="B1215">
        <v>2040</v>
      </c>
      <c r="C1215" t="s">
        <v>57</v>
      </c>
      <c r="D1215" t="s">
        <v>46</v>
      </c>
      <c r="E1215">
        <v>0.135473366496555</v>
      </c>
      <c r="F1215">
        <v>0.135473366496555</v>
      </c>
      <c r="G1215">
        <v>0</v>
      </c>
      <c r="H1215">
        <v>0</v>
      </c>
      <c r="I1215" t="s">
        <v>58</v>
      </c>
    </row>
    <row r="1216" spans="1:9" x14ac:dyDescent="0.35">
      <c r="A1216" t="s">
        <v>18</v>
      </c>
      <c r="B1216">
        <v>2040</v>
      </c>
      <c r="C1216" t="s">
        <v>57</v>
      </c>
      <c r="D1216" t="s">
        <v>47</v>
      </c>
      <c r="E1216">
        <v>1.85243573416226E-3</v>
      </c>
      <c r="F1216">
        <v>1.85243573416226E-3</v>
      </c>
      <c r="G1216">
        <v>0</v>
      </c>
      <c r="H1216">
        <v>0</v>
      </c>
      <c r="I1216" t="s">
        <v>58</v>
      </c>
    </row>
    <row r="1217" spans="1:9" x14ac:dyDescent="0.35">
      <c r="A1217" t="s">
        <v>18</v>
      </c>
      <c r="B1217">
        <v>2040</v>
      </c>
      <c r="C1217" t="s">
        <v>57</v>
      </c>
      <c r="D1217" t="s">
        <v>48</v>
      </c>
      <c r="E1217">
        <v>5.0249422900705998</v>
      </c>
      <c r="F1217">
        <v>5.0249422900705998</v>
      </c>
      <c r="G1217">
        <v>0</v>
      </c>
      <c r="H1217">
        <v>0</v>
      </c>
      <c r="I1217" t="s">
        <v>58</v>
      </c>
    </row>
    <row r="1218" spans="1:9" x14ac:dyDescent="0.35">
      <c r="A1218" t="s">
        <v>18</v>
      </c>
      <c r="B1218">
        <v>2040</v>
      </c>
      <c r="C1218" t="s">
        <v>57</v>
      </c>
      <c r="D1218" t="s">
        <v>49</v>
      </c>
      <c r="E1218">
        <v>3.0489472541673801E-3</v>
      </c>
      <c r="F1218">
        <v>3.0489472541673801E-3</v>
      </c>
      <c r="G1218">
        <v>0</v>
      </c>
      <c r="H1218">
        <v>0</v>
      </c>
      <c r="I1218" t="s">
        <v>58</v>
      </c>
    </row>
    <row r="1219" spans="1:9" x14ac:dyDescent="0.35">
      <c r="A1219" t="s">
        <v>18</v>
      </c>
      <c r="B1219">
        <v>2040</v>
      </c>
      <c r="C1219" t="s">
        <v>57</v>
      </c>
      <c r="D1219" t="s">
        <v>50</v>
      </c>
      <c r="E1219">
        <v>1.5679834324954001E-2</v>
      </c>
      <c r="F1219">
        <v>1.5679834324954001E-2</v>
      </c>
      <c r="G1219">
        <v>0</v>
      </c>
      <c r="H1219">
        <v>0</v>
      </c>
      <c r="I1219" t="s">
        <v>58</v>
      </c>
    </row>
    <row r="1220" spans="1:9" x14ac:dyDescent="0.35">
      <c r="A1220" t="s">
        <v>18</v>
      </c>
      <c r="B1220">
        <v>2040</v>
      </c>
      <c r="C1220" t="s">
        <v>57</v>
      </c>
      <c r="D1220" t="s">
        <v>51</v>
      </c>
      <c r="E1220">
        <v>7.1021575134600598E-2</v>
      </c>
      <c r="F1220">
        <v>7.1021575134600598E-2</v>
      </c>
      <c r="G1220">
        <v>0</v>
      </c>
      <c r="H1220">
        <v>0</v>
      </c>
      <c r="I1220" t="s">
        <v>58</v>
      </c>
    </row>
    <row r="1221" spans="1:9" x14ac:dyDescent="0.35">
      <c r="A1221" t="s">
        <v>18</v>
      </c>
      <c r="B1221">
        <v>2040</v>
      </c>
      <c r="C1221" t="s">
        <v>57</v>
      </c>
      <c r="D1221" t="s">
        <v>52</v>
      </c>
      <c r="E1221">
        <v>1.9497694879282702E-2</v>
      </c>
      <c r="F1221">
        <v>1.9497694879282702E-2</v>
      </c>
      <c r="G1221">
        <v>0</v>
      </c>
      <c r="H1221">
        <v>0</v>
      </c>
      <c r="I1221" t="s">
        <v>58</v>
      </c>
    </row>
    <row r="1222" spans="1:9" x14ac:dyDescent="0.35">
      <c r="A1222" t="s">
        <v>18</v>
      </c>
      <c r="B1222">
        <v>2040</v>
      </c>
      <c r="C1222" t="s">
        <v>57</v>
      </c>
      <c r="D1222" t="s">
        <v>53</v>
      </c>
      <c r="E1222">
        <v>0.12768058764478499</v>
      </c>
      <c r="F1222">
        <v>0.12768058764478499</v>
      </c>
      <c r="G1222">
        <v>0</v>
      </c>
      <c r="H1222">
        <v>0</v>
      </c>
      <c r="I1222" t="s">
        <v>58</v>
      </c>
    </row>
    <row r="1223" spans="1:9" x14ac:dyDescent="0.35">
      <c r="A1223" t="s">
        <v>18</v>
      </c>
      <c r="B1223">
        <v>2040</v>
      </c>
      <c r="C1223" t="s">
        <v>57</v>
      </c>
      <c r="D1223" t="s">
        <v>54</v>
      </c>
      <c r="E1223">
        <v>1.1090327961192401</v>
      </c>
      <c r="F1223">
        <v>1.1090327961192401</v>
      </c>
      <c r="G1223">
        <v>0</v>
      </c>
      <c r="H1223">
        <v>0</v>
      </c>
      <c r="I1223" t="s">
        <v>58</v>
      </c>
    </row>
    <row r="1224" spans="1:9" x14ac:dyDescent="0.35">
      <c r="A1224" t="s">
        <v>18</v>
      </c>
      <c r="B1224">
        <v>2040</v>
      </c>
      <c r="C1224" t="s">
        <v>57</v>
      </c>
      <c r="D1224" t="s">
        <v>55</v>
      </c>
      <c r="E1224">
        <v>1.01286783983055</v>
      </c>
      <c r="F1224">
        <v>1.01286783983055</v>
      </c>
      <c r="G1224">
        <v>0</v>
      </c>
      <c r="H1224">
        <v>0</v>
      </c>
      <c r="I1224" t="s">
        <v>58</v>
      </c>
    </row>
    <row r="1225" spans="1:9" x14ac:dyDescent="0.35">
      <c r="A1225" t="s">
        <v>18</v>
      </c>
      <c r="B1225">
        <v>2040</v>
      </c>
      <c r="C1225" t="s">
        <v>57</v>
      </c>
      <c r="D1225" t="s">
        <v>56</v>
      </c>
      <c r="E1225" s="1">
        <v>3.9122176739821798E-8</v>
      </c>
      <c r="F1225" s="1">
        <v>3.9122176739821798E-8</v>
      </c>
      <c r="G1225">
        <v>0</v>
      </c>
      <c r="H1225">
        <v>0</v>
      </c>
      <c r="I1225" t="s">
        <v>58</v>
      </c>
    </row>
    <row r="1226" spans="1:9" x14ac:dyDescent="0.35">
      <c r="A1226" t="s">
        <v>12</v>
      </c>
      <c r="B1226">
        <v>2025</v>
      </c>
      <c r="C1226" t="s">
        <v>59</v>
      </c>
      <c r="D1226" t="s">
        <v>38</v>
      </c>
      <c r="E1226">
        <v>4.7631225888077602E-3</v>
      </c>
      <c r="F1226">
        <v>4.7631225888077602E-3</v>
      </c>
      <c r="G1226">
        <v>0</v>
      </c>
      <c r="H1226">
        <v>0</v>
      </c>
      <c r="I1226" t="s">
        <v>60</v>
      </c>
    </row>
    <row r="1227" spans="1:9" x14ac:dyDescent="0.35">
      <c r="A1227" t="s">
        <v>12</v>
      </c>
      <c r="B1227">
        <v>2025</v>
      </c>
      <c r="C1227" t="s">
        <v>59</v>
      </c>
      <c r="D1227" t="s">
        <v>40</v>
      </c>
      <c r="E1227">
        <v>4.6236279783105697E-3</v>
      </c>
      <c r="F1227">
        <v>4.6236279783105697E-3</v>
      </c>
      <c r="G1227">
        <v>0</v>
      </c>
      <c r="H1227">
        <v>0</v>
      </c>
      <c r="I1227" t="s">
        <v>60</v>
      </c>
    </row>
    <row r="1228" spans="1:9" x14ac:dyDescent="0.35">
      <c r="A1228" t="s">
        <v>12</v>
      </c>
      <c r="B1228">
        <v>2025</v>
      </c>
      <c r="C1228" t="s">
        <v>59</v>
      </c>
      <c r="D1228" t="s">
        <v>41</v>
      </c>
      <c r="E1228">
        <v>2.95813290484227E-2</v>
      </c>
      <c r="F1228">
        <v>2.95813290484227E-2</v>
      </c>
      <c r="G1228">
        <v>0</v>
      </c>
      <c r="H1228">
        <v>0</v>
      </c>
      <c r="I1228" t="s">
        <v>60</v>
      </c>
    </row>
    <row r="1229" spans="1:9" x14ac:dyDescent="0.35">
      <c r="A1229" t="s">
        <v>12</v>
      </c>
      <c r="B1229">
        <v>2025</v>
      </c>
      <c r="C1229" t="s">
        <v>59</v>
      </c>
      <c r="D1229" t="s">
        <v>42</v>
      </c>
      <c r="E1229">
        <v>18.127294210974899</v>
      </c>
      <c r="F1229">
        <v>18.127294210974899</v>
      </c>
      <c r="G1229">
        <v>0</v>
      </c>
      <c r="H1229">
        <v>0</v>
      </c>
      <c r="I1229" t="s">
        <v>60</v>
      </c>
    </row>
    <row r="1230" spans="1:9" x14ac:dyDescent="0.35">
      <c r="A1230" t="s">
        <v>12</v>
      </c>
      <c r="B1230">
        <v>2025</v>
      </c>
      <c r="C1230" t="s">
        <v>59</v>
      </c>
      <c r="D1230" t="s">
        <v>43</v>
      </c>
      <c r="E1230">
        <v>1.0873757596093599E-2</v>
      </c>
      <c r="F1230">
        <v>1.0873757596093599E-2</v>
      </c>
      <c r="G1230">
        <v>0</v>
      </c>
      <c r="H1230">
        <v>0</v>
      </c>
      <c r="I1230" t="s">
        <v>60</v>
      </c>
    </row>
    <row r="1231" spans="1:9" x14ac:dyDescent="0.35">
      <c r="A1231" t="s">
        <v>12</v>
      </c>
      <c r="B1231">
        <v>2025</v>
      </c>
      <c r="C1231" t="s">
        <v>59</v>
      </c>
      <c r="D1231" t="s">
        <v>136</v>
      </c>
      <c r="E1231">
        <v>5.4957598756298598</v>
      </c>
      <c r="F1231">
        <v>5.4957598756298598</v>
      </c>
      <c r="G1231">
        <v>0</v>
      </c>
      <c r="H1231">
        <v>0</v>
      </c>
      <c r="I1231" t="s">
        <v>60</v>
      </c>
    </row>
    <row r="1232" spans="1:9" x14ac:dyDescent="0.35">
      <c r="A1232" t="s">
        <v>12</v>
      </c>
      <c r="B1232">
        <v>2025</v>
      </c>
      <c r="C1232" t="s">
        <v>59</v>
      </c>
      <c r="D1232" t="s">
        <v>45</v>
      </c>
      <c r="E1232">
        <v>1.4196160510199099E-2</v>
      </c>
      <c r="F1232">
        <v>1.4196160510199099E-2</v>
      </c>
      <c r="G1232">
        <v>0</v>
      </c>
      <c r="H1232">
        <v>0</v>
      </c>
      <c r="I1232" t="s">
        <v>60</v>
      </c>
    </row>
    <row r="1233" spans="1:9" x14ac:dyDescent="0.35">
      <c r="A1233" t="s">
        <v>12</v>
      </c>
      <c r="B1233">
        <v>2025</v>
      </c>
      <c r="C1233" t="s">
        <v>59</v>
      </c>
      <c r="D1233" t="s">
        <v>46</v>
      </c>
      <c r="E1233">
        <v>0.191106941349522</v>
      </c>
      <c r="F1233">
        <v>0.191106941349522</v>
      </c>
      <c r="G1233">
        <v>0</v>
      </c>
      <c r="H1233">
        <v>0</v>
      </c>
      <c r="I1233" t="s">
        <v>60</v>
      </c>
    </row>
    <row r="1234" spans="1:9" x14ac:dyDescent="0.35">
      <c r="A1234" t="s">
        <v>12</v>
      </c>
      <c r="B1234">
        <v>2025</v>
      </c>
      <c r="C1234" t="s">
        <v>59</v>
      </c>
      <c r="D1234" t="s">
        <v>47</v>
      </c>
      <c r="E1234">
        <v>1.1706864481884301E-2</v>
      </c>
      <c r="F1234">
        <v>1.1706864481884301E-2</v>
      </c>
      <c r="G1234">
        <v>0</v>
      </c>
      <c r="H1234">
        <v>0</v>
      </c>
      <c r="I1234" t="s">
        <v>60</v>
      </c>
    </row>
    <row r="1235" spans="1:9" x14ac:dyDescent="0.35">
      <c r="A1235" t="s">
        <v>12</v>
      </c>
      <c r="B1235">
        <v>2025</v>
      </c>
      <c r="C1235" t="s">
        <v>59</v>
      </c>
      <c r="D1235" t="s">
        <v>48</v>
      </c>
      <c r="E1235">
        <v>36.096850022732603</v>
      </c>
      <c r="F1235">
        <v>36.096850022732603</v>
      </c>
      <c r="G1235">
        <v>0</v>
      </c>
      <c r="H1235">
        <v>0</v>
      </c>
      <c r="I1235" t="s">
        <v>60</v>
      </c>
    </row>
    <row r="1236" spans="1:9" x14ac:dyDescent="0.35">
      <c r="A1236" t="s">
        <v>12</v>
      </c>
      <c r="B1236">
        <v>2025</v>
      </c>
      <c r="C1236" t="s">
        <v>59</v>
      </c>
      <c r="D1236" t="s">
        <v>49</v>
      </c>
      <c r="E1236">
        <v>2.9529147417505699E-2</v>
      </c>
      <c r="F1236">
        <v>2.9529147417505699E-2</v>
      </c>
      <c r="G1236">
        <v>0</v>
      </c>
      <c r="H1236">
        <v>0</v>
      </c>
      <c r="I1236" t="s">
        <v>60</v>
      </c>
    </row>
    <row r="1237" spans="1:9" x14ac:dyDescent="0.35">
      <c r="A1237" t="s">
        <v>12</v>
      </c>
      <c r="B1237">
        <v>2025</v>
      </c>
      <c r="C1237" t="s">
        <v>59</v>
      </c>
      <c r="D1237" t="s">
        <v>50</v>
      </c>
      <c r="E1237">
        <v>0.116230380590693</v>
      </c>
      <c r="F1237">
        <v>0.116230380590693</v>
      </c>
      <c r="G1237">
        <v>0</v>
      </c>
      <c r="H1237">
        <v>0</v>
      </c>
      <c r="I1237" t="s">
        <v>60</v>
      </c>
    </row>
    <row r="1238" spans="1:9" x14ac:dyDescent="0.35">
      <c r="A1238" t="s">
        <v>12</v>
      </c>
      <c r="B1238">
        <v>2025</v>
      </c>
      <c r="C1238" t="s">
        <v>59</v>
      </c>
      <c r="D1238" t="s">
        <v>51</v>
      </c>
      <c r="E1238">
        <v>0.49099150178752199</v>
      </c>
      <c r="F1238">
        <v>0.49099150178752199</v>
      </c>
      <c r="G1238">
        <v>0</v>
      </c>
      <c r="H1238">
        <v>0</v>
      </c>
      <c r="I1238" t="s">
        <v>60</v>
      </c>
    </row>
    <row r="1239" spans="1:9" x14ac:dyDescent="0.35">
      <c r="A1239" t="s">
        <v>12</v>
      </c>
      <c r="B1239">
        <v>2025</v>
      </c>
      <c r="C1239" t="s">
        <v>59</v>
      </c>
      <c r="D1239" t="s">
        <v>52</v>
      </c>
      <c r="E1239">
        <v>0.77280940431575995</v>
      </c>
      <c r="F1239">
        <v>0.77280940431575995</v>
      </c>
      <c r="G1239">
        <v>0</v>
      </c>
      <c r="H1239">
        <v>0</v>
      </c>
      <c r="I1239" t="s">
        <v>60</v>
      </c>
    </row>
    <row r="1240" spans="1:9" x14ac:dyDescent="0.35">
      <c r="A1240" t="s">
        <v>12</v>
      </c>
      <c r="B1240">
        <v>2025</v>
      </c>
      <c r="C1240" t="s">
        <v>59</v>
      </c>
      <c r="D1240" t="s">
        <v>53</v>
      </c>
      <c r="E1240">
        <v>1.6213481431746399</v>
      </c>
      <c r="F1240">
        <v>1.6213481431746399</v>
      </c>
      <c r="G1240">
        <v>0</v>
      </c>
      <c r="H1240">
        <v>0</v>
      </c>
      <c r="I1240" t="s">
        <v>60</v>
      </c>
    </row>
    <row r="1241" spans="1:9" x14ac:dyDescent="0.35">
      <c r="A1241" t="s">
        <v>12</v>
      </c>
      <c r="B1241">
        <v>2025</v>
      </c>
      <c r="C1241" t="s">
        <v>59</v>
      </c>
      <c r="D1241" t="s">
        <v>54</v>
      </c>
      <c r="E1241">
        <v>7.2266375251973898</v>
      </c>
      <c r="F1241">
        <v>7.2266375251973898</v>
      </c>
      <c r="G1241">
        <v>0</v>
      </c>
      <c r="H1241">
        <v>0</v>
      </c>
      <c r="I1241" t="s">
        <v>60</v>
      </c>
    </row>
    <row r="1242" spans="1:9" x14ac:dyDescent="0.35">
      <c r="A1242" t="s">
        <v>12</v>
      </c>
      <c r="B1242">
        <v>2025</v>
      </c>
      <c r="C1242" t="s">
        <v>59</v>
      </c>
      <c r="D1242" t="s">
        <v>55</v>
      </c>
      <c r="E1242">
        <v>6.6100104955414398</v>
      </c>
      <c r="F1242">
        <v>6.6100104955414398</v>
      </c>
      <c r="G1242">
        <v>0</v>
      </c>
      <c r="H1242">
        <v>0</v>
      </c>
      <c r="I1242" t="s">
        <v>60</v>
      </c>
    </row>
    <row r="1243" spans="1:9" x14ac:dyDescent="0.35">
      <c r="A1243" t="s">
        <v>12</v>
      </c>
      <c r="B1243">
        <v>2025</v>
      </c>
      <c r="C1243" t="s">
        <v>59</v>
      </c>
      <c r="D1243" t="s">
        <v>56</v>
      </c>
      <c r="E1243" s="1">
        <v>6.9689594897387398E-7</v>
      </c>
      <c r="F1243" s="1">
        <v>6.9689594897387398E-7</v>
      </c>
      <c r="G1243">
        <v>0</v>
      </c>
      <c r="H1243">
        <v>0</v>
      </c>
      <c r="I1243" t="s">
        <v>60</v>
      </c>
    </row>
    <row r="1244" spans="1:9" x14ac:dyDescent="0.35">
      <c r="A1244" t="s">
        <v>14</v>
      </c>
      <c r="B1244">
        <v>2030</v>
      </c>
      <c r="C1244" t="s">
        <v>59</v>
      </c>
      <c r="D1244" t="s">
        <v>38</v>
      </c>
      <c r="E1244">
        <v>4.8696658736548304E-3</v>
      </c>
      <c r="F1244">
        <v>4.8696658736548304E-3</v>
      </c>
      <c r="G1244">
        <v>0</v>
      </c>
      <c r="H1244">
        <v>0</v>
      </c>
      <c r="I1244" t="s">
        <v>60</v>
      </c>
    </row>
    <row r="1245" spans="1:9" x14ac:dyDescent="0.35">
      <c r="A1245" t="s">
        <v>14</v>
      </c>
      <c r="B1245">
        <v>2030</v>
      </c>
      <c r="C1245" t="s">
        <v>59</v>
      </c>
      <c r="D1245" t="s">
        <v>40</v>
      </c>
      <c r="E1245">
        <v>4.6209522648177001E-3</v>
      </c>
      <c r="F1245">
        <v>4.6209522648177001E-3</v>
      </c>
      <c r="G1245">
        <v>0</v>
      </c>
      <c r="H1245">
        <v>0</v>
      </c>
      <c r="I1245" t="s">
        <v>60</v>
      </c>
    </row>
    <row r="1246" spans="1:9" x14ac:dyDescent="0.35">
      <c r="A1246" t="s">
        <v>14</v>
      </c>
      <c r="B1246">
        <v>2030</v>
      </c>
      <c r="C1246" t="s">
        <v>59</v>
      </c>
      <c r="D1246" t="s">
        <v>41</v>
      </c>
      <c r="E1246">
        <v>3.0900329470363599E-2</v>
      </c>
      <c r="F1246">
        <v>3.0900329470363599E-2</v>
      </c>
      <c r="G1246">
        <v>0</v>
      </c>
      <c r="H1246">
        <v>0</v>
      </c>
      <c r="I1246" t="s">
        <v>60</v>
      </c>
    </row>
    <row r="1247" spans="1:9" x14ac:dyDescent="0.35">
      <c r="A1247" t="s">
        <v>14</v>
      </c>
      <c r="B1247">
        <v>2030</v>
      </c>
      <c r="C1247" t="s">
        <v>59</v>
      </c>
      <c r="D1247" t="s">
        <v>42</v>
      </c>
      <c r="E1247">
        <v>18.1247255387295</v>
      </c>
      <c r="F1247">
        <v>18.1247255387295</v>
      </c>
      <c r="G1247">
        <v>0</v>
      </c>
      <c r="H1247">
        <v>0</v>
      </c>
      <c r="I1247" t="s">
        <v>60</v>
      </c>
    </row>
    <row r="1248" spans="1:9" x14ac:dyDescent="0.35">
      <c r="A1248" t="s">
        <v>14</v>
      </c>
      <c r="B1248">
        <v>2030</v>
      </c>
      <c r="C1248" t="s">
        <v>59</v>
      </c>
      <c r="D1248" t="s">
        <v>43</v>
      </c>
      <c r="E1248">
        <v>1.1505983914462699E-2</v>
      </c>
      <c r="F1248">
        <v>1.1505983914462699E-2</v>
      </c>
      <c r="G1248">
        <v>0</v>
      </c>
      <c r="H1248">
        <v>0</v>
      </c>
      <c r="I1248" t="s">
        <v>60</v>
      </c>
    </row>
    <row r="1249" spans="1:9" x14ac:dyDescent="0.35">
      <c r="A1249" t="s">
        <v>14</v>
      </c>
      <c r="B1249">
        <v>2030</v>
      </c>
      <c r="C1249" t="s">
        <v>59</v>
      </c>
      <c r="D1249" t="s">
        <v>136</v>
      </c>
      <c r="E1249">
        <v>5.2250368726419802</v>
      </c>
      <c r="F1249">
        <v>5.2250368726419802</v>
      </c>
      <c r="G1249">
        <v>0</v>
      </c>
      <c r="H1249">
        <v>0</v>
      </c>
      <c r="I1249" t="s">
        <v>60</v>
      </c>
    </row>
    <row r="1250" spans="1:9" x14ac:dyDescent="0.35">
      <c r="A1250" t="s">
        <v>14</v>
      </c>
      <c r="B1250">
        <v>2030</v>
      </c>
      <c r="C1250" t="s">
        <v>59</v>
      </c>
      <c r="D1250" t="s">
        <v>45</v>
      </c>
      <c r="E1250">
        <v>1.39432055487586E-2</v>
      </c>
      <c r="F1250">
        <v>1.39432055487586E-2</v>
      </c>
      <c r="G1250">
        <v>0</v>
      </c>
      <c r="H1250">
        <v>0</v>
      </c>
      <c r="I1250" t="s">
        <v>60</v>
      </c>
    </row>
    <row r="1251" spans="1:9" x14ac:dyDescent="0.35">
      <c r="A1251" t="s">
        <v>14</v>
      </c>
      <c r="B1251">
        <v>2030</v>
      </c>
      <c r="C1251" t="s">
        <v>59</v>
      </c>
      <c r="D1251" t="s">
        <v>46</v>
      </c>
      <c r="E1251">
        <v>0.36825889616956697</v>
      </c>
      <c r="F1251">
        <v>0.36825889616956697</v>
      </c>
      <c r="G1251">
        <v>0</v>
      </c>
      <c r="H1251">
        <v>0</v>
      </c>
      <c r="I1251" t="s">
        <v>60</v>
      </c>
    </row>
    <row r="1252" spans="1:9" x14ac:dyDescent="0.35">
      <c r="A1252" t="s">
        <v>14</v>
      </c>
      <c r="B1252">
        <v>2030</v>
      </c>
      <c r="C1252" t="s">
        <v>59</v>
      </c>
      <c r="D1252" t="s">
        <v>47</v>
      </c>
      <c r="E1252">
        <v>1.17670336547655E-2</v>
      </c>
      <c r="F1252">
        <v>1.17670336547655E-2</v>
      </c>
      <c r="G1252">
        <v>0</v>
      </c>
      <c r="H1252">
        <v>0</v>
      </c>
      <c r="I1252" t="s">
        <v>60</v>
      </c>
    </row>
    <row r="1253" spans="1:9" x14ac:dyDescent="0.35">
      <c r="A1253" t="s">
        <v>14</v>
      </c>
      <c r="B1253">
        <v>2030</v>
      </c>
      <c r="C1253" t="s">
        <v>59</v>
      </c>
      <c r="D1253" t="s">
        <v>48</v>
      </c>
      <c r="E1253">
        <v>36.095359230782698</v>
      </c>
      <c r="F1253">
        <v>36.095359230782698</v>
      </c>
      <c r="G1253">
        <v>0</v>
      </c>
      <c r="H1253">
        <v>0</v>
      </c>
      <c r="I1253" t="s">
        <v>60</v>
      </c>
    </row>
    <row r="1254" spans="1:9" x14ac:dyDescent="0.35">
      <c r="A1254" t="s">
        <v>14</v>
      </c>
      <c r="B1254">
        <v>2030</v>
      </c>
      <c r="C1254" t="s">
        <v>59</v>
      </c>
      <c r="D1254" t="s">
        <v>49</v>
      </c>
      <c r="E1254">
        <v>2.9809361542695902E-2</v>
      </c>
      <c r="F1254">
        <v>2.9809361542695902E-2</v>
      </c>
      <c r="G1254">
        <v>0</v>
      </c>
      <c r="H1254">
        <v>0</v>
      </c>
      <c r="I1254" t="s">
        <v>60</v>
      </c>
    </row>
    <row r="1255" spans="1:9" x14ac:dyDescent="0.35">
      <c r="A1255" t="s">
        <v>14</v>
      </c>
      <c r="B1255">
        <v>2030</v>
      </c>
      <c r="C1255" t="s">
        <v>59</v>
      </c>
      <c r="D1255" t="s">
        <v>50</v>
      </c>
      <c r="E1255">
        <v>0.11665819756187699</v>
      </c>
      <c r="F1255">
        <v>0.11665819756187699</v>
      </c>
      <c r="G1255">
        <v>0</v>
      </c>
      <c r="H1255">
        <v>0</v>
      </c>
      <c r="I1255" t="s">
        <v>60</v>
      </c>
    </row>
    <row r="1256" spans="1:9" x14ac:dyDescent="0.35">
      <c r="A1256" t="s">
        <v>14</v>
      </c>
      <c r="B1256">
        <v>2030</v>
      </c>
      <c r="C1256" t="s">
        <v>59</v>
      </c>
      <c r="D1256" t="s">
        <v>51</v>
      </c>
      <c r="E1256">
        <v>0.49878760560833801</v>
      </c>
      <c r="F1256">
        <v>0.49878760560833801</v>
      </c>
      <c r="G1256">
        <v>0</v>
      </c>
      <c r="H1256">
        <v>0</v>
      </c>
      <c r="I1256" t="s">
        <v>60</v>
      </c>
    </row>
    <row r="1257" spans="1:9" x14ac:dyDescent="0.35">
      <c r="A1257" t="s">
        <v>14</v>
      </c>
      <c r="B1257">
        <v>2030</v>
      </c>
      <c r="C1257" t="s">
        <v>59</v>
      </c>
      <c r="D1257" t="s">
        <v>52</v>
      </c>
      <c r="E1257">
        <v>0.73071727239649598</v>
      </c>
      <c r="F1257">
        <v>0.73071727239649598</v>
      </c>
      <c r="G1257">
        <v>0</v>
      </c>
      <c r="H1257">
        <v>0</v>
      </c>
      <c r="I1257" t="s">
        <v>60</v>
      </c>
    </row>
    <row r="1258" spans="1:9" x14ac:dyDescent="0.35">
      <c r="A1258" t="s">
        <v>14</v>
      </c>
      <c r="B1258">
        <v>2030</v>
      </c>
      <c r="C1258" t="s">
        <v>59</v>
      </c>
      <c r="D1258" t="s">
        <v>53</v>
      </c>
      <c r="E1258">
        <v>1.53359154035108</v>
      </c>
      <c r="F1258">
        <v>1.53359154035108</v>
      </c>
      <c r="G1258">
        <v>0</v>
      </c>
      <c r="H1258">
        <v>0</v>
      </c>
      <c r="I1258" t="s">
        <v>60</v>
      </c>
    </row>
    <row r="1259" spans="1:9" x14ac:dyDescent="0.35">
      <c r="A1259" t="s">
        <v>14</v>
      </c>
      <c r="B1259">
        <v>2030</v>
      </c>
      <c r="C1259" t="s">
        <v>59</v>
      </c>
      <c r="D1259" t="s">
        <v>54</v>
      </c>
      <c r="E1259">
        <v>7.2312807692647798</v>
      </c>
      <c r="F1259">
        <v>7.2312807692647798</v>
      </c>
      <c r="G1259">
        <v>0</v>
      </c>
      <c r="H1259">
        <v>0</v>
      </c>
      <c r="I1259" t="s">
        <v>60</v>
      </c>
    </row>
    <row r="1260" spans="1:9" x14ac:dyDescent="0.35">
      <c r="A1260" t="s">
        <v>14</v>
      </c>
      <c r="B1260">
        <v>2030</v>
      </c>
      <c r="C1260" t="s">
        <v>59</v>
      </c>
      <c r="D1260" t="s">
        <v>55</v>
      </c>
      <c r="E1260">
        <v>6.6136342824117396</v>
      </c>
      <c r="F1260">
        <v>6.6136342824117396</v>
      </c>
      <c r="G1260">
        <v>0</v>
      </c>
      <c r="H1260">
        <v>0</v>
      </c>
      <c r="I1260" t="s">
        <v>60</v>
      </c>
    </row>
    <row r="1261" spans="1:9" x14ac:dyDescent="0.35">
      <c r="A1261" t="s">
        <v>14</v>
      </c>
      <c r="B1261">
        <v>2030</v>
      </c>
      <c r="C1261" t="s">
        <v>59</v>
      </c>
      <c r="D1261" t="s">
        <v>56</v>
      </c>
      <c r="E1261" s="1">
        <v>6.2650499533754302E-7</v>
      </c>
      <c r="F1261" s="1">
        <v>6.2650499533754302E-7</v>
      </c>
      <c r="G1261">
        <v>0</v>
      </c>
      <c r="H1261">
        <v>0</v>
      </c>
      <c r="I1261" t="s">
        <v>60</v>
      </c>
    </row>
    <row r="1262" spans="1:9" x14ac:dyDescent="0.35">
      <c r="A1262" t="s">
        <v>16</v>
      </c>
      <c r="B1262">
        <v>2035</v>
      </c>
      <c r="C1262" t="s">
        <v>59</v>
      </c>
      <c r="D1262" t="s">
        <v>38</v>
      </c>
      <c r="E1262">
        <v>5.6734768134168098E-3</v>
      </c>
      <c r="F1262">
        <v>5.6734768134168098E-3</v>
      </c>
      <c r="G1262">
        <v>0</v>
      </c>
      <c r="H1262">
        <v>0</v>
      </c>
      <c r="I1262" t="s">
        <v>60</v>
      </c>
    </row>
    <row r="1263" spans="1:9" x14ac:dyDescent="0.35">
      <c r="A1263" t="s">
        <v>16</v>
      </c>
      <c r="B1263">
        <v>2035</v>
      </c>
      <c r="C1263" t="s">
        <v>59</v>
      </c>
      <c r="D1263" t="s">
        <v>40</v>
      </c>
      <c r="E1263">
        <v>4.69361145112588E-3</v>
      </c>
      <c r="F1263">
        <v>4.69361145112588E-3</v>
      </c>
      <c r="G1263">
        <v>0</v>
      </c>
      <c r="H1263">
        <v>0</v>
      </c>
      <c r="I1263" t="s">
        <v>60</v>
      </c>
    </row>
    <row r="1264" spans="1:9" x14ac:dyDescent="0.35">
      <c r="A1264" t="s">
        <v>16</v>
      </c>
      <c r="B1264">
        <v>2035</v>
      </c>
      <c r="C1264" t="s">
        <v>59</v>
      </c>
      <c r="D1264" t="s">
        <v>41</v>
      </c>
      <c r="E1264">
        <v>3.03888272069033E-2</v>
      </c>
      <c r="F1264">
        <v>3.03888272069033E-2</v>
      </c>
      <c r="G1264">
        <v>0</v>
      </c>
      <c r="H1264">
        <v>0</v>
      </c>
      <c r="I1264" t="s">
        <v>60</v>
      </c>
    </row>
    <row r="1265" spans="1:9" x14ac:dyDescent="0.35">
      <c r="A1265" t="s">
        <v>16</v>
      </c>
      <c r="B1265">
        <v>2035</v>
      </c>
      <c r="C1265" t="s">
        <v>59</v>
      </c>
      <c r="D1265" t="s">
        <v>42</v>
      </c>
      <c r="E1265">
        <v>18.270790740663699</v>
      </c>
      <c r="F1265">
        <v>18.270790740663699</v>
      </c>
      <c r="G1265">
        <v>0</v>
      </c>
      <c r="H1265">
        <v>0</v>
      </c>
      <c r="I1265" t="s">
        <v>60</v>
      </c>
    </row>
    <row r="1266" spans="1:9" x14ac:dyDescent="0.35">
      <c r="A1266" t="s">
        <v>16</v>
      </c>
      <c r="B1266">
        <v>2035</v>
      </c>
      <c r="C1266" t="s">
        <v>59</v>
      </c>
      <c r="D1266" t="s">
        <v>43</v>
      </c>
      <c r="E1266">
        <v>1.16315572657501E-2</v>
      </c>
      <c r="F1266">
        <v>1.16315572657501E-2</v>
      </c>
      <c r="G1266">
        <v>0</v>
      </c>
      <c r="H1266">
        <v>0</v>
      </c>
      <c r="I1266" t="s">
        <v>60</v>
      </c>
    </row>
    <row r="1267" spans="1:9" x14ac:dyDescent="0.35">
      <c r="A1267" t="s">
        <v>16</v>
      </c>
      <c r="B1267">
        <v>2035</v>
      </c>
      <c r="C1267" t="s">
        <v>59</v>
      </c>
      <c r="D1267" t="s">
        <v>136</v>
      </c>
      <c r="E1267">
        <v>5.08219445021391</v>
      </c>
      <c r="F1267">
        <v>5.08219445021391</v>
      </c>
      <c r="G1267">
        <v>0</v>
      </c>
      <c r="H1267">
        <v>0</v>
      </c>
      <c r="I1267" t="s">
        <v>60</v>
      </c>
    </row>
    <row r="1268" spans="1:9" x14ac:dyDescent="0.35">
      <c r="A1268" t="s">
        <v>16</v>
      </c>
      <c r="B1268">
        <v>2035</v>
      </c>
      <c r="C1268" t="s">
        <v>59</v>
      </c>
      <c r="D1268" t="s">
        <v>45</v>
      </c>
      <c r="E1268">
        <v>1.3454628684475001E-2</v>
      </c>
      <c r="F1268">
        <v>1.3454628684475001E-2</v>
      </c>
      <c r="G1268">
        <v>0</v>
      </c>
      <c r="H1268">
        <v>0</v>
      </c>
      <c r="I1268" t="s">
        <v>60</v>
      </c>
    </row>
    <row r="1269" spans="1:9" x14ac:dyDescent="0.35">
      <c r="A1269" t="s">
        <v>16</v>
      </c>
      <c r="B1269">
        <v>2035</v>
      </c>
      <c r="C1269" t="s">
        <v>59</v>
      </c>
      <c r="D1269" t="s">
        <v>46</v>
      </c>
      <c r="E1269">
        <v>0.72528031847077701</v>
      </c>
      <c r="F1269">
        <v>0.72528031847077701</v>
      </c>
      <c r="G1269">
        <v>0</v>
      </c>
      <c r="H1269">
        <v>0</v>
      </c>
      <c r="I1269" t="s">
        <v>60</v>
      </c>
    </row>
    <row r="1270" spans="1:9" x14ac:dyDescent="0.35">
      <c r="A1270" t="s">
        <v>16</v>
      </c>
      <c r="B1270">
        <v>2035</v>
      </c>
      <c r="C1270" t="s">
        <v>59</v>
      </c>
      <c r="D1270" t="s">
        <v>47</v>
      </c>
      <c r="E1270">
        <v>1.2001613261748201E-2</v>
      </c>
      <c r="F1270">
        <v>1.2001613261748201E-2</v>
      </c>
      <c r="G1270">
        <v>0</v>
      </c>
      <c r="H1270">
        <v>0</v>
      </c>
      <c r="I1270" t="s">
        <v>60</v>
      </c>
    </row>
    <row r="1271" spans="1:9" x14ac:dyDescent="0.35">
      <c r="A1271" t="s">
        <v>16</v>
      </c>
      <c r="B1271">
        <v>2035</v>
      </c>
      <c r="C1271" t="s">
        <v>59</v>
      </c>
      <c r="D1271" t="s">
        <v>48</v>
      </c>
      <c r="E1271">
        <v>36.100482908205798</v>
      </c>
      <c r="F1271">
        <v>36.100482908205798</v>
      </c>
      <c r="G1271">
        <v>0</v>
      </c>
      <c r="H1271">
        <v>0</v>
      </c>
      <c r="I1271" t="s">
        <v>60</v>
      </c>
    </row>
    <row r="1272" spans="1:9" x14ac:dyDescent="0.35">
      <c r="A1272" t="s">
        <v>16</v>
      </c>
      <c r="B1272">
        <v>2035</v>
      </c>
      <c r="C1272" t="s">
        <v>59</v>
      </c>
      <c r="D1272" t="s">
        <v>49</v>
      </c>
      <c r="E1272">
        <v>2.9467913073599101E-2</v>
      </c>
      <c r="F1272">
        <v>2.9467913073599101E-2</v>
      </c>
      <c r="G1272">
        <v>0</v>
      </c>
      <c r="H1272">
        <v>0</v>
      </c>
      <c r="I1272" t="s">
        <v>60</v>
      </c>
    </row>
    <row r="1273" spans="1:9" x14ac:dyDescent="0.35">
      <c r="A1273" t="s">
        <v>16</v>
      </c>
      <c r="B1273">
        <v>2035</v>
      </c>
      <c r="C1273" t="s">
        <v>59</v>
      </c>
      <c r="D1273" t="s">
        <v>50</v>
      </c>
      <c r="E1273">
        <v>0.119936795395643</v>
      </c>
      <c r="F1273">
        <v>0.119936795395643</v>
      </c>
      <c r="G1273">
        <v>0</v>
      </c>
      <c r="H1273">
        <v>0</v>
      </c>
      <c r="I1273" t="s">
        <v>60</v>
      </c>
    </row>
    <row r="1274" spans="1:9" x14ac:dyDescent="0.35">
      <c r="A1274" t="s">
        <v>16</v>
      </c>
      <c r="B1274">
        <v>2035</v>
      </c>
      <c r="C1274" t="s">
        <v>59</v>
      </c>
      <c r="D1274" t="s">
        <v>51</v>
      </c>
      <c r="E1274">
        <v>0.51543960971925995</v>
      </c>
      <c r="F1274">
        <v>0.51543960971925995</v>
      </c>
      <c r="G1274">
        <v>0</v>
      </c>
      <c r="H1274">
        <v>0</v>
      </c>
      <c r="I1274" t="s">
        <v>60</v>
      </c>
    </row>
    <row r="1275" spans="1:9" x14ac:dyDescent="0.35">
      <c r="A1275" t="s">
        <v>16</v>
      </c>
      <c r="B1275">
        <v>2035</v>
      </c>
      <c r="C1275" t="s">
        <v>59</v>
      </c>
      <c r="D1275" t="s">
        <v>52</v>
      </c>
      <c r="E1275">
        <v>0.68546537931085005</v>
      </c>
      <c r="F1275">
        <v>0.68546537931085005</v>
      </c>
      <c r="G1275">
        <v>0</v>
      </c>
      <c r="H1275">
        <v>0</v>
      </c>
      <c r="I1275" t="s">
        <v>60</v>
      </c>
    </row>
    <row r="1276" spans="1:9" x14ac:dyDescent="0.35">
      <c r="A1276" t="s">
        <v>16</v>
      </c>
      <c r="B1276">
        <v>2035</v>
      </c>
      <c r="C1276" t="s">
        <v>59</v>
      </c>
      <c r="D1276" t="s">
        <v>53</v>
      </c>
      <c r="E1276">
        <v>1.4812913428584999</v>
      </c>
      <c r="F1276">
        <v>1.4812913428584999</v>
      </c>
      <c r="G1276">
        <v>0</v>
      </c>
      <c r="H1276">
        <v>0</v>
      </c>
      <c r="I1276" t="s">
        <v>60</v>
      </c>
    </row>
    <row r="1277" spans="1:9" x14ac:dyDescent="0.35">
      <c r="A1277" t="s">
        <v>16</v>
      </c>
      <c r="B1277">
        <v>2035</v>
      </c>
      <c r="C1277" t="s">
        <v>59</v>
      </c>
      <c r="D1277" t="s">
        <v>54</v>
      </c>
      <c r="E1277">
        <v>7.2398269337470396</v>
      </c>
      <c r="F1277">
        <v>7.2398269337470396</v>
      </c>
      <c r="G1277">
        <v>0</v>
      </c>
      <c r="H1277">
        <v>0</v>
      </c>
      <c r="I1277" t="s">
        <v>60</v>
      </c>
    </row>
    <row r="1278" spans="1:9" x14ac:dyDescent="0.35">
      <c r="A1278" t="s">
        <v>16</v>
      </c>
      <c r="B1278">
        <v>2035</v>
      </c>
      <c r="C1278" t="s">
        <v>59</v>
      </c>
      <c r="D1278" t="s">
        <v>55</v>
      </c>
      <c r="E1278">
        <v>6.6213048986177299</v>
      </c>
      <c r="F1278">
        <v>6.6213048986177299</v>
      </c>
      <c r="G1278">
        <v>0</v>
      </c>
      <c r="H1278">
        <v>0</v>
      </c>
      <c r="I1278" t="s">
        <v>60</v>
      </c>
    </row>
    <row r="1279" spans="1:9" x14ac:dyDescent="0.35">
      <c r="A1279" t="s">
        <v>16</v>
      </c>
      <c r="B1279">
        <v>2035</v>
      </c>
      <c r="C1279" t="s">
        <v>59</v>
      </c>
      <c r="D1279" t="s">
        <v>56</v>
      </c>
      <c r="E1279" s="1">
        <v>5.7111431193292702E-7</v>
      </c>
      <c r="F1279" s="1">
        <v>5.7111431193292702E-7</v>
      </c>
      <c r="G1279">
        <v>0</v>
      </c>
      <c r="H1279">
        <v>0</v>
      </c>
      <c r="I1279" t="s">
        <v>60</v>
      </c>
    </row>
    <row r="1280" spans="1:9" x14ac:dyDescent="0.35">
      <c r="A1280" t="s">
        <v>18</v>
      </c>
      <c r="B1280">
        <v>2040</v>
      </c>
      <c r="C1280" t="s">
        <v>59</v>
      </c>
      <c r="D1280" t="s">
        <v>38</v>
      </c>
      <c r="E1280">
        <v>6.9016520190009097E-3</v>
      </c>
      <c r="F1280">
        <v>6.9016520190009097E-3</v>
      </c>
      <c r="G1280">
        <v>0</v>
      </c>
      <c r="H1280">
        <v>0</v>
      </c>
      <c r="I1280" t="s">
        <v>60</v>
      </c>
    </row>
    <row r="1281" spans="1:9" x14ac:dyDescent="0.35">
      <c r="A1281" t="s">
        <v>18</v>
      </c>
      <c r="B1281">
        <v>2040</v>
      </c>
      <c r="C1281" t="s">
        <v>59</v>
      </c>
      <c r="D1281" t="s">
        <v>40</v>
      </c>
      <c r="E1281">
        <v>4.7472069681915603E-3</v>
      </c>
      <c r="F1281">
        <v>4.7472069681915603E-3</v>
      </c>
      <c r="G1281">
        <v>0</v>
      </c>
      <c r="H1281">
        <v>0</v>
      </c>
      <c r="I1281" t="s">
        <v>60</v>
      </c>
    </row>
    <row r="1282" spans="1:9" x14ac:dyDescent="0.35">
      <c r="A1282" t="s">
        <v>18</v>
      </c>
      <c r="B1282">
        <v>2040</v>
      </c>
      <c r="C1282" t="s">
        <v>59</v>
      </c>
      <c r="D1282" t="s">
        <v>41</v>
      </c>
      <c r="E1282">
        <v>3.01847974520685E-2</v>
      </c>
      <c r="F1282">
        <v>3.01847974520685E-2</v>
      </c>
      <c r="G1282">
        <v>0</v>
      </c>
      <c r="H1282">
        <v>0</v>
      </c>
      <c r="I1282" t="s">
        <v>60</v>
      </c>
    </row>
    <row r="1283" spans="1:9" x14ac:dyDescent="0.35">
      <c r="A1283" t="s">
        <v>18</v>
      </c>
      <c r="B1283">
        <v>2040</v>
      </c>
      <c r="C1283" t="s">
        <v>59</v>
      </c>
      <c r="D1283" t="s">
        <v>42</v>
      </c>
      <c r="E1283">
        <v>18.582266396166499</v>
      </c>
      <c r="F1283">
        <v>18.582266396166499</v>
      </c>
      <c r="G1283">
        <v>0</v>
      </c>
      <c r="H1283">
        <v>0</v>
      </c>
      <c r="I1283" t="s">
        <v>60</v>
      </c>
    </row>
    <row r="1284" spans="1:9" x14ac:dyDescent="0.35">
      <c r="A1284" t="s">
        <v>18</v>
      </c>
      <c r="B1284">
        <v>2040</v>
      </c>
      <c r="C1284" t="s">
        <v>59</v>
      </c>
      <c r="D1284" t="s">
        <v>43</v>
      </c>
      <c r="E1284">
        <v>1.2004830686283699E-2</v>
      </c>
      <c r="F1284">
        <v>1.2004830686283699E-2</v>
      </c>
      <c r="G1284">
        <v>0</v>
      </c>
      <c r="H1284">
        <v>0</v>
      </c>
      <c r="I1284" t="s">
        <v>60</v>
      </c>
    </row>
    <row r="1285" spans="1:9" x14ac:dyDescent="0.35">
      <c r="A1285" t="s">
        <v>18</v>
      </c>
      <c r="B1285">
        <v>2040</v>
      </c>
      <c r="C1285" t="s">
        <v>59</v>
      </c>
      <c r="D1285" t="s">
        <v>136</v>
      </c>
      <c r="E1285">
        <v>5.1002054586011099</v>
      </c>
      <c r="F1285">
        <v>5.1002054586011099</v>
      </c>
      <c r="G1285">
        <v>0</v>
      </c>
      <c r="H1285">
        <v>0</v>
      </c>
      <c r="I1285" t="s">
        <v>60</v>
      </c>
    </row>
    <row r="1286" spans="1:9" x14ac:dyDescent="0.35">
      <c r="A1286" t="s">
        <v>18</v>
      </c>
      <c r="B1286">
        <v>2040</v>
      </c>
      <c r="C1286" t="s">
        <v>59</v>
      </c>
      <c r="D1286" t="s">
        <v>45</v>
      </c>
      <c r="E1286">
        <v>1.33423013406087E-2</v>
      </c>
      <c r="F1286">
        <v>1.33423013406087E-2</v>
      </c>
      <c r="G1286">
        <v>0</v>
      </c>
      <c r="H1286">
        <v>0</v>
      </c>
      <c r="I1286" t="s">
        <v>60</v>
      </c>
    </row>
    <row r="1287" spans="1:9" x14ac:dyDescent="0.35">
      <c r="A1287" t="s">
        <v>18</v>
      </c>
      <c r="B1287">
        <v>2040</v>
      </c>
      <c r="C1287" t="s">
        <v>59</v>
      </c>
      <c r="D1287" t="s">
        <v>46</v>
      </c>
      <c r="E1287">
        <v>1.0956420526266299</v>
      </c>
      <c r="F1287">
        <v>1.0956420526266299</v>
      </c>
      <c r="G1287">
        <v>0</v>
      </c>
      <c r="H1287">
        <v>0</v>
      </c>
      <c r="I1287" t="s">
        <v>60</v>
      </c>
    </row>
    <row r="1288" spans="1:9" x14ac:dyDescent="0.35">
      <c r="A1288" t="s">
        <v>18</v>
      </c>
      <c r="B1288">
        <v>2040</v>
      </c>
      <c r="C1288" t="s">
        <v>59</v>
      </c>
      <c r="D1288" t="s">
        <v>47</v>
      </c>
      <c r="E1288">
        <v>1.2485473546984699E-2</v>
      </c>
      <c r="F1288">
        <v>1.2485473546984699E-2</v>
      </c>
      <c r="G1288">
        <v>0</v>
      </c>
      <c r="H1288">
        <v>0</v>
      </c>
      <c r="I1288" t="s">
        <v>60</v>
      </c>
    </row>
    <row r="1289" spans="1:9" x14ac:dyDescent="0.35">
      <c r="A1289" t="s">
        <v>18</v>
      </c>
      <c r="B1289">
        <v>2040</v>
      </c>
      <c r="C1289" t="s">
        <v>59</v>
      </c>
      <c r="D1289" t="s">
        <v>48</v>
      </c>
      <c r="E1289">
        <v>36.117251519691301</v>
      </c>
      <c r="F1289">
        <v>36.117251519691301</v>
      </c>
      <c r="G1289">
        <v>0</v>
      </c>
      <c r="H1289">
        <v>0</v>
      </c>
      <c r="I1289" t="s">
        <v>60</v>
      </c>
    </row>
    <row r="1290" spans="1:9" x14ac:dyDescent="0.35">
      <c r="A1290" t="s">
        <v>18</v>
      </c>
      <c r="B1290">
        <v>2040</v>
      </c>
      <c r="C1290" t="s">
        <v>59</v>
      </c>
      <c r="D1290" t="s">
        <v>49</v>
      </c>
      <c r="E1290">
        <v>2.9769779508175501E-2</v>
      </c>
      <c r="F1290">
        <v>2.9769779508175501E-2</v>
      </c>
      <c r="G1290">
        <v>0</v>
      </c>
      <c r="H1290">
        <v>0</v>
      </c>
      <c r="I1290" t="s">
        <v>60</v>
      </c>
    </row>
    <row r="1291" spans="1:9" x14ac:dyDescent="0.35">
      <c r="A1291" t="s">
        <v>18</v>
      </c>
      <c r="B1291">
        <v>2040</v>
      </c>
      <c r="C1291" t="s">
        <v>59</v>
      </c>
      <c r="D1291" t="s">
        <v>50</v>
      </c>
      <c r="E1291">
        <v>0.12512965954747701</v>
      </c>
      <c r="F1291">
        <v>0.12512965954747701</v>
      </c>
      <c r="G1291">
        <v>0</v>
      </c>
      <c r="H1291">
        <v>0</v>
      </c>
      <c r="I1291" t="s">
        <v>60</v>
      </c>
    </row>
    <row r="1292" spans="1:9" x14ac:dyDescent="0.35">
      <c r="A1292" t="s">
        <v>18</v>
      </c>
      <c r="B1292">
        <v>2040</v>
      </c>
      <c r="C1292" t="s">
        <v>59</v>
      </c>
      <c r="D1292" t="s">
        <v>51</v>
      </c>
      <c r="E1292">
        <v>0.53332835498368403</v>
      </c>
      <c r="F1292">
        <v>0.53332835498368403</v>
      </c>
      <c r="G1292">
        <v>0</v>
      </c>
      <c r="H1292">
        <v>0</v>
      </c>
      <c r="I1292" t="s">
        <v>60</v>
      </c>
    </row>
    <row r="1293" spans="1:9" x14ac:dyDescent="0.35">
      <c r="A1293" t="s">
        <v>18</v>
      </c>
      <c r="B1293">
        <v>2040</v>
      </c>
      <c r="C1293" t="s">
        <v>59</v>
      </c>
      <c r="D1293" t="s">
        <v>52</v>
      </c>
      <c r="E1293">
        <v>0.63974391738354897</v>
      </c>
      <c r="F1293">
        <v>0.63974391738354897</v>
      </c>
      <c r="G1293">
        <v>0</v>
      </c>
      <c r="H1293">
        <v>0</v>
      </c>
      <c r="I1293" t="s">
        <v>60</v>
      </c>
    </row>
    <row r="1294" spans="1:9" x14ac:dyDescent="0.35">
      <c r="A1294" t="s">
        <v>18</v>
      </c>
      <c r="B1294">
        <v>2040</v>
      </c>
      <c r="C1294" t="s">
        <v>59</v>
      </c>
      <c r="D1294" t="s">
        <v>53</v>
      </c>
      <c r="E1294">
        <v>1.46939743921032</v>
      </c>
      <c r="F1294">
        <v>1.46939743921032</v>
      </c>
      <c r="G1294">
        <v>0</v>
      </c>
      <c r="H1294">
        <v>0</v>
      </c>
      <c r="I1294" t="s">
        <v>60</v>
      </c>
    </row>
    <row r="1295" spans="1:9" x14ac:dyDescent="0.35">
      <c r="A1295" t="s">
        <v>18</v>
      </c>
      <c r="B1295">
        <v>2040</v>
      </c>
      <c r="C1295" t="s">
        <v>59</v>
      </c>
      <c r="D1295" t="s">
        <v>54</v>
      </c>
      <c r="E1295">
        <v>7.2538849103974501</v>
      </c>
      <c r="F1295">
        <v>7.2538849103974501</v>
      </c>
      <c r="G1295">
        <v>0</v>
      </c>
      <c r="H1295">
        <v>0</v>
      </c>
      <c r="I1295" t="s">
        <v>60</v>
      </c>
    </row>
    <row r="1296" spans="1:9" x14ac:dyDescent="0.35">
      <c r="A1296" t="s">
        <v>18</v>
      </c>
      <c r="B1296">
        <v>2040</v>
      </c>
      <c r="C1296" t="s">
        <v>59</v>
      </c>
      <c r="D1296" t="s">
        <v>55</v>
      </c>
      <c r="E1296">
        <v>6.6340902155551298</v>
      </c>
      <c r="F1296">
        <v>6.6340902155551298</v>
      </c>
      <c r="G1296">
        <v>0</v>
      </c>
      <c r="H1296">
        <v>0</v>
      </c>
      <c r="I1296" t="s">
        <v>60</v>
      </c>
    </row>
    <row r="1297" spans="1:9" x14ac:dyDescent="0.35">
      <c r="A1297" t="s">
        <v>18</v>
      </c>
      <c r="B1297">
        <v>2040</v>
      </c>
      <c r="C1297" t="s">
        <v>59</v>
      </c>
      <c r="D1297" t="s">
        <v>56</v>
      </c>
      <c r="E1297" s="1">
        <v>5.2235472554882796E-7</v>
      </c>
      <c r="F1297" s="1">
        <v>5.2235472554882796E-7</v>
      </c>
      <c r="G1297">
        <v>0</v>
      </c>
      <c r="H1297">
        <v>0</v>
      </c>
      <c r="I1297" t="s">
        <v>60</v>
      </c>
    </row>
    <row r="1298" spans="1:9" x14ac:dyDescent="0.35">
      <c r="A1298" t="s">
        <v>12</v>
      </c>
      <c r="B1298">
        <v>2025</v>
      </c>
      <c r="C1298" t="s">
        <v>63</v>
      </c>
      <c r="D1298" t="s">
        <v>38</v>
      </c>
      <c r="E1298">
        <v>4.0791606594932899E-3</v>
      </c>
      <c r="F1298">
        <v>4.0791606594932899E-3</v>
      </c>
      <c r="G1298">
        <v>0</v>
      </c>
      <c r="H1298">
        <v>0</v>
      </c>
      <c r="I1298" t="s">
        <v>64</v>
      </c>
    </row>
    <row r="1299" spans="1:9" x14ac:dyDescent="0.35">
      <c r="A1299" t="s">
        <v>12</v>
      </c>
      <c r="B1299">
        <v>2025</v>
      </c>
      <c r="C1299" t="s">
        <v>63</v>
      </c>
      <c r="D1299" t="s">
        <v>40</v>
      </c>
      <c r="E1299">
        <v>5.6105898501589504E-4</v>
      </c>
      <c r="F1299">
        <v>5.6105898501589504E-4</v>
      </c>
      <c r="G1299">
        <v>0</v>
      </c>
      <c r="H1299">
        <v>0</v>
      </c>
      <c r="I1299" t="s">
        <v>64</v>
      </c>
    </row>
    <row r="1300" spans="1:9" x14ac:dyDescent="0.35">
      <c r="A1300" t="s">
        <v>12</v>
      </c>
      <c r="B1300">
        <v>2025</v>
      </c>
      <c r="C1300" t="s">
        <v>63</v>
      </c>
      <c r="D1300" t="s">
        <v>41</v>
      </c>
      <c r="E1300">
        <v>4.9298065136812999E-3</v>
      </c>
      <c r="F1300">
        <v>4.9298065136812999E-3</v>
      </c>
      <c r="G1300">
        <v>0</v>
      </c>
      <c r="H1300">
        <v>0</v>
      </c>
      <c r="I1300" t="s">
        <v>64</v>
      </c>
    </row>
    <row r="1301" spans="1:9" x14ac:dyDescent="0.35">
      <c r="A1301" t="s">
        <v>12</v>
      </c>
      <c r="B1301">
        <v>2025</v>
      </c>
      <c r="C1301" t="s">
        <v>63</v>
      </c>
      <c r="D1301" t="s">
        <v>42</v>
      </c>
      <c r="E1301">
        <v>3.2317238698611601</v>
      </c>
      <c r="F1301">
        <v>3.2317238698611601</v>
      </c>
      <c r="G1301">
        <v>0</v>
      </c>
      <c r="H1301">
        <v>0</v>
      </c>
      <c r="I1301" t="s">
        <v>64</v>
      </c>
    </row>
    <row r="1302" spans="1:9" x14ac:dyDescent="0.35">
      <c r="A1302" t="s">
        <v>12</v>
      </c>
      <c r="B1302">
        <v>2025</v>
      </c>
      <c r="C1302" t="s">
        <v>63</v>
      </c>
      <c r="D1302" t="s">
        <v>43</v>
      </c>
      <c r="E1302">
        <v>1.56346952637744E-3</v>
      </c>
      <c r="F1302">
        <v>1.56346952637744E-3</v>
      </c>
      <c r="G1302">
        <v>0</v>
      </c>
      <c r="H1302">
        <v>0</v>
      </c>
      <c r="I1302" t="s">
        <v>64</v>
      </c>
    </row>
    <row r="1303" spans="1:9" x14ac:dyDescent="0.35">
      <c r="A1303" t="s">
        <v>12</v>
      </c>
      <c r="B1303">
        <v>2025</v>
      </c>
      <c r="C1303" t="s">
        <v>63</v>
      </c>
      <c r="D1303" t="s">
        <v>136</v>
      </c>
      <c r="E1303">
        <v>0.89277846024169805</v>
      </c>
      <c r="F1303">
        <v>0.89277846024169805</v>
      </c>
      <c r="G1303">
        <v>0</v>
      </c>
      <c r="H1303">
        <v>0</v>
      </c>
      <c r="I1303" t="s">
        <v>64</v>
      </c>
    </row>
    <row r="1304" spans="1:9" x14ac:dyDescent="0.35">
      <c r="A1304" t="s">
        <v>12</v>
      </c>
      <c r="B1304">
        <v>2025</v>
      </c>
      <c r="C1304" t="s">
        <v>63</v>
      </c>
      <c r="D1304" t="s">
        <v>45</v>
      </c>
      <c r="E1304">
        <v>1.9065711049067399E-3</v>
      </c>
      <c r="F1304">
        <v>1.9065711049067399E-3</v>
      </c>
      <c r="G1304">
        <v>0</v>
      </c>
      <c r="H1304">
        <v>0</v>
      </c>
      <c r="I1304" t="s">
        <v>64</v>
      </c>
    </row>
    <row r="1305" spans="1:9" x14ac:dyDescent="0.35">
      <c r="A1305" t="s">
        <v>12</v>
      </c>
      <c r="B1305">
        <v>2025</v>
      </c>
      <c r="C1305" t="s">
        <v>63</v>
      </c>
      <c r="D1305" t="s">
        <v>46</v>
      </c>
      <c r="E1305">
        <v>1.46066459386123E-2</v>
      </c>
      <c r="F1305">
        <v>1.46066459386123E-2</v>
      </c>
      <c r="G1305">
        <v>0</v>
      </c>
      <c r="H1305">
        <v>0</v>
      </c>
      <c r="I1305" t="s">
        <v>64</v>
      </c>
    </row>
    <row r="1306" spans="1:9" x14ac:dyDescent="0.35">
      <c r="A1306" t="s">
        <v>12</v>
      </c>
      <c r="B1306">
        <v>2025</v>
      </c>
      <c r="C1306" t="s">
        <v>63</v>
      </c>
      <c r="D1306" t="s">
        <v>47</v>
      </c>
      <c r="E1306">
        <v>2.2759674770748499E-3</v>
      </c>
      <c r="F1306">
        <v>2.2759674770748499E-3</v>
      </c>
      <c r="G1306">
        <v>0</v>
      </c>
      <c r="H1306">
        <v>0</v>
      </c>
      <c r="I1306" t="s">
        <v>64</v>
      </c>
    </row>
    <row r="1307" spans="1:9" x14ac:dyDescent="0.35">
      <c r="A1307" t="s">
        <v>12</v>
      </c>
      <c r="B1307">
        <v>2025</v>
      </c>
      <c r="C1307" t="s">
        <v>63</v>
      </c>
      <c r="D1307" t="s">
        <v>48</v>
      </c>
      <c r="E1307">
        <v>1.0260937679441899</v>
      </c>
      <c r="F1307">
        <v>1.0260937679441899</v>
      </c>
      <c r="G1307">
        <v>0</v>
      </c>
      <c r="H1307">
        <v>0</v>
      </c>
      <c r="I1307" t="s">
        <v>64</v>
      </c>
    </row>
    <row r="1308" spans="1:9" x14ac:dyDescent="0.35">
      <c r="A1308" t="s">
        <v>12</v>
      </c>
      <c r="B1308">
        <v>2025</v>
      </c>
      <c r="C1308" t="s">
        <v>63</v>
      </c>
      <c r="D1308" t="s">
        <v>49</v>
      </c>
      <c r="E1308">
        <v>4.8994775334835396E-3</v>
      </c>
      <c r="F1308">
        <v>4.8994775334835396E-3</v>
      </c>
      <c r="G1308">
        <v>0</v>
      </c>
      <c r="H1308">
        <v>0</v>
      </c>
      <c r="I1308" t="s">
        <v>64</v>
      </c>
    </row>
    <row r="1309" spans="1:9" x14ac:dyDescent="0.35">
      <c r="A1309" t="s">
        <v>12</v>
      </c>
      <c r="B1309">
        <v>2025</v>
      </c>
      <c r="C1309" t="s">
        <v>63</v>
      </c>
      <c r="D1309" t="s">
        <v>50</v>
      </c>
      <c r="E1309">
        <v>1.09575547670277E-3</v>
      </c>
      <c r="F1309">
        <v>1.09575547670277E-3</v>
      </c>
      <c r="G1309">
        <v>0</v>
      </c>
      <c r="H1309">
        <v>0</v>
      </c>
      <c r="I1309" t="s">
        <v>64</v>
      </c>
    </row>
    <row r="1310" spans="1:9" x14ac:dyDescent="0.35">
      <c r="A1310" t="s">
        <v>12</v>
      </c>
      <c r="B1310">
        <v>2025</v>
      </c>
      <c r="C1310" t="s">
        <v>63</v>
      </c>
      <c r="D1310" t="s">
        <v>51</v>
      </c>
      <c r="E1310">
        <v>5.47162769159645E-2</v>
      </c>
      <c r="F1310">
        <v>5.47162769159645E-2</v>
      </c>
      <c r="G1310">
        <v>0</v>
      </c>
      <c r="H1310">
        <v>0</v>
      </c>
      <c r="I1310" t="s">
        <v>64</v>
      </c>
    </row>
    <row r="1311" spans="1:9" x14ac:dyDescent="0.35">
      <c r="A1311" t="s">
        <v>12</v>
      </c>
      <c r="B1311">
        <v>2025</v>
      </c>
      <c r="C1311" t="s">
        <v>63</v>
      </c>
      <c r="D1311" t="s">
        <v>52</v>
      </c>
      <c r="E1311">
        <v>2.19858289122884E-2</v>
      </c>
      <c r="F1311">
        <v>2.19858289122884E-2</v>
      </c>
      <c r="G1311">
        <v>0</v>
      </c>
      <c r="H1311">
        <v>0</v>
      </c>
      <c r="I1311" t="s">
        <v>64</v>
      </c>
    </row>
    <row r="1312" spans="1:9" x14ac:dyDescent="0.35">
      <c r="A1312" t="s">
        <v>12</v>
      </c>
      <c r="B1312">
        <v>2025</v>
      </c>
      <c r="C1312" t="s">
        <v>63</v>
      </c>
      <c r="D1312" t="s">
        <v>53</v>
      </c>
      <c r="E1312">
        <v>0.251060637721369</v>
      </c>
      <c r="F1312">
        <v>0.251060637721369</v>
      </c>
      <c r="G1312">
        <v>0</v>
      </c>
      <c r="H1312">
        <v>0</v>
      </c>
      <c r="I1312" t="s">
        <v>64</v>
      </c>
    </row>
    <row r="1313" spans="1:9" x14ac:dyDescent="0.35">
      <c r="A1313" t="s">
        <v>12</v>
      </c>
      <c r="B1313">
        <v>2025</v>
      </c>
      <c r="C1313" t="s">
        <v>63</v>
      </c>
      <c r="D1313" t="s">
        <v>54</v>
      </c>
      <c r="E1313">
        <v>1.50060955980716</v>
      </c>
      <c r="F1313">
        <v>1.50060955980716</v>
      </c>
      <c r="G1313">
        <v>0</v>
      </c>
      <c r="H1313">
        <v>0</v>
      </c>
      <c r="I1313" t="s">
        <v>64</v>
      </c>
    </row>
    <row r="1314" spans="1:9" x14ac:dyDescent="0.35">
      <c r="A1314" t="s">
        <v>12</v>
      </c>
      <c r="B1314">
        <v>2025</v>
      </c>
      <c r="C1314" t="s">
        <v>63</v>
      </c>
      <c r="D1314" t="s">
        <v>55</v>
      </c>
      <c r="E1314">
        <v>1.6166519523455101</v>
      </c>
      <c r="F1314">
        <v>1.6166519523455101</v>
      </c>
      <c r="G1314">
        <v>0</v>
      </c>
      <c r="H1314">
        <v>0</v>
      </c>
      <c r="I1314" t="s">
        <v>64</v>
      </c>
    </row>
    <row r="1315" spans="1:9" x14ac:dyDescent="0.35">
      <c r="A1315" t="s">
        <v>12</v>
      </c>
      <c r="B1315">
        <v>2025</v>
      </c>
      <c r="C1315" t="s">
        <v>63</v>
      </c>
      <c r="D1315" t="s">
        <v>56</v>
      </c>
      <c r="E1315" s="1">
        <v>6.0527915904748998E-8</v>
      </c>
      <c r="F1315" s="1">
        <v>6.0527915904748998E-8</v>
      </c>
      <c r="G1315">
        <v>0</v>
      </c>
      <c r="H1315">
        <v>0</v>
      </c>
      <c r="I1315" t="s">
        <v>64</v>
      </c>
    </row>
    <row r="1316" spans="1:9" x14ac:dyDescent="0.35">
      <c r="A1316" t="s">
        <v>14</v>
      </c>
      <c r="B1316">
        <v>2030</v>
      </c>
      <c r="C1316" t="s">
        <v>63</v>
      </c>
      <c r="D1316" t="s">
        <v>38</v>
      </c>
      <c r="E1316">
        <v>4.0803853474239296E-3</v>
      </c>
      <c r="F1316">
        <v>4.0803853474239296E-3</v>
      </c>
      <c r="G1316">
        <v>0</v>
      </c>
      <c r="H1316">
        <v>0</v>
      </c>
      <c r="I1316" t="s">
        <v>64</v>
      </c>
    </row>
    <row r="1317" spans="1:9" x14ac:dyDescent="0.35">
      <c r="A1317" t="s">
        <v>14</v>
      </c>
      <c r="B1317">
        <v>2030</v>
      </c>
      <c r="C1317" t="s">
        <v>63</v>
      </c>
      <c r="D1317" t="s">
        <v>40</v>
      </c>
      <c r="E1317">
        <v>5.6055582070227796E-4</v>
      </c>
      <c r="F1317">
        <v>5.6055582070227796E-4</v>
      </c>
      <c r="G1317">
        <v>0</v>
      </c>
      <c r="H1317">
        <v>0</v>
      </c>
      <c r="I1317" t="s">
        <v>64</v>
      </c>
    </row>
    <row r="1318" spans="1:9" x14ac:dyDescent="0.35">
      <c r="A1318" t="s">
        <v>14</v>
      </c>
      <c r="B1318">
        <v>2030</v>
      </c>
      <c r="C1318" t="s">
        <v>63</v>
      </c>
      <c r="D1318" t="s">
        <v>41</v>
      </c>
      <c r="E1318">
        <v>4.9204198197281496E-3</v>
      </c>
      <c r="F1318">
        <v>4.9204198197281496E-3</v>
      </c>
      <c r="G1318">
        <v>0</v>
      </c>
      <c r="H1318">
        <v>0</v>
      </c>
      <c r="I1318" t="s">
        <v>64</v>
      </c>
    </row>
    <row r="1319" spans="1:9" x14ac:dyDescent="0.35">
      <c r="A1319" t="s">
        <v>14</v>
      </c>
      <c r="B1319">
        <v>2030</v>
      </c>
      <c r="C1319" t="s">
        <v>63</v>
      </c>
      <c r="D1319" t="s">
        <v>42</v>
      </c>
      <c r="E1319">
        <v>3.2311496859336302</v>
      </c>
      <c r="F1319">
        <v>3.2311496859336302</v>
      </c>
      <c r="G1319">
        <v>0</v>
      </c>
      <c r="H1319">
        <v>0</v>
      </c>
      <c r="I1319" t="s">
        <v>64</v>
      </c>
    </row>
    <row r="1320" spans="1:9" x14ac:dyDescent="0.35">
      <c r="A1320" t="s">
        <v>14</v>
      </c>
      <c r="B1320">
        <v>2030</v>
      </c>
      <c r="C1320" t="s">
        <v>63</v>
      </c>
      <c r="D1320" t="s">
        <v>43</v>
      </c>
      <c r="E1320">
        <v>1.5606429151408499E-3</v>
      </c>
      <c r="F1320">
        <v>1.5606429151408499E-3</v>
      </c>
      <c r="G1320">
        <v>0</v>
      </c>
      <c r="H1320">
        <v>0</v>
      </c>
      <c r="I1320" t="s">
        <v>64</v>
      </c>
    </row>
    <row r="1321" spans="1:9" x14ac:dyDescent="0.35">
      <c r="A1321" t="s">
        <v>14</v>
      </c>
      <c r="B1321">
        <v>2030</v>
      </c>
      <c r="C1321" t="s">
        <v>63</v>
      </c>
      <c r="D1321" t="s">
        <v>136</v>
      </c>
      <c r="E1321">
        <v>0.89049701768158096</v>
      </c>
      <c r="F1321">
        <v>0.89049701768158096</v>
      </c>
      <c r="G1321">
        <v>0</v>
      </c>
      <c r="H1321">
        <v>0</v>
      </c>
      <c r="I1321" t="s">
        <v>64</v>
      </c>
    </row>
    <row r="1322" spans="1:9" x14ac:dyDescent="0.35">
      <c r="A1322" t="s">
        <v>14</v>
      </c>
      <c r="B1322">
        <v>2030</v>
      </c>
      <c r="C1322" t="s">
        <v>63</v>
      </c>
      <c r="D1322" t="s">
        <v>45</v>
      </c>
      <c r="E1322">
        <v>1.8793981820681401E-3</v>
      </c>
      <c r="F1322">
        <v>1.8793981820681401E-3</v>
      </c>
      <c r="G1322">
        <v>0</v>
      </c>
      <c r="H1322">
        <v>0</v>
      </c>
      <c r="I1322" t="s">
        <v>64</v>
      </c>
    </row>
    <row r="1323" spans="1:9" x14ac:dyDescent="0.35">
      <c r="A1323" t="s">
        <v>14</v>
      </c>
      <c r="B1323">
        <v>2030</v>
      </c>
      <c r="C1323" t="s">
        <v>63</v>
      </c>
      <c r="D1323" t="s">
        <v>46</v>
      </c>
      <c r="E1323">
        <v>1.49793569195927E-2</v>
      </c>
      <c r="F1323">
        <v>1.49793569195927E-2</v>
      </c>
      <c r="G1323">
        <v>0</v>
      </c>
      <c r="H1323">
        <v>0</v>
      </c>
      <c r="I1323" t="s">
        <v>64</v>
      </c>
    </row>
    <row r="1324" spans="1:9" x14ac:dyDescent="0.35">
      <c r="A1324" t="s">
        <v>14</v>
      </c>
      <c r="B1324">
        <v>2030</v>
      </c>
      <c r="C1324" t="s">
        <v>63</v>
      </c>
      <c r="D1324" t="s">
        <v>47</v>
      </c>
      <c r="E1324">
        <v>2.2752777821403998E-3</v>
      </c>
      <c r="F1324">
        <v>2.2752777821403998E-3</v>
      </c>
      <c r="G1324">
        <v>0</v>
      </c>
      <c r="H1324">
        <v>0</v>
      </c>
      <c r="I1324" t="s">
        <v>64</v>
      </c>
    </row>
    <row r="1325" spans="1:9" x14ac:dyDescent="0.35">
      <c r="A1325" t="s">
        <v>14</v>
      </c>
      <c r="B1325">
        <v>2030</v>
      </c>
      <c r="C1325" t="s">
        <v>63</v>
      </c>
      <c r="D1325" t="s">
        <v>48</v>
      </c>
      <c r="E1325">
        <v>1.0260347062275299</v>
      </c>
      <c r="F1325">
        <v>1.0260347062275299</v>
      </c>
      <c r="G1325">
        <v>0</v>
      </c>
      <c r="H1325">
        <v>0</v>
      </c>
      <c r="I1325" t="s">
        <v>64</v>
      </c>
    </row>
    <row r="1326" spans="1:9" x14ac:dyDescent="0.35">
      <c r="A1326" t="s">
        <v>14</v>
      </c>
      <c r="B1326">
        <v>2030</v>
      </c>
      <c r="C1326" t="s">
        <v>63</v>
      </c>
      <c r="D1326" t="s">
        <v>49</v>
      </c>
      <c r="E1326">
        <v>4.8888318871346302E-3</v>
      </c>
      <c r="F1326">
        <v>4.8888318871346302E-3</v>
      </c>
      <c r="G1326">
        <v>0</v>
      </c>
      <c r="H1326">
        <v>0</v>
      </c>
      <c r="I1326" t="s">
        <v>64</v>
      </c>
    </row>
    <row r="1327" spans="1:9" x14ac:dyDescent="0.35">
      <c r="A1327" t="s">
        <v>14</v>
      </c>
      <c r="B1327">
        <v>2030</v>
      </c>
      <c r="C1327" t="s">
        <v>63</v>
      </c>
      <c r="D1327" t="s">
        <v>50</v>
      </c>
      <c r="E1327">
        <v>1.09625170554386E-3</v>
      </c>
      <c r="F1327">
        <v>1.09625170554386E-3</v>
      </c>
      <c r="G1327">
        <v>0</v>
      </c>
      <c r="H1327">
        <v>0</v>
      </c>
      <c r="I1327" t="s">
        <v>64</v>
      </c>
    </row>
    <row r="1328" spans="1:9" x14ac:dyDescent="0.35">
      <c r="A1328" t="s">
        <v>14</v>
      </c>
      <c r="B1328">
        <v>2030</v>
      </c>
      <c r="C1328" t="s">
        <v>63</v>
      </c>
      <c r="D1328" t="s">
        <v>51</v>
      </c>
      <c r="E1328">
        <v>5.4734593079260298E-2</v>
      </c>
      <c r="F1328">
        <v>5.4734593079260298E-2</v>
      </c>
      <c r="G1328">
        <v>0</v>
      </c>
      <c r="H1328">
        <v>0</v>
      </c>
      <c r="I1328" t="s">
        <v>64</v>
      </c>
    </row>
    <row r="1329" spans="1:9" x14ac:dyDescent="0.35">
      <c r="A1329" t="s">
        <v>14</v>
      </c>
      <c r="B1329">
        <v>2030</v>
      </c>
      <c r="C1329" t="s">
        <v>63</v>
      </c>
      <c r="D1329" t="s">
        <v>52</v>
      </c>
      <c r="E1329">
        <v>2.18435202254228E-2</v>
      </c>
      <c r="F1329">
        <v>2.18435202254228E-2</v>
      </c>
      <c r="G1329">
        <v>0</v>
      </c>
      <c r="H1329">
        <v>0</v>
      </c>
      <c r="I1329" t="s">
        <v>64</v>
      </c>
    </row>
    <row r="1330" spans="1:9" x14ac:dyDescent="0.35">
      <c r="A1330" t="s">
        <v>14</v>
      </c>
      <c r="B1330">
        <v>2030</v>
      </c>
      <c r="C1330" t="s">
        <v>63</v>
      </c>
      <c r="D1330" t="s">
        <v>53</v>
      </c>
      <c r="E1330">
        <v>0.25046289062650801</v>
      </c>
      <c r="F1330">
        <v>0.25046289062650801</v>
      </c>
      <c r="G1330">
        <v>0</v>
      </c>
      <c r="H1330">
        <v>0</v>
      </c>
      <c r="I1330" t="s">
        <v>64</v>
      </c>
    </row>
    <row r="1331" spans="1:9" x14ac:dyDescent="0.35">
      <c r="A1331" t="s">
        <v>14</v>
      </c>
      <c r="B1331">
        <v>2030</v>
      </c>
      <c r="C1331" t="s">
        <v>63</v>
      </c>
      <c r="D1331" t="s">
        <v>54</v>
      </c>
      <c r="E1331">
        <v>1.5006262130821799</v>
      </c>
      <c r="F1331">
        <v>1.5006262130821799</v>
      </c>
      <c r="G1331">
        <v>0</v>
      </c>
      <c r="H1331">
        <v>0</v>
      </c>
      <c r="I1331" t="s">
        <v>64</v>
      </c>
    </row>
    <row r="1332" spans="1:9" x14ac:dyDescent="0.35">
      <c r="A1332" t="s">
        <v>14</v>
      </c>
      <c r="B1332">
        <v>2030</v>
      </c>
      <c r="C1332" t="s">
        <v>63</v>
      </c>
      <c r="D1332" t="s">
        <v>55</v>
      </c>
      <c r="E1332">
        <v>1.6166633034489499</v>
      </c>
      <c r="F1332">
        <v>1.6166633034489499</v>
      </c>
      <c r="G1332">
        <v>0</v>
      </c>
      <c r="H1332">
        <v>0</v>
      </c>
      <c r="I1332" t="s">
        <v>64</v>
      </c>
    </row>
    <row r="1333" spans="1:9" x14ac:dyDescent="0.35">
      <c r="A1333" t="s">
        <v>14</v>
      </c>
      <c r="B1333">
        <v>2030</v>
      </c>
      <c r="C1333" t="s">
        <v>63</v>
      </c>
      <c r="D1333" t="s">
        <v>56</v>
      </c>
      <c r="E1333" s="1">
        <v>6.0233973993719694E-8</v>
      </c>
      <c r="F1333" s="1">
        <v>6.0233973993719694E-8</v>
      </c>
      <c r="G1333">
        <v>0</v>
      </c>
      <c r="H1333">
        <v>0</v>
      </c>
      <c r="I1333" t="s">
        <v>64</v>
      </c>
    </row>
    <row r="1334" spans="1:9" x14ac:dyDescent="0.35">
      <c r="A1334" t="s">
        <v>16</v>
      </c>
      <c r="B1334">
        <v>2035</v>
      </c>
      <c r="C1334" t="s">
        <v>63</v>
      </c>
      <c r="D1334" t="s">
        <v>38</v>
      </c>
      <c r="E1334">
        <v>4.0859324941974898E-3</v>
      </c>
      <c r="F1334">
        <v>4.0859324941974898E-3</v>
      </c>
      <c r="G1334">
        <v>0</v>
      </c>
      <c r="H1334">
        <v>0</v>
      </c>
      <c r="I1334" t="s">
        <v>64</v>
      </c>
    </row>
    <row r="1335" spans="1:9" x14ac:dyDescent="0.35">
      <c r="A1335" t="s">
        <v>16</v>
      </c>
      <c r="B1335">
        <v>2035</v>
      </c>
      <c r="C1335" t="s">
        <v>63</v>
      </c>
      <c r="D1335" t="s">
        <v>40</v>
      </c>
      <c r="E1335">
        <v>5.6000501624881602E-4</v>
      </c>
      <c r="F1335">
        <v>5.6000501624881602E-4</v>
      </c>
      <c r="G1335">
        <v>0</v>
      </c>
      <c r="H1335">
        <v>0</v>
      </c>
      <c r="I1335" t="s">
        <v>64</v>
      </c>
    </row>
    <row r="1336" spans="1:9" x14ac:dyDescent="0.35">
      <c r="A1336" t="s">
        <v>16</v>
      </c>
      <c r="B1336">
        <v>2035</v>
      </c>
      <c r="C1336" t="s">
        <v>63</v>
      </c>
      <c r="D1336" t="s">
        <v>41</v>
      </c>
      <c r="E1336">
        <v>4.9166702970506798E-3</v>
      </c>
      <c r="F1336">
        <v>4.9166702970506798E-3</v>
      </c>
      <c r="G1336">
        <v>0</v>
      </c>
      <c r="H1336">
        <v>0</v>
      </c>
      <c r="I1336" t="s">
        <v>64</v>
      </c>
    </row>
    <row r="1337" spans="1:9" x14ac:dyDescent="0.35">
      <c r="A1337" t="s">
        <v>16</v>
      </c>
      <c r="B1337">
        <v>2035</v>
      </c>
      <c r="C1337" t="s">
        <v>63</v>
      </c>
      <c r="D1337" t="s">
        <v>42</v>
      </c>
      <c r="E1337">
        <v>3.2311131988832802</v>
      </c>
      <c r="F1337">
        <v>3.2311131988832802</v>
      </c>
      <c r="G1337">
        <v>0</v>
      </c>
      <c r="H1337">
        <v>0</v>
      </c>
      <c r="I1337" t="s">
        <v>64</v>
      </c>
    </row>
    <row r="1338" spans="1:9" x14ac:dyDescent="0.35">
      <c r="A1338" t="s">
        <v>16</v>
      </c>
      <c r="B1338">
        <v>2035</v>
      </c>
      <c r="C1338" t="s">
        <v>63</v>
      </c>
      <c r="D1338" t="s">
        <v>43</v>
      </c>
      <c r="E1338">
        <v>1.5610212668996E-3</v>
      </c>
      <c r="F1338">
        <v>1.5610212668996E-3</v>
      </c>
      <c r="G1338">
        <v>0</v>
      </c>
      <c r="H1338">
        <v>0</v>
      </c>
      <c r="I1338" t="s">
        <v>64</v>
      </c>
    </row>
    <row r="1339" spans="1:9" x14ac:dyDescent="0.35">
      <c r="A1339" t="s">
        <v>16</v>
      </c>
      <c r="B1339">
        <v>2035</v>
      </c>
      <c r="C1339" t="s">
        <v>63</v>
      </c>
      <c r="D1339" t="s">
        <v>136</v>
      </c>
      <c r="E1339">
        <v>0.88935810616433397</v>
      </c>
      <c r="F1339">
        <v>0.88935810616433397</v>
      </c>
      <c r="G1339">
        <v>0</v>
      </c>
      <c r="H1339">
        <v>0</v>
      </c>
      <c r="I1339" t="s">
        <v>64</v>
      </c>
    </row>
    <row r="1340" spans="1:9" x14ac:dyDescent="0.35">
      <c r="A1340" t="s">
        <v>16</v>
      </c>
      <c r="B1340">
        <v>2035</v>
      </c>
      <c r="C1340" t="s">
        <v>63</v>
      </c>
      <c r="D1340" t="s">
        <v>45</v>
      </c>
      <c r="E1340">
        <v>1.86653209816181E-3</v>
      </c>
      <c r="F1340">
        <v>1.86653209816181E-3</v>
      </c>
      <c r="G1340">
        <v>0</v>
      </c>
      <c r="H1340">
        <v>0</v>
      </c>
      <c r="I1340" t="s">
        <v>64</v>
      </c>
    </row>
    <row r="1341" spans="1:9" x14ac:dyDescent="0.35">
      <c r="A1341" t="s">
        <v>16</v>
      </c>
      <c r="B1341">
        <v>2035</v>
      </c>
      <c r="C1341" t="s">
        <v>63</v>
      </c>
      <c r="D1341" t="s">
        <v>46</v>
      </c>
      <c r="E1341">
        <v>1.6090187275809201E-2</v>
      </c>
      <c r="F1341">
        <v>1.6090187275809201E-2</v>
      </c>
      <c r="G1341">
        <v>0</v>
      </c>
      <c r="H1341">
        <v>0</v>
      </c>
      <c r="I1341" t="s">
        <v>64</v>
      </c>
    </row>
    <row r="1342" spans="1:9" x14ac:dyDescent="0.35">
      <c r="A1342" t="s">
        <v>16</v>
      </c>
      <c r="B1342">
        <v>2035</v>
      </c>
      <c r="C1342" t="s">
        <v>63</v>
      </c>
      <c r="D1342" t="s">
        <v>47</v>
      </c>
      <c r="E1342">
        <v>2.2751345074917199E-3</v>
      </c>
      <c r="F1342">
        <v>2.2751345074917199E-3</v>
      </c>
      <c r="G1342">
        <v>0</v>
      </c>
      <c r="H1342">
        <v>0</v>
      </c>
      <c r="I1342" t="s">
        <v>64</v>
      </c>
    </row>
    <row r="1343" spans="1:9" x14ac:dyDescent="0.35">
      <c r="A1343" t="s">
        <v>16</v>
      </c>
      <c r="B1343">
        <v>2035</v>
      </c>
      <c r="C1343" t="s">
        <v>63</v>
      </c>
      <c r="D1343" t="s">
        <v>48</v>
      </c>
      <c r="E1343">
        <v>1.0259416953893099</v>
      </c>
      <c r="F1343">
        <v>1.0259416953893099</v>
      </c>
      <c r="G1343">
        <v>0</v>
      </c>
      <c r="H1343">
        <v>0</v>
      </c>
      <c r="I1343" t="s">
        <v>64</v>
      </c>
    </row>
    <row r="1344" spans="1:9" x14ac:dyDescent="0.35">
      <c r="A1344" t="s">
        <v>16</v>
      </c>
      <c r="B1344">
        <v>2035</v>
      </c>
      <c r="C1344" t="s">
        <v>63</v>
      </c>
      <c r="D1344" t="s">
        <v>49</v>
      </c>
      <c r="E1344">
        <v>4.8838852197152201E-3</v>
      </c>
      <c r="F1344">
        <v>4.8838852197152201E-3</v>
      </c>
      <c r="G1344">
        <v>0</v>
      </c>
      <c r="H1344">
        <v>0</v>
      </c>
      <c r="I1344" t="s">
        <v>64</v>
      </c>
    </row>
    <row r="1345" spans="1:9" x14ac:dyDescent="0.35">
      <c r="A1345" t="s">
        <v>16</v>
      </c>
      <c r="B1345">
        <v>2035</v>
      </c>
      <c r="C1345" t="s">
        <v>63</v>
      </c>
      <c r="D1345" t="s">
        <v>50</v>
      </c>
      <c r="E1345">
        <v>1.11575538946755E-3</v>
      </c>
      <c r="F1345">
        <v>1.11575538946755E-3</v>
      </c>
      <c r="G1345">
        <v>0</v>
      </c>
      <c r="H1345">
        <v>0</v>
      </c>
      <c r="I1345" t="s">
        <v>64</v>
      </c>
    </row>
    <row r="1346" spans="1:9" x14ac:dyDescent="0.35">
      <c r="A1346" t="s">
        <v>16</v>
      </c>
      <c r="B1346">
        <v>2035</v>
      </c>
      <c r="C1346" t="s">
        <v>63</v>
      </c>
      <c r="D1346" t="s">
        <v>51</v>
      </c>
      <c r="E1346">
        <v>5.4778835602106397E-2</v>
      </c>
      <c r="F1346">
        <v>5.4778835602106397E-2</v>
      </c>
      <c r="G1346">
        <v>0</v>
      </c>
      <c r="H1346">
        <v>0</v>
      </c>
      <c r="I1346" t="s">
        <v>64</v>
      </c>
    </row>
    <row r="1347" spans="1:9" x14ac:dyDescent="0.35">
      <c r="A1347" t="s">
        <v>16</v>
      </c>
      <c r="B1347">
        <v>2035</v>
      </c>
      <c r="C1347" t="s">
        <v>63</v>
      </c>
      <c r="D1347" t="s">
        <v>52</v>
      </c>
      <c r="E1347">
        <v>2.1659138927351301E-2</v>
      </c>
      <c r="F1347">
        <v>2.1659138927351301E-2</v>
      </c>
      <c r="G1347">
        <v>0</v>
      </c>
      <c r="H1347">
        <v>0</v>
      </c>
      <c r="I1347" t="s">
        <v>64</v>
      </c>
    </row>
    <row r="1348" spans="1:9" x14ac:dyDescent="0.35">
      <c r="A1348" t="s">
        <v>16</v>
      </c>
      <c r="B1348">
        <v>2035</v>
      </c>
      <c r="C1348" t="s">
        <v>63</v>
      </c>
      <c r="D1348" t="s">
        <v>53</v>
      </c>
      <c r="E1348">
        <v>0.250092541441303</v>
      </c>
      <c r="F1348">
        <v>0.250092541441303</v>
      </c>
      <c r="G1348">
        <v>0</v>
      </c>
      <c r="H1348">
        <v>0</v>
      </c>
      <c r="I1348" t="s">
        <v>64</v>
      </c>
    </row>
    <row r="1349" spans="1:9" x14ac:dyDescent="0.35">
      <c r="A1349" t="s">
        <v>16</v>
      </c>
      <c r="B1349">
        <v>2035</v>
      </c>
      <c r="C1349" t="s">
        <v>63</v>
      </c>
      <c r="D1349" t="s">
        <v>54</v>
      </c>
      <c r="E1349">
        <v>1.50065368834766</v>
      </c>
      <c r="F1349">
        <v>1.50065368834766</v>
      </c>
      <c r="G1349">
        <v>0</v>
      </c>
      <c r="H1349">
        <v>0</v>
      </c>
      <c r="I1349" t="s">
        <v>64</v>
      </c>
    </row>
    <row r="1350" spans="1:9" x14ac:dyDescent="0.35">
      <c r="A1350" t="s">
        <v>16</v>
      </c>
      <c r="B1350">
        <v>2035</v>
      </c>
      <c r="C1350" t="s">
        <v>63</v>
      </c>
      <c r="D1350" t="s">
        <v>55</v>
      </c>
      <c r="E1350">
        <v>1.6166858668725099</v>
      </c>
      <c r="F1350">
        <v>1.6166858668725099</v>
      </c>
      <c r="G1350">
        <v>0</v>
      </c>
      <c r="H1350">
        <v>0</v>
      </c>
      <c r="I1350" t="s">
        <v>64</v>
      </c>
    </row>
    <row r="1351" spans="1:9" x14ac:dyDescent="0.35">
      <c r="A1351" t="s">
        <v>16</v>
      </c>
      <c r="B1351">
        <v>2035</v>
      </c>
      <c r="C1351" t="s">
        <v>63</v>
      </c>
      <c r="D1351" t="s">
        <v>56</v>
      </c>
      <c r="E1351" s="1">
        <v>5.9964457487608701E-8</v>
      </c>
      <c r="F1351" s="1">
        <v>5.9964457487608701E-8</v>
      </c>
      <c r="G1351">
        <v>0</v>
      </c>
      <c r="H1351">
        <v>0</v>
      </c>
      <c r="I1351" t="s">
        <v>64</v>
      </c>
    </row>
    <row r="1352" spans="1:9" x14ac:dyDescent="0.35">
      <c r="A1352" t="s">
        <v>18</v>
      </c>
      <c r="B1352">
        <v>2040</v>
      </c>
      <c r="C1352" t="s">
        <v>63</v>
      </c>
      <c r="D1352" t="s">
        <v>38</v>
      </c>
      <c r="E1352">
        <v>4.0949103215059696E-3</v>
      </c>
      <c r="F1352">
        <v>4.5712360807926498E-4</v>
      </c>
      <c r="G1352">
        <v>-3.6377867134267002E-3</v>
      </c>
      <c r="H1352">
        <v>-88.8367858588133</v>
      </c>
      <c r="I1352" t="s">
        <v>64</v>
      </c>
    </row>
    <row r="1353" spans="1:9" x14ac:dyDescent="0.35">
      <c r="A1353" t="s">
        <v>18</v>
      </c>
      <c r="B1353">
        <v>2040</v>
      </c>
      <c r="C1353" t="s">
        <v>63</v>
      </c>
      <c r="D1353" t="s">
        <v>40</v>
      </c>
      <c r="E1353">
        <v>5.5939542105880498E-4</v>
      </c>
      <c r="F1353">
        <v>5.5939542105880498E-4</v>
      </c>
      <c r="G1353">
        <v>0</v>
      </c>
      <c r="H1353">
        <v>0</v>
      </c>
      <c r="I1353" t="s">
        <v>64</v>
      </c>
    </row>
    <row r="1354" spans="1:9" x14ac:dyDescent="0.35">
      <c r="A1354" t="s">
        <v>18</v>
      </c>
      <c r="B1354">
        <v>2040</v>
      </c>
      <c r="C1354" t="s">
        <v>63</v>
      </c>
      <c r="D1354" t="s">
        <v>41</v>
      </c>
      <c r="E1354">
        <v>4.9171913313728402E-3</v>
      </c>
      <c r="F1354">
        <v>1.4382786152715901E-3</v>
      </c>
      <c r="G1354">
        <v>-3.4789127161012501E-3</v>
      </c>
      <c r="H1354">
        <v>-70.749996932292703</v>
      </c>
      <c r="I1354" t="s">
        <v>64</v>
      </c>
    </row>
    <row r="1355" spans="1:9" x14ac:dyDescent="0.35">
      <c r="A1355" t="s">
        <v>18</v>
      </c>
      <c r="B1355">
        <v>2040</v>
      </c>
      <c r="C1355" t="s">
        <v>63</v>
      </c>
      <c r="D1355" t="s">
        <v>42</v>
      </c>
      <c r="E1355">
        <v>3.2316729554625301</v>
      </c>
      <c r="F1355">
        <v>3.1799492446661102</v>
      </c>
      <c r="G1355">
        <v>-5.1723710796423898E-2</v>
      </c>
      <c r="H1355">
        <v>-1.60052429528782</v>
      </c>
      <c r="I1355" t="s">
        <v>64</v>
      </c>
    </row>
    <row r="1356" spans="1:9" x14ac:dyDescent="0.35">
      <c r="A1356" t="s">
        <v>18</v>
      </c>
      <c r="B1356">
        <v>2040</v>
      </c>
      <c r="C1356" t="s">
        <v>63</v>
      </c>
      <c r="D1356" t="s">
        <v>43</v>
      </c>
      <c r="E1356">
        <v>1.5635352203425699E-3</v>
      </c>
      <c r="F1356">
        <v>3.4162838090215602E-4</v>
      </c>
      <c r="G1356">
        <v>-1.22190683944041E-3</v>
      </c>
      <c r="H1356">
        <v>-78.150259971290794</v>
      </c>
      <c r="I1356" t="s">
        <v>64</v>
      </c>
    </row>
    <row r="1357" spans="1:9" x14ac:dyDescent="0.35">
      <c r="A1357" t="s">
        <v>18</v>
      </c>
      <c r="B1357">
        <v>2040</v>
      </c>
      <c r="C1357" t="s">
        <v>63</v>
      </c>
      <c r="D1357" t="s">
        <v>136</v>
      </c>
      <c r="E1357">
        <v>0.88948205763256405</v>
      </c>
      <c r="F1357">
        <v>0.576903185672622</v>
      </c>
      <c r="G1357">
        <v>-0.312578871959941</v>
      </c>
      <c r="H1357">
        <v>-35.141672536025901</v>
      </c>
      <c r="I1357" t="s">
        <v>64</v>
      </c>
    </row>
    <row r="1358" spans="1:9" x14ac:dyDescent="0.35">
      <c r="A1358" t="s">
        <v>18</v>
      </c>
      <c r="B1358">
        <v>2040</v>
      </c>
      <c r="C1358" t="s">
        <v>63</v>
      </c>
      <c r="D1358" t="s">
        <v>45</v>
      </c>
      <c r="E1358">
        <v>1.8614871744652101E-3</v>
      </c>
      <c r="F1358">
        <v>4.49693360207873E-4</v>
      </c>
      <c r="G1358">
        <v>-1.4117938142573299E-3</v>
      </c>
      <c r="H1358">
        <v>-75.8422530986781</v>
      </c>
      <c r="I1358" t="s">
        <v>64</v>
      </c>
    </row>
    <row r="1359" spans="1:9" x14ac:dyDescent="0.35">
      <c r="A1359" t="s">
        <v>18</v>
      </c>
      <c r="B1359">
        <v>2040</v>
      </c>
      <c r="C1359" t="s">
        <v>63</v>
      </c>
      <c r="D1359" t="s">
        <v>46</v>
      </c>
      <c r="E1359">
        <v>1.7589057458617899E-2</v>
      </c>
      <c r="F1359">
        <v>1.7589057458617899E-2</v>
      </c>
      <c r="G1359">
        <v>0</v>
      </c>
      <c r="H1359">
        <v>0</v>
      </c>
      <c r="I1359" t="s">
        <v>64</v>
      </c>
    </row>
    <row r="1360" spans="1:9" x14ac:dyDescent="0.35">
      <c r="A1360" t="s">
        <v>18</v>
      </c>
      <c r="B1360">
        <v>2040</v>
      </c>
      <c r="C1360" t="s">
        <v>63</v>
      </c>
      <c r="D1360" t="s">
        <v>47</v>
      </c>
      <c r="E1360">
        <v>2.2757749297528901E-3</v>
      </c>
      <c r="F1360">
        <v>2.2757749297528901E-3</v>
      </c>
      <c r="G1360">
        <v>0</v>
      </c>
      <c r="H1360">
        <v>0</v>
      </c>
      <c r="I1360" t="s">
        <v>64</v>
      </c>
    </row>
    <row r="1361" spans="1:9" x14ac:dyDescent="0.35">
      <c r="A1361" t="s">
        <v>18</v>
      </c>
      <c r="B1361">
        <v>2040</v>
      </c>
      <c r="C1361" t="s">
        <v>63</v>
      </c>
      <c r="D1361" t="s">
        <v>48</v>
      </c>
      <c r="E1361">
        <v>1.02593143310807</v>
      </c>
      <c r="F1361">
        <v>1.02593143310807</v>
      </c>
      <c r="G1361">
        <v>0</v>
      </c>
      <c r="H1361">
        <v>0</v>
      </c>
      <c r="I1361" t="s">
        <v>64</v>
      </c>
    </row>
    <row r="1362" spans="1:9" x14ac:dyDescent="0.35">
      <c r="A1362" t="s">
        <v>18</v>
      </c>
      <c r="B1362">
        <v>2040</v>
      </c>
      <c r="C1362" t="s">
        <v>63</v>
      </c>
      <c r="D1362" t="s">
        <v>49</v>
      </c>
      <c r="E1362">
        <v>4.8863174362050298E-3</v>
      </c>
      <c r="F1362">
        <v>9.2512636976645104E-4</v>
      </c>
      <c r="G1362">
        <v>-3.9611910664385701E-3</v>
      </c>
      <c r="H1362">
        <v>-81.067002259989195</v>
      </c>
      <c r="I1362" t="s">
        <v>64</v>
      </c>
    </row>
    <row r="1363" spans="1:9" x14ac:dyDescent="0.35">
      <c r="A1363" t="s">
        <v>18</v>
      </c>
      <c r="B1363">
        <v>2040</v>
      </c>
      <c r="C1363" t="s">
        <v>63</v>
      </c>
      <c r="D1363" t="s">
        <v>50</v>
      </c>
      <c r="E1363">
        <v>1.1494450596182201E-3</v>
      </c>
      <c r="F1363">
        <v>1.1494450596182201E-3</v>
      </c>
      <c r="G1363">
        <v>0</v>
      </c>
      <c r="H1363">
        <v>0</v>
      </c>
      <c r="I1363" t="s">
        <v>64</v>
      </c>
    </row>
    <row r="1364" spans="1:9" x14ac:dyDescent="0.35">
      <c r="A1364" t="s">
        <v>18</v>
      </c>
      <c r="B1364">
        <v>2040</v>
      </c>
      <c r="C1364" t="s">
        <v>63</v>
      </c>
      <c r="D1364" t="s">
        <v>51</v>
      </c>
      <c r="E1364">
        <v>5.4838590685578802E-2</v>
      </c>
      <c r="F1364">
        <v>5.4838590685578802E-2</v>
      </c>
      <c r="G1364">
        <v>0</v>
      </c>
      <c r="H1364">
        <v>0</v>
      </c>
      <c r="I1364" t="s">
        <v>64</v>
      </c>
    </row>
    <row r="1365" spans="1:9" x14ac:dyDescent="0.35">
      <c r="A1365" t="s">
        <v>18</v>
      </c>
      <c r="B1365">
        <v>2040</v>
      </c>
      <c r="C1365" t="s">
        <v>63</v>
      </c>
      <c r="D1365" t="s">
        <v>52</v>
      </c>
      <c r="E1365">
        <v>2.14768980360696E-2</v>
      </c>
      <c r="F1365">
        <v>2.14768980360696E-2</v>
      </c>
      <c r="G1365">
        <v>0</v>
      </c>
      <c r="H1365">
        <v>0</v>
      </c>
      <c r="I1365" t="s">
        <v>64</v>
      </c>
    </row>
    <row r="1366" spans="1:9" x14ac:dyDescent="0.35">
      <c r="A1366" t="s">
        <v>18</v>
      </c>
      <c r="B1366">
        <v>2040</v>
      </c>
      <c r="C1366" t="s">
        <v>63</v>
      </c>
      <c r="D1366" t="s">
        <v>53</v>
      </c>
      <c r="E1366">
        <v>0.24997423319684201</v>
      </c>
      <c r="F1366">
        <v>0.24997423319684201</v>
      </c>
      <c r="G1366">
        <v>0</v>
      </c>
      <c r="H1366">
        <v>0</v>
      </c>
      <c r="I1366" t="s">
        <v>64</v>
      </c>
    </row>
    <row r="1367" spans="1:9" x14ac:dyDescent="0.35">
      <c r="A1367" t="s">
        <v>18</v>
      </c>
      <c r="B1367">
        <v>2040</v>
      </c>
      <c r="C1367" t="s">
        <v>63</v>
      </c>
      <c r="D1367" t="s">
        <v>54</v>
      </c>
      <c r="E1367">
        <v>1.50070199812558</v>
      </c>
      <c r="F1367">
        <v>1.49900919581231</v>
      </c>
      <c r="G1367">
        <v>-1.69280231327428E-3</v>
      </c>
      <c r="H1367">
        <v>-0.112800696966395</v>
      </c>
      <c r="I1367" t="s">
        <v>64</v>
      </c>
    </row>
    <row r="1368" spans="1:9" x14ac:dyDescent="0.35">
      <c r="A1368" t="s">
        <v>18</v>
      </c>
      <c r="B1368">
        <v>2040</v>
      </c>
      <c r="C1368" t="s">
        <v>63</v>
      </c>
      <c r="D1368" t="s">
        <v>55</v>
      </c>
      <c r="E1368">
        <v>1.61672804116027</v>
      </c>
      <c r="F1368">
        <v>1.39298590647348</v>
      </c>
      <c r="G1368">
        <v>-0.223742134686784</v>
      </c>
      <c r="H1368">
        <v>-13.839194285651899</v>
      </c>
      <c r="I1368" t="s">
        <v>64</v>
      </c>
    </row>
    <row r="1369" spans="1:9" x14ac:dyDescent="0.35">
      <c r="A1369" t="s">
        <v>18</v>
      </c>
      <c r="B1369">
        <v>2040</v>
      </c>
      <c r="C1369" t="s">
        <v>63</v>
      </c>
      <c r="D1369" t="s">
        <v>56</v>
      </c>
      <c r="E1369" s="1">
        <v>5.9701882248222896E-8</v>
      </c>
      <c r="F1369" s="1">
        <v>5.9701882248222896E-8</v>
      </c>
      <c r="G1369">
        <v>0</v>
      </c>
      <c r="H1369">
        <v>0</v>
      </c>
      <c r="I1369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7635-F616-4D46-A542-6B845558AB96}">
  <sheetPr>
    <tabColor theme="8" tint="0.79998168889431442"/>
  </sheetPr>
  <dimension ref="A1:I1369"/>
  <sheetViews>
    <sheetView tabSelected="1" zoomScale="85" zoomScaleNormal="85" workbookViewId="0">
      <selection activeCell="Q18" sqref="Q18"/>
    </sheetView>
  </sheetViews>
  <sheetFormatPr defaultRowHeight="14.5" x14ac:dyDescent="0.35"/>
  <cols>
    <col min="3" max="3" width="61.54296875" bestFit="1" customWidth="1"/>
    <col min="4" max="4" width="57.54296875" bestFit="1" customWidth="1"/>
  </cols>
  <sheetData>
    <row r="1" spans="1:9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x14ac:dyDescent="0.35">
      <c r="A2" t="s">
        <v>13</v>
      </c>
      <c r="B2">
        <v>2025</v>
      </c>
      <c r="C2" t="s">
        <v>69</v>
      </c>
      <c r="D2" t="s">
        <v>38</v>
      </c>
      <c r="E2" s="1">
        <v>2.9974996705601801E-6</v>
      </c>
      <c r="F2" s="1">
        <v>2.9974996705601801E-6</v>
      </c>
      <c r="G2">
        <v>0</v>
      </c>
      <c r="H2">
        <v>0</v>
      </c>
      <c r="I2" t="s">
        <v>71</v>
      </c>
    </row>
    <row r="3" spans="1:9" x14ac:dyDescent="0.35">
      <c r="A3" t="s">
        <v>13</v>
      </c>
      <c r="B3">
        <v>2025</v>
      </c>
      <c r="C3" t="s">
        <v>69</v>
      </c>
      <c r="D3" t="s">
        <v>40</v>
      </c>
      <c r="E3" s="1">
        <v>3.5134737890775201E-5</v>
      </c>
      <c r="F3" s="1">
        <v>3.5134737890775201E-5</v>
      </c>
      <c r="G3">
        <v>0</v>
      </c>
      <c r="H3">
        <v>0</v>
      </c>
      <c r="I3" t="s">
        <v>71</v>
      </c>
    </row>
    <row r="4" spans="1:9" x14ac:dyDescent="0.35">
      <c r="A4" t="s">
        <v>13</v>
      </c>
      <c r="B4">
        <v>2025</v>
      </c>
      <c r="C4" t="s">
        <v>69</v>
      </c>
      <c r="D4" t="s">
        <v>41</v>
      </c>
      <c r="E4">
        <v>2.0942535548409001E-4</v>
      </c>
      <c r="F4">
        <v>2.0942535548409001E-4</v>
      </c>
      <c r="G4">
        <v>0</v>
      </c>
      <c r="H4">
        <v>0</v>
      </c>
      <c r="I4" t="s">
        <v>71</v>
      </c>
    </row>
    <row r="5" spans="1:9" x14ac:dyDescent="0.35">
      <c r="A5" t="s">
        <v>13</v>
      </c>
      <c r="B5">
        <v>2025</v>
      </c>
      <c r="C5" t="s">
        <v>69</v>
      </c>
      <c r="D5" t="s">
        <v>42</v>
      </c>
      <c r="E5">
        <v>9.8719369243715892E-3</v>
      </c>
      <c r="F5">
        <v>9.8719369243715892E-3</v>
      </c>
      <c r="G5">
        <v>0</v>
      </c>
      <c r="H5">
        <v>0</v>
      </c>
      <c r="I5" t="s">
        <v>71</v>
      </c>
    </row>
    <row r="6" spans="1:9" x14ac:dyDescent="0.35">
      <c r="A6" t="s">
        <v>13</v>
      </c>
      <c r="B6">
        <v>2025</v>
      </c>
      <c r="C6" t="s">
        <v>69</v>
      </c>
      <c r="D6" t="s">
        <v>43</v>
      </c>
      <c r="E6" s="1">
        <v>7.0768437986490105E-5</v>
      </c>
      <c r="F6" s="1">
        <v>7.0768437986490105E-5</v>
      </c>
      <c r="G6">
        <v>0</v>
      </c>
      <c r="H6">
        <v>0</v>
      </c>
      <c r="I6" t="s">
        <v>71</v>
      </c>
    </row>
    <row r="7" spans="1:9" x14ac:dyDescent="0.35">
      <c r="A7" t="s">
        <v>13</v>
      </c>
      <c r="B7">
        <v>2025</v>
      </c>
      <c r="C7" t="s">
        <v>69</v>
      </c>
      <c r="D7" t="s">
        <v>136</v>
      </c>
      <c r="E7">
        <v>2.9225939400695899E-2</v>
      </c>
      <c r="F7">
        <v>2.9225939400695899E-2</v>
      </c>
      <c r="G7">
        <v>0</v>
      </c>
      <c r="H7">
        <v>0</v>
      </c>
      <c r="I7" t="s">
        <v>71</v>
      </c>
    </row>
    <row r="8" spans="1:9" x14ac:dyDescent="0.35">
      <c r="A8" t="s">
        <v>13</v>
      </c>
      <c r="B8">
        <v>2025</v>
      </c>
      <c r="C8" t="s">
        <v>69</v>
      </c>
      <c r="D8" t="s">
        <v>45</v>
      </c>
      <c r="E8">
        <v>1.54338360287537E-3</v>
      </c>
      <c r="F8">
        <v>1.54338360287537E-3</v>
      </c>
      <c r="G8">
        <v>0</v>
      </c>
      <c r="H8">
        <v>0</v>
      </c>
      <c r="I8" t="s">
        <v>71</v>
      </c>
    </row>
    <row r="9" spans="1:9" x14ac:dyDescent="0.35">
      <c r="A9" t="s">
        <v>13</v>
      </c>
      <c r="B9">
        <v>2025</v>
      </c>
      <c r="C9" t="s">
        <v>69</v>
      </c>
      <c r="D9" t="s">
        <v>46</v>
      </c>
      <c r="E9">
        <v>3.5952485013510799E-4</v>
      </c>
      <c r="F9">
        <v>3.5952485013510799E-4</v>
      </c>
      <c r="G9">
        <v>0</v>
      </c>
      <c r="H9">
        <v>0</v>
      </c>
      <c r="I9" t="s">
        <v>71</v>
      </c>
    </row>
    <row r="10" spans="1:9" x14ac:dyDescent="0.35">
      <c r="A10" t="s">
        <v>13</v>
      </c>
      <c r="B10">
        <v>2025</v>
      </c>
      <c r="C10" t="s">
        <v>69</v>
      </c>
      <c r="D10" t="s">
        <v>47</v>
      </c>
      <c r="E10" s="1">
        <v>1.0614595084050999E-5</v>
      </c>
      <c r="F10" s="1">
        <v>1.0614595084050999E-5</v>
      </c>
      <c r="G10">
        <v>0</v>
      </c>
      <c r="H10">
        <v>0</v>
      </c>
      <c r="I10" t="s">
        <v>71</v>
      </c>
    </row>
    <row r="11" spans="1:9" x14ac:dyDescent="0.35">
      <c r="A11" t="s">
        <v>13</v>
      </c>
      <c r="B11">
        <v>2025</v>
      </c>
      <c r="C11" t="s">
        <v>69</v>
      </c>
      <c r="D11" t="s">
        <v>48</v>
      </c>
      <c r="E11">
        <v>1.6373055222573E-3</v>
      </c>
      <c r="F11">
        <v>1.6373055222573E-3</v>
      </c>
      <c r="G11">
        <v>0</v>
      </c>
      <c r="H11">
        <v>0</v>
      </c>
      <c r="I11" t="s">
        <v>71</v>
      </c>
    </row>
    <row r="12" spans="1:9" x14ac:dyDescent="0.35">
      <c r="A12" t="s">
        <v>13</v>
      </c>
      <c r="B12">
        <v>2025</v>
      </c>
      <c r="C12" t="s">
        <v>69</v>
      </c>
      <c r="D12" t="s">
        <v>49</v>
      </c>
      <c r="E12">
        <v>2.0614325687473301E-4</v>
      </c>
      <c r="F12">
        <v>2.0614325687473301E-4</v>
      </c>
      <c r="G12">
        <v>0</v>
      </c>
      <c r="H12">
        <v>0</v>
      </c>
      <c r="I12" t="s">
        <v>71</v>
      </c>
    </row>
    <row r="13" spans="1:9" x14ac:dyDescent="0.35">
      <c r="A13" t="s">
        <v>13</v>
      </c>
      <c r="B13">
        <v>2025</v>
      </c>
      <c r="C13" t="s">
        <v>69</v>
      </c>
      <c r="D13" t="s">
        <v>50</v>
      </c>
      <c r="E13">
        <v>5.0543873847126697E-4</v>
      </c>
      <c r="F13">
        <v>5.0543873847126697E-4</v>
      </c>
      <c r="G13">
        <v>0</v>
      </c>
      <c r="H13">
        <v>0</v>
      </c>
      <c r="I13" t="s">
        <v>71</v>
      </c>
    </row>
    <row r="14" spans="1:9" x14ac:dyDescent="0.35">
      <c r="A14" t="s">
        <v>13</v>
      </c>
      <c r="B14">
        <v>2025</v>
      </c>
      <c r="C14" t="s">
        <v>69</v>
      </c>
      <c r="D14" t="s">
        <v>51</v>
      </c>
      <c r="E14">
        <v>9.6097932945644598E-3</v>
      </c>
      <c r="F14">
        <v>9.6097932945644598E-3</v>
      </c>
      <c r="G14">
        <v>0</v>
      </c>
      <c r="H14">
        <v>0</v>
      </c>
      <c r="I14" t="s">
        <v>71</v>
      </c>
    </row>
    <row r="15" spans="1:9" x14ac:dyDescent="0.35">
      <c r="A15" t="s">
        <v>13</v>
      </c>
      <c r="B15">
        <v>2025</v>
      </c>
      <c r="C15" t="s">
        <v>69</v>
      </c>
      <c r="D15" t="s">
        <v>52</v>
      </c>
      <c r="E15">
        <v>3.7564616623690398E-3</v>
      </c>
      <c r="F15">
        <v>3.7564616623690398E-3</v>
      </c>
      <c r="G15">
        <v>0</v>
      </c>
      <c r="H15">
        <v>0</v>
      </c>
      <c r="I15" t="s">
        <v>71</v>
      </c>
    </row>
    <row r="16" spans="1:9" x14ac:dyDescent="0.35">
      <c r="A16" t="s">
        <v>13</v>
      </c>
      <c r="B16">
        <v>2025</v>
      </c>
      <c r="C16" t="s">
        <v>69</v>
      </c>
      <c r="D16" t="s">
        <v>53</v>
      </c>
      <c r="E16">
        <v>7.5522513611441704E-3</v>
      </c>
      <c r="F16">
        <v>7.5522513611441704E-3</v>
      </c>
      <c r="G16">
        <v>0</v>
      </c>
      <c r="H16">
        <v>0</v>
      </c>
      <c r="I16" t="s">
        <v>71</v>
      </c>
    </row>
    <row r="17" spans="1:9" x14ac:dyDescent="0.35">
      <c r="A17" t="s">
        <v>13</v>
      </c>
      <c r="B17">
        <v>2025</v>
      </c>
      <c r="C17" t="s">
        <v>69</v>
      </c>
      <c r="D17" t="s">
        <v>54</v>
      </c>
      <c r="E17">
        <v>5.5139789273852397E-4</v>
      </c>
      <c r="F17">
        <v>5.5139789273852397E-4</v>
      </c>
      <c r="G17">
        <v>0</v>
      </c>
      <c r="H17">
        <v>0</v>
      </c>
      <c r="I17" t="s">
        <v>71</v>
      </c>
    </row>
    <row r="18" spans="1:9" x14ac:dyDescent="0.35">
      <c r="A18" t="s">
        <v>13</v>
      </c>
      <c r="B18">
        <v>2025</v>
      </c>
      <c r="C18" t="s">
        <v>69</v>
      </c>
      <c r="D18" t="s">
        <v>55</v>
      </c>
      <c r="E18">
        <v>5.0634143303489602E-4</v>
      </c>
      <c r="F18">
        <v>5.0634143303489602E-4</v>
      </c>
      <c r="G18">
        <v>0</v>
      </c>
      <c r="H18">
        <v>0</v>
      </c>
      <c r="I18" t="s">
        <v>71</v>
      </c>
    </row>
    <row r="19" spans="1:9" x14ac:dyDescent="0.35">
      <c r="A19" t="s">
        <v>13</v>
      </c>
      <c r="B19">
        <v>2025</v>
      </c>
      <c r="C19" t="s">
        <v>69</v>
      </c>
      <c r="D19" t="s">
        <v>56</v>
      </c>
      <c r="E19" s="1">
        <v>1.33269336903067E-9</v>
      </c>
      <c r="F19" s="1">
        <v>1.33269336903067E-9</v>
      </c>
      <c r="G19">
        <v>0</v>
      </c>
      <c r="H19">
        <v>0</v>
      </c>
      <c r="I19" t="s">
        <v>71</v>
      </c>
    </row>
    <row r="20" spans="1:9" x14ac:dyDescent="0.35">
      <c r="A20" t="s">
        <v>15</v>
      </c>
      <c r="B20">
        <v>2030</v>
      </c>
      <c r="C20" t="s">
        <v>69</v>
      </c>
      <c r="D20" t="s">
        <v>38</v>
      </c>
      <c r="E20" s="1">
        <v>3.44929410897275E-6</v>
      </c>
      <c r="F20" s="1">
        <v>3.44929410897275E-6</v>
      </c>
      <c r="G20">
        <v>0</v>
      </c>
      <c r="H20">
        <v>0</v>
      </c>
      <c r="I20" t="s">
        <v>71</v>
      </c>
    </row>
    <row r="21" spans="1:9" x14ac:dyDescent="0.35">
      <c r="A21" t="s">
        <v>15</v>
      </c>
      <c r="B21">
        <v>2030</v>
      </c>
      <c r="C21" t="s">
        <v>69</v>
      </c>
      <c r="D21" t="s">
        <v>40</v>
      </c>
      <c r="E21" s="1">
        <v>3.4587001464209002E-5</v>
      </c>
      <c r="F21" s="1">
        <v>3.4587001464209002E-5</v>
      </c>
      <c r="G21">
        <v>0</v>
      </c>
      <c r="H21">
        <v>0</v>
      </c>
      <c r="I21" t="s">
        <v>71</v>
      </c>
    </row>
    <row r="22" spans="1:9" x14ac:dyDescent="0.35">
      <c r="A22" t="s">
        <v>15</v>
      </c>
      <c r="B22">
        <v>2030</v>
      </c>
      <c r="C22" t="s">
        <v>69</v>
      </c>
      <c r="D22" t="s">
        <v>41</v>
      </c>
      <c r="E22">
        <v>2.02240278349504E-4</v>
      </c>
      <c r="F22">
        <v>2.02240278349504E-4</v>
      </c>
      <c r="G22">
        <v>0</v>
      </c>
      <c r="H22">
        <v>0</v>
      </c>
      <c r="I22" t="s">
        <v>71</v>
      </c>
    </row>
    <row r="23" spans="1:9" x14ac:dyDescent="0.35">
      <c r="A23" t="s">
        <v>15</v>
      </c>
      <c r="B23">
        <v>2030</v>
      </c>
      <c r="C23" t="s">
        <v>69</v>
      </c>
      <c r="D23" t="s">
        <v>42</v>
      </c>
      <c r="E23">
        <v>8.5915661190260392E-3</v>
      </c>
      <c r="F23">
        <v>8.5915661190260392E-3</v>
      </c>
      <c r="G23">
        <v>0</v>
      </c>
      <c r="H23">
        <v>0</v>
      </c>
      <c r="I23" t="s">
        <v>71</v>
      </c>
    </row>
    <row r="24" spans="1:9" x14ac:dyDescent="0.35">
      <c r="A24" t="s">
        <v>15</v>
      </c>
      <c r="B24">
        <v>2030</v>
      </c>
      <c r="C24" t="s">
        <v>69</v>
      </c>
      <c r="D24" t="s">
        <v>43</v>
      </c>
      <c r="E24" s="1">
        <v>6.82967276699032E-5</v>
      </c>
      <c r="F24" s="1">
        <v>6.82967276699032E-5</v>
      </c>
      <c r="G24">
        <v>0</v>
      </c>
      <c r="H24">
        <v>0</v>
      </c>
      <c r="I24" t="s">
        <v>71</v>
      </c>
    </row>
    <row r="25" spans="1:9" x14ac:dyDescent="0.35">
      <c r="A25" t="s">
        <v>15</v>
      </c>
      <c r="B25">
        <v>2030</v>
      </c>
      <c r="C25" t="s">
        <v>69</v>
      </c>
      <c r="D25" t="s">
        <v>136</v>
      </c>
      <c r="E25">
        <v>2.56214663382274E-2</v>
      </c>
      <c r="F25">
        <v>2.56214663382274E-2</v>
      </c>
      <c r="G25">
        <v>0</v>
      </c>
      <c r="H25">
        <v>0</v>
      </c>
      <c r="I25" t="s">
        <v>71</v>
      </c>
    </row>
    <row r="26" spans="1:9" x14ac:dyDescent="0.35">
      <c r="A26" t="s">
        <v>15</v>
      </c>
      <c r="B26">
        <v>2030</v>
      </c>
      <c r="C26" t="s">
        <v>69</v>
      </c>
      <c r="D26" t="s">
        <v>45</v>
      </c>
      <c r="E26">
        <v>1.53330811180203E-3</v>
      </c>
      <c r="F26">
        <v>4.4695617577535199E-4</v>
      </c>
      <c r="G26">
        <v>-1.0863519360266799E-3</v>
      </c>
      <c r="H26">
        <v>-70.850204708689404</v>
      </c>
      <c r="I26" t="s">
        <v>71</v>
      </c>
    </row>
    <row r="27" spans="1:9" x14ac:dyDescent="0.35">
      <c r="A27" t="s">
        <v>15</v>
      </c>
      <c r="B27">
        <v>2030</v>
      </c>
      <c r="C27" t="s">
        <v>69</v>
      </c>
      <c r="D27" t="s">
        <v>46</v>
      </c>
      <c r="E27">
        <v>4.6746260872247101E-4</v>
      </c>
      <c r="F27">
        <v>4.6746260872247101E-4</v>
      </c>
      <c r="G27">
        <v>0</v>
      </c>
      <c r="H27">
        <v>0</v>
      </c>
      <c r="I27" t="s">
        <v>71</v>
      </c>
    </row>
    <row r="28" spans="1:9" x14ac:dyDescent="0.35">
      <c r="A28" t="s">
        <v>15</v>
      </c>
      <c r="B28">
        <v>2030</v>
      </c>
      <c r="C28" t="s">
        <v>69</v>
      </c>
      <c r="D28" t="s">
        <v>47</v>
      </c>
      <c r="E28" s="1">
        <v>8.7116895157081307E-6</v>
      </c>
      <c r="F28" s="1">
        <v>8.7116895157081307E-6</v>
      </c>
      <c r="G28">
        <v>0</v>
      </c>
      <c r="H28">
        <v>0</v>
      </c>
      <c r="I28" t="s">
        <v>71</v>
      </c>
    </row>
    <row r="29" spans="1:9" x14ac:dyDescent="0.35">
      <c r="A29" t="s">
        <v>15</v>
      </c>
      <c r="B29">
        <v>2030</v>
      </c>
      <c r="C29" t="s">
        <v>69</v>
      </c>
      <c r="D29" t="s">
        <v>48</v>
      </c>
      <c r="E29">
        <v>1.64636588498547E-3</v>
      </c>
      <c r="F29">
        <v>1.64636588498547E-3</v>
      </c>
      <c r="G29">
        <v>0</v>
      </c>
      <c r="H29">
        <v>0</v>
      </c>
      <c r="I29" t="s">
        <v>71</v>
      </c>
    </row>
    <row r="30" spans="1:9" x14ac:dyDescent="0.35">
      <c r="A30" t="s">
        <v>15</v>
      </c>
      <c r="B30">
        <v>2030</v>
      </c>
      <c r="C30" t="s">
        <v>69</v>
      </c>
      <c r="D30" t="s">
        <v>49</v>
      </c>
      <c r="E30">
        <v>1.9317841824795099E-4</v>
      </c>
      <c r="F30">
        <v>1.9317841824795099E-4</v>
      </c>
      <c r="G30">
        <v>0</v>
      </c>
      <c r="H30">
        <v>0</v>
      </c>
      <c r="I30" t="s">
        <v>71</v>
      </c>
    </row>
    <row r="31" spans="1:9" x14ac:dyDescent="0.35">
      <c r="A31" t="s">
        <v>15</v>
      </c>
      <c r="B31">
        <v>2030</v>
      </c>
      <c r="C31" t="s">
        <v>69</v>
      </c>
      <c r="D31" t="s">
        <v>50</v>
      </c>
      <c r="E31">
        <v>4.9525999985087295E-4</v>
      </c>
      <c r="F31">
        <v>4.9525999985087295E-4</v>
      </c>
      <c r="G31">
        <v>0</v>
      </c>
      <c r="H31">
        <v>0</v>
      </c>
      <c r="I31" t="s">
        <v>71</v>
      </c>
    </row>
    <row r="32" spans="1:9" x14ac:dyDescent="0.35">
      <c r="A32" t="s">
        <v>15</v>
      </c>
      <c r="B32">
        <v>2030</v>
      </c>
      <c r="C32" t="s">
        <v>69</v>
      </c>
      <c r="D32" t="s">
        <v>51</v>
      </c>
      <c r="E32">
        <v>9.6352062736714903E-3</v>
      </c>
      <c r="F32">
        <v>9.6352062736714903E-3</v>
      </c>
      <c r="G32">
        <v>0</v>
      </c>
      <c r="H32">
        <v>0</v>
      </c>
      <c r="I32" t="s">
        <v>71</v>
      </c>
    </row>
    <row r="33" spans="1:9" x14ac:dyDescent="0.35">
      <c r="A33" t="s">
        <v>15</v>
      </c>
      <c r="B33">
        <v>2030</v>
      </c>
      <c r="C33" t="s">
        <v>69</v>
      </c>
      <c r="D33" t="s">
        <v>52</v>
      </c>
      <c r="E33">
        <v>3.38889501277334E-3</v>
      </c>
      <c r="F33">
        <v>3.38889501277334E-3</v>
      </c>
      <c r="G33">
        <v>0</v>
      </c>
      <c r="H33">
        <v>0</v>
      </c>
      <c r="I33" t="s">
        <v>71</v>
      </c>
    </row>
    <row r="34" spans="1:9" x14ac:dyDescent="0.35">
      <c r="A34" t="s">
        <v>15</v>
      </c>
      <c r="B34">
        <v>2030</v>
      </c>
      <c r="C34" t="s">
        <v>69</v>
      </c>
      <c r="D34" t="s">
        <v>53</v>
      </c>
      <c r="E34">
        <v>6.6490079593601297E-3</v>
      </c>
      <c r="F34">
        <v>6.6490079593601297E-3</v>
      </c>
      <c r="G34">
        <v>0</v>
      </c>
      <c r="H34">
        <v>0</v>
      </c>
      <c r="I34" t="s">
        <v>71</v>
      </c>
    </row>
    <row r="35" spans="1:9" x14ac:dyDescent="0.35">
      <c r="A35" t="s">
        <v>15</v>
      </c>
      <c r="B35">
        <v>2030</v>
      </c>
      <c r="C35" t="s">
        <v>69</v>
      </c>
      <c r="D35" t="s">
        <v>54</v>
      </c>
      <c r="E35">
        <v>5.4644022893578605E-4</v>
      </c>
      <c r="F35">
        <v>5.4644022893578605E-4</v>
      </c>
      <c r="G35">
        <v>0</v>
      </c>
      <c r="H35">
        <v>0</v>
      </c>
      <c r="I35" t="s">
        <v>71</v>
      </c>
    </row>
    <row r="36" spans="1:9" x14ac:dyDescent="0.35">
      <c r="A36" t="s">
        <v>15</v>
      </c>
      <c r="B36">
        <v>2030</v>
      </c>
      <c r="C36" t="s">
        <v>69</v>
      </c>
      <c r="D36" t="s">
        <v>55</v>
      </c>
      <c r="E36">
        <v>4.9930201069264899E-4</v>
      </c>
      <c r="F36">
        <v>4.9930201069264899E-4</v>
      </c>
      <c r="G36">
        <v>0</v>
      </c>
      <c r="H36">
        <v>0</v>
      </c>
      <c r="I36" t="s">
        <v>71</v>
      </c>
    </row>
    <row r="37" spans="1:9" x14ac:dyDescent="0.35">
      <c r="A37" t="s">
        <v>15</v>
      </c>
      <c r="B37">
        <v>2030</v>
      </c>
      <c r="C37" t="s">
        <v>69</v>
      </c>
      <c r="D37" t="s">
        <v>56</v>
      </c>
      <c r="E37" s="1">
        <v>1.22246499388939E-9</v>
      </c>
      <c r="F37" s="1">
        <v>1.22246499388939E-9</v>
      </c>
      <c r="G37">
        <v>0</v>
      </c>
      <c r="H37">
        <v>0</v>
      </c>
      <c r="I37" t="s">
        <v>71</v>
      </c>
    </row>
    <row r="38" spans="1:9" x14ac:dyDescent="0.35">
      <c r="A38" t="s">
        <v>17</v>
      </c>
      <c r="B38">
        <v>2035</v>
      </c>
      <c r="C38" t="s">
        <v>69</v>
      </c>
      <c r="D38" t="s">
        <v>38</v>
      </c>
      <c r="E38" s="1">
        <v>4.8347940072702702E-6</v>
      </c>
      <c r="F38" s="1">
        <v>4.8347940072702702E-6</v>
      </c>
      <c r="G38">
        <v>0</v>
      </c>
      <c r="H38">
        <v>0</v>
      </c>
      <c r="I38" t="s">
        <v>71</v>
      </c>
    </row>
    <row r="39" spans="1:9" x14ac:dyDescent="0.35">
      <c r="A39" t="s">
        <v>17</v>
      </c>
      <c r="B39">
        <v>2035</v>
      </c>
      <c r="C39" t="s">
        <v>69</v>
      </c>
      <c r="D39" t="s">
        <v>40</v>
      </c>
      <c r="E39" s="1">
        <v>3.4074948237176699E-5</v>
      </c>
      <c r="F39" s="1">
        <v>3.4074948237176699E-5</v>
      </c>
      <c r="G39">
        <v>0</v>
      </c>
      <c r="H39">
        <v>0</v>
      </c>
      <c r="I39" t="s">
        <v>71</v>
      </c>
    </row>
    <row r="40" spans="1:9" x14ac:dyDescent="0.35">
      <c r="A40" t="s">
        <v>17</v>
      </c>
      <c r="B40">
        <v>2035</v>
      </c>
      <c r="C40" t="s">
        <v>69</v>
      </c>
      <c r="D40" t="s">
        <v>41</v>
      </c>
      <c r="E40">
        <v>1.97507135146853E-4</v>
      </c>
      <c r="F40">
        <v>1.97507135146853E-4</v>
      </c>
      <c r="G40">
        <v>0</v>
      </c>
      <c r="H40">
        <v>0</v>
      </c>
      <c r="I40" t="s">
        <v>71</v>
      </c>
    </row>
    <row r="41" spans="1:9" x14ac:dyDescent="0.35">
      <c r="A41" t="s">
        <v>17</v>
      </c>
      <c r="B41">
        <v>2035</v>
      </c>
      <c r="C41" t="s">
        <v>69</v>
      </c>
      <c r="D41" t="s">
        <v>42</v>
      </c>
      <c r="E41">
        <v>7.5940987224189004E-3</v>
      </c>
      <c r="F41">
        <v>7.5940987224189004E-3</v>
      </c>
      <c r="G41">
        <v>0</v>
      </c>
      <c r="H41">
        <v>0</v>
      </c>
      <c r="I41" t="s">
        <v>71</v>
      </c>
    </row>
    <row r="42" spans="1:9" x14ac:dyDescent="0.35">
      <c r="A42" t="s">
        <v>17</v>
      </c>
      <c r="B42">
        <v>2035</v>
      </c>
      <c r="C42" t="s">
        <v>69</v>
      </c>
      <c r="D42" t="s">
        <v>43</v>
      </c>
      <c r="E42" s="1">
        <v>6.6884433620781106E-5</v>
      </c>
      <c r="F42" s="1">
        <v>6.6884433620781106E-5</v>
      </c>
      <c r="G42">
        <v>0</v>
      </c>
      <c r="H42">
        <v>0</v>
      </c>
      <c r="I42" t="s">
        <v>71</v>
      </c>
    </row>
    <row r="43" spans="1:9" x14ac:dyDescent="0.35">
      <c r="A43" t="s">
        <v>17</v>
      </c>
      <c r="B43">
        <v>2035</v>
      </c>
      <c r="C43" t="s">
        <v>69</v>
      </c>
      <c r="D43" t="s">
        <v>136</v>
      </c>
      <c r="E43">
        <v>2.2890793476832299E-2</v>
      </c>
      <c r="F43">
        <v>2.2890793476832299E-2</v>
      </c>
      <c r="G43">
        <v>0</v>
      </c>
      <c r="H43">
        <v>0</v>
      </c>
      <c r="I43" t="s">
        <v>71</v>
      </c>
    </row>
    <row r="44" spans="1:9" x14ac:dyDescent="0.35">
      <c r="A44" t="s">
        <v>17</v>
      </c>
      <c r="B44">
        <v>2035</v>
      </c>
      <c r="C44" t="s">
        <v>69</v>
      </c>
      <c r="D44" t="s">
        <v>45</v>
      </c>
      <c r="E44">
        <v>1.52510015137702E-3</v>
      </c>
      <c r="F44">
        <v>1.2337371276565699E-3</v>
      </c>
      <c r="G44">
        <v>-2.9136302372045198E-4</v>
      </c>
      <c r="H44">
        <v>-19.1045173956201</v>
      </c>
      <c r="I44" t="s">
        <v>71</v>
      </c>
    </row>
    <row r="45" spans="1:9" x14ac:dyDescent="0.35">
      <c r="A45" t="s">
        <v>17</v>
      </c>
      <c r="B45">
        <v>2035</v>
      </c>
      <c r="C45" t="s">
        <v>69</v>
      </c>
      <c r="D45" t="s">
        <v>46</v>
      </c>
      <c r="E45">
        <v>8.1309789867161297E-4</v>
      </c>
      <c r="F45">
        <v>8.1309789867161297E-4</v>
      </c>
      <c r="G45">
        <v>0</v>
      </c>
      <c r="H45">
        <v>0</v>
      </c>
      <c r="I45" t="s">
        <v>71</v>
      </c>
    </row>
    <row r="46" spans="1:9" x14ac:dyDescent="0.35">
      <c r="A46" t="s">
        <v>17</v>
      </c>
      <c r="B46">
        <v>2035</v>
      </c>
      <c r="C46" t="s">
        <v>69</v>
      </c>
      <c r="D46" t="s">
        <v>47</v>
      </c>
      <c r="E46" s="1">
        <v>7.1816782717449797E-6</v>
      </c>
      <c r="F46" s="1">
        <v>7.1816782717449797E-6</v>
      </c>
      <c r="G46">
        <v>0</v>
      </c>
      <c r="H46">
        <v>0</v>
      </c>
      <c r="I46" t="s">
        <v>71</v>
      </c>
    </row>
    <row r="47" spans="1:9" x14ac:dyDescent="0.35">
      <c r="A47" t="s">
        <v>17</v>
      </c>
      <c r="B47">
        <v>2035</v>
      </c>
      <c r="C47" t="s">
        <v>69</v>
      </c>
      <c r="D47" t="s">
        <v>48</v>
      </c>
      <c r="E47">
        <v>1.6336149297822499E-3</v>
      </c>
      <c r="F47">
        <v>1.6336149297822499E-3</v>
      </c>
      <c r="G47">
        <v>0</v>
      </c>
      <c r="H47">
        <v>0</v>
      </c>
      <c r="I47" t="s">
        <v>71</v>
      </c>
    </row>
    <row r="48" spans="1:9" x14ac:dyDescent="0.35">
      <c r="A48" t="s">
        <v>17</v>
      </c>
      <c r="B48">
        <v>2035</v>
      </c>
      <c r="C48" t="s">
        <v>69</v>
      </c>
      <c r="D48" t="s">
        <v>49</v>
      </c>
      <c r="E48">
        <v>1.86169394804343E-4</v>
      </c>
      <c r="F48">
        <v>1.86169394804343E-4</v>
      </c>
      <c r="G48">
        <v>0</v>
      </c>
      <c r="H48">
        <v>0</v>
      </c>
      <c r="I48" t="s">
        <v>71</v>
      </c>
    </row>
    <row r="49" spans="1:9" x14ac:dyDescent="0.35">
      <c r="A49" t="s">
        <v>17</v>
      </c>
      <c r="B49">
        <v>2035</v>
      </c>
      <c r="C49" t="s">
        <v>69</v>
      </c>
      <c r="D49" t="s">
        <v>50</v>
      </c>
      <c r="E49">
        <v>4.8977672521612298E-4</v>
      </c>
      <c r="F49">
        <v>4.8977672521612298E-4</v>
      </c>
      <c r="G49">
        <v>0</v>
      </c>
      <c r="H49">
        <v>0</v>
      </c>
      <c r="I49" t="s">
        <v>71</v>
      </c>
    </row>
    <row r="50" spans="1:9" x14ac:dyDescent="0.35">
      <c r="A50" t="s">
        <v>17</v>
      </c>
      <c r="B50">
        <v>2035</v>
      </c>
      <c r="C50" t="s">
        <v>69</v>
      </c>
      <c r="D50" t="s">
        <v>51</v>
      </c>
      <c r="E50">
        <v>9.6711691710723493E-3</v>
      </c>
      <c r="F50">
        <v>9.6711691710723493E-3</v>
      </c>
      <c r="G50">
        <v>0</v>
      </c>
      <c r="H50">
        <v>0</v>
      </c>
      <c r="I50" t="s">
        <v>71</v>
      </c>
    </row>
    <row r="51" spans="1:9" x14ac:dyDescent="0.35">
      <c r="A51" t="s">
        <v>17</v>
      </c>
      <c r="B51">
        <v>2035</v>
      </c>
      <c r="C51" t="s">
        <v>69</v>
      </c>
      <c r="D51" t="s">
        <v>52</v>
      </c>
      <c r="E51">
        <v>2.9608318032249802E-3</v>
      </c>
      <c r="F51">
        <v>2.9608318032249802E-3</v>
      </c>
      <c r="G51">
        <v>0</v>
      </c>
      <c r="H51">
        <v>0</v>
      </c>
      <c r="I51" t="s">
        <v>71</v>
      </c>
    </row>
    <row r="52" spans="1:9" x14ac:dyDescent="0.35">
      <c r="A52" t="s">
        <v>17</v>
      </c>
      <c r="B52">
        <v>2035</v>
      </c>
      <c r="C52" t="s">
        <v>69</v>
      </c>
      <c r="D52" t="s">
        <v>53</v>
      </c>
      <c r="E52">
        <v>5.9363712780782299E-3</v>
      </c>
      <c r="F52">
        <v>5.9363712780782299E-3</v>
      </c>
      <c r="G52">
        <v>0</v>
      </c>
      <c r="H52">
        <v>0</v>
      </c>
      <c r="I52" t="s">
        <v>71</v>
      </c>
    </row>
    <row r="53" spans="1:9" x14ac:dyDescent="0.35">
      <c r="A53" t="s">
        <v>17</v>
      </c>
      <c r="B53">
        <v>2035</v>
      </c>
      <c r="C53" t="s">
        <v>69</v>
      </c>
      <c r="D53" t="s">
        <v>54</v>
      </c>
      <c r="E53">
        <v>5.4224003785962802E-4</v>
      </c>
      <c r="F53">
        <v>5.4224003785962802E-4</v>
      </c>
      <c r="G53">
        <v>0</v>
      </c>
      <c r="H53">
        <v>0</v>
      </c>
      <c r="I53" t="s">
        <v>71</v>
      </c>
    </row>
    <row r="54" spans="1:9" x14ac:dyDescent="0.35">
      <c r="A54" t="s">
        <v>17</v>
      </c>
      <c r="B54">
        <v>2035</v>
      </c>
      <c r="C54" t="s">
        <v>69</v>
      </c>
      <c r="D54" t="s">
        <v>55</v>
      </c>
      <c r="E54">
        <v>4.9345032832773402E-4</v>
      </c>
      <c r="F54">
        <v>4.9345032832773402E-4</v>
      </c>
      <c r="G54">
        <v>0</v>
      </c>
      <c r="H54">
        <v>0</v>
      </c>
      <c r="I54" t="s">
        <v>71</v>
      </c>
    </row>
    <row r="55" spans="1:9" x14ac:dyDescent="0.35">
      <c r="A55" t="s">
        <v>17</v>
      </c>
      <c r="B55">
        <v>2035</v>
      </c>
      <c r="C55" t="s">
        <v>69</v>
      </c>
      <c r="D55" t="s">
        <v>56</v>
      </c>
      <c r="E55" s="1">
        <v>1.1119941501161801E-9</v>
      </c>
      <c r="F55" s="1">
        <v>1.1119941501161801E-9</v>
      </c>
      <c r="G55">
        <v>0</v>
      </c>
      <c r="H55">
        <v>0</v>
      </c>
      <c r="I55" t="s">
        <v>71</v>
      </c>
    </row>
    <row r="56" spans="1:9" x14ac:dyDescent="0.35">
      <c r="A56" t="s">
        <v>19</v>
      </c>
      <c r="B56">
        <v>2040</v>
      </c>
      <c r="C56" t="s">
        <v>69</v>
      </c>
      <c r="D56" t="s">
        <v>38</v>
      </c>
      <c r="E56" s="1">
        <v>7.4773298130634699E-6</v>
      </c>
      <c r="F56" s="1">
        <v>7.4773298130634699E-6</v>
      </c>
      <c r="G56">
        <v>0</v>
      </c>
      <c r="H56">
        <v>0</v>
      </c>
      <c r="I56" t="s">
        <v>71</v>
      </c>
    </row>
    <row r="57" spans="1:9" x14ac:dyDescent="0.35">
      <c r="A57" t="s">
        <v>19</v>
      </c>
      <c r="B57">
        <v>2040</v>
      </c>
      <c r="C57" t="s">
        <v>69</v>
      </c>
      <c r="D57" t="s">
        <v>40</v>
      </c>
      <c r="E57" s="1">
        <v>3.3569430404161303E-5</v>
      </c>
      <c r="F57" s="1">
        <v>3.3569430404161303E-5</v>
      </c>
      <c r="G57">
        <v>0</v>
      </c>
      <c r="H57">
        <v>0</v>
      </c>
      <c r="I57" t="s">
        <v>71</v>
      </c>
    </row>
    <row r="58" spans="1:9" x14ac:dyDescent="0.35">
      <c r="A58" t="s">
        <v>19</v>
      </c>
      <c r="B58">
        <v>2040</v>
      </c>
      <c r="C58" t="s">
        <v>69</v>
      </c>
      <c r="D58" t="s">
        <v>41</v>
      </c>
      <c r="E58">
        <v>1.9475676089291801E-4</v>
      </c>
      <c r="F58">
        <v>1.9475676089291801E-4</v>
      </c>
      <c r="G58">
        <v>0</v>
      </c>
      <c r="H58">
        <v>0</v>
      </c>
      <c r="I58" t="s">
        <v>71</v>
      </c>
    </row>
    <row r="59" spans="1:9" x14ac:dyDescent="0.35">
      <c r="A59" t="s">
        <v>19</v>
      </c>
      <c r="B59">
        <v>2040</v>
      </c>
      <c r="C59" t="s">
        <v>69</v>
      </c>
      <c r="D59" t="s">
        <v>42</v>
      </c>
      <c r="E59">
        <v>7.3240869002444402E-3</v>
      </c>
      <c r="F59">
        <v>7.3240869002444402E-3</v>
      </c>
      <c r="G59">
        <v>0</v>
      </c>
      <c r="H59">
        <v>0</v>
      </c>
      <c r="I59" t="s">
        <v>71</v>
      </c>
    </row>
    <row r="60" spans="1:9" x14ac:dyDescent="0.35">
      <c r="A60" t="s">
        <v>19</v>
      </c>
      <c r="B60">
        <v>2040</v>
      </c>
      <c r="C60" t="s">
        <v>69</v>
      </c>
      <c r="D60" t="s">
        <v>43</v>
      </c>
      <c r="E60" s="1">
        <v>6.6510553091907802E-5</v>
      </c>
      <c r="F60" s="1">
        <v>6.6510553091907802E-5</v>
      </c>
      <c r="G60">
        <v>0</v>
      </c>
      <c r="H60">
        <v>0</v>
      </c>
      <c r="I60" t="s">
        <v>71</v>
      </c>
    </row>
    <row r="61" spans="1:9" x14ac:dyDescent="0.35">
      <c r="A61" t="s">
        <v>19</v>
      </c>
      <c r="B61">
        <v>2040</v>
      </c>
      <c r="C61" t="s">
        <v>69</v>
      </c>
      <c r="D61" t="s">
        <v>136</v>
      </c>
      <c r="E61">
        <v>2.1383769526998098E-2</v>
      </c>
      <c r="F61">
        <v>2.1383769526998098E-2</v>
      </c>
      <c r="G61">
        <v>0</v>
      </c>
      <c r="H61">
        <v>0</v>
      </c>
      <c r="I61" t="s">
        <v>71</v>
      </c>
    </row>
    <row r="62" spans="1:9" x14ac:dyDescent="0.35">
      <c r="A62" t="s">
        <v>19</v>
      </c>
      <c r="B62">
        <v>2040</v>
      </c>
      <c r="C62" t="s">
        <v>69</v>
      </c>
      <c r="D62" t="s">
        <v>45</v>
      </c>
      <c r="E62">
        <v>1.5222327079118299E-3</v>
      </c>
      <c r="F62">
        <v>1.4451774618773501E-4</v>
      </c>
      <c r="G62">
        <v>-1.3777149617240901E-3</v>
      </c>
      <c r="H62">
        <v>-90.506198859307005</v>
      </c>
      <c r="I62" t="s">
        <v>71</v>
      </c>
    </row>
    <row r="63" spans="1:9" x14ac:dyDescent="0.35">
      <c r="A63" t="s">
        <v>19</v>
      </c>
      <c r="B63">
        <v>2040</v>
      </c>
      <c r="C63" t="s">
        <v>69</v>
      </c>
      <c r="D63" t="s">
        <v>46</v>
      </c>
      <c r="E63">
        <v>1.30268079872683E-3</v>
      </c>
      <c r="F63">
        <v>1.30268079872683E-3</v>
      </c>
      <c r="G63">
        <v>0</v>
      </c>
      <c r="H63">
        <v>0</v>
      </c>
      <c r="I63" t="s">
        <v>71</v>
      </c>
    </row>
    <row r="64" spans="1:9" x14ac:dyDescent="0.35">
      <c r="A64" t="s">
        <v>19</v>
      </c>
      <c r="B64">
        <v>2040</v>
      </c>
      <c r="C64" t="s">
        <v>69</v>
      </c>
      <c r="D64" t="s">
        <v>47</v>
      </c>
      <c r="E64" s="1">
        <v>6.7762224896246599E-6</v>
      </c>
      <c r="F64" s="1">
        <v>6.7762224896246599E-6</v>
      </c>
      <c r="G64">
        <v>0</v>
      </c>
      <c r="H64">
        <v>0</v>
      </c>
      <c r="I64" t="s">
        <v>71</v>
      </c>
    </row>
    <row r="65" spans="1:9" x14ac:dyDescent="0.35">
      <c r="A65" t="s">
        <v>19</v>
      </c>
      <c r="B65">
        <v>2040</v>
      </c>
      <c r="C65" t="s">
        <v>69</v>
      </c>
      <c r="D65" t="s">
        <v>48</v>
      </c>
      <c r="E65">
        <v>1.6321669610842699E-3</v>
      </c>
      <c r="F65">
        <v>1.6321669610842699E-3</v>
      </c>
      <c r="G65">
        <v>0</v>
      </c>
      <c r="H65">
        <v>0</v>
      </c>
      <c r="I65" t="s">
        <v>71</v>
      </c>
    </row>
    <row r="66" spans="1:9" x14ac:dyDescent="0.35">
      <c r="A66" t="s">
        <v>19</v>
      </c>
      <c r="B66">
        <v>2040</v>
      </c>
      <c r="C66" t="s">
        <v>69</v>
      </c>
      <c r="D66" t="s">
        <v>49</v>
      </c>
      <c r="E66">
        <v>1.8378908127213999E-4</v>
      </c>
      <c r="F66">
        <v>1.8378908127213999E-4</v>
      </c>
      <c r="G66">
        <v>0</v>
      </c>
      <c r="H66">
        <v>0</v>
      </c>
      <c r="I66" t="s">
        <v>71</v>
      </c>
    </row>
    <row r="67" spans="1:9" x14ac:dyDescent="0.35">
      <c r="A67" t="s">
        <v>19</v>
      </c>
      <c r="B67">
        <v>2040</v>
      </c>
      <c r="C67" t="s">
        <v>69</v>
      </c>
      <c r="D67" t="s">
        <v>50</v>
      </c>
      <c r="E67">
        <v>4.9015816100097804E-4</v>
      </c>
      <c r="F67">
        <v>4.9015816100097804E-4</v>
      </c>
      <c r="G67">
        <v>0</v>
      </c>
      <c r="H67">
        <v>0</v>
      </c>
      <c r="I67" t="s">
        <v>71</v>
      </c>
    </row>
    <row r="68" spans="1:9" x14ac:dyDescent="0.35">
      <c r="A68" t="s">
        <v>19</v>
      </c>
      <c r="B68">
        <v>2040</v>
      </c>
      <c r="C68" t="s">
        <v>69</v>
      </c>
      <c r="D68" t="s">
        <v>51</v>
      </c>
      <c r="E68">
        <v>9.7095811257645499E-3</v>
      </c>
      <c r="F68">
        <v>9.7095811257645499E-3</v>
      </c>
      <c r="G68">
        <v>0</v>
      </c>
      <c r="H68">
        <v>0</v>
      </c>
      <c r="I68" t="s">
        <v>71</v>
      </c>
    </row>
    <row r="69" spans="1:9" x14ac:dyDescent="0.35">
      <c r="A69" t="s">
        <v>19</v>
      </c>
      <c r="B69">
        <v>2040</v>
      </c>
      <c r="C69" t="s">
        <v>69</v>
      </c>
      <c r="D69" t="s">
        <v>52</v>
      </c>
      <c r="E69">
        <v>2.5639054059124499E-3</v>
      </c>
      <c r="F69">
        <v>2.5639054059124499E-3</v>
      </c>
      <c r="G69">
        <v>0</v>
      </c>
      <c r="H69">
        <v>0</v>
      </c>
      <c r="I69" t="s">
        <v>71</v>
      </c>
    </row>
    <row r="70" spans="1:9" x14ac:dyDescent="0.35">
      <c r="A70" t="s">
        <v>19</v>
      </c>
      <c r="B70">
        <v>2040</v>
      </c>
      <c r="C70" t="s">
        <v>69</v>
      </c>
      <c r="D70" t="s">
        <v>53</v>
      </c>
      <c r="E70">
        <v>5.4782713796580496E-3</v>
      </c>
      <c r="F70">
        <v>5.4782713796580496E-3</v>
      </c>
      <c r="G70">
        <v>0</v>
      </c>
      <c r="H70">
        <v>0</v>
      </c>
      <c r="I70" t="s">
        <v>71</v>
      </c>
    </row>
    <row r="71" spans="1:9" x14ac:dyDescent="0.35">
      <c r="A71" t="s">
        <v>19</v>
      </c>
      <c r="B71">
        <v>2040</v>
      </c>
      <c r="C71" t="s">
        <v>69</v>
      </c>
      <c r="D71" t="s">
        <v>54</v>
      </c>
      <c r="E71">
        <v>5.5094958026754702E-4</v>
      </c>
      <c r="F71">
        <v>5.5094958026754702E-4</v>
      </c>
      <c r="G71">
        <v>0</v>
      </c>
      <c r="H71">
        <v>0</v>
      </c>
      <c r="I71" t="s">
        <v>71</v>
      </c>
    </row>
    <row r="72" spans="1:9" x14ac:dyDescent="0.35">
      <c r="A72" t="s">
        <v>19</v>
      </c>
      <c r="B72">
        <v>2040</v>
      </c>
      <c r="C72" t="s">
        <v>69</v>
      </c>
      <c r="D72" t="s">
        <v>55</v>
      </c>
      <c r="E72">
        <v>5.0073661823912103E-4</v>
      </c>
      <c r="F72">
        <v>5.0073661823912103E-4</v>
      </c>
      <c r="G72">
        <v>0</v>
      </c>
      <c r="H72">
        <v>0</v>
      </c>
      <c r="I72" t="s">
        <v>71</v>
      </c>
    </row>
    <row r="73" spans="1:9" x14ac:dyDescent="0.35">
      <c r="A73" t="s">
        <v>19</v>
      </c>
      <c r="B73">
        <v>2040</v>
      </c>
      <c r="C73" t="s">
        <v>69</v>
      </c>
      <c r="D73" t="s">
        <v>56</v>
      </c>
      <c r="E73" s="1">
        <v>9.9323692854027308E-10</v>
      </c>
      <c r="F73" s="1">
        <v>9.9323692854027308E-10</v>
      </c>
      <c r="G73">
        <v>0</v>
      </c>
      <c r="H73">
        <v>0</v>
      </c>
      <c r="I73" t="s">
        <v>71</v>
      </c>
    </row>
    <row r="74" spans="1:9" x14ac:dyDescent="0.35">
      <c r="A74" t="s">
        <v>13</v>
      </c>
      <c r="B74">
        <v>2025</v>
      </c>
      <c r="C74" t="s">
        <v>69</v>
      </c>
      <c r="D74" t="s">
        <v>38</v>
      </c>
      <c r="E74" s="1">
        <v>2.11874308686865E-6</v>
      </c>
      <c r="F74" s="1">
        <v>2.11874308686865E-6</v>
      </c>
      <c r="G74">
        <v>0</v>
      </c>
      <c r="H74">
        <v>0</v>
      </c>
      <c r="I74" t="s">
        <v>70</v>
      </c>
    </row>
    <row r="75" spans="1:9" x14ac:dyDescent="0.35">
      <c r="A75" t="s">
        <v>13</v>
      </c>
      <c r="B75">
        <v>2025</v>
      </c>
      <c r="C75" t="s">
        <v>69</v>
      </c>
      <c r="D75" t="s">
        <v>40</v>
      </c>
      <c r="E75" s="1">
        <v>3.6957270259487402E-5</v>
      </c>
      <c r="F75" s="1">
        <v>3.6957270259487402E-5</v>
      </c>
      <c r="G75">
        <v>0</v>
      </c>
      <c r="H75">
        <v>0</v>
      </c>
      <c r="I75" t="s">
        <v>70</v>
      </c>
    </row>
    <row r="76" spans="1:9" x14ac:dyDescent="0.35">
      <c r="A76" t="s">
        <v>13</v>
      </c>
      <c r="B76">
        <v>2025</v>
      </c>
      <c r="C76" t="s">
        <v>69</v>
      </c>
      <c r="D76" t="s">
        <v>41</v>
      </c>
      <c r="E76">
        <v>2.0694889498333501E-4</v>
      </c>
      <c r="F76">
        <v>2.0694889498333501E-4</v>
      </c>
      <c r="G76">
        <v>0</v>
      </c>
      <c r="H76">
        <v>0</v>
      </c>
      <c r="I76" t="s">
        <v>70</v>
      </c>
    </row>
    <row r="77" spans="1:9" x14ac:dyDescent="0.35">
      <c r="A77" t="s">
        <v>13</v>
      </c>
      <c r="B77">
        <v>2025</v>
      </c>
      <c r="C77" t="s">
        <v>69</v>
      </c>
      <c r="D77" t="s">
        <v>42</v>
      </c>
      <c r="E77">
        <v>1.41435292780602E-2</v>
      </c>
      <c r="F77">
        <v>1.41435292780602E-2</v>
      </c>
      <c r="G77">
        <v>0</v>
      </c>
      <c r="H77">
        <v>0</v>
      </c>
      <c r="I77" t="s">
        <v>70</v>
      </c>
    </row>
    <row r="78" spans="1:9" x14ac:dyDescent="0.35">
      <c r="A78" t="s">
        <v>13</v>
      </c>
      <c r="B78">
        <v>2025</v>
      </c>
      <c r="C78" t="s">
        <v>69</v>
      </c>
      <c r="D78" t="s">
        <v>43</v>
      </c>
      <c r="E78" s="1">
        <v>7.1269959717192895E-5</v>
      </c>
      <c r="F78" s="1">
        <v>7.1269959717192895E-5</v>
      </c>
      <c r="G78">
        <v>0</v>
      </c>
      <c r="H78">
        <v>0</v>
      </c>
      <c r="I78" t="s">
        <v>70</v>
      </c>
    </row>
    <row r="79" spans="1:9" x14ac:dyDescent="0.35">
      <c r="A79" t="s">
        <v>13</v>
      </c>
      <c r="B79">
        <v>2025</v>
      </c>
      <c r="C79" t="s">
        <v>69</v>
      </c>
      <c r="D79" t="s">
        <v>136</v>
      </c>
      <c r="E79">
        <v>2.4952068937190298E-2</v>
      </c>
      <c r="F79">
        <v>2.4952068937190298E-2</v>
      </c>
      <c r="G79">
        <v>0</v>
      </c>
      <c r="H79">
        <v>0</v>
      </c>
      <c r="I79" t="s">
        <v>70</v>
      </c>
    </row>
    <row r="80" spans="1:9" x14ac:dyDescent="0.35">
      <c r="A80" t="s">
        <v>13</v>
      </c>
      <c r="B80">
        <v>2025</v>
      </c>
      <c r="C80" t="s">
        <v>69</v>
      </c>
      <c r="D80" t="s">
        <v>45</v>
      </c>
      <c r="E80">
        <v>1.5304672615764599E-3</v>
      </c>
      <c r="F80">
        <v>1.5304672615764599E-3</v>
      </c>
      <c r="G80">
        <v>0</v>
      </c>
      <c r="H80">
        <v>0</v>
      </c>
      <c r="I80" t="s">
        <v>70</v>
      </c>
    </row>
    <row r="81" spans="1:9" x14ac:dyDescent="0.35">
      <c r="A81" t="s">
        <v>13</v>
      </c>
      <c r="B81">
        <v>2025</v>
      </c>
      <c r="C81" t="s">
        <v>69</v>
      </c>
      <c r="D81" t="s">
        <v>46</v>
      </c>
      <c r="E81">
        <v>4.1461078487612399E-4</v>
      </c>
      <c r="F81">
        <v>4.1461078487612399E-4</v>
      </c>
      <c r="G81">
        <v>0</v>
      </c>
      <c r="H81">
        <v>0</v>
      </c>
      <c r="I81" t="s">
        <v>70</v>
      </c>
    </row>
    <row r="82" spans="1:9" x14ac:dyDescent="0.35">
      <c r="A82" t="s">
        <v>13</v>
      </c>
      <c r="B82">
        <v>2025</v>
      </c>
      <c r="C82" t="s">
        <v>69</v>
      </c>
      <c r="D82" t="s">
        <v>47</v>
      </c>
      <c r="E82" s="1">
        <v>1.7615943997947499E-5</v>
      </c>
      <c r="F82" s="1">
        <v>1.7615943997947499E-5</v>
      </c>
      <c r="G82">
        <v>0</v>
      </c>
      <c r="H82">
        <v>0</v>
      </c>
      <c r="I82" t="s">
        <v>70</v>
      </c>
    </row>
    <row r="83" spans="1:9" x14ac:dyDescent="0.35">
      <c r="A83" t="s">
        <v>13</v>
      </c>
      <c r="B83">
        <v>2025</v>
      </c>
      <c r="C83" t="s">
        <v>69</v>
      </c>
      <c r="D83" t="s">
        <v>48</v>
      </c>
      <c r="E83">
        <v>1.51722290194457E-3</v>
      </c>
      <c r="F83">
        <v>1.51722290194457E-3</v>
      </c>
      <c r="G83">
        <v>0</v>
      </c>
      <c r="H83">
        <v>0</v>
      </c>
      <c r="I83" t="s">
        <v>70</v>
      </c>
    </row>
    <row r="84" spans="1:9" x14ac:dyDescent="0.35">
      <c r="A84" t="s">
        <v>13</v>
      </c>
      <c r="B84">
        <v>2025</v>
      </c>
      <c r="C84" t="s">
        <v>69</v>
      </c>
      <c r="D84" t="s">
        <v>49</v>
      </c>
      <c r="E84">
        <v>2.1757715387007699E-4</v>
      </c>
      <c r="F84">
        <v>2.1757715387007699E-4</v>
      </c>
      <c r="G84">
        <v>0</v>
      </c>
      <c r="H84">
        <v>0</v>
      </c>
      <c r="I84" t="s">
        <v>70</v>
      </c>
    </row>
    <row r="85" spans="1:9" x14ac:dyDescent="0.35">
      <c r="A85" t="s">
        <v>13</v>
      </c>
      <c r="B85">
        <v>2025</v>
      </c>
      <c r="C85" t="s">
        <v>69</v>
      </c>
      <c r="D85" t="s">
        <v>50</v>
      </c>
      <c r="E85">
        <v>5.3389535190851301E-4</v>
      </c>
      <c r="F85">
        <v>5.3389535190851301E-4</v>
      </c>
      <c r="G85">
        <v>0</v>
      </c>
      <c r="H85">
        <v>0</v>
      </c>
      <c r="I85" t="s">
        <v>70</v>
      </c>
    </row>
    <row r="86" spans="1:9" x14ac:dyDescent="0.35">
      <c r="A86" t="s">
        <v>13</v>
      </c>
      <c r="B86">
        <v>2025</v>
      </c>
      <c r="C86" t="s">
        <v>69</v>
      </c>
      <c r="D86" t="s">
        <v>51</v>
      </c>
      <c r="E86">
        <v>9.5023882049402996E-3</v>
      </c>
      <c r="F86">
        <v>9.5023882049402996E-3</v>
      </c>
      <c r="G86">
        <v>0</v>
      </c>
      <c r="H86">
        <v>0</v>
      </c>
      <c r="I86" t="s">
        <v>70</v>
      </c>
    </row>
    <row r="87" spans="1:9" x14ac:dyDescent="0.35">
      <c r="A87" t="s">
        <v>13</v>
      </c>
      <c r="B87">
        <v>2025</v>
      </c>
      <c r="C87" t="s">
        <v>69</v>
      </c>
      <c r="D87" t="s">
        <v>52</v>
      </c>
      <c r="E87">
        <v>4.4211615732885397E-3</v>
      </c>
      <c r="F87">
        <v>4.4211615732885397E-3</v>
      </c>
      <c r="G87">
        <v>0</v>
      </c>
      <c r="H87">
        <v>0</v>
      </c>
      <c r="I87" t="s">
        <v>70</v>
      </c>
    </row>
    <row r="88" spans="1:9" x14ac:dyDescent="0.35">
      <c r="A88" t="s">
        <v>13</v>
      </c>
      <c r="B88">
        <v>2025</v>
      </c>
      <c r="C88" t="s">
        <v>69</v>
      </c>
      <c r="D88" t="s">
        <v>53</v>
      </c>
      <c r="E88">
        <v>6.5644454127562696E-3</v>
      </c>
      <c r="F88">
        <v>6.5644454127562696E-3</v>
      </c>
      <c r="G88">
        <v>0</v>
      </c>
      <c r="H88">
        <v>0</v>
      </c>
      <c r="I88" t="s">
        <v>70</v>
      </c>
    </row>
    <row r="89" spans="1:9" x14ac:dyDescent="0.35">
      <c r="A89" t="s">
        <v>13</v>
      </c>
      <c r="B89">
        <v>2025</v>
      </c>
      <c r="C89" t="s">
        <v>69</v>
      </c>
      <c r="D89" t="s">
        <v>54</v>
      </c>
      <c r="E89">
        <v>4.83331791189991E-4</v>
      </c>
      <c r="F89">
        <v>4.83331791189991E-4</v>
      </c>
      <c r="G89">
        <v>0</v>
      </c>
      <c r="H89">
        <v>0</v>
      </c>
      <c r="I89" t="s">
        <v>70</v>
      </c>
    </row>
    <row r="90" spans="1:9" x14ac:dyDescent="0.35">
      <c r="A90" t="s">
        <v>13</v>
      </c>
      <c r="B90">
        <v>2025</v>
      </c>
      <c r="C90" t="s">
        <v>69</v>
      </c>
      <c r="D90" t="s">
        <v>55</v>
      </c>
      <c r="E90">
        <v>4.5799549061489902E-4</v>
      </c>
      <c r="F90">
        <v>4.5799549061489902E-4</v>
      </c>
      <c r="G90">
        <v>0</v>
      </c>
      <c r="H90">
        <v>0</v>
      </c>
      <c r="I90" t="s">
        <v>70</v>
      </c>
    </row>
    <row r="91" spans="1:9" x14ac:dyDescent="0.35">
      <c r="A91" t="s">
        <v>13</v>
      </c>
      <c r="B91">
        <v>2025</v>
      </c>
      <c r="C91" t="s">
        <v>69</v>
      </c>
      <c r="D91" t="s">
        <v>56</v>
      </c>
      <c r="E91" s="1">
        <v>1.2198865455499899E-9</v>
      </c>
      <c r="F91" s="1">
        <v>1.2198865455499899E-9</v>
      </c>
      <c r="G91">
        <v>0</v>
      </c>
      <c r="H91">
        <v>0</v>
      </c>
      <c r="I91" t="s">
        <v>70</v>
      </c>
    </row>
    <row r="92" spans="1:9" x14ac:dyDescent="0.35">
      <c r="A92" t="s">
        <v>15</v>
      </c>
      <c r="B92">
        <v>2030</v>
      </c>
      <c r="C92" t="s">
        <v>69</v>
      </c>
      <c r="D92" t="s">
        <v>38</v>
      </c>
      <c r="E92" s="1">
        <v>2.32546367848818E-6</v>
      </c>
      <c r="F92" s="1">
        <v>2.32546367848818E-6</v>
      </c>
      <c r="G92">
        <v>0</v>
      </c>
      <c r="H92">
        <v>0</v>
      </c>
      <c r="I92" t="s">
        <v>70</v>
      </c>
    </row>
    <row r="93" spans="1:9" x14ac:dyDescent="0.35">
      <c r="A93" t="s">
        <v>15</v>
      </c>
      <c r="B93">
        <v>2030</v>
      </c>
      <c r="C93" t="s">
        <v>69</v>
      </c>
      <c r="D93" t="s">
        <v>40</v>
      </c>
      <c r="E93" s="1">
        <v>3.6934434776885198E-5</v>
      </c>
      <c r="F93" s="1">
        <v>3.6934434776885198E-5</v>
      </c>
      <c r="G93">
        <v>0</v>
      </c>
      <c r="H93">
        <v>0</v>
      </c>
      <c r="I93" t="s">
        <v>70</v>
      </c>
    </row>
    <row r="94" spans="1:9" x14ac:dyDescent="0.35">
      <c r="A94" t="s">
        <v>15</v>
      </c>
      <c r="B94">
        <v>2030</v>
      </c>
      <c r="C94" t="s">
        <v>69</v>
      </c>
      <c r="D94" t="s">
        <v>41</v>
      </c>
      <c r="E94">
        <v>2.06558335317567E-4</v>
      </c>
      <c r="F94">
        <v>2.06558335317567E-4</v>
      </c>
      <c r="G94">
        <v>0</v>
      </c>
      <c r="H94">
        <v>0</v>
      </c>
      <c r="I94" t="s">
        <v>70</v>
      </c>
    </row>
    <row r="95" spans="1:9" x14ac:dyDescent="0.35">
      <c r="A95" t="s">
        <v>15</v>
      </c>
      <c r="B95">
        <v>2030</v>
      </c>
      <c r="C95" t="s">
        <v>69</v>
      </c>
      <c r="D95" t="s">
        <v>42</v>
      </c>
      <c r="E95">
        <v>1.1939875877774399E-2</v>
      </c>
      <c r="F95">
        <v>1.1939875877774399E-2</v>
      </c>
      <c r="G95">
        <v>0</v>
      </c>
      <c r="H95">
        <v>0</v>
      </c>
      <c r="I95" t="s">
        <v>70</v>
      </c>
    </row>
    <row r="96" spans="1:9" x14ac:dyDescent="0.35">
      <c r="A96" t="s">
        <v>15</v>
      </c>
      <c r="B96">
        <v>2030</v>
      </c>
      <c r="C96" t="s">
        <v>69</v>
      </c>
      <c r="D96" t="s">
        <v>43</v>
      </c>
      <c r="E96" s="1">
        <v>7.06535765866222E-5</v>
      </c>
      <c r="F96" s="1">
        <v>7.06535765866222E-5</v>
      </c>
      <c r="G96">
        <v>0</v>
      </c>
      <c r="H96">
        <v>0</v>
      </c>
      <c r="I96" t="s">
        <v>70</v>
      </c>
    </row>
    <row r="97" spans="1:9" x14ac:dyDescent="0.35">
      <c r="A97" t="s">
        <v>15</v>
      </c>
      <c r="B97">
        <v>2030</v>
      </c>
      <c r="C97" t="s">
        <v>69</v>
      </c>
      <c r="D97" t="s">
        <v>136</v>
      </c>
      <c r="E97">
        <v>2.3034664505454099E-2</v>
      </c>
      <c r="F97">
        <v>2.3034664505454099E-2</v>
      </c>
      <c r="G97">
        <v>0</v>
      </c>
      <c r="H97">
        <v>0</v>
      </c>
      <c r="I97" t="s">
        <v>70</v>
      </c>
    </row>
    <row r="98" spans="1:9" x14ac:dyDescent="0.35">
      <c r="A98" t="s">
        <v>15</v>
      </c>
      <c r="B98">
        <v>2030</v>
      </c>
      <c r="C98" t="s">
        <v>69</v>
      </c>
      <c r="D98" t="s">
        <v>45</v>
      </c>
      <c r="E98">
        <v>1.5285543510318101E-3</v>
      </c>
      <c r="F98">
        <v>4.42202404273629E-4</v>
      </c>
      <c r="G98">
        <v>-1.08635194675818E-3</v>
      </c>
      <c r="H98">
        <v>-71.070547542183704</v>
      </c>
      <c r="I98" t="s">
        <v>70</v>
      </c>
    </row>
    <row r="99" spans="1:9" x14ac:dyDescent="0.35">
      <c r="A99" t="s">
        <v>15</v>
      </c>
      <c r="B99">
        <v>2030</v>
      </c>
      <c r="C99" t="s">
        <v>69</v>
      </c>
      <c r="D99" t="s">
        <v>46</v>
      </c>
      <c r="E99">
        <v>7.4248960148672201E-4</v>
      </c>
      <c r="F99">
        <v>7.4248960148672201E-4</v>
      </c>
      <c r="G99">
        <v>0</v>
      </c>
      <c r="H99">
        <v>0</v>
      </c>
      <c r="I99" t="s">
        <v>70</v>
      </c>
    </row>
    <row r="100" spans="1:9" x14ac:dyDescent="0.35">
      <c r="A100" t="s">
        <v>15</v>
      </c>
      <c r="B100">
        <v>2030</v>
      </c>
      <c r="C100" t="s">
        <v>69</v>
      </c>
      <c r="D100" t="s">
        <v>47</v>
      </c>
      <c r="E100" s="1">
        <v>1.3953300437208799E-5</v>
      </c>
      <c r="F100" s="1">
        <v>1.3953300437208799E-5</v>
      </c>
      <c r="G100">
        <v>0</v>
      </c>
      <c r="H100">
        <v>0</v>
      </c>
      <c r="I100" t="s">
        <v>70</v>
      </c>
    </row>
    <row r="101" spans="1:9" x14ac:dyDescent="0.35">
      <c r="A101" t="s">
        <v>15</v>
      </c>
      <c r="B101">
        <v>2030</v>
      </c>
      <c r="C101" t="s">
        <v>69</v>
      </c>
      <c r="D101" t="s">
        <v>48</v>
      </c>
      <c r="E101">
        <v>1.5117120863870799E-3</v>
      </c>
      <c r="F101">
        <v>1.5117120863870799E-3</v>
      </c>
      <c r="G101">
        <v>0</v>
      </c>
      <c r="H101">
        <v>0</v>
      </c>
      <c r="I101" t="s">
        <v>70</v>
      </c>
    </row>
    <row r="102" spans="1:9" x14ac:dyDescent="0.35">
      <c r="A102" t="s">
        <v>15</v>
      </c>
      <c r="B102">
        <v>2030</v>
      </c>
      <c r="C102" t="s">
        <v>69</v>
      </c>
      <c r="D102" t="s">
        <v>49</v>
      </c>
      <c r="E102">
        <v>2.1152136640286499E-4</v>
      </c>
      <c r="F102">
        <v>2.1152136640286499E-4</v>
      </c>
      <c r="G102">
        <v>0</v>
      </c>
      <c r="H102">
        <v>0</v>
      </c>
      <c r="I102" t="s">
        <v>70</v>
      </c>
    </row>
    <row r="103" spans="1:9" x14ac:dyDescent="0.35">
      <c r="A103" t="s">
        <v>15</v>
      </c>
      <c r="B103">
        <v>2030</v>
      </c>
      <c r="C103" t="s">
        <v>69</v>
      </c>
      <c r="D103" t="s">
        <v>50</v>
      </c>
      <c r="E103">
        <v>5.15769746062683E-4</v>
      </c>
      <c r="F103">
        <v>5.15769746062683E-4</v>
      </c>
      <c r="G103">
        <v>0</v>
      </c>
      <c r="H103">
        <v>0</v>
      </c>
      <c r="I103" t="s">
        <v>70</v>
      </c>
    </row>
    <row r="104" spans="1:9" x14ac:dyDescent="0.35">
      <c r="A104" t="s">
        <v>15</v>
      </c>
      <c r="B104">
        <v>2030</v>
      </c>
      <c r="C104" t="s">
        <v>69</v>
      </c>
      <c r="D104" t="s">
        <v>51</v>
      </c>
      <c r="E104">
        <v>9.5378668117689202E-3</v>
      </c>
      <c r="F104">
        <v>9.5378668117689202E-3</v>
      </c>
      <c r="G104">
        <v>0</v>
      </c>
      <c r="H104">
        <v>0</v>
      </c>
      <c r="I104" t="s">
        <v>70</v>
      </c>
    </row>
    <row r="105" spans="1:9" x14ac:dyDescent="0.35">
      <c r="A105" t="s">
        <v>15</v>
      </c>
      <c r="B105">
        <v>2030</v>
      </c>
      <c r="C105" t="s">
        <v>69</v>
      </c>
      <c r="D105" t="s">
        <v>52</v>
      </c>
      <c r="E105">
        <v>3.6726142622329101E-3</v>
      </c>
      <c r="F105">
        <v>3.6726142622329101E-3</v>
      </c>
      <c r="G105">
        <v>0</v>
      </c>
      <c r="H105">
        <v>0</v>
      </c>
      <c r="I105" t="s">
        <v>70</v>
      </c>
    </row>
    <row r="106" spans="1:9" x14ac:dyDescent="0.35">
      <c r="A106" t="s">
        <v>15</v>
      </c>
      <c r="B106">
        <v>2030</v>
      </c>
      <c r="C106" t="s">
        <v>69</v>
      </c>
      <c r="D106" t="s">
        <v>53</v>
      </c>
      <c r="E106">
        <v>5.9903122639707396E-3</v>
      </c>
      <c r="F106">
        <v>5.9903122639707396E-3</v>
      </c>
      <c r="G106">
        <v>0</v>
      </c>
      <c r="H106">
        <v>0</v>
      </c>
      <c r="I106" t="s">
        <v>70</v>
      </c>
    </row>
    <row r="107" spans="1:9" x14ac:dyDescent="0.35">
      <c r="A107" t="s">
        <v>15</v>
      </c>
      <c r="B107">
        <v>2030</v>
      </c>
      <c r="C107" t="s">
        <v>69</v>
      </c>
      <c r="D107" t="s">
        <v>54</v>
      </c>
      <c r="E107">
        <v>4.3800693678530298E-4</v>
      </c>
      <c r="F107">
        <v>4.3800693678530298E-4</v>
      </c>
      <c r="G107">
        <v>0</v>
      </c>
      <c r="H107">
        <v>0</v>
      </c>
      <c r="I107" t="s">
        <v>70</v>
      </c>
    </row>
    <row r="108" spans="1:9" x14ac:dyDescent="0.35">
      <c r="A108" t="s">
        <v>15</v>
      </c>
      <c r="B108">
        <v>2030</v>
      </c>
      <c r="C108" t="s">
        <v>69</v>
      </c>
      <c r="D108" t="s">
        <v>55</v>
      </c>
      <c r="E108">
        <v>4.13653347980889E-4</v>
      </c>
      <c r="F108">
        <v>4.13653347980889E-4</v>
      </c>
      <c r="G108">
        <v>0</v>
      </c>
      <c r="H108">
        <v>0</v>
      </c>
      <c r="I108" t="s">
        <v>70</v>
      </c>
    </row>
    <row r="109" spans="1:9" x14ac:dyDescent="0.35">
      <c r="A109" t="s">
        <v>15</v>
      </c>
      <c r="B109">
        <v>2030</v>
      </c>
      <c r="C109" t="s">
        <v>69</v>
      </c>
      <c r="D109" t="s">
        <v>56</v>
      </c>
      <c r="E109" s="1">
        <v>1.1236021205776201E-9</v>
      </c>
      <c r="F109" s="1">
        <v>1.1236021205776201E-9</v>
      </c>
      <c r="G109">
        <v>0</v>
      </c>
      <c r="H109">
        <v>0</v>
      </c>
      <c r="I109" t="s">
        <v>70</v>
      </c>
    </row>
    <row r="110" spans="1:9" x14ac:dyDescent="0.35">
      <c r="A110" t="s">
        <v>17</v>
      </c>
      <c r="B110">
        <v>2035</v>
      </c>
      <c r="C110" t="s">
        <v>69</v>
      </c>
      <c r="D110" t="s">
        <v>38</v>
      </c>
      <c r="E110" s="1">
        <v>2.9770088228997799E-6</v>
      </c>
      <c r="F110" s="1">
        <v>2.9770088228997799E-6</v>
      </c>
      <c r="G110">
        <v>0</v>
      </c>
      <c r="H110">
        <v>0</v>
      </c>
      <c r="I110" t="s">
        <v>70</v>
      </c>
    </row>
    <row r="111" spans="1:9" x14ac:dyDescent="0.35">
      <c r="A111" t="s">
        <v>17</v>
      </c>
      <c r="B111">
        <v>2035</v>
      </c>
      <c r="C111" t="s">
        <v>69</v>
      </c>
      <c r="D111" t="s">
        <v>40</v>
      </c>
      <c r="E111" s="1">
        <v>3.7034154474477702E-5</v>
      </c>
      <c r="F111" s="1">
        <v>3.7034154474477702E-5</v>
      </c>
      <c r="G111">
        <v>0</v>
      </c>
      <c r="H111">
        <v>0</v>
      </c>
      <c r="I111" t="s">
        <v>70</v>
      </c>
    </row>
    <row r="112" spans="1:9" x14ac:dyDescent="0.35">
      <c r="A112" t="s">
        <v>17</v>
      </c>
      <c r="B112">
        <v>2035</v>
      </c>
      <c r="C112" t="s">
        <v>69</v>
      </c>
      <c r="D112" t="s">
        <v>41</v>
      </c>
      <c r="E112">
        <v>2.0218180813044999E-4</v>
      </c>
      <c r="F112">
        <v>2.0218180813044999E-4</v>
      </c>
      <c r="G112">
        <v>0</v>
      </c>
      <c r="H112">
        <v>0</v>
      </c>
      <c r="I112" t="s">
        <v>70</v>
      </c>
    </row>
    <row r="113" spans="1:9" x14ac:dyDescent="0.35">
      <c r="A113" t="s">
        <v>17</v>
      </c>
      <c r="B113">
        <v>2035</v>
      </c>
      <c r="C113" t="s">
        <v>69</v>
      </c>
      <c r="D113" t="s">
        <v>42</v>
      </c>
      <c r="E113">
        <v>9.9310335401094092E-3</v>
      </c>
      <c r="F113">
        <v>9.9310335401094092E-3</v>
      </c>
      <c r="G113">
        <v>0</v>
      </c>
      <c r="H113">
        <v>0</v>
      </c>
      <c r="I113" t="s">
        <v>70</v>
      </c>
    </row>
    <row r="114" spans="1:9" x14ac:dyDescent="0.35">
      <c r="A114" t="s">
        <v>17</v>
      </c>
      <c r="B114">
        <v>2035</v>
      </c>
      <c r="C114" t="s">
        <v>69</v>
      </c>
      <c r="D114" t="s">
        <v>43</v>
      </c>
      <c r="E114" s="1">
        <v>6.8763723219860307E-5</v>
      </c>
      <c r="F114" s="1">
        <v>6.8763723219860307E-5</v>
      </c>
      <c r="G114">
        <v>0</v>
      </c>
      <c r="H114">
        <v>0</v>
      </c>
      <c r="I114" t="s">
        <v>70</v>
      </c>
    </row>
    <row r="115" spans="1:9" x14ac:dyDescent="0.35">
      <c r="A115" t="s">
        <v>17</v>
      </c>
      <c r="B115">
        <v>2035</v>
      </c>
      <c r="C115" t="s">
        <v>69</v>
      </c>
      <c r="D115" t="s">
        <v>136</v>
      </c>
      <c r="E115">
        <v>2.1144966393781502E-2</v>
      </c>
      <c r="F115">
        <v>2.1144966393781502E-2</v>
      </c>
      <c r="G115">
        <v>0</v>
      </c>
      <c r="H115">
        <v>0</v>
      </c>
      <c r="I115" t="s">
        <v>70</v>
      </c>
    </row>
    <row r="116" spans="1:9" x14ac:dyDescent="0.35">
      <c r="A116" t="s">
        <v>17</v>
      </c>
      <c r="B116">
        <v>2035</v>
      </c>
      <c r="C116" t="s">
        <v>69</v>
      </c>
      <c r="D116" t="s">
        <v>45</v>
      </c>
      <c r="E116">
        <v>1.52597510412655E-3</v>
      </c>
      <c r="F116">
        <v>1.23461207687853E-3</v>
      </c>
      <c r="G116">
        <v>-2.9136302724802198E-4</v>
      </c>
      <c r="H116">
        <v>-19.093563614512099</v>
      </c>
      <c r="I116" t="s">
        <v>70</v>
      </c>
    </row>
    <row r="117" spans="1:9" x14ac:dyDescent="0.35">
      <c r="A117" t="s">
        <v>17</v>
      </c>
      <c r="B117">
        <v>2035</v>
      </c>
      <c r="C117" t="s">
        <v>69</v>
      </c>
      <c r="D117" t="s">
        <v>46</v>
      </c>
      <c r="E117">
        <v>1.30531415764141E-3</v>
      </c>
      <c r="F117">
        <v>1.30531415764141E-3</v>
      </c>
      <c r="G117">
        <v>0</v>
      </c>
      <c r="H117">
        <v>0</v>
      </c>
      <c r="I117" t="s">
        <v>70</v>
      </c>
    </row>
    <row r="118" spans="1:9" x14ac:dyDescent="0.35">
      <c r="A118" t="s">
        <v>17</v>
      </c>
      <c r="B118">
        <v>2035</v>
      </c>
      <c r="C118" t="s">
        <v>69</v>
      </c>
      <c r="D118" t="s">
        <v>47</v>
      </c>
      <c r="E118" s="1">
        <v>1.05671786001404E-5</v>
      </c>
      <c r="F118" s="1">
        <v>1.05671786001404E-5</v>
      </c>
      <c r="G118">
        <v>0</v>
      </c>
      <c r="H118">
        <v>0</v>
      </c>
      <c r="I118" t="s">
        <v>70</v>
      </c>
    </row>
    <row r="119" spans="1:9" x14ac:dyDescent="0.35">
      <c r="A119" t="s">
        <v>17</v>
      </c>
      <c r="B119">
        <v>2035</v>
      </c>
      <c r="C119" t="s">
        <v>69</v>
      </c>
      <c r="D119" t="s">
        <v>48</v>
      </c>
      <c r="E119">
        <v>1.4919964441953799E-3</v>
      </c>
      <c r="F119">
        <v>1.4919964441953799E-3</v>
      </c>
      <c r="G119">
        <v>0</v>
      </c>
      <c r="H119">
        <v>0</v>
      </c>
      <c r="I119" t="s">
        <v>70</v>
      </c>
    </row>
    <row r="120" spans="1:9" x14ac:dyDescent="0.35">
      <c r="A120" t="s">
        <v>17</v>
      </c>
      <c r="B120">
        <v>2035</v>
      </c>
      <c r="C120" t="s">
        <v>69</v>
      </c>
      <c r="D120" t="s">
        <v>49</v>
      </c>
      <c r="E120">
        <v>2.03625006804246E-4</v>
      </c>
      <c r="F120">
        <v>2.03625006804246E-4</v>
      </c>
      <c r="G120">
        <v>0</v>
      </c>
      <c r="H120">
        <v>0</v>
      </c>
      <c r="I120" t="s">
        <v>70</v>
      </c>
    </row>
    <row r="121" spans="1:9" x14ac:dyDescent="0.35">
      <c r="A121" t="s">
        <v>17</v>
      </c>
      <c r="B121">
        <v>2035</v>
      </c>
      <c r="C121" t="s">
        <v>69</v>
      </c>
      <c r="D121" t="s">
        <v>50</v>
      </c>
      <c r="E121">
        <v>4.9910332786702301E-4</v>
      </c>
      <c r="F121">
        <v>4.9910332786702301E-4</v>
      </c>
      <c r="G121">
        <v>0</v>
      </c>
      <c r="H121">
        <v>0</v>
      </c>
      <c r="I121" t="s">
        <v>70</v>
      </c>
    </row>
    <row r="122" spans="1:9" x14ac:dyDescent="0.35">
      <c r="A122" t="s">
        <v>17</v>
      </c>
      <c r="B122">
        <v>2035</v>
      </c>
      <c r="C122" t="s">
        <v>69</v>
      </c>
      <c r="D122" t="s">
        <v>51</v>
      </c>
      <c r="E122">
        <v>9.59075188118403E-3</v>
      </c>
      <c r="F122">
        <v>9.59075188118403E-3</v>
      </c>
      <c r="G122">
        <v>0</v>
      </c>
      <c r="H122">
        <v>0</v>
      </c>
      <c r="I122" t="s">
        <v>70</v>
      </c>
    </row>
    <row r="123" spans="1:9" x14ac:dyDescent="0.35">
      <c r="A123" t="s">
        <v>17</v>
      </c>
      <c r="B123">
        <v>2035</v>
      </c>
      <c r="C123" t="s">
        <v>69</v>
      </c>
      <c r="D123" t="s">
        <v>52</v>
      </c>
      <c r="E123">
        <v>2.9290179105444401E-3</v>
      </c>
      <c r="F123">
        <v>2.9290179105444401E-3</v>
      </c>
      <c r="G123">
        <v>0</v>
      </c>
      <c r="H123">
        <v>0</v>
      </c>
      <c r="I123" t="s">
        <v>70</v>
      </c>
    </row>
    <row r="124" spans="1:9" x14ac:dyDescent="0.35">
      <c r="A124" t="s">
        <v>17</v>
      </c>
      <c r="B124">
        <v>2035</v>
      </c>
      <c r="C124" t="s">
        <v>69</v>
      </c>
      <c r="D124" t="s">
        <v>53</v>
      </c>
      <c r="E124">
        <v>5.3768343217908601E-3</v>
      </c>
      <c r="F124">
        <v>5.3768343217908601E-3</v>
      </c>
      <c r="G124">
        <v>0</v>
      </c>
      <c r="H124">
        <v>0</v>
      </c>
      <c r="I124" t="s">
        <v>70</v>
      </c>
    </row>
    <row r="125" spans="1:9" x14ac:dyDescent="0.35">
      <c r="A125" t="s">
        <v>17</v>
      </c>
      <c r="B125">
        <v>2035</v>
      </c>
      <c r="C125" t="s">
        <v>69</v>
      </c>
      <c r="D125" t="s">
        <v>54</v>
      </c>
      <c r="E125">
        <v>3.9786541670689697E-4</v>
      </c>
      <c r="F125">
        <v>3.9786541670689697E-4</v>
      </c>
      <c r="G125">
        <v>0</v>
      </c>
      <c r="H125">
        <v>0</v>
      </c>
      <c r="I125" t="s">
        <v>70</v>
      </c>
    </row>
    <row r="126" spans="1:9" x14ac:dyDescent="0.35">
      <c r="A126" t="s">
        <v>17</v>
      </c>
      <c r="B126">
        <v>2035</v>
      </c>
      <c r="C126" t="s">
        <v>69</v>
      </c>
      <c r="D126" t="s">
        <v>55</v>
      </c>
      <c r="E126">
        <v>3.7438378736156499E-4</v>
      </c>
      <c r="F126">
        <v>3.7438378736156499E-4</v>
      </c>
      <c r="G126">
        <v>0</v>
      </c>
      <c r="H126">
        <v>0</v>
      </c>
      <c r="I126" t="s">
        <v>70</v>
      </c>
    </row>
    <row r="127" spans="1:9" x14ac:dyDescent="0.35">
      <c r="A127" t="s">
        <v>17</v>
      </c>
      <c r="B127">
        <v>2035</v>
      </c>
      <c r="C127" t="s">
        <v>69</v>
      </c>
      <c r="D127" t="s">
        <v>56</v>
      </c>
      <c r="E127" s="1">
        <v>9.9514303351494105E-10</v>
      </c>
      <c r="F127" s="1">
        <v>9.9514303351494105E-10</v>
      </c>
      <c r="G127">
        <v>0</v>
      </c>
      <c r="H127">
        <v>0</v>
      </c>
      <c r="I127" t="s">
        <v>70</v>
      </c>
    </row>
    <row r="128" spans="1:9" x14ac:dyDescent="0.35">
      <c r="A128" t="s">
        <v>19</v>
      </c>
      <c r="B128">
        <v>2040</v>
      </c>
      <c r="C128" t="s">
        <v>69</v>
      </c>
      <c r="D128" t="s">
        <v>38</v>
      </c>
      <c r="E128" s="1">
        <v>4.2190323815523402E-6</v>
      </c>
      <c r="F128" s="1">
        <v>4.2190323815523402E-6</v>
      </c>
      <c r="G128">
        <v>0</v>
      </c>
      <c r="H128">
        <v>0</v>
      </c>
      <c r="I128" t="s">
        <v>70</v>
      </c>
    </row>
    <row r="129" spans="1:9" x14ac:dyDescent="0.35">
      <c r="A129" t="s">
        <v>19</v>
      </c>
      <c r="B129">
        <v>2040</v>
      </c>
      <c r="C129" t="s">
        <v>69</v>
      </c>
      <c r="D129" t="s">
        <v>40</v>
      </c>
      <c r="E129" s="1">
        <v>3.7092890531840703E-5</v>
      </c>
      <c r="F129" s="1">
        <v>3.7092890531840703E-5</v>
      </c>
      <c r="G129">
        <v>0</v>
      </c>
      <c r="H129">
        <v>0</v>
      </c>
      <c r="I129" t="s">
        <v>70</v>
      </c>
    </row>
    <row r="130" spans="1:9" x14ac:dyDescent="0.35">
      <c r="A130" t="s">
        <v>19</v>
      </c>
      <c r="B130">
        <v>2040</v>
      </c>
      <c r="C130" t="s">
        <v>69</v>
      </c>
      <c r="D130" t="s">
        <v>41</v>
      </c>
      <c r="E130">
        <v>2.0001230198280601E-4</v>
      </c>
      <c r="F130">
        <v>2.0001230198280601E-4</v>
      </c>
      <c r="G130">
        <v>0</v>
      </c>
      <c r="H130">
        <v>0</v>
      </c>
      <c r="I130" t="s">
        <v>70</v>
      </c>
    </row>
    <row r="131" spans="1:9" x14ac:dyDescent="0.35">
      <c r="A131" t="s">
        <v>19</v>
      </c>
      <c r="B131">
        <v>2040</v>
      </c>
      <c r="C131" t="s">
        <v>69</v>
      </c>
      <c r="D131" t="s">
        <v>42</v>
      </c>
      <c r="E131">
        <v>9.5242690844592002E-3</v>
      </c>
      <c r="F131">
        <v>9.5242690844592002E-3</v>
      </c>
      <c r="G131">
        <v>0</v>
      </c>
      <c r="H131">
        <v>0</v>
      </c>
      <c r="I131" t="s">
        <v>70</v>
      </c>
    </row>
    <row r="132" spans="1:9" x14ac:dyDescent="0.35">
      <c r="A132" t="s">
        <v>19</v>
      </c>
      <c r="B132">
        <v>2040</v>
      </c>
      <c r="C132" t="s">
        <v>69</v>
      </c>
      <c r="D132" t="s">
        <v>43</v>
      </c>
      <c r="E132" s="1">
        <v>6.8250430273802094E-5</v>
      </c>
      <c r="F132" s="1">
        <v>6.8250430273802094E-5</v>
      </c>
      <c r="G132">
        <v>0</v>
      </c>
      <c r="H132">
        <v>0</v>
      </c>
      <c r="I132" t="s">
        <v>70</v>
      </c>
    </row>
    <row r="133" spans="1:9" x14ac:dyDescent="0.35">
      <c r="A133" t="s">
        <v>19</v>
      </c>
      <c r="B133">
        <v>2040</v>
      </c>
      <c r="C133" t="s">
        <v>69</v>
      </c>
      <c r="D133" t="s">
        <v>136</v>
      </c>
      <c r="E133">
        <v>2.0342321323042301E-2</v>
      </c>
      <c r="F133">
        <v>2.0342321323042301E-2</v>
      </c>
      <c r="G133">
        <v>0</v>
      </c>
      <c r="H133">
        <v>0</v>
      </c>
      <c r="I133" t="s">
        <v>70</v>
      </c>
    </row>
    <row r="134" spans="1:9" x14ac:dyDescent="0.35">
      <c r="A134" t="s">
        <v>19</v>
      </c>
      <c r="B134">
        <v>2040</v>
      </c>
      <c r="C134" t="s">
        <v>69</v>
      </c>
      <c r="D134" t="s">
        <v>45</v>
      </c>
      <c r="E134">
        <v>1.5249070227632399E-3</v>
      </c>
      <c r="F134">
        <v>1.4719204045156599E-4</v>
      </c>
      <c r="G134">
        <v>-1.3777149823116701E-3</v>
      </c>
      <c r="H134">
        <v>-90.347474419466906</v>
      </c>
      <c r="I134" t="s">
        <v>70</v>
      </c>
    </row>
    <row r="135" spans="1:9" x14ac:dyDescent="0.35">
      <c r="A135" t="s">
        <v>19</v>
      </c>
      <c r="B135">
        <v>2040</v>
      </c>
      <c r="C135" t="s">
        <v>69</v>
      </c>
      <c r="D135" t="s">
        <v>46</v>
      </c>
      <c r="E135">
        <v>1.9897776980375699E-3</v>
      </c>
      <c r="F135">
        <v>1.9897776980375699E-3</v>
      </c>
      <c r="G135">
        <v>0</v>
      </c>
      <c r="H135">
        <v>0</v>
      </c>
      <c r="I135" t="s">
        <v>70</v>
      </c>
    </row>
    <row r="136" spans="1:9" x14ac:dyDescent="0.35">
      <c r="A136" t="s">
        <v>19</v>
      </c>
      <c r="B136">
        <v>2040</v>
      </c>
      <c r="C136" t="s">
        <v>69</v>
      </c>
      <c r="D136" t="s">
        <v>47</v>
      </c>
      <c r="E136" s="1">
        <v>9.8357677945364605E-6</v>
      </c>
      <c r="F136" s="1">
        <v>9.8357677945364605E-6</v>
      </c>
      <c r="G136">
        <v>0</v>
      </c>
      <c r="H136">
        <v>0</v>
      </c>
      <c r="I136" t="s">
        <v>70</v>
      </c>
    </row>
    <row r="137" spans="1:9" x14ac:dyDescent="0.35">
      <c r="A137" t="s">
        <v>19</v>
      </c>
      <c r="B137">
        <v>2040</v>
      </c>
      <c r="C137" t="s">
        <v>69</v>
      </c>
      <c r="D137" t="s">
        <v>48</v>
      </c>
      <c r="E137">
        <v>1.48684596259436E-3</v>
      </c>
      <c r="F137">
        <v>1.48684596259436E-3</v>
      </c>
      <c r="G137">
        <v>0</v>
      </c>
      <c r="H137">
        <v>0</v>
      </c>
      <c r="I137" t="s">
        <v>70</v>
      </c>
    </row>
    <row r="138" spans="1:9" x14ac:dyDescent="0.35">
      <c r="A138" t="s">
        <v>19</v>
      </c>
      <c r="B138">
        <v>2040</v>
      </c>
      <c r="C138" t="s">
        <v>69</v>
      </c>
      <c r="D138" t="s">
        <v>49</v>
      </c>
      <c r="E138">
        <v>2.00570662821084E-4</v>
      </c>
      <c r="F138">
        <v>2.00570662821084E-4</v>
      </c>
      <c r="G138">
        <v>0</v>
      </c>
      <c r="H138">
        <v>0</v>
      </c>
      <c r="I138" t="s">
        <v>70</v>
      </c>
    </row>
    <row r="139" spans="1:9" x14ac:dyDescent="0.35">
      <c r="A139" t="s">
        <v>19</v>
      </c>
      <c r="B139">
        <v>2040</v>
      </c>
      <c r="C139" t="s">
        <v>69</v>
      </c>
      <c r="D139" t="s">
        <v>50</v>
      </c>
      <c r="E139">
        <v>4.8964980629316601E-4</v>
      </c>
      <c r="F139">
        <v>4.8964980629316601E-4</v>
      </c>
      <c r="G139">
        <v>0</v>
      </c>
      <c r="H139">
        <v>0</v>
      </c>
      <c r="I139" t="s">
        <v>70</v>
      </c>
    </row>
    <row r="140" spans="1:9" x14ac:dyDescent="0.35">
      <c r="A140" t="s">
        <v>19</v>
      </c>
      <c r="B140">
        <v>2040</v>
      </c>
      <c r="C140" t="s">
        <v>69</v>
      </c>
      <c r="D140" t="s">
        <v>51</v>
      </c>
      <c r="E140">
        <v>9.6451464263560202E-3</v>
      </c>
      <c r="F140">
        <v>9.6451464263560202E-3</v>
      </c>
      <c r="G140">
        <v>0</v>
      </c>
      <c r="H140">
        <v>0</v>
      </c>
      <c r="I140" t="s">
        <v>70</v>
      </c>
    </row>
    <row r="141" spans="1:9" x14ac:dyDescent="0.35">
      <c r="A141" t="s">
        <v>19</v>
      </c>
      <c r="B141">
        <v>2040</v>
      </c>
      <c r="C141" t="s">
        <v>69</v>
      </c>
      <c r="D141" t="s">
        <v>52</v>
      </c>
      <c r="E141">
        <v>2.2313882054457801E-3</v>
      </c>
      <c r="F141">
        <v>2.2313882054457801E-3</v>
      </c>
      <c r="G141">
        <v>0</v>
      </c>
      <c r="H141">
        <v>0</v>
      </c>
      <c r="I141" t="s">
        <v>70</v>
      </c>
    </row>
    <row r="142" spans="1:9" x14ac:dyDescent="0.35">
      <c r="A142" t="s">
        <v>19</v>
      </c>
      <c r="B142">
        <v>2040</v>
      </c>
      <c r="C142" t="s">
        <v>69</v>
      </c>
      <c r="D142" t="s">
        <v>53</v>
      </c>
      <c r="E142">
        <v>5.0309163912467397E-3</v>
      </c>
      <c r="F142">
        <v>5.0309163912467397E-3</v>
      </c>
      <c r="G142">
        <v>0</v>
      </c>
      <c r="H142">
        <v>0</v>
      </c>
      <c r="I142" t="s">
        <v>70</v>
      </c>
    </row>
    <row r="143" spans="1:9" x14ac:dyDescent="0.35">
      <c r="A143" t="s">
        <v>19</v>
      </c>
      <c r="B143">
        <v>2040</v>
      </c>
      <c r="C143" t="s">
        <v>69</v>
      </c>
      <c r="D143" t="s">
        <v>54</v>
      </c>
      <c r="E143">
        <v>3.9667340987887802E-4</v>
      </c>
      <c r="F143">
        <v>3.9667340987887802E-4</v>
      </c>
      <c r="G143">
        <v>0</v>
      </c>
      <c r="H143">
        <v>0</v>
      </c>
      <c r="I143" t="s">
        <v>70</v>
      </c>
    </row>
    <row r="144" spans="1:9" x14ac:dyDescent="0.35">
      <c r="A144" t="s">
        <v>19</v>
      </c>
      <c r="B144">
        <v>2040</v>
      </c>
      <c r="C144" t="s">
        <v>69</v>
      </c>
      <c r="D144" t="s">
        <v>55</v>
      </c>
      <c r="E144">
        <v>3.7255875293787702E-4</v>
      </c>
      <c r="F144">
        <v>3.7255875293787702E-4</v>
      </c>
      <c r="G144">
        <v>0</v>
      </c>
      <c r="H144">
        <v>0</v>
      </c>
      <c r="I144" t="s">
        <v>70</v>
      </c>
    </row>
    <row r="145" spans="1:9" x14ac:dyDescent="0.35">
      <c r="A145" t="s">
        <v>19</v>
      </c>
      <c r="B145">
        <v>2040</v>
      </c>
      <c r="C145" t="s">
        <v>69</v>
      </c>
      <c r="D145" t="s">
        <v>56</v>
      </c>
      <c r="E145" s="1">
        <v>8.4491985959747097E-10</v>
      </c>
      <c r="F145" s="1">
        <v>8.4491985959747097E-10</v>
      </c>
      <c r="G145">
        <v>0</v>
      </c>
      <c r="H145">
        <v>0</v>
      </c>
      <c r="I145" t="s">
        <v>70</v>
      </c>
    </row>
    <row r="146" spans="1:9" x14ac:dyDescent="0.35">
      <c r="A146" t="s">
        <v>13</v>
      </c>
      <c r="B146">
        <v>2025</v>
      </c>
      <c r="C146" t="s">
        <v>80</v>
      </c>
      <c r="D146" t="s">
        <v>38</v>
      </c>
      <c r="E146">
        <v>3.5427227122381E-4</v>
      </c>
      <c r="F146">
        <v>3.5427227122381E-4</v>
      </c>
      <c r="G146">
        <v>0</v>
      </c>
      <c r="H146">
        <v>0</v>
      </c>
      <c r="I146" t="s">
        <v>82</v>
      </c>
    </row>
    <row r="147" spans="1:9" x14ac:dyDescent="0.35">
      <c r="A147" t="s">
        <v>13</v>
      </c>
      <c r="B147">
        <v>2025</v>
      </c>
      <c r="C147" t="s">
        <v>80</v>
      </c>
      <c r="D147" t="s">
        <v>40</v>
      </c>
      <c r="E147">
        <v>4.6348027445079E-4</v>
      </c>
      <c r="F147">
        <v>4.6348027445079E-4</v>
      </c>
      <c r="G147">
        <v>0</v>
      </c>
      <c r="H147">
        <v>0</v>
      </c>
      <c r="I147" t="s">
        <v>82</v>
      </c>
    </row>
    <row r="148" spans="1:9" x14ac:dyDescent="0.35">
      <c r="A148" t="s">
        <v>13</v>
      </c>
      <c r="B148">
        <v>2025</v>
      </c>
      <c r="C148" t="s">
        <v>80</v>
      </c>
      <c r="D148" t="s">
        <v>41</v>
      </c>
      <c r="E148">
        <v>4.1497870955060296E-3</v>
      </c>
      <c r="F148">
        <v>4.1497870955060296E-3</v>
      </c>
      <c r="G148">
        <v>0</v>
      </c>
      <c r="H148">
        <v>0</v>
      </c>
      <c r="I148" t="s">
        <v>82</v>
      </c>
    </row>
    <row r="149" spans="1:9" x14ac:dyDescent="0.35">
      <c r="A149" t="s">
        <v>13</v>
      </c>
      <c r="B149">
        <v>2025</v>
      </c>
      <c r="C149" t="s">
        <v>80</v>
      </c>
      <c r="D149" t="s">
        <v>42</v>
      </c>
      <c r="E149">
        <v>0.65241525455384097</v>
      </c>
      <c r="F149">
        <v>0.65241525455384097</v>
      </c>
      <c r="G149">
        <v>0</v>
      </c>
      <c r="H149">
        <v>0</v>
      </c>
      <c r="I149" t="s">
        <v>82</v>
      </c>
    </row>
    <row r="150" spans="1:9" x14ac:dyDescent="0.35">
      <c r="A150" t="s">
        <v>13</v>
      </c>
      <c r="B150">
        <v>2025</v>
      </c>
      <c r="C150" t="s">
        <v>80</v>
      </c>
      <c r="D150" t="s">
        <v>43</v>
      </c>
      <c r="E150">
        <v>1.41493424948028E-3</v>
      </c>
      <c r="F150">
        <v>1.41493424948028E-3</v>
      </c>
      <c r="G150">
        <v>0</v>
      </c>
      <c r="H150">
        <v>0</v>
      </c>
      <c r="I150" t="s">
        <v>82</v>
      </c>
    </row>
    <row r="151" spans="1:9" x14ac:dyDescent="0.35">
      <c r="A151" t="s">
        <v>13</v>
      </c>
      <c r="B151">
        <v>2025</v>
      </c>
      <c r="C151" t="s">
        <v>80</v>
      </c>
      <c r="D151" t="s">
        <v>136</v>
      </c>
      <c r="E151">
        <v>2.09288042089696</v>
      </c>
      <c r="F151">
        <v>2.09288042089696</v>
      </c>
      <c r="G151">
        <v>0</v>
      </c>
      <c r="H151">
        <v>0</v>
      </c>
      <c r="I151" t="s">
        <v>82</v>
      </c>
    </row>
    <row r="152" spans="1:9" x14ac:dyDescent="0.35">
      <c r="A152" t="s">
        <v>13</v>
      </c>
      <c r="B152">
        <v>2025</v>
      </c>
      <c r="C152" t="s">
        <v>80</v>
      </c>
      <c r="D152" t="s">
        <v>45</v>
      </c>
      <c r="E152">
        <v>3.2355070160554398E-3</v>
      </c>
      <c r="F152">
        <v>3.2355070160554398E-3</v>
      </c>
      <c r="G152">
        <v>0</v>
      </c>
      <c r="H152">
        <v>0</v>
      </c>
      <c r="I152" t="s">
        <v>82</v>
      </c>
    </row>
    <row r="153" spans="1:9" x14ac:dyDescent="0.35">
      <c r="A153" t="s">
        <v>13</v>
      </c>
      <c r="B153">
        <v>2025</v>
      </c>
      <c r="C153" t="s">
        <v>80</v>
      </c>
      <c r="D153" t="s">
        <v>46</v>
      </c>
      <c r="E153">
        <v>3.2067094043392301E-2</v>
      </c>
      <c r="F153">
        <v>3.2067094043392301E-2</v>
      </c>
      <c r="G153">
        <v>0</v>
      </c>
      <c r="H153">
        <v>0</v>
      </c>
      <c r="I153" t="s">
        <v>82</v>
      </c>
    </row>
    <row r="154" spans="1:9" x14ac:dyDescent="0.35">
      <c r="A154" t="s">
        <v>13</v>
      </c>
      <c r="B154">
        <v>2025</v>
      </c>
      <c r="C154" t="s">
        <v>80</v>
      </c>
      <c r="D154" t="s">
        <v>47</v>
      </c>
      <c r="E154">
        <v>5.8297354433138897E-4</v>
      </c>
      <c r="F154">
        <v>5.8297354433138897E-4</v>
      </c>
      <c r="G154">
        <v>0</v>
      </c>
      <c r="H154">
        <v>0</v>
      </c>
      <c r="I154" t="s">
        <v>82</v>
      </c>
    </row>
    <row r="155" spans="1:9" x14ac:dyDescent="0.35">
      <c r="A155" t="s">
        <v>13</v>
      </c>
      <c r="B155">
        <v>2025</v>
      </c>
      <c r="C155" t="s">
        <v>80</v>
      </c>
      <c r="D155" t="s">
        <v>48</v>
      </c>
      <c r="E155">
        <v>80.551802880721297</v>
      </c>
      <c r="F155">
        <v>80.551802880721297</v>
      </c>
      <c r="G155">
        <v>0</v>
      </c>
      <c r="H155">
        <v>0</v>
      </c>
      <c r="I155" t="s">
        <v>82</v>
      </c>
    </row>
    <row r="156" spans="1:9" x14ac:dyDescent="0.35">
      <c r="A156" t="s">
        <v>13</v>
      </c>
      <c r="B156">
        <v>2025</v>
      </c>
      <c r="C156" t="s">
        <v>80</v>
      </c>
      <c r="D156" t="s">
        <v>49</v>
      </c>
      <c r="E156">
        <v>4.9775547807611601E-3</v>
      </c>
      <c r="F156">
        <v>4.9775547807611601E-3</v>
      </c>
      <c r="G156">
        <v>0</v>
      </c>
      <c r="H156">
        <v>0</v>
      </c>
      <c r="I156" t="s">
        <v>82</v>
      </c>
    </row>
    <row r="157" spans="1:9" x14ac:dyDescent="0.35">
      <c r="A157" t="s">
        <v>13</v>
      </c>
      <c r="B157">
        <v>2025</v>
      </c>
      <c r="C157" t="s">
        <v>80</v>
      </c>
      <c r="D157" t="s">
        <v>50</v>
      </c>
      <c r="E157">
        <v>8.2818281405460398E-3</v>
      </c>
      <c r="F157">
        <v>8.2818281405460398E-3</v>
      </c>
      <c r="G157">
        <v>0</v>
      </c>
      <c r="H157">
        <v>0</v>
      </c>
      <c r="I157" t="s">
        <v>82</v>
      </c>
    </row>
    <row r="158" spans="1:9" x14ac:dyDescent="0.35">
      <c r="A158" t="s">
        <v>13</v>
      </c>
      <c r="B158">
        <v>2025</v>
      </c>
      <c r="C158" t="s">
        <v>80</v>
      </c>
      <c r="D158" t="s">
        <v>51</v>
      </c>
      <c r="E158">
        <v>6.5615831037805897E-2</v>
      </c>
      <c r="F158">
        <v>6.5615831037805897E-2</v>
      </c>
      <c r="G158">
        <v>0</v>
      </c>
      <c r="H158">
        <v>0</v>
      </c>
      <c r="I158" t="s">
        <v>82</v>
      </c>
    </row>
    <row r="159" spans="1:9" x14ac:dyDescent="0.35">
      <c r="A159" t="s">
        <v>13</v>
      </c>
      <c r="B159">
        <v>2025</v>
      </c>
      <c r="C159" t="s">
        <v>80</v>
      </c>
      <c r="D159" t="s">
        <v>52</v>
      </c>
      <c r="E159">
        <v>0.20150879211294101</v>
      </c>
      <c r="F159">
        <v>0.20150879211294101</v>
      </c>
      <c r="G159">
        <v>0</v>
      </c>
      <c r="H159">
        <v>0</v>
      </c>
      <c r="I159" t="s">
        <v>82</v>
      </c>
    </row>
    <row r="160" spans="1:9" x14ac:dyDescent="0.35">
      <c r="A160" t="s">
        <v>13</v>
      </c>
      <c r="B160">
        <v>2025</v>
      </c>
      <c r="C160" t="s">
        <v>80</v>
      </c>
      <c r="D160" t="s">
        <v>53</v>
      </c>
      <c r="E160">
        <v>0.42898602314677098</v>
      </c>
      <c r="F160">
        <v>0.42898602314677098</v>
      </c>
      <c r="G160">
        <v>0</v>
      </c>
      <c r="H160">
        <v>0</v>
      </c>
      <c r="I160" t="s">
        <v>82</v>
      </c>
    </row>
    <row r="161" spans="1:9" x14ac:dyDescent="0.35">
      <c r="A161" t="s">
        <v>13</v>
      </c>
      <c r="B161">
        <v>2025</v>
      </c>
      <c r="C161" t="s">
        <v>80</v>
      </c>
      <c r="D161" t="s">
        <v>54</v>
      </c>
      <c r="E161">
        <v>4.9846649049144702E-2</v>
      </c>
      <c r="F161">
        <v>4.9846649049144702E-2</v>
      </c>
      <c r="G161">
        <v>0</v>
      </c>
      <c r="H161">
        <v>0</v>
      </c>
      <c r="I161" t="s">
        <v>82</v>
      </c>
    </row>
    <row r="162" spans="1:9" x14ac:dyDescent="0.35">
      <c r="A162" t="s">
        <v>13</v>
      </c>
      <c r="B162">
        <v>2025</v>
      </c>
      <c r="C162" t="s">
        <v>80</v>
      </c>
      <c r="D162" t="s">
        <v>55</v>
      </c>
      <c r="E162">
        <v>4.6178842739795598E-2</v>
      </c>
      <c r="F162">
        <v>4.6178842739795598E-2</v>
      </c>
      <c r="G162">
        <v>0</v>
      </c>
      <c r="H162">
        <v>0</v>
      </c>
      <c r="I162" t="s">
        <v>82</v>
      </c>
    </row>
    <row r="163" spans="1:9" x14ac:dyDescent="0.35">
      <c r="A163" t="s">
        <v>13</v>
      </c>
      <c r="B163">
        <v>2025</v>
      </c>
      <c r="C163" t="s">
        <v>80</v>
      </c>
      <c r="D163" t="s">
        <v>56</v>
      </c>
      <c r="E163" s="1">
        <v>7.7832161158266803E-8</v>
      </c>
      <c r="F163" s="1">
        <v>7.7832161158266803E-8</v>
      </c>
      <c r="G163">
        <v>0</v>
      </c>
      <c r="H163">
        <v>0</v>
      </c>
      <c r="I163" t="s">
        <v>82</v>
      </c>
    </row>
    <row r="164" spans="1:9" x14ac:dyDescent="0.35">
      <c r="A164" t="s">
        <v>15</v>
      </c>
      <c r="B164">
        <v>2030</v>
      </c>
      <c r="C164" t="s">
        <v>80</v>
      </c>
      <c r="D164" t="s">
        <v>38</v>
      </c>
      <c r="E164">
        <v>3.6795881881263699E-4</v>
      </c>
      <c r="F164">
        <v>3.6795881881263699E-4</v>
      </c>
      <c r="G164">
        <v>0</v>
      </c>
      <c r="H164">
        <v>0</v>
      </c>
      <c r="I164" t="s">
        <v>82</v>
      </c>
    </row>
    <row r="165" spans="1:9" x14ac:dyDescent="0.35">
      <c r="A165" t="s">
        <v>15</v>
      </c>
      <c r="B165">
        <v>2030</v>
      </c>
      <c r="C165" t="s">
        <v>80</v>
      </c>
      <c r="D165" t="s">
        <v>40</v>
      </c>
      <c r="E165">
        <v>4.2288395142087799E-4</v>
      </c>
      <c r="F165">
        <v>4.2288395142087799E-4</v>
      </c>
      <c r="G165">
        <v>0</v>
      </c>
      <c r="H165">
        <v>0</v>
      </c>
      <c r="I165" t="s">
        <v>82</v>
      </c>
    </row>
    <row r="166" spans="1:9" x14ac:dyDescent="0.35">
      <c r="A166" t="s">
        <v>15</v>
      </c>
      <c r="B166">
        <v>2030</v>
      </c>
      <c r="C166" t="s">
        <v>80</v>
      </c>
      <c r="D166" t="s">
        <v>41</v>
      </c>
      <c r="E166">
        <v>3.6292715256165801E-3</v>
      </c>
      <c r="F166">
        <v>3.6292715256165801E-3</v>
      </c>
      <c r="G166">
        <v>0</v>
      </c>
      <c r="H166">
        <v>0</v>
      </c>
      <c r="I166" t="s">
        <v>82</v>
      </c>
    </row>
    <row r="167" spans="1:9" x14ac:dyDescent="0.35">
      <c r="A167" t="s">
        <v>15</v>
      </c>
      <c r="B167">
        <v>2030</v>
      </c>
      <c r="C167" t="s">
        <v>80</v>
      </c>
      <c r="D167" t="s">
        <v>42</v>
      </c>
      <c r="E167">
        <v>0.55791533429887996</v>
      </c>
      <c r="F167">
        <v>0.55791533429887996</v>
      </c>
      <c r="G167">
        <v>0</v>
      </c>
      <c r="H167">
        <v>0</v>
      </c>
      <c r="I167" t="s">
        <v>82</v>
      </c>
    </row>
    <row r="168" spans="1:9" x14ac:dyDescent="0.35">
      <c r="A168" t="s">
        <v>15</v>
      </c>
      <c r="B168">
        <v>2030</v>
      </c>
      <c r="C168" t="s">
        <v>80</v>
      </c>
      <c r="D168" t="s">
        <v>43</v>
      </c>
      <c r="E168">
        <v>1.22787650814258E-3</v>
      </c>
      <c r="F168">
        <v>1.22787650814258E-3</v>
      </c>
      <c r="G168">
        <v>0</v>
      </c>
      <c r="H168">
        <v>0</v>
      </c>
      <c r="I168" t="s">
        <v>82</v>
      </c>
    </row>
    <row r="169" spans="1:9" x14ac:dyDescent="0.35">
      <c r="A169" t="s">
        <v>15</v>
      </c>
      <c r="B169">
        <v>2030</v>
      </c>
      <c r="C169" t="s">
        <v>80</v>
      </c>
      <c r="D169" t="s">
        <v>136</v>
      </c>
      <c r="E169">
        <v>1.81913483195758</v>
      </c>
      <c r="F169">
        <v>1.6090148064401399</v>
      </c>
      <c r="G169">
        <v>-0.210120025517431</v>
      </c>
      <c r="H169">
        <v>-11.550547096683299</v>
      </c>
      <c r="I169" t="s">
        <v>82</v>
      </c>
    </row>
    <row r="170" spans="1:9" x14ac:dyDescent="0.35">
      <c r="A170" t="s">
        <v>15</v>
      </c>
      <c r="B170">
        <v>2030</v>
      </c>
      <c r="C170" t="s">
        <v>80</v>
      </c>
      <c r="D170" t="s">
        <v>45</v>
      </c>
      <c r="E170">
        <v>2.5345589492471901E-3</v>
      </c>
      <c r="F170">
        <v>2.5345589492471901E-3</v>
      </c>
      <c r="G170">
        <v>0</v>
      </c>
      <c r="H170">
        <v>0</v>
      </c>
      <c r="I170" t="s">
        <v>82</v>
      </c>
    </row>
    <row r="171" spans="1:9" x14ac:dyDescent="0.35">
      <c r="A171" t="s">
        <v>15</v>
      </c>
      <c r="B171">
        <v>2030</v>
      </c>
      <c r="C171" t="s">
        <v>80</v>
      </c>
      <c r="D171" t="s">
        <v>46</v>
      </c>
      <c r="E171">
        <v>3.5057969009031201E-2</v>
      </c>
      <c r="F171">
        <v>3.5057969009031201E-2</v>
      </c>
      <c r="G171">
        <v>0</v>
      </c>
      <c r="H171">
        <v>0</v>
      </c>
      <c r="I171" t="s">
        <v>82</v>
      </c>
    </row>
    <row r="172" spans="1:9" x14ac:dyDescent="0.35">
      <c r="A172" t="s">
        <v>15</v>
      </c>
      <c r="B172">
        <v>2030</v>
      </c>
      <c r="C172" t="s">
        <v>80</v>
      </c>
      <c r="D172" t="s">
        <v>47</v>
      </c>
      <c r="E172">
        <v>4.4788834760279699E-4</v>
      </c>
      <c r="F172">
        <v>4.4788834760279699E-4</v>
      </c>
      <c r="G172">
        <v>0</v>
      </c>
      <c r="H172">
        <v>0</v>
      </c>
      <c r="I172" t="s">
        <v>82</v>
      </c>
    </row>
    <row r="173" spans="1:9" x14ac:dyDescent="0.35">
      <c r="A173" t="s">
        <v>15</v>
      </c>
      <c r="B173">
        <v>2030</v>
      </c>
      <c r="C173" t="s">
        <v>80</v>
      </c>
      <c r="D173" t="s">
        <v>48</v>
      </c>
      <c r="E173">
        <v>80.552985024758598</v>
      </c>
      <c r="F173">
        <v>80.552985024758598</v>
      </c>
      <c r="G173">
        <v>0</v>
      </c>
      <c r="H173">
        <v>0</v>
      </c>
      <c r="I173" t="s">
        <v>82</v>
      </c>
    </row>
    <row r="174" spans="1:9" x14ac:dyDescent="0.35">
      <c r="A174" t="s">
        <v>15</v>
      </c>
      <c r="B174">
        <v>2030</v>
      </c>
      <c r="C174" t="s">
        <v>80</v>
      </c>
      <c r="D174" t="s">
        <v>49</v>
      </c>
      <c r="E174">
        <v>4.2094039154117998E-3</v>
      </c>
      <c r="F174">
        <v>4.2094039154117998E-3</v>
      </c>
      <c r="G174">
        <v>0</v>
      </c>
      <c r="H174">
        <v>0</v>
      </c>
      <c r="I174" t="s">
        <v>82</v>
      </c>
    </row>
    <row r="175" spans="1:9" x14ac:dyDescent="0.35">
      <c r="A175" t="s">
        <v>15</v>
      </c>
      <c r="B175">
        <v>2030</v>
      </c>
      <c r="C175" t="s">
        <v>80</v>
      </c>
      <c r="D175" t="s">
        <v>50</v>
      </c>
      <c r="E175">
        <v>7.5348459620341096E-3</v>
      </c>
      <c r="F175">
        <v>7.5348459620341096E-3</v>
      </c>
      <c r="G175">
        <v>0</v>
      </c>
      <c r="H175">
        <v>0</v>
      </c>
      <c r="I175" t="s">
        <v>82</v>
      </c>
    </row>
    <row r="176" spans="1:9" x14ac:dyDescent="0.35">
      <c r="A176" t="s">
        <v>15</v>
      </c>
      <c r="B176">
        <v>2030</v>
      </c>
      <c r="C176" t="s">
        <v>80</v>
      </c>
      <c r="D176" t="s">
        <v>51</v>
      </c>
      <c r="E176">
        <v>6.6803314058435995E-2</v>
      </c>
      <c r="F176">
        <v>6.6803314058435995E-2</v>
      </c>
      <c r="G176">
        <v>0</v>
      </c>
      <c r="H176">
        <v>0</v>
      </c>
      <c r="I176" t="s">
        <v>82</v>
      </c>
    </row>
    <row r="177" spans="1:9" x14ac:dyDescent="0.35">
      <c r="A177" t="s">
        <v>15</v>
      </c>
      <c r="B177">
        <v>2030</v>
      </c>
      <c r="C177" t="s">
        <v>80</v>
      </c>
      <c r="D177" t="s">
        <v>52</v>
      </c>
      <c r="E177">
        <v>0.189086536891649</v>
      </c>
      <c r="F177">
        <v>0.189086536891649</v>
      </c>
      <c r="G177">
        <v>0</v>
      </c>
      <c r="H177">
        <v>0</v>
      </c>
      <c r="I177" t="s">
        <v>82</v>
      </c>
    </row>
    <row r="178" spans="1:9" x14ac:dyDescent="0.35">
      <c r="A178" t="s">
        <v>15</v>
      </c>
      <c r="B178">
        <v>2030</v>
      </c>
      <c r="C178" t="s">
        <v>80</v>
      </c>
      <c r="D178" t="s">
        <v>53</v>
      </c>
      <c r="E178">
        <v>0.36164791641829203</v>
      </c>
      <c r="F178">
        <v>0.36164791641829203</v>
      </c>
      <c r="G178">
        <v>0</v>
      </c>
      <c r="H178">
        <v>0</v>
      </c>
      <c r="I178" t="s">
        <v>82</v>
      </c>
    </row>
    <row r="179" spans="1:9" x14ac:dyDescent="0.35">
      <c r="A179" t="s">
        <v>15</v>
      </c>
      <c r="B179">
        <v>2030</v>
      </c>
      <c r="C179" t="s">
        <v>80</v>
      </c>
      <c r="D179" t="s">
        <v>54</v>
      </c>
      <c r="E179">
        <v>4.9507367172072103E-2</v>
      </c>
      <c r="F179">
        <v>4.9507367172072103E-2</v>
      </c>
      <c r="G179">
        <v>0</v>
      </c>
      <c r="H179">
        <v>0</v>
      </c>
      <c r="I179" t="s">
        <v>82</v>
      </c>
    </row>
    <row r="180" spans="1:9" x14ac:dyDescent="0.35">
      <c r="A180" t="s">
        <v>15</v>
      </c>
      <c r="B180">
        <v>2030</v>
      </c>
      <c r="C180" t="s">
        <v>80</v>
      </c>
      <c r="D180" t="s">
        <v>55</v>
      </c>
      <c r="E180">
        <v>4.5635271142036499E-2</v>
      </c>
      <c r="F180">
        <v>4.5635271142036499E-2</v>
      </c>
      <c r="G180">
        <v>0</v>
      </c>
      <c r="H180">
        <v>0</v>
      </c>
      <c r="I180" t="s">
        <v>82</v>
      </c>
    </row>
    <row r="181" spans="1:9" x14ac:dyDescent="0.35">
      <c r="A181" t="s">
        <v>15</v>
      </c>
      <c r="B181">
        <v>2030</v>
      </c>
      <c r="C181" t="s">
        <v>80</v>
      </c>
      <c r="D181" t="s">
        <v>56</v>
      </c>
      <c r="E181" s="1">
        <v>6.8037114396259197E-8</v>
      </c>
      <c r="F181" s="1">
        <v>6.8037114396259197E-8</v>
      </c>
      <c r="G181">
        <v>0</v>
      </c>
      <c r="H181">
        <v>0</v>
      </c>
      <c r="I181" t="s">
        <v>82</v>
      </c>
    </row>
    <row r="182" spans="1:9" x14ac:dyDescent="0.35">
      <c r="A182" t="s">
        <v>17</v>
      </c>
      <c r="B182">
        <v>2035</v>
      </c>
      <c r="C182" t="s">
        <v>80</v>
      </c>
      <c r="D182" t="s">
        <v>38</v>
      </c>
      <c r="E182">
        <v>4.71987859161673E-4</v>
      </c>
      <c r="F182">
        <v>4.71987859161673E-4</v>
      </c>
      <c r="G182">
        <v>0</v>
      </c>
      <c r="H182">
        <v>0</v>
      </c>
      <c r="I182" t="s">
        <v>82</v>
      </c>
    </row>
    <row r="183" spans="1:9" x14ac:dyDescent="0.35">
      <c r="A183" t="s">
        <v>17</v>
      </c>
      <c r="B183">
        <v>2035</v>
      </c>
      <c r="C183" t="s">
        <v>80</v>
      </c>
      <c r="D183" t="s">
        <v>40</v>
      </c>
      <c r="E183">
        <v>3.8843988625878698E-4</v>
      </c>
      <c r="F183">
        <v>3.8843988625878698E-4</v>
      </c>
      <c r="G183">
        <v>0</v>
      </c>
      <c r="H183">
        <v>0</v>
      </c>
      <c r="I183" t="s">
        <v>82</v>
      </c>
    </row>
    <row r="184" spans="1:9" x14ac:dyDescent="0.35">
      <c r="A184" t="s">
        <v>17</v>
      </c>
      <c r="B184">
        <v>2035</v>
      </c>
      <c r="C184" t="s">
        <v>80</v>
      </c>
      <c r="D184" t="s">
        <v>41</v>
      </c>
      <c r="E184">
        <v>3.2790061535546101E-3</v>
      </c>
      <c r="F184">
        <v>3.2790061535546101E-3</v>
      </c>
      <c r="G184">
        <v>0</v>
      </c>
      <c r="H184">
        <v>0</v>
      </c>
      <c r="I184" t="s">
        <v>82</v>
      </c>
    </row>
    <row r="185" spans="1:9" x14ac:dyDescent="0.35">
      <c r="A185" t="s">
        <v>17</v>
      </c>
      <c r="B185">
        <v>2035</v>
      </c>
      <c r="C185" t="s">
        <v>80</v>
      </c>
      <c r="D185" t="s">
        <v>42</v>
      </c>
      <c r="E185">
        <v>0.481798335736357</v>
      </c>
      <c r="F185">
        <v>0.481798335736357</v>
      </c>
      <c r="G185">
        <v>0</v>
      </c>
      <c r="H185">
        <v>0</v>
      </c>
      <c r="I185" t="s">
        <v>82</v>
      </c>
    </row>
    <row r="186" spans="1:9" x14ac:dyDescent="0.35">
      <c r="A186" t="s">
        <v>17</v>
      </c>
      <c r="B186">
        <v>2035</v>
      </c>
      <c r="C186" t="s">
        <v>80</v>
      </c>
      <c r="D186" t="s">
        <v>43</v>
      </c>
      <c r="E186">
        <v>1.1198545746573E-3</v>
      </c>
      <c r="F186">
        <v>1.1198545746573E-3</v>
      </c>
      <c r="G186">
        <v>0</v>
      </c>
      <c r="H186">
        <v>0</v>
      </c>
      <c r="I186" t="s">
        <v>82</v>
      </c>
    </row>
    <row r="187" spans="1:9" x14ac:dyDescent="0.35">
      <c r="A187" t="s">
        <v>17</v>
      </c>
      <c r="B187">
        <v>2035</v>
      </c>
      <c r="C187" t="s">
        <v>80</v>
      </c>
      <c r="D187" t="s">
        <v>136</v>
      </c>
      <c r="E187">
        <v>1.6109979266525001</v>
      </c>
      <c r="F187">
        <v>1.5814746726190401</v>
      </c>
      <c r="G187">
        <v>-2.9523254033461101E-2</v>
      </c>
      <c r="H187">
        <v>-1.8326065816116499</v>
      </c>
      <c r="I187" t="s">
        <v>82</v>
      </c>
    </row>
    <row r="188" spans="1:9" x14ac:dyDescent="0.35">
      <c r="A188" t="s">
        <v>17</v>
      </c>
      <c r="B188">
        <v>2035</v>
      </c>
      <c r="C188" t="s">
        <v>80</v>
      </c>
      <c r="D188" t="s">
        <v>45</v>
      </c>
      <c r="E188">
        <v>2.0044296294946498E-3</v>
      </c>
      <c r="F188">
        <v>2.0044296294946498E-3</v>
      </c>
      <c r="G188">
        <v>0</v>
      </c>
      <c r="H188">
        <v>0</v>
      </c>
      <c r="I188" t="s">
        <v>82</v>
      </c>
    </row>
    <row r="189" spans="1:9" x14ac:dyDescent="0.35">
      <c r="A189" t="s">
        <v>17</v>
      </c>
      <c r="B189">
        <v>2035</v>
      </c>
      <c r="C189" t="s">
        <v>80</v>
      </c>
      <c r="D189" t="s">
        <v>46</v>
      </c>
      <c r="E189">
        <v>4.7735990941335397E-2</v>
      </c>
      <c r="F189">
        <v>4.7735990941335397E-2</v>
      </c>
      <c r="G189">
        <v>0</v>
      </c>
      <c r="H189">
        <v>0</v>
      </c>
      <c r="I189" t="s">
        <v>82</v>
      </c>
    </row>
    <row r="190" spans="1:9" x14ac:dyDescent="0.35">
      <c r="A190" t="s">
        <v>17</v>
      </c>
      <c r="B190">
        <v>2035</v>
      </c>
      <c r="C190" t="s">
        <v>80</v>
      </c>
      <c r="D190" t="s">
        <v>47</v>
      </c>
      <c r="E190">
        <v>3.31051676567986E-4</v>
      </c>
      <c r="F190">
        <v>3.31051676567986E-4</v>
      </c>
      <c r="G190">
        <v>0</v>
      </c>
      <c r="H190">
        <v>0</v>
      </c>
      <c r="I190" t="s">
        <v>82</v>
      </c>
    </row>
    <row r="191" spans="1:9" x14ac:dyDescent="0.35">
      <c r="A191" t="s">
        <v>17</v>
      </c>
      <c r="B191">
        <v>2035</v>
      </c>
      <c r="C191" t="s">
        <v>80</v>
      </c>
      <c r="D191" t="s">
        <v>48</v>
      </c>
      <c r="E191">
        <v>80.554177729339102</v>
      </c>
      <c r="F191">
        <v>80.554177729339102</v>
      </c>
      <c r="G191">
        <v>0</v>
      </c>
      <c r="H191">
        <v>0</v>
      </c>
      <c r="I191" t="s">
        <v>82</v>
      </c>
    </row>
    <row r="192" spans="1:9" x14ac:dyDescent="0.35">
      <c r="A192" t="s">
        <v>17</v>
      </c>
      <c r="B192">
        <v>2035</v>
      </c>
      <c r="C192" t="s">
        <v>80</v>
      </c>
      <c r="D192" t="s">
        <v>49</v>
      </c>
      <c r="E192">
        <v>3.6948070571170698E-3</v>
      </c>
      <c r="F192">
        <v>3.6948070571170698E-3</v>
      </c>
      <c r="G192">
        <v>0</v>
      </c>
      <c r="H192">
        <v>0</v>
      </c>
      <c r="I192" t="s">
        <v>82</v>
      </c>
    </row>
    <row r="193" spans="1:9" x14ac:dyDescent="0.35">
      <c r="A193" t="s">
        <v>17</v>
      </c>
      <c r="B193">
        <v>2035</v>
      </c>
      <c r="C193" t="s">
        <v>80</v>
      </c>
      <c r="D193" t="s">
        <v>50</v>
      </c>
      <c r="E193">
        <v>7.2506728147620899E-3</v>
      </c>
      <c r="F193">
        <v>7.2506728147620899E-3</v>
      </c>
      <c r="G193">
        <v>0</v>
      </c>
      <c r="H193">
        <v>0</v>
      </c>
      <c r="I193" t="s">
        <v>82</v>
      </c>
    </row>
    <row r="194" spans="1:9" x14ac:dyDescent="0.35">
      <c r="A194" t="s">
        <v>17</v>
      </c>
      <c r="B194">
        <v>2035</v>
      </c>
      <c r="C194" t="s">
        <v>80</v>
      </c>
      <c r="D194" t="s">
        <v>51</v>
      </c>
      <c r="E194">
        <v>6.8708748873591699E-2</v>
      </c>
      <c r="F194">
        <v>6.8708748873591699E-2</v>
      </c>
      <c r="G194">
        <v>0</v>
      </c>
      <c r="H194">
        <v>0</v>
      </c>
      <c r="I194" t="s">
        <v>82</v>
      </c>
    </row>
    <row r="195" spans="1:9" x14ac:dyDescent="0.35">
      <c r="A195" t="s">
        <v>17</v>
      </c>
      <c r="B195">
        <v>2035</v>
      </c>
      <c r="C195" t="s">
        <v>80</v>
      </c>
      <c r="D195" t="s">
        <v>52</v>
      </c>
      <c r="E195">
        <v>0.17248150656790801</v>
      </c>
      <c r="F195">
        <v>0.17248150656790801</v>
      </c>
      <c r="G195">
        <v>0</v>
      </c>
      <c r="H195">
        <v>0</v>
      </c>
      <c r="I195" t="s">
        <v>82</v>
      </c>
    </row>
    <row r="196" spans="1:9" x14ac:dyDescent="0.35">
      <c r="A196" t="s">
        <v>17</v>
      </c>
      <c r="B196">
        <v>2035</v>
      </c>
      <c r="C196" t="s">
        <v>80</v>
      </c>
      <c r="D196" t="s">
        <v>53</v>
      </c>
      <c r="E196">
        <v>0.309802616466054</v>
      </c>
      <c r="F196">
        <v>0.309802616466054</v>
      </c>
      <c r="G196">
        <v>0</v>
      </c>
      <c r="H196">
        <v>0</v>
      </c>
      <c r="I196" t="s">
        <v>82</v>
      </c>
    </row>
    <row r="197" spans="1:9" x14ac:dyDescent="0.35">
      <c r="A197" t="s">
        <v>17</v>
      </c>
      <c r="B197">
        <v>2035</v>
      </c>
      <c r="C197" t="s">
        <v>80</v>
      </c>
      <c r="D197" t="s">
        <v>54</v>
      </c>
      <c r="E197">
        <v>4.9089050145398397E-2</v>
      </c>
      <c r="F197">
        <v>4.9089050145398397E-2</v>
      </c>
      <c r="G197">
        <v>0</v>
      </c>
      <c r="H197">
        <v>0</v>
      </c>
      <c r="I197" t="s">
        <v>82</v>
      </c>
    </row>
    <row r="198" spans="1:9" x14ac:dyDescent="0.35">
      <c r="A198" t="s">
        <v>17</v>
      </c>
      <c r="B198">
        <v>2035</v>
      </c>
      <c r="C198" t="s">
        <v>80</v>
      </c>
      <c r="D198" t="s">
        <v>55</v>
      </c>
      <c r="E198">
        <v>4.5093920775561902E-2</v>
      </c>
      <c r="F198">
        <v>4.5093920775561902E-2</v>
      </c>
      <c r="G198">
        <v>0</v>
      </c>
      <c r="H198">
        <v>0</v>
      </c>
      <c r="I198" t="s">
        <v>82</v>
      </c>
    </row>
    <row r="199" spans="1:9" x14ac:dyDescent="0.35">
      <c r="A199" t="s">
        <v>17</v>
      </c>
      <c r="B199">
        <v>2035</v>
      </c>
      <c r="C199" t="s">
        <v>80</v>
      </c>
      <c r="D199" t="s">
        <v>56</v>
      </c>
      <c r="E199" s="1">
        <v>6.2008997862863396E-8</v>
      </c>
      <c r="F199" s="1">
        <v>6.2008997862863396E-8</v>
      </c>
      <c r="G199">
        <v>0</v>
      </c>
      <c r="H199">
        <v>0</v>
      </c>
      <c r="I199" t="s">
        <v>82</v>
      </c>
    </row>
    <row r="200" spans="1:9" x14ac:dyDescent="0.35">
      <c r="A200" t="s">
        <v>19</v>
      </c>
      <c r="B200">
        <v>2040</v>
      </c>
      <c r="C200" t="s">
        <v>80</v>
      </c>
      <c r="D200" t="s">
        <v>38</v>
      </c>
      <c r="E200">
        <v>6.2983273910429901E-4</v>
      </c>
      <c r="F200">
        <v>6.2983273910429901E-4</v>
      </c>
      <c r="G200">
        <v>0</v>
      </c>
      <c r="H200">
        <v>0</v>
      </c>
      <c r="I200" t="s">
        <v>82</v>
      </c>
    </row>
    <row r="201" spans="1:9" x14ac:dyDescent="0.35">
      <c r="A201" t="s">
        <v>19</v>
      </c>
      <c r="B201">
        <v>2040</v>
      </c>
      <c r="C201" t="s">
        <v>80</v>
      </c>
      <c r="D201" t="s">
        <v>40</v>
      </c>
      <c r="E201">
        <v>3.5733171556661698E-4</v>
      </c>
      <c r="F201">
        <v>3.5733171556661698E-4</v>
      </c>
      <c r="G201">
        <v>0</v>
      </c>
      <c r="H201">
        <v>0</v>
      </c>
      <c r="I201" t="s">
        <v>82</v>
      </c>
    </row>
    <row r="202" spans="1:9" x14ac:dyDescent="0.35">
      <c r="A202" t="s">
        <v>19</v>
      </c>
      <c r="B202">
        <v>2040</v>
      </c>
      <c r="C202" t="s">
        <v>80</v>
      </c>
      <c r="D202" t="s">
        <v>41</v>
      </c>
      <c r="E202">
        <v>3.0747960770563299E-3</v>
      </c>
      <c r="F202">
        <v>3.0747960770563299E-3</v>
      </c>
      <c r="G202">
        <v>0</v>
      </c>
      <c r="H202">
        <v>0</v>
      </c>
      <c r="I202" t="s">
        <v>82</v>
      </c>
    </row>
    <row r="203" spans="1:9" x14ac:dyDescent="0.35">
      <c r="A203" t="s">
        <v>19</v>
      </c>
      <c r="B203">
        <v>2040</v>
      </c>
      <c r="C203" t="s">
        <v>80</v>
      </c>
      <c r="D203" t="s">
        <v>42</v>
      </c>
      <c r="E203">
        <v>0.45579530919971201</v>
      </c>
      <c r="F203">
        <v>0.45579530919971201</v>
      </c>
      <c r="G203">
        <v>0</v>
      </c>
      <c r="H203">
        <v>0</v>
      </c>
      <c r="I203" t="s">
        <v>82</v>
      </c>
    </row>
    <row r="204" spans="1:9" x14ac:dyDescent="0.35">
      <c r="A204" t="s">
        <v>19</v>
      </c>
      <c r="B204">
        <v>2040</v>
      </c>
      <c r="C204" t="s">
        <v>80</v>
      </c>
      <c r="D204" t="s">
        <v>43</v>
      </c>
      <c r="E204">
        <v>1.0886589273008799E-3</v>
      </c>
      <c r="F204">
        <v>1.0886589273008799E-3</v>
      </c>
      <c r="G204">
        <v>0</v>
      </c>
      <c r="H204">
        <v>0</v>
      </c>
      <c r="I204" t="s">
        <v>82</v>
      </c>
    </row>
    <row r="205" spans="1:9" x14ac:dyDescent="0.35">
      <c r="A205" t="s">
        <v>19</v>
      </c>
      <c r="B205">
        <v>2040</v>
      </c>
      <c r="C205" t="s">
        <v>80</v>
      </c>
      <c r="D205" t="s">
        <v>136</v>
      </c>
      <c r="E205">
        <v>1.4889737281173701</v>
      </c>
      <c r="F205">
        <v>1.24933044550698</v>
      </c>
      <c r="G205">
        <v>-0.239643282610386</v>
      </c>
      <c r="H205">
        <v>-16.094527262974999</v>
      </c>
      <c r="I205" t="s">
        <v>82</v>
      </c>
    </row>
    <row r="206" spans="1:9" x14ac:dyDescent="0.35">
      <c r="A206" t="s">
        <v>19</v>
      </c>
      <c r="B206">
        <v>2040</v>
      </c>
      <c r="C206" t="s">
        <v>80</v>
      </c>
      <c r="D206" t="s">
        <v>45</v>
      </c>
      <c r="E206">
        <v>1.7794247260784499E-3</v>
      </c>
      <c r="F206">
        <v>1.7794247260784499E-3</v>
      </c>
      <c r="G206">
        <v>0</v>
      </c>
      <c r="H206">
        <v>0</v>
      </c>
      <c r="I206" t="s">
        <v>82</v>
      </c>
    </row>
    <row r="207" spans="1:9" x14ac:dyDescent="0.35">
      <c r="A207" t="s">
        <v>19</v>
      </c>
      <c r="B207">
        <v>2040</v>
      </c>
      <c r="C207" t="s">
        <v>80</v>
      </c>
      <c r="D207" t="s">
        <v>46</v>
      </c>
      <c r="E207">
        <v>6.5806496341817594E-2</v>
      </c>
      <c r="F207">
        <v>6.5806496341817594E-2</v>
      </c>
      <c r="G207">
        <v>0</v>
      </c>
      <c r="H207">
        <v>0</v>
      </c>
      <c r="I207" t="s">
        <v>82</v>
      </c>
    </row>
    <row r="208" spans="1:9" x14ac:dyDescent="0.35">
      <c r="A208" t="s">
        <v>19</v>
      </c>
      <c r="B208">
        <v>2040</v>
      </c>
      <c r="C208" t="s">
        <v>80</v>
      </c>
      <c r="D208" t="s">
        <v>47</v>
      </c>
      <c r="E208">
        <v>2.9032915978264201E-4</v>
      </c>
      <c r="F208">
        <v>2.9032915978264201E-4</v>
      </c>
      <c r="G208">
        <v>0</v>
      </c>
      <c r="H208">
        <v>0</v>
      </c>
      <c r="I208" t="s">
        <v>82</v>
      </c>
    </row>
    <row r="209" spans="1:9" x14ac:dyDescent="0.35">
      <c r="A209" t="s">
        <v>19</v>
      </c>
      <c r="B209">
        <v>2040</v>
      </c>
      <c r="C209" t="s">
        <v>80</v>
      </c>
      <c r="D209" t="s">
        <v>48</v>
      </c>
      <c r="E209">
        <v>80.556165057780106</v>
      </c>
      <c r="F209">
        <v>80.556165057780106</v>
      </c>
      <c r="G209">
        <v>0</v>
      </c>
      <c r="H209">
        <v>0</v>
      </c>
      <c r="I209" t="s">
        <v>82</v>
      </c>
    </row>
    <row r="210" spans="1:9" x14ac:dyDescent="0.35">
      <c r="A210" t="s">
        <v>19</v>
      </c>
      <c r="B210">
        <v>2040</v>
      </c>
      <c r="C210" t="s">
        <v>80</v>
      </c>
      <c r="D210" t="s">
        <v>49</v>
      </c>
      <c r="E210">
        <v>3.45766985357475E-3</v>
      </c>
      <c r="F210">
        <v>3.45766985357475E-3</v>
      </c>
      <c r="G210">
        <v>0</v>
      </c>
      <c r="H210">
        <v>0</v>
      </c>
      <c r="I210" t="s">
        <v>82</v>
      </c>
    </row>
    <row r="211" spans="1:9" x14ac:dyDescent="0.35">
      <c r="A211" t="s">
        <v>19</v>
      </c>
      <c r="B211">
        <v>2040</v>
      </c>
      <c r="C211" t="s">
        <v>80</v>
      </c>
      <c r="D211" t="s">
        <v>50</v>
      </c>
      <c r="E211">
        <v>7.4405262907817496E-3</v>
      </c>
      <c r="F211">
        <v>7.4405262907817496E-3</v>
      </c>
      <c r="G211">
        <v>0</v>
      </c>
      <c r="H211">
        <v>0</v>
      </c>
      <c r="I211" t="s">
        <v>82</v>
      </c>
    </row>
    <row r="212" spans="1:9" x14ac:dyDescent="0.35">
      <c r="A212" t="s">
        <v>19</v>
      </c>
      <c r="B212">
        <v>2040</v>
      </c>
      <c r="C212" t="s">
        <v>80</v>
      </c>
      <c r="D212" t="s">
        <v>51</v>
      </c>
      <c r="E212">
        <v>7.0740617263906305E-2</v>
      </c>
      <c r="F212">
        <v>7.0740617263906305E-2</v>
      </c>
      <c r="G212">
        <v>0</v>
      </c>
      <c r="H212">
        <v>0</v>
      </c>
      <c r="I212" t="s">
        <v>82</v>
      </c>
    </row>
    <row r="213" spans="1:9" x14ac:dyDescent="0.35">
      <c r="A213" t="s">
        <v>19</v>
      </c>
      <c r="B213">
        <v>2040</v>
      </c>
      <c r="C213" t="s">
        <v>80</v>
      </c>
      <c r="D213" t="s">
        <v>52</v>
      </c>
      <c r="E213">
        <v>0.15658369963489599</v>
      </c>
      <c r="F213">
        <v>0.15658369963489599</v>
      </c>
      <c r="G213">
        <v>0</v>
      </c>
      <c r="H213">
        <v>0</v>
      </c>
      <c r="I213" t="s">
        <v>82</v>
      </c>
    </row>
    <row r="214" spans="1:9" x14ac:dyDescent="0.35">
      <c r="A214" t="s">
        <v>19</v>
      </c>
      <c r="B214">
        <v>2040</v>
      </c>
      <c r="C214" t="s">
        <v>80</v>
      </c>
      <c r="D214" t="s">
        <v>53</v>
      </c>
      <c r="E214">
        <v>0.27637926884291097</v>
      </c>
      <c r="F214">
        <v>0.27637926884291097</v>
      </c>
      <c r="G214">
        <v>0</v>
      </c>
      <c r="H214">
        <v>0</v>
      </c>
      <c r="I214" t="s">
        <v>82</v>
      </c>
    </row>
    <row r="215" spans="1:9" x14ac:dyDescent="0.35">
      <c r="A215" t="s">
        <v>19</v>
      </c>
      <c r="B215">
        <v>2040</v>
      </c>
      <c r="C215" t="s">
        <v>80</v>
      </c>
      <c r="D215" t="s">
        <v>54</v>
      </c>
      <c r="E215">
        <v>4.9511534041350197E-2</v>
      </c>
      <c r="F215">
        <v>4.9511534041350197E-2</v>
      </c>
      <c r="G215">
        <v>0</v>
      </c>
      <c r="H215">
        <v>0</v>
      </c>
      <c r="I215" t="s">
        <v>82</v>
      </c>
    </row>
    <row r="216" spans="1:9" x14ac:dyDescent="0.35">
      <c r="A216" t="s">
        <v>19</v>
      </c>
      <c r="B216">
        <v>2040</v>
      </c>
      <c r="C216" t="s">
        <v>80</v>
      </c>
      <c r="D216" t="s">
        <v>55</v>
      </c>
      <c r="E216">
        <v>4.5410803140533203E-2</v>
      </c>
      <c r="F216">
        <v>4.5410803140533203E-2</v>
      </c>
      <c r="G216">
        <v>0</v>
      </c>
      <c r="H216">
        <v>0</v>
      </c>
      <c r="I216" t="s">
        <v>82</v>
      </c>
    </row>
    <row r="217" spans="1:9" x14ac:dyDescent="0.35">
      <c r="A217" t="s">
        <v>19</v>
      </c>
      <c r="B217">
        <v>2040</v>
      </c>
      <c r="C217" t="s">
        <v>80</v>
      </c>
      <c r="D217" t="s">
        <v>56</v>
      </c>
      <c r="E217" s="1">
        <v>5.7544141969814798E-8</v>
      </c>
      <c r="F217" s="1">
        <v>5.7544141969814798E-8</v>
      </c>
      <c r="G217">
        <v>0</v>
      </c>
      <c r="H217">
        <v>0</v>
      </c>
      <c r="I217" t="s">
        <v>82</v>
      </c>
    </row>
    <row r="218" spans="1:9" x14ac:dyDescent="0.35">
      <c r="A218" t="s">
        <v>13</v>
      </c>
      <c r="B218">
        <v>2025</v>
      </c>
      <c r="C218" t="s">
        <v>65</v>
      </c>
      <c r="D218" t="s">
        <v>38</v>
      </c>
      <c r="E218">
        <v>6.4873461065497198E-2</v>
      </c>
      <c r="F218">
        <v>6.4873461065497198E-2</v>
      </c>
      <c r="G218">
        <v>0</v>
      </c>
      <c r="H218">
        <v>0</v>
      </c>
      <c r="I218" t="s">
        <v>66</v>
      </c>
    </row>
    <row r="219" spans="1:9" x14ac:dyDescent="0.35">
      <c r="A219" t="s">
        <v>13</v>
      </c>
      <c r="B219">
        <v>2025</v>
      </c>
      <c r="C219" t="s">
        <v>65</v>
      </c>
      <c r="D219" t="s">
        <v>40</v>
      </c>
      <c r="E219">
        <v>9.7079422927636091E-3</v>
      </c>
      <c r="F219">
        <v>9.7079422927636091E-3</v>
      </c>
      <c r="G219">
        <v>0</v>
      </c>
      <c r="H219">
        <v>0</v>
      </c>
      <c r="I219" t="s">
        <v>66</v>
      </c>
    </row>
    <row r="220" spans="1:9" x14ac:dyDescent="0.35">
      <c r="A220" t="s">
        <v>13</v>
      </c>
      <c r="B220">
        <v>2025</v>
      </c>
      <c r="C220" t="s">
        <v>65</v>
      </c>
      <c r="D220" t="s">
        <v>41</v>
      </c>
      <c r="E220">
        <v>0.30614563213120799</v>
      </c>
      <c r="F220">
        <v>0.30614563213120799</v>
      </c>
      <c r="G220">
        <v>0</v>
      </c>
      <c r="H220">
        <v>0</v>
      </c>
      <c r="I220" t="s">
        <v>66</v>
      </c>
    </row>
    <row r="221" spans="1:9" x14ac:dyDescent="0.35">
      <c r="A221" t="s">
        <v>13</v>
      </c>
      <c r="B221">
        <v>2025</v>
      </c>
      <c r="C221" t="s">
        <v>65</v>
      </c>
      <c r="D221" t="s">
        <v>42</v>
      </c>
      <c r="E221">
        <v>52.724240507377097</v>
      </c>
      <c r="F221">
        <v>52.724240507377097</v>
      </c>
      <c r="G221">
        <v>0</v>
      </c>
      <c r="H221">
        <v>0</v>
      </c>
      <c r="I221" t="s">
        <v>66</v>
      </c>
    </row>
    <row r="222" spans="1:9" x14ac:dyDescent="0.35">
      <c r="A222" t="s">
        <v>13</v>
      </c>
      <c r="B222">
        <v>2025</v>
      </c>
      <c r="C222" t="s">
        <v>65</v>
      </c>
      <c r="D222" t="s">
        <v>43</v>
      </c>
      <c r="E222">
        <v>7.2462670918011104E-2</v>
      </c>
      <c r="F222">
        <v>7.2462670918011104E-2</v>
      </c>
      <c r="G222">
        <v>0</v>
      </c>
      <c r="H222">
        <v>0</v>
      </c>
      <c r="I222" t="s">
        <v>66</v>
      </c>
    </row>
    <row r="223" spans="1:9" x14ac:dyDescent="0.35">
      <c r="A223" t="s">
        <v>13</v>
      </c>
      <c r="B223">
        <v>2025</v>
      </c>
      <c r="C223" t="s">
        <v>65</v>
      </c>
      <c r="D223" t="s">
        <v>136</v>
      </c>
      <c r="E223">
        <v>44.6621934369443</v>
      </c>
      <c r="F223">
        <v>44.6621934369443</v>
      </c>
      <c r="G223">
        <v>0</v>
      </c>
      <c r="H223">
        <v>0</v>
      </c>
      <c r="I223" t="s">
        <v>66</v>
      </c>
    </row>
    <row r="224" spans="1:9" x14ac:dyDescent="0.35">
      <c r="A224" t="s">
        <v>13</v>
      </c>
      <c r="B224">
        <v>2025</v>
      </c>
      <c r="C224" t="s">
        <v>65</v>
      </c>
      <c r="D224" t="s">
        <v>45</v>
      </c>
      <c r="E224">
        <v>8.5401922880110795E-2</v>
      </c>
      <c r="F224">
        <v>8.5401922880110795E-2</v>
      </c>
      <c r="G224">
        <v>0</v>
      </c>
      <c r="H224">
        <v>0</v>
      </c>
      <c r="I224" t="s">
        <v>66</v>
      </c>
    </row>
    <row r="225" spans="1:9" x14ac:dyDescent="0.35">
      <c r="A225" t="s">
        <v>13</v>
      </c>
      <c r="B225">
        <v>2025</v>
      </c>
      <c r="C225" t="s">
        <v>65</v>
      </c>
      <c r="D225" t="s">
        <v>46</v>
      </c>
      <c r="E225">
        <v>0.58084545304575497</v>
      </c>
      <c r="F225">
        <v>0.58084545304575497</v>
      </c>
      <c r="G225">
        <v>0</v>
      </c>
      <c r="H225">
        <v>0</v>
      </c>
      <c r="I225" t="s">
        <v>66</v>
      </c>
    </row>
    <row r="226" spans="1:9" x14ac:dyDescent="0.35">
      <c r="A226" t="s">
        <v>13</v>
      </c>
      <c r="B226">
        <v>2025</v>
      </c>
      <c r="C226" t="s">
        <v>65</v>
      </c>
      <c r="D226" t="s">
        <v>47</v>
      </c>
      <c r="E226">
        <v>3.7011138231351201E-2</v>
      </c>
      <c r="F226">
        <v>3.7011138231351201E-2</v>
      </c>
      <c r="G226">
        <v>0</v>
      </c>
      <c r="H226">
        <v>0</v>
      </c>
      <c r="I226" t="s">
        <v>66</v>
      </c>
    </row>
    <row r="227" spans="1:9" x14ac:dyDescent="0.35">
      <c r="A227" t="s">
        <v>13</v>
      </c>
      <c r="B227">
        <v>2025</v>
      </c>
      <c r="C227" t="s">
        <v>65</v>
      </c>
      <c r="D227" t="s">
        <v>48</v>
      </c>
      <c r="E227">
        <v>15.312942140648101</v>
      </c>
      <c r="F227">
        <v>15.312942140648101</v>
      </c>
      <c r="G227">
        <v>0</v>
      </c>
      <c r="H227">
        <v>0</v>
      </c>
      <c r="I227" t="s">
        <v>66</v>
      </c>
    </row>
    <row r="228" spans="1:9" x14ac:dyDescent="0.35">
      <c r="A228" t="s">
        <v>13</v>
      </c>
      <c r="B228">
        <v>2025</v>
      </c>
      <c r="C228" t="s">
        <v>65</v>
      </c>
      <c r="D228" t="s">
        <v>49</v>
      </c>
      <c r="E228">
        <v>0.207760968616338</v>
      </c>
      <c r="F228">
        <v>0.207760968616338</v>
      </c>
      <c r="G228">
        <v>0</v>
      </c>
      <c r="H228">
        <v>0</v>
      </c>
      <c r="I228" t="s">
        <v>66</v>
      </c>
    </row>
    <row r="229" spans="1:9" x14ac:dyDescent="0.35">
      <c r="A229" t="s">
        <v>13</v>
      </c>
      <c r="B229">
        <v>2025</v>
      </c>
      <c r="C229" t="s">
        <v>65</v>
      </c>
      <c r="D229" t="s">
        <v>50</v>
      </c>
      <c r="E229">
        <v>5.9284572742096697E-2</v>
      </c>
      <c r="F229">
        <v>5.9284572742096697E-2</v>
      </c>
      <c r="G229">
        <v>0</v>
      </c>
      <c r="H229">
        <v>0</v>
      </c>
      <c r="I229" t="s">
        <v>66</v>
      </c>
    </row>
    <row r="230" spans="1:9" x14ac:dyDescent="0.35">
      <c r="A230" t="s">
        <v>13</v>
      </c>
      <c r="B230">
        <v>2025</v>
      </c>
      <c r="C230" t="s">
        <v>65</v>
      </c>
      <c r="D230" t="s">
        <v>51</v>
      </c>
      <c r="E230">
        <v>1.2313291437883001</v>
      </c>
      <c r="F230">
        <v>1.2313291437883001</v>
      </c>
      <c r="G230">
        <v>0</v>
      </c>
      <c r="H230">
        <v>0</v>
      </c>
      <c r="I230" t="s">
        <v>66</v>
      </c>
    </row>
    <row r="231" spans="1:9" x14ac:dyDescent="0.35">
      <c r="A231" t="s">
        <v>13</v>
      </c>
      <c r="B231">
        <v>2025</v>
      </c>
      <c r="C231" t="s">
        <v>65</v>
      </c>
      <c r="D231" t="s">
        <v>52</v>
      </c>
      <c r="E231">
        <v>0.68299307120992103</v>
      </c>
      <c r="F231">
        <v>0.68299307120992103</v>
      </c>
      <c r="G231">
        <v>0</v>
      </c>
      <c r="H231">
        <v>0</v>
      </c>
      <c r="I231" t="s">
        <v>66</v>
      </c>
    </row>
    <row r="232" spans="1:9" x14ac:dyDescent="0.35">
      <c r="A232" t="s">
        <v>13</v>
      </c>
      <c r="B232">
        <v>2025</v>
      </c>
      <c r="C232" t="s">
        <v>65</v>
      </c>
      <c r="D232" t="s">
        <v>53</v>
      </c>
      <c r="E232">
        <v>8.8470301982417894</v>
      </c>
      <c r="F232">
        <v>8.8470301982417894</v>
      </c>
      <c r="G232">
        <v>0</v>
      </c>
      <c r="H232">
        <v>0</v>
      </c>
      <c r="I232" t="s">
        <v>66</v>
      </c>
    </row>
    <row r="233" spans="1:9" x14ac:dyDescent="0.35">
      <c r="A233" t="s">
        <v>13</v>
      </c>
      <c r="B233">
        <v>2025</v>
      </c>
      <c r="C233" t="s">
        <v>65</v>
      </c>
      <c r="D233" t="s">
        <v>54</v>
      </c>
      <c r="E233">
        <v>22.786737468517199</v>
      </c>
      <c r="F233">
        <v>22.786737468517199</v>
      </c>
      <c r="G233">
        <v>0</v>
      </c>
      <c r="H233">
        <v>0</v>
      </c>
      <c r="I233" t="s">
        <v>66</v>
      </c>
    </row>
    <row r="234" spans="1:9" x14ac:dyDescent="0.35">
      <c r="A234" t="s">
        <v>13</v>
      </c>
      <c r="B234">
        <v>2025</v>
      </c>
      <c r="C234" t="s">
        <v>65</v>
      </c>
      <c r="D234" t="s">
        <v>55</v>
      </c>
      <c r="E234">
        <v>24.4517925014224</v>
      </c>
      <c r="F234">
        <v>24.4517925014224</v>
      </c>
      <c r="G234">
        <v>0</v>
      </c>
      <c r="H234">
        <v>0</v>
      </c>
      <c r="I234" t="s">
        <v>66</v>
      </c>
    </row>
    <row r="235" spans="1:9" x14ac:dyDescent="0.35">
      <c r="A235" t="s">
        <v>13</v>
      </c>
      <c r="B235">
        <v>2025</v>
      </c>
      <c r="C235" t="s">
        <v>65</v>
      </c>
      <c r="D235" t="s">
        <v>56</v>
      </c>
      <c r="E235" s="1">
        <v>2.2242120708818801E-6</v>
      </c>
      <c r="F235" s="1">
        <v>2.2242120708818801E-6</v>
      </c>
      <c r="G235">
        <v>0</v>
      </c>
      <c r="H235">
        <v>0</v>
      </c>
      <c r="I235" t="s">
        <v>66</v>
      </c>
    </row>
    <row r="236" spans="1:9" x14ac:dyDescent="0.35">
      <c r="A236" t="s">
        <v>15</v>
      </c>
      <c r="B236">
        <v>2030</v>
      </c>
      <c r="C236" t="s">
        <v>65</v>
      </c>
      <c r="D236" t="s">
        <v>38</v>
      </c>
      <c r="E236">
        <v>6.4995905866591694E-2</v>
      </c>
      <c r="F236">
        <v>6.4621898705563202E-2</v>
      </c>
      <c r="G236">
        <v>-3.7400716102851901E-4</v>
      </c>
      <c r="H236">
        <v>-0.57543187688804998</v>
      </c>
      <c r="I236" t="s">
        <v>66</v>
      </c>
    </row>
    <row r="237" spans="1:9" x14ac:dyDescent="0.35">
      <c r="A237" t="s">
        <v>15</v>
      </c>
      <c r="B237">
        <v>2030</v>
      </c>
      <c r="C237" t="s">
        <v>65</v>
      </c>
      <c r="D237" t="s">
        <v>40</v>
      </c>
      <c r="E237">
        <v>9.5685476132579498E-3</v>
      </c>
      <c r="F237">
        <v>9.5685476132579498E-3</v>
      </c>
      <c r="G237">
        <v>0</v>
      </c>
      <c r="H237">
        <v>0</v>
      </c>
      <c r="I237" t="s">
        <v>66</v>
      </c>
    </row>
    <row r="238" spans="1:9" x14ac:dyDescent="0.35">
      <c r="A238" t="s">
        <v>15</v>
      </c>
      <c r="B238">
        <v>2030</v>
      </c>
      <c r="C238" t="s">
        <v>65</v>
      </c>
      <c r="D238" t="s">
        <v>41</v>
      </c>
      <c r="E238">
        <v>0.304864251689828</v>
      </c>
      <c r="F238">
        <v>0.194586825756184</v>
      </c>
      <c r="G238">
        <v>-0.11027742593364299</v>
      </c>
      <c r="H238">
        <v>-36.172632679098498</v>
      </c>
      <c r="I238" t="s">
        <v>66</v>
      </c>
    </row>
    <row r="239" spans="1:9" x14ac:dyDescent="0.35">
      <c r="A239" t="s">
        <v>15</v>
      </c>
      <c r="B239">
        <v>2030</v>
      </c>
      <c r="C239" t="s">
        <v>65</v>
      </c>
      <c r="D239" t="s">
        <v>42</v>
      </c>
      <c r="E239">
        <v>52.576156968490999</v>
      </c>
      <c r="F239">
        <v>51.882979151389698</v>
      </c>
      <c r="G239">
        <v>-0.69317781710122905</v>
      </c>
      <c r="H239">
        <v>-1.3184261784608</v>
      </c>
      <c r="I239" t="s">
        <v>66</v>
      </c>
    </row>
    <row r="240" spans="1:9" x14ac:dyDescent="0.35">
      <c r="A240" t="s">
        <v>15</v>
      </c>
      <c r="B240">
        <v>2030</v>
      </c>
      <c r="C240" t="s">
        <v>65</v>
      </c>
      <c r="D240" t="s">
        <v>43</v>
      </c>
      <c r="E240">
        <v>7.2199539693863807E-2</v>
      </c>
      <c r="F240">
        <v>4.7224540910163801E-2</v>
      </c>
      <c r="G240">
        <v>-2.4974998783699999E-2</v>
      </c>
      <c r="H240">
        <v>-34.5916315943252</v>
      </c>
      <c r="I240" t="s">
        <v>66</v>
      </c>
    </row>
    <row r="241" spans="1:9" x14ac:dyDescent="0.35">
      <c r="A241" t="s">
        <v>15</v>
      </c>
      <c r="B241">
        <v>2030</v>
      </c>
      <c r="C241" t="s">
        <v>65</v>
      </c>
      <c r="D241" t="s">
        <v>136</v>
      </c>
      <c r="E241">
        <v>44.191844604826102</v>
      </c>
      <c r="F241">
        <v>34.881127445076302</v>
      </c>
      <c r="G241">
        <v>-9.3107171597497693</v>
      </c>
      <c r="H241">
        <v>-21.068858390068101</v>
      </c>
      <c r="I241" t="s">
        <v>66</v>
      </c>
    </row>
    <row r="242" spans="1:9" x14ac:dyDescent="0.35">
      <c r="A242" t="s">
        <v>15</v>
      </c>
      <c r="B242">
        <v>2030</v>
      </c>
      <c r="C242" t="s">
        <v>65</v>
      </c>
      <c r="D242" t="s">
        <v>45</v>
      </c>
      <c r="E242">
        <v>8.3635811817910299E-2</v>
      </c>
      <c r="F242">
        <v>5.3326155865841302E-2</v>
      </c>
      <c r="G242">
        <v>-3.0309655952068901E-2</v>
      </c>
      <c r="H242">
        <v>-36.240045135280397</v>
      </c>
      <c r="I242" t="s">
        <v>66</v>
      </c>
    </row>
    <row r="243" spans="1:9" x14ac:dyDescent="0.35">
      <c r="A243" t="s">
        <v>15</v>
      </c>
      <c r="B243">
        <v>2030</v>
      </c>
      <c r="C243" t="s">
        <v>65</v>
      </c>
      <c r="D243" t="s">
        <v>46</v>
      </c>
      <c r="E243">
        <v>0.64907736493410795</v>
      </c>
      <c r="F243">
        <v>0.64907736493410795</v>
      </c>
      <c r="G243">
        <v>0</v>
      </c>
      <c r="H243">
        <v>0</v>
      </c>
      <c r="I243" t="s">
        <v>66</v>
      </c>
    </row>
    <row r="244" spans="1:9" x14ac:dyDescent="0.35">
      <c r="A244" t="s">
        <v>15</v>
      </c>
      <c r="B244">
        <v>2030</v>
      </c>
      <c r="C244" t="s">
        <v>65</v>
      </c>
      <c r="D244" t="s">
        <v>47</v>
      </c>
      <c r="E244">
        <v>3.6940660941859098E-2</v>
      </c>
      <c r="F244">
        <v>3.6940660941859098E-2</v>
      </c>
      <c r="G244">
        <v>0</v>
      </c>
      <c r="H244">
        <v>0</v>
      </c>
      <c r="I244" t="s">
        <v>66</v>
      </c>
    </row>
    <row r="245" spans="1:9" x14ac:dyDescent="0.35">
      <c r="A245" t="s">
        <v>15</v>
      </c>
      <c r="B245">
        <v>2030</v>
      </c>
      <c r="C245" t="s">
        <v>65</v>
      </c>
      <c r="D245" t="s">
        <v>48</v>
      </c>
      <c r="E245">
        <v>15.300393057342401</v>
      </c>
      <c r="F245">
        <v>15.300393057342401</v>
      </c>
      <c r="G245">
        <v>0</v>
      </c>
      <c r="H245">
        <v>0</v>
      </c>
      <c r="I245" t="s">
        <v>66</v>
      </c>
    </row>
    <row r="246" spans="1:9" x14ac:dyDescent="0.35">
      <c r="A246" t="s">
        <v>15</v>
      </c>
      <c r="B246">
        <v>2030</v>
      </c>
      <c r="C246" t="s">
        <v>65</v>
      </c>
      <c r="D246" t="s">
        <v>49</v>
      </c>
      <c r="E246">
        <v>0.20661277625336499</v>
      </c>
      <c r="F246">
        <v>0.123728529606599</v>
      </c>
      <c r="G246">
        <v>-8.2884246646766205E-2</v>
      </c>
      <c r="H246">
        <v>-40.115741218794099</v>
      </c>
      <c r="I246" t="s">
        <v>66</v>
      </c>
    </row>
    <row r="247" spans="1:9" x14ac:dyDescent="0.35">
      <c r="A247" t="s">
        <v>15</v>
      </c>
      <c r="B247">
        <v>2030</v>
      </c>
      <c r="C247" t="s">
        <v>65</v>
      </c>
      <c r="D247" t="s">
        <v>50</v>
      </c>
      <c r="E247">
        <v>6.0295665618947399E-2</v>
      </c>
      <c r="F247">
        <v>6.0295665618947399E-2</v>
      </c>
      <c r="G247">
        <v>0</v>
      </c>
      <c r="H247">
        <v>0</v>
      </c>
      <c r="I247" t="s">
        <v>66</v>
      </c>
    </row>
    <row r="248" spans="1:9" x14ac:dyDescent="0.35">
      <c r="A248" t="s">
        <v>15</v>
      </c>
      <c r="B248">
        <v>2030</v>
      </c>
      <c r="C248" t="s">
        <v>65</v>
      </c>
      <c r="D248" t="s">
        <v>51</v>
      </c>
      <c r="E248">
        <v>1.2278278037960999</v>
      </c>
      <c r="F248">
        <v>1.2278278037960999</v>
      </c>
      <c r="G248">
        <v>0</v>
      </c>
      <c r="H248">
        <v>0</v>
      </c>
      <c r="I248" t="s">
        <v>66</v>
      </c>
    </row>
    <row r="249" spans="1:9" x14ac:dyDescent="0.35">
      <c r="A249" t="s">
        <v>15</v>
      </c>
      <c r="B249">
        <v>2030</v>
      </c>
      <c r="C249" t="s">
        <v>65</v>
      </c>
      <c r="D249" t="s">
        <v>52</v>
      </c>
      <c r="E249">
        <v>0.64542648392653101</v>
      </c>
      <c r="F249">
        <v>0.64542648392653101</v>
      </c>
      <c r="G249">
        <v>0</v>
      </c>
      <c r="H249">
        <v>0</v>
      </c>
      <c r="I249" t="s">
        <v>66</v>
      </c>
    </row>
    <row r="250" spans="1:9" x14ac:dyDescent="0.35">
      <c r="A250" t="s">
        <v>15</v>
      </c>
      <c r="B250">
        <v>2030</v>
      </c>
      <c r="C250" t="s">
        <v>65</v>
      </c>
      <c r="D250" t="s">
        <v>53</v>
      </c>
      <c r="E250">
        <v>8.6866394524312103</v>
      </c>
      <c r="F250">
        <v>8.6866394524312103</v>
      </c>
      <c r="G250">
        <v>0</v>
      </c>
      <c r="H250">
        <v>0</v>
      </c>
      <c r="I250" t="s">
        <v>66</v>
      </c>
    </row>
    <row r="251" spans="1:9" x14ac:dyDescent="0.35">
      <c r="A251" t="s">
        <v>15</v>
      </c>
      <c r="B251">
        <v>2030</v>
      </c>
      <c r="C251" t="s">
        <v>65</v>
      </c>
      <c r="D251" t="s">
        <v>54</v>
      </c>
      <c r="E251">
        <v>22.792025065084399</v>
      </c>
      <c r="F251">
        <v>22.791874398233901</v>
      </c>
      <c r="G251">
        <v>-1.5066685051579E-4</v>
      </c>
      <c r="H251">
        <v>-6.6105074071105699E-4</v>
      </c>
      <c r="I251" t="s">
        <v>66</v>
      </c>
    </row>
    <row r="252" spans="1:9" x14ac:dyDescent="0.35">
      <c r="A252" t="s">
        <v>15</v>
      </c>
      <c r="B252">
        <v>2030</v>
      </c>
      <c r="C252" t="s">
        <v>65</v>
      </c>
      <c r="D252" t="s">
        <v>55</v>
      </c>
      <c r="E252">
        <v>24.454911005492001</v>
      </c>
      <c r="F252">
        <v>24.4401689687562</v>
      </c>
      <c r="G252">
        <v>-1.47420367357575E-2</v>
      </c>
      <c r="H252">
        <v>-6.02825204820693E-2</v>
      </c>
      <c r="I252" t="s">
        <v>66</v>
      </c>
    </row>
    <row r="253" spans="1:9" x14ac:dyDescent="0.35">
      <c r="A253" t="s">
        <v>15</v>
      </c>
      <c r="B253">
        <v>2030</v>
      </c>
      <c r="C253" t="s">
        <v>65</v>
      </c>
      <c r="D253" t="s">
        <v>56</v>
      </c>
      <c r="E253" s="1">
        <v>2.02734265721799E-6</v>
      </c>
      <c r="F253" s="1">
        <v>2.02734265721799E-6</v>
      </c>
      <c r="G253">
        <v>0</v>
      </c>
      <c r="H253">
        <v>0</v>
      </c>
      <c r="I253" t="s">
        <v>66</v>
      </c>
    </row>
    <row r="254" spans="1:9" x14ac:dyDescent="0.35">
      <c r="A254" t="s">
        <v>17</v>
      </c>
      <c r="B254">
        <v>2035</v>
      </c>
      <c r="C254" t="s">
        <v>65</v>
      </c>
      <c r="D254" t="s">
        <v>38</v>
      </c>
      <c r="E254">
        <v>6.6793595161723701E-2</v>
      </c>
      <c r="F254">
        <v>6.6690351495653E-2</v>
      </c>
      <c r="G254">
        <v>-1.03243666070701E-4</v>
      </c>
      <c r="H254">
        <v>-0.15457120674628</v>
      </c>
      <c r="I254" t="s">
        <v>66</v>
      </c>
    </row>
    <row r="255" spans="1:9" x14ac:dyDescent="0.35">
      <c r="A255" t="s">
        <v>17</v>
      </c>
      <c r="B255">
        <v>2035</v>
      </c>
      <c r="C255" t="s">
        <v>65</v>
      </c>
      <c r="D255" t="s">
        <v>40</v>
      </c>
      <c r="E255">
        <v>9.4615581328489594E-3</v>
      </c>
      <c r="F255">
        <v>9.4615581328489594E-3</v>
      </c>
      <c r="G255">
        <v>0</v>
      </c>
      <c r="H255">
        <v>0</v>
      </c>
      <c r="I255" t="s">
        <v>66</v>
      </c>
    </row>
    <row r="256" spans="1:9" x14ac:dyDescent="0.35">
      <c r="A256" t="s">
        <v>17</v>
      </c>
      <c r="B256">
        <v>2035</v>
      </c>
      <c r="C256" t="s">
        <v>65</v>
      </c>
      <c r="D256" t="s">
        <v>41</v>
      </c>
      <c r="E256">
        <v>0.30438311538178398</v>
      </c>
      <c r="F256">
        <v>0.27989655134229002</v>
      </c>
      <c r="G256">
        <v>-2.4486564039494299E-2</v>
      </c>
      <c r="H256">
        <v>-8.0446525454544808</v>
      </c>
      <c r="I256" t="s">
        <v>66</v>
      </c>
    </row>
    <row r="257" spans="1:9" x14ac:dyDescent="0.35">
      <c r="A257" t="s">
        <v>17</v>
      </c>
      <c r="B257">
        <v>2035</v>
      </c>
      <c r="C257" t="s">
        <v>65</v>
      </c>
      <c r="D257" t="s">
        <v>42</v>
      </c>
      <c r="E257">
        <v>52.576835219429498</v>
      </c>
      <c r="F257">
        <v>52.378819352351798</v>
      </c>
      <c r="G257">
        <v>-0.198015867077735</v>
      </c>
      <c r="H257">
        <v>-0.37662188348027398</v>
      </c>
      <c r="I257" t="s">
        <v>66</v>
      </c>
    </row>
    <row r="258" spans="1:9" x14ac:dyDescent="0.35">
      <c r="A258" t="s">
        <v>17</v>
      </c>
      <c r="B258">
        <v>2035</v>
      </c>
      <c r="C258" t="s">
        <v>65</v>
      </c>
      <c r="D258" t="s">
        <v>43</v>
      </c>
      <c r="E258">
        <v>7.2540821289323501E-2</v>
      </c>
      <c r="F258">
        <v>6.5734337990842301E-2</v>
      </c>
      <c r="G258">
        <v>-6.8064832984811498E-3</v>
      </c>
      <c r="H258">
        <v>-9.3829697231218496</v>
      </c>
      <c r="I258" t="s">
        <v>66</v>
      </c>
    </row>
    <row r="259" spans="1:9" x14ac:dyDescent="0.35">
      <c r="A259" t="s">
        <v>17</v>
      </c>
      <c r="B259">
        <v>2035</v>
      </c>
      <c r="C259" t="s">
        <v>65</v>
      </c>
      <c r="D259" t="s">
        <v>136</v>
      </c>
      <c r="E259">
        <v>43.971891468601697</v>
      </c>
      <c r="F259">
        <v>42.663654211410702</v>
      </c>
      <c r="G259">
        <v>-1.30823725719096</v>
      </c>
      <c r="H259">
        <v>-2.9751671203980599</v>
      </c>
      <c r="I259" t="s">
        <v>66</v>
      </c>
    </row>
    <row r="260" spans="1:9" x14ac:dyDescent="0.35">
      <c r="A260" t="s">
        <v>17</v>
      </c>
      <c r="B260">
        <v>2035</v>
      </c>
      <c r="C260" t="s">
        <v>65</v>
      </c>
      <c r="D260" t="s">
        <v>45</v>
      </c>
      <c r="E260">
        <v>8.2834762043193094E-2</v>
      </c>
      <c r="F260">
        <v>7.4583462851136595E-2</v>
      </c>
      <c r="G260">
        <v>-8.2512991920564108E-3</v>
      </c>
      <c r="H260">
        <v>-9.9611551823543394</v>
      </c>
      <c r="I260" t="s">
        <v>66</v>
      </c>
    </row>
    <row r="261" spans="1:9" x14ac:dyDescent="0.35">
      <c r="A261" t="s">
        <v>17</v>
      </c>
      <c r="B261">
        <v>2035</v>
      </c>
      <c r="C261" t="s">
        <v>65</v>
      </c>
      <c r="D261" t="s">
        <v>46</v>
      </c>
      <c r="E261">
        <v>0.884900755975641</v>
      </c>
      <c r="F261">
        <v>0.884900755975641</v>
      </c>
      <c r="G261">
        <v>0</v>
      </c>
      <c r="H261">
        <v>0</v>
      </c>
      <c r="I261" t="s">
        <v>66</v>
      </c>
    </row>
    <row r="262" spans="1:9" x14ac:dyDescent="0.35">
      <c r="A262" t="s">
        <v>17</v>
      </c>
      <c r="B262">
        <v>2035</v>
      </c>
      <c r="C262" t="s">
        <v>65</v>
      </c>
      <c r="D262" t="s">
        <v>47</v>
      </c>
      <c r="E262">
        <v>3.6944106823397202E-2</v>
      </c>
      <c r="F262">
        <v>3.6944106823397202E-2</v>
      </c>
      <c r="G262">
        <v>0</v>
      </c>
      <c r="H262">
        <v>0</v>
      </c>
      <c r="I262" t="s">
        <v>66</v>
      </c>
    </row>
    <row r="263" spans="1:9" x14ac:dyDescent="0.35">
      <c r="A263" t="s">
        <v>17</v>
      </c>
      <c r="B263">
        <v>2035</v>
      </c>
      <c r="C263" t="s">
        <v>65</v>
      </c>
      <c r="D263" t="s">
        <v>48</v>
      </c>
      <c r="E263">
        <v>15.2937594362225</v>
      </c>
      <c r="F263">
        <v>15.2937594362225</v>
      </c>
      <c r="G263">
        <v>0</v>
      </c>
      <c r="H263">
        <v>0</v>
      </c>
      <c r="I263" t="s">
        <v>66</v>
      </c>
    </row>
    <row r="264" spans="1:9" x14ac:dyDescent="0.35">
      <c r="A264" t="s">
        <v>17</v>
      </c>
      <c r="B264">
        <v>2035</v>
      </c>
      <c r="C264" t="s">
        <v>65</v>
      </c>
      <c r="D264" t="s">
        <v>49</v>
      </c>
      <c r="E264">
        <v>0.20643734602018499</v>
      </c>
      <c r="F264">
        <v>0.18368786559379599</v>
      </c>
      <c r="G264">
        <v>-2.2749480426388798E-2</v>
      </c>
      <c r="H264">
        <v>-11.020041123840199</v>
      </c>
      <c r="I264" t="s">
        <v>66</v>
      </c>
    </row>
    <row r="265" spans="1:9" x14ac:dyDescent="0.35">
      <c r="A265" t="s">
        <v>17</v>
      </c>
      <c r="B265">
        <v>2035</v>
      </c>
      <c r="C265" t="s">
        <v>65</v>
      </c>
      <c r="D265" t="s">
        <v>50</v>
      </c>
      <c r="E265">
        <v>6.7513139625926699E-2</v>
      </c>
      <c r="F265">
        <v>6.7513139625926699E-2</v>
      </c>
      <c r="G265">
        <v>0</v>
      </c>
      <c r="H265">
        <v>0</v>
      </c>
      <c r="I265" t="s">
        <v>66</v>
      </c>
    </row>
    <row r="266" spans="1:9" x14ac:dyDescent="0.35">
      <c r="A266" t="s">
        <v>17</v>
      </c>
      <c r="B266">
        <v>2035</v>
      </c>
      <c r="C266" t="s">
        <v>65</v>
      </c>
      <c r="D266" t="s">
        <v>51</v>
      </c>
      <c r="E266">
        <v>1.2307453745018799</v>
      </c>
      <c r="F266">
        <v>1.2307453745018799</v>
      </c>
      <c r="G266">
        <v>0</v>
      </c>
      <c r="H266">
        <v>0</v>
      </c>
      <c r="I266" t="s">
        <v>66</v>
      </c>
    </row>
    <row r="267" spans="1:9" x14ac:dyDescent="0.35">
      <c r="A267" t="s">
        <v>17</v>
      </c>
      <c r="B267">
        <v>2035</v>
      </c>
      <c r="C267" t="s">
        <v>65</v>
      </c>
      <c r="D267" t="s">
        <v>52</v>
      </c>
      <c r="E267">
        <v>0.61332599197835502</v>
      </c>
      <c r="F267">
        <v>0.61332599197835502</v>
      </c>
      <c r="G267">
        <v>0</v>
      </c>
      <c r="H267">
        <v>0</v>
      </c>
      <c r="I267" t="s">
        <v>66</v>
      </c>
    </row>
    <row r="268" spans="1:9" x14ac:dyDescent="0.35">
      <c r="A268" t="s">
        <v>17</v>
      </c>
      <c r="B268">
        <v>2035</v>
      </c>
      <c r="C268" t="s">
        <v>65</v>
      </c>
      <c r="D268" t="s">
        <v>53</v>
      </c>
      <c r="E268">
        <v>8.6038458270735507</v>
      </c>
      <c r="F268">
        <v>8.6038458270735507</v>
      </c>
      <c r="G268">
        <v>0</v>
      </c>
      <c r="H268">
        <v>0</v>
      </c>
      <c r="I268" t="s">
        <v>66</v>
      </c>
    </row>
    <row r="269" spans="1:9" x14ac:dyDescent="0.35">
      <c r="A269" t="s">
        <v>17</v>
      </c>
      <c r="B269">
        <v>2035</v>
      </c>
      <c r="C269" t="s">
        <v>65</v>
      </c>
      <c r="D269" t="s">
        <v>54</v>
      </c>
      <c r="E269">
        <v>22.797868378255899</v>
      </c>
      <c r="F269">
        <v>22.797826894598799</v>
      </c>
      <c r="G269" s="1">
        <v>-4.1483657032159699E-5</v>
      </c>
      <c r="H269">
        <v>-1.8196287628244101E-4</v>
      </c>
      <c r="I269" t="s">
        <v>66</v>
      </c>
    </row>
    <row r="270" spans="1:9" x14ac:dyDescent="0.35">
      <c r="A270" t="s">
        <v>17</v>
      </c>
      <c r="B270">
        <v>2035</v>
      </c>
      <c r="C270" t="s">
        <v>65</v>
      </c>
      <c r="D270" t="s">
        <v>55</v>
      </c>
      <c r="E270">
        <v>24.459695067174501</v>
      </c>
      <c r="F270">
        <v>24.455532690977901</v>
      </c>
      <c r="G270">
        <v>-4.1623761965610103E-3</v>
      </c>
      <c r="H270">
        <v>-1.7017285723022E-2</v>
      </c>
      <c r="I270" t="s">
        <v>66</v>
      </c>
    </row>
    <row r="271" spans="1:9" x14ac:dyDescent="0.35">
      <c r="A271" t="s">
        <v>17</v>
      </c>
      <c r="B271">
        <v>2035</v>
      </c>
      <c r="C271" t="s">
        <v>65</v>
      </c>
      <c r="D271" t="s">
        <v>56</v>
      </c>
      <c r="E271" s="1">
        <v>1.9260744445068299E-6</v>
      </c>
      <c r="F271" s="1">
        <v>1.9260744445068299E-6</v>
      </c>
      <c r="G271">
        <v>0</v>
      </c>
      <c r="H271">
        <v>0</v>
      </c>
      <c r="I271" t="s">
        <v>66</v>
      </c>
    </row>
    <row r="272" spans="1:9" x14ac:dyDescent="0.35">
      <c r="A272" t="s">
        <v>19</v>
      </c>
      <c r="B272">
        <v>2040</v>
      </c>
      <c r="C272" t="s">
        <v>65</v>
      </c>
      <c r="D272" t="s">
        <v>38</v>
      </c>
      <c r="E272">
        <v>6.9649505773833303E-2</v>
      </c>
      <c r="F272">
        <v>6.9172254495957097E-2</v>
      </c>
      <c r="G272">
        <v>-4.7725127787627498E-4</v>
      </c>
      <c r="H272">
        <v>-0.68521847007215098</v>
      </c>
      <c r="I272" t="s">
        <v>66</v>
      </c>
    </row>
    <row r="273" spans="1:9" x14ac:dyDescent="0.35">
      <c r="A273" t="s">
        <v>19</v>
      </c>
      <c r="B273">
        <v>2040</v>
      </c>
      <c r="C273" t="s">
        <v>65</v>
      </c>
      <c r="D273" t="s">
        <v>40</v>
      </c>
      <c r="E273">
        <v>9.3517395421477793E-3</v>
      </c>
      <c r="F273">
        <v>9.3517395421477793E-3</v>
      </c>
      <c r="G273">
        <v>0</v>
      </c>
      <c r="H273">
        <v>0</v>
      </c>
      <c r="I273" t="s">
        <v>66</v>
      </c>
    </row>
    <row r="274" spans="1:9" x14ac:dyDescent="0.35">
      <c r="A274" t="s">
        <v>19</v>
      </c>
      <c r="B274">
        <v>2040</v>
      </c>
      <c r="C274" t="s">
        <v>65</v>
      </c>
      <c r="D274" t="s">
        <v>41</v>
      </c>
      <c r="E274">
        <v>0.30429713084902199</v>
      </c>
      <c r="F274">
        <v>0.16953300250251299</v>
      </c>
      <c r="G274">
        <v>-0.134764128346509</v>
      </c>
      <c r="H274">
        <v>-44.287019062750502</v>
      </c>
      <c r="I274" t="s">
        <v>66</v>
      </c>
    </row>
    <row r="275" spans="1:9" x14ac:dyDescent="0.35">
      <c r="A275" t="s">
        <v>19</v>
      </c>
      <c r="B275">
        <v>2040</v>
      </c>
      <c r="C275" t="s">
        <v>65</v>
      </c>
      <c r="D275" t="s">
        <v>42</v>
      </c>
      <c r="E275">
        <v>52.672048372891602</v>
      </c>
      <c r="F275">
        <v>51.780853878061997</v>
      </c>
      <c r="G275">
        <v>-0.89119449482965496</v>
      </c>
      <c r="H275">
        <v>-1.69196855326461</v>
      </c>
      <c r="I275" t="s">
        <v>66</v>
      </c>
    </row>
    <row r="276" spans="1:9" x14ac:dyDescent="0.35">
      <c r="A276" t="s">
        <v>19</v>
      </c>
      <c r="B276">
        <v>2040</v>
      </c>
      <c r="C276" t="s">
        <v>65</v>
      </c>
      <c r="D276" t="s">
        <v>43</v>
      </c>
      <c r="E276">
        <v>7.3243648901557101E-2</v>
      </c>
      <c r="F276">
        <v>4.1462134257671403E-2</v>
      </c>
      <c r="G276">
        <v>-3.1781514643885601E-2</v>
      </c>
      <c r="H276">
        <v>-43.391495536495498</v>
      </c>
      <c r="I276" t="s">
        <v>66</v>
      </c>
    </row>
    <row r="277" spans="1:9" x14ac:dyDescent="0.35">
      <c r="A277" t="s">
        <v>19</v>
      </c>
      <c r="B277">
        <v>2040</v>
      </c>
      <c r="C277" t="s">
        <v>65</v>
      </c>
      <c r="D277" t="s">
        <v>136</v>
      </c>
      <c r="E277">
        <v>43.916090191279302</v>
      </c>
      <c r="F277">
        <v>33.296811036052198</v>
      </c>
      <c r="G277">
        <v>-10.619279155227</v>
      </c>
      <c r="H277">
        <v>-24.180839207165501</v>
      </c>
      <c r="I277" t="s">
        <v>66</v>
      </c>
    </row>
    <row r="278" spans="1:9" x14ac:dyDescent="0.35">
      <c r="A278" t="s">
        <v>19</v>
      </c>
      <c r="B278">
        <v>2040</v>
      </c>
      <c r="C278" t="s">
        <v>65</v>
      </c>
      <c r="D278" t="s">
        <v>45</v>
      </c>
      <c r="E278">
        <v>8.2592892848165497E-2</v>
      </c>
      <c r="F278">
        <v>4.4031899153407203E-2</v>
      </c>
      <c r="G278">
        <v>-3.8560993694758197E-2</v>
      </c>
      <c r="H278">
        <v>-46.688028915086903</v>
      </c>
      <c r="I278" t="s">
        <v>66</v>
      </c>
    </row>
    <row r="279" spans="1:9" x14ac:dyDescent="0.35">
      <c r="A279" t="s">
        <v>19</v>
      </c>
      <c r="B279">
        <v>2040</v>
      </c>
      <c r="C279" t="s">
        <v>65</v>
      </c>
      <c r="D279" t="s">
        <v>46</v>
      </c>
      <c r="E279">
        <v>1.20921896165475</v>
      </c>
      <c r="F279">
        <v>1.20921896165475</v>
      </c>
      <c r="G279">
        <v>0</v>
      </c>
      <c r="H279">
        <v>0</v>
      </c>
      <c r="I279" t="s">
        <v>66</v>
      </c>
    </row>
    <row r="280" spans="1:9" x14ac:dyDescent="0.35">
      <c r="A280" t="s">
        <v>19</v>
      </c>
      <c r="B280">
        <v>2040</v>
      </c>
      <c r="C280" t="s">
        <v>65</v>
      </c>
      <c r="D280" t="s">
        <v>47</v>
      </c>
      <c r="E280">
        <v>3.7051129592731102E-2</v>
      </c>
      <c r="F280">
        <v>3.7051129592731102E-2</v>
      </c>
      <c r="G280">
        <v>0</v>
      </c>
      <c r="H280">
        <v>0</v>
      </c>
      <c r="I280" t="s">
        <v>66</v>
      </c>
    </row>
    <row r="281" spans="1:9" x14ac:dyDescent="0.35">
      <c r="A281" t="s">
        <v>19</v>
      </c>
      <c r="B281">
        <v>2040</v>
      </c>
      <c r="C281" t="s">
        <v>65</v>
      </c>
      <c r="D281" t="s">
        <v>48</v>
      </c>
      <c r="E281">
        <v>15.298409196567899</v>
      </c>
      <c r="F281">
        <v>15.298409196567899</v>
      </c>
      <c r="G281">
        <v>0</v>
      </c>
      <c r="H281">
        <v>0</v>
      </c>
      <c r="I281" t="s">
        <v>66</v>
      </c>
    </row>
    <row r="282" spans="1:9" x14ac:dyDescent="0.35">
      <c r="A282" t="s">
        <v>19</v>
      </c>
      <c r="B282">
        <v>2040</v>
      </c>
      <c r="C282" t="s">
        <v>65</v>
      </c>
      <c r="D282" t="s">
        <v>49</v>
      </c>
      <c r="E282">
        <v>0.20701351030536599</v>
      </c>
      <c r="F282">
        <v>0.101379676822434</v>
      </c>
      <c r="G282">
        <v>-0.105633833482931</v>
      </c>
      <c r="H282">
        <v>-51.027507010103101</v>
      </c>
      <c r="I282" t="s">
        <v>66</v>
      </c>
    </row>
    <row r="283" spans="1:9" x14ac:dyDescent="0.35">
      <c r="A283" t="s">
        <v>19</v>
      </c>
      <c r="B283">
        <v>2040</v>
      </c>
      <c r="C283" t="s">
        <v>65</v>
      </c>
      <c r="D283" t="s">
        <v>50</v>
      </c>
      <c r="E283">
        <v>7.9037350216368804E-2</v>
      </c>
      <c r="F283">
        <v>7.9037350216368804E-2</v>
      </c>
      <c r="G283">
        <v>0</v>
      </c>
      <c r="H283">
        <v>0</v>
      </c>
      <c r="I283" t="s">
        <v>66</v>
      </c>
    </row>
    <row r="284" spans="1:9" x14ac:dyDescent="0.35">
      <c r="A284" t="s">
        <v>19</v>
      </c>
      <c r="B284">
        <v>2040</v>
      </c>
      <c r="C284" t="s">
        <v>65</v>
      </c>
      <c r="D284" t="s">
        <v>51</v>
      </c>
      <c r="E284">
        <v>1.23668804652838</v>
      </c>
      <c r="F284">
        <v>1.23668804652838</v>
      </c>
      <c r="G284">
        <v>0</v>
      </c>
      <c r="H284">
        <v>0</v>
      </c>
      <c r="I284" t="s">
        <v>66</v>
      </c>
    </row>
    <row r="285" spans="1:9" x14ac:dyDescent="0.35">
      <c r="A285" t="s">
        <v>19</v>
      </c>
      <c r="B285">
        <v>2040</v>
      </c>
      <c r="C285" t="s">
        <v>65</v>
      </c>
      <c r="D285" t="s">
        <v>52</v>
      </c>
      <c r="E285">
        <v>0.58228629720268299</v>
      </c>
      <c r="F285">
        <v>0.58228629720268299</v>
      </c>
      <c r="G285">
        <v>0</v>
      </c>
      <c r="H285">
        <v>0</v>
      </c>
      <c r="I285" t="s">
        <v>66</v>
      </c>
    </row>
    <row r="286" spans="1:9" x14ac:dyDescent="0.35">
      <c r="A286" t="s">
        <v>19</v>
      </c>
      <c r="B286">
        <v>2040</v>
      </c>
      <c r="C286" t="s">
        <v>65</v>
      </c>
      <c r="D286" t="s">
        <v>53</v>
      </c>
      <c r="E286">
        <v>8.5658543066208495</v>
      </c>
      <c r="F286">
        <v>8.5658543066208495</v>
      </c>
      <c r="G286">
        <v>0</v>
      </c>
      <c r="H286">
        <v>0</v>
      </c>
      <c r="I286" t="s">
        <v>66</v>
      </c>
    </row>
    <row r="287" spans="1:9" x14ac:dyDescent="0.35">
      <c r="A287" t="s">
        <v>19</v>
      </c>
      <c r="B287">
        <v>2040</v>
      </c>
      <c r="C287" t="s">
        <v>65</v>
      </c>
      <c r="D287" t="s">
        <v>54</v>
      </c>
      <c r="E287">
        <v>22.806770997647899</v>
      </c>
      <c r="F287">
        <v>22.806578846959098</v>
      </c>
      <c r="G287">
        <v>-1.9215068878608501E-4</v>
      </c>
      <c r="H287">
        <v>-8.4251597390047996E-4</v>
      </c>
      <c r="I287" t="s">
        <v>66</v>
      </c>
    </row>
    <row r="288" spans="1:9" x14ac:dyDescent="0.35">
      <c r="A288" t="s">
        <v>19</v>
      </c>
      <c r="B288">
        <v>2040</v>
      </c>
      <c r="C288" t="s">
        <v>65</v>
      </c>
      <c r="D288" t="s">
        <v>55</v>
      </c>
      <c r="E288">
        <v>24.467371906918501</v>
      </c>
      <c r="F288">
        <v>24.448467476012699</v>
      </c>
      <c r="G288">
        <v>-1.8904430905862999E-2</v>
      </c>
      <c r="H288">
        <v>-7.7263839278616797E-2</v>
      </c>
      <c r="I288" t="s">
        <v>66</v>
      </c>
    </row>
    <row r="289" spans="1:9" x14ac:dyDescent="0.35">
      <c r="A289" t="s">
        <v>19</v>
      </c>
      <c r="B289">
        <v>2040</v>
      </c>
      <c r="C289" t="s">
        <v>65</v>
      </c>
      <c r="D289" t="s">
        <v>56</v>
      </c>
      <c r="E289" s="1">
        <v>1.8798115613406799E-6</v>
      </c>
      <c r="F289" s="1">
        <v>1.8798115613406799E-6</v>
      </c>
      <c r="G289">
        <v>0</v>
      </c>
      <c r="H289">
        <v>0</v>
      </c>
      <c r="I289" t="s">
        <v>66</v>
      </c>
    </row>
    <row r="290" spans="1:9" x14ac:dyDescent="0.35">
      <c r="A290" t="s">
        <v>13</v>
      </c>
      <c r="B290">
        <v>2025</v>
      </c>
      <c r="C290" t="s">
        <v>76</v>
      </c>
      <c r="D290" t="s">
        <v>38</v>
      </c>
      <c r="E290">
        <v>1.19709489118724E-3</v>
      </c>
      <c r="F290">
        <v>1.19709489118724E-3</v>
      </c>
      <c r="G290">
        <v>0</v>
      </c>
      <c r="H290">
        <v>0</v>
      </c>
      <c r="I290" t="s">
        <v>77</v>
      </c>
    </row>
    <row r="291" spans="1:9" x14ac:dyDescent="0.35">
      <c r="A291" t="s">
        <v>13</v>
      </c>
      <c r="B291">
        <v>2025</v>
      </c>
      <c r="C291" t="s">
        <v>76</v>
      </c>
      <c r="D291" t="s">
        <v>40</v>
      </c>
      <c r="E291">
        <v>6.9122038037164497E-4</v>
      </c>
      <c r="F291">
        <v>6.9122038037164497E-4</v>
      </c>
      <c r="G291">
        <v>0</v>
      </c>
      <c r="H291">
        <v>0</v>
      </c>
      <c r="I291" t="s">
        <v>77</v>
      </c>
    </row>
    <row r="292" spans="1:9" x14ac:dyDescent="0.35">
      <c r="A292" t="s">
        <v>13</v>
      </c>
      <c r="B292">
        <v>2025</v>
      </c>
      <c r="C292" t="s">
        <v>76</v>
      </c>
      <c r="D292" t="s">
        <v>41</v>
      </c>
      <c r="E292">
        <v>9.2647831376164204E-3</v>
      </c>
      <c r="F292">
        <v>9.2647831376164204E-3</v>
      </c>
      <c r="G292">
        <v>0</v>
      </c>
      <c r="H292">
        <v>0</v>
      </c>
      <c r="I292" t="s">
        <v>77</v>
      </c>
    </row>
    <row r="293" spans="1:9" x14ac:dyDescent="0.35">
      <c r="A293" t="s">
        <v>13</v>
      </c>
      <c r="B293">
        <v>2025</v>
      </c>
      <c r="C293" t="s">
        <v>76</v>
      </c>
      <c r="D293" t="s">
        <v>42</v>
      </c>
      <c r="E293">
        <v>1.72846329810174</v>
      </c>
      <c r="F293">
        <v>1.72846329810174</v>
      </c>
      <c r="G293">
        <v>0</v>
      </c>
      <c r="H293">
        <v>0</v>
      </c>
      <c r="I293" t="s">
        <v>77</v>
      </c>
    </row>
    <row r="294" spans="1:9" x14ac:dyDescent="0.35">
      <c r="A294" t="s">
        <v>13</v>
      </c>
      <c r="B294">
        <v>2025</v>
      </c>
      <c r="C294" t="s">
        <v>76</v>
      </c>
      <c r="D294" t="s">
        <v>43</v>
      </c>
      <c r="E294">
        <v>8.1946466531051202E-3</v>
      </c>
      <c r="F294">
        <v>8.1946466531051202E-3</v>
      </c>
      <c r="G294">
        <v>0</v>
      </c>
      <c r="H294">
        <v>0</v>
      </c>
      <c r="I294" t="s">
        <v>77</v>
      </c>
    </row>
    <row r="295" spans="1:9" x14ac:dyDescent="0.35">
      <c r="A295" t="s">
        <v>13</v>
      </c>
      <c r="B295">
        <v>2025</v>
      </c>
      <c r="C295" t="s">
        <v>76</v>
      </c>
      <c r="D295" t="s">
        <v>136</v>
      </c>
      <c r="E295">
        <v>2.0671621892255199</v>
      </c>
      <c r="F295">
        <v>2.0671621892255199</v>
      </c>
      <c r="G295">
        <v>0</v>
      </c>
      <c r="H295">
        <v>0</v>
      </c>
      <c r="I295" t="s">
        <v>77</v>
      </c>
    </row>
    <row r="296" spans="1:9" x14ac:dyDescent="0.35">
      <c r="A296" t="s">
        <v>13</v>
      </c>
      <c r="B296">
        <v>2025</v>
      </c>
      <c r="C296" t="s">
        <v>76</v>
      </c>
      <c r="D296" t="s">
        <v>45</v>
      </c>
      <c r="E296">
        <v>5.8572690658797296E-3</v>
      </c>
      <c r="F296">
        <v>5.8572690658797296E-3</v>
      </c>
      <c r="G296">
        <v>0</v>
      </c>
      <c r="H296">
        <v>0</v>
      </c>
      <c r="I296" t="s">
        <v>77</v>
      </c>
    </row>
    <row r="297" spans="1:9" x14ac:dyDescent="0.35">
      <c r="A297" t="s">
        <v>13</v>
      </c>
      <c r="B297">
        <v>2025</v>
      </c>
      <c r="C297" t="s">
        <v>76</v>
      </c>
      <c r="D297" t="s">
        <v>46</v>
      </c>
      <c r="E297">
        <v>0.111436596237021</v>
      </c>
      <c r="F297">
        <v>0.111436596237021</v>
      </c>
      <c r="G297">
        <v>0</v>
      </c>
      <c r="H297">
        <v>0</v>
      </c>
      <c r="I297" t="s">
        <v>77</v>
      </c>
    </row>
    <row r="298" spans="1:9" x14ac:dyDescent="0.35">
      <c r="A298" t="s">
        <v>13</v>
      </c>
      <c r="B298">
        <v>2025</v>
      </c>
      <c r="C298" t="s">
        <v>76</v>
      </c>
      <c r="D298" t="s">
        <v>47</v>
      </c>
      <c r="E298">
        <v>1.9433152902689601E-3</v>
      </c>
      <c r="F298">
        <v>1.9433152902689601E-3</v>
      </c>
      <c r="G298">
        <v>0</v>
      </c>
      <c r="H298">
        <v>0</v>
      </c>
      <c r="I298" t="s">
        <v>77</v>
      </c>
    </row>
    <row r="299" spans="1:9" x14ac:dyDescent="0.35">
      <c r="A299" t="s">
        <v>13</v>
      </c>
      <c r="B299">
        <v>2025</v>
      </c>
      <c r="C299" t="s">
        <v>76</v>
      </c>
      <c r="D299" t="s">
        <v>48</v>
      </c>
      <c r="E299">
        <v>0.27177180393990502</v>
      </c>
      <c r="F299">
        <v>0.27177180393990502</v>
      </c>
      <c r="G299">
        <v>0</v>
      </c>
      <c r="H299">
        <v>0</v>
      </c>
      <c r="I299" t="s">
        <v>77</v>
      </c>
    </row>
    <row r="300" spans="1:9" x14ac:dyDescent="0.35">
      <c r="A300" t="s">
        <v>13</v>
      </c>
      <c r="B300">
        <v>2025</v>
      </c>
      <c r="C300" t="s">
        <v>76</v>
      </c>
      <c r="D300" t="s">
        <v>49</v>
      </c>
      <c r="E300">
        <v>1.4804415934683599E-2</v>
      </c>
      <c r="F300">
        <v>1.4804415934683599E-2</v>
      </c>
      <c r="G300">
        <v>0</v>
      </c>
      <c r="H300">
        <v>0</v>
      </c>
      <c r="I300" t="s">
        <v>77</v>
      </c>
    </row>
    <row r="301" spans="1:9" x14ac:dyDescent="0.35">
      <c r="A301" t="s">
        <v>13</v>
      </c>
      <c r="B301">
        <v>2025</v>
      </c>
      <c r="C301" t="s">
        <v>76</v>
      </c>
      <c r="D301" t="s">
        <v>50</v>
      </c>
      <c r="E301">
        <v>5.9907402061065698E-3</v>
      </c>
      <c r="F301">
        <v>5.9907402061065698E-3</v>
      </c>
      <c r="G301">
        <v>0</v>
      </c>
      <c r="H301">
        <v>0</v>
      </c>
      <c r="I301" t="s">
        <v>77</v>
      </c>
    </row>
    <row r="302" spans="1:9" x14ac:dyDescent="0.35">
      <c r="A302" t="s">
        <v>13</v>
      </c>
      <c r="B302">
        <v>2025</v>
      </c>
      <c r="C302" t="s">
        <v>76</v>
      </c>
      <c r="D302" t="s">
        <v>51</v>
      </c>
      <c r="E302">
        <v>0.16827532244573401</v>
      </c>
      <c r="F302">
        <v>0.16827532244573401</v>
      </c>
      <c r="G302">
        <v>0</v>
      </c>
      <c r="H302">
        <v>0</v>
      </c>
      <c r="I302" t="s">
        <v>77</v>
      </c>
    </row>
    <row r="303" spans="1:9" x14ac:dyDescent="0.35">
      <c r="A303" t="s">
        <v>13</v>
      </c>
      <c r="B303">
        <v>2025</v>
      </c>
      <c r="C303" t="s">
        <v>76</v>
      </c>
      <c r="D303" t="s">
        <v>52</v>
      </c>
      <c r="E303">
        <v>0.180391235521217</v>
      </c>
      <c r="F303">
        <v>0.180391235521217</v>
      </c>
      <c r="G303">
        <v>0</v>
      </c>
      <c r="H303">
        <v>0</v>
      </c>
      <c r="I303" t="s">
        <v>77</v>
      </c>
    </row>
    <row r="304" spans="1:9" x14ac:dyDescent="0.35">
      <c r="A304" t="s">
        <v>13</v>
      </c>
      <c r="B304">
        <v>2025</v>
      </c>
      <c r="C304" t="s">
        <v>76</v>
      </c>
      <c r="D304" t="s">
        <v>53</v>
      </c>
      <c r="E304">
        <v>0.62491704410497795</v>
      </c>
      <c r="F304">
        <v>0.62491704410497795</v>
      </c>
      <c r="G304">
        <v>0</v>
      </c>
      <c r="H304">
        <v>0</v>
      </c>
      <c r="I304" t="s">
        <v>77</v>
      </c>
    </row>
    <row r="305" spans="1:9" x14ac:dyDescent="0.35">
      <c r="A305" t="s">
        <v>13</v>
      </c>
      <c r="B305">
        <v>2025</v>
      </c>
      <c r="C305" t="s">
        <v>76</v>
      </c>
      <c r="D305" t="s">
        <v>54</v>
      </c>
      <c r="E305">
        <v>0.114286475501271</v>
      </c>
      <c r="F305">
        <v>0.114286475501271</v>
      </c>
      <c r="G305">
        <v>0</v>
      </c>
      <c r="H305">
        <v>0</v>
      </c>
      <c r="I305" t="s">
        <v>77</v>
      </c>
    </row>
    <row r="306" spans="1:9" x14ac:dyDescent="0.35">
      <c r="A306" t="s">
        <v>13</v>
      </c>
      <c r="B306">
        <v>2025</v>
      </c>
      <c r="C306" t="s">
        <v>76</v>
      </c>
      <c r="D306" t="s">
        <v>55</v>
      </c>
      <c r="E306">
        <v>0.10592622122766999</v>
      </c>
      <c r="F306">
        <v>0.10592622122766999</v>
      </c>
      <c r="G306">
        <v>0</v>
      </c>
      <c r="H306">
        <v>0</v>
      </c>
      <c r="I306" t="s">
        <v>77</v>
      </c>
    </row>
    <row r="307" spans="1:9" x14ac:dyDescent="0.35">
      <c r="A307" t="s">
        <v>13</v>
      </c>
      <c r="B307">
        <v>2025</v>
      </c>
      <c r="C307" t="s">
        <v>76</v>
      </c>
      <c r="D307" t="s">
        <v>56</v>
      </c>
      <c r="E307" s="1">
        <v>2.5018433898451301E-7</v>
      </c>
      <c r="F307" s="1">
        <v>2.5018433898451301E-7</v>
      </c>
      <c r="G307">
        <v>0</v>
      </c>
      <c r="H307">
        <v>0</v>
      </c>
      <c r="I307" t="s">
        <v>77</v>
      </c>
    </row>
    <row r="308" spans="1:9" x14ac:dyDescent="0.35">
      <c r="A308" t="s">
        <v>15</v>
      </c>
      <c r="B308">
        <v>2030</v>
      </c>
      <c r="C308" t="s">
        <v>76</v>
      </c>
      <c r="D308" t="s">
        <v>38</v>
      </c>
      <c r="E308">
        <v>1.2574478207252799E-3</v>
      </c>
      <c r="F308">
        <v>1.2574478207252799E-3</v>
      </c>
      <c r="G308">
        <v>0</v>
      </c>
      <c r="H308">
        <v>0</v>
      </c>
      <c r="I308" t="s">
        <v>77</v>
      </c>
    </row>
    <row r="309" spans="1:9" x14ac:dyDescent="0.35">
      <c r="A309" t="s">
        <v>15</v>
      </c>
      <c r="B309">
        <v>2030</v>
      </c>
      <c r="C309" t="s">
        <v>76</v>
      </c>
      <c r="D309" t="s">
        <v>40</v>
      </c>
      <c r="E309">
        <v>6.5501377768189997E-4</v>
      </c>
      <c r="F309">
        <v>6.5501377768189997E-4</v>
      </c>
      <c r="G309">
        <v>0</v>
      </c>
      <c r="H309">
        <v>0</v>
      </c>
      <c r="I309" t="s">
        <v>77</v>
      </c>
    </row>
    <row r="310" spans="1:9" x14ac:dyDescent="0.35">
      <c r="A310" t="s">
        <v>15</v>
      </c>
      <c r="B310">
        <v>2030</v>
      </c>
      <c r="C310" t="s">
        <v>76</v>
      </c>
      <c r="D310" t="s">
        <v>41</v>
      </c>
      <c r="E310">
        <v>8.8848685875336404E-3</v>
      </c>
      <c r="F310">
        <v>8.8848685875336404E-3</v>
      </c>
      <c r="G310">
        <v>0</v>
      </c>
      <c r="H310">
        <v>0</v>
      </c>
      <c r="I310" t="s">
        <v>77</v>
      </c>
    </row>
    <row r="311" spans="1:9" x14ac:dyDescent="0.35">
      <c r="A311" t="s">
        <v>15</v>
      </c>
      <c r="B311">
        <v>2030</v>
      </c>
      <c r="C311" t="s">
        <v>76</v>
      </c>
      <c r="D311" t="s">
        <v>42</v>
      </c>
      <c r="E311">
        <v>1.68078477209669</v>
      </c>
      <c r="F311">
        <v>1.68078477209669</v>
      </c>
      <c r="G311">
        <v>0</v>
      </c>
      <c r="H311">
        <v>0</v>
      </c>
      <c r="I311" t="s">
        <v>77</v>
      </c>
    </row>
    <row r="312" spans="1:9" x14ac:dyDescent="0.35">
      <c r="A312" t="s">
        <v>15</v>
      </c>
      <c r="B312">
        <v>2030</v>
      </c>
      <c r="C312" t="s">
        <v>76</v>
      </c>
      <c r="D312" t="s">
        <v>43</v>
      </c>
      <c r="E312">
        <v>8.0985498637916094E-3</v>
      </c>
      <c r="F312">
        <v>8.0985498637916094E-3</v>
      </c>
      <c r="G312">
        <v>0</v>
      </c>
      <c r="H312">
        <v>0</v>
      </c>
      <c r="I312" t="s">
        <v>77</v>
      </c>
    </row>
    <row r="313" spans="1:9" x14ac:dyDescent="0.35">
      <c r="A313" t="s">
        <v>15</v>
      </c>
      <c r="B313">
        <v>2030</v>
      </c>
      <c r="C313" t="s">
        <v>76</v>
      </c>
      <c r="D313" t="s">
        <v>136</v>
      </c>
      <c r="E313">
        <v>1.93432156274407</v>
      </c>
      <c r="F313">
        <v>1.93432156274407</v>
      </c>
      <c r="G313">
        <v>0</v>
      </c>
      <c r="H313">
        <v>0</v>
      </c>
      <c r="I313" t="s">
        <v>77</v>
      </c>
    </row>
    <row r="314" spans="1:9" x14ac:dyDescent="0.35">
      <c r="A314" t="s">
        <v>15</v>
      </c>
      <c r="B314">
        <v>2030</v>
      </c>
      <c r="C314" t="s">
        <v>76</v>
      </c>
      <c r="D314" t="s">
        <v>45</v>
      </c>
      <c r="E314">
        <v>5.4683024426199298E-3</v>
      </c>
      <c r="F314">
        <v>5.4683024426199298E-3</v>
      </c>
      <c r="G314">
        <v>0</v>
      </c>
      <c r="H314">
        <v>0</v>
      </c>
      <c r="I314" t="s">
        <v>77</v>
      </c>
    </row>
    <row r="315" spans="1:9" x14ac:dyDescent="0.35">
      <c r="A315" t="s">
        <v>15</v>
      </c>
      <c r="B315">
        <v>2030</v>
      </c>
      <c r="C315" t="s">
        <v>76</v>
      </c>
      <c r="D315" t="s">
        <v>46</v>
      </c>
      <c r="E315">
        <v>0.131307182712842</v>
      </c>
      <c r="F315">
        <v>0.131307182712842</v>
      </c>
      <c r="G315">
        <v>0</v>
      </c>
      <c r="H315">
        <v>0</v>
      </c>
      <c r="I315" t="s">
        <v>77</v>
      </c>
    </row>
    <row r="316" spans="1:9" x14ac:dyDescent="0.35">
      <c r="A316" t="s">
        <v>15</v>
      </c>
      <c r="B316">
        <v>2030</v>
      </c>
      <c r="C316" t="s">
        <v>76</v>
      </c>
      <c r="D316" t="s">
        <v>47</v>
      </c>
      <c r="E316">
        <v>1.8939494345569701E-3</v>
      </c>
      <c r="F316">
        <v>1.8939494345569701E-3</v>
      </c>
      <c r="G316">
        <v>0</v>
      </c>
      <c r="H316">
        <v>0</v>
      </c>
      <c r="I316" t="s">
        <v>77</v>
      </c>
    </row>
    <row r="317" spans="1:9" x14ac:dyDescent="0.35">
      <c r="A317" t="s">
        <v>15</v>
      </c>
      <c r="B317">
        <v>2030</v>
      </c>
      <c r="C317" t="s">
        <v>76</v>
      </c>
      <c r="D317" t="s">
        <v>48</v>
      </c>
      <c r="E317">
        <v>0.27095241136453602</v>
      </c>
      <c r="F317">
        <v>0.27095241136453602</v>
      </c>
      <c r="G317">
        <v>0</v>
      </c>
      <c r="H317">
        <v>0</v>
      </c>
      <c r="I317" t="s">
        <v>77</v>
      </c>
    </row>
    <row r="318" spans="1:9" x14ac:dyDescent="0.35">
      <c r="A318" t="s">
        <v>15</v>
      </c>
      <c r="B318">
        <v>2030</v>
      </c>
      <c r="C318" t="s">
        <v>76</v>
      </c>
      <c r="D318" t="s">
        <v>49</v>
      </c>
      <c r="E318">
        <v>1.4306945266987E-2</v>
      </c>
      <c r="F318">
        <v>1.4306945266987E-2</v>
      </c>
      <c r="G318">
        <v>0</v>
      </c>
      <c r="H318">
        <v>0</v>
      </c>
      <c r="I318" t="s">
        <v>77</v>
      </c>
    </row>
    <row r="319" spans="1:9" x14ac:dyDescent="0.35">
      <c r="A319" t="s">
        <v>15</v>
      </c>
      <c r="B319">
        <v>2030</v>
      </c>
      <c r="C319" t="s">
        <v>76</v>
      </c>
      <c r="D319" t="s">
        <v>50</v>
      </c>
      <c r="E319">
        <v>6.0994259162947704E-3</v>
      </c>
      <c r="F319">
        <v>6.0994259162947704E-3</v>
      </c>
      <c r="G319">
        <v>0</v>
      </c>
      <c r="H319">
        <v>0</v>
      </c>
      <c r="I319" t="s">
        <v>77</v>
      </c>
    </row>
    <row r="320" spans="1:9" x14ac:dyDescent="0.35">
      <c r="A320" t="s">
        <v>15</v>
      </c>
      <c r="B320">
        <v>2030</v>
      </c>
      <c r="C320" t="s">
        <v>76</v>
      </c>
      <c r="D320" t="s">
        <v>51</v>
      </c>
      <c r="E320">
        <v>0.16836855856268401</v>
      </c>
      <c r="F320">
        <v>0.16836855856268401</v>
      </c>
      <c r="G320">
        <v>0</v>
      </c>
      <c r="H320">
        <v>0</v>
      </c>
      <c r="I320" t="s">
        <v>77</v>
      </c>
    </row>
    <row r="321" spans="1:9" x14ac:dyDescent="0.35">
      <c r="A321" t="s">
        <v>15</v>
      </c>
      <c r="B321">
        <v>2030</v>
      </c>
      <c r="C321" t="s">
        <v>76</v>
      </c>
      <c r="D321" t="s">
        <v>52</v>
      </c>
      <c r="E321">
        <v>0.16049688500672099</v>
      </c>
      <c r="F321">
        <v>0.16049688500672099</v>
      </c>
      <c r="G321">
        <v>0</v>
      </c>
      <c r="H321">
        <v>0</v>
      </c>
      <c r="I321" t="s">
        <v>77</v>
      </c>
    </row>
    <row r="322" spans="1:9" x14ac:dyDescent="0.35">
      <c r="A322" t="s">
        <v>15</v>
      </c>
      <c r="B322">
        <v>2030</v>
      </c>
      <c r="C322" t="s">
        <v>76</v>
      </c>
      <c r="D322" t="s">
        <v>53</v>
      </c>
      <c r="E322">
        <v>0.583701108621691</v>
      </c>
      <c r="F322">
        <v>0.583701108621691</v>
      </c>
      <c r="G322">
        <v>0</v>
      </c>
      <c r="H322">
        <v>0</v>
      </c>
      <c r="I322" t="s">
        <v>77</v>
      </c>
    </row>
    <row r="323" spans="1:9" x14ac:dyDescent="0.35">
      <c r="A323" t="s">
        <v>15</v>
      </c>
      <c r="B323">
        <v>2030</v>
      </c>
      <c r="C323" t="s">
        <v>76</v>
      </c>
      <c r="D323" t="s">
        <v>54</v>
      </c>
      <c r="E323">
        <v>0.115238609418995</v>
      </c>
      <c r="F323">
        <v>0.115238609418995</v>
      </c>
      <c r="G323">
        <v>0</v>
      </c>
      <c r="H323">
        <v>0</v>
      </c>
      <c r="I323" t="s">
        <v>77</v>
      </c>
    </row>
    <row r="324" spans="1:9" x14ac:dyDescent="0.35">
      <c r="A324" t="s">
        <v>15</v>
      </c>
      <c r="B324">
        <v>2030</v>
      </c>
      <c r="C324" t="s">
        <v>76</v>
      </c>
      <c r="D324" t="s">
        <v>55</v>
      </c>
      <c r="E324">
        <v>0.106447272631883</v>
      </c>
      <c r="F324">
        <v>0.106447272631883</v>
      </c>
      <c r="G324">
        <v>0</v>
      </c>
      <c r="H324">
        <v>0</v>
      </c>
      <c r="I324" t="s">
        <v>77</v>
      </c>
    </row>
    <row r="325" spans="1:9" x14ac:dyDescent="0.35">
      <c r="A325" t="s">
        <v>15</v>
      </c>
      <c r="B325">
        <v>2030</v>
      </c>
      <c r="C325" t="s">
        <v>76</v>
      </c>
      <c r="D325" t="s">
        <v>56</v>
      </c>
      <c r="E325" s="1">
        <v>2.24857792495476E-7</v>
      </c>
      <c r="F325" s="1">
        <v>2.24857792495476E-7</v>
      </c>
      <c r="G325">
        <v>0</v>
      </c>
      <c r="H325">
        <v>0</v>
      </c>
      <c r="I325" t="s">
        <v>77</v>
      </c>
    </row>
    <row r="326" spans="1:9" x14ac:dyDescent="0.35">
      <c r="A326" t="s">
        <v>17</v>
      </c>
      <c r="B326">
        <v>2035</v>
      </c>
      <c r="C326" t="s">
        <v>76</v>
      </c>
      <c r="D326" t="s">
        <v>38</v>
      </c>
      <c r="E326">
        <v>1.6490350037737E-3</v>
      </c>
      <c r="F326">
        <v>1.6490350037737E-3</v>
      </c>
      <c r="G326">
        <v>0</v>
      </c>
      <c r="H326">
        <v>0</v>
      </c>
      <c r="I326" t="s">
        <v>77</v>
      </c>
    </row>
    <row r="327" spans="1:9" x14ac:dyDescent="0.35">
      <c r="A327" t="s">
        <v>17</v>
      </c>
      <c r="B327">
        <v>2035</v>
      </c>
      <c r="C327" t="s">
        <v>76</v>
      </c>
      <c r="D327" t="s">
        <v>40</v>
      </c>
      <c r="E327">
        <v>6.2319436590430803E-4</v>
      </c>
      <c r="F327">
        <v>6.2319436590430803E-4</v>
      </c>
      <c r="G327">
        <v>0</v>
      </c>
      <c r="H327">
        <v>0</v>
      </c>
      <c r="I327" t="s">
        <v>77</v>
      </c>
    </row>
    <row r="328" spans="1:9" x14ac:dyDescent="0.35">
      <c r="A328" t="s">
        <v>17</v>
      </c>
      <c r="B328">
        <v>2035</v>
      </c>
      <c r="C328" t="s">
        <v>76</v>
      </c>
      <c r="D328" t="s">
        <v>41</v>
      </c>
      <c r="E328">
        <v>8.6750419856729908E-3</v>
      </c>
      <c r="F328">
        <v>8.6750419856729908E-3</v>
      </c>
      <c r="G328">
        <v>0</v>
      </c>
      <c r="H328">
        <v>0</v>
      </c>
      <c r="I328" t="s">
        <v>77</v>
      </c>
    </row>
    <row r="329" spans="1:9" x14ac:dyDescent="0.35">
      <c r="A329" t="s">
        <v>17</v>
      </c>
      <c r="B329">
        <v>2035</v>
      </c>
      <c r="C329" t="s">
        <v>76</v>
      </c>
      <c r="D329" t="s">
        <v>42</v>
      </c>
      <c r="E329">
        <v>1.67017489923066</v>
      </c>
      <c r="F329">
        <v>1.67017489923066</v>
      </c>
      <c r="G329">
        <v>0</v>
      </c>
      <c r="H329">
        <v>0</v>
      </c>
      <c r="I329" t="s">
        <v>77</v>
      </c>
    </row>
    <row r="330" spans="1:9" x14ac:dyDescent="0.35">
      <c r="A330" t="s">
        <v>17</v>
      </c>
      <c r="B330">
        <v>2035</v>
      </c>
      <c r="C330" t="s">
        <v>76</v>
      </c>
      <c r="D330" t="s">
        <v>43</v>
      </c>
      <c r="E330">
        <v>8.1292133625227199E-3</v>
      </c>
      <c r="F330">
        <v>8.1292133625227199E-3</v>
      </c>
      <c r="G330">
        <v>0</v>
      </c>
      <c r="H330">
        <v>0</v>
      </c>
      <c r="I330" t="s">
        <v>77</v>
      </c>
    </row>
    <row r="331" spans="1:9" x14ac:dyDescent="0.35">
      <c r="A331" t="s">
        <v>17</v>
      </c>
      <c r="B331">
        <v>2035</v>
      </c>
      <c r="C331" t="s">
        <v>76</v>
      </c>
      <c r="D331" t="s">
        <v>136</v>
      </c>
      <c r="E331">
        <v>1.8531175365342201</v>
      </c>
      <c r="F331">
        <v>1.8531175365342201</v>
      </c>
      <c r="G331">
        <v>0</v>
      </c>
      <c r="H331">
        <v>0</v>
      </c>
      <c r="I331" t="s">
        <v>77</v>
      </c>
    </row>
    <row r="332" spans="1:9" x14ac:dyDescent="0.35">
      <c r="A332" t="s">
        <v>17</v>
      </c>
      <c r="B332">
        <v>2035</v>
      </c>
      <c r="C332" t="s">
        <v>76</v>
      </c>
      <c r="D332" t="s">
        <v>45</v>
      </c>
      <c r="E332">
        <v>5.2201842285959201E-3</v>
      </c>
      <c r="F332">
        <v>5.2201842285959201E-3</v>
      </c>
      <c r="G332">
        <v>0</v>
      </c>
      <c r="H332">
        <v>0</v>
      </c>
      <c r="I332" t="s">
        <v>77</v>
      </c>
    </row>
    <row r="333" spans="1:9" x14ac:dyDescent="0.35">
      <c r="A333" t="s">
        <v>17</v>
      </c>
      <c r="B333">
        <v>2035</v>
      </c>
      <c r="C333" t="s">
        <v>76</v>
      </c>
      <c r="D333" t="s">
        <v>46</v>
      </c>
      <c r="E333">
        <v>0.18700134022334999</v>
      </c>
      <c r="F333">
        <v>0.18700134022334999</v>
      </c>
      <c r="G333">
        <v>0</v>
      </c>
      <c r="H333">
        <v>0</v>
      </c>
      <c r="I333" t="s">
        <v>77</v>
      </c>
    </row>
    <row r="334" spans="1:9" x14ac:dyDescent="0.35">
      <c r="A334" t="s">
        <v>17</v>
      </c>
      <c r="B334">
        <v>2035</v>
      </c>
      <c r="C334" t="s">
        <v>76</v>
      </c>
      <c r="D334" t="s">
        <v>47</v>
      </c>
      <c r="E334">
        <v>1.8741133874815501E-3</v>
      </c>
      <c r="F334">
        <v>1.8741133874815501E-3</v>
      </c>
      <c r="G334">
        <v>0</v>
      </c>
      <c r="H334">
        <v>0</v>
      </c>
      <c r="I334" t="s">
        <v>77</v>
      </c>
    </row>
    <row r="335" spans="1:9" x14ac:dyDescent="0.35">
      <c r="A335" t="s">
        <v>17</v>
      </c>
      <c r="B335">
        <v>2035</v>
      </c>
      <c r="C335" t="s">
        <v>76</v>
      </c>
      <c r="D335" t="s">
        <v>48</v>
      </c>
      <c r="E335">
        <v>0.272817066258492</v>
      </c>
      <c r="F335">
        <v>0.272817066258492</v>
      </c>
      <c r="G335">
        <v>0</v>
      </c>
      <c r="H335">
        <v>0</v>
      </c>
      <c r="I335" t="s">
        <v>77</v>
      </c>
    </row>
    <row r="336" spans="1:9" x14ac:dyDescent="0.35">
      <c r="A336" t="s">
        <v>17</v>
      </c>
      <c r="B336">
        <v>2035</v>
      </c>
      <c r="C336" t="s">
        <v>76</v>
      </c>
      <c r="D336" t="s">
        <v>49</v>
      </c>
      <c r="E336">
        <v>1.41253464570375E-2</v>
      </c>
      <c r="F336">
        <v>1.41253464570375E-2</v>
      </c>
      <c r="G336">
        <v>0</v>
      </c>
      <c r="H336">
        <v>0</v>
      </c>
      <c r="I336" t="s">
        <v>77</v>
      </c>
    </row>
    <row r="337" spans="1:9" x14ac:dyDescent="0.35">
      <c r="A337" t="s">
        <v>17</v>
      </c>
      <c r="B337">
        <v>2035</v>
      </c>
      <c r="C337" t="s">
        <v>76</v>
      </c>
      <c r="D337" t="s">
        <v>50</v>
      </c>
      <c r="E337">
        <v>7.4632806710547396E-3</v>
      </c>
      <c r="F337">
        <v>7.4632806710547396E-3</v>
      </c>
      <c r="G337">
        <v>0</v>
      </c>
      <c r="H337">
        <v>0</v>
      </c>
      <c r="I337" t="s">
        <v>77</v>
      </c>
    </row>
    <row r="338" spans="1:9" x14ac:dyDescent="0.35">
      <c r="A338" t="s">
        <v>17</v>
      </c>
      <c r="B338">
        <v>2035</v>
      </c>
      <c r="C338" t="s">
        <v>76</v>
      </c>
      <c r="D338" t="s">
        <v>51</v>
      </c>
      <c r="E338">
        <v>0.16975299442859301</v>
      </c>
      <c r="F338">
        <v>0.16975299442859301</v>
      </c>
      <c r="G338">
        <v>0</v>
      </c>
      <c r="H338">
        <v>0</v>
      </c>
      <c r="I338" t="s">
        <v>77</v>
      </c>
    </row>
    <row r="339" spans="1:9" x14ac:dyDescent="0.35">
      <c r="A339" t="s">
        <v>17</v>
      </c>
      <c r="B339">
        <v>2035</v>
      </c>
      <c r="C339" t="s">
        <v>76</v>
      </c>
      <c r="D339" t="s">
        <v>52</v>
      </c>
      <c r="E339">
        <v>0.139900543010678</v>
      </c>
      <c r="F339">
        <v>0.139900543010678</v>
      </c>
      <c r="G339">
        <v>0</v>
      </c>
      <c r="H339">
        <v>0</v>
      </c>
      <c r="I339" t="s">
        <v>77</v>
      </c>
    </row>
    <row r="340" spans="1:9" x14ac:dyDescent="0.35">
      <c r="A340" t="s">
        <v>17</v>
      </c>
      <c r="B340">
        <v>2035</v>
      </c>
      <c r="C340" t="s">
        <v>76</v>
      </c>
      <c r="D340" t="s">
        <v>53</v>
      </c>
      <c r="E340">
        <v>0.55665123377715697</v>
      </c>
      <c r="F340">
        <v>0.55665123377715697</v>
      </c>
      <c r="G340">
        <v>0</v>
      </c>
      <c r="H340">
        <v>0</v>
      </c>
      <c r="I340" t="s">
        <v>77</v>
      </c>
    </row>
    <row r="341" spans="1:9" x14ac:dyDescent="0.35">
      <c r="A341" t="s">
        <v>17</v>
      </c>
      <c r="B341">
        <v>2035</v>
      </c>
      <c r="C341" t="s">
        <v>76</v>
      </c>
      <c r="D341" t="s">
        <v>54</v>
      </c>
      <c r="E341">
        <v>0.117129089395758</v>
      </c>
      <c r="F341">
        <v>0.117129089395758</v>
      </c>
      <c r="G341">
        <v>0</v>
      </c>
      <c r="H341">
        <v>0</v>
      </c>
      <c r="I341" t="s">
        <v>77</v>
      </c>
    </row>
    <row r="342" spans="1:9" x14ac:dyDescent="0.35">
      <c r="A342" t="s">
        <v>17</v>
      </c>
      <c r="B342">
        <v>2035</v>
      </c>
      <c r="C342" t="s">
        <v>76</v>
      </c>
      <c r="D342" t="s">
        <v>55</v>
      </c>
      <c r="E342">
        <v>0.107990427848425</v>
      </c>
      <c r="F342">
        <v>0.107990427848425</v>
      </c>
      <c r="G342">
        <v>0</v>
      </c>
      <c r="H342">
        <v>0</v>
      </c>
      <c r="I342" t="s">
        <v>77</v>
      </c>
    </row>
    <row r="343" spans="1:9" x14ac:dyDescent="0.35">
      <c r="A343" t="s">
        <v>17</v>
      </c>
      <c r="B343">
        <v>2035</v>
      </c>
      <c r="C343" t="s">
        <v>76</v>
      </c>
      <c r="D343" t="s">
        <v>56</v>
      </c>
      <c r="E343" s="1">
        <v>2.0971107440698199E-7</v>
      </c>
      <c r="F343" s="1">
        <v>2.0971107440698199E-7</v>
      </c>
      <c r="G343">
        <v>0</v>
      </c>
      <c r="H343">
        <v>0</v>
      </c>
      <c r="I343" t="s">
        <v>77</v>
      </c>
    </row>
    <row r="344" spans="1:9" x14ac:dyDescent="0.35">
      <c r="A344" t="s">
        <v>19</v>
      </c>
      <c r="B344">
        <v>2040</v>
      </c>
      <c r="C344" t="s">
        <v>76</v>
      </c>
      <c r="D344" t="s">
        <v>38</v>
      </c>
      <c r="E344">
        <v>2.2553777829138499E-3</v>
      </c>
      <c r="F344">
        <v>2.2553777829138499E-3</v>
      </c>
      <c r="G344">
        <v>0</v>
      </c>
      <c r="H344">
        <v>0</v>
      </c>
      <c r="I344" t="s">
        <v>77</v>
      </c>
    </row>
    <row r="345" spans="1:9" x14ac:dyDescent="0.35">
      <c r="A345" t="s">
        <v>19</v>
      </c>
      <c r="B345">
        <v>2040</v>
      </c>
      <c r="C345" t="s">
        <v>76</v>
      </c>
      <c r="D345" t="s">
        <v>40</v>
      </c>
      <c r="E345">
        <v>5.9114894093654797E-4</v>
      </c>
      <c r="F345">
        <v>5.9114894093654797E-4</v>
      </c>
      <c r="G345">
        <v>0</v>
      </c>
      <c r="H345">
        <v>0</v>
      </c>
      <c r="I345" t="s">
        <v>77</v>
      </c>
    </row>
    <row r="346" spans="1:9" x14ac:dyDescent="0.35">
      <c r="A346" t="s">
        <v>19</v>
      </c>
      <c r="B346">
        <v>2040</v>
      </c>
      <c r="C346" t="s">
        <v>76</v>
      </c>
      <c r="D346" t="s">
        <v>41</v>
      </c>
      <c r="E346">
        <v>8.5828872391714803E-3</v>
      </c>
      <c r="F346">
        <v>8.5828872391714803E-3</v>
      </c>
      <c r="G346">
        <v>0</v>
      </c>
      <c r="H346">
        <v>0</v>
      </c>
      <c r="I346" t="s">
        <v>77</v>
      </c>
    </row>
    <row r="347" spans="1:9" x14ac:dyDescent="0.35">
      <c r="A347" t="s">
        <v>19</v>
      </c>
      <c r="B347">
        <v>2040</v>
      </c>
      <c r="C347" t="s">
        <v>76</v>
      </c>
      <c r="D347" t="s">
        <v>42</v>
      </c>
      <c r="E347">
        <v>1.6941042309133101</v>
      </c>
      <c r="F347">
        <v>1.6941042309133101</v>
      </c>
      <c r="G347">
        <v>0</v>
      </c>
      <c r="H347">
        <v>0</v>
      </c>
      <c r="I347" t="s">
        <v>77</v>
      </c>
    </row>
    <row r="348" spans="1:9" x14ac:dyDescent="0.35">
      <c r="A348" t="s">
        <v>19</v>
      </c>
      <c r="B348">
        <v>2040</v>
      </c>
      <c r="C348" t="s">
        <v>76</v>
      </c>
      <c r="D348" t="s">
        <v>43</v>
      </c>
      <c r="E348">
        <v>8.2432816124988501E-3</v>
      </c>
      <c r="F348">
        <v>8.2432816124988501E-3</v>
      </c>
      <c r="G348">
        <v>0</v>
      </c>
      <c r="H348">
        <v>0</v>
      </c>
      <c r="I348" t="s">
        <v>77</v>
      </c>
    </row>
    <row r="349" spans="1:9" x14ac:dyDescent="0.35">
      <c r="A349" t="s">
        <v>19</v>
      </c>
      <c r="B349">
        <v>2040</v>
      </c>
      <c r="C349" t="s">
        <v>76</v>
      </c>
      <c r="D349" t="s">
        <v>136</v>
      </c>
      <c r="E349">
        <v>1.82209329091479</v>
      </c>
      <c r="F349">
        <v>1.82209329091479</v>
      </c>
      <c r="G349">
        <v>0</v>
      </c>
      <c r="H349">
        <v>0</v>
      </c>
      <c r="I349" t="s">
        <v>77</v>
      </c>
    </row>
    <row r="350" spans="1:9" x14ac:dyDescent="0.35">
      <c r="A350" t="s">
        <v>19</v>
      </c>
      <c r="B350">
        <v>2040</v>
      </c>
      <c r="C350" t="s">
        <v>76</v>
      </c>
      <c r="D350" t="s">
        <v>45</v>
      </c>
      <c r="E350">
        <v>5.1525951324506297E-3</v>
      </c>
      <c r="F350">
        <v>5.1525951324506297E-3</v>
      </c>
      <c r="G350">
        <v>0</v>
      </c>
      <c r="H350">
        <v>0</v>
      </c>
      <c r="I350" t="s">
        <v>77</v>
      </c>
    </row>
    <row r="351" spans="1:9" x14ac:dyDescent="0.35">
      <c r="A351" t="s">
        <v>19</v>
      </c>
      <c r="B351">
        <v>2040</v>
      </c>
      <c r="C351" t="s">
        <v>76</v>
      </c>
      <c r="D351" t="s">
        <v>46</v>
      </c>
      <c r="E351">
        <v>0.26406094070394998</v>
      </c>
      <c r="F351">
        <v>0.26406094070394998</v>
      </c>
      <c r="G351">
        <v>0</v>
      </c>
      <c r="H351">
        <v>0</v>
      </c>
      <c r="I351" t="s">
        <v>77</v>
      </c>
    </row>
    <row r="352" spans="1:9" x14ac:dyDescent="0.35">
      <c r="A352" t="s">
        <v>19</v>
      </c>
      <c r="B352">
        <v>2040</v>
      </c>
      <c r="C352" t="s">
        <v>76</v>
      </c>
      <c r="D352" t="s">
        <v>47</v>
      </c>
      <c r="E352">
        <v>1.89985616313832E-3</v>
      </c>
      <c r="F352">
        <v>1.89985616313832E-3</v>
      </c>
      <c r="G352">
        <v>0</v>
      </c>
      <c r="H352">
        <v>0</v>
      </c>
      <c r="I352" t="s">
        <v>77</v>
      </c>
    </row>
    <row r="353" spans="1:9" x14ac:dyDescent="0.35">
      <c r="A353" t="s">
        <v>19</v>
      </c>
      <c r="B353">
        <v>2040</v>
      </c>
      <c r="C353" t="s">
        <v>76</v>
      </c>
      <c r="D353" t="s">
        <v>48</v>
      </c>
      <c r="E353">
        <v>0.279354604223708</v>
      </c>
      <c r="F353">
        <v>0.279354604223708</v>
      </c>
      <c r="G353">
        <v>0</v>
      </c>
      <c r="H353">
        <v>0</v>
      </c>
      <c r="I353" t="s">
        <v>77</v>
      </c>
    </row>
    <row r="354" spans="1:9" x14ac:dyDescent="0.35">
      <c r="A354" t="s">
        <v>19</v>
      </c>
      <c r="B354">
        <v>2040</v>
      </c>
      <c r="C354" t="s">
        <v>76</v>
      </c>
      <c r="D354" t="s">
        <v>49</v>
      </c>
      <c r="E354">
        <v>1.4202275540422801E-2</v>
      </c>
      <c r="F354">
        <v>1.4202275540422801E-2</v>
      </c>
      <c r="G354">
        <v>0</v>
      </c>
      <c r="H354">
        <v>0</v>
      </c>
      <c r="I354" t="s">
        <v>77</v>
      </c>
    </row>
    <row r="355" spans="1:9" x14ac:dyDescent="0.35">
      <c r="A355" t="s">
        <v>19</v>
      </c>
      <c r="B355">
        <v>2040</v>
      </c>
      <c r="C355" t="s">
        <v>76</v>
      </c>
      <c r="D355" t="s">
        <v>50</v>
      </c>
      <c r="E355">
        <v>9.5907490308047103E-3</v>
      </c>
      <c r="F355">
        <v>9.5907490308047103E-3</v>
      </c>
      <c r="G355">
        <v>0</v>
      </c>
      <c r="H355">
        <v>0</v>
      </c>
      <c r="I355" t="s">
        <v>77</v>
      </c>
    </row>
    <row r="356" spans="1:9" x14ac:dyDescent="0.35">
      <c r="A356" t="s">
        <v>19</v>
      </c>
      <c r="B356">
        <v>2040</v>
      </c>
      <c r="C356" t="s">
        <v>76</v>
      </c>
      <c r="D356" t="s">
        <v>51</v>
      </c>
      <c r="E356">
        <v>0.17190545239836399</v>
      </c>
      <c r="F356">
        <v>0.17190545239836399</v>
      </c>
      <c r="G356">
        <v>0</v>
      </c>
      <c r="H356">
        <v>0</v>
      </c>
      <c r="I356" t="s">
        <v>77</v>
      </c>
    </row>
    <row r="357" spans="1:9" x14ac:dyDescent="0.35">
      <c r="A357" t="s">
        <v>19</v>
      </c>
      <c r="B357">
        <v>2040</v>
      </c>
      <c r="C357" t="s">
        <v>76</v>
      </c>
      <c r="D357" t="s">
        <v>52</v>
      </c>
      <c r="E357">
        <v>0.12084921628975701</v>
      </c>
      <c r="F357">
        <v>0.12084921628975701</v>
      </c>
      <c r="G357">
        <v>0</v>
      </c>
      <c r="H357">
        <v>0</v>
      </c>
      <c r="I357" t="s">
        <v>77</v>
      </c>
    </row>
    <row r="358" spans="1:9" x14ac:dyDescent="0.35">
      <c r="A358" t="s">
        <v>19</v>
      </c>
      <c r="B358">
        <v>2040</v>
      </c>
      <c r="C358" t="s">
        <v>76</v>
      </c>
      <c r="D358" t="s">
        <v>53</v>
      </c>
      <c r="E358">
        <v>0.54153623240641402</v>
      </c>
      <c r="F358">
        <v>0.54153623240641402</v>
      </c>
      <c r="G358">
        <v>0</v>
      </c>
      <c r="H358">
        <v>0</v>
      </c>
      <c r="I358" t="s">
        <v>77</v>
      </c>
    </row>
    <row r="359" spans="1:9" x14ac:dyDescent="0.35">
      <c r="A359" t="s">
        <v>19</v>
      </c>
      <c r="B359">
        <v>2040</v>
      </c>
      <c r="C359" t="s">
        <v>76</v>
      </c>
      <c r="D359" t="s">
        <v>54</v>
      </c>
      <c r="E359">
        <v>0.120386024637209</v>
      </c>
      <c r="F359">
        <v>0.120386024637209</v>
      </c>
      <c r="G359">
        <v>0</v>
      </c>
      <c r="H359">
        <v>0</v>
      </c>
      <c r="I359" t="s">
        <v>77</v>
      </c>
    </row>
    <row r="360" spans="1:9" x14ac:dyDescent="0.35">
      <c r="A360" t="s">
        <v>19</v>
      </c>
      <c r="B360">
        <v>2040</v>
      </c>
      <c r="C360" t="s">
        <v>76</v>
      </c>
      <c r="D360" t="s">
        <v>55</v>
      </c>
      <c r="E360">
        <v>0.110774337634404</v>
      </c>
      <c r="F360">
        <v>0.110774337634404</v>
      </c>
      <c r="G360">
        <v>0</v>
      </c>
      <c r="H360">
        <v>0</v>
      </c>
      <c r="I360" t="s">
        <v>77</v>
      </c>
    </row>
    <row r="361" spans="1:9" x14ac:dyDescent="0.35">
      <c r="A361" t="s">
        <v>19</v>
      </c>
      <c r="B361">
        <v>2040</v>
      </c>
      <c r="C361" t="s">
        <v>76</v>
      </c>
      <c r="D361" t="s">
        <v>56</v>
      </c>
      <c r="E361" s="1">
        <v>2.0008571883913499E-7</v>
      </c>
      <c r="F361" s="1">
        <v>2.0008571883913499E-7</v>
      </c>
      <c r="G361">
        <v>0</v>
      </c>
      <c r="H361">
        <v>0</v>
      </c>
      <c r="I361" t="s">
        <v>77</v>
      </c>
    </row>
    <row r="362" spans="1:9" x14ac:dyDescent="0.35">
      <c r="A362" t="s">
        <v>13</v>
      </c>
      <c r="B362">
        <v>2025</v>
      </c>
      <c r="C362" t="s">
        <v>83</v>
      </c>
      <c r="D362" t="s">
        <v>38</v>
      </c>
      <c r="E362">
        <v>3.0703640576472998E-4</v>
      </c>
      <c r="F362">
        <v>3.0703640576472998E-4</v>
      </c>
      <c r="G362">
        <v>0</v>
      </c>
      <c r="H362">
        <v>0</v>
      </c>
      <c r="I362" t="s">
        <v>84</v>
      </c>
    </row>
    <row r="363" spans="1:9" x14ac:dyDescent="0.35">
      <c r="A363" t="s">
        <v>13</v>
      </c>
      <c r="B363">
        <v>2025</v>
      </c>
      <c r="C363" t="s">
        <v>83</v>
      </c>
      <c r="D363" t="s">
        <v>40</v>
      </c>
      <c r="E363">
        <v>2.5446385223999501E-4</v>
      </c>
      <c r="F363">
        <v>2.5446385223999501E-4</v>
      </c>
      <c r="G363">
        <v>0</v>
      </c>
      <c r="H363">
        <v>0</v>
      </c>
      <c r="I363" t="s">
        <v>84</v>
      </c>
    </row>
    <row r="364" spans="1:9" x14ac:dyDescent="0.35">
      <c r="A364" t="s">
        <v>13</v>
      </c>
      <c r="B364">
        <v>2025</v>
      </c>
      <c r="C364" t="s">
        <v>83</v>
      </c>
      <c r="D364" t="s">
        <v>41</v>
      </c>
      <c r="E364">
        <v>2.6927136595445598E-3</v>
      </c>
      <c r="F364">
        <v>2.6927136595445598E-3</v>
      </c>
      <c r="G364">
        <v>0</v>
      </c>
      <c r="H364">
        <v>0</v>
      </c>
      <c r="I364" t="s">
        <v>84</v>
      </c>
    </row>
    <row r="365" spans="1:9" x14ac:dyDescent="0.35">
      <c r="A365" t="s">
        <v>13</v>
      </c>
      <c r="B365">
        <v>2025</v>
      </c>
      <c r="C365" t="s">
        <v>83</v>
      </c>
      <c r="D365" t="s">
        <v>42</v>
      </c>
      <c r="E365">
        <v>2.2003511789443699</v>
      </c>
      <c r="F365">
        <v>2.2003511789443699</v>
      </c>
      <c r="G365">
        <v>0</v>
      </c>
      <c r="H365">
        <v>0</v>
      </c>
      <c r="I365" t="s">
        <v>84</v>
      </c>
    </row>
    <row r="366" spans="1:9" x14ac:dyDescent="0.35">
      <c r="A366" t="s">
        <v>13</v>
      </c>
      <c r="B366">
        <v>2025</v>
      </c>
      <c r="C366" t="s">
        <v>83</v>
      </c>
      <c r="D366" t="s">
        <v>43</v>
      </c>
      <c r="E366">
        <v>8.0615355876482899E-4</v>
      </c>
      <c r="F366">
        <v>8.0615355876482899E-4</v>
      </c>
      <c r="G366">
        <v>0</v>
      </c>
      <c r="H366">
        <v>0</v>
      </c>
      <c r="I366" t="s">
        <v>84</v>
      </c>
    </row>
    <row r="367" spans="1:9" x14ac:dyDescent="0.35">
      <c r="A367" t="s">
        <v>13</v>
      </c>
      <c r="B367">
        <v>2025</v>
      </c>
      <c r="C367" t="s">
        <v>83</v>
      </c>
      <c r="D367" t="s">
        <v>136</v>
      </c>
      <c r="E367">
        <v>0.90904176283071803</v>
      </c>
      <c r="F367">
        <v>0.90904176283071803</v>
      </c>
      <c r="G367">
        <v>0</v>
      </c>
      <c r="H367">
        <v>0</v>
      </c>
      <c r="I367" t="s">
        <v>84</v>
      </c>
    </row>
    <row r="368" spans="1:9" x14ac:dyDescent="0.35">
      <c r="A368" t="s">
        <v>13</v>
      </c>
      <c r="B368">
        <v>2025</v>
      </c>
      <c r="C368" t="s">
        <v>83</v>
      </c>
      <c r="D368" t="s">
        <v>45</v>
      </c>
      <c r="E368">
        <v>1.64669817474447E-3</v>
      </c>
      <c r="F368">
        <v>1.64669817474447E-3</v>
      </c>
      <c r="G368">
        <v>0</v>
      </c>
      <c r="H368">
        <v>0</v>
      </c>
      <c r="I368" t="s">
        <v>84</v>
      </c>
    </row>
    <row r="369" spans="1:9" x14ac:dyDescent="0.35">
      <c r="A369" t="s">
        <v>13</v>
      </c>
      <c r="B369">
        <v>2025</v>
      </c>
      <c r="C369" t="s">
        <v>83</v>
      </c>
      <c r="D369" t="s">
        <v>46</v>
      </c>
      <c r="E369">
        <v>1.7641259293771298E-2</v>
      </c>
      <c r="F369">
        <v>1.7641259293771298E-2</v>
      </c>
      <c r="G369">
        <v>0</v>
      </c>
      <c r="H369">
        <v>0</v>
      </c>
      <c r="I369" t="s">
        <v>84</v>
      </c>
    </row>
    <row r="370" spans="1:9" x14ac:dyDescent="0.35">
      <c r="A370" t="s">
        <v>13</v>
      </c>
      <c r="B370">
        <v>2025</v>
      </c>
      <c r="C370" t="s">
        <v>83</v>
      </c>
      <c r="D370" t="s">
        <v>47</v>
      </c>
      <c r="E370">
        <v>3.9292008313431399E-4</v>
      </c>
      <c r="F370">
        <v>3.9292008313431399E-4</v>
      </c>
      <c r="G370">
        <v>0</v>
      </c>
      <c r="H370">
        <v>0</v>
      </c>
      <c r="I370" t="s">
        <v>84</v>
      </c>
    </row>
    <row r="371" spans="1:9" x14ac:dyDescent="0.35">
      <c r="A371" t="s">
        <v>13</v>
      </c>
      <c r="B371">
        <v>2025</v>
      </c>
      <c r="C371" t="s">
        <v>83</v>
      </c>
      <c r="D371" t="s">
        <v>48</v>
      </c>
      <c r="E371">
        <v>36.275267064050098</v>
      </c>
      <c r="F371">
        <v>36.275267064050098</v>
      </c>
      <c r="G371">
        <v>0</v>
      </c>
      <c r="H371">
        <v>0</v>
      </c>
      <c r="I371" t="s">
        <v>84</v>
      </c>
    </row>
    <row r="372" spans="1:9" x14ac:dyDescent="0.35">
      <c r="A372" t="s">
        <v>13</v>
      </c>
      <c r="B372">
        <v>2025</v>
      </c>
      <c r="C372" t="s">
        <v>83</v>
      </c>
      <c r="D372" t="s">
        <v>49</v>
      </c>
      <c r="E372">
        <v>4.5761855799335898E-3</v>
      </c>
      <c r="F372">
        <v>4.5761855799335898E-3</v>
      </c>
      <c r="G372">
        <v>0</v>
      </c>
      <c r="H372">
        <v>0</v>
      </c>
      <c r="I372" t="s">
        <v>84</v>
      </c>
    </row>
    <row r="373" spans="1:9" x14ac:dyDescent="0.35">
      <c r="A373" t="s">
        <v>13</v>
      </c>
      <c r="B373">
        <v>2025</v>
      </c>
      <c r="C373" t="s">
        <v>83</v>
      </c>
      <c r="D373" t="s">
        <v>50</v>
      </c>
      <c r="E373">
        <v>4.8026541347905502E-3</v>
      </c>
      <c r="F373">
        <v>4.8026541347905502E-3</v>
      </c>
      <c r="G373">
        <v>0</v>
      </c>
      <c r="H373">
        <v>0</v>
      </c>
      <c r="I373" t="s">
        <v>84</v>
      </c>
    </row>
    <row r="374" spans="1:9" x14ac:dyDescent="0.35">
      <c r="A374" t="s">
        <v>13</v>
      </c>
      <c r="B374">
        <v>2025</v>
      </c>
      <c r="C374" t="s">
        <v>83</v>
      </c>
      <c r="D374" t="s">
        <v>51</v>
      </c>
      <c r="E374">
        <v>3.3476648539407398E-2</v>
      </c>
      <c r="F374">
        <v>3.3476648539407398E-2</v>
      </c>
      <c r="G374">
        <v>0</v>
      </c>
      <c r="H374">
        <v>0</v>
      </c>
      <c r="I374" t="s">
        <v>84</v>
      </c>
    </row>
    <row r="375" spans="1:9" x14ac:dyDescent="0.35">
      <c r="A375" t="s">
        <v>13</v>
      </c>
      <c r="B375">
        <v>2025</v>
      </c>
      <c r="C375" t="s">
        <v>83</v>
      </c>
      <c r="D375" t="s">
        <v>52</v>
      </c>
      <c r="E375">
        <v>0.221261493249714</v>
      </c>
      <c r="F375">
        <v>0.221261493249714</v>
      </c>
      <c r="G375">
        <v>0</v>
      </c>
      <c r="H375">
        <v>0</v>
      </c>
      <c r="I375" t="s">
        <v>84</v>
      </c>
    </row>
    <row r="376" spans="1:9" x14ac:dyDescent="0.35">
      <c r="A376" t="s">
        <v>13</v>
      </c>
      <c r="B376">
        <v>2025</v>
      </c>
      <c r="C376" t="s">
        <v>83</v>
      </c>
      <c r="D376" t="s">
        <v>53</v>
      </c>
      <c r="E376">
        <v>0.25355075810856398</v>
      </c>
      <c r="F376">
        <v>0.25355075810856398</v>
      </c>
      <c r="G376">
        <v>0</v>
      </c>
      <c r="H376">
        <v>0</v>
      </c>
      <c r="I376" t="s">
        <v>84</v>
      </c>
    </row>
    <row r="377" spans="1:9" x14ac:dyDescent="0.35">
      <c r="A377" t="s">
        <v>13</v>
      </c>
      <c r="B377">
        <v>2025</v>
      </c>
      <c r="C377" t="s">
        <v>83</v>
      </c>
      <c r="D377" t="s">
        <v>54</v>
      </c>
      <c r="E377">
        <v>6.4383876754532998E-2</v>
      </c>
      <c r="F377">
        <v>6.4383876754532998E-2</v>
      </c>
      <c r="G377">
        <v>0</v>
      </c>
      <c r="H377">
        <v>0</v>
      </c>
      <c r="I377" t="s">
        <v>84</v>
      </c>
    </row>
    <row r="378" spans="1:9" x14ac:dyDescent="0.35">
      <c r="A378" t="s">
        <v>13</v>
      </c>
      <c r="B378">
        <v>2025</v>
      </c>
      <c r="C378" t="s">
        <v>83</v>
      </c>
      <c r="D378" t="s">
        <v>55</v>
      </c>
      <c r="E378">
        <v>6.1329347569929797E-2</v>
      </c>
      <c r="F378">
        <v>6.1329347569929797E-2</v>
      </c>
      <c r="G378">
        <v>0</v>
      </c>
      <c r="H378">
        <v>0</v>
      </c>
      <c r="I378" t="s">
        <v>84</v>
      </c>
    </row>
    <row r="379" spans="1:9" x14ac:dyDescent="0.35">
      <c r="A379" t="s">
        <v>13</v>
      </c>
      <c r="B379">
        <v>2025</v>
      </c>
      <c r="C379" t="s">
        <v>83</v>
      </c>
      <c r="D379" t="s">
        <v>56</v>
      </c>
      <c r="E379" s="1">
        <v>6.8674928767743902E-8</v>
      </c>
      <c r="F379" s="1">
        <v>6.8674928767743902E-8</v>
      </c>
      <c r="G379">
        <v>0</v>
      </c>
      <c r="H379">
        <v>0</v>
      </c>
      <c r="I379" t="s">
        <v>84</v>
      </c>
    </row>
    <row r="380" spans="1:9" x14ac:dyDescent="0.35">
      <c r="A380" t="s">
        <v>15</v>
      </c>
      <c r="B380">
        <v>2030</v>
      </c>
      <c r="C380" t="s">
        <v>83</v>
      </c>
      <c r="D380" t="s">
        <v>38</v>
      </c>
      <c r="E380">
        <v>3.2008420775607498E-4</v>
      </c>
      <c r="F380">
        <v>3.2007551025373099E-4</v>
      </c>
      <c r="G380" s="1">
        <v>-8.6975023439318598E-9</v>
      </c>
      <c r="H380">
        <v>-2.7172544390443401E-3</v>
      </c>
      <c r="I380" t="s">
        <v>84</v>
      </c>
    </row>
    <row r="381" spans="1:9" x14ac:dyDescent="0.35">
      <c r="A381" t="s">
        <v>15</v>
      </c>
      <c r="B381">
        <v>2030</v>
      </c>
      <c r="C381" t="s">
        <v>83</v>
      </c>
      <c r="D381" t="s">
        <v>40</v>
      </c>
      <c r="E381">
        <v>2.3940584680197499E-4</v>
      </c>
      <c r="F381">
        <v>2.3940584680197499E-4</v>
      </c>
      <c r="G381">
        <v>0</v>
      </c>
      <c r="H381">
        <v>0</v>
      </c>
      <c r="I381" t="s">
        <v>84</v>
      </c>
    </row>
    <row r="382" spans="1:9" x14ac:dyDescent="0.35">
      <c r="A382" t="s">
        <v>15</v>
      </c>
      <c r="B382">
        <v>2030</v>
      </c>
      <c r="C382" t="s">
        <v>83</v>
      </c>
      <c r="D382" t="s">
        <v>41</v>
      </c>
      <c r="E382">
        <v>2.44612692053315E-3</v>
      </c>
      <c r="F382">
        <v>2.44612692053315E-3</v>
      </c>
      <c r="G382">
        <v>0</v>
      </c>
      <c r="H382">
        <v>0</v>
      </c>
      <c r="I382" t="s">
        <v>84</v>
      </c>
    </row>
    <row r="383" spans="1:9" x14ac:dyDescent="0.35">
      <c r="A383" t="s">
        <v>15</v>
      </c>
      <c r="B383">
        <v>2030</v>
      </c>
      <c r="C383" t="s">
        <v>83</v>
      </c>
      <c r="D383" t="s">
        <v>42</v>
      </c>
      <c r="E383">
        <v>2.1507215856324202</v>
      </c>
      <c r="F383">
        <v>0.981098701005783</v>
      </c>
      <c r="G383">
        <v>-1.1696228846266401</v>
      </c>
      <c r="H383">
        <v>-54.382812375164399</v>
      </c>
      <c r="I383" t="s">
        <v>84</v>
      </c>
    </row>
    <row r="384" spans="1:9" x14ac:dyDescent="0.35">
      <c r="A384" t="s">
        <v>15</v>
      </c>
      <c r="B384">
        <v>2030</v>
      </c>
      <c r="C384" t="s">
        <v>83</v>
      </c>
      <c r="D384" t="s">
        <v>43</v>
      </c>
      <c r="E384">
        <v>7.1998601060701303E-4</v>
      </c>
      <c r="F384">
        <v>7.1998601060701303E-4</v>
      </c>
      <c r="G384">
        <v>0</v>
      </c>
      <c r="H384">
        <v>0</v>
      </c>
      <c r="I384" t="s">
        <v>84</v>
      </c>
    </row>
    <row r="385" spans="1:9" x14ac:dyDescent="0.35">
      <c r="A385" t="s">
        <v>15</v>
      </c>
      <c r="B385">
        <v>2030</v>
      </c>
      <c r="C385" t="s">
        <v>83</v>
      </c>
      <c r="D385" t="s">
        <v>136</v>
      </c>
      <c r="E385">
        <v>0.817447337201478</v>
      </c>
      <c r="F385">
        <v>0.817447337201478</v>
      </c>
      <c r="G385">
        <v>0</v>
      </c>
      <c r="H385">
        <v>0</v>
      </c>
      <c r="I385" t="s">
        <v>84</v>
      </c>
    </row>
    <row r="386" spans="1:9" x14ac:dyDescent="0.35">
      <c r="A386" t="s">
        <v>15</v>
      </c>
      <c r="B386">
        <v>2030</v>
      </c>
      <c r="C386" t="s">
        <v>83</v>
      </c>
      <c r="D386" t="s">
        <v>45</v>
      </c>
      <c r="E386">
        <v>1.4837643389467E-3</v>
      </c>
      <c r="F386">
        <v>1.4837643389467E-3</v>
      </c>
      <c r="G386">
        <v>0</v>
      </c>
      <c r="H386">
        <v>0</v>
      </c>
      <c r="I386" t="s">
        <v>84</v>
      </c>
    </row>
    <row r="387" spans="1:9" x14ac:dyDescent="0.35">
      <c r="A387" t="s">
        <v>15</v>
      </c>
      <c r="B387">
        <v>2030</v>
      </c>
      <c r="C387" t="s">
        <v>83</v>
      </c>
      <c r="D387" t="s">
        <v>46</v>
      </c>
      <c r="E387">
        <v>2.1250460596510701E-2</v>
      </c>
      <c r="F387">
        <v>2.1250460596510701E-2</v>
      </c>
      <c r="G387">
        <v>0</v>
      </c>
      <c r="H387">
        <v>0</v>
      </c>
      <c r="I387" t="s">
        <v>84</v>
      </c>
    </row>
    <row r="388" spans="1:9" x14ac:dyDescent="0.35">
      <c r="A388" t="s">
        <v>15</v>
      </c>
      <c r="B388">
        <v>2030</v>
      </c>
      <c r="C388" t="s">
        <v>83</v>
      </c>
      <c r="D388" t="s">
        <v>47</v>
      </c>
      <c r="E388">
        <v>3.2227952125350799E-4</v>
      </c>
      <c r="F388">
        <v>3.2227952125350799E-4</v>
      </c>
      <c r="G388">
        <v>0</v>
      </c>
      <c r="H388">
        <v>0</v>
      </c>
      <c r="I388" t="s">
        <v>84</v>
      </c>
    </row>
    <row r="389" spans="1:9" x14ac:dyDescent="0.35">
      <c r="A389" t="s">
        <v>15</v>
      </c>
      <c r="B389">
        <v>2030</v>
      </c>
      <c r="C389" t="s">
        <v>83</v>
      </c>
      <c r="D389" t="s">
        <v>48</v>
      </c>
      <c r="E389">
        <v>36.275496026975397</v>
      </c>
      <c r="F389">
        <v>36.275496026975397</v>
      </c>
      <c r="G389">
        <v>0</v>
      </c>
      <c r="H389">
        <v>0</v>
      </c>
      <c r="I389" t="s">
        <v>84</v>
      </c>
    </row>
    <row r="390" spans="1:9" x14ac:dyDescent="0.35">
      <c r="A390" t="s">
        <v>15</v>
      </c>
      <c r="B390">
        <v>2030</v>
      </c>
      <c r="C390" t="s">
        <v>83</v>
      </c>
      <c r="D390" t="s">
        <v>49</v>
      </c>
      <c r="E390">
        <v>4.2272573950184302E-3</v>
      </c>
      <c r="F390">
        <v>4.2272573950184302E-3</v>
      </c>
      <c r="G390">
        <v>0</v>
      </c>
      <c r="H390">
        <v>0</v>
      </c>
      <c r="I390" t="s">
        <v>84</v>
      </c>
    </row>
    <row r="391" spans="1:9" x14ac:dyDescent="0.35">
      <c r="A391" t="s">
        <v>15</v>
      </c>
      <c r="B391">
        <v>2030</v>
      </c>
      <c r="C391" t="s">
        <v>83</v>
      </c>
      <c r="D391" t="s">
        <v>50</v>
      </c>
      <c r="E391">
        <v>4.4791878115612999E-3</v>
      </c>
      <c r="F391">
        <v>4.4791878115612999E-3</v>
      </c>
      <c r="G391">
        <v>0</v>
      </c>
      <c r="H391">
        <v>0</v>
      </c>
      <c r="I391" t="s">
        <v>84</v>
      </c>
    </row>
    <row r="392" spans="1:9" x14ac:dyDescent="0.35">
      <c r="A392" t="s">
        <v>15</v>
      </c>
      <c r="B392">
        <v>2030</v>
      </c>
      <c r="C392" t="s">
        <v>83</v>
      </c>
      <c r="D392" t="s">
        <v>51</v>
      </c>
      <c r="E392">
        <v>3.3955954962053898E-2</v>
      </c>
      <c r="F392">
        <v>3.3955954962053898E-2</v>
      </c>
      <c r="G392">
        <v>0</v>
      </c>
      <c r="H392">
        <v>0</v>
      </c>
      <c r="I392" t="s">
        <v>84</v>
      </c>
    </row>
    <row r="393" spans="1:9" x14ac:dyDescent="0.35">
      <c r="A393" t="s">
        <v>15</v>
      </c>
      <c r="B393">
        <v>2030</v>
      </c>
      <c r="C393" t="s">
        <v>83</v>
      </c>
      <c r="D393" t="s">
        <v>52</v>
      </c>
      <c r="E393">
        <v>0.17851319101510399</v>
      </c>
      <c r="F393">
        <v>0.17851319101510399</v>
      </c>
      <c r="G393">
        <v>0</v>
      </c>
      <c r="H393">
        <v>0</v>
      </c>
      <c r="I393" t="s">
        <v>84</v>
      </c>
    </row>
    <row r="394" spans="1:9" x14ac:dyDescent="0.35">
      <c r="A394" t="s">
        <v>15</v>
      </c>
      <c r="B394">
        <v>2030</v>
      </c>
      <c r="C394" t="s">
        <v>83</v>
      </c>
      <c r="D394" t="s">
        <v>53</v>
      </c>
      <c r="E394">
        <v>0.22666129431124801</v>
      </c>
      <c r="F394">
        <v>0.22666129431124801</v>
      </c>
      <c r="G394">
        <v>0</v>
      </c>
      <c r="H394">
        <v>0</v>
      </c>
      <c r="I394" t="s">
        <v>84</v>
      </c>
    </row>
    <row r="395" spans="1:9" x14ac:dyDescent="0.35">
      <c r="A395" t="s">
        <v>15</v>
      </c>
      <c r="B395">
        <v>2030</v>
      </c>
      <c r="C395" t="s">
        <v>83</v>
      </c>
      <c r="D395" t="s">
        <v>54</v>
      </c>
      <c r="E395">
        <v>6.4143056480795393E-2</v>
      </c>
      <c r="F395">
        <v>6.15185257599484E-2</v>
      </c>
      <c r="G395">
        <v>-2.6245307208469701E-3</v>
      </c>
      <c r="H395">
        <v>-4.0916832855209604</v>
      </c>
      <c r="I395" t="s">
        <v>84</v>
      </c>
    </row>
    <row r="396" spans="1:9" x14ac:dyDescent="0.35">
      <c r="A396" t="s">
        <v>15</v>
      </c>
      <c r="B396">
        <v>2030</v>
      </c>
      <c r="C396" t="s">
        <v>83</v>
      </c>
      <c r="D396" t="s">
        <v>55</v>
      </c>
      <c r="E396">
        <v>6.09720219512482E-2</v>
      </c>
      <c r="F396">
        <v>5.7231804778659502E-2</v>
      </c>
      <c r="G396">
        <v>-3.7402171725887598E-3</v>
      </c>
      <c r="H396">
        <v>-6.1343171062612001</v>
      </c>
      <c r="I396" t="s">
        <v>84</v>
      </c>
    </row>
    <row r="397" spans="1:9" x14ac:dyDescent="0.35">
      <c r="A397" t="s">
        <v>15</v>
      </c>
      <c r="B397">
        <v>2030</v>
      </c>
      <c r="C397" t="s">
        <v>83</v>
      </c>
      <c r="D397" t="s">
        <v>56</v>
      </c>
      <c r="E397" s="1">
        <v>6.1452583856948894E-8</v>
      </c>
      <c r="F397" s="1">
        <v>6.1452583856948894E-8</v>
      </c>
      <c r="G397">
        <v>0</v>
      </c>
      <c r="H397">
        <v>0</v>
      </c>
      <c r="I397" t="s">
        <v>84</v>
      </c>
    </row>
    <row r="398" spans="1:9" x14ac:dyDescent="0.35">
      <c r="A398" t="s">
        <v>17</v>
      </c>
      <c r="B398">
        <v>2035</v>
      </c>
      <c r="C398" t="s">
        <v>83</v>
      </c>
      <c r="D398" t="s">
        <v>38</v>
      </c>
      <c r="E398">
        <v>4.0493458717789899E-4</v>
      </c>
      <c r="F398">
        <v>4.04932246276679E-4</v>
      </c>
      <c r="G398" s="1">
        <v>-2.3409012206952698E-9</v>
      </c>
      <c r="H398">
        <v>-5.7809367113085001E-4</v>
      </c>
      <c r="I398" t="s">
        <v>84</v>
      </c>
    </row>
    <row r="399" spans="1:9" x14ac:dyDescent="0.35">
      <c r="A399" t="s">
        <v>17</v>
      </c>
      <c r="B399">
        <v>2035</v>
      </c>
      <c r="C399" t="s">
        <v>83</v>
      </c>
      <c r="D399" t="s">
        <v>40</v>
      </c>
      <c r="E399">
        <v>2.2321258924552399E-4</v>
      </c>
      <c r="F399">
        <v>2.2321258924552399E-4</v>
      </c>
      <c r="G399">
        <v>0</v>
      </c>
      <c r="H399">
        <v>0</v>
      </c>
      <c r="I399" t="s">
        <v>84</v>
      </c>
    </row>
    <row r="400" spans="1:9" x14ac:dyDescent="0.35">
      <c r="A400" t="s">
        <v>17</v>
      </c>
      <c r="B400">
        <v>2035</v>
      </c>
      <c r="C400" t="s">
        <v>83</v>
      </c>
      <c r="D400" t="s">
        <v>41</v>
      </c>
      <c r="E400">
        <v>2.26823413888993E-3</v>
      </c>
      <c r="F400">
        <v>2.26823413888993E-3</v>
      </c>
      <c r="G400">
        <v>0</v>
      </c>
      <c r="H400">
        <v>0</v>
      </c>
      <c r="I400" t="s">
        <v>84</v>
      </c>
    </row>
    <row r="401" spans="1:9" x14ac:dyDescent="0.35">
      <c r="A401" t="s">
        <v>17</v>
      </c>
      <c r="B401">
        <v>2035</v>
      </c>
      <c r="C401" t="s">
        <v>83</v>
      </c>
      <c r="D401" t="s">
        <v>42</v>
      </c>
      <c r="E401">
        <v>2.1160398706090602</v>
      </c>
      <c r="F401">
        <v>1.8012400860542099</v>
      </c>
      <c r="G401">
        <v>-0.31479978455484697</v>
      </c>
      <c r="H401">
        <v>-14.876836156411199</v>
      </c>
      <c r="I401" t="s">
        <v>84</v>
      </c>
    </row>
    <row r="402" spans="1:9" x14ac:dyDescent="0.35">
      <c r="A402" t="s">
        <v>17</v>
      </c>
      <c r="B402">
        <v>2035</v>
      </c>
      <c r="C402" t="s">
        <v>83</v>
      </c>
      <c r="D402" t="s">
        <v>43</v>
      </c>
      <c r="E402">
        <v>6.8055852516448996E-4</v>
      </c>
      <c r="F402">
        <v>6.8055852516448996E-4</v>
      </c>
      <c r="G402">
        <v>0</v>
      </c>
      <c r="H402">
        <v>0</v>
      </c>
      <c r="I402" t="s">
        <v>84</v>
      </c>
    </row>
    <row r="403" spans="1:9" x14ac:dyDescent="0.35">
      <c r="A403" t="s">
        <v>17</v>
      </c>
      <c r="B403">
        <v>2035</v>
      </c>
      <c r="C403" t="s">
        <v>83</v>
      </c>
      <c r="D403" t="s">
        <v>136</v>
      </c>
      <c r="E403">
        <v>0.74525399234853995</v>
      </c>
      <c r="F403">
        <v>0.74525399234853995</v>
      </c>
      <c r="G403">
        <v>0</v>
      </c>
      <c r="H403">
        <v>0</v>
      </c>
      <c r="I403" t="s">
        <v>84</v>
      </c>
    </row>
    <row r="404" spans="1:9" x14ac:dyDescent="0.35">
      <c r="A404" t="s">
        <v>17</v>
      </c>
      <c r="B404">
        <v>2035</v>
      </c>
      <c r="C404" t="s">
        <v>83</v>
      </c>
      <c r="D404" t="s">
        <v>45</v>
      </c>
      <c r="E404">
        <v>1.3707447941091601E-3</v>
      </c>
      <c r="F404">
        <v>1.3707447941091601E-3</v>
      </c>
      <c r="G404">
        <v>0</v>
      </c>
      <c r="H404">
        <v>0</v>
      </c>
      <c r="I404" t="s">
        <v>84</v>
      </c>
    </row>
    <row r="405" spans="1:9" x14ac:dyDescent="0.35">
      <c r="A405" t="s">
        <v>17</v>
      </c>
      <c r="B405">
        <v>2035</v>
      </c>
      <c r="C405" t="s">
        <v>83</v>
      </c>
      <c r="D405" t="s">
        <v>46</v>
      </c>
      <c r="E405">
        <v>3.3524488777257201E-2</v>
      </c>
      <c r="F405">
        <v>3.3524488777257201E-2</v>
      </c>
      <c r="G405">
        <v>0</v>
      </c>
      <c r="H405">
        <v>0</v>
      </c>
      <c r="I405" t="s">
        <v>84</v>
      </c>
    </row>
    <row r="406" spans="1:9" x14ac:dyDescent="0.35">
      <c r="A406" t="s">
        <v>17</v>
      </c>
      <c r="B406">
        <v>2035</v>
      </c>
      <c r="C406" t="s">
        <v>83</v>
      </c>
      <c r="D406" t="s">
        <v>47</v>
      </c>
      <c r="E406">
        <v>2.6947981988017399E-4</v>
      </c>
      <c r="F406">
        <v>2.6947981988017399E-4</v>
      </c>
      <c r="G406">
        <v>0</v>
      </c>
      <c r="H406">
        <v>0</v>
      </c>
      <c r="I406" t="s">
        <v>84</v>
      </c>
    </row>
    <row r="407" spans="1:9" x14ac:dyDescent="0.35">
      <c r="A407" t="s">
        <v>17</v>
      </c>
      <c r="B407">
        <v>2035</v>
      </c>
      <c r="C407" t="s">
        <v>83</v>
      </c>
      <c r="D407" t="s">
        <v>48</v>
      </c>
      <c r="E407">
        <v>36.276061517668197</v>
      </c>
      <c r="F407">
        <v>36.276061517668197</v>
      </c>
      <c r="G407">
        <v>0</v>
      </c>
      <c r="H407">
        <v>0</v>
      </c>
      <c r="I407" t="s">
        <v>84</v>
      </c>
    </row>
    <row r="408" spans="1:9" x14ac:dyDescent="0.35">
      <c r="A408" t="s">
        <v>17</v>
      </c>
      <c r="B408">
        <v>2035</v>
      </c>
      <c r="C408" t="s">
        <v>83</v>
      </c>
      <c r="D408" t="s">
        <v>49</v>
      </c>
      <c r="E408">
        <v>4.0045453302239601E-3</v>
      </c>
      <c r="F408">
        <v>4.0045453302239601E-3</v>
      </c>
      <c r="G408">
        <v>0</v>
      </c>
      <c r="H408">
        <v>0</v>
      </c>
      <c r="I408" t="s">
        <v>84</v>
      </c>
    </row>
    <row r="409" spans="1:9" x14ac:dyDescent="0.35">
      <c r="A409" t="s">
        <v>17</v>
      </c>
      <c r="B409">
        <v>2035</v>
      </c>
      <c r="C409" t="s">
        <v>83</v>
      </c>
      <c r="D409" t="s">
        <v>50</v>
      </c>
      <c r="E409">
        <v>4.4432951807324497E-3</v>
      </c>
      <c r="F409">
        <v>4.4432951807324497E-3</v>
      </c>
      <c r="G409">
        <v>0</v>
      </c>
      <c r="H409">
        <v>0</v>
      </c>
      <c r="I409" t="s">
        <v>84</v>
      </c>
    </row>
    <row r="410" spans="1:9" x14ac:dyDescent="0.35">
      <c r="A410" t="s">
        <v>17</v>
      </c>
      <c r="B410">
        <v>2035</v>
      </c>
      <c r="C410" t="s">
        <v>83</v>
      </c>
      <c r="D410" t="s">
        <v>51</v>
      </c>
      <c r="E410">
        <v>3.4705129239596497E-2</v>
      </c>
      <c r="F410">
        <v>3.4705129239596497E-2</v>
      </c>
      <c r="G410">
        <v>0</v>
      </c>
      <c r="H410">
        <v>0</v>
      </c>
      <c r="I410" t="s">
        <v>84</v>
      </c>
    </row>
    <row r="411" spans="1:9" x14ac:dyDescent="0.35">
      <c r="A411" t="s">
        <v>17</v>
      </c>
      <c r="B411">
        <v>2035</v>
      </c>
      <c r="C411" t="s">
        <v>83</v>
      </c>
      <c r="D411" t="s">
        <v>52</v>
      </c>
      <c r="E411">
        <v>0.136598461927531</v>
      </c>
      <c r="F411">
        <v>0.136598461927531</v>
      </c>
      <c r="G411">
        <v>0</v>
      </c>
      <c r="H411">
        <v>0</v>
      </c>
      <c r="I411" t="s">
        <v>84</v>
      </c>
    </row>
    <row r="412" spans="1:9" x14ac:dyDescent="0.35">
      <c r="A412" t="s">
        <v>17</v>
      </c>
      <c r="B412">
        <v>2035</v>
      </c>
      <c r="C412" t="s">
        <v>83</v>
      </c>
      <c r="D412" t="s">
        <v>53</v>
      </c>
      <c r="E412">
        <v>0.201125577587453</v>
      </c>
      <c r="F412">
        <v>0.201125577587453</v>
      </c>
      <c r="G412">
        <v>0</v>
      </c>
      <c r="H412">
        <v>0</v>
      </c>
      <c r="I412" t="s">
        <v>84</v>
      </c>
    </row>
    <row r="413" spans="1:9" x14ac:dyDescent="0.35">
      <c r="A413" t="s">
        <v>17</v>
      </c>
      <c r="B413">
        <v>2035</v>
      </c>
      <c r="C413" t="s">
        <v>83</v>
      </c>
      <c r="D413" t="s">
        <v>54</v>
      </c>
      <c r="E413">
        <v>6.4277254389866006E-2</v>
      </c>
      <c r="F413">
        <v>6.3570871298866502E-2</v>
      </c>
      <c r="G413">
        <v>-7.0638309099949005E-4</v>
      </c>
      <c r="H413">
        <v>-1.0989627632739301</v>
      </c>
      <c r="I413" t="s">
        <v>84</v>
      </c>
    </row>
    <row r="414" spans="1:9" x14ac:dyDescent="0.35">
      <c r="A414" t="s">
        <v>17</v>
      </c>
      <c r="B414">
        <v>2035</v>
      </c>
      <c r="C414" t="s">
        <v>83</v>
      </c>
      <c r="D414" t="s">
        <v>55</v>
      </c>
      <c r="E414">
        <v>6.1004857842654102E-2</v>
      </c>
      <c r="F414">
        <v>5.9998191798405397E-2</v>
      </c>
      <c r="G414">
        <v>-1.0066660442486701E-3</v>
      </c>
      <c r="H414">
        <v>-1.65014079181219</v>
      </c>
      <c r="I414" t="s">
        <v>84</v>
      </c>
    </row>
    <row r="415" spans="1:9" x14ac:dyDescent="0.35">
      <c r="A415" t="s">
        <v>17</v>
      </c>
      <c r="B415">
        <v>2035</v>
      </c>
      <c r="C415" t="s">
        <v>83</v>
      </c>
      <c r="D415" t="s">
        <v>56</v>
      </c>
      <c r="E415" s="1">
        <v>5.60155575453112E-8</v>
      </c>
      <c r="F415" s="1">
        <v>5.60155575453112E-8</v>
      </c>
      <c r="G415">
        <v>0</v>
      </c>
      <c r="H415">
        <v>0</v>
      </c>
      <c r="I415" t="s">
        <v>84</v>
      </c>
    </row>
    <row r="416" spans="1:9" x14ac:dyDescent="0.35">
      <c r="A416" t="s">
        <v>19</v>
      </c>
      <c r="B416">
        <v>2040</v>
      </c>
      <c r="C416" t="s">
        <v>83</v>
      </c>
      <c r="D416" t="s">
        <v>38</v>
      </c>
      <c r="E416">
        <v>5.2915026131569102E-4</v>
      </c>
      <c r="F416">
        <v>5.2913922290728104E-4</v>
      </c>
      <c r="G416" s="1">
        <v>-1.10384084103061E-8</v>
      </c>
      <c r="H416">
        <v>-2.08606311236811E-3</v>
      </c>
      <c r="I416" t="s">
        <v>84</v>
      </c>
    </row>
    <row r="417" spans="1:9" x14ac:dyDescent="0.35">
      <c r="A417" t="s">
        <v>19</v>
      </c>
      <c r="B417">
        <v>2040</v>
      </c>
      <c r="C417" t="s">
        <v>83</v>
      </c>
      <c r="D417" t="s">
        <v>40</v>
      </c>
      <c r="E417">
        <v>2.0753069183730699E-4</v>
      </c>
      <c r="F417">
        <v>2.0753069183730699E-4</v>
      </c>
      <c r="G417">
        <v>0</v>
      </c>
      <c r="H417">
        <v>0</v>
      </c>
      <c r="I417" t="s">
        <v>84</v>
      </c>
    </row>
    <row r="418" spans="1:9" x14ac:dyDescent="0.35">
      <c r="A418" t="s">
        <v>19</v>
      </c>
      <c r="B418">
        <v>2040</v>
      </c>
      <c r="C418" t="s">
        <v>83</v>
      </c>
      <c r="D418" t="s">
        <v>41</v>
      </c>
      <c r="E418">
        <v>2.1345120396690999E-3</v>
      </c>
      <c r="F418">
        <v>2.1345120396690999E-3</v>
      </c>
      <c r="G418">
        <v>0</v>
      </c>
      <c r="H418">
        <v>0</v>
      </c>
      <c r="I418" t="s">
        <v>84</v>
      </c>
    </row>
    <row r="419" spans="1:9" x14ac:dyDescent="0.35">
      <c r="A419" t="s">
        <v>19</v>
      </c>
      <c r="B419">
        <v>2040</v>
      </c>
      <c r="C419" t="s">
        <v>83</v>
      </c>
      <c r="D419" t="s">
        <v>42</v>
      </c>
      <c r="E419">
        <v>2.09405804679984</v>
      </c>
      <c r="F419">
        <v>0.60963476248350701</v>
      </c>
      <c r="G419">
        <v>-1.4844232843163401</v>
      </c>
      <c r="H419">
        <v>-70.887399066365205</v>
      </c>
      <c r="I419" t="s">
        <v>84</v>
      </c>
    </row>
    <row r="420" spans="1:9" x14ac:dyDescent="0.35">
      <c r="A420" t="s">
        <v>19</v>
      </c>
      <c r="B420">
        <v>2040</v>
      </c>
      <c r="C420" t="s">
        <v>83</v>
      </c>
      <c r="D420" t="s">
        <v>43</v>
      </c>
      <c r="E420">
        <v>6.6857339113022304E-4</v>
      </c>
      <c r="F420">
        <v>6.6857339113022304E-4</v>
      </c>
      <c r="G420">
        <v>0</v>
      </c>
      <c r="H420">
        <v>0</v>
      </c>
      <c r="I420" t="s">
        <v>84</v>
      </c>
    </row>
    <row r="421" spans="1:9" x14ac:dyDescent="0.35">
      <c r="A421" t="s">
        <v>19</v>
      </c>
      <c r="B421">
        <v>2040</v>
      </c>
      <c r="C421" t="s">
        <v>83</v>
      </c>
      <c r="D421" t="s">
        <v>136</v>
      </c>
      <c r="E421">
        <v>0.680819909500603</v>
      </c>
      <c r="F421">
        <v>0.680819909500603</v>
      </c>
      <c r="G421">
        <v>0</v>
      </c>
      <c r="H421">
        <v>0</v>
      </c>
      <c r="I421" t="s">
        <v>84</v>
      </c>
    </row>
    <row r="422" spans="1:9" x14ac:dyDescent="0.35">
      <c r="A422" t="s">
        <v>19</v>
      </c>
      <c r="B422">
        <v>2040</v>
      </c>
      <c r="C422" t="s">
        <v>83</v>
      </c>
      <c r="D422" t="s">
        <v>45</v>
      </c>
      <c r="E422">
        <v>1.31113076610754E-3</v>
      </c>
      <c r="F422">
        <v>1.31113076610754E-3</v>
      </c>
      <c r="G422">
        <v>0</v>
      </c>
      <c r="H422">
        <v>0</v>
      </c>
      <c r="I422" t="s">
        <v>84</v>
      </c>
    </row>
    <row r="423" spans="1:9" x14ac:dyDescent="0.35">
      <c r="A423" t="s">
        <v>19</v>
      </c>
      <c r="B423">
        <v>2040</v>
      </c>
      <c r="C423" t="s">
        <v>83</v>
      </c>
      <c r="D423" t="s">
        <v>46</v>
      </c>
      <c r="E423">
        <v>4.9247947714389902E-2</v>
      </c>
      <c r="F423">
        <v>4.9247947714389902E-2</v>
      </c>
      <c r="G423">
        <v>0</v>
      </c>
      <c r="H423">
        <v>0</v>
      </c>
      <c r="I423" t="s">
        <v>84</v>
      </c>
    </row>
    <row r="424" spans="1:9" x14ac:dyDescent="0.35">
      <c r="A424" t="s">
        <v>19</v>
      </c>
      <c r="B424">
        <v>2040</v>
      </c>
      <c r="C424" t="s">
        <v>83</v>
      </c>
      <c r="D424" t="s">
        <v>47</v>
      </c>
      <c r="E424">
        <v>2.3504012396211E-4</v>
      </c>
      <c r="F424">
        <v>2.3504012396211E-4</v>
      </c>
      <c r="G424">
        <v>0</v>
      </c>
      <c r="H424">
        <v>0</v>
      </c>
      <c r="I424" t="s">
        <v>84</v>
      </c>
    </row>
    <row r="425" spans="1:9" x14ac:dyDescent="0.35">
      <c r="A425" t="s">
        <v>19</v>
      </c>
      <c r="B425">
        <v>2040</v>
      </c>
      <c r="C425" t="s">
        <v>83</v>
      </c>
      <c r="D425" t="s">
        <v>48</v>
      </c>
      <c r="E425">
        <v>36.277528912340401</v>
      </c>
      <c r="F425">
        <v>36.277528912340401</v>
      </c>
      <c r="G425">
        <v>0</v>
      </c>
      <c r="H425">
        <v>0</v>
      </c>
      <c r="I425" t="s">
        <v>84</v>
      </c>
    </row>
    <row r="426" spans="1:9" x14ac:dyDescent="0.35">
      <c r="A426" t="s">
        <v>19</v>
      </c>
      <c r="B426">
        <v>2040</v>
      </c>
      <c r="C426" t="s">
        <v>83</v>
      </c>
      <c r="D426" t="s">
        <v>49</v>
      </c>
      <c r="E426">
        <v>3.8769043212269799E-3</v>
      </c>
      <c r="F426">
        <v>3.8769043212269799E-3</v>
      </c>
      <c r="G426">
        <v>0</v>
      </c>
      <c r="H426">
        <v>0</v>
      </c>
      <c r="I426" t="s">
        <v>84</v>
      </c>
    </row>
    <row r="427" spans="1:9" x14ac:dyDescent="0.35">
      <c r="A427" t="s">
        <v>19</v>
      </c>
      <c r="B427">
        <v>2040</v>
      </c>
      <c r="C427" t="s">
        <v>83</v>
      </c>
      <c r="D427" t="s">
        <v>50</v>
      </c>
      <c r="E427">
        <v>4.6128729238364002E-3</v>
      </c>
      <c r="F427">
        <v>4.6128729238364002E-3</v>
      </c>
      <c r="G427">
        <v>0</v>
      </c>
      <c r="H427">
        <v>0</v>
      </c>
      <c r="I427" t="s">
        <v>84</v>
      </c>
    </row>
    <row r="428" spans="1:9" x14ac:dyDescent="0.35">
      <c r="A428" t="s">
        <v>19</v>
      </c>
      <c r="B428">
        <v>2040</v>
      </c>
      <c r="C428" t="s">
        <v>83</v>
      </c>
      <c r="D428" t="s">
        <v>51</v>
      </c>
      <c r="E428">
        <v>3.5547970379562803E-2</v>
      </c>
      <c r="F428">
        <v>3.5547970379562803E-2</v>
      </c>
      <c r="G428">
        <v>0</v>
      </c>
      <c r="H428">
        <v>0</v>
      </c>
      <c r="I428" t="s">
        <v>84</v>
      </c>
    </row>
    <row r="429" spans="1:9" x14ac:dyDescent="0.35">
      <c r="A429" t="s">
        <v>19</v>
      </c>
      <c r="B429">
        <v>2040</v>
      </c>
      <c r="C429" t="s">
        <v>83</v>
      </c>
      <c r="D429" t="s">
        <v>52</v>
      </c>
      <c r="E429">
        <v>0.10026337838248101</v>
      </c>
      <c r="F429">
        <v>0.10026337838248101</v>
      </c>
      <c r="G429">
        <v>0</v>
      </c>
      <c r="H429">
        <v>0</v>
      </c>
      <c r="I429" t="s">
        <v>84</v>
      </c>
    </row>
    <row r="430" spans="1:9" x14ac:dyDescent="0.35">
      <c r="A430" t="s">
        <v>19</v>
      </c>
      <c r="B430">
        <v>2040</v>
      </c>
      <c r="C430" t="s">
        <v>83</v>
      </c>
      <c r="D430" t="s">
        <v>53</v>
      </c>
      <c r="E430">
        <v>0.17943287552710599</v>
      </c>
      <c r="F430">
        <v>0.17943287552710599</v>
      </c>
      <c r="G430">
        <v>0</v>
      </c>
      <c r="H430">
        <v>0</v>
      </c>
      <c r="I430" t="s">
        <v>84</v>
      </c>
    </row>
    <row r="431" spans="1:9" x14ac:dyDescent="0.35">
      <c r="A431" t="s">
        <v>19</v>
      </c>
      <c r="B431">
        <v>2040</v>
      </c>
      <c r="C431" t="s">
        <v>83</v>
      </c>
      <c r="D431" t="s">
        <v>54</v>
      </c>
      <c r="E431">
        <v>6.47367480312947E-2</v>
      </c>
      <c r="F431">
        <v>6.1405832987179401E-2</v>
      </c>
      <c r="G431">
        <v>-3.3309150441152499E-3</v>
      </c>
      <c r="H431">
        <v>-5.1453233988600102</v>
      </c>
      <c r="I431" t="s">
        <v>84</v>
      </c>
    </row>
    <row r="432" spans="1:9" x14ac:dyDescent="0.35">
      <c r="A432" t="s">
        <v>19</v>
      </c>
      <c r="B432">
        <v>2040</v>
      </c>
      <c r="C432" t="s">
        <v>83</v>
      </c>
      <c r="D432" t="s">
        <v>55</v>
      </c>
      <c r="E432">
        <v>6.1347455454194302E-2</v>
      </c>
      <c r="F432">
        <v>5.6600570369414099E-2</v>
      </c>
      <c r="G432">
        <v>-4.7468850847801796E-3</v>
      </c>
      <c r="H432">
        <v>-7.7377049294644102</v>
      </c>
      <c r="I432" t="s">
        <v>84</v>
      </c>
    </row>
    <row r="433" spans="1:9" x14ac:dyDescent="0.35">
      <c r="A433" t="s">
        <v>19</v>
      </c>
      <c r="B433">
        <v>2040</v>
      </c>
      <c r="C433" t="s">
        <v>83</v>
      </c>
      <c r="D433" t="s">
        <v>56</v>
      </c>
      <c r="E433" s="1">
        <v>5.2050657556303103E-8</v>
      </c>
      <c r="F433" s="1">
        <v>5.2050657556303103E-8</v>
      </c>
      <c r="G433">
        <v>0</v>
      </c>
      <c r="H433">
        <v>0</v>
      </c>
      <c r="I433" t="s">
        <v>84</v>
      </c>
    </row>
    <row r="434" spans="1:9" x14ac:dyDescent="0.35">
      <c r="A434" t="s">
        <v>13</v>
      </c>
      <c r="B434">
        <v>2025</v>
      </c>
      <c r="C434" t="s">
        <v>78</v>
      </c>
      <c r="D434" t="s">
        <v>38</v>
      </c>
      <c r="E434" s="1">
        <v>4.8519000384193004E-6</v>
      </c>
      <c r="F434" s="1">
        <v>4.8519000384193004E-6</v>
      </c>
      <c r="G434">
        <v>0</v>
      </c>
      <c r="H434">
        <v>0</v>
      </c>
      <c r="I434" t="s">
        <v>79</v>
      </c>
    </row>
    <row r="435" spans="1:9" x14ac:dyDescent="0.35">
      <c r="A435" t="s">
        <v>13</v>
      </c>
      <c r="B435">
        <v>2025</v>
      </c>
      <c r="C435" t="s">
        <v>78</v>
      </c>
      <c r="D435" t="s">
        <v>40</v>
      </c>
      <c r="E435" s="1">
        <v>7.7899746995188505E-5</v>
      </c>
      <c r="F435" s="1">
        <v>7.7899746995188505E-5</v>
      </c>
      <c r="G435">
        <v>0</v>
      </c>
      <c r="H435">
        <v>0</v>
      </c>
      <c r="I435" t="s">
        <v>79</v>
      </c>
    </row>
    <row r="436" spans="1:9" x14ac:dyDescent="0.35">
      <c r="A436" t="s">
        <v>13</v>
      </c>
      <c r="B436">
        <v>2025</v>
      </c>
      <c r="C436" t="s">
        <v>78</v>
      </c>
      <c r="D436" t="s">
        <v>41</v>
      </c>
      <c r="E436">
        <v>3.1182426503621502E-4</v>
      </c>
      <c r="F436">
        <v>3.1182426503621502E-4</v>
      </c>
      <c r="G436">
        <v>0</v>
      </c>
      <c r="H436">
        <v>0</v>
      </c>
      <c r="I436" t="s">
        <v>79</v>
      </c>
    </row>
    <row r="437" spans="1:9" x14ac:dyDescent="0.35">
      <c r="A437" t="s">
        <v>13</v>
      </c>
      <c r="B437">
        <v>2025</v>
      </c>
      <c r="C437" t="s">
        <v>78</v>
      </c>
      <c r="D437" t="s">
        <v>42</v>
      </c>
      <c r="E437">
        <v>1.3691732653267801E-2</v>
      </c>
      <c r="F437">
        <v>1.3691732653267801E-2</v>
      </c>
      <c r="G437">
        <v>0</v>
      </c>
      <c r="H437">
        <v>0</v>
      </c>
      <c r="I437" t="s">
        <v>79</v>
      </c>
    </row>
    <row r="438" spans="1:9" x14ac:dyDescent="0.35">
      <c r="A438" t="s">
        <v>13</v>
      </c>
      <c r="B438">
        <v>2025</v>
      </c>
      <c r="C438" t="s">
        <v>78</v>
      </c>
      <c r="D438" t="s">
        <v>43</v>
      </c>
      <c r="E438">
        <v>1.04195375938592E-4</v>
      </c>
      <c r="F438">
        <v>1.04195375938592E-4</v>
      </c>
      <c r="G438">
        <v>0</v>
      </c>
      <c r="H438">
        <v>0</v>
      </c>
      <c r="I438" t="s">
        <v>79</v>
      </c>
    </row>
    <row r="439" spans="1:9" x14ac:dyDescent="0.35">
      <c r="A439" t="s">
        <v>13</v>
      </c>
      <c r="B439">
        <v>2025</v>
      </c>
      <c r="C439" t="s">
        <v>78</v>
      </c>
      <c r="D439" t="s">
        <v>136</v>
      </c>
      <c r="E439">
        <v>1.6608091799578499E-2</v>
      </c>
      <c r="F439">
        <v>1.6608091799578499E-2</v>
      </c>
      <c r="G439">
        <v>0</v>
      </c>
      <c r="H439">
        <v>0</v>
      </c>
      <c r="I439" t="s">
        <v>79</v>
      </c>
    </row>
    <row r="440" spans="1:9" x14ac:dyDescent="0.35">
      <c r="A440" t="s">
        <v>13</v>
      </c>
      <c r="B440">
        <v>2025</v>
      </c>
      <c r="C440" t="s">
        <v>78</v>
      </c>
      <c r="D440" t="s">
        <v>45</v>
      </c>
      <c r="E440">
        <v>1.0821932460481499E-4</v>
      </c>
      <c r="F440">
        <v>1.0821932460481499E-4</v>
      </c>
      <c r="G440">
        <v>0</v>
      </c>
      <c r="H440">
        <v>0</v>
      </c>
      <c r="I440" t="s">
        <v>79</v>
      </c>
    </row>
    <row r="441" spans="1:9" x14ac:dyDescent="0.35">
      <c r="A441" t="s">
        <v>13</v>
      </c>
      <c r="B441">
        <v>2025</v>
      </c>
      <c r="C441" t="s">
        <v>78</v>
      </c>
      <c r="D441" t="s">
        <v>46</v>
      </c>
      <c r="E441">
        <v>1.7281419333322499E-3</v>
      </c>
      <c r="F441">
        <v>1.7281419333322499E-3</v>
      </c>
      <c r="G441">
        <v>0</v>
      </c>
      <c r="H441">
        <v>0</v>
      </c>
      <c r="I441" t="s">
        <v>79</v>
      </c>
    </row>
    <row r="442" spans="1:9" x14ac:dyDescent="0.35">
      <c r="A442" t="s">
        <v>13</v>
      </c>
      <c r="B442">
        <v>2025</v>
      </c>
      <c r="C442" t="s">
        <v>78</v>
      </c>
      <c r="D442" t="s">
        <v>47</v>
      </c>
      <c r="E442" s="1">
        <v>6.3669154837389604E-6</v>
      </c>
      <c r="F442" s="1">
        <v>6.3669154837389604E-6</v>
      </c>
      <c r="G442">
        <v>0</v>
      </c>
      <c r="H442">
        <v>0</v>
      </c>
      <c r="I442" t="s">
        <v>79</v>
      </c>
    </row>
    <row r="443" spans="1:9" x14ac:dyDescent="0.35">
      <c r="A443" t="s">
        <v>13</v>
      </c>
      <c r="B443">
        <v>2025</v>
      </c>
      <c r="C443" t="s">
        <v>78</v>
      </c>
      <c r="D443" t="s">
        <v>48</v>
      </c>
      <c r="E443">
        <v>46.972612151800803</v>
      </c>
      <c r="F443">
        <v>46.972612151800803</v>
      </c>
      <c r="G443">
        <v>0</v>
      </c>
      <c r="H443">
        <v>0</v>
      </c>
      <c r="I443" t="s">
        <v>79</v>
      </c>
    </row>
    <row r="444" spans="1:9" x14ac:dyDescent="0.35">
      <c r="A444" t="s">
        <v>13</v>
      </c>
      <c r="B444">
        <v>2025</v>
      </c>
      <c r="C444" t="s">
        <v>78</v>
      </c>
      <c r="D444" t="s">
        <v>49</v>
      </c>
      <c r="E444">
        <v>2.6934120149473299E-4</v>
      </c>
      <c r="F444">
        <v>2.6934120149473299E-4</v>
      </c>
      <c r="G444">
        <v>0</v>
      </c>
      <c r="H444">
        <v>0</v>
      </c>
      <c r="I444" t="s">
        <v>79</v>
      </c>
    </row>
    <row r="445" spans="1:9" x14ac:dyDescent="0.35">
      <c r="A445" t="s">
        <v>13</v>
      </c>
      <c r="B445">
        <v>2025</v>
      </c>
      <c r="C445" t="s">
        <v>78</v>
      </c>
      <c r="D445" t="s">
        <v>50</v>
      </c>
      <c r="E445">
        <v>1.44499321807902E-3</v>
      </c>
      <c r="F445">
        <v>1.44499321807902E-3</v>
      </c>
      <c r="G445">
        <v>0</v>
      </c>
      <c r="H445">
        <v>0</v>
      </c>
      <c r="I445" t="s">
        <v>79</v>
      </c>
    </row>
    <row r="446" spans="1:9" x14ac:dyDescent="0.35">
      <c r="A446" t="s">
        <v>13</v>
      </c>
      <c r="B446">
        <v>2025</v>
      </c>
      <c r="C446" t="s">
        <v>78</v>
      </c>
      <c r="D446" t="s">
        <v>51</v>
      </c>
      <c r="E446">
        <v>2.2951378104653499E-2</v>
      </c>
      <c r="F446">
        <v>2.2951378104653499E-2</v>
      </c>
      <c r="G446">
        <v>0</v>
      </c>
      <c r="H446">
        <v>0</v>
      </c>
      <c r="I446" t="s">
        <v>79</v>
      </c>
    </row>
    <row r="447" spans="1:9" x14ac:dyDescent="0.35">
      <c r="A447" t="s">
        <v>13</v>
      </c>
      <c r="B447">
        <v>2025</v>
      </c>
      <c r="C447" t="s">
        <v>78</v>
      </c>
      <c r="D447" t="s">
        <v>52</v>
      </c>
      <c r="E447">
        <v>1.2807237107927401E-3</v>
      </c>
      <c r="F447">
        <v>1.2807237107927401E-3</v>
      </c>
      <c r="G447">
        <v>0</v>
      </c>
      <c r="H447">
        <v>0</v>
      </c>
      <c r="I447" t="s">
        <v>79</v>
      </c>
    </row>
    <row r="448" spans="1:9" x14ac:dyDescent="0.35">
      <c r="A448" t="s">
        <v>13</v>
      </c>
      <c r="B448">
        <v>2025</v>
      </c>
      <c r="C448" t="s">
        <v>78</v>
      </c>
      <c r="D448" t="s">
        <v>53</v>
      </c>
      <c r="E448">
        <v>4.9691500010497699E-3</v>
      </c>
      <c r="F448">
        <v>4.9691500010497699E-3</v>
      </c>
      <c r="G448">
        <v>0</v>
      </c>
      <c r="H448">
        <v>0</v>
      </c>
      <c r="I448" t="s">
        <v>79</v>
      </c>
    </row>
    <row r="449" spans="1:9" x14ac:dyDescent="0.35">
      <c r="A449" t="s">
        <v>13</v>
      </c>
      <c r="B449">
        <v>2025</v>
      </c>
      <c r="C449" t="s">
        <v>78</v>
      </c>
      <c r="D449" t="s">
        <v>54</v>
      </c>
      <c r="E449">
        <v>1.97195301053849E-3</v>
      </c>
      <c r="F449">
        <v>1.97195301053849E-3</v>
      </c>
      <c r="G449">
        <v>0</v>
      </c>
      <c r="H449">
        <v>0</v>
      </c>
      <c r="I449" t="s">
        <v>79</v>
      </c>
    </row>
    <row r="450" spans="1:9" x14ac:dyDescent="0.35">
      <c r="A450" t="s">
        <v>13</v>
      </c>
      <c r="B450">
        <v>2025</v>
      </c>
      <c r="C450" t="s">
        <v>78</v>
      </c>
      <c r="D450" t="s">
        <v>55</v>
      </c>
      <c r="E450">
        <v>1.8077973305627899E-3</v>
      </c>
      <c r="F450">
        <v>1.8077973305627899E-3</v>
      </c>
      <c r="G450">
        <v>0</v>
      </c>
      <c r="H450">
        <v>0</v>
      </c>
      <c r="I450" t="s">
        <v>79</v>
      </c>
    </row>
    <row r="451" spans="1:9" x14ac:dyDescent="0.35">
      <c r="A451" t="s">
        <v>13</v>
      </c>
      <c r="B451">
        <v>2025</v>
      </c>
      <c r="C451" t="s">
        <v>78</v>
      </c>
      <c r="D451" t="s">
        <v>56</v>
      </c>
      <c r="E451" s="1">
        <v>1.7076716532927801E-9</v>
      </c>
      <c r="F451" s="1">
        <v>1.7076716532927801E-9</v>
      </c>
      <c r="G451">
        <v>0</v>
      </c>
      <c r="H451">
        <v>0</v>
      </c>
      <c r="I451" t="s">
        <v>79</v>
      </c>
    </row>
    <row r="452" spans="1:9" x14ac:dyDescent="0.35">
      <c r="A452" t="s">
        <v>15</v>
      </c>
      <c r="B452">
        <v>2030</v>
      </c>
      <c r="C452" t="s">
        <v>78</v>
      </c>
      <c r="D452" t="s">
        <v>38</v>
      </c>
      <c r="E452" s="1">
        <v>5.8413517488150502E-6</v>
      </c>
      <c r="F452" s="1">
        <v>5.8413441954588299E-6</v>
      </c>
      <c r="G452" s="1">
        <v>-7.5533562135407393E-12</v>
      </c>
      <c r="H452">
        <v>-1.2930836111817699E-4</v>
      </c>
      <c r="I452" t="s">
        <v>79</v>
      </c>
    </row>
    <row r="453" spans="1:9" x14ac:dyDescent="0.35">
      <c r="A453" t="s">
        <v>15</v>
      </c>
      <c r="B453">
        <v>2030</v>
      </c>
      <c r="C453" t="s">
        <v>78</v>
      </c>
      <c r="D453" t="s">
        <v>40</v>
      </c>
      <c r="E453" s="1">
        <v>7.7714972454171898E-5</v>
      </c>
      <c r="F453" s="1">
        <v>7.7714972454171898E-5</v>
      </c>
      <c r="G453">
        <v>0</v>
      </c>
      <c r="H453">
        <v>0</v>
      </c>
      <c r="I453" t="s">
        <v>79</v>
      </c>
    </row>
    <row r="454" spans="1:9" x14ac:dyDescent="0.35">
      <c r="A454" t="s">
        <v>15</v>
      </c>
      <c r="B454">
        <v>2030</v>
      </c>
      <c r="C454" t="s">
        <v>78</v>
      </c>
      <c r="D454" t="s">
        <v>41</v>
      </c>
      <c r="E454">
        <v>3.1046746346110899E-4</v>
      </c>
      <c r="F454">
        <v>3.1046746346110899E-4</v>
      </c>
      <c r="G454">
        <v>0</v>
      </c>
      <c r="H454">
        <v>0</v>
      </c>
      <c r="I454" t="s">
        <v>79</v>
      </c>
    </row>
    <row r="455" spans="1:9" x14ac:dyDescent="0.35">
      <c r="A455" t="s">
        <v>15</v>
      </c>
      <c r="B455">
        <v>2030</v>
      </c>
      <c r="C455" t="s">
        <v>78</v>
      </c>
      <c r="D455" t="s">
        <v>42</v>
      </c>
      <c r="E455">
        <v>1.37241014773872E-2</v>
      </c>
      <c r="F455">
        <v>1.37241014501003E-2</v>
      </c>
      <c r="G455" s="1">
        <v>-2.72868914963364E-11</v>
      </c>
      <c r="H455" s="1">
        <v>-1.98824611879299E-7</v>
      </c>
      <c r="I455" t="s">
        <v>79</v>
      </c>
    </row>
    <row r="456" spans="1:9" x14ac:dyDescent="0.35">
      <c r="A456" t="s">
        <v>15</v>
      </c>
      <c r="B456">
        <v>2030</v>
      </c>
      <c r="C456" t="s">
        <v>78</v>
      </c>
      <c r="D456" t="s">
        <v>43</v>
      </c>
      <c r="E456">
        <v>1.04130399247024E-4</v>
      </c>
      <c r="F456">
        <v>1.04130399247024E-4</v>
      </c>
      <c r="G456">
        <v>0</v>
      </c>
      <c r="H456">
        <v>0</v>
      </c>
      <c r="I456" t="s">
        <v>79</v>
      </c>
    </row>
    <row r="457" spans="1:9" x14ac:dyDescent="0.35">
      <c r="A457" t="s">
        <v>15</v>
      </c>
      <c r="B457">
        <v>2030</v>
      </c>
      <c r="C457" t="s">
        <v>78</v>
      </c>
      <c r="D457" t="s">
        <v>136</v>
      </c>
      <c r="E457">
        <v>1.6351185217639699E-2</v>
      </c>
      <c r="F457">
        <v>1.6351185217639699E-2</v>
      </c>
      <c r="G457">
        <v>0</v>
      </c>
      <c r="H457">
        <v>0</v>
      </c>
      <c r="I457" t="s">
        <v>79</v>
      </c>
    </row>
    <row r="458" spans="1:9" x14ac:dyDescent="0.35">
      <c r="A458" t="s">
        <v>15</v>
      </c>
      <c r="B458">
        <v>2030</v>
      </c>
      <c r="C458" t="s">
        <v>78</v>
      </c>
      <c r="D458" t="s">
        <v>45</v>
      </c>
      <c r="E458">
        <v>1.06275706932118E-4</v>
      </c>
      <c r="F458">
        <v>1.0619108221391801E-4</v>
      </c>
      <c r="G458" s="1">
        <v>-8.4624718199583E-8</v>
      </c>
      <c r="H458">
        <v>-7.9627527910621596E-2</v>
      </c>
      <c r="I458" t="s">
        <v>79</v>
      </c>
    </row>
    <row r="459" spans="1:9" x14ac:dyDescent="0.35">
      <c r="A459" t="s">
        <v>15</v>
      </c>
      <c r="B459">
        <v>2030</v>
      </c>
      <c r="C459" t="s">
        <v>78</v>
      </c>
      <c r="D459" t="s">
        <v>46</v>
      </c>
      <c r="E459">
        <v>1.9985319496629199E-3</v>
      </c>
      <c r="F459">
        <v>1.9985319496629199E-3</v>
      </c>
      <c r="G459">
        <v>0</v>
      </c>
      <c r="H459">
        <v>0</v>
      </c>
      <c r="I459" t="s">
        <v>79</v>
      </c>
    </row>
    <row r="460" spans="1:9" x14ac:dyDescent="0.35">
      <c r="A460" t="s">
        <v>15</v>
      </c>
      <c r="B460">
        <v>2030</v>
      </c>
      <c r="C460" t="s">
        <v>78</v>
      </c>
      <c r="D460" t="s">
        <v>47</v>
      </c>
      <c r="E460" s="1">
        <v>6.4413559433746103E-6</v>
      </c>
      <c r="F460" s="1">
        <v>6.4413559433746103E-6</v>
      </c>
      <c r="G460">
        <v>0</v>
      </c>
      <c r="H460">
        <v>0</v>
      </c>
      <c r="I460" t="s">
        <v>79</v>
      </c>
    </row>
    <row r="461" spans="1:9" x14ac:dyDescent="0.35">
      <c r="A461" t="s">
        <v>15</v>
      </c>
      <c r="B461">
        <v>2030</v>
      </c>
      <c r="C461" t="s">
        <v>78</v>
      </c>
      <c r="D461" t="s">
        <v>48</v>
      </c>
      <c r="E461">
        <v>46.972603665216198</v>
      </c>
      <c r="F461">
        <v>46.972603665216198</v>
      </c>
      <c r="G461">
        <v>0</v>
      </c>
      <c r="H461">
        <v>0</v>
      </c>
      <c r="I461" t="s">
        <v>79</v>
      </c>
    </row>
    <row r="462" spans="1:9" x14ac:dyDescent="0.35">
      <c r="A462" t="s">
        <v>15</v>
      </c>
      <c r="B462">
        <v>2030</v>
      </c>
      <c r="C462" t="s">
        <v>78</v>
      </c>
      <c r="D462" t="s">
        <v>49</v>
      </c>
      <c r="E462">
        <v>2.6759279581631197E-4</v>
      </c>
      <c r="F462">
        <v>2.6759279581631197E-4</v>
      </c>
      <c r="G462">
        <v>0</v>
      </c>
      <c r="H462">
        <v>0</v>
      </c>
      <c r="I462" t="s">
        <v>79</v>
      </c>
    </row>
    <row r="463" spans="1:9" x14ac:dyDescent="0.35">
      <c r="A463" t="s">
        <v>15</v>
      </c>
      <c r="B463">
        <v>2030</v>
      </c>
      <c r="C463" t="s">
        <v>78</v>
      </c>
      <c r="D463" t="s">
        <v>50</v>
      </c>
      <c r="E463">
        <v>1.44864084761845E-3</v>
      </c>
      <c r="F463">
        <v>1.44864084761845E-3</v>
      </c>
      <c r="G463">
        <v>0</v>
      </c>
      <c r="H463">
        <v>0</v>
      </c>
      <c r="I463" t="s">
        <v>79</v>
      </c>
    </row>
    <row r="464" spans="1:9" x14ac:dyDescent="0.35">
      <c r="A464" t="s">
        <v>15</v>
      </c>
      <c r="B464">
        <v>2030</v>
      </c>
      <c r="C464" t="s">
        <v>78</v>
      </c>
      <c r="D464" t="s">
        <v>51</v>
      </c>
      <c r="E464">
        <v>2.2965388254784499E-2</v>
      </c>
      <c r="F464">
        <v>2.2965388254784499E-2</v>
      </c>
      <c r="G464">
        <v>0</v>
      </c>
      <c r="H464">
        <v>0</v>
      </c>
      <c r="I464" t="s">
        <v>79</v>
      </c>
    </row>
    <row r="465" spans="1:9" x14ac:dyDescent="0.35">
      <c r="A465" t="s">
        <v>15</v>
      </c>
      <c r="B465">
        <v>2030</v>
      </c>
      <c r="C465" t="s">
        <v>78</v>
      </c>
      <c r="D465" t="s">
        <v>52</v>
      </c>
      <c r="E465">
        <v>1.1899188631781599E-3</v>
      </c>
      <c r="F465">
        <v>1.1899188631781599E-3</v>
      </c>
      <c r="G465">
        <v>0</v>
      </c>
      <c r="H465">
        <v>0</v>
      </c>
      <c r="I465" t="s">
        <v>79</v>
      </c>
    </row>
    <row r="466" spans="1:9" x14ac:dyDescent="0.35">
      <c r="A466" t="s">
        <v>15</v>
      </c>
      <c r="B466">
        <v>2030</v>
      </c>
      <c r="C466" t="s">
        <v>78</v>
      </c>
      <c r="D466" t="s">
        <v>53</v>
      </c>
      <c r="E466">
        <v>4.8730842727254401E-3</v>
      </c>
      <c r="F466">
        <v>4.8730842727254401E-3</v>
      </c>
      <c r="G466">
        <v>0</v>
      </c>
      <c r="H466">
        <v>0</v>
      </c>
      <c r="I466" t="s">
        <v>79</v>
      </c>
    </row>
    <row r="467" spans="1:9" x14ac:dyDescent="0.35">
      <c r="A467" t="s">
        <v>15</v>
      </c>
      <c r="B467">
        <v>2030</v>
      </c>
      <c r="C467" t="s">
        <v>78</v>
      </c>
      <c r="D467" t="s">
        <v>54</v>
      </c>
      <c r="E467">
        <v>1.9828138912523999E-3</v>
      </c>
      <c r="F467">
        <v>1.98281388937559E-3</v>
      </c>
      <c r="G467" s="1">
        <v>-1.8768142422131899E-12</v>
      </c>
      <c r="H467" s="1">
        <v>-9.4654079764780401E-8</v>
      </c>
      <c r="I467" t="s">
        <v>79</v>
      </c>
    </row>
    <row r="468" spans="1:9" x14ac:dyDescent="0.35">
      <c r="A468" t="s">
        <v>15</v>
      </c>
      <c r="B468">
        <v>2030</v>
      </c>
      <c r="C468" t="s">
        <v>78</v>
      </c>
      <c r="D468" t="s">
        <v>55</v>
      </c>
      <c r="E468">
        <v>1.8169291914517001E-3</v>
      </c>
      <c r="F468">
        <v>1.8169285118671899E-3</v>
      </c>
      <c r="G468" s="1">
        <v>-6.7958450889263302E-10</v>
      </c>
      <c r="H468" s="1">
        <v>-3.7402916530261298E-5</v>
      </c>
      <c r="I468" t="s">
        <v>79</v>
      </c>
    </row>
    <row r="469" spans="1:9" x14ac:dyDescent="0.35">
      <c r="A469" t="s">
        <v>15</v>
      </c>
      <c r="B469">
        <v>2030</v>
      </c>
      <c r="C469" t="s">
        <v>78</v>
      </c>
      <c r="D469" t="s">
        <v>56</v>
      </c>
      <c r="E469" s="1">
        <v>1.5938439140803099E-9</v>
      </c>
      <c r="F469" s="1">
        <v>1.5938439140803099E-9</v>
      </c>
      <c r="G469">
        <v>0</v>
      </c>
      <c r="H469">
        <v>0</v>
      </c>
      <c r="I469" t="s">
        <v>79</v>
      </c>
    </row>
    <row r="470" spans="1:9" x14ac:dyDescent="0.35">
      <c r="A470" t="s">
        <v>17</v>
      </c>
      <c r="B470">
        <v>2035</v>
      </c>
      <c r="C470" t="s">
        <v>78</v>
      </c>
      <c r="D470" t="s">
        <v>38</v>
      </c>
      <c r="E470" s="1">
        <v>8.48133907675986E-6</v>
      </c>
      <c r="F470" s="1">
        <v>8.4813371669729393E-6</v>
      </c>
      <c r="G470" s="1">
        <v>-1.9097869156735898E-12</v>
      </c>
      <c r="H470" s="1">
        <v>-2.2517516377887699E-5</v>
      </c>
      <c r="I470" t="s">
        <v>79</v>
      </c>
    </row>
    <row r="471" spans="1:9" x14ac:dyDescent="0.35">
      <c r="A471" t="s">
        <v>17</v>
      </c>
      <c r="B471">
        <v>2035</v>
      </c>
      <c r="C471" t="s">
        <v>78</v>
      </c>
      <c r="D471" t="s">
        <v>40</v>
      </c>
      <c r="E471" s="1">
        <v>7.7492598908146502E-5</v>
      </c>
      <c r="F471" s="1">
        <v>7.7492598908146502E-5</v>
      </c>
      <c r="G471">
        <v>0</v>
      </c>
      <c r="H471">
        <v>0</v>
      </c>
      <c r="I471" t="s">
        <v>79</v>
      </c>
    </row>
    <row r="472" spans="1:9" x14ac:dyDescent="0.35">
      <c r="A472" t="s">
        <v>17</v>
      </c>
      <c r="B472">
        <v>2035</v>
      </c>
      <c r="C472" t="s">
        <v>78</v>
      </c>
      <c r="D472" t="s">
        <v>41</v>
      </c>
      <c r="E472">
        <v>3.0974466959983899E-4</v>
      </c>
      <c r="F472">
        <v>3.0974466959983899E-4</v>
      </c>
      <c r="G472">
        <v>0</v>
      </c>
      <c r="H472">
        <v>0</v>
      </c>
      <c r="I472" t="s">
        <v>79</v>
      </c>
    </row>
    <row r="473" spans="1:9" x14ac:dyDescent="0.35">
      <c r="A473" t="s">
        <v>17</v>
      </c>
      <c r="B473">
        <v>2035</v>
      </c>
      <c r="C473" t="s">
        <v>78</v>
      </c>
      <c r="D473" t="s">
        <v>42</v>
      </c>
      <c r="E473">
        <v>1.40057213130514E-2</v>
      </c>
      <c r="F473">
        <v>1.40057213061522E-2</v>
      </c>
      <c r="G473" s="1">
        <v>-6.8992051655003502E-12</v>
      </c>
      <c r="H473" s="1">
        <v>-4.9259906086173601E-8</v>
      </c>
      <c r="I473" t="s">
        <v>79</v>
      </c>
    </row>
    <row r="474" spans="1:9" x14ac:dyDescent="0.35">
      <c r="A474" t="s">
        <v>17</v>
      </c>
      <c r="B474">
        <v>2035</v>
      </c>
      <c r="C474" t="s">
        <v>78</v>
      </c>
      <c r="D474" t="s">
        <v>43</v>
      </c>
      <c r="E474">
        <v>1.04640811114078E-4</v>
      </c>
      <c r="F474">
        <v>1.04640811114078E-4</v>
      </c>
      <c r="G474">
        <v>0</v>
      </c>
      <c r="H474">
        <v>0</v>
      </c>
      <c r="I474" t="s">
        <v>79</v>
      </c>
    </row>
    <row r="475" spans="1:9" x14ac:dyDescent="0.35">
      <c r="A475" t="s">
        <v>17</v>
      </c>
      <c r="B475">
        <v>2035</v>
      </c>
      <c r="C475" t="s">
        <v>78</v>
      </c>
      <c r="D475" t="s">
        <v>136</v>
      </c>
      <c r="E475">
        <v>1.6480796502353599E-2</v>
      </c>
      <c r="F475">
        <v>1.6480796502353599E-2</v>
      </c>
      <c r="G475">
        <v>0</v>
      </c>
      <c r="H475">
        <v>0</v>
      </c>
      <c r="I475" t="s">
        <v>79</v>
      </c>
    </row>
    <row r="476" spans="1:9" x14ac:dyDescent="0.35">
      <c r="A476" t="s">
        <v>17</v>
      </c>
      <c r="B476">
        <v>2035</v>
      </c>
      <c r="C476" t="s">
        <v>78</v>
      </c>
      <c r="D476" t="s">
        <v>45</v>
      </c>
      <c r="E476">
        <v>1.0506954460386401E-4</v>
      </c>
      <c r="F476">
        <v>1.0504814813870799E-4</v>
      </c>
      <c r="G476" s="1">
        <v>-2.1396465155619101E-8</v>
      </c>
      <c r="H476">
        <v>-2.0364098118335401E-2</v>
      </c>
      <c r="I476" t="s">
        <v>79</v>
      </c>
    </row>
    <row r="477" spans="1:9" x14ac:dyDescent="0.35">
      <c r="A477" t="s">
        <v>17</v>
      </c>
      <c r="B477">
        <v>2035</v>
      </c>
      <c r="C477" t="s">
        <v>78</v>
      </c>
      <c r="D477" t="s">
        <v>46</v>
      </c>
      <c r="E477">
        <v>2.6255458706891102E-3</v>
      </c>
      <c r="F477">
        <v>2.6255458706891102E-3</v>
      </c>
      <c r="G477">
        <v>0</v>
      </c>
      <c r="H477">
        <v>0</v>
      </c>
      <c r="I477" t="s">
        <v>79</v>
      </c>
    </row>
    <row r="478" spans="1:9" x14ac:dyDescent="0.35">
      <c r="A478" t="s">
        <v>17</v>
      </c>
      <c r="B478">
        <v>2035</v>
      </c>
      <c r="C478" t="s">
        <v>78</v>
      </c>
      <c r="D478" t="s">
        <v>47</v>
      </c>
      <c r="E478" s="1">
        <v>6.8336874115806102E-6</v>
      </c>
      <c r="F478" s="1">
        <v>6.8336874115806102E-6</v>
      </c>
      <c r="G478">
        <v>0</v>
      </c>
      <c r="H478">
        <v>0</v>
      </c>
      <c r="I478" t="s">
        <v>79</v>
      </c>
    </row>
    <row r="479" spans="1:9" x14ac:dyDescent="0.35">
      <c r="A479" t="s">
        <v>17</v>
      </c>
      <c r="B479">
        <v>2035</v>
      </c>
      <c r="C479" t="s">
        <v>78</v>
      </c>
      <c r="D479" t="s">
        <v>48</v>
      </c>
      <c r="E479">
        <v>46.972588150118199</v>
      </c>
      <c r="F479">
        <v>46.972588150118199</v>
      </c>
      <c r="G479">
        <v>0</v>
      </c>
      <c r="H479">
        <v>0</v>
      </c>
      <c r="I479" t="s">
        <v>79</v>
      </c>
    </row>
    <row r="480" spans="1:9" x14ac:dyDescent="0.35">
      <c r="A480" t="s">
        <v>17</v>
      </c>
      <c r="B480">
        <v>2035</v>
      </c>
      <c r="C480" t="s">
        <v>78</v>
      </c>
      <c r="D480" t="s">
        <v>49</v>
      </c>
      <c r="E480">
        <v>2.6735424370393998E-4</v>
      </c>
      <c r="F480">
        <v>2.6735424370393998E-4</v>
      </c>
      <c r="G480">
        <v>0</v>
      </c>
      <c r="H480">
        <v>0</v>
      </c>
      <c r="I480" t="s">
        <v>79</v>
      </c>
    </row>
    <row r="481" spans="1:9" x14ac:dyDescent="0.35">
      <c r="A481" t="s">
        <v>17</v>
      </c>
      <c r="B481">
        <v>2035</v>
      </c>
      <c r="C481" t="s">
        <v>78</v>
      </c>
      <c r="D481" t="s">
        <v>50</v>
      </c>
      <c r="E481">
        <v>1.4576410410712399E-3</v>
      </c>
      <c r="F481">
        <v>1.4576410410712399E-3</v>
      </c>
      <c r="G481">
        <v>0</v>
      </c>
      <c r="H481">
        <v>0</v>
      </c>
      <c r="I481" t="s">
        <v>79</v>
      </c>
    </row>
    <row r="482" spans="1:9" x14ac:dyDescent="0.35">
      <c r="A482" t="s">
        <v>17</v>
      </c>
      <c r="B482">
        <v>2035</v>
      </c>
      <c r="C482" t="s">
        <v>78</v>
      </c>
      <c r="D482" t="s">
        <v>51</v>
      </c>
      <c r="E482">
        <v>2.2990770662339899E-2</v>
      </c>
      <c r="F482">
        <v>2.2990770662339899E-2</v>
      </c>
      <c r="G482">
        <v>0</v>
      </c>
      <c r="H482">
        <v>0</v>
      </c>
      <c r="I482" t="s">
        <v>79</v>
      </c>
    </row>
    <row r="483" spans="1:9" x14ac:dyDescent="0.35">
      <c r="A483" t="s">
        <v>17</v>
      </c>
      <c r="B483">
        <v>2035</v>
      </c>
      <c r="C483" t="s">
        <v>78</v>
      </c>
      <c r="D483" t="s">
        <v>52</v>
      </c>
      <c r="E483">
        <v>1.07507789031335E-3</v>
      </c>
      <c r="F483">
        <v>1.07507789031335E-3</v>
      </c>
      <c r="G483">
        <v>0</v>
      </c>
      <c r="H483">
        <v>0</v>
      </c>
      <c r="I483" t="s">
        <v>79</v>
      </c>
    </row>
    <row r="484" spans="1:9" x14ac:dyDescent="0.35">
      <c r="A484" t="s">
        <v>17</v>
      </c>
      <c r="B484">
        <v>2035</v>
      </c>
      <c r="C484" t="s">
        <v>78</v>
      </c>
      <c r="D484" t="s">
        <v>53</v>
      </c>
      <c r="E484">
        <v>4.8594764584247397E-3</v>
      </c>
      <c r="F484">
        <v>4.8594764584247397E-3</v>
      </c>
      <c r="G484">
        <v>0</v>
      </c>
      <c r="H484">
        <v>0</v>
      </c>
      <c r="I484" t="s">
        <v>79</v>
      </c>
    </row>
    <row r="485" spans="1:9" x14ac:dyDescent="0.35">
      <c r="A485" t="s">
        <v>17</v>
      </c>
      <c r="B485">
        <v>2035</v>
      </c>
      <c r="C485" t="s">
        <v>78</v>
      </c>
      <c r="D485" t="s">
        <v>54</v>
      </c>
      <c r="E485">
        <v>2.0019193551800299E-3</v>
      </c>
      <c r="F485">
        <v>2.0019193547054998E-3</v>
      </c>
      <c r="G485" s="1">
        <v>-4.7453273949171699E-13</v>
      </c>
      <c r="H485" s="1">
        <v>-2.3703888883627999E-8</v>
      </c>
      <c r="I485" t="s">
        <v>79</v>
      </c>
    </row>
    <row r="486" spans="1:9" x14ac:dyDescent="0.35">
      <c r="A486" t="s">
        <v>17</v>
      </c>
      <c r="B486">
        <v>2035</v>
      </c>
      <c r="C486" t="s">
        <v>78</v>
      </c>
      <c r="D486" t="s">
        <v>55</v>
      </c>
      <c r="E486">
        <v>1.8338499871432901E-3</v>
      </c>
      <c r="F486">
        <v>1.83384981531747E-3</v>
      </c>
      <c r="G486" s="1">
        <v>-1.71825817029541E-10</v>
      </c>
      <c r="H486" s="1">
        <v>-9.369676812944E-6</v>
      </c>
      <c r="I486" t="s">
        <v>79</v>
      </c>
    </row>
    <row r="487" spans="1:9" x14ac:dyDescent="0.35">
      <c r="A487" t="s">
        <v>17</v>
      </c>
      <c r="B487">
        <v>2035</v>
      </c>
      <c r="C487" t="s">
        <v>78</v>
      </c>
      <c r="D487" t="s">
        <v>56</v>
      </c>
      <c r="E487" s="1">
        <v>1.4569047956889899E-9</v>
      </c>
      <c r="F487" s="1">
        <v>1.4569047956889899E-9</v>
      </c>
      <c r="G487">
        <v>0</v>
      </c>
      <c r="H487">
        <v>0</v>
      </c>
      <c r="I487" t="s">
        <v>79</v>
      </c>
    </row>
    <row r="488" spans="1:9" x14ac:dyDescent="0.35">
      <c r="A488" t="s">
        <v>19</v>
      </c>
      <c r="B488">
        <v>2040</v>
      </c>
      <c r="C488" t="s">
        <v>78</v>
      </c>
      <c r="D488" t="s">
        <v>38</v>
      </c>
      <c r="E488" s="1">
        <v>1.3569920319040099E-5</v>
      </c>
      <c r="F488" s="1">
        <v>1.35699108559054E-5</v>
      </c>
      <c r="G488" s="1">
        <v>-9.4631347266475093E-12</v>
      </c>
      <c r="H488" s="1">
        <v>-6.9736111223657005E-5</v>
      </c>
      <c r="I488" t="s">
        <v>79</v>
      </c>
    </row>
    <row r="489" spans="1:9" x14ac:dyDescent="0.35">
      <c r="A489" t="s">
        <v>19</v>
      </c>
      <c r="B489">
        <v>2040</v>
      </c>
      <c r="C489" t="s">
        <v>78</v>
      </c>
      <c r="D489" t="s">
        <v>40</v>
      </c>
      <c r="E489" s="1">
        <v>7.72042846691181E-5</v>
      </c>
      <c r="F489" s="1">
        <v>7.72042846691181E-5</v>
      </c>
      <c r="G489">
        <v>0</v>
      </c>
      <c r="H489">
        <v>0</v>
      </c>
      <c r="I489" t="s">
        <v>79</v>
      </c>
    </row>
    <row r="490" spans="1:9" x14ac:dyDescent="0.35">
      <c r="A490" t="s">
        <v>19</v>
      </c>
      <c r="B490">
        <v>2040</v>
      </c>
      <c r="C490" t="s">
        <v>78</v>
      </c>
      <c r="D490" t="s">
        <v>41</v>
      </c>
      <c r="E490">
        <v>3.09695094487788E-4</v>
      </c>
      <c r="F490">
        <v>3.09695094487788E-4</v>
      </c>
      <c r="G490">
        <v>0</v>
      </c>
      <c r="H490">
        <v>0</v>
      </c>
      <c r="I490" t="s">
        <v>79</v>
      </c>
    </row>
    <row r="491" spans="1:9" x14ac:dyDescent="0.35">
      <c r="A491" t="s">
        <v>19</v>
      </c>
      <c r="B491">
        <v>2040</v>
      </c>
      <c r="C491" t="s">
        <v>78</v>
      </c>
      <c r="D491" t="s">
        <v>42</v>
      </c>
      <c r="E491">
        <v>1.4589372832492399E-2</v>
      </c>
      <c r="F491">
        <v>1.4589372798306299E-2</v>
      </c>
      <c r="G491" s="1">
        <v>-3.4186067171537702E-11</v>
      </c>
      <c r="H491" s="1">
        <v>-2.34321705011203E-7</v>
      </c>
      <c r="I491" t="s">
        <v>79</v>
      </c>
    </row>
    <row r="492" spans="1:9" x14ac:dyDescent="0.35">
      <c r="A492" t="s">
        <v>19</v>
      </c>
      <c r="B492">
        <v>2040</v>
      </c>
      <c r="C492" t="s">
        <v>78</v>
      </c>
      <c r="D492" t="s">
        <v>43</v>
      </c>
      <c r="E492">
        <v>1.05687920054419E-4</v>
      </c>
      <c r="F492">
        <v>1.05687920054419E-4</v>
      </c>
      <c r="G492">
        <v>0</v>
      </c>
      <c r="H492">
        <v>0</v>
      </c>
      <c r="I492" t="s">
        <v>79</v>
      </c>
    </row>
    <row r="493" spans="1:9" x14ac:dyDescent="0.35">
      <c r="A493" t="s">
        <v>19</v>
      </c>
      <c r="B493">
        <v>2040</v>
      </c>
      <c r="C493" t="s">
        <v>78</v>
      </c>
      <c r="D493" t="s">
        <v>136</v>
      </c>
      <c r="E493">
        <v>1.7082719421452199E-2</v>
      </c>
      <c r="F493">
        <v>1.7082719421452199E-2</v>
      </c>
      <c r="G493">
        <v>0</v>
      </c>
      <c r="H493">
        <v>0</v>
      </c>
      <c r="I493" t="s">
        <v>79</v>
      </c>
    </row>
    <row r="494" spans="1:9" x14ac:dyDescent="0.35">
      <c r="A494" t="s">
        <v>19</v>
      </c>
      <c r="B494">
        <v>2040</v>
      </c>
      <c r="C494" t="s">
        <v>78</v>
      </c>
      <c r="D494" t="s">
        <v>45</v>
      </c>
      <c r="E494">
        <v>1.04951248196112E-4</v>
      </c>
      <c r="F494">
        <v>1.0484522710089101E-4</v>
      </c>
      <c r="G494" s="1">
        <v>-1.06021095221342E-7</v>
      </c>
      <c r="H494">
        <v>-0.101019375227658</v>
      </c>
      <c r="I494" t="s">
        <v>79</v>
      </c>
    </row>
    <row r="495" spans="1:9" x14ac:dyDescent="0.35">
      <c r="A495" t="s">
        <v>19</v>
      </c>
      <c r="B495">
        <v>2040</v>
      </c>
      <c r="C495" t="s">
        <v>78</v>
      </c>
      <c r="D495" t="s">
        <v>46</v>
      </c>
      <c r="E495">
        <v>3.3960946043981501E-3</v>
      </c>
      <c r="F495">
        <v>3.3960946043981501E-3</v>
      </c>
      <c r="G495">
        <v>0</v>
      </c>
      <c r="H495">
        <v>0</v>
      </c>
      <c r="I495" t="s">
        <v>79</v>
      </c>
    </row>
    <row r="496" spans="1:9" x14ac:dyDescent="0.35">
      <c r="A496" t="s">
        <v>19</v>
      </c>
      <c r="B496">
        <v>2040</v>
      </c>
      <c r="C496" t="s">
        <v>78</v>
      </c>
      <c r="D496" t="s">
        <v>47</v>
      </c>
      <c r="E496" s="1">
        <v>7.6648722708266606E-6</v>
      </c>
      <c r="F496" s="1">
        <v>7.6648722708266606E-6</v>
      </c>
      <c r="G496">
        <v>0</v>
      </c>
      <c r="H496">
        <v>0</v>
      </c>
      <c r="I496" t="s">
        <v>79</v>
      </c>
    </row>
    <row r="497" spans="1:9" x14ac:dyDescent="0.35">
      <c r="A497" t="s">
        <v>19</v>
      </c>
      <c r="B497">
        <v>2040</v>
      </c>
      <c r="C497" t="s">
        <v>78</v>
      </c>
      <c r="D497" t="s">
        <v>48</v>
      </c>
      <c r="E497">
        <v>46.972599147261597</v>
      </c>
      <c r="F497">
        <v>46.972599147261597</v>
      </c>
      <c r="G497">
        <v>0</v>
      </c>
      <c r="H497">
        <v>0</v>
      </c>
      <c r="I497" t="s">
        <v>79</v>
      </c>
    </row>
    <row r="498" spans="1:9" x14ac:dyDescent="0.35">
      <c r="A498" t="s">
        <v>19</v>
      </c>
      <c r="B498">
        <v>2040</v>
      </c>
      <c r="C498" t="s">
        <v>78</v>
      </c>
      <c r="D498" t="s">
        <v>49</v>
      </c>
      <c r="E498">
        <v>2.6876042026359502E-4</v>
      </c>
      <c r="F498">
        <v>2.6876042026359502E-4</v>
      </c>
      <c r="G498">
        <v>0</v>
      </c>
      <c r="H498">
        <v>0</v>
      </c>
      <c r="I498" t="s">
        <v>79</v>
      </c>
    </row>
    <row r="499" spans="1:9" x14ac:dyDescent="0.35">
      <c r="A499" t="s">
        <v>19</v>
      </c>
      <c r="B499">
        <v>2040</v>
      </c>
      <c r="C499" t="s">
        <v>78</v>
      </c>
      <c r="D499" t="s">
        <v>50</v>
      </c>
      <c r="E499">
        <v>1.4705419355372101E-3</v>
      </c>
      <c r="F499">
        <v>1.4705419355372101E-3</v>
      </c>
      <c r="G499">
        <v>0</v>
      </c>
      <c r="H499">
        <v>0</v>
      </c>
      <c r="I499" t="s">
        <v>79</v>
      </c>
    </row>
    <row r="500" spans="1:9" x14ac:dyDescent="0.35">
      <c r="A500" t="s">
        <v>19</v>
      </c>
      <c r="B500">
        <v>2040</v>
      </c>
      <c r="C500" t="s">
        <v>78</v>
      </c>
      <c r="D500" t="s">
        <v>51</v>
      </c>
      <c r="E500">
        <v>2.3022899862034998E-2</v>
      </c>
      <c r="F500">
        <v>2.3022899862034998E-2</v>
      </c>
      <c r="G500">
        <v>0</v>
      </c>
      <c r="H500">
        <v>0</v>
      </c>
      <c r="I500" t="s">
        <v>79</v>
      </c>
    </row>
    <row r="501" spans="1:9" x14ac:dyDescent="0.35">
      <c r="A501" t="s">
        <v>19</v>
      </c>
      <c r="B501">
        <v>2040</v>
      </c>
      <c r="C501" t="s">
        <v>78</v>
      </c>
      <c r="D501" t="s">
        <v>52</v>
      </c>
      <c r="E501">
        <v>9.5273748317029202E-4</v>
      </c>
      <c r="F501">
        <v>9.5273748317029202E-4</v>
      </c>
      <c r="G501">
        <v>0</v>
      </c>
      <c r="H501">
        <v>0</v>
      </c>
      <c r="I501" t="s">
        <v>79</v>
      </c>
    </row>
    <row r="502" spans="1:9" x14ac:dyDescent="0.35">
      <c r="A502" t="s">
        <v>19</v>
      </c>
      <c r="B502">
        <v>2040</v>
      </c>
      <c r="C502" t="s">
        <v>78</v>
      </c>
      <c r="D502" t="s">
        <v>53</v>
      </c>
      <c r="E502">
        <v>4.9379543568474999E-3</v>
      </c>
      <c r="F502">
        <v>4.9379543568474999E-3</v>
      </c>
      <c r="G502">
        <v>0</v>
      </c>
      <c r="H502">
        <v>0</v>
      </c>
      <c r="I502" t="s">
        <v>79</v>
      </c>
    </row>
    <row r="503" spans="1:9" x14ac:dyDescent="0.35">
      <c r="A503" t="s">
        <v>19</v>
      </c>
      <c r="B503">
        <v>2040</v>
      </c>
      <c r="C503" t="s">
        <v>78</v>
      </c>
      <c r="D503" t="s">
        <v>54</v>
      </c>
      <c r="E503">
        <v>2.0327557554739302E-3</v>
      </c>
      <c r="F503">
        <v>2.0327557531225802E-3</v>
      </c>
      <c r="G503" s="1">
        <v>-2.35134524698144E-12</v>
      </c>
      <c r="H503" s="1">
        <v>-1.15672787576647E-7</v>
      </c>
      <c r="I503" t="s">
        <v>79</v>
      </c>
    </row>
    <row r="504" spans="1:9" x14ac:dyDescent="0.35">
      <c r="A504" t="s">
        <v>19</v>
      </c>
      <c r="B504">
        <v>2040</v>
      </c>
      <c r="C504" t="s">
        <v>78</v>
      </c>
      <c r="D504" t="s">
        <v>55</v>
      </c>
      <c r="E504">
        <v>1.86155558296518E-3</v>
      </c>
      <c r="F504">
        <v>1.86155473155561E-3</v>
      </c>
      <c r="G504" s="1">
        <v>-8.5140957023325998E-10</v>
      </c>
      <c r="H504" s="1">
        <v>-4.5736457080539702E-5</v>
      </c>
      <c r="I504" t="s">
        <v>79</v>
      </c>
    </row>
    <row r="505" spans="1:9" x14ac:dyDescent="0.35">
      <c r="A505" t="s">
        <v>19</v>
      </c>
      <c r="B505">
        <v>2040</v>
      </c>
      <c r="C505" t="s">
        <v>78</v>
      </c>
      <c r="D505" t="s">
        <v>56</v>
      </c>
      <c r="E505" s="1">
        <v>1.29899805226842E-9</v>
      </c>
      <c r="F505" s="1">
        <v>1.29899805226842E-9</v>
      </c>
      <c r="G505">
        <v>0</v>
      </c>
      <c r="H505">
        <v>0</v>
      </c>
      <c r="I505" t="s">
        <v>79</v>
      </c>
    </row>
    <row r="506" spans="1:9" x14ac:dyDescent="0.35">
      <c r="A506" t="s">
        <v>13</v>
      </c>
      <c r="B506">
        <v>2025</v>
      </c>
      <c r="C506" t="s">
        <v>37</v>
      </c>
      <c r="D506" t="s">
        <v>38</v>
      </c>
      <c r="E506">
        <v>1.9332727386547201E-3</v>
      </c>
      <c r="F506">
        <v>1.9332727386547201E-3</v>
      </c>
      <c r="G506">
        <v>0</v>
      </c>
      <c r="H506">
        <v>0</v>
      </c>
      <c r="I506" t="s">
        <v>39</v>
      </c>
    </row>
    <row r="507" spans="1:9" x14ac:dyDescent="0.35">
      <c r="A507" t="s">
        <v>13</v>
      </c>
      <c r="B507">
        <v>2025</v>
      </c>
      <c r="C507" t="s">
        <v>37</v>
      </c>
      <c r="D507" t="s">
        <v>40</v>
      </c>
      <c r="E507">
        <v>8.4143739941334203E-4</v>
      </c>
      <c r="F507">
        <v>8.4143739941334203E-4</v>
      </c>
      <c r="G507">
        <v>0</v>
      </c>
      <c r="H507">
        <v>0</v>
      </c>
      <c r="I507" t="s">
        <v>39</v>
      </c>
    </row>
    <row r="508" spans="1:9" x14ac:dyDescent="0.35">
      <c r="A508" t="s">
        <v>13</v>
      </c>
      <c r="B508">
        <v>2025</v>
      </c>
      <c r="C508" t="s">
        <v>37</v>
      </c>
      <c r="D508" t="s">
        <v>41</v>
      </c>
      <c r="E508">
        <v>0.61204783030131704</v>
      </c>
      <c r="F508">
        <v>0.61204783030131704</v>
      </c>
      <c r="G508">
        <v>0</v>
      </c>
      <c r="H508">
        <v>0</v>
      </c>
      <c r="I508" t="s">
        <v>39</v>
      </c>
    </row>
    <row r="509" spans="1:9" x14ac:dyDescent="0.35">
      <c r="A509" t="s">
        <v>13</v>
      </c>
      <c r="B509">
        <v>2025</v>
      </c>
      <c r="C509" t="s">
        <v>37</v>
      </c>
      <c r="D509" t="s">
        <v>42</v>
      </c>
      <c r="E509">
        <v>11.227156000998701</v>
      </c>
      <c r="F509">
        <v>11.227156000998701</v>
      </c>
      <c r="G509">
        <v>0</v>
      </c>
      <c r="H509">
        <v>0</v>
      </c>
      <c r="I509" t="s">
        <v>39</v>
      </c>
    </row>
    <row r="510" spans="1:9" x14ac:dyDescent="0.35">
      <c r="A510" t="s">
        <v>13</v>
      </c>
      <c r="B510">
        <v>2025</v>
      </c>
      <c r="C510" t="s">
        <v>37</v>
      </c>
      <c r="D510" t="s">
        <v>43</v>
      </c>
      <c r="E510">
        <v>6.3915639509979404E-3</v>
      </c>
      <c r="F510">
        <v>6.3915639509979404E-3</v>
      </c>
      <c r="G510">
        <v>0</v>
      </c>
      <c r="H510">
        <v>0</v>
      </c>
      <c r="I510" t="s">
        <v>39</v>
      </c>
    </row>
    <row r="511" spans="1:9" x14ac:dyDescent="0.35">
      <c r="A511" t="s">
        <v>13</v>
      </c>
      <c r="B511">
        <v>2025</v>
      </c>
      <c r="C511" t="s">
        <v>37</v>
      </c>
      <c r="D511" t="s">
        <v>136</v>
      </c>
      <c r="E511">
        <v>8.1728266968251599</v>
      </c>
      <c r="F511">
        <v>8.1728266968251599</v>
      </c>
      <c r="G511">
        <v>0</v>
      </c>
      <c r="H511">
        <v>0</v>
      </c>
      <c r="I511" t="s">
        <v>39</v>
      </c>
    </row>
    <row r="512" spans="1:9" x14ac:dyDescent="0.35">
      <c r="A512" t="s">
        <v>13</v>
      </c>
      <c r="B512">
        <v>2025</v>
      </c>
      <c r="C512" t="s">
        <v>37</v>
      </c>
      <c r="D512" t="s">
        <v>45</v>
      </c>
      <c r="E512">
        <v>1.4735280535739099</v>
      </c>
      <c r="F512">
        <v>1.4735280535739099</v>
      </c>
      <c r="G512">
        <v>0</v>
      </c>
      <c r="H512">
        <v>0</v>
      </c>
      <c r="I512" t="s">
        <v>39</v>
      </c>
    </row>
    <row r="513" spans="1:9" x14ac:dyDescent="0.35">
      <c r="A513" t="s">
        <v>13</v>
      </c>
      <c r="B513">
        <v>2025</v>
      </c>
      <c r="C513" t="s">
        <v>37</v>
      </c>
      <c r="D513" t="s">
        <v>46</v>
      </c>
      <c r="E513">
        <v>0.14770660059920199</v>
      </c>
      <c r="F513">
        <v>0.14770660059920199</v>
      </c>
      <c r="G513">
        <v>0</v>
      </c>
      <c r="H513">
        <v>0</v>
      </c>
      <c r="I513" t="s">
        <v>39</v>
      </c>
    </row>
    <row r="514" spans="1:9" x14ac:dyDescent="0.35">
      <c r="A514" t="s">
        <v>13</v>
      </c>
      <c r="B514">
        <v>2025</v>
      </c>
      <c r="C514" t="s">
        <v>37</v>
      </c>
      <c r="D514" t="s">
        <v>47</v>
      </c>
      <c r="E514">
        <v>4.2082929157944001E-3</v>
      </c>
      <c r="F514">
        <v>4.2082929157944001E-3</v>
      </c>
      <c r="G514">
        <v>0</v>
      </c>
      <c r="H514">
        <v>0</v>
      </c>
      <c r="I514" t="s">
        <v>39</v>
      </c>
    </row>
    <row r="515" spans="1:9" x14ac:dyDescent="0.35">
      <c r="A515" t="s">
        <v>13</v>
      </c>
      <c r="B515">
        <v>2025</v>
      </c>
      <c r="C515" t="s">
        <v>37</v>
      </c>
      <c r="D515" t="s">
        <v>48</v>
      </c>
      <c r="E515">
        <v>57.881608266555403</v>
      </c>
      <c r="F515">
        <v>57.881608266555403</v>
      </c>
      <c r="G515">
        <v>0</v>
      </c>
      <c r="H515">
        <v>0</v>
      </c>
      <c r="I515" t="s">
        <v>39</v>
      </c>
    </row>
    <row r="516" spans="1:9" x14ac:dyDescent="0.35">
      <c r="A516" t="s">
        <v>13</v>
      </c>
      <c r="B516">
        <v>2025</v>
      </c>
      <c r="C516" t="s">
        <v>37</v>
      </c>
      <c r="D516" t="s">
        <v>49</v>
      </c>
      <c r="E516">
        <v>7.3036732105111799</v>
      </c>
      <c r="F516">
        <v>7.3036732105111799</v>
      </c>
      <c r="G516">
        <v>0</v>
      </c>
      <c r="H516">
        <v>0</v>
      </c>
      <c r="I516" t="s">
        <v>39</v>
      </c>
    </row>
    <row r="517" spans="1:9" x14ac:dyDescent="0.35">
      <c r="A517" t="s">
        <v>13</v>
      </c>
      <c r="B517">
        <v>2025</v>
      </c>
      <c r="C517" t="s">
        <v>37</v>
      </c>
      <c r="D517" t="s">
        <v>50</v>
      </c>
      <c r="E517">
        <v>0.268709262864466</v>
      </c>
      <c r="F517">
        <v>0.268709262864466</v>
      </c>
      <c r="G517">
        <v>0</v>
      </c>
      <c r="H517">
        <v>0</v>
      </c>
      <c r="I517" t="s">
        <v>39</v>
      </c>
    </row>
    <row r="518" spans="1:9" x14ac:dyDescent="0.35">
      <c r="A518" t="s">
        <v>13</v>
      </c>
      <c r="B518">
        <v>2025</v>
      </c>
      <c r="C518" t="s">
        <v>37</v>
      </c>
      <c r="D518" t="s">
        <v>51</v>
      </c>
      <c r="E518">
        <v>0.18953932149314501</v>
      </c>
      <c r="F518">
        <v>0.18953932149314501</v>
      </c>
      <c r="G518">
        <v>0</v>
      </c>
      <c r="H518">
        <v>0</v>
      </c>
      <c r="I518" t="s">
        <v>39</v>
      </c>
    </row>
    <row r="519" spans="1:9" x14ac:dyDescent="0.35">
      <c r="A519" t="s">
        <v>13</v>
      </c>
      <c r="B519">
        <v>2025</v>
      </c>
      <c r="C519" t="s">
        <v>37</v>
      </c>
      <c r="D519" t="s">
        <v>52</v>
      </c>
      <c r="E519">
        <v>1.5232193690249201</v>
      </c>
      <c r="F519">
        <v>1.5232193690249201</v>
      </c>
      <c r="G519">
        <v>0</v>
      </c>
      <c r="H519">
        <v>0</v>
      </c>
      <c r="I519" t="s">
        <v>39</v>
      </c>
    </row>
    <row r="520" spans="1:9" x14ac:dyDescent="0.35">
      <c r="A520" t="s">
        <v>13</v>
      </c>
      <c r="B520">
        <v>2025</v>
      </c>
      <c r="C520" t="s">
        <v>37</v>
      </c>
      <c r="D520" t="s">
        <v>53</v>
      </c>
      <c r="E520">
        <v>2.9308964792324499</v>
      </c>
      <c r="F520">
        <v>2.9308964792324499</v>
      </c>
      <c r="G520">
        <v>0</v>
      </c>
      <c r="H520">
        <v>0</v>
      </c>
      <c r="I520" t="s">
        <v>39</v>
      </c>
    </row>
    <row r="521" spans="1:9" x14ac:dyDescent="0.35">
      <c r="A521" t="s">
        <v>13</v>
      </c>
      <c r="B521">
        <v>2025</v>
      </c>
      <c r="C521" t="s">
        <v>37</v>
      </c>
      <c r="D521" t="s">
        <v>54</v>
      </c>
      <c r="E521">
        <v>1.5468922457160199</v>
      </c>
      <c r="F521">
        <v>1.5468922457160199</v>
      </c>
      <c r="G521">
        <v>0</v>
      </c>
      <c r="H521">
        <v>0</v>
      </c>
      <c r="I521" t="s">
        <v>39</v>
      </c>
    </row>
    <row r="522" spans="1:9" x14ac:dyDescent="0.35">
      <c r="A522" t="s">
        <v>13</v>
      </c>
      <c r="B522">
        <v>2025</v>
      </c>
      <c r="C522" t="s">
        <v>37</v>
      </c>
      <c r="D522" t="s">
        <v>55</v>
      </c>
      <c r="E522">
        <v>1.4663471245659001</v>
      </c>
      <c r="F522">
        <v>1.4663471245659001</v>
      </c>
      <c r="G522">
        <v>0</v>
      </c>
      <c r="H522">
        <v>0</v>
      </c>
      <c r="I522" t="s">
        <v>39</v>
      </c>
    </row>
    <row r="523" spans="1:9" x14ac:dyDescent="0.35">
      <c r="A523" t="s">
        <v>13</v>
      </c>
      <c r="B523">
        <v>2025</v>
      </c>
      <c r="C523" t="s">
        <v>37</v>
      </c>
      <c r="D523" t="s">
        <v>56</v>
      </c>
      <c r="E523" s="1">
        <v>6.7923870924629401E-7</v>
      </c>
      <c r="F523" s="1">
        <v>6.7923870924629401E-7</v>
      </c>
      <c r="G523">
        <v>0</v>
      </c>
      <c r="H523">
        <v>0</v>
      </c>
      <c r="I523" t="s">
        <v>39</v>
      </c>
    </row>
    <row r="524" spans="1:9" x14ac:dyDescent="0.35">
      <c r="A524" t="s">
        <v>15</v>
      </c>
      <c r="B524">
        <v>2030</v>
      </c>
      <c r="C524" t="s">
        <v>37</v>
      </c>
      <c r="D524" t="s">
        <v>38</v>
      </c>
      <c r="E524">
        <v>1.9767801037601602E-3</v>
      </c>
      <c r="F524">
        <v>1.2901452643015801E-3</v>
      </c>
      <c r="G524">
        <v>-6.8663483945858304E-4</v>
      </c>
      <c r="H524">
        <v>-34.735013679694902</v>
      </c>
      <c r="I524" t="s">
        <v>39</v>
      </c>
    </row>
    <row r="525" spans="1:9" x14ac:dyDescent="0.35">
      <c r="A525" t="s">
        <v>15</v>
      </c>
      <c r="B525">
        <v>2030</v>
      </c>
      <c r="C525" t="s">
        <v>37</v>
      </c>
      <c r="D525" t="s">
        <v>40</v>
      </c>
      <c r="E525">
        <v>8.2168927140785497E-4</v>
      </c>
      <c r="F525">
        <v>8.2168927140785497E-4</v>
      </c>
      <c r="G525">
        <v>0</v>
      </c>
      <c r="H525">
        <v>0</v>
      </c>
      <c r="I525" t="s">
        <v>39</v>
      </c>
    </row>
    <row r="526" spans="1:9" x14ac:dyDescent="0.35">
      <c r="A526" t="s">
        <v>15</v>
      </c>
      <c r="B526">
        <v>2030</v>
      </c>
      <c r="C526" t="s">
        <v>37</v>
      </c>
      <c r="D526" t="s">
        <v>41</v>
      </c>
      <c r="E526">
        <v>0.61131521536242195</v>
      </c>
      <c r="F526">
        <v>0.16380923525436999</v>
      </c>
      <c r="G526">
        <v>-0.44750598010805198</v>
      </c>
      <c r="H526">
        <v>-73.203802042248398</v>
      </c>
      <c r="I526" t="s">
        <v>39</v>
      </c>
    </row>
    <row r="527" spans="1:9" x14ac:dyDescent="0.35">
      <c r="A527" t="s">
        <v>15</v>
      </c>
      <c r="B527">
        <v>2030</v>
      </c>
      <c r="C527" t="s">
        <v>37</v>
      </c>
      <c r="D527" t="s">
        <v>42</v>
      </c>
      <c r="E527">
        <v>10.983381481160301</v>
      </c>
      <c r="F527">
        <v>9.9252379951888603</v>
      </c>
      <c r="G527">
        <v>-1.05814348597153</v>
      </c>
      <c r="H527">
        <v>-9.6340410991509806</v>
      </c>
      <c r="I527" t="s">
        <v>39</v>
      </c>
    </row>
    <row r="528" spans="1:9" x14ac:dyDescent="0.35">
      <c r="A528" t="s">
        <v>15</v>
      </c>
      <c r="B528">
        <v>2030</v>
      </c>
      <c r="C528" t="s">
        <v>37</v>
      </c>
      <c r="D528" t="s">
        <v>43</v>
      </c>
      <c r="E528">
        <v>6.06438203093958E-3</v>
      </c>
      <c r="F528">
        <v>5.8434457087225902E-3</v>
      </c>
      <c r="G528">
        <v>-2.2093632221698801E-4</v>
      </c>
      <c r="H528">
        <v>-3.6431794878654302</v>
      </c>
      <c r="I528" t="s">
        <v>39</v>
      </c>
    </row>
    <row r="529" spans="1:9" x14ac:dyDescent="0.35">
      <c r="A529" t="s">
        <v>15</v>
      </c>
      <c r="B529">
        <v>2030</v>
      </c>
      <c r="C529" t="s">
        <v>37</v>
      </c>
      <c r="D529" t="s">
        <v>136</v>
      </c>
      <c r="E529">
        <v>7.9235067453725501</v>
      </c>
      <c r="F529">
        <v>7.8317404737152403</v>
      </c>
      <c r="G529">
        <v>-9.1766271657308801E-2</v>
      </c>
      <c r="H529">
        <v>-1.15815225008676</v>
      </c>
      <c r="I529" t="s">
        <v>39</v>
      </c>
    </row>
    <row r="530" spans="1:9" x14ac:dyDescent="0.35">
      <c r="A530" t="s">
        <v>15</v>
      </c>
      <c r="B530">
        <v>2030</v>
      </c>
      <c r="C530" t="s">
        <v>37</v>
      </c>
      <c r="D530" t="s">
        <v>45</v>
      </c>
      <c r="E530">
        <v>1.4714865093749201</v>
      </c>
      <c r="F530">
        <v>0.36416846632797401</v>
      </c>
      <c r="G530">
        <v>-1.10731804304695</v>
      </c>
      <c r="H530">
        <v>-75.251661227756003</v>
      </c>
      <c r="I530" t="s">
        <v>39</v>
      </c>
    </row>
    <row r="531" spans="1:9" x14ac:dyDescent="0.35">
      <c r="A531" t="s">
        <v>15</v>
      </c>
      <c r="B531">
        <v>2030</v>
      </c>
      <c r="C531" t="s">
        <v>37</v>
      </c>
      <c r="D531" t="s">
        <v>46</v>
      </c>
      <c r="E531">
        <v>0.15657881460787501</v>
      </c>
      <c r="F531">
        <v>0.15657881460787501</v>
      </c>
      <c r="G531">
        <v>0</v>
      </c>
      <c r="H531">
        <v>0</v>
      </c>
      <c r="I531" t="s">
        <v>39</v>
      </c>
    </row>
    <row r="532" spans="1:9" x14ac:dyDescent="0.35">
      <c r="A532" t="s">
        <v>15</v>
      </c>
      <c r="B532">
        <v>2030</v>
      </c>
      <c r="C532" t="s">
        <v>37</v>
      </c>
      <c r="D532" t="s">
        <v>47</v>
      </c>
      <c r="E532">
        <v>3.8076340664615202E-3</v>
      </c>
      <c r="F532">
        <v>3.8076340664615202E-3</v>
      </c>
      <c r="G532">
        <v>0</v>
      </c>
      <c r="H532">
        <v>0</v>
      </c>
      <c r="I532" t="s">
        <v>39</v>
      </c>
    </row>
    <row r="533" spans="1:9" x14ac:dyDescent="0.35">
      <c r="A533" t="s">
        <v>15</v>
      </c>
      <c r="B533">
        <v>2030</v>
      </c>
      <c r="C533" t="s">
        <v>37</v>
      </c>
      <c r="D533" t="s">
        <v>48</v>
      </c>
      <c r="E533">
        <v>57.883096964315001</v>
      </c>
      <c r="F533">
        <v>57.883096964315001</v>
      </c>
      <c r="G533">
        <v>0</v>
      </c>
      <c r="H533">
        <v>0</v>
      </c>
      <c r="I533" t="s">
        <v>39</v>
      </c>
    </row>
    <row r="534" spans="1:9" x14ac:dyDescent="0.35">
      <c r="A534" t="s">
        <v>15</v>
      </c>
      <c r="B534">
        <v>2030</v>
      </c>
      <c r="C534" t="s">
        <v>37</v>
      </c>
      <c r="D534" t="s">
        <v>49</v>
      </c>
      <c r="E534">
        <v>7.2987969365090999</v>
      </c>
      <c r="F534">
        <v>1.7796332099963601</v>
      </c>
      <c r="G534">
        <v>-5.5191637265127298</v>
      </c>
      <c r="H534">
        <v>-75.617444553162997</v>
      </c>
      <c r="I534" t="s">
        <v>39</v>
      </c>
    </row>
    <row r="535" spans="1:9" x14ac:dyDescent="0.35">
      <c r="A535" t="s">
        <v>15</v>
      </c>
      <c r="B535">
        <v>2030</v>
      </c>
      <c r="C535" t="s">
        <v>37</v>
      </c>
      <c r="D535" t="s">
        <v>50</v>
      </c>
      <c r="E535">
        <v>0.26750149543016599</v>
      </c>
      <c r="F535">
        <v>0.26750149543016599</v>
      </c>
      <c r="G535">
        <v>0</v>
      </c>
      <c r="H535">
        <v>0</v>
      </c>
      <c r="I535" t="s">
        <v>39</v>
      </c>
    </row>
    <row r="536" spans="1:9" x14ac:dyDescent="0.35">
      <c r="A536" t="s">
        <v>15</v>
      </c>
      <c r="B536">
        <v>2030</v>
      </c>
      <c r="C536" t="s">
        <v>37</v>
      </c>
      <c r="D536" t="s">
        <v>51</v>
      </c>
      <c r="E536">
        <v>0.18809274321157199</v>
      </c>
      <c r="F536">
        <v>0.18809274321157199</v>
      </c>
      <c r="G536">
        <v>0</v>
      </c>
      <c r="H536">
        <v>0</v>
      </c>
      <c r="I536" t="s">
        <v>39</v>
      </c>
    </row>
    <row r="537" spans="1:9" x14ac:dyDescent="0.35">
      <c r="A537" t="s">
        <v>15</v>
      </c>
      <c r="B537">
        <v>2030</v>
      </c>
      <c r="C537" t="s">
        <v>37</v>
      </c>
      <c r="D537" t="s">
        <v>52</v>
      </c>
      <c r="E537">
        <v>1.30746404983899</v>
      </c>
      <c r="F537">
        <v>1.30746404983899</v>
      </c>
      <c r="G537">
        <v>0</v>
      </c>
      <c r="H537">
        <v>0</v>
      </c>
      <c r="I537" t="s">
        <v>39</v>
      </c>
    </row>
    <row r="538" spans="1:9" x14ac:dyDescent="0.35">
      <c r="A538" t="s">
        <v>15</v>
      </c>
      <c r="B538">
        <v>2030</v>
      </c>
      <c r="C538" t="s">
        <v>37</v>
      </c>
      <c r="D538" t="s">
        <v>53</v>
      </c>
      <c r="E538">
        <v>2.9069611210656499</v>
      </c>
      <c r="F538">
        <v>2.9069611210656499</v>
      </c>
      <c r="G538">
        <v>0</v>
      </c>
      <c r="H538">
        <v>0</v>
      </c>
      <c r="I538" t="s">
        <v>39</v>
      </c>
    </row>
    <row r="539" spans="1:9" x14ac:dyDescent="0.35">
      <c r="A539" t="s">
        <v>15</v>
      </c>
      <c r="B539">
        <v>2030</v>
      </c>
      <c r="C539" t="s">
        <v>37</v>
      </c>
      <c r="D539" t="s">
        <v>54</v>
      </c>
      <c r="E539">
        <v>1.54221235062482</v>
      </c>
      <c r="F539">
        <v>1.54197644440681</v>
      </c>
      <c r="G539">
        <v>-2.3590621801128299E-4</v>
      </c>
      <c r="H539">
        <v>-1.5296610607203699E-2</v>
      </c>
      <c r="I539" t="s">
        <v>39</v>
      </c>
    </row>
    <row r="540" spans="1:9" x14ac:dyDescent="0.35">
      <c r="A540" t="s">
        <v>15</v>
      </c>
      <c r="B540">
        <v>2030</v>
      </c>
      <c r="C540" t="s">
        <v>37</v>
      </c>
      <c r="D540" t="s">
        <v>55</v>
      </c>
      <c r="E540">
        <v>1.46157390411133</v>
      </c>
      <c r="F540">
        <v>1.4365267861762301</v>
      </c>
      <c r="G540">
        <v>-2.5047117935105199E-2</v>
      </c>
      <c r="H540">
        <v>-1.7137086167623099</v>
      </c>
      <c r="I540" t="s">
        <v>39</v>
      </c>
    </row>
    <row r="541" spans="1:9" x14ac:dyDescent="0.35">
      <c r="A541" t="s">
        <v>15</v>
      </c>
      <c r="B541">
        <v>2030</v>
      </c>
      <c r="C541" t="s">
        <v>37</v>
      </c>
      <c r="D541" t="s">
        <v>56</v>
      </c>
      <c r="E541" s="1">
        <v>6.9397076378933801E-7</v>
      </c>
      <c r="F541" s="1">
        <v>6.9397076378933801E-7</v>
      </c>
      <c r="G541">
        <v>0</v>
      </c>
      <c r="H541">
        <v>0</v>
      </c>
      <c r="I541" t="s">
        <v>39</v>
      </c>
    </row>
    <row r="542" spans="1:9" x14ac:dyDescent="0.35">
      <c r="A542" t="s">
        <v>17</v>
      </c>
      <c r="B542">
        <v>2035</v>
      </c>
      <c r="C542" t="s">
        <v>37</v>
      </c>
      <c r="D542" t="s">
        <v>38</v>
      </c>
      <c r="E542">
        <v>2.2117542847651102E-3</v>
      </c>
      <c r="F542">
        <v>2.02317401797789E-3</v>
      </c>
      <c r="G542">
        <v>-1.8858026678721701E-4</v>
      </c>
      <c r="H542">
        <v>-8.5262756394860499</v>
      </c>
      <c r="I542" t="s">
        <v>39</v>
      </c>
    </row>
    <row r="543" spans="1:9" x14ac:dyDescent="0.35">
      <c r="A543" t="s">
        <v>17</v>
      </c>
      <c r="B543">
        <v>2035</v>
      </c>
      <c r="C543" t="s">
        <v>37</v>
      </c>
      <c r="D543" t="s">
        <v>40</v>
      </c>
      <c r="E543">
        <v>8.05431720576001E-4</v>
      </c>
      <c r="F543">
        <v>8.05431720576001E-4</v>
      </c>
      <c r="G543">
        <v>0</v>
      </c>
      <c r="H543">
        <v>0</v>
      </c>
      <c r="I543" t="s">
        <v>39</v>
      </c>
    </row>
    <row r="544" spans="1:9" x14ac:dyDescent="0.35">
      <c r="A544" t="s">
        <v>17</v>
      </c>
      <c r="B544">
        <v>2035</v>
      </c>
      <c r="C544" t="s">
        <v>37</v>
      </c>
      <c r="D544" t="s">
        <v>41</v>
      </c>
      <c r="E544">
        <v>0.61078196593638501</v>
      </c>
      <c r="F544">
        <v>0.48728825631027101</v>
      </c>
      <c r="G544">
        <v>-0.123493709626114</v>
      </c>
      <c r="H544">
        <v>-20.2189515266363</v>
      </c>
      <c r="I544" t="s">
        <v>39</v>
      </c>
    </row>
    <row r="545" spans="1:9" x14ac:dyDescent="0.35">
      <c r="A545" t="s">
        <v>17</v>
      </c>
      <c r="B545">
        <v>2035</v>
      </c>
      <c r="C545" t="s">
        <v>37</v>
      </c>
      <c r="D545" t="s">
        <v>42</v>
      </c>
      <c r="E545">
        <v>10.750624577692401</v>
      </c>
      <c r="F545">
        <v>10.4503373958567</v>
      </c>
      <c r="G545">
        <v>-0.30028718183569197</v>
      </c>
      <c r="H545">
        <v>-2.79320684733786</v>
      </c>
      <c r="I545" t="s">
        <v>39</v>
      </c>
    </row>
    <row r="546" spans="1:9" x14ac:dyDescent="0.35">
      <c r="A546" t="s">
        <v>17</v>
      </c>
      <c r="B546">
        <v>2035</v>
      </c>
      <c r="C546" t="s">
        <v>37</v>
      </c>
      <c r="D546" t="s">
        <v>43</v>
      </c>
      <c r="E546">
        <v>5.8471707803103403E-3</v>
      </c>
      <c r="F546">
        <v>5.7846842473693299E-3</v>
      </c>
      <c r="G546" s="1">
        <v>-6.2486532941010304E-5</v>
      </c>
      <c r="H546">
        <v>-1.0686626966913</v>
      </c>
      <c r="I546" t="s">
        <v>39</v>
      </c>
    </row>
    <row r="547" spans="1:9" x14ac:dyDescent="0.35">
      <c r="A547" t="s">
        <v>17</v>
      </c>
      <c r="B547">
        <v>2035</v>
      </c>
      <c r="C547" t="s">
        <v>37</v>
      </c>
      <c r="D547" t="s">
        <v>136</v>
      </c>
      <c r="E547">
        <v>7.76648312171067</v>
      </c>
      <c r="F547">
        <v>7.7535893452206803</v>
      </c>
      <c r="G547">
        <v>-1.28937764899887E-2</v>
      </c>
      <c r="H547">
        <v>-0.16601821297911601</v>
      </c>
      <c r="I547" t="s">
        <v>39</v>
      </c>
    </row>
    <row r="548" spans="1:9" x14ac:dyDescent="0.35">
      <c r="A548" t="s">
        <v>17</v>
      </c>
      <c r="B548">
        <v>2035</v>
      </c>
      <c r="C548" t="s">
        <v>37</v>
      </c>
      <c r="D548" t="s">
        <v>45</v>
      </c>
      <c r="E548">
        <v>1.46961694646719</v>
      </c>
      <c r="F548">
        <v>1.16412207381056</v>
      </c>
      <c r="G548">
        <v>-0.30549487265662501</v>
      </c>
      <c r="H548">
        <v>-20.7873809152108</v>
      </c>
      <c r="I548" t="s">
        <v>39</v>
      </c>
    </row>
    <row r="549" spans="1:9" x14ac:dyDescent="0.35">
      <c r="A549" t="s">
        <v>17</v>
      </c>
      <c r="B549">
        <v>2035</v>
      </c>
      <c r="C549" t="s">
        <v>37</v>
      </c>
      <c r="D549" t="s">
        <v>46</v>
      </c>
      <c r="E549">
        <v>0.189202121574089</v>
      </c>
      <c r="F549">
        <v>0.189202121574089</v>
      </c>
      <c r="G549">
        <v>0</v>
      </c>
      <c r="H549">
        <v>0</v>
      </c>
      <c r="I549" t="s">
        <v>39</v>
      </c>
    </row>
    <row r="550" spans="1:9" x14ac:dyDescent="0.35">
      <c r="A550" t="s">
        <v>17</v>
      </c>
      <c r="B550">
        <v>2035</v>
      </c>
      <c r="C550" t="s">
        <v>37</v>
      </c>
      <c r="D550" t="s">
        <v>47</v>
      </c>
      <c r="E550">
        <v>3.4509778272563099E-3</v>
      </c>
      <c r="F550">
        <v>3.4509778272563099E-3</v>
      </c>
      <c r="G550">
        <v>0</v>
      </c>
      <c r="H550">
        <v>0</v>
      </c>
      <c r="I550" t="s">
        <v>39</v>
      </c>
    </row>
    <row r="551" spans="1:9" x14ac:dyDescent="0.35">
      <c r="A551" t="s">
        <v>17</v>
      </c>
      <c r="B551">
        <v>2035</v>
      </c>
      <c r="C551" t="s">
        <v>37</v>
      </c>
      <c r="D551" t="s">
        <v>48</v>
      </c>
      <c r="E551">
        <v>57.884389693857997</v>
      </c>
      <c r="F551">
        <v>57.884389693857997</v>
      </c>
      <c r="G551">
        <v>0</v>
      </c>
      <c r="H551">
        <v>0</v>
      </c>
      <c r="I551" t="s">
        <v>39</v>
      </c>
    </row>
    <row r="552" spans="1:9" x14ac:dyDescent="0.35">
      <c r="A552" t="s">
        <v>17</v>
      </c>
      <c r="B552">
        <v>2035</v>
      </c>
      <c r="C552" t="s">
        <v>37</v>
      </c>
      <c r="D552" t="s">
        <v>49</v>
      </c>
      <c r="E552">
        <v>7.2944090122862404</v>
      </c>
      <c r="F552">
        <v>5.7713408278319802</v>
      </c>
      <c r="G552">
        <v>-1.52306818445426</v>
      </c>
      <c r="H552">
        <v>-20.879939442508601</v>
      </c>
      <c r="I552" t="s">
        <v>39</v>
      </c>
    </row>
    <row r="553" spans="1:9" x14ac:dyDescent="0.35">
      <c r="A553" t="s">
        <v>17</v>
      </c>
      <c r="B553">
        <v>2035</v>
      </c>
      <c r="C553" t="s">
        <v>37</v>
      </c>
      <c r="D553" t="s">
        <v>50</v>
      </c>
      <c r="E553">
        <v>0.26725418073761498</v>
      </c>
      <c r="F553">
        <v>0.26725418073761498</v>
      </c>
      <c r="G553">
        <v>0</v>
      </c>
      <c r="H553">
        <v>0</v>
      </c>
      <c r="I553" t="s">
        <v>39</v>
      </c>
    </row>
    <row r="554" spans="1:9" x14ac:dyDescent="0.35">
      <c r="A554" t="s">
        <v>17</v>
      </c>
      <c r="B554">
        <v>2035</v>
      </c>
      <c r="C554" t="s">
        <v>37</v>
      </c>
      <c r="D554" t="s">
        <v>51</v>
      </c>
      <c r="E554">
        <v>0.18757593927720001</v>
      </c>
      <c r="F554">
        <v>0.18757593927720001</v>
      </c>
      <c r="G554">
        <v>0</v>
      </c>
      <c r="H554">
        <v>0</v>
      </c>
      <c r="I554" t="s">
        <v>39</v>
      </c>
    </row>
    <row r="555" spans="1:9" x14ac:dyDescent="0.35">
      <c r="A555" t="s">
        <v>17</v>
      </c>
      <c r="B555">
        <v>2035</v>
      </c>
      <c r="C555" t="s">
        <v>37</v>
      </c>
      <c r="D555" t="s">
        <v>52</v>
      </c>
      <c r="E555">
        <v>1.0850466022718199</v>
      </c>
      <c r="F555">
        <v>1.0850466022718199</v>
      </c>
      <c r="G555">
        <v>0</v>
      </c>
      <c r="H555">
        <v>0</v>
      </c>
      <c r="I555" t="s">
        <v>39</v>
      </c>
    </row>
    <row r="556" spans="1:9" x14ac:dyDescent="0.35">
      <c r="A556" t="s">
        <v>17</v>
      </c>
      <c r="B556">
        <v>2035</v>
      </c>
      <c r="C556" t="s">
        <v>37</v>
      </c>
      <c r="D556" t="s">
        <v>53</v>
      </c>
      <c r="E556">
        <v>2.9047891562508799</v>
      </c>
      <c r="F556">
        <v>2.9047891562508799</v>
      </c>
      <c r="G556">
        <v>0</v>
      </c>
      <c r="H556">
        <v>0</v>
      </c>
      <c r="I556" t="s">
        <v>39</v>
      </c>
    </row>
    <row r="557" spans="1:9" x14ac:dyDescent="0.35">
      <c r="A557" t="s">
        <v>17</v>
      </c>
      <c r="B557">
        <v>2035</v>
      </c>
      <c r="C557" t="s">
        <v>37</v>
      </c>
      <c r="D557" t="s">
        <v>54</v>
      </c>
      <c r="E557">
        <v>1.5382837954995301</v>
      </c>
      <c r="F557">
        <v>1.5382189451355299</v>
      </c>
      <c r="G557" s="1">
        <v>-6.4850364008606193E-5</v>
      </c>
      <c r="H557">
        <v>-4.2157607197277104E-3</v>
      </c>
      <c r="I557" t="s">
        <v>39</v>
      </c>
    </row>
    <row r="558" spans="1:9" x14ac:dyDescent="0.35">
      <c r="A558" t="s">
        <v>17</v>
      </c>
      <c r="B558">
        <v>2035</v>
      </c>
      <c r="C558" t="s">
        <v>37</v>
      </c>
      <c r="D558" t="s">
        <v>55</v>
      </c>
      <c r="E558">
        <v>1.4575859906842501</v>
      </c>
      <c r="F558">
        <v>1.4505609785028799</v>
      </c>
      <c r="G558">
        <v>-7.0250121813721896E-3</v>
      </c>
      <c r="H558">
        <v>-0.481962109012472</v>
      </c>
      <c r="I558" t="s">
        <v>39</v>
      </c>
    </row>
    <row r="559" spans="1:9" x14ac:dyDescent="0.35">
      <c r="A559" t="s">
        <v>17</v>
      </c>
      <c r="B559">
        <v>2035</v>
      </c>
      <c r="C559" t="s">
        <v>37</v>
      </c>
      <c r="D559" t="s">
        <v>56</v>
      </c>
      <c r="E559" s="1">
        <v>7.1618739126569001E-7</v>
      </c>
      <c r="F559" s="1">
        <v>7.1618739126569001E-7</v>
      </c>
      <c r="G559">
        <v>0</v>
      </c>
      <c r="H559">
        <v>0</v>
      </c>
      <c r="I559" t="s">
        <v>39</v>
      </c>
    </row>
    <row r="560" spans="1:9" x14ac:dyDescent="0.35">
      <c r="A560" t="s">
        <v>19</v>
      </c>
      <c r="B560">
        <v>2040</v>
      </c>
      <c r="C560" t="s">
        <v>37</v>
      </c>
      <c r="D560" t="s">
        <v>38</v>
      </c>
      <c r="E560">
        <v>2.5687952436743901E-3</v>
      </c>
      <c r="F560">
        <v>1.69357975394516E-3</v>
      </c>
      <c r="G560">
        <v>-8.7521548972922401E-4</v>
      </c>
      <c r="H560">
        <v>-34.071049138090103</v>
      </c>
      <c r="I560" t="s">
        <v>39</v>
      </c>
    </row>
    <row r="561" spans="1:9" x14ac:dyDescent="0.35">
      <c r="A561" t="s">
        <v>19</v>
      </c>
      <c r="B561">
        <v>2040</v>
      </c>
      <c r="C561" t="s">
        <v>37</v>
      </c>
      <c r="D561" t="s">
        <v>40</v>
      </c>
      <c r="E561">
        <v>7.8028373638022697E-4</v>
      </c>
      <c r="F561">
        <v>7.8028373638022697E-4</v>
      </c>
      <c r="G561">
        <v>0</v>
      </c>
      <c r="H561">
        <v>0</v>
      </c>
      <c r="I561" t="s">
        <v>39</v>
      </c>
    </row>
    <row r="562" spans="1:9" x14ac:dyDescent="0.35">
      <c r="A562" t="s">
        <v>19</v>
      </c>
      <c r="B562">
        <v>2040</v>
      </c>
      <c r="C562" t="s">
        <v>37</v>
      </c>
      <c r="D562" t="s">
        <v>41</v>
      </c>
      <c r="E562">
        <v>0.61019818727101605</v>
      </c>
      <c r="F562">
        <v>3.9198287801995801E-2</v>
      </c>
      <c r="G562">
        <v>-0.57099989946901997</v>
      </c>
      <c r="H562">
        <v>-93.576138274467496</v>
      </c>
      <c r="I562" t="s">
        <v>39</v>
      </c>
    </row>
    <row r="563" spans="1:9" x14ac:dyDescent="0.35">
      <c r="A563" t="s">
        <v>19</v>
      </c>
      <c r="B563">
        <v>2040</v>
      </c>
      <c r="C563" t="s">
        <v>37</v>
      </c>
      <c r="D563" t="s">
        <v>42</v>
      </c>
      <c r="E563">
        <v>10.567903639311499</v>
      </c>
      <c r="F563">
        <v>9.20947242363758</v>
      </c>
      <c r="G563">
        <v>-1.35843121567392</v>
      </c>
      <c r="H563">
        <v>-12.8543111485299</v>
      </c>
      <c r="I563" t="s">
        <v>39</v>
      </c>
    </row>
    <row r="564" spans="1:9" x14ac:dyDescent="0.35">
      <c r="A564" t="s">
        <v>19</v>
      </c>
      <c r="B564">
        <v>2040</v>
      </c>
      <c r="C564" t="s">
        <v>37</v>
      </c>
      <c r="D564" t="s">
        <v>43</v>
      </c>
      <c r="E564">
        <v>5.6898454886002399E-3</v>
      </c>
      <c r="F564">
        <v>5.4064225009225796E-3</v>
      </c>
      <c r="G564">
        <v>-2.8342298767765198E-4</v>
      </c>
      <c r="H564">
        <v>-4.9812071038747501</v>
      </c>
      <c r="I564" t="s">
        <v>39</v>
      </c>
    </row>
    <row r="565" spans="1:9" x14ac:dyDescent="0.35">
      <c r="A565" t="s">
        <v>19</v>
      </c>
      <c r="B565">
        <v>2040</v>
      </c>
      <c r="C565" t="s">
        <v>37</v>
      </c>
      <c r="D565" t="s">
        <v>136</v>
      </c>
      <c r="E565">
        <v>7.6255563648261999</v>
      </c>
      <c r="F565">
        <v>7.5208962540860798</v>
      </c>
      <c r="G565">
        <v>-0.104660110740114</v>
      </c>
      <c r="H565">
        <v>-1.3724914712173899</v>
      </c>
      <c r="I565" t="s">
        <v>39</v>
      </c>
    </row>
    <row r="566" spans="1:9" x14ac:dyDescent="0.35">
      <c r="A566" t="s">
        <v>19</v>
      </c>
      <c r="B566">
        <v>2040</v>
      </c>
      <c r="C566" t="s">
        <v>37</v>
      </c>
      <c r="D566" t="s">
        <v>45</v>
      </c>
      <c r="E566">
        <v>1.4681261512763699</v>
      </c>
      <c r="F566">
        <v>5.5312716290155203E-2</v>
      </c>
      <c r="G566">
        <v>-1.41281343498621</v>
      </c>
      <c r="H566">
        <v>-96.232427557940596</v>
      </c>
      <c r="I566" t="s">
        <v>39</v>
      </c>
    </row>
    <row r="567" spans="1:9" x14ac:dyDescent="0.35">
      <c r="A567" t="s">
        <v>19</v>
      </c>
      <c r="B567">
        <v>2040</v>
      </c>
      <c r="C567" t="s">
        <v>37</v>
      </c>
      <c r="D567" t="s">
        <v>46</v>
      </c>
      <c r="E567">
        <v>0.234661162080605</v>
      </c>
      <c r="F567">
        <v>0.234661162080605</v>
      </c>
      <c r="G567">
        <v>0</v>
      </c>
      <c r="H567">
        <v>0</v>
      </c>
      <c r="I567" t="s">
        <v>39</v>
      </c>
    </row>
    <row r="568" spans="1:9" x14ac:dyDescent="0.35">
      <c r="A568" t="s">
        <v>19</v>
      </c>
      <c r="B568">
        <v>2040</v>
      </c>
      <c r="C568" t="s">
        <v>37</v>
      </c>
      <c r="D568" t="s">
        <v>47</v>
      </c>
      <c r="E568">
        <v>3.1953367966104998E-3</v>
      </c>
      <c r="F568">
        <v>3.1953367966104998E-3</v>
      </c>
      <c r="G568">
        <v>0</v>
      </c>
      <c r="H568">
        <v>0</v>
      </c>
      <c r="I568" t="s">
        <v>39</v>
      </c>
    </row>
    <row r="569" spans="1:9" x14ac:dyDescent="0.35">
      <c r="A569" t="s">
        <v>19</v>
      </c>
      <c r="B569">
        <v>2040</v>
      </c>
      <c r="C569" t="s">
        <v>37</v>
      </c>
      <c r="D569" t="s">
        <v>48</v>
      </c>
      <c r="E569">
        <v>57.888012920539097</v>
      </c>
      <c r="F569">
        <v>57.888012920539097</v>
      </c>
      <c r="G569">
        <v>0</v>
      </c>
      <c r="H569">
        <v>0</v>
      </c>
      <c r="I569" t="s">
        <v>39</v>
      </c>
    </row>
    <row r="570" spans="1:9" x14ac:dyDescent="0.35">
      <c r="A570" t="s">
        <v>19</v>
      </c>
      <c r="B570">
        <v>2040</v>
      </c>
      <c r="C570" t="s">
        <v>37</v>
      </c>
      <c r="D570" t="s">
        <v>49</v>
      </c>
      <c r="E570">
        <v>7.2907539354564097</v>
      </c>
      <c r="F570">
        <v>0.24851943780521299</v>
      </c>
      <c r="G570">
        <v>-7.0422344976511999</v>
      </c>
      <c r="H570">
        <v>-96.591306742686598</v>
      </c>
      <c r="I570" t="s">
        <v>39</v>
      </c>
    </row>
    <row r="571" spans="1:9" x14ac:dyDescent="0.35">
      <c r="A571" t="s">
        <v>19</v>
      </c>
      <c r="B571">
        <v>2040</v>
      </c>
      <c r="C571" t="s">
        <v>37</v>
      </c>
      <c r="D571" t="s">
        <v>50</v>
      </c>
      <c r="E571">
        <v>0.26766621138463798</v>
      </c>
      <c r="F571">
        <v>0.26766621138463798</v>
      </c>
      <c r="G571">
        <v>0</v>
      </c>
      <c r="H571">
        <v>0</v>
      </c>
      <c r="I571" t="s">
        <v>39</v>
      </c>
    </row>
    <row r="572" spans="1:9" x14ac:dyDescent="0.35">
      <c r="A572" t="s">
        <v>19</v>
      </c>
      <c r="B572">
        <v>2040</v>
      </c>
      <c r="C572" t="s">
        <v>37</v>
      </c>
      <c r="D572" t="s">
        <v>51</v>
      </c>
      <c r="E572">
        <v>0.187606777298476</v>
      </c>
      <c r="F572">
        <v>0.187606777298476</v>
      </c>
      <c r="G572">
        <v>0</v>
      </c>
      <c r="H572">
        <v>0</v>
      </c>
      <c r="I572" t="s">
        <v>39</v>
      </c>
    </row>
    <row r="573" spans="1:9" x14ac:dyDescent="0.35">
      <c r="A573" t="s">
        <v>19</v>
      </c>
      <c r="B573">
        <v>2040</v>
      </c>
      <c r="C573" t="s">
        <v>37</v>
      </c>
      <c r="D573" t="s">
        <v>52</v>
      </c>
      <c r="E573">
        <v>0.90495830614192396</v>
      </c>
      <c r="F573">
        <v>0.90495830614192396</v>
      </c>
      <c r="G573">
        <v>0</v>
      </c>
      <c r="H573">
        <v>0</v>
      </c>
      <c r="I573" t="s">
        <v>39</v>
      </c>
    </row>
    <row r="574" spans="1:9" x14ac:dyDescent="0.35">
      <c r="A574" t="s">
        <v>19</v>
      </c>
      <c r="B574">
        <v>2040</v>
      </c>
      <c r="C574" t="s">
        <v>37</v>
      </c>
      <c r="D574" t="s">
        <v>53</v>
      </c>
      <c r="E574">
        <v>2.8819922684025001</v>
      </c>
      <c r="F574">
        <v>2.8819922684025001</v>
      </c>
      <c r="G574">
        <v>0</v>
      </c>
      <c r="H574">
        <v>0</v>
      </c>
      <c r="I574" t="s">
        <v>39</v>
      </c>
    </row>
    <row r="575" spans="1:9" x14ac:dyDescent="0.35">
      <c r="A575" t="s">
        <v>19</v>
      </c>
      <c r="B575">
        <v>2040</v>
      </c>
      <c r="C575" t="s">
        <v>37</v>
      </c>
      <c r="D575" t="s">
        <v>54</v>
      </c>
      <c r="E575">
        <v>1.5362902396174001</v>
      </c>
      <c r="F575">
        <v>1.53598948290056</v>
      </c>
      <c r="G575">
        <v>-3.0075671684048899E-4</v>
      </c>
      <c r="H575">
        <v>-1.95768162216137E-2</v>
      </c>
      <c r="I575" t="s">
        <v>39</v>
      </c>
    </row>
    <row r="576" spans="1:9" x14ac:dyDescent="0.35">
      <c r="A576" t="s">
        <v>19</v>
      </c>
      <c r="B576">
        <v>2040</v>
      </c>
      <c r="C576" t="s">
        <v>37</v>
      </c>
      <c r="D576" t="s">
        <v>55</v>
      </c>
      <c r="E576">
        <v>1.4554175613774101</v>
      </c>
      <c r="F576">
        <v>1.4233454168148201</v>
      </c>
      <c r="G576">
        <v>-3.20721445625975E-2</v>
      </c>
      <c r="H576">
        <v>-2.2036386954300702</v>
      </c>
      <c r="I576" t="s">
        <v>39</v>
      </c>
    </row>
    <row r="577" spans="1:9" x14ac:dyDescent="0.35">
      <c r="A577" t="s">
        <v>19</v>
      </c>
      <c r="B577">
        <v>2040</v>
      </c>
      <c r="C577" t="s">
        <v>37</v>
      </c>
      <c r="D577" t="s">
        <v>56</v>
      </c>
      <c r="E577" s="1">
        <v>7.3151692731556096E-7</v>
      </c>
      <c r="F577" s="1">
        <v>7.3151692731556096E-7</v>
      </c>
      <c r="G577">
        <v>0</v>
      </c>
      <c r="H577">
        <v>0</v>
      </c>
      <c r="I577" t="s">
        <v>39</v>
      </c>
    </row>
    <row r="578" spans="1:9" x14ac:dyDescent="0.35">
      <c r="A578" t="s">
        <v>13</v>
      </c>
      <c r="B578">
        <v>2025</v>
      </c>
      <c r="C578" t="s">
        <v>125</v>
      </c>
      <c r="D578" t="s">
        <v>38</v>
      </c>
      <c r="E578">
        <v>6.6836637893509195E-4</v>
      </c>
      <c r="F578">
        <v>6.6836637893509195E-4</v>
      </c>
      <c r="G578">
        <v>0</v>
      </c>
      <c r="H578">
        <v>0</v>
      </c>
      <c r="I578" t="s">
        <v>126</v>
      </c>
    </row>
    <row r="579" spans="1:9" x14ac:dyDescent="0.35">
      <c r="A579" t="s">
        <v>13</v>
      </c>
      <c r="B579">
        <v>2025</v>
      </c>
      <c r="C579" t="s">
        <v>125</v>
      </c>
      <c r="D579" t="s">
        <v>40</v>
      </c>
      <c r="E579">
        <v>1.2528487431616799E-2</v>
      </c>
      <c r="F579">
        <v>1.2528487431616799E-2</v>
      </c>
      <c r="G579">
        <v>0</v>
      </c>
      <c r="H579">
        <v>0</v>
      </c>
      <c r="I579" t="s">
        <v>126</v>
      </c>
    </row>
    <row r="580" spans="1:9" x14ac:dyDescent="0.35">
      <c r="A580" t="s">
        <v>13</v>
      </c>
      <c r="B580">
        <v>2025</v>
      </c>
      <c r="C580" t="s">
        <v>125</v>
      </c>
      <c r="D580" t="s">
        <v>41</v>
      </c>
      <c r="E580">
        <v>0.16726183953530799</v>
      </c>
      <c r="F580">
        <v>0.16726183953530799</v>
      </c>
      <c r="G580">
        <v>0</v>
      </c>
      <c r="H580">
        <v>0</v>
      </c>
      <c r="I580" t="s">
        <v>126</v>
      </c>
    </row>
    <row r="581" spans="1:9" x14ac:dyDescent="0.35">
      <c r="A581" t="s">
        <v>13</v>
      </c>
      <c r="B581">
        <v>2025</v>
      </c>
      <c r="C581" t="s">
        <v>125</v>
      </c>
      <c r="D581" t="s">
        <v>42</v>
      </c>
      <c r="E581">
        <v>43.292634410426899</v>
      </c>
      <c r="F581">
        <v>43.292634410426899</v>
      </c>
      <c r="G581">
        <v>0</v>
      </c>
      <c r="H581">
        <v>0</v>
      </c>
      <c r="I581" t="s">
        <v>126</v>
      </c>
    </row>
    <row r="582" spans="1:9" x14ac:dyDescent="0.35">
      <c r="A582" t="s">
        <v>13</v>
      </c>
      <c r="B582">
        <v>2025</v>
      </c>
      <c r="C582" t="s">
        <v>125</v>
      </c>
      <c r="D582" t="s">
        <v>43</v>
      </c>
      <c r="E582">
        <v>5.4925983966321E-2</v>
      </c>
      <c r="F582">
        <v>5.4925983966321E-2</v>
      </c>
      <c r="G582">
        <v>0</v>
      </c>
      <c r="H582">
        <v>0</v>
      </c>
      <c r="I582" t="s">
        <v>126</v>
      </c>
    </row>
    <row r="583" spans="1:9" x14ac:dyDescent="0.35">
      <c r="A583" t="s">
        <v>13</v>
      </c>
      <c r="B583">
        <v>2025</v>
      </c>
      <c r="C583" t="s">
        <v>125</v>
      </c>
      <c r="D583" t="s">
        <v>136</v>
      </c>
      <c r="E583">
        <v>4.5796501895847097</v>
      </c>
      <c r="F583">
        <v>4.5796501895847097</v>
      </c>
      <c r="G583">
        <v>0</v>
      </c>
      <c r="H583">
        <v>0</v>
      </c>
      <c r="I583" t="s">
        <v>126</v>
      </c>
    </row>
    <row r="584" spans="1:9" x14ac:dyDescent="0.35">
      <c r="A584" t="s">
        <v>13</v>
      </c>
      <c r="B584">
        <v>2025</v>
      </c>
      <c r="C584" t="s">
        <v>125</v>
      </c>
      <c r="D584" t="s">
        <v>45</v>
      </c>
      <c r="E584">
        <v>5.2941137562370302E-2</v>
      </c>
      <c r="F584">
        <v>5.2941137562370302E-2</v>
      </c>
      <c r="G584">
        <v>0</v>
      </c>
      <c r="H584">
        <v>0</v>
      </c>
      <c r="I584" t="s">
        <v>126</v>
      </c>
    </row>
    <row r="585" spans="1:9" x14ac:dyDescent="0.35">
      <c r="A585" t="s">
        <v>13</v>
      </c>
      <c r="B585">
        <v>2025</v>
      </c>
      <c r="C585" t="s">
        <v>125</v>
      </c>
      <c r="D585" t="s">
        <v>46</v>
      </c>
      <c r="E585">
        <v>9.2327722832148004E-2</v>
      </c>
      <c r="F585">
        <v>9.2327722832148004E-2</v>
      </c>
      <c r="G585">
        <v>0</v>
      </c>
      <c r="H585">
        <v>0</v>
      </c>
      <c r="I585" t="s">
        <v>126</v>
      </c>
    </row>
    <row r="586" spans="1:9" x14ac:dyDescent="0.35">
      <c r="A586" t="s">
        <v>13</v>
      </c>
      <c r="B586">
        <v>2025</v>
      </c>
      <c r="C586" t="s">
        <v>125</v>
      </c>
      <c r="D586" t="s">
        <v>47</v>
      </c>
      <c r="E586">
        <v>9.9898448542922094E-3</v>
      </c>
      <c r="F586">
        <v>9.9898448542922094E-3</v>
      </c>
      <c r="G586">
        <v>0</v>
      </c>
      <c r="H586">
        <v>0</v>
      </c>
      <c r="I586" t="s">
        <v>126</v>
      </c>
    </row>
    <row r="587" spans="1:9" x14ac:dyDescent="0.35">
      <c r="A587" t="s">
        <v>13</v>
      </c>
      <c r="B587">
        <v>2025</v>
      </c>
      <c r="C587" t="s">
        <v>125</v>
      </c>
      <c r="D587" t="s">
        <v>48</v>
      </c>
      <c r="E587">
        <v>19.610047053546001</v>
      </c>
      <c r="F587">
        <v>19.610047053546001</v>
      </c>
      <c r="G587">
        <v>0</v>
      </c>
      <c r="H587">
        <v>0</v>
      </c>
      <c r="I587" t="s">
        <v>126</v>
      </c>
    </row>
    <row r="588" spans="1:9" x14ac:dyDescent="0.35">
      <c r="A588" t="s">
        <v>13</v>
      </c>
      <c r="B588">
        <v>2025</v>
      </c>
      <c r="C588" t="s">
        <v>125</v>
      </c>
      <c r="D588" t="s">
        <v>49</v>
      </c>
      <c r="E588">
        <v>0.19180305438968201</v>
      </c>
      <c r="F588">
        <v>0.19180305438968201</v>
      </c>
      <c r="G588">
        <v>0</v>
      </c>
      <c r="H588">
        <v>0</v>
      </c>
      <c r="I588" t="s">
        <v>126</v>
      </c>
    </row>
    <row r="589" spans="1:9" x14ac:dyDescent="0.35">
      <c r="A589" t="s">
        <v>13</v>
      </c>
      <c r="B589">
        <v>2025</v>
      </c>
      <c r="C589" t="s">
        <v>125</v>
      </c>
      <c r="D589" t="s">
        <v>50</v>
      </c>
      <c r="E589">
        <v>8.0703566948304994E-2</v>
      </c>
      <c r="F589">
        <v>8.0703566948304994E-2</v>
      </c>
      <c r="G589">
        <v>0</v>
      </c>
      <c r="H589">
        <v>0</v>
      </c>
      <c r="I589" t="s">
        <v>126</v>
      </c>
    </row>
    <row r="590" spans="1:9" x14ac:dyDescent="0.35">
      <c r="A590" t="s">
        <v>13</v>
      </c>
      <c r="B590">
        <v>2025</v>
      </c>
      <c r="C590" t="s">
        <v>125</v>
      </c>
      <c r="D590" t="s">
        <v>51</v>
      </c>
      <c r="E590">
        <v>0.33043888806917798</v>
      </c>
      <c r="F590">
        <v>0.33043888806917798</v>
      </c>
      <c r="G590">
        <v>0</v>
      </c>
      <c r="H590">
        <v>0</v>
      </c>
      <c r="I590" t="s">
        <v>126</v>
      </c>
    </row>
    <row r="591" spans="1:9" x14ac:dyDescent="0.35">
      <c r="A591" t="s">
        <v>13</v>
      </c>
      <c r="B591">
        <v>2025</v>
      </c>
      <c r="C591" t="s">
        <v>125</v>
      </c>
      <c r="D591" t="s">
        <v>52</v>
      </c>
      <c r="E591">
        <v>0.21734191824890001</v>
      </c>
      <c r="F591">
        <v>0.21734191824890001</v>
      </c>
      <c r="G591">
        <v>0</v>
      </c>
      <c r="H591">
        <v>0</v>
      </c>
      <c r="I591" t="s">
        <v>126</v>
      </c>
    </row>
    <row r="592" spans="1:9" x14ac:dyDescent="0.35">
      <c r="A592" t="s">
        <v>13</v>
      </c>
      <c r="B592">
        <v>2025</v>
      </c>
      <c r="C592" t="s">
        <v>125</v>
      </c>
      <c r="D592" t="s">
        <v>53</v>
      </c>
      <c r="E592">
        <v>1.3575527045948801</v>
      </c>
      <c r="F592">
        <v>1.3575527045948801</v>
      </c>
      <c r="G592">
        <v>0</v>
      </c>
      <c r="H592">
        <v>0</v>
      </c>
      <c r="I592" t="s">
        <v>126</v>
      </c>
    </row>
    <row r="593" spans="1:9" x14ac:dyDescent="0.35">
      <c r="A593" t="s">
        <v>13</v>
      </c>
      <c r="B593">
        <v>2025</v>
      </c>
      <c r="C593" t="s">
        <v>125</v>
      </c>
      <c r="D593" t="s">
        <v>54</v>
      </c>
      <c r="E593">
        <v>3.4591911686755998</v>
      </c>
      <c r="F593">
        <v>3.4591911686755998</v>
      </c>
      <c r="G593">
        <v>0</v>
      </c>
      <c r="H593">
        <v>0</v>
      </c>
      <c r="I593" t="s">
        <v>126</v>
      </c>
    </row>
    <row r="594" spans="1:9" x14ac:dyDescent="0.35">
      <c r="A594" t="s">
        <v>13</v>
      </c>
      <c r="B594">
        <v>2025</v>
      </c>
      <c r="C594" t="s">
        <v>125</v>
      </c>
      <c r="D594" t="s">
        <v>55</v>
      </c>
      <c r="E594">
        <v>2.9943677290795998</v>
      </c>
      <c r="F594">
        <v>2.9943677290795998</v>
      </c>
      <c r="G594">
        <v>0</v>
      </c>
      <c r="H594">
        <v>0</v>
      </c>
      <c r="I594" t="s">
        <v>126</v>
      </c>
    </row>
    <row r="595" spans="1:9" x14ac:dyDescent="0.35">
      <c r="A595" t="s">
        <v>13</v>
      </c>
      <c r="B595">
        <v>2025</v>
      </c>
      <c r="C595" t="s">
        <v>125</v>
      </c>
      <c r="D595" t="s">
        <v>56</v>
      </c>
      <c r="E595" s="1">
        <v>2.9439781375271302E-7</v>
      </c>
      <c r="F595" s="1">
        <v>2.9439781375271302E-7</v>
      </c>
      <c r="G595">
        <v>0</v>
      </c>
      <c r="H595">
        <v>0</v>
      </c>
      <c r="I595" t="s">
        <v>126</v>
      </c>
    </row>
    <row r="596" spans="1:9" x14ac:dyDescent="0.35">
      <c r="A596" t="s">
        <v>15</v>
      </c>
      <c r="B596">
        <v>2030</v>
      </c>
      <c r="C596" t="s">
        <v>125</v>
      </c>
      <c r="D596" t="s">
        <v>38</v>
      </c>
      <c r="E596">
        <v>6.7449202896410201E-4</v>
      </c>
      <c r="F596">
        <v>6.3495176490012005E-4</v>
      </c>
      <c r="G596" s="1">
        <v>-3.9540264063981297E-5</v>
      </c>
      <c r="H596">
        <v>-5.8622285165783197</v>
      </c>
      <c r="I596" t="s">
        <v>126</v>
      </c>
    </row>
    <row r="597" spans="1:9" x14ac:dyDescent="0.35">
      <c r="A597" t="s">
        <v>15</v>
      </c>
      <c r="B597">
        <v>2030</v>
      </c>
      <c r="C597" t="s">
        <v>125</v>
      </c>
      <c r="D597" t="s">
        <v>40</v>
      </c>
      <c r="E597">
        <v>1.2570618532202701E-2</v>
      </c>
      <c r="F597">
        <v>1.2570618532202701E-2</v>
      </c>
      <c r="G597">
        <v>0</v>
      </c>
      <c r="H597">
        <v>0</v>
      </c>
      <c r="I597" t="s">
        <v>126</v>
      </c>
    </row>
    <row r="598" spans="1:9" x14ac:dyDescent="0.35">
      <c r="A598" t="s">
        <v>15</v>
      </c>
      <c r="B598">
        <v>2030</v>
      </c>
      <c r="C598" t="s">
        <v>125</v>
      </c>
      <c r="D598" t="s">
        <v>41</v>
      </c>
      <c r="E598">
        <v>0.16550863003782901</v>
      </c>
      <c r="F598">
        <v>0.162817513971069</v>
      </c>
      <c r="G598">
        <v>-2.69111606676061E-3</v>
      </c>
      <c r="H598">
        <v>-1.6259672176281801</v>
      </c>
      <c r="I598" t="s">
        <v>126</v>
      </c>
    </row>
    <row r="599" spans="1:9" x14ac:dyDescent="0.35">
      <c r="A599" t="s">
        <v>15</v>
      </c>
      <c r="B599">
        <v>2030</v>
      </c>
      <c r="C599" t="s">
        <v>125</v>
      </c>
      <c r="D599" t="s">
        <v>42</v>
      </c>
      <c r="E599">
        <v>42.981637604505998</v>
      </c>
      <c r="F599">
        <v>42.963126716348398</v>
      </c>
      <c r="G599">
        <v>-1.8510888157649601E-2</v>
      </c>
      <c r="H599">
        <v>-4.3066968103860799E-2</v>
      </c>
      <c r="I599" t="s">
        <v>126</v>
      </c>
    </row>
    <row r="600" spans="1:9" x14ac:dyDescent="0.35">
      <c r="A600" t="s">
        <v>15</v>
      </c>
      <c r="B600">
        <v>2030</v>
      </c>
      <c r="C600" t="s">
        <v>125</v>
      </c>
      <c r="D600" t="s">
        <v>43</v>
      </c>
      <c r="E600">
        <v>5.4286627743308898E-2</v>
      </c>
      <c r="F600">
        <v>5.42865925246412E-2</v>
      </c>
      <c r="G600" s="1">
        <v>-3.5218667718273003E-8</v>
      </c>
      <c r="H600" s="1">
        <v>-6.4875401516562096E-5</v>
      </c>
      <c r="I600" t="s">
        <v>126</v>
      </c>
    </row>
    <row r="601" spans="1:9" x14ac:dyDescent="0.35">
      <c r="A601" t="s">
        <v>15</v>
      </c>
      <c r="B601">
        <v>2030</v>
      </c>
      <c r="C601" t="s">
        <v>125</v>
      </c>
      <c r="D601" t="s">
        <v>136</v>
      </c>
      <c r="E601">
        <v>3.90980398652029</v>
      </c>
      <c r="F601">
        <v>3.9094491733138899</v>
      </c>
      <c r="G601">
        <v>-3.5481320640329202E-4</v>
      </c>
      <c r="H601">
        <v>-9.0749614974707307E-3</v>
      </c>
      <c r="I601" t="s">
        <v>126</v>
      </c>
    </row>
    <row r="602" spans="1:9" x14ac:dyDescent="0.35">
      <c r="A602" t="s">
        <v>15</v>
      </c>
      <c r="B602">
        <v>2030</v>
      </c>
      <c r="C602" t="s">
        <v>125</v>
      </c>
      <c r="D602" t="s">
        <v>45</v>
      </c>
      <c r="E602">
        <v>5.1309252003874498E-2</v>
      </c>
      <c r="F602">
        <v>4.4658796129440202E-2</v>
      </c>
      <c r="G602">
        <v>-6.6504558744343197E-3</v>
      </c>
      <c r="H602">
        <v>-12.9615139856884</v>
      </c>
      <c r="I602" t="s">
        <v>126</v>
      </c>
    </row>
    <row r="603" spans="1:9" x14ac:dyDescent="0.35">
      <c r="A603" t="s">
        <v>15</v>
      </c>
      <c r="B603">
        <v>2030</v>
      </c>
      <c r="C603" t="s">
        <v>125</v>
      </c>
      <c r="D603" t="s">
        <v>46</v>
      </c>
      <c r="E603">
        <v>0.105006535084671</v>
      </c>
      <c r="F603">
        <v>0.105006535084671</v>
      </c>
      <c r="G603">
        <v>0</v>
      </c>
      <c r="H603">
        <v>0</v>
      </c>
      <c r="I603" t="s">
        <v>126</v>
      </c>
    </row>
    <row r="604" spans="1:9" x14ac:dyDescent="0.35">
      <c r="A604" t="s">
        <v>15</v>
      </c>
      <c r="B604">
        <v>2030</v>
      </c>
      <c r="C604" t="s">
        <v>125</v>
      </c>
      <c r="D604" t="s">
        <v>47</v>
      </c>
      <c r="E604">
        <v>9.5688864262849505E-3</v>
      </c>
      <c r="F604">
        <v>9.5688864262849505E-3</v>
      </c>
      <c r="G604">
        <v>0</v>
      </c>
      <c r="H604">
        <v>0</v>
      </c>
      <c r="I604" t="s">
        <v>126</v>
      </c>
    </row>
    <row r="605" spans="1:9" x14ac:dyDescent="0.35">
      <c r="A605" t="s">
        <v>15</v>
      </c>
      <c r="B605">
        <v>2030</v>
      </c>
      <c r="C605" t="s">
        <v>125</v>
      </c>
      <c r="D605" t="s">
        <v>48</v>
      </c>
      <c r="E605">
        <v>19.6127090003015</v>
      </c>
      <c r="F605">
        <v>19.6127090003015</v>
      </c>
      <c r="G605">
        <v>0</v>
      </c>
      <c r="H605">
        <v>0</v>
      </c>
      <c r="I605" t="s">
        <v>126</v>
      </c>
    </row>
    <row r="606" spans="1:9" x14ac:dyDescent="0.35">
      <c r="A606" t="s">
        <v>15</v>
      </c>
      <c r="B606">
        <v>2030</v>
      </c>
      <c r="C606" t="s">
        <v>125</v>
      </c>
      <c r="D606" t="s">
        <v>49</v>
      </c>
      <c r="E606">
        <v>0.185466127337823</v>
      </c>
      <c r="F606">
        <v>0.152276760279562</v>
      </c>
      <c r="G606">
        <v>-3.3189367058260401E-2</v>
      </c>
      <c r="H606">
        <v>-17.895109761906301</v>
      </c>
      <c r="I606" t="s">
        <v>126</v>
      </c>
    </row>
    <row r="607" spans="1:9" x14ac:dyDescent="0.35">
      <c r="A607" t="s">
        <v>15</v>
      </c>
      <c r="B607">
        <v>2030</v>
      </c>
      <c r="C607" t="s">
        <v>125</v>
      </c>
      <c r="D607" t="s">
        <v>50</v>
      </c>
      <c r="E607">
        <v>8.0375520180232904E-2</v>
      </c>
      <c r="F607">
        <v>8.0375520180232904E-2</v>
      </c>
      <c r="G607">
        <v>0</v>
      </c>
      <c r="H607">
        <v>0</v>
      </c>
      <c r="I607" t="s">
        <v>126</v>
      </c>
    </row>
    <row r="608" spans="1:9" x14ac:dyDescent="0.35">
      <c r="A608" t="s">
        <v>15</v>
      </c>
      <c r="B608">
        <v>2030</v>
      </c>
      <c r="C608" t="s">
        <v>125</v>
      </c>
      <c r="D608" t="s">
        <v>51</v>
      </c>
      <c r="E608">
        <v>0.32943840019967502</v>
      </c>
      <c r="F608">
        <v>0.32943840019967502</v>
      </c>
      <c r="G608">
        <v>0</v>
      </c>
      <c r="H608">
        <v>0</v>
      </c>
      <c r="I608" t="s">
        <v>126</v>
      </c>
    </row>
    <row r="609" spans="1:9" x14ac:dyDescent="0.35">
      <c r="A609" t="s">
        <v>15</v>
      </c>
      <c r="B609">
        <v>2030</v>
      </c>
      <c r="C609" t="s">
        <v>125</v>
      </c>
      <c r="D609" t="s">
        <v>52</v>
      </c>
      <c r="E609">
        <v>0.18879071464608799</v>
      </c>
      <c r="F609">
        <v>0.18879071464608799</v>
      </c>
      <c r="G609">
        <v>0</v>
      </c>
      <c r="H609">
        <v>0</v>
      </c>
      <c r="I609" t="s">
        <v>126</v>
      </c>
    </row>
    <row r="610" spans="1:9" x14ac:dyDescent="0.35">
      <c r="A610" t="s">
        <v>15</v>
      </c>
      <c r="B610">
        <v>2030</v>
      </c>
      <c r="C610" t="s">
        <v>125</v>
      </c>
      <c r="D610" t="s">
        <v>53</v>
      </c>
      <c r="E610">
        <v>1.2163763637866001</v>
      </c>
      <c r="F610">
        <v>1.2163763637866001</v>
      </c>
      <c r="G610">
        <v>0</v>
      </c>
      <c r="H610">
        <v>0</v>
      </c>
      <c r="I610" t="s">
        <v>126</v>
      </c>
    </row>
    <row r="611" spans="1:9" x14ac:dyDescent="0.35">
      <c r="A611" t="s">
        <v>15</v>
      </c>
      <c r="B611">
        <v>2030</v>
      </c>
      <c r="C611" t="s">
        <v>125</v>
      </c>
      <c r="D611" t="s">
        <v>54</v>
      </c>
      <c r="E611">
        <v>3.45562674802582</v>
      </c>
      <c r="F611">
        <v>3.4536026846279499</v>
      </c>
      <c r="G611">
        <v>-2.02406339786964E-3</v>
      </c>
      <c r="H611">
        <v>-5.8572975192589201E-2</v>
      </c>
      <c r="I611" t="s">
        <v>126</v>
      </c>
    </row>
    <row r="612" spans="1:9" x14ac:dyDescent="0.35">
      <c r="A612" t="s">
        <v>15</v>
      </c>
      <c r="B612">
        <v>2030</v>
      </c>
      <c r="C612" t="s">
        <v>125</v>
      </c>
      <c r="D612" t="s">
        <v>55</v>
      </c>
      <c r="E612">
        <v>2.9902047847787601</v>
      </c>
      <c r="F612">
        <v>2.9898520080544202</v>
      </c>
      <c r="G612">
        <v>-3.5277672433942E-4</v>
      </c>
      <c r="H612">
        <v>-1.17977446272303E-2</v>
      </c>
      <c r="I612" t="s">
        <v>126</v>
      </c>
    </row>
    <row r="613" spans="1:9" x14ac:dyDescent="0.35">
      <c r="A613" t="s">
        <v>15</v>
      </c>
      <c r="B613">
        <v>2030</v>
      </c>
      <c r="C613" t="s">
        <v>125</v>
      </c>
      <c r="D613" t="s">
        <v>56</v>
      </c>
      <c r="E613" s="1">
        <v>2.9332530279113301E-7</v>
      </c>
      <c r="F613" s="1">
        <v>2.9332530279113301E-7</v>
      </c>
      <c r="G613">
        <v>0</v>
      </c>
      <c r="H613">
        <v>0</v>
      </c>
      <c r="I613" t="s">
        <v>126</v>
      </c>
    </row>
    <row r="614" spans="1:9" x14ac:dyDescent="0.35">
      <c r="A614" t="s">
        <v>17</v>
      </c>
      <c r="B614">
        <v>2035</v>
      </c>
      <c r="C614" t="s">
        <v>125</v>
      </c>
      <c r="D614" t="s">
        <v>38</v>
      </c>
      <c r="E614">
        <v>8.4125650993021098E-4</v>
      </c>
      <c r="F614">
        <v>8.3008210256720104E-4</v>
      </c>
      <c r="G614" s="1">
        <v>-1.11744073630096E-5</v>
      </c>
      <c r="H614">
        <v>-1.3282996602233199</v>
      </c>
      <c r="I614" t="s">
        <v>126</v>
      </c>
    </row>
    <row r="615" spans="1:9" x14ac:dyDescent="0.35">
      <c r="A615" t="s">
        <v>17</v>
      </c>
      <c r="B615">
        <v>2035</v>
      </c>
      <c r="C615" t="s">
        <v>125</v>
      </c>
      <c r="D615" t="s">
        <v>40</v>
      </c>
      <c r="E615">
        <v>1.2531648322390201E-2</v>
      </c>
      <c r="F615">
        <v>1.2531648322390201E-2</v>
      </c>
      <c r="G615">
        <v>0</v>
      </c>
      <c r="H615">
        <v>0</v>
      </c>
      <c r="I615" t="s">
        <v>126</v>
      </c>
    </row>
    <row r="616" spans="1:9" x14ac:dyDescent="0.35">
      <c r="A616" t="s">
        <v>17</v>
      </c>
      <c r="B616">
        <v>2035</v>
      </c>
      <c r="C616" t="s">
        <v>125</v>
      </c>
      <c r="D616" t="s">
        <v>41</v>
      </c>
      <c r="E616">
        <v>0.16415618251650299</v>
      </c>
      <c r="F616">
        <v>0.16341353207647999</v>
      </c>
      <c r="G616">
        <v>-7.4265044002227998E-4</v>
      </c>
      <c r="H616">
        <v>-0.45240479440828801</v>
      </c>
      <c r="I616" t="s">
        <v>126</v>
      </c>
    </row>
    <row r="617" spans="1:9" x14ac:dyDescent="0.35">
      <c r="A617" t="s">
        <v>17</v>
      </c>
      <c r="B617">
        <v>2035</v>
      </c>
      <c r="C617" t="s">
        <v>125</v>
      </c>
      <c r="D617" t="s">
        <v>42</v>
      </c>
      <c r="E617">
        <v>42.807778923374002</v>
      </c>
      <c r="F617">
        <v>42.802553159845601</v>
      </c>
      <c r="G617">
        <v>-5.2257635283510196E-3</v>
      </c>
      <c r="H617">
        <v>-1.22075091485245E-2</v>
      </c>
      <c r="I617" t="s">
        <v>126</v>
      </c>
    </row>
    <row r="618" spans="1:9" x14ac:dyDescent="0.35">
      <c r="A618" t="s">
        <v>17</v>
      </c>
      <c r="B618">
        <v>2035</v>
      </c>
      <c r="C618" t="s">
        <v>125</v>
      </c>
      <c r="D618" t="s">
        <v>43</v>
      </c>
      <c r="E618">
        <v>5.3886666587729497E-2</v>
      </c>
      <c r="F618">
        <v>5.38866569893841E-2</v>
      </c>
      <c r="G618" s="1">
        <v>-9.5983454240222699E-9</v>
      </c>
      <c r="H618" s="1">
        <v>-1.7812097188078601E-5</v>
      </c>
      <c r="I618" t="s">
        <v>126</v>
      </c>
    </row>
    <row r="619" spans="1:9" x14ac:dyDescent="0.35">
      <c r="A619" t="s">
        <v>17</v>
      </c>
      <c r="B619">
        <v>2035</v>
      </c>
      <c r="C619" t="s">
        <v>125</v>
      </c>
      <c r="D619" t="s">
        <v>136</v>
      </c>
      <c r="E619">
        <v>3.4492990116066702</v>
      </c>
      <c r="F619">
        <v>3.4492491572463102</v>
      </c>
      <c r="G619" s="1">
        <v>-4.9854360351986302E-5</v>
      </c>
      <c r="H619">
        <v>-1.4453475962573699E-3</v>
      </c>
      <c r="I619" t="s">
        <v>126</v>
      </c>
    </row>
    <row r="620" spans="1:9" x14ac:dyDescent="0.35">
      <c r="A620" t="s">
        <v>17</v>
      </c>
      <c r="B620">
        <v>2035</v>
      </c>
      <c r="C620" t="s">
        <v>125</v>
      </c>
      <c r="D620" t="s">
        <v>45</v>
      </c>
      <c r="E620">
        <v>5.0297622704143202E-2</v>
      </c>
      <c r="F620">
        <v>4.8462628050790497E-2</v>
      </c>
      <c r="G620">
        <v>-1.8349946533527501E-3</v>
      </c>
      <c r="H620">
        <v>-3.6482731284267902</v>
      </c>
      <c r="I620" t="s">
        <v>126</v>
      </c>
    </row>
    <row r="621" spans="1:9" x14ac:dyDescent="0.35">
      <c r="A621" t="s">
        <v>17</v>
      </c>
      <c r="B621">
        <v>2035</v>
      </c>
      <c r="C621" t="s">
        <v>125</v>
      </c>
      <c r="D621" t="s">
        <v>46</v>
      </c>
      <c r="E621">
        <v>0.142706612165027</v>
      </c>
      <c r="F621">
        <v>0.142706612165027</v>
      </c>
      <c r="G621">
        <v>0</v>
      </c>
      <c r="H621">
        <v>0</v>
      </c>
      <c r="I621" t="s">
        <v>126</v>
      </c>
    </row>
    <row r="622" spans="1:9" x14ac:dyDescent="0.35">
      <c r="A622" t="s">
        <v>17</v>
      </c>
      <c r="B622">
        <v>2035</v>
      </c>
      <c r="C622" t="s">
        <v>125</v>
      </c>
      <c r="D622" t="s">
        <v>47</v>
      </c>
      <c r="E622">
        <v>9.3250119436463497E-3</v>
      </c>
      <c r="F622">
        <v>9.3250119436463497E-3</v>
      </c>
      <c r="G622">
        <v>0</v>
      </c>
      <c r="H622">
        <v>0</v>
      </c>
      <c r="I622" t="s">
        <v>126</v>
      </c>
    </row>
    <row r="623" spans="1:9" x14ac:dyDescent="0.35">
      <c r="A623" t="s">
        <v>17</v>
      </c>
      <c r="B623">
        <v>2035</v>
      </c>
      <c r="C623" t="s">
        <v>125</v>
      </c>
      <c r="D623" t="s">
        <v>48</v>
      </c>
      <c r="E623">
        <v>19.616162411984799</v>
      </c>
      <c r="F623">
        <v>19.616162411984799</v>
      </c>
      <c r="G623">
        <v>0</v>
      </c>
      <c r="H623">
        <v>0</v>
      </c>
      <c r="I623" t="s">
        <v>126</v>
      </c>
    </row>
    <row r="624" spans="1:9" x14ac:dyDescent="0.35">
      <c r="A624" t="s">
        <v>17</v>
      </c>
      <c r="B624">
        <v>2035</v>
      </c>
      <c r="C624" t="s">
        <v>125</v>
      </c>
      <c r="D624" t="s">
        <v>49</v>
      </c>
      <c r="E624">
        <v>0.18164267910850401</v>
      </c>
      <c r="F624">
        <v>0.172483613772174</v>
      </c>
      <c r="G624">
        <v>-9.1590653363302008E-3</v>
      </c>
      <c r="H624">
        <v>-5.0423531414987703</v>
      </c>
      <c r="I624" t="s">
        <v>126</v>
      </c>
    </row>
    <row r="625" spans="1:9" x14ac:dyDescent="0.35">
      <c r="A625" t="s">
        <v>17</v>
      </c>
      <c r="B625">
        <v>2035</v>
      </c>
      <c r="C625" t="s">
        <v>125</v>
      </c>
      <c r="D625" t="s">
        <v>50</v>
      </c>
      <c r="E625">
        <v>8.0580122532686399E-2</v>
      </c>
      <c r="F625">
        <v>8.0580122532686399E-2</v>
      </c>
      <c r="G625">
        <v>0</v>
      </c>
      <c r="H625">
        <v>0</v>
      </c>
      <c r="I625" t="s">
        <v>126</v>
      </c>
    </row>
    <row r="626" spans="1:9" x14ac:dyDescent="0.35">
      <c r="A626" t="s">
        <v>17</v>
      </c>
      <c r="B626">
        <v>2035</v>
      </c>
      <c r="C626" t="s">
        <v>125</v>
      </c>
      <c r="D626" t="s">
        <v>51</v>
      </c>
      <c r="E626">
        <v>0.33256449625448598</v>
      </c>
      <c r="F626">
        <v>0.33256449625448598</v>
      </c>
      <c r="G626">
        <v>0</v>
      </c>
      <c r="H626">
        <v>0</v>
      </c>
      <c r="I626" t="s">
        <v>126</v>
      </c>
    </row>
    <row r="627" spans="1:9" x14ac:dyDescent="0.35">
      <c r="A627" t="s">
        <v>17</v>
      </c>
      <c r="B627">
        <v>2035</v>
      </c>
      <c r="C627" t="s">
        <v>125</v>
      </c>
      <c r="D627" t="s">
        <v>52</v>
      </c>
      <c r="E627">
        <v>0.16252538130793701</v>
      </c>
      <c r="F627">
        <v>0.16252538130793701</v>
      </c>
      <c r="G627">
        <v>0</v>
      </c>
      <c r="H627">
        <v>0</v>
      </c>
      <c r="I627" t="s">
        <v>126</v>
      </c>
    </row>
    <row r="628" spans="1:9" x14ac:dyDescent="0.35">
      <c r="A628" t="s">
        <v>17</v>
      </c>
      <c r="B628">
        <v>2035</v>
      </c>
      <c r="C628" t="s">
        <v>125</v>
      </c>
      <c r="D628" t="s">
        <v>53</v>
      </c>
      <c r="E628">
        <v>1.0963069245599799</v>
      </c>
      <c r="F628">
        <v>1.0963069245599799</v>
      </c>
      <c r="G628">
        <v>0</v>
      </c>
      <c r="H628">
        <v>0</v>
      </c>
      <c r="I628" t="s">
        <v>126</v>
      </c>
    </row>
    <row r="629" spans="1:9" x14ac:dyDescent="0.35">
      <c r="A629" t="s">
        <v>17</v>
      </c>
      <c r="B629">
        <v>2035</v>
      </c>
      <c r="C629" t="s">
        <v>125</v>
      </c>
      <c r="D629" t="s">
        <v>54</v>
      </c>
      <c r="E629">
        <v>3.4555008508560099</v>
      </c>
      <c r="F629">
        <v>3.4549281816821802</v>
      </c>
      <c r="G629">
        <v>-5.7266917382881E-4</v>
      </c>
      <c r="H629">
        <v>-1.6572682182582701E-2</v>
      </c>
      <c r="I629" t="s">
        <v>126</v>
      </c>
    </row>
    <row r="630" spans="1:9" x14ac:dyDescent="0.35">
      <c r="A630" t="s">
        <v>17</v>
      </c>
      <c r="B630">
        <v>2035</v>
      </c>
      <c r="C630" t="s">
        <v>125</v>
      </c>
      <c r="D630" t="s">
        <v>55</v>
      </c>
      <c r="E630">
        <v>2.9895245580004302</v>
      </c>
      <c r="F630">
        <v>2.9894254622419001</v>
      </c>
      <c r="G630" s="1">
        <v>-9.9095758531397794E-5</v>
      </c>
      <c r="H630">
        <v>-3.3147664991144501E-3</v>
      </c>
      <c r="I630" t="s">
        <v>126</v>
      </c>
    </row>
    <row r="631" spans="1:9" x14ac:dyDescent="0.35">
      <c r="A631" t="s">
        <v>17</v>
      </c>
      <c r="B631">
        <v>2035</v>
      </c>
      <c r="C631" t="s">
        <v>125</v>
      </c>
      <c r="D631" t="s">
        <v>56</v>
      </c>
      <c r="E631" s="1">
        <v>2.81130522493764E-7</v>
      </c>
      <c r="F631" s="1">
        <v>2.81130522493764E-7</v>
      </c>
      <c r="G631">
        <v>0</v>
      </c>
      <c r="H631">
        <v>0</v>
      </c>
      <c r="I631" t="s">
        <v>126</v>
      </c>
    </row>
    <row r="632" spans="1:9" x14ac:dyDescent="0.35">
      <c r="A632" t="s">
        <v>19</v>
      </c>
      <c r="B632">
        <v>2040</v>
      </c>
      <c r="C632" t="s">
        <v>125</v>
      </c>
      <c r="D632" t="s">
        <v>38</v>
      </c>
      <c r="E632">
        <v>1.1594968134473801E-3</v>
      </c>
      <c r="F632">
        <v>1.1087799963125299E-3</v>
      </c>
      <c r="G632" s="1">
        <v>-5.0716817134848101E-5</v>
      </c>
      <c r="H632">
        <v>-4.3740367844615502</v>
      </c>
      <c r="I632" t="s">
        <v>126</v>
      </c>
    </row>
    <row r="633" spans="1:9" x14ac:dyDescent="0.35">
      <c r="A633" t="s">
        <v>19</v>
      </c>
      <c r="B633">
        <v>2040</v>
      </c>
      <c r="C633" t="s">
        <v>125</v>
      </c>
      <c r="D633" t="s">
        <v>40</v>
      </c>
      <c r="E633">
        <v>1.24280410088634E-2</v>
      </c>
      <c r="F633">
        <v>1.24280410088634E-2</v>
      </c>
      <c r="G633">
        <v>0</v>
      </c>
      <c r="H633">
        <v>0</v>
      </c>
      <c r="I633" t="s">
        <v>126</v>
      </c>
    </row>
    <row r="634" spans="1:9" x14ac:dyDescent="0.35">
      <c r="A634" t="s">
        <v>19</v>
      </c>
      <c r="B634">
        <v>2040</v>
      </c>
      <c r="C634" t="s">
        <v>125</v>
      </c>
      <c r="D634" t="s">
        <v>41</v>
      </c>
      <c r="E634">
        <v>0.163171909094637</v>
      </c>
      <c r="F634">
        <v>0.159737997132852</v>
      </c>
      <c r="G634">
        <v>-3.4339119617854898E-3</v>
      </c>
      <c r="H634">
        <v>-2.1044749557926998</v>
      </c>
      <c r="I634" t="s">
        <v>126</v>
      </c>
    </row>
    <row r="635" spans="1:9" x14ac:dyDescent="0.35">
      <c r="A635" t="s">
        <v>19</v>
      </c>
      <c r="B635">
        <v>2040</v>
      </c>
      <c r="C635" t="s">
        <v>125</v>
      </c>
      <c r="D635" t="s">
        <v>42</v>
      </c>
      <c r="E635">
        <v>42.7525265690875</v>
      </c>
      <c r="F635">
        <v>42.728788913034997</v>
      </c>
      <c r="G635">
        <v>-2.3737656052482198E-2</v>
      </c>
      <c r="H635">
        <v>-5.55233993343585E-2</v>
      </c>
      <c r="I635" t="s">
        <v>126</v>
      </c>
    </row>
    <row r="636" spans="1:9" x14ac:dyDescent="0.35">
      <c r="A636" t="s">
        <v>19</v>
      </c>
      <c r="B636">
        <v>2040</v>
      </c>
      <c r="C636" t="s">
        <v>125</v>
      </c>
      <c r="D636" t="s">
        <v>43</v>
      </c>
      <c r="E636">
        <v>5.3695700892342102E-2</v>
      </c>
      <c r="F636">
        <v>5.3695656073426599E-2</v>
      </c>
      <c r="G636" s="1">
        <v>-4.4818915523325802E-8</v>
      </c>
      <c r="H636" s="1">
        <v>-8.3468349939571604E-5</v>
      </c>
      <c r="I636" t="s">
        <v>126</v>
      </c>
    </row>
    <row r="637" spans="1:9" x14ac:dyDescent="0.35">
      <c r="A637" t="s">
        <v>19</v>
      </c>
      <c r="B637">
        <v>2040</v>
      </c>
      <c r="C637" t="s">
        <v>125</v>
      </c>
      <c r="D637" t="s">
        <v>136</v>
      </c>
      <c r="E637">
        <v>3.1523057793640699</v>
      </c>
      <c r="F637">
        <v>3.15190109409764</v>
      </c>
      <c r="G637">
        <v>-4.0468526643566699E-4</v>
      </c>
      <c r="H637">
        <v>-1.28377541634715E-2</v>
      </c>
      <c r="I637" t="s">
        <v>126</v>
      </c>
    </row>
    <row r="638" spans="1:9" x14ac:dyDescent="0.35">
      <c r="A638" t="s">
        <v>19</v>
      </c>
      <c r="B638">
        <v>2040</v>
      </c>
      <c r="C638" t="s">
        <v>125</v>
      </c>
      <c r="D638" t="s">
        <v>45</v>
      </c>
      <c r="E638">
        <v>4.9798691888890301E-2</v>
      </c>
      <c r="F638">
        <v>4.13128819125008E-2</v>
      </c>
      <c r="G638">
        <v>-8.4858099763895703E-3</v>
      </c>
      <c r="H638">
        <v>-17.0402266696541</v>
      </c>
      <c r="I638" t="s">
        <v>126</v>
      </c>
    </row>
    <row r="639" spans="1:9" x14ac:dyDescent="0.35">
      <c r="A639" t="s">
        <v>19</v>
      </c>
      <c r="B639">
        <v>2040</v>
      </c>
      <c r="C639" t="s">
        <v>125</v>
      </c>
      <c r="D639" t="s">
        <v>46</v>
      </c>
      <c r="E639">
        <v>0.19008244496639901</v>
      </c>
      <c r="F639">
        <v>0.19008244496639901</v>
      </c>
      <c r="G639">
        <v>0</v>
      </c>
      <c r="H639">
        <v>0</v>
      </c>
      <c r="I639" t="s">
        <v>126</v>
      </c>
    </row>
    <row r="640" spans="1:9" x14ac:dyDescent="0.35">
      <c r="A640" t="s">
        <v>19</v>
      </c>
      <c r="B640">
        <v>2040</v>
      </c>
      <c r="C640" t="s">
        <v>125</v>
      </c>
      <c r="D640" t="s">
        <v>47</v>
      </c>
      <c r="E640">
        <v>9.2425512564053101E-3</v>
      </c>
      <c r="F640">
        <v>9.2425512564053101E-3</v>
      </c>
      <c r="G640">
        <v>0</v>
      </c>
      <c r="H640">
        <v>0</v>
      </c>
      <c r="I640" t="s">
        <v>126</v>
      </c>
    </row>
    <row r="641" spans="1:9" x14ac:dyDescent="0.35">
      <c r="A641" t="s">
        <v>19</v>
      </c>
      <c r="B641">
        <v>2040</v>
      </c>
      <c r="C641" t="s">
        <v>125</v>
      </c>
      <c r="D641" t="s">
        <v>48</v>
      </c>
      <c r="E641">
        <v>19.621707168818201</v>
      </c>
      <c r="F641">
        <v>19.621707168818201</v>
      </c>
      <c r="G641">
        <v>0</v>
      </c>
      <c r="H641">
        <v>0</v>
      </c>
      <c r="I641" t="s">
        <v>126</v>
      </c>
    </row>
    <row r="642" spans="1:9" x14ac:dyDescent="0.35">
      <c r="A642" t="s">
        <v>19</v>
      </c>
      <c r="B642">
        <v>2040</v>
      </c>
      <c r="C642" t="s">
        <v>125</v>
      </c>
      <c r="D642" t="s">
        <v>49</v>
      </c>
      <c r="E642">
        <v>0.179788840325455</v>
      </c>
      <c r="F642">
        <v>0.13743861404332999</v>
      </c>
      <c r="G642">
        <v>-4.2350226282125897E-2</v>
      </c>
      <c r="H642">
        <v>-23.555536709321299</v>
      </c>
      <c r="I642" t="s">
        <v>126</v>
      </c>
    </row>
    <row r="643" spans="1:9" x14ac:dyDescent="0.35">
      <c r="A643" t="s">
        <v>19</v>
      </c>
      <c r="B643">
        <v>2040</v>
      </c>
      <c r="C643" t="s">
        <v>125</v>
      </c>
      <c r="D643" t="s">
        <v>50</v>
      </c>
      <c r="E643">
        <v>8.10413817059734E-2</v>
      </c>
      <c r="F643">
        <v>8.10413817059734E-2</v>
      </c>
      <c r="G643">
        <v>0</v>
      </c>
      <c r="H643">
        <v>0</v>
      </c>
      <c r="I643" t="s">
        <v>126</v>
      </c>
    </row>
    <row r="644" spans="1:9" x14ac:dyDescent="0.35">
      <c r="A644" t="s">
        <v>19</v>
      </c>
      <c r="B644">
        <v>2040</v>
      </c>
      <c r="C644" t="s">
        <v>125</v>
      </c>
      <c r="D644" t="s">
        <v>51</v>
      </c>
      <c r="E644">
        <v>0.33895279457620697</v>
      </c>
      <c r="F644">
        <v>0.33895279457620697</v>
      </c>
      <c r="G644">
        <v>0</v>
      </c>
      <c r="H644">
        <v>0</v>
      </c>
      <c r="I644" t="s">
        <v>126</v>
      </c>
    </row>
    <row r="645" spans="1:9" x14ac:dyDescent="0.35">
      <c r="A645" t="s">
        <v>19</v>
      </c>
      <c r="B645">
        <v>2040</v>
      </c>
      <c r="C645" t="s">
        <v>125</v>
      </c>
      <c r="D645" t="s">
        <v>52</v>
      </c>
      <c r="E645">
        <v>0.13807316304074299</v>
      </c>
      <c r="F645">
        <v>0.13807316304074299</v>
      </c>
      <c r="G645">
        <v>0</v>
      </c>
      <c r="H645">
        <v>0</v>
      </c>
      <c r="I645" t="s">
        <v>126</v>
      </c>
    </row>
    <row r="646" spans="1:9" x14ac:dyDescent="0.35">
      <c r="A646" t="s">
        <v>19</v>
      </c>
      <c r="B646">
        <v>2040</v>
      </c>
      <c r="C646" t="s">
        <v>125</v>
      </c>
      <c r="D646" t="s">
        <v>53</v>
      </c>
      <c r="E646">
        <v>0.99359659964325797</v>
      </c>
      <c r="F646">
        <v>0.99359659964325797</v>
      </c>
      <c r="G646">
        <v>0</v>
      </c>
      <c r="H646">
        <v>0</v>
      </c>
      <c r="I646" t="s">
        <v>126</v>
      </c>
    </row>
    <row r="647" spans="1:9" x14ac:dyDescent="0.35">
      <c r="A647" t="s">
        <v>19</v>
      </c>
      <c r="B647">
        <v>2040</v>
      </c>
      <c r="C647" t="s">
        <v>125</v>
      </c>
      <c r="D647" t="s">
        <v>54</v>
      </c>
      <c r="E647">
        <v>3.45804405534752</v>
      </c>
      <c r="F647">
        <v>3.4554472129160798</v>
      </c>
      <c r="G647">
        <v>-2.5968424314348698E-3</v>
      </c>
      <c r="H647">
        <v>-7.50957012077135E-2</v>
      </c>
      <c r="I647" t="s">
        <v>126</v>
      </c>
    </row>
    <row r="648" spans="1:9" x14ac:dyDescent="0.35">
      <c r="A648" t="s">
        <v>19</v>
      </c>
      <c r="B648">
        <v>2040</v>
      </c>
      <c r="C648" t="s">
        <v>125</v>
      </c>
      <c r="D648" t="s">
        <v>55</v>
      </c>
      <c r="E648">
        <v>2.9915349480991602</v>
      </c>
      <c r="F648">
        <v>2.9910830564915001</v>
      </c>
      <c r="G648">
        <v>-4.5189160766145799E-4</v>
      </c>
      <c r="H648">
        <v>-1.5105677035415901E-2</v>
      </c>
      <c r="I648" t="s">
        <v>126</v>
      </c>
    </row>
    <row r="649" spans="1:9" x14ac:dyDescent="0.35">
      <c r="A649" t="s">
        <v>19</v>
      </c>
      <c r="B649">
        <v>2040</v>
      </c>
      <c r="C649" t="s">
        <v>125</v>
      </c>
      <c r="D649" t="s">
        <v>56</v>
      </c>
      <c r="E649" s="1">
        <v>2.5695761224295701E-7</v>
      </c>
      <c r="F649" s="1">
        <v>2.5695761224295701E-7</v>
      </c>
      <c r="G649">
        <v>0</v>
      </c>
      <c r="H649">
        <v>0</v>
      </c>
      <c r="I649" t="s">
        <v>126</v>
      </c>
    </row>
    <row r="650" spans="1:9" x14ac:dyDescent="0.35">
      <c r="A650" t="s">
        <v>13</v>
      </c>
      <c r="B650">
        <v>2025</v>
      </c>
      <c r="C650" t="s">
        <v>85</v>
      </c>
      <c r="D650" t="s">
        <v>38</v>
      </c>
      <c r="E650">
        <v>2.2120281023088899E-4</v>
      </c>
      <c r="F650">
        <v>2.2120281023088899E-4</v>
      </c>
      <c r="G650">
        <v>0</v>
      </c>
      <c r="H650">
        <v>0</v>
      </c>
      <c r="I650" t="s">
        <v>86</v>
      </c>
    </row>
    <row r="651" spans="1:9" x14ac:dyDescent="0.35">
      <c r="A651" t="s">
        <v>13</v>
      </c>
      <c r="B651">
        <v>2025</v>
      </c>
      <c r="C651" t="s">
        <v>85</v>
      </c>
      <c r="D651" t="s">
        <v>40</v>
      </c>
      <c r="E651">
        <v>2.7221237952831798E-4</v>
      </c>
      <c r="F651">
        <v>2.7221237952831798E-4</v>
      </c>
      <c r="G651">
        <v>0</v>
      </c>
      <c r="H651">
        <v>0</v>
      </c>
      <c r="I651" t="s">
        <v>86</v>
      </c>
    </row>
    <row r="652" spans="1:9" x14ac:dyDescent="0.35">
      <c r="A652" t="s">
        <v>13</v>
      </c>
      <c r="B652">
        <v>2025</v>
      </c>
      <c r="C652" t="s">
        <v>85</v>
      </c>
      <c r="D652" t="s">
        <v>41</v>
      </c>
      <c r="E652">
        <v>4.1121158534998302E-3</v>
      </c>
      <c r="F652">
        <v>4.1121158534998302E-3</v>
      </c>
      <c r="G652">
        <v>0</v>
      </c>
      <c r="H652">
        <v>0</v>
      </c>
      <c r="I652" t="s">
        <v>86</v>
      </c>
    </row>
    <row r="653" spans="1:9" x14ac:dyDescent="0.35">
      <c r="A653" t="s">
        <v>13</v>
      </c>
      <c r="B653">
        <v>2025</v>
      </c>
      <c r="C653" t="s">
        <v>85</v>
      </c>
      <c r="D653" t="s">
        <v>42</v>
      </c>
      <c r="E653">
        <v>1.86533352553454</v>
      </c>
      <c r="F653">
        <v>1.86533352553454</v>
      </c>
      <c r="G653">
        <v>0</v>
      </c>
      <c r="H653">
        <v>0</v>
      </c>
      <c r="I653" t="s">
        <v>86</v>
      </c>
    </row>
    <row r="654" spans="1:9" x14ac:dyDescent="0.35">
      <c r="A654" t="s">
        <v>13</v>
      </c>
      <c r="B654">
        <v>2025</v>
      </c>
      <c r="C654" t="s">
        <v>85</v>
      </c>
      <c r="D654" t="s">
        <v>43</v>
      </c>
      <c r="E654">
        <v>7.1499436918362003E-4</v>
      </c>
      <c r="F654">
        <v>7.1499436918362003E-4</v>
      </c>
      <c r="G654">
        <v>0</v>
      </c>
      <c r="H654">
        <v>0</v>
      </c>
      <c r="I654" t="s">
        <v>86</v>
      </c>
    </row>
    <row r="655" spans="1:9" x14ac:dyDescent="0.35">
      <c r="A655" t="s">
        <v>13</v>
      </c>
      <c r="B655">
        <v>2025</v>
      </c>
      <c r="C655" t="s">
        <v>85</v>
      </c>
      <c r="D655" t="s">
        <v>136</v>
      </c>
      <c r="E655">
        <v>0.59960780530866697</v>
      </c>
      <c r="F655">
        <v>0.59960780530866697</v>
      </c>
      <c r="G655">
        <v>0</v>
      </c>
      <c r="H655">
        <v>0</v>
      </c>
      <c r="I655" t="s">
        <v>86</v>
      </c>
    </row>
    <row r="656" spans="1:9" x14ac:dyDescent="0.35">
      <c r="A656" t="s">
        <v>13</v>
      </c>
      <c r="B656">
        <v>2025</v>
      </c>
      <c r="C656" t="s">
        <v>85</v>
      </c>
      <c r="D656" t="s">
        <v>45</v>
      </c>
      <c r="E656">
        <v>5.6536437959061403E-3</v>
      </c>
      <c r="F656">
        <v>5.6536437959061403E-3</v>
      </c>
      <c r="G656">
        <v>0</v>
      </c>
      <c r="H656">
        <v>0</v>
      </c>
      <c r="I656" t="s">
        <v>86</v>
      </c>
    </row>
    <row r="657" spans="1:9" x14ac:dyDescent="0.35">
      <c r="A657" t="s">
        <v>13</v>
      </c>
      <c r="B657">
        <v>2025</v>
      </c>
      <c r="C657" t="s">
        <v>85</v>
      </c>
      <c r="D657" t="s">
        <v>46</v>
      </c>
      <c r="E657">
        <v>2.2399325461777898E-2</v>
      </c>
      <c r="F657">
        <v>2.2399325461777898E-2</v>
      </c>
      <c r="G657">
        <v>0</v>
      </c>
      <c r="H657">
        <v>0</v>
      </c>
      <c r="I657" t="s">
        <v>86</v>
      </c>
    </row>
    <row r="658" spans="1:9" x14ac:dyDescent="0.35">
      <c r="A658" t="s">
        <v>13</v>
      </c>
      <c r="B658">
        <v>2025</v>
      </c>
      <c r="C658" t="s">
        <v>85</v>
      </c>
      <c r="D658" t="s">
        <v>47</v>
      </c>
      <c r="E658">
        <v>2.6608045704725798E-4</v>
      </c>
      <c r="F658">
        <v>2.6608045704725798E-4</v>
      </c>
      <c r="G658">
        <v>0</v>
      </c>
      <c r="H658">
        <v>0</v>
      </c>
      <c r="I658" t="s">
        <v>86</v>
      </c>
    </row>
    <row r="659" spans="1:9" x14ac:dyDescent="0.35">
      <c r="A659" t="s">
        <v>13</v>
      </c>
      <c r="B659">
        <v>2025</v>
      </c>
      <c r="C659" t="s">
        <v>85</v>
      </c>
      <c r="D659" t="s">
        <v>48</v>
      </c>
      <c r="E659">
        <v>42.6859893922651</v>
      </c>
      <c r="F659">
        <v>42.6859893922651</v>
      </c>
      <c r="G659">
        <v>0</v>
      </c>
      <c r="H659">
        <v>0</v>
      </c>
      <c r="I659" t="s">
        <v>86</v>
      </c>
    </row>
    <row r="660" spans="1:9" x14ac:dyDescent="0.35">
      <c r="A660" t="s">
        <v>13</v>
      </c>
      <c r="B660">
        <v>2025</v>
      </c>
      <c r="C660" t="s">
        <v>85</v>
      </c>
      <c r="D660" t="s">
        <v>49</v>
      </c>
      <c r="E660">
        <v>2.37611390870614E-2</v>
      </c>
      <c r="F660">
        <v>2.37611390870614E-2</v>
      </c>
      <c r="G660">
        <v>0</v>
      </c>
      <c r="H660">
        <v>0</v>
      </c>
      <c r="I660" t="s">
        <v>86</v>
      </c>
    </row>
    <row r="661" spans="1:9" x14ac:dyDescent="0.35">
      <c r="A661" t="s">
        <v>13</v>
      </c>
      <c r="B661">
        <v>2025</v>
      </c>
      <c r="C661" t="s">
        <v>85</v>
      </c>
      <c r="D661" t="s">
        <v>50</v>
      </c>
      <c r="E661">
        <v>5.5569054273398597E-3</v>
      </c>
      <c r="F661">
        <v>5.5569054273398597E-3</v>
      </c>
      <c r="G661">
        <v>0</v>
      </c>
      <c r="H661">
        <v>0</v>
      </c>
      <c r="I661" t="s">
        <v>86</v>
      </c>
    </row>
    <row r="662" spans="1:9" x14ac:dyDescent="0.35">
      <c r="A662" t="s">
        <v>13</v>
      </c>
      <c r="B662">
        <v>2025</v>
      </c>
      <c r="C662" t="s">
        <v>85</v>
      </c>
      <c r="D662" t="s">
        <v>51</v>
      </c>
      <c r="E662">
        <v>3.6630236525183199E-2</v>
      </c>
      <c r="F662">
        <v>3.6630236525183199E-2</v>
      </c>
      <c r="G662">
        <v>0</v>
      </c>
      <c r="H662">
        <v>0</v>
      </c>
      <c r="I662" t="s">
        <v>86</v>
      </c>
    </row>
    <row r="663" spans="1:9" x14ac:dyDescent="0.35">
      <c r="A663" t="s">
        <v>13</v>
      </c>
      <c r="B663">
        <v>2025</v>
      </c>
      <c r="C663" t="s">
        <v>85</v>
      </c>
      <c r="D663" t="s">
        <v>52</v>
      </c>
      <c r="E663">
        <v>9.9951021881965293E-2</v>
      </c>
      <c r="F663">
        <v>9.9951021881965293E-2</v>
      </c>
      <c r="G663">
        <v>0</v>
      </c>
      <c r="H663">
        <v>0</v>
      </c>
      <c r="I663" t="s">
        <v>86</v>
      </c>
    </row>
    <row r="664" spans="1:9" x14ac:dyDescent="0.35">
      <c r="A664" t="s">
        <v>13</v>
      </c>
      <c r="B664">
        <v>2025</v>
      </c>
      <c r="C664" t="s">
        <v>85</v>
      </c>
      <c r="D664" t="s">
        <v>53</v>
      </c>
      <c r="E664">
        <v>0.25656148937439799</v>
      </c>
      <c r="F664">
        <v>0.25656148937439799</v>
      </c>
      <c r="G664">
        <v>0</v>
      </c>
      <c r="H664">
        <v>0</v>
      </c>
      <c r="I664" t="s">
        <v>86</v>
      </c>
    </row>
    <row r="665" spans="1:9" x14ac:dyDescent="0.35">
      <c r="A665" t="s">
        <v>13</v>
      </c>
      <c r="B665">
        <v>2025</v>
      </c>
      <c r="C665" t="s">
        <v>85</v>
      </c>
      <c r="D665" t="s">
        <v>54</v>
      </c>
      <c r="E665">
        <v>4.8838782919729401E-2</v>
      </c>
      <c r="F665">
        <v>4.8838782919729401E-2</v>
      </c>
      <c r="G665">
        <v>0</v>
      </c>
      <c r="H665">
        <v>0</v>
      </c>
      <c r="I665" t="s">
        <v>86</v>
      </c>
    </row>
    <row r="666" spans="1:9" x14ac:dyDescent="0.35">
      <c r="A666" t="s">
        <v>13</v>
      </c>
      <c r="B666">
        <v>2025</v>
      </c>
      <c r="C666" t="s">
        <v>85</v>
      </c>
      <c r="D666" t="s">
        <v>55</v>
      </c>
      <c r="E666">
        <v>4.5308865290098199E-2</v>
      </c>
      <c r="F666">
        <v>4.5308865290098199E-2</v>
      </c>
      <c r="G666">
        <v>0</v>
      </c>
      <c r="H666">
        <v>0</v>
      </c>
      <c r="I666" t="s">
        <v>86</v>
      </c>
    </row>
    <row r="667" spans="1:9" x14ac:dyDescent="0.35">
      <c r="A667" t="s">
        <v>13</v>
      </c>
      <c r="B667">
        <v>2025</v>
      </c>
      <c r="C667" t="s">
        <v>85</v>
      </c>
      <c r="D667" t="s">
        <v>56</v>
      </c>
      <c r="E667" s="1">
        <v>5.17181261414415E-8</v>
      </c>
      <c r="F667" s="1">
        <v>5.17181261414415E-8</v>
      </c>
      <c r="G667">
        <v>0</v>
      </c>
      <c r="H667">
        <v>0</v>
      </c>
      <c r="I667" t="s">
        <v>86</v>
      </c>
    </row>
    <row r="668" spans="1:9" x14ac:dyDescent="0.35">
      <c r="A668" t="s">
        <v>15</v>
      </c>
      <c r="B668">
        <v>2030</v>
      </c>
      <c r="C668" t="s">
        <v>85</v>
      </c>
      <c r="D668" t="s">
        <v>38</v>
      </c>
      <c r="E668">
        <v>2.3076740056615801E-4</v>
      </c>
      <c r="F668">
        <v>2.3076740056615801E-4</v>
      </c>
      <c r="G668">
        <v>0</v>
      </c>
      <c r="H668">
        <v>0</v>
      </c>
      <c r="I668" t="s">
        <v>86</v>
      </c>
    </row>
    <row r="669" spans="1:9" x14ac:dyDescent="0.35">
      <c r="A669" t="s">
        <v>15</v>
      </c>
      <c r="B669">
        <v>2030</v>
      </c>
      <c r="C669" t="s">
        <v>85</v>
      </c>
      <c r="D669" t="s">
        <v>40</v>
      </c>
      <c r="E669">
        <v>2.58999080916256E-4</v>
      </c>
      <c r="F669">
        <v>2.58999080916256E-4</v>
      </c>
      <c r="G669">
        <v>0</v>
      </c>
      <c r="H669">
        <v>0</v>
      </c>
      <c r="I669" t="s">
        <v>86</v>
      </c>
    </row>
    <row r="670" spans="1:9" x14ac:dyDescent="0.35">
      <c r="A670" t="s">
        <v>15</v>
      </c>
      <c r="B670">
        <v>2030</v>
      </c>
      <c r="C670" t="s">
        <v>85</v>
      </c>
      <c r="D670" t="s">
        <v>41</v>
      </c>
      <c r="E670">
        <v>3.9201385700853601E-3</v>
      </c>
      <c r="F670">
        <v>3.9201385700853601E-3</v>
      </c>
      <c r="G670">
        <v>0</v>
      </c>
      <c r="H670">
        <v>0</v>
      </c>
      <c r="I670" t="s">
        <v>86</v>
      </c>
    </row>
    <row r="671" spans="1:9" x14ac:dyDescent="0.35">
      <c r="A671" t="s">
        <v>15</v>
      </c>
      <c r="B671">
        <v>2030</v>
      </c>
      <c r="C671" t="s">
        <v>85</v>
      </c>
      <c r="D671" t="s">
        <v>42</v>
      </c>
      <c r="E671">
        <v>1.83356338441377</v>
      </c>
      <c r="F671">
        <v>1.83356338441377</v>
      </c>
      <c r="G671">
        <v>0</v>
      </c>
      <c r="H671">
        <v>0</v>
      </c>
      <c r="I671" t="s">
        <v>86</v>
      </c>
    </row>
    <row r="672" spans="1:9" x14ac:dyDescent="0.35">
      <c r="A672" t="s">
        <v>15</v>
      </c>
      <c r="B672">
        <v>2030</v>
      </c>
      <c r="C672" t="s">
        <v>85</v>
      </c>
      <c r="D672" t="s">
        <v>43</v>
      </c>
      <c r="E672">
        <v>6.4967234360171296E-4</v>
      </c>
      <c r="F672">
        <v>6.4967234360171296E-4</v>
      </c>
      <c r="G672">
        <v>0</v>
      </c>
      <c r="H672">
        <v>0</v>
      </c>
      <c r="I672" t="s">
        <v>86</v>
      </c>
    </row>
    <row r="673" spans="1:9" x14ac:dyDescent="0.35">
      <c r="A673" t="s">
        <v>15</v>
      </c>
      <c r="B673">
        <v>2030</v>
      </c>
      <c r="C673" t="s">
        <v>85</v>
      </c>
      <c r="D673" t="s">
        <v>136</v>
      </c>
      <c r="E673">
        <v>0.52540064890042804</v>
      </c>
      <c r="F673">
        <v>0.52540064890042804</v>
      </c>
      <c r="G673">
        <v>0</v>
      </c>
      <c r="H673">
        <v>0</v>
      </c>
      <c r="I673" t="s">
        <v>86</v>
      </c>
    </row>
    <row r="674" spans="1:9" x14ac:dyDescent="0.35">
      <c r="A674" t="s">
        <v>15</v>
      </c>
      <c r="B674">
        <v>2030</v>
      </c>
      <c r="C674" t="s">
        <v>85</v>
      </c>
      <c r="D674" t="s">
        <v>45</v>
      </c>
      <c r="E674">
        <v>5.4306171479079797E-3</v>
      </c>
      <c r="F674">
        <v>5.4306171479079797E-3</v>
      </c>
      <c r="G674">
        <v>0</v>
      </c>
      <c r="H674">
        <v>0</v>
      </c>
      <c r="I674" t="s">
        <v>86</v>
      </c>
    </row>
    <row r="675" spans="1:9" x14ac:dyDescent="0.35">
      <c r="A675" t="s">
        <v>15</v>
      </c>
      <c r="B675">
        <v>2030</v>
      </c>
      <c r="C675" t="s">
        <v>85</v>
      </c>
      <c r="D675" t="s">
        <v>46</v>
      </c>
      <c r="E675">
        <v>2.4897557865741601E-2</v>
      </c>
      <c r="F675">
        <v>2.4897557865741601E-2</v>
      </c>
      <c r="G675">
        <v>0</v>
      </c>
      <c r="H675">
        <v>0</v>
      </c>
      <c r="I675" t="s">
        <v>86</v>
      </c>
    </row>
    <row r="676" spans="1:9" x14ac:dyDescent="0.35">
      <c r="A676" t="s">
        <v>15</v>
      </c>
      <c r="B676">
        <v>2030</v>
      </c>
      <c r="C676" t="s">
        <v>85</v>
      </c>
      <c r="D676" t="s">
        <v>47</v>
      </c>
      <c r="E676">
        <v>2.20827941834058E-4</v>
      </c>
      <c r="F676">
        <v>2.20827941834058E-4</v>
      </c>
      <c r="G676">
        <v>0</v>
      </c>
      <c r="H676">
        <v>0</v>
      </c>
      <c r="I676" t="s">
        <v>86</v>
      </c>
    </row>
    <row r="677" spans="1:9" x14ac:dyDescent="0.35">
      <c r="A677" t="s">
        <v>15</v>
      </c>
      <c r="B677">
        <v>2030</v>
      </c>
      <c r="C677" t="s">
        <v>85</v>
      </c>
      <c r="D677" t="s">
        <v>48</v>
      </c>
      <c r="E677">
        <v>42.685912849766197</v>
      </c>
      <c r="F677">
        <v>42.685912849766197</v>
      </c>
      <c r="G677">
        <v>0</v>
      </c>
      <c r="H677">
        <v>0</v>
      </c>
      <c r="I677" t="s">
        <v>86</v>
      </c>
    </row>
    <row r="678" spans="1:9" x14ac:dyDescent="0.35">
      <c r="A678" t="s">
        <v>15</v>
      </c>
      <c r="B678">
        <v>2030</v>
      </c>
      <c r="C678" t="s">
        <v>85</v>
      </c>
      <c r="D678" t="s">
        <v>49</v>
      </c>
      <c r="E678">
        <v>2.3473796248848398E-2</v>
      </c>
      <c r="F678">
        <v>2.3473796248848398E-2</v>
      </c>
      <c r="G678">
        <v>0</v>
      </c>
      <c r="H678">
        <v>0</v>
      </c>
      <c r="I678" t="s">
        <v>86</v>
      </c>
    </row>
    <row r="679" spans="1:9" x14ac:dyDescent="0.35">
      <c r="A679" t="s">
        <v>15</v>
      </c>
      <c r="B679">
        <v>2030</v>
      </c>
      <c r="C679" t="s">
        <v>85</v>
      </c>
      <c r="D679" t="s">
        <v>50</v>
      </c>
      <c r="E679">
        <v>5.3701327706871397E-3</v>
      </c>
      <c r="F679">
        <v>5.3701327706871397E-3</v>
      </c>
      <c r="G679">
        <v>0</v>
      </c>
      <c r="H679">
        <v>0</v>
      </c>
      <c r="I679" t="s">
        <v>86</v>
      </c>
    </row>
    <row r="680" spans="1:9" x14ac:dyDescent="0.35">
      <c r="A680" t="s">
        <v>15</v>
      </c>
      <c r="B680">
        <v>2030</v>
      </c>
      <c r="C680" t="s">
        <v>85</v>
      </c>
      <c r="D680" t="s">
        <v>51</v>
      </c>
      <c r="E680">
        <v>3.6910483069187698E-2</v>
      </c>
      <c r="F680">
        <v>3.6910483069187698E-2</v>
      </c>
      <c r="G680">
        <v>0</v>
      </c>
      <c r="H680">
        <v>0</v>
      </c>
      <c r="I680" t="s">
        <v>86</v>
      </c>
    </row>
    <row r="681" spans="1:9" x14ac:dyDescent="0.35">
      <c r="A681" t="s">
        <v>15</v>
      </c>
      <c r="B681">
        <v>2030</v>
      </c>
      <c r="C681" t="s">
        <v>85</v>
      </c>
      <c r="D681" t="s">
        <v>52</v>
      </c>
      <c r="E681">
        <v>8.8454958782776705E-2</v>
      </c>
      <c r="F681">
        <v>8.8454958782776705E-2</v>
      </c>
      <c r="G681">
        <v>0</v>
      </c>
      <c r="H681">
        <v>0</v>
      </c>
      <c r="I681" t="s">
        <v>86</v>
      </c>
    </row>
    <row r="682" spans="1:9" x14ac:dyDescent="0.35">
      <c r="A682" t="s">
        <v>15</v>
      </c>
      <c r="B682">
        <v>2030</v>
      </c>
      <c r="C682" t="s">
        <v>85</v>
      </c>
      <c r="D682" t="s">
        <v>53</v>
      </c>
      <c r="E682">
        <v>0.23556592061780801</v>
      </c>
      <c r="F682">
        <v>0.23556592061780801</v>
      </c>
      <c r="G682">
        <v>0</v>
      </c>
      <c r="H682">
        <v>0</v>
      </c>
      <c r="I682" t="s">
        <v>86</v>
      </c>
    </row>
    <row r="683" spans="1:9" x14ac:dyDescent="0.35">
      <c r="A683" t="s">
        <v>15</v>
      </c>
      <c r="B683">
        <v>2030</v>
      </c>
      <c r="C683" t="s">
        <v>85</v>
      </c>
      <c r="D683" t="s">
        <v>54</v>
      </c>
      <c r="E683">
        <v>4.8660205424485001E-2</v>
      </c>
      <c r="F683">
        <v>4.8660205424485001E-2</v>
      </c>
      <c r="G683">
        <v>0</v>
      </c>
      <c r="H683">
        <v>0</v>
      </c>
      <c r="I683" t="s">
        <v>86</v>
      </c>
    </row>
    <row r="684" spans="1:9" x14ac:dyDescent="0.35">
      <c r="A684" t="s">
        <v>15</v>
      </c>
      <c r="B684">
        <v>2030</v>
      </c>
      <c r="C684" t="s">
        <v>85</v>
      </c>
      <c r="D684" t="s">
        <v>55</v>
      </c>
      <c r="E684">
        <v>4.5059627582495897E-2</v>
      </c>
      <c r="F684">
        <v>4.5059627582495897E-2</v>
      </c>
      <c r="G684">
        <v>0</v>
      </c>
      <c r="H684">
        <v>0</v>
      </c>
      <c r="I684" t="s">
        <v>86</v>
      </c>
    </row>
    <row r="685" spans="1:9" x14ac:dyDescent="0.35">
      <c r="A685" t="s">
        <v>15</v>
      </c>
      <c r="B685">
        <v>2030</v>
      </c>
      <c r="C685" t="s">
        <v>85</v>
      </c>
      <c r="D685" t="s">
        <v>56</v>
      </c>
      <c r="E685" s="1">
        <v>4.6833663021262899E-8</v>
      </c>
      <c r="F685" s="1">
        <v>4.6833663021262899E-8</v>
      </c>
      <c r="G685">
        <v>0</v>
      </c>
      <c r="H685">
        <v>0</v>
      </c>
      <c r="I685" t="s">
        <v>86</v>
      </c>
    </row>
    <row r="686" spans="1:9" x14ac:dyDescent="0.35">
      <c r="A686" t="s">
        <v>17</v>
      </c>
      <c r="B686">
        <v>2035</v>
      </c>
      <c r="C686" t="s">
        <v>85</v>
      </c>
      <c r="D686" t="s">
        <v>38</v>
      </c>
      <c r="E686">
        <v>2.9048406182759998E-4</v>
      </c>
      <c r="F686">
        <v>2.9048406182759998E-4</v>
      </c>
      <c r="G686">
        <v>0</v>
      </c>
      <c r="H686">
        <v>0</v>
      </c>
      <c r="I686" t="s">
        <v>86</v>
      </c>
    </row>
    <row r="687" spans="1:9" x14ac:dyDescent="0.35">
      <c r="A687" t="s">
        <v>17</v>
      </c>
      <c r="B687">
        <v>2035</v>
      </c>
      <c r="C687" t="s">
        <v>85</v>
      </c>
      <c r="D687" t="s">
        <v>40</v>
      </c>
      <c r="E687">
        <v>2.4799742374143698E-4</v>
      </c>
      <c r="F687">
        <v>2.4799742374143698E-4</v>
      </c>
      <c r="G687">
        <v>0</v>
      </c>
      <c r="H687">
        <v>0</v>
      </c>
      <c r="I687" t="s">
        <v>86</v>
      </c>
    </row>
    <row r="688" spans="1:9" x14ac:dyDescent="0.35">
      <c r="A688" t="s">
        <v>17</v>
      </c>
      <c r="B688">
        <v>2035</v>
      </c>
      <c r="C688" t="s">
        <v>85</v>
      </c>
      <c r="D688" t="s">
        <v>41</v>
      </c>
      <c r="E688">
        <v>3.7970086471862501E-3</v>
      </c>
      <c r="F688">
        <v>3.7970086471862501E-3</v>
      </c>
      <c r="G688">
        <v>0</v>
      </c>
      <c r="H688">
        <v>0</v>
      </c>
      <c r="I688" t="s">
        <v>86</v>
      </c>
    </row>
    <row r="689" spans="1:9" x14ac:dyDescent="0.35">
      <c r="A689" t="s">
        <v>17</v>
      </c>
      <c r="B689">
        <v>2035</v>
      </c>
      <c r="C689" t="s">
        <v>85</v>
      </c>
      <c r="D689" t="s">
        <v>42</v>
      </c>
      <c r="E689">
        <v>1.8107980358140101</v>
      </c>
      <c r="F689">
        <v>1.8107980358140101</v>
      </c>
      <c r="G689">
        <v>0</v>
      </c>
      <c r="H689">
        <v>0</v>
      </c>
      <c r="I689" t="s">
        <v>86</v>
      </c>
    </row>
    <row r="690" spans="1:9" x14ac:dyDescent="0.35">
      <c r="A690" t="s">
        <v>17</v>
      </c>
      <c r="B690">
        <v>2035</v>
      </c>
      <c r="C690" t="s">
        <v>85</v>
      </c>
      <c r="D690" t="s">
        <v>43</v>
      </c>
      <c r="E690">
        <v>6.1999804187907396E-4</v>
      </c>
      <c r="F690">
        <v>6.1999804187907396E-4</v>
      </c>
      <c r="G690">
        <v>0</v>
      </c>
      <c r="H690">
        <v>0</v>
      </c>
      <c r="I690" t="s">
        <v>86</v>
      </c>
    </row>
    <row r="691" spans="1:9" x14ac:dyDescent="0.35">
      <c r="A691" t="s">
        <v>17</v>
      </c>
      <c r="B691">
        <v>2035</v>
      </c>
      <c r="C691" t="s">
        <v>85</v>
      </c>
      <c r="D691" t="s">
        <v>136</v>
      </c>
      <c r="E691">
        <v>0.46870290250098601</v>
      </c>
      <c r="F691">
        <v>0.46870290250098601</v>
      </c>
      <c r="G691">
        <v>0</v>
      </c>
      <c r="H691">
        <v>0</v>
      </c>
      <c r="I691" t="s">
        <v>86</v>
      </c>
    </row>
    <row r="692" spans="1:9" x14ac:dyDescent="0.35">
      <c r="A692" t="s">
        <v>17</v>
      </c>
      <c r="B692">
        <v>2035</v>
      </c>
      <c r="C692" t="s">
        <v>85</v>
      </c>
      <c r="D692" t="s">
        <v>45</v>
      </c>
      <c r="E692">
        <v>5.2726430161865604E-3</v>
      </c>
      <c r="F692">
        <v>5.2726430161865604E-3</v>
      </c>
      <c r="G692">
        <v>0</v>
      </c>
      <c r="H692">
        <v>0</v>
      </c>
      <c r="I692" t="s">
        <v>86</v>
      </c>
    </row>
    <row r="693" spans="1:9" x14ac:dyDescent="0.35">
      <c r="A693" t="s">
        <v>17</v>
      </c>
      <c r="B693">
        <v>2035</v>
      </c>
      <c r="C693" t="s">
        <v>85</v>
      </c>
      <c r="D693" t="s">
        <v>46</v>
      </c>
      <c r="E693">
        <v>3.30033649922373E-2</v>
      </c>
      <c r="F693">
        <v>3.30033649922373E-2</v>
      </c>
      <c r="G693">
        <v>0</v>
      </c>
      <c r="H693">
        <v>0</v>
      </c>
      <c r="I693" t="s">
        <v>86</v>
      </c>
    </row>
    <row r="694" spans="1:9" x14ac:dyDescent="0.35">
      <c r="A694" t="s">
        <v>17</v>
      </c>
      <c r="B694">
        <v>2035</v>
      </c>
      <c r="C694" t="s">
        <v>85</v>
      </c>
      <c r="D694" t="s">
        <v>47</v>
      </c>
      <c r="E694">
        <v>1.85488611353731E-4</v>
      </c>
      <c r="F694">
        <v>1.85488611353731E-4</v>
      </c>
      <c r="G694">
        <v>0</v>
      </c>
      <c r="H694">
        <v>0</v>
      </c>
      <c r="I694" t="s">
        <v>86</v>
      </c>
    </row>
    <row r="695" spans="1:9" x14ac:dyDescent="0.35">
      <c r="A695" t="s">
        <v>17</v>
      </c>
      <c r="B695">
        <v>2035</v>
      </c>
      <c r="C695" t="s">
        <v>85</v>
      </c>
      <c r="D695" t="s">
        <v>48</v>
      </c>
      <c r="E695">
        <v>42.685883214838199</v>
      </c>
      <c r="F695">
        <v>42.685883214838199</v>
      </c>
      <c r="G695">
        <v>0</v>
      </c>
      <c r="H695">
        <v>0</v>
      </c>
      <c r="I695" t="s">
        <v>86</v>
      </c>
    </row>
    <row r="696" spans="1:9" x14ac:dyDescent="0.35">
      <c r="A696" t="s">
        <v>17</v>
      </c>
      <c r="B696">
        <v>2035</v>
      </c>
      <c r="C696" t="s">
        <v>85</v>
      </c>
      <c r="D696" t="s">
        <v>49</v>
      </c>
      <c r="E696">
        <v>2.3288337454484501E-2</v>
      </c>
      <c r="F696">
        <v>2.3288337454484501E-2</v>
      </c>
      <c r="G696">
        <v>0</v>
      </c>
      <c r="H696">
        <v>0</v>
      </c>
      <c r="I696" t="s">
        <v>86</v>
      </c>
    </row>
    <row r="697" spans="1:9" x14ac:dyDescent="0.35">
      <c r="A697" t="s">
        <v>17</v>
      </c>
      <c r="B697">
        <v>2035</v>
      </c>
      <c r="C697" t="s">
        <v>85</v>
      </c>
      <c r="D697" t="s">
        <v>50</v>
      </c>
      <c r="E697">
        <v>5.4013336937638202E-3</v>
      </c>
      <c r="F697">
        <v>5.4013336937638202E-3</v>
      </c>
      <c r="G697">
        <v>0</v>
      </c>
      <c r="H697">
        <v>0</v>
      </c>
      <c r="I697" t="s">
        <v>86</v>
      </c>
    </row>
    <row r="698" spans="1:9" x14ac:dyDescent="0.35">
      <c r="A698" t="s">
        <v>17</v>
      </c>
      <c r="B698">
        <v>2035</v>
      </c>
      <c r="C698" t="s">
        <v>85</v>
      </c>
      <c r="D698" t="s">
        <v>51</v>
      </c>
      <c r="E698">
        <v>3.7426832136779303E-2</v>
      </c>
      <c r="F698">
        <v>3.7426832136779303E-2</v>
      </c>
      <c r="G698">
        <v>0</v>
      </c>
      <c r="H698">
        <v>0</v>
      </c>
      <c r="I698" t="s">
        <v>86</v>
      </c>
    </row>
    <row r="699" spans="1:9" x14ac:dyDescent="0.35">
      <c r="A699" t="s">
        <v>17</v>
      </c>
      <c r="B699">
        <v>2035</v>
      </c>
      <c r="C699" t="s">
        <v>85</v>
      </c>
      <c r="D699" t="s">
        <v>52</v>
      </c>
      <c r="E699">
        <v>7.6203337752086597E-2</v>
      </c>
      <c r="F699">
        <v>7.6203337752086597E-2</v>
      </c>
      <c r="G699">
        <v>0</v>
      </c>
      <c r="H699">
        <v>0</v>
      </c>
      <c r="I699" t="s">
        <v>86</v>
      </c>
    </row>
    <row r="700" spans="1:9" x14ac:dyDescent="0.35">
      <c r="A700" t="s">
        <v>17</v>
      </c>
      <c r="B700">
        <v>2035</v>
      </c>
      <c r="C700" t="s">
        <v>85</v>
      </c>
      <c r="D700" t="s">
        <v>53</v>
      </c>
      <c r="E700">
        <v>0.21919246662102199</v>
      </c>
      <c r="F700">
        <v>0.21919246662102199</v>
      </c>
      <c r="G700">
        <v>0</v>
      </c>
      <c r="H700">
        <v>0</v>
      </c>
      <c r="I700" t="s">
        <v>86</v>
      </c>
    </row>
    <row r="701" spans="1:9" x14ac:dyDescent="0.35">
      <c r="A701" t="s">
        <v>17</v>
      </c>
      <c r="B701">
        <v>2035</v>
      </c>
      <c r="C701" t="s">
        <v>85</v>
      </c>
      <c r="D701" t="s">
        <v>54</v>
      </c>
      <c r="E701">
        <v>4.8618454274719301E-2</v>
      </c>
      <c r="F701">
        <v>4.8618454274719301E-2</v>
      </c>
      <c r="G701">
        <v>0</v>
      </c>
      <c r="H701">
        <v>0</v>
      </c>
      <c r="I701" t="s">
        <v>86</v>
      </c>
    </row>
    <row r="702" spans="1:9" x14ac:dyDescent="0.35">
      <c r="A702" t="s">
        <v>17</v>
      </c>
      <c r="B702">
        <v>2035</v>
      </c>
      <c r="C702" t="s">
        <v>85</v>
      </c>
      <c r="D702" t="s">
        <v>55</v>
      </c>
      <c r="E702">
        <v>4.4966887075341501E-2</v>
      </c>
      <c r="F702">
        <v>4.4966887075341501E-2</v>
      </c>
      <c r="G702">
        <v>0</v>
      </c>
      <c r="H702">
        <v>0</v>
      </c>
      <c r="I702" t="s">
        <v>86</v>
      </c>
    </row>
    <row r="703" spans="1:9" x14ac:dyDescent="0.35">
      <c r="A703" t="s">
        <v>17</v>
      </c>
      <c r="B703">
        <v>2035</v>
      </c>
      <c r="C703" t="s">
        <v>85</v>
      </c>
      <c r="D703" t="s">
        <v>56</v>
      </c>
      <c r="E703" s="1">
        <v>4.3805714867125102E-8</v>
      </c>
      <c r="F703" s="1">
        <v>4.3805714867125102E-8</v>
      </c>
      <c r="G703">
        <v>0</v>
      </c>
      <c r="H703">
        <v>0</v>
      </c>
      <c r="I703" t="s">
        <v>86</v>
      </c>
    </row>
    <row r="704" spans="1:9" x14ac:dyDescent="0.35">
      <c r="A704" t="s">
        <v>19</v>
      </c>
      <c r="B704">
        <v>2040</v>
      </c>
      <c r="C704" t="s">
        <v>85</v>
      </c>
      <c r="D704" t="s">
        <v>38</v>
      </c>
      <c r="E704">
        <v>3.80971926573181E-4</v>
      </c>
      <c r="F704">
        <v>3.8096959786850898E-4</v>
      </c>
      <c r="G704" s="1">
        <v>-2.3287046719113199E-9</v>
      </c>
      <c r="H704">
        <v>-6.1125361463189103E-4</v>
      </c>
      <c r="I704" t="s">
        <v>86</v>
      </c>
    </row>
    <row r="705" spans="1:9" x14ac:dyDescent="0.35">
      <c r="A705" t="s">
        <v>19</v>
      </c>
      <c r="B705">
        <v>2040</v>
      </c>
      <c r="C705" t="s">
        <v>85</v>
      </c>
      <c r="D705" t="s">
        <v>40</v>
      </c>
      <c r="E705">
        <v>2.3785073924986099E-4</v>
      </c>
      <c r="F705">
        <v>2.3785073924986099E-4</v>
      </c>
      <c r="G705">
        <v>0</v>
      </c>
      <c r="H705">
        <v>0</v>
      </c>
      <c r="I705" t="s">
        <v>86</v>
      </c>
    </row>
    <row r="706" spans="1:9" x14ac:dyDescent="0.35">
      <c r="A706" t="s">
        <v>19</v>
      </c>
      <c r="B706">
        <v>2040</v>
      </c>
      <c r="C706" t="s">
        <v>85</v>
      </c>
      <c r="D706" t="s">
        <v>41</v>
      </c>
      <c r="E706">
        <v>3.7236464316463399E-3</v>
      </c>
      <c r="F706">
        <v>3.6533987921928798E-3</v>
      </c>
      <c r="G706" s="1">
        <v>-7.0247639453466503E-5</v>
      </c>
      <c r="H706">
        <v>-1.8865281852876601</v>
      </c>
      <c r="I706" t="s">
        <v>86</v>
      </c>
    </row>
    <row r="707" spans="1:9" x14ac:dyDescent="0.35">
      <c r="A707" t="s">
        <v>19</v>
      </c>
      <c r="B707">
        <v>2040</v>
      </c>
      <c r="C707" t="s">
        <v>85</v>
      </c>
      <c r="D707" t="s">
        <v>42</v>
      </c>
      <c r="E707">
        <v>1.80273113124729</v>
      </c>
      <c r="F707">
        <v>0.45001979849505802</v>
      </c>
      <c r="G707">
        <v>-1.35271133275223</v>
      </c>
      <c r="H707">
        <v>-75.036776660993496</v>
      </c>
      <c r="I707" t="s">
        <v>86</v>
      </c>
    </row>
    <row r="708" spans="1:9" x14ac:dyDescent="0.35">
      <c r="A708" t="s">
        <v>19</v>
      </c>
      <c r="B708">
        <v>2040</v>
      </c>
      <c r="C708" t="s">
        <v>85</v>
      </c>
      <c r="D708" t="s">
        <v>43</v>
      </c>
      <c r="E708">
        <v>6.1781645015604502E-4</v>
      </c>
      <c r="F708">
        <v>6.1781645015604502E-4</v>
      </c>
      <c r="G708">
        <v>0</v>
      </c>
      <c r="H708">
        <v>0</v>
      </c>
      <c r="I708" t="s">
        <v>86</v>
      </c>
    </row>
    <row r="709" spans="1:9" x14ac:dyDescent="0.35">
      <c r="A709" t="s">
        <v>19</v>
      </c>
      <c r="B709">
        <v>2040</v>
      </c>
      <c r="C709" t="s">
        <v>85</v>
      </c>
      <c r="D709" t="s">
        <v>136</v>
      </c>
      <c r="E709">
        <v>0.43413180780608401</v>
      </c>
      <c r="F709">
        <v>0.43413180780608401</v>
      </c>
      <c r="G709">
        <v>0</v>
      </c>
      <c r="H709">
        <v>0</v>
      </c>
      <c r="I709" t="s">
        <v>86</v>
      </c>
    </row>
    <row r="710" spans="1:9" x14ac:dyDescent="0.35">
      <c r="A710" t="s">
        <v>19</v>
      </c>
      <c r="B710">
        <v>2040</v>
      </c>
      <c r="C710" t="s">
        <v>85</v>
      </c>
      <c r="D710" t="s">
        <v>45</v>
      </c>
      <c r="E710">
        <v>5.1997234745494603E-3</v>
      </c>
      <c r="F710">
        <v>5.0264459535694301E-3</v>
      </c>
      <c r="G710">
        <v>-1.7327752098003001E-4</v>
      </c>
      <c r="H710">
        <v>-3.3324372310980199</v>
      </c>
      <c r="I710" t="s">
        <v>86</v>
      </c>
    </row>
    <row r="711" spans="1:9" x14ac:dyDescent="0.35">
      <c r="A711" t="s">
        <v>19</v>
      </c>
      <c r="B711">
        <v>2040</v>
      </c>
      <c r="C711" t="s">
        <v>85</v>
      </c>
      <c r="D711" t="s">
        <v>46</v>
      </c>
      <c r="E711">
        <v>4.3796413790255902E-2</v>
      </c>
      <c r="F711">
        <v>4.3796413790255902E-2</v>
      </c>
      <c r="G711">
        <v>0</v>
      </c>
      <c r="H711">
        <v>0</v>
      </c>
      <c r="I711" t="s">
        <v>86</v>
      </c>
    </row>
    <row r="712" spans="1:9" x14ac:dyDescent="0.35">
      <c r="A712" t="s">
        <v>19</v>
      </c>
      <c r="B712">
        <v>2040</v>
      </c>
      <c r="C712" t="s">
        <v>85</v>
      </c>
      <c r="D712" t="s">
        <v>47</v>
      </c>
      <c r="E712">
        <v>1.7213156243220699E-4</v>
      </c>
      <c r="F712">
        <v>1.7213156243220699E-4</v>
      </c>
      <c r="G712">
        <v>0</v>
      </c>
      <c r="H712">
        <v>0</v>
      </c>
      <c r="I712" t="s">
        <v>86</v>
      </c>
    </row>
    <row r="713" spans="1:9" x14ac:dyDescent="0.35">
      <c r="A713" t="s">
        <v>19</v>
      </c>
      <c r="B713">
        <v>2040</v>
      </c>
      <c r="C713" t="s">
        <v>85</v>
      </c>
      <c r="D713" t="s">
        <v>48</v>
      </c>
      <c r="E713">
        <v>42.686560235587301</v>
      </c>
      <c r="F713">
        <v>42.686560235587301</v>
      </c>
      <c r="G713">
        <v>0</v>
      </c>
      <c r="H713">
        <v>0</v>
      </c>
      <c r="I713" t="s">
        <v>86</v>
      </c>
    </row>
    <row r="714" spans="1:9" x14ac:dyDescent="0.35">
      <c r="A714" t="s">
        <v>19</v>
      </c>
      <c r="B714">
        <v>2040</v>
      </c>
      <c r="C714" t="s">
        <v>85</v>
      </c>
      <c r="D714" t="s">
        <v>49</v>
      </c>
      <c r="E714">
        <v>2.31994286361537E-2</v>
      </c>
      <c r="F714">
        <v>2.2333041044163799E-2</v>
      </c>
      <c r="G714">
        <v>-8.6638759198996295E-4</v>
      </c>
      <c r="H714">
        <v>-3.7345212486819301</v>
      </c>
      <c r="I714" t="s">
        <v>86</v>
      </c>
    </row>
    <row r="715" spans="1:9" x14ac:dyDescent="0.35">
      <c r="A715" t="s">
        <v>19</v>
      </c>
      <c r="B715">
        <v>2040</v>
      </c>
      <c r="C715" t="s">
        <v>85</v>
      </c>
      <c r="D715" t="s">
        <v>50</v>
      </c>
      <c r="E715">
        <v>5.6093347818734198E-3</v>
      </c>
      <c r="F715">
        <v>5.6093347818734198E-3</v>
      </c>
      <c r="G715">
        <v>0</v>
      </c>
      <c r="H715">
        <v>0</v>
      </c>
      <c r="I715" t="s">
        <v>86</v>
      </c>
    </row>
    <row r="716" spans="1:9" x14ac:dyDescent="0.35">
      <c r="A716" t="s">
        <v>19</v>
      </c>
      <c r="B716">
        <v>2040</v>
      </c>
      <c r="C716" t="s">
        <v>85</v>
      </c>
      <c r="D716" t="s">
        <v>51</v>
      </c>
      <c r="E716">
        <v>3.8043617990137099E-2</v>
      </c>
      <c r="F716">
        <v>3.8043617990137099E-2</v>
      </c>
      <c r="G716">
        <v>0</v>
      </c>
      <c r="H716">
        <v>0</v>
      </c>
      <c r="I716" t="s">
        <v>86</v>
      </c>
    </row>
    <row r="717" spans="1:9" x14ac:dyDescent="0.35">
      <c r="A717" t="s">
        <v>19</v>
      </c>
      <c r="B717">
        <v>2040</v>
      </c>
      <c r="C717" t="s">
        <v>85</v>
      </c>
      <c r="D717" t="s">
        <v>52</v>
      </c>
      <c r="E717">
        <v>6.5344003644398893E-2</v>
      </c>
      <c r="F717">
        <v>6.5344003644398893E-2</v>
      </c>
      <c r="G717">
        <v>0</v>
      </c>
      <c r="H717">
        <v>0</v>
      </c>
      <c r="I717" t="s">
        <v>86</v>
      </c>
    </row>
    <row r="718" spans="1:9" x14ac:dyDescent="0.35">
      <c r="A718" t="s">
        <v>19</v>
      </c>
      <c r="B718">
        <v>2040</v>
      </c>
      <c r="C718" t="s">
        <v>85</v>
      </c>
      <c r="D718" t="s">
        <v>53</v>
      </c>
      <c r="E718">
        <v>0.207774175015628</v>
      </c>
      <c r="F718">
        <v>0.207774175015628</v>
      </c>
      <c r="G718">
        <v>0</v>
      </c>
      <c r="H718">
        <v>0</v>
      </c>
      <c r="I718" t="s">
        <v>86</v>
      </c>
    </row>
    <row r="719" spans="1:9" x14ac:dyDescent="0.35">
      <c r="A719" t="s">
        <v>19</v>
      </c>
      <c r="B719">
        <v>2040</v>
      </c>
      <c r="C719" t="s">
        <v>85</v>
      </c>
      <c r="D719" t="s">
        <v>54</v>
      </c>
      <c r="E719">
        <v>4.8918243225825601E-2</v>
      </c>
      <c r="F719">
        <v>4.16681632182603E-2</v>
      </c>
      <c r="G719">
        <v>-7.2500800075652903E-3</v>
      </c>
      <c r="H719">
        <v>-14.8208102529277</v>
      </c>
      <c r="I719" t="s">
        <v>86</v>
      </c>
    </row>
    <row r="720" spans="1:9" x14ac:dyDescent="0.35">
      <c r="A720" t="s">
        <v>19</v>
      </c>
      <c r="B720">
        <v>2040</v>
      </c>
      <c r="C720" t="s">
        <v>85</v>
      </c>
      <c r="D720" t="s">
        <v>55</v>
      </c>
      <c r="E720">
        <v>4.52063434015317E-2</v>
      </c>
      <c r="F720">
        <v>3.8058285254302701E-2</v>
      </c>
      <c r="G720">
        <v>-7.1480581472290403E-3</v>
      </c>
      <c r="H720">
        <v>-15.8120688588735</v>
      </c>
      <c r="I720" t="s">
        <v>86</v>
      </c>
    </row>
    <row r="721" spans="1:9" x14ac:dyDescent="0.35">
      <c r="A721" t="s">
        <v>19</v>
      </c>
      <c r="B721">
        <v>2040</v>
      </c>
      <c r="C721" t="s">
        <v>85</v>
      </c>
      <c r="D721" t="s">
        <v>56</v>
      </c>
      <c r="E721" s="1">
        <v>4.1699513898228303E-8</v>
      </c>
      <c r="F721" s="1">
        <v>4.1699513898228303E-8</v>
      </c>
      <c r="G721">
        <v>0</v>
      </c>
      <c r="H721">
        <v>0</v>
      </c>
      <c r="I721" t="s">
        <v>86</v>
      </c>
    </row>
    <row r="722" spans="1:9" x14ac:dyDescent="0.35">
      <c r="A722" t="s">
        <v>13</v>
      </c>
      <c r="B722">
        <v>2025</v>
      </c>
      <c r="C722" t="s">
        <v>72</v>
      </c>
      <c r="D722" t="s">
        <v>38</v>
      </c>
      <c r="E722">
        <v>2.22428244635895E-3</v>
      </c>
      <c r="F722">
        <v>2.22428244635895E-3</v>
      </c>
      <c r="G722">
        <v>0</v>
      </c>
      <c r="H722">
        <v>0</v>
      </c>
      <c r="I722" t="s">
        <v>73</v>
      </c>
    </row>
    <row r="723" spans="1:9" x14ac:dyDescent="0.35">
      <c r="A723" t="s">
        <v>13</v>
      </c>
      <c r="B723">
        <v>2025</v>
      </c>
      <c r="C723" t="s">
        <v>72</v>
      </c>
      <c r="D723" t="s">
        <v>40</v>
      </c>
      <c r="E723">
        <v>1.2774768024919701E-3</v>
      </c>
      <c r="F723">
        <v>1.2774768024919701E-3</v>
      </c>
      <c r="G723">
        <v>0</v>
      </c>
      <c r="H723">
        <v>0</v>
      </c>
      <c r="I723" t="s">
        <v>73</v>
      </c>
    </row>
    <row r="724" spans="1:9" x14ac:dyDescent="0.35">
      <c r="A724" t="s">
        <v>13</v>
      </c>
      <c r="B724">
        <v>2025</v>
      </c>
      <c r="C724" t="s">
        <v>72</v>
      </c>
      <c r="D724" t="s">
        <v>41</v>
      </c>
      <c r="E724">
        <v>3.5439545249852399E-2</v>
      </c>
      <c r="F724">
        <v>3.5439545249852399E-2</v>
      </c>
      <c r="G724">
        <v>0</v>
      </c>
      <c r="H724">
        <v>0</v>
      </c>
      <c r="I724" t="s">
        <v>73</v>
      </c>
    </row>
    <row r="725" spans="1:9" x14ac:dyDescent="0.35">
      <c r="A725" t="s">
        <v>13</v>
      </c>
      <c r="B725">
        <v>2025</v>
      </c>
      <c r="C725" t="s">
        <v>72</v>
      </c>
      <c r="D725" t="s">
        <v>42</v>
      </c>
      <c r="E725">
        <v>5.3463603560558797</v>
      </c>
      <c r="F725">
        <v>5.3463603560558797</v>
      </c>
      <c r="G725">
        <v>0</v>
      </c>
      <c r="H725">
        <v>0</v>
      </c>
      <c r="I725" t="s">
        <v>73</v>
      </c>
    </row>
    <row r="726" spans="1:9" x14ac:dyDescent="0.35">
      <c r="A726" t="s">
        <v>13</v>
      </c>
      <c r="B726">
        <v>2025</v>
      </c>
      <c r="C726" t="s">
        <v>72</v>
      </c>
      <c r="D726" t="s">
        <v>43</v>
      </c>
      <c r="E726">
        <v>3.9430543900809398E-2</v>
      </c>
      <c r="F726">
        <v>3.9430543900809398E-2</v>
      </c>
      <c r="G726">
        <v>0</v>
      </c>
      <c r="H726">
        <v>0</v>
      </c>
      <c r="I726" t="s">
        <v>73</v>
      </c>
    </row>
    <row r="727" spans="1:9" x14ac:dyDescent="0.35">
      <c r="A727" t="s">
        <v>13</v>
      </c>
      <c r="B727">
        <v>2025</v>
      </c>
      <c r="C727" t="s">
        <v>72</v>
      </c>
      <c r="D727" t="s">
        <v>136</v>
      </c>
      <c r="E727">
        <v>8.2276346014233805</v>
      </c>
      <c r="F727">
        <v>8.2276346014233805</v>
      </c>
      <c r="G727">
        <v>0</v>
      </c>
      <c r="H727">
        <v>0</v>
      </c>
      <c r="I727" t="s">
        <v>73</v>
      </c>
    </row>
    <row r="728" spans="1:9" x14ac:dyDescent="0.35">
      <c r="A728" t="s">
        <v>13</v>
      </c>
      <c r="B728">
        <v>2025</v>
      </c>
      <c r="C728" t="s">
        <v>72</v>
      </c>
      <c r="D728" t="s">
        <v>45</v>
      </c>
      <c r="E728">
        <v>3.3933455948380702E-2</v>
      </c>
      <c r="F728">
        <v>3.3933455948380702E-2</v>
      </c>
      <c r="G728">
        <v>0</v>
      </c>
      <c r="H728">
        <v>0</v>
      </c>
      <c r="I728" t="s">
        <v>73</v>
      </c>
    </row>
    <row r="729" spans="1:9" x14ac:dyDescent="0.35">
      <c r="A729" t="s">
        <v>13</v>
      </c>
      <c r="B729">
        <v>2025</v>
      </c>
      <c r="C729" t="s">
        <v>72</v>
      </c>
      <c r="D729" t="s">
        <v>46</v>
      </c>
      <c r="E729">
        <v>0.193466286101942</v>
      </c>
      <c r="F729">
        <v>0.193466286101942</v>
      </c>
      <c r="G729">
        <v>0</v>
      </c>
      <c r="H729">
        <v>0</v>
      </c>
      <c r="I729" t="s">
        <v>73</v>
      </c>
    </row>
    <row r="730" spans="1:9" x14ac:dyDescent="0.35">
      <c r="A730" t="s">
        <v>13</v>
      </c>
      <c r="B730">
        <v>2025</v>
      </c>
      <c r="C730" t="s">
        <v>72</v>
      </c>
      <c r="D730" t="s">
        <v>47</v>
      </c>
      <c r="E730">
        <v>5.3495855819415796E-3</v>
      </c>
      <c r="F730">
        <v>5.3495855819415796E-3</v>
      </c>
      <c r="G730">
        <v>0</v>
      </c>
      <c r="H730">
        <v>0</v>
      </c>
      <c r="I730" t="s">
        <v>73</v>
      </c>
    </row>
    <row r="731" spans="1:9" x14ac:dyDescent="0.35">
      <c r="A731" t="s">
        <v>13</v>
      </c>
      <c r="B731">
        <v>2025</v>
      </c>
      <c r="C731" t="s">
        <v>72</v>
      </c>
      <c r="D731" t="s">
        <v>48</v>
      </c>
      <c r="E731">
        <v>1.1844539021345999</v>
      </c>
      <c r="F731">
        <v>1.1844539021345999</v>
      </c>
      <c r="G731">
        <v>0</v>
      </c>
      <c r="H731">
        <v>0</v>
      </c>
      <c r="I731" t="s">
        <v>73</v>
      </c>
    </row>
    <row r="732" spans="1:9" x14ac:dyDescent="0.35">
      <c r="A732" t="s">
        <v>13</v>
      </c>
      <c r="B732">
        <v>2025</v>
      </c>
      <c r="C732" t="s">
        <v>72</v>
      </c>
      <c r="D732" t="s">
        <v>49</v>
      </c>
      <c r="E732">
        <v>6.1400648537477703E-2</v>
      </c>
      <c r="F732">
        <v>6.1400648537477703E-2</v>
      </c>
      <c r="G732">
        <v>0</v>
      </c>
      <c r="H732">
        <v>0</v>
      </c>
      <c r="I732" t="s">
        <v>73</v>
      </c>
    </row>
    <row r="733" spans="1:9" x14ac:dyDescent="0.35">
      <c r="A733" t="s">
        <v>13</v>
      </c>
      <c r="B733">
        <v>2025</v>
      </c>
      <c r="C733" t="s">
        <v>72</v>
      </c>
      <c r="D733" t="s">
        <v>50</v>
      </c>
      <c r="E733">
        <v>0.13528745261264299</v>
      </c>
      <c r="F733">
        <v>0.13528745261264299</v>
      </c>
      <c r="G733">
        <v>0</v>
      </c>
      <c r="H733">
        <v>0</v>
      </c>
      <c r="I733" t="s">
        <v>73</v>
      </c>
    </row>
    <row r="734" spans="1:9" x14ac:dyDescent="0.35">
      <c r="A734" t="s">
        <v>13</v>
      </c>
      <c r="B734">
        <v>2025</v>
      </c>
      <c r="C734" t="s">
        <v>72</v>
      </c>
      <c r="D734" t="s">
        <v>51</v>
      </c>
      <c r="E734">
        <v>0.23202654212132501</v>
      </c>
      <c r="F734">
        <v>0.23202654212132501</v>
      </c>
      <c r="G734">
        <v>0</v>
      </c>
      <c r="H734">
        <v>0</v>
      </c>
      <c r="I734" t="s">
        <v>73</v>
      </c>
    </row>
    <row r="735" spans="1:9" x14ac:dyDescent="0.35">
      <c r="A735" t="s">
        <v>13</v>
      </c>
      <c r="B735">
        <v>2025</v>
      </c>
      <c r="C735" t="s">
        <v>72</v>
      </c>
      <c r="D735" t="s">
        <v>52</v>
      </c>
      <c r="E735">
        <v>0.63449316657295596</v>
      </c>
      <c r="F735">
        <v>0.63449316657295596</v>
      </c>
      <c r="G735">
        <v>0</v>
      </c>
      <c r="H735">
        <v>0</v>
      </c>
      <c r="I735" t="s">
        <v>73</v>
      </c>
    </row>
    <row r="736" spans="1:9" x14ac:dyDescent="0.35">
      <c r="A736" t="s">
        <v>13</v>
      </c>
      <c r="B736">
        <v>2025</v>
      </c>
      <c r="C736" t="s">
        <v>72</v>
      </c>
      <c r="D736" t="s">
        <v>53</v>
      </c>
      <c r="E736">
        <v>2.6003264194719899</v>
      </c>
      <c r="F736">
        <v>2.6003264194719899</v>
      </c>
      <c r="G736">
        <v>0</v>
      </c>
      <c r="H736">
        <v>0</v>
      </c>
      <c r="I736" t="s">
        <v>73</v>
      </c>
    </row>
    <row r="737" spans="1:9" x14ac:dyDescent="0.35">
      <c r="A737" t="s">
        <v>13</v>
      </c>
      <c r="B737">
        <v>2025</v>
      </c>
      <c r="C737" t="s">
        <v>72</v>
      </c>
      <c r="D737" t="s">
        <v>54</v>
      </c>
      <c r="E737">
        <v>0.87418402112193505</v>
      </c>
      <c r="F737">
        <v>0.87418402112193505</v>
      </c>
      <c r="G737">
        <v>0</v>
      </c>
      <c r="H737">
        <v>0</v>
      </c>
      <c r="I737" t="s">
        <v>73</v>
      </c>
    </row>
    <row r="738" spans="1:9" x14ac:dyDescent="0.35">
      <c r="A738" t="s">
        <v>13</v>
      </c>
      <c r="B738">
        <v>2025</v>
      </c>
      <c r="C738" t="s">
        <v>72</v>
      </c>
      <c r="D738" t="s">
        <v>55</v>
      </c>
      <c r="E738">
        <v>0.52536825912996399</v>
      </c>
      <c r="F738">
        <v>0.52536825912996399</v>
      </c>
      <c r="G738">
        <v>0</v>
      </c>
      <c r="H738">
        <v>0</v>
      </c>
      <c r="I738" t="s">
        <v>73</v>
      </c>
    </row>
    <row r="739" spans="1:9" x14ac:dyDescent="0.35">
      <c r="A739" t="s">
        <v>13</v>
      </c>
      <c r="B739">
        <v>2025</v>
      </c>
      <c r="C739" t="s">
        <v>72</v>
      </c>
      <c r="D739" t="s">
        <v>56</v>
      </c>
      <c r="E739" s="1">
        <v>1.0120321726676001E-6</v>
      </c>
      <c r="F739" s="1">
        <v>1.0120321726676001E-6</v>
      </c>
      <c r="G739">
        <v>0</v>
      </c>
      <c r="H739">
        <v>0</v>
      </c>
      <c r="I739" t="s">
        <v>73</v>
      </c>
    </row>
    <row r="740" spans="1:9" x14ac:dyDescent="0.35">
      <c r="A740" t="s">
        <v>15</v>
      </c>
      <c r="B740">
        <v>2030</v>
      </c>
      <c r="C740" t="s">
        <v>72</v>
      </c>
      <c r="D740" t="s">
        <v>38</v>
      </c>
      <c r="E740">
        <v>2.26923493197668E-3</v>
      </c>
      <c r="F740">
        <v>2.26923493197668E-3</v>
      </c>
      <c r="G740">
        <v>0</v>
      </c>
      <c r="H740">
        <v>0</v>
      </c>
      <c r="I740" t="s">
        <v>73</v>
      </c>
    </row>
    <row r="741" spans="1:9" x14ac:dyDescent="0.35">
      <c r="A741" t="s">
        <v>15</v>
      </c>
      <c r="B741">
        <v>2030</v>
      </c>
      <c r="C741" t="s">
        <v>72</v>
      </c>
      <c r="D741" t="s">
        <v>40</v>
      </c>
      <c r="E741">
        <v>1.2036945935138699E-3</v>
      </c>
      <c r="F741">
        <v>1.2036945935138699E-3</v>
      </c>
      <c r="G741">
        <v>0</v>
      </c>
      <c r="H741">
        <v>0</v>
      </c>
      <c r="I741" t="s">
        <v>73</v>
      </c>
    </row>
    <row r="742" spans="1:9" x14ac:dyDescent="0.35">
      <c r="A742" t="s">
        <v>15</v>
      </c>
      <c r="B742">
        <v>2030</v>
      </c>
      <c r="C742" t="s">
        <v>72</v>
      </c>
      <c r="D742" t="s">
        <v>41</v>
      </c>
      <c r="E742">
        <v>3.41083018259387E-2</v>
      </c>
      <c r="F742">
        <v>3.3156966643243503E-2</v>
      </c>
      <c r="G742">
        <v>-9.5133518269520303E-4</v>
      </c>
      <c r="H742">
        <v>-2.7891602095878301</v>
      </c>
      <c r="I742" t="s">
        <v>73</v>
      </c>
    </row>
    <row r="743" spans="1:9" x14ac:dyDescent="0.35">
      <c r="A743" t="s">
        <v>15</v>
      </c>
      <c r="B743">
        <v>2030</v>
      </c>
      <c r="C743" t="s">
        <v>72</v>
      </c>
      <c r="D743" t="s">
        <v>42</v>
      </c>
      <c r="E743">
        <v>5.1716191194674597</v>
      </c>
      <c r="F743">
        <v>5.1716191194674597</v>
      </c>
      <c r="G743">
        <v>0</v>
      </c>
      <c r="H743">
        <v>0</v>
      </c>
      <c r="I743" t="s">
        <v>73</v>
      </c>
    </row>
    <row r="744" spans="1:9" x14ac:dyDescent="0.35">
      <c r="A744" t="s">
        <v>15</v>
      </c>
      <c r="B744">
        <v>2030</v>
      </c>
      <c r="C744" t="s">
        <v>72</v>
      </c>
      <c r="D744" t="s">
        <v>43</v>
      </c>
      <c r="E744">
        <v>3.8985034980566401E-2</v>
      </c>
      <c r="F744">
        <v>1.8283033868571E-2</v>
      </c>
      <c r="G744">
        <v>-2.07020011119954E-2</v>
      </c>
      <c r="H744">
        <v>-53.102430515491598</v>
      </c>
      <c r="I744" t="s">
        <v>73</v>
      </c>
    </row>
    <row r="745" spans="1:9" x14ac:dyDescent="0.35">
      <c r="A745" t="s">
        <v>15</v>
      </c>
      <c r="B745">
        <v>2030</v>
      </c>
      <c r="C745" t="s">
        <v>72</v>
      </c>
      <c r="D745" t="s">
        <v>136</v>
      </c>
      <c r="E745">
        <v>7.4986687226822104</v>
      </c>
      <c r="F745">
        <v>7.4986687226822104</v>
      </c>
      <c r="G745">
        <v>0</v>
      </c>
      <c r="H745">
        <v>0</v>
      </c>
      <c r="I745" t="s">
        <v>73</v>
      </c>
    </row>
    <row r="746" spans="1:9" x14ac:dyDescent="0.35">
      <c r="A746" t="s">
        <v>15</v>
      </c>
      <c r="B746">
        <v>2030</v>
      </c>
      <c r="C746" t="s">
        <v>72</v>
      </c>
      <c r="D746" t="s">
        <v>45</v>
      </c>
      <c r="E746">
        <v>2.3460964358515999E-2</v>
      </c>
      <c r="F746">
        <v>2.2871460172838101E-2</v>
      </c>
      <c r="G746">
        <v>-5.8950418567794603E-4</v>
      </c>
      <c r="H746">
        <v>-2.5127022771506899</v>
      </c>
      <c r="I746" t="s">
        <v>73</v>
      </c>
    </row>
    <row r="747" spans="1:9" x14ac:dyDescent="0.35">
      <c r="A747" t="s">
        <v>15</v>
      </c>
      <c r="B747">
        <v>2030</v>
      </c>
      <c r="C747" t="s">
        <v>72</v>
      </c>
      <c r="D747" t="s">
        <v>46</v>
      </c>
      <c r="E747">
        <v>0.206205700921753</v>
      </c>
      <c r="F747">
        <v>0.206205700921753</v>
      </c>
      <c r="G747">
        <v>0</v>
      </c>
      <c r="H747">
        <v>0</v>
      </c>
      <c r="I747" t="s">
        <v>73</v>
      </c>
    </row>
    <row r="748" spans="1:9" x14ac:dyDescent="0.35">
      <c r="A748" t="s">
        <v>15</v>
      </c>
      <c r="B748">
        <v>2030</v>
      </c>
      <c r="C748" t="s">
        <v>72</v>
      </c>
      <c r="D748" t="s">
        <v>47</v>
      </c>
      <c r="E748">
        <v>5.1304930641462099E-3</v>
      </c>
      <c r="F748">
        <v>3.0236955693181702E-3</v>
      </c>
      <c r="G748">
        <v>-2.1067974948280302E-3</v>
      </c>
      <c r="H748">
        <v>-41.0642304450447</v>
      </c>
      <c r="I748" t="s">
        <v>73</v>
      </c>
    </row>
    <row r="749" spans="1:9" x14ac:dyDescent="0.35">
      <c r="A749" t="s">
        <v>15</v>
      </c>
      <c r="B749">
        <v>2030</v>
      </c>
      <c r="C749" t="s">
        <v>72</v>
      </c>
      <c r="D749" t="s">
        <v>48</v>
      </c>
      <c r="E749">
        <v>1.1861767111538499</v>
      </c>
      <c r="F749">
        <v>1.1861767111538499</v>
      </c>
      <c r="G749">
        <v>0</v>
      </c>
      <c r="H749">
        <v>0</v>
      </c>
      <c r="I749" t="s">
        <v>73</v>
      </c>
    </row>
    <row r="750" spans="1:9" x14ac:dyDescent="0.35">
      <c r="A750" t="s">
        <v>15</v>
      </c>
      <c r="B750">
        <v>2030</v>
      </c>
      <c r="C750" t="s">
        <v>72</v>
      </c>
      <c r="D750" t="s">
        <v>49</v>
      </c>
      <c r="E750">
        <v>5.9529189397486901E-2</v>
      </c>
      <c r="F750">
        <v>5.8933920846271602E-2</v>
      </c>
      <c r="G750">
        <v>-5.9526855121526303E-4</v>
      </c>
      <c r="H750">
        <v>-0.99996078770794306</v>
      </c>
      <c r="I750" t="s">
        <v>73</v>
      </c>
    </row>
    <row r="751" spans="1:9" x14ac:dyDescent="0.35">
      <c r="A751" t="s">
        <v>15</v>
      </c>
      <c r="B751">
        <v>2030</v>
      </c>
      <c r="C751" t="s">
        <v>72</v>
      </c>
      <c r="D751" t="s">
        <v>50</v>
      </c>
      <c r="E751">
        <v>0.13355015876134699</v>
      </c>
      <c r="F751">
        <v>0.13355015876134699</v>
      </c>
      <c r="G751">
        <v>0</v>
      </c>
      <c r="H751">
        <v>0</v>
      </c>
      <c r="I751" t="s">
        <v>73</v>
      </c>
    </row>
    <row r="752" spans="1:9" x14ac:dyDescent="0.35">
      <c r="A752" t="s">
        <v>15</v>
      </c>
      <c r="B752">
        <v>2030</v>
      </c>
      <c r="C752" t="s">
        <v>72</v>
      </c>
      <c r="D752" t="s">
        <v>51</v>
      </c>
      <c r="E752">
        <v>0.234050409448811</v>
      </c>
      <c r="F752">
        <v>0.234050409448811</v>
      </c>
      <c r="G752">
        <v>0</v>
      </c>
      <c r="H752">
        <v>0</v>
      </c>
      <c r="I752" t="s">
        <v>73</v>
      </c>
    </row>
    <row r="753" spans="1:9" x14ac:dyDescent="0.35">
      <c r="A753" t="s">
        <v>15</v>
      </c>
      <c r="B753">
        <v>2030</v>
      </c>
      <c r="C753" t="s">
        <v>72</v>
      </c>
      <c r="D753" t="s">
        <v>52</v>
      </c>
      <c r="E753">
        <v>0.62165926001836402</v>
      </c>
      <c r="F753">
        <v>0.62165926001836402</v>
      </c>
      <c r="G753">
        <v>0</v>
      </c>
      <c r="H753">
        <v>0</v>
      </c>
      <c r="I753" t="s">
        <v>73</v>
      </c>
    </row>
    <row r="754" spans="1:9" x14ac:dyDescent="0.35">
      <c r="A754" t="s">
        <v>15</v>
      </c>
      <c r="B754">
        <v>2030</v>
      </c>
      <c r="C754" t="s">
        <v>72</v>
      </c>
      <c r="D754" t="s">
        <v>53</v>
      </c>
      <c r="E754">
        <v>2.4365778688730799</v>
      </c>
      <c r="F754">
        <v>2.4365778688730799</v>
      </c>
      <c r="G754">
        <v>0</v>
      </c>
      <c r="H754">
        <v>0</v>
      </c>
      <c r="I754" t="s">
        <v>73</v>
      </c>
    </row>
    <row r="755" spans="1:9" x14ac:dyDescent="0.35">
      <c r="A755" t="s">
        <v>15</v>
      </c>
      <c r="B755">
        <v>2030</v>
      </c>
      <c r="C755" t="s">
        <v>72</v>
      </c>
      <c r="D755" t="s">
        <v>54</v>
      </c>
      <c r="E755">
        <v>0.87619971817748499</v>
      </c>
      <c r="F755">
        <v>0.64478394551232499</v>
      </c>
      <c r="G755">
        <v>-0.23141577266516</v>
      </c>
      <c r="H755">
        <v>-26.411304165505701</v>
      </c>
      <c r="I755" t="s">
        <v>73</v>
      </c>
    </row>
    <row r="756" spans="1:9" x14ac:dyDescent="0.35">
      <c r="A756" t="s">
        <v>15</v>
      </c>
      <c r="B756">
        <v>2030</v>
      </c>
      <c r="C756" t="s">
        <v>72</v>
      </c>
      <c r="D756" t="s">
        <v>55</v>
      </c>
      <c r="E756">
        <v>0.526454131131323</v>
      </c>
      <c r="F756">
        <v>0.51232055877363303</v>
      </c>
      <c r="G756">
        <v>-1.41335723576898E-2</v>
      </c>
      <c r="H756">
        <v>-2.6846730839242299</v>
      </c>
      <c r="I756" t="s">
        <v>73</v>
      </c>
    </row>
    <row r="757" spans="1:9" x14ac:dyDescent="0.35">
      <c r="A757" t="s">
        <v>15</v>
      </c>
      <c r="B757">
        <v>2030</v>
      </c>
      <c r="C757" t="s">
        <v>72</v>
      </c>
      <c r="D757" t="s">
        <v>56</v>
      </c>
      <c r="E757" s="1">
        <v>9.8199655147072391E-7</v>
      </c>
      <c r="F757" s="1">
        <v>9.8199655147072391E-7</v>
      </c>
      <c r="G757">
        <v>0</v>
      </c>
      <c r="H757">
        <v>0</v>
      </c>
      <c r="I757" t="s">
        <v>73</v>
      </c>
    </row>
    <row r="758" spans="1:9" x14ac:dyDescent="0.35">
      <c r="A758" t="s">
        <v>17</v>
      </c>
      <c r="B758">
        <v>2035</v>
      </c>
      <c r="C758" t="s">
        <v>72</v>
      </c>
      <c r="D758" t="s">
        <v>38</v>
      </c>
      <c r="E758">
        <v>2.6464719621605202E-3</v>
      </c>
      <c r="F758">
        <v>2.6464719621605202E-3</v>
      </c>
      <c r="G758">
        <v>0</v>
      </c>
      <c r="H758">
        <v>0</v>
      </c>
      <c r="I758" t="s">
        <v>73</v>
      </c>
    </row>
    <row r="759" spans="1:9" x14ac:dyDescent="0.35">
      <c r="A759" t="s">
        <v>17</v>
      </c>
      <c r="B759">
        <v>2035</v>
      </c>
      <c r="C759" t="s">
        <v>72</v>
      </c>
      <c r="D759" t="s">
        <v>40</v>
      </c>
      <c r="E759">
        <v>1.14192593330832E-3</v>
      </c>
      <c r="F759">
        <v>1.14192593330832E-3</v>
      </c>
      <c r="G759">
        <v>0</v>
      </c>
      <c r="H759">
        <v>0</v>
      </c>
      <c r="I759" t="s">
        <v>73</v>
      </c>
    </row>
    <row r="760" spans="1:9" x14ac:dyDescent="0.35">
      <c r="A760" t="s">
        <v>17</v>
      </c>
      <c r="B760">
        <v>2035</v>
      </c>
      <c r="C760" t="s">
        <v>72</v>
      </c>
      <c r="D760" t="s">
        <v>41</v>
      </c>
      <c r="E760">
        <v>3.3188773627787597E-2</v>
      </c>
      <c r="F760">
        <v>3.2929486229467203E-2</v>
      </c>
      <c r="G760">
        <v>-2.5928739832040099E-4</v>
      </c>
      <c r="H760">
        <v>-0.781250314423519</v>
      </c>
      <c r="I760" t="s">
        <v>73</v>
      </c>
    </row>
    <row r="761" spans="1:9" x14ac:dyDescent="0.35">
      <c r="A761" t="s">
        <v>17</v>
      </c>
      <c r="B761">
        <v>2035</v>
      </c>
      <c r="C761" t="s">
        <v>72</v>
      </c>
      <c r="D761" t="s">
        <v>42</v>
      </c>
      <c r="E761">
        <v>5.0525974690367104</v>
      </c>
      <c r="F761">
        <v>5.0525974690367104</v>
      </c>
      <c r="G761">
        <v>0</v>
      </c>
      <c r="H761">
        <v>0</v>
      </c>
      <c r="I761" t="s">
        <v>73</v>
      </c>
    </row>
    <row r="762" spans="1:9" x14ac:dyDescent="0.35">
      <c r="A762" t="s">
        <v>17</v>
      </c>
      <c r="B762">
        <v>2035</v>
      </c>
      <c r="C762" t="s">
        <v>72</v>
      </c>
      <c r="D762" t="s">
        <v>43</v>
      </c>
      <c r="E762">
        <v>3.8753246193380803E-2</v>
      </c>
      <c r="F762">
        <v>3.3180129118939701E-2</v>
      </c>
      <c r="G762">
        <v>-5.5731170744410998E-3</v>
      </c>
      <c r="H762">
        <v>-14.3810328730422</v>
      </c>
      <c r="I762" t="s">
        <v>73</v>
      </c>
    </row>
    <row r="763" spans="1:9" x14ac:dyDescent="0.35">
      <c r="A763" t="s">
        <v>17</v>
      </c>
      <c r="B763">
        <v>2035</v>
      </c>
      <c r="C763" t="s">
        <v>72</v>
      </c>
      <c r="D763" t="s">
        <v>136</v>
      </c>
      <c r="E763">
        <v>6.9533592840387097</v>
      </c>
      <c r="F763">
        <v>6.9533592840387097</v>
      </c>
      <c r="G763">
        <v>0</v>
      </c>
      <c r="H763">
        <v>0</v>
      </c>
      <c r="I763" t="s">
        <v>73</v>
      </c>
    </row>
    <row r="764" spans="1:9" x14ac:dyDescent="0.35">
      <c r="A764" t="s">
        <v>17</v>
      </c>
      <c r="B764">
        <v>2035</v>
      </c>
      <c r="C764" t="s">
        <v>72</v>
      </c>
      <c r="D764" t="s">
        <v>45</v>
      </c>
      <c r="E764">
        <v>2.90887334561791E-2</v>
      </c>
      <c r="F764">
        <v>2.8924064266753799E-2</v>
      </c>
      <c r="G764">
        <v>-1.64669189425269E-4</v>
      </c>
      <c r="H764">
        <v>-0.56609267527352602</v>
      </c>
      <c r="I764" t="s">
        <v>73</v>
      </c>
    </row>
    <row r="765" spans="1:9" x14ac:dyDescent="0.35">
      <c r="A765" t="s">
        <v>17</v>
      </c>
      <c r="B765">
        <v>2035</v>
      </c>
      <c r="C765" t="s">
        <v>72</v>
      </c>
      <c r="D765" t="s">
        <v>46</v>
      </c>
      <c r="E765">
        <v>0.25509959578474001</v>
      </c>
      <c r="F765">
        <v>0.25509959578474001</v>
      </c>
      <c r="G765">
        <v>0</v>
      </c>
      <c r="H765">
        <v>0</v>
      </c>
      <c r="I765" t="s">
        <v>73</v>
      </c>
    </row>
    <row r="766" spans="1:9" x14ac:dyDescent="0.35">
      <c r="A766" t="s">
        <v>17</v>
      </c>
      <c r="B766">
        <v>2035</v>
      </c>
      <c r="C766" t="s">
        <v>72</v>
      </c>
      <c r="D766" t="s">
        <v>47</v>
      </c>
      <c r="E766">
        <v>4.9610615712105399E-3</v>
      </c>
      <c r="F766">
        <v>4.4114704325930202E-3</v>
      </c>
      <c r="G766">
        <v>-5.4959113861752196E-4</v>
      </c>
      <c r="H766">
        <v>-11.078095498891701</v>
      </c>
      <c r="I766" t="s">
        <v>73</v>
      </c>
    </row>
    <row r="767" spans="1:9" x14ac:dyDescent="0.35">
      <c r="A767" t="s">
        <v>17</v>
      </c>
      <c r="B767">
        <v>2035</v>
      </c>
      <c r="C767" t="s">
        <v>72</v>
      </c>
      <c r="D767" t="s">
        <v>48</v>
      </c>
      <c r="E767">
        <v>1.18790698759271</v>
      </c>
      <c r="F767">
        <v>1.18790698759271</v>
      </c>
      <c r="G767">
        <v>0</v>
      </c>
      <c r="H767">
        <v>0</v>
      </c>
      <c r="I767" t="s">
        <v>73</v>
      </c>
    </row>
    <row r="768" spans="1:9" x14ac:dyDescent="0.35">
      <c r="A768" t="s">
        <v>17</v>
      </c>
      <c r="B768">
        <v>2035</v>
      </c>
      <c r="C768" t="s">
        <v>72</v>
      </c>
      <c r="D768" t="s">
        <v>49</v>
      </c>
      <c r="E768">
        <v>5.8363980408921101E-2</v>
      </c>
      <c r="F768">
        <v>5.82015262157069E-2</v>
      </c>
      <c r="G768">
        <v>-1.6245419321412401E-4</v>
      </c>
      <c r="H768">
        <v>-0.27834666531635799</v>
      </c>
      <c r="I768" t="s">
        <v>73</v>
      </c>
    </row>
    <row r="769" spans="1:9" x14ac:dyDescent="0.35">
      <c r="A769" t="s">
        <v>17</v>
      </c>
      <c r="B769">
        <v>2035</v>
      </c>
      <c r="C769" t="s">
        <v>72</v>
      </c>
      <c r="D769" t="s">
        <v>50</v>
      </c>
      <c r="E769">
        <v>0.13342654846257701</v>
      </c>
      <c r="F769">
        <v>0.13342654846257701</v>
      </c>
      <c r="G769">
        <v>0</v>
      </c>
      <c r="H769">
        <v>0</v>
      </c>
      <c r="I769" t="s">
        <v>73</v>
      </c>
    </row>
    <row r="770" spans="1:9" x14ac:dyDescent="0.35">
      <c r="A770" t="s">
        <v>17</v>
      </c>
      <c r="B770">
        <v>2035</v>
      </c>
      <c r="C770" t="s">
        <v>72</v>
      </c>
      <c r="D770" t="s">
        <v>51</v>
      </c>
      <c r="E770">
        <v>0.23868300387180799</v>
      </c>
      <c r="F770">
        <v>0.23868300387180799</v>
      </c>
      <c r="G770">
        <v>0</v>
      </c>
      <c r="H770">
        <v>0</v>
      </c>
      <c r="I770" t="s">
        <v>73</v>
      </c>
    </row>
    <row r="771" spans="1:9" x14ac:dyDescent="0.35">
      <c r="A771" t="s">
        <v>17</v>
      </c>
      <c r="B771">
        <v>2035</v>
      </c>
      <c r="C771" t="s">
        <v>72</v>
      </c>
      <c r="D771" t="s">
        <v>52</v>
      </c>
      <c r="E771">
        <v>0.59817837747149405</v>
      </c>
      <c r="F771">
        <v>0.59817837747149405</v>
      </c>
      <c r="G771">
        <v>0</v>
      </c>
      <c r="H771">
        <v>0</v>
      </c>
      <c r="I771" t="s">
        <v>73</v>
      </c>
    </row>
    <row r="772" spans="1:9" x14ac:dyDescent="0.35">
      <c r="A772" t="s">
        <v>17</v>
      </c>
      <c r="B772">
        <v>2035</v>
      </c>
      <c r="C772" t="s">
        <v>72</v>
      </c>
      <c r="D772" t="s">
        <v>53</v>
      </c>
      <c r="E772">
        <v>2.31116201901524</v>
      </c>
      <c r="F772">
        <v>2.31116201901524</v>
      </c>
      <c r="G772">
        <v>0</v>
      </c>
      <c r="H772">
        <v>0</v>
      </c>
      <c r="I772" t="s">
        <v>73</v>
      </c>
    </row>
    <row r="773" spans="1:9" x14ac:dyDescent="0.35">
      <c r="A773" t="s">
        <v>17</v>
      </c>
      <c r="B773">
        <v>2035</v>
      </c>
      <c r="C773" t="s">
        <v>72</v>
      </c>
      <c r="D773" t="s">
        <v>54</v>
      </c>
      <c r="E773">
        <v>0.87773253861031597</v>
      </c>
      <c r="F773">
        <v>0.81736410818198901</v>
      </c>
      <c r="G773">
        <v>-6.03684304283265E-2</v>
      </c>
      <c r="H773">
        <v>-6.8777705932955104</v>
      </c>
      <c r="I773" t="s">
        <v>73</v>
      </c>
    </row>
    <row r="774" spans="1:9" x14ac:dyDescent="0.35">
      <c r="A774" t="s">
        <v>17</v>
      </c>
      <c r="B774">
        <v>2035</v>
      </c>
      <c r="C774" t="s">
        <v>72</v>
      </c>
      <c r="D774" t="s">
        <v>55</v>
      </c>
      <c r="E774">
        <v>0.52740941580724898</v>
      </c>
      <c r="F774">
        <v>0.52372245199422696</v>
      </c>
      <c r="G774">
        <v>-3.68696381302169E-3</v>
      </c>
      <c r="H774">
        <v>-0.69907053278115105</v>
      </c>
      <c r="I774" t="s">
        <v>73</v>
      </c>
    </row>
    <row r="775" spans="1:9" x14ac:dyDescent="0.35">
      <c r="A775" t="s">
        <v>17</v>
      </c>
      <c r="B775">
        <v>2035</v>
      </c>
      <c r="C775" t="s">
        <v>72</v>
      </c>
      <c r="D775" t="s">
        <v>56</v>
      </c>
      <c r="E775" s="1">
        <v>9.6400612884496407E-7</v>
      </c>
      <c r="F775" s="1">
        <v>9.6400612884496407E-7</v>
      </c>
      <c r="G775">
        <v>0</v>
      </c>
      <c r="H775">
        <v>0</v>
      </c>
      <c r="I775" t="s">
        <v>73</v>
      </c>
    </row>
    <row r="776" spans="1:9" x14ac:dyDescent="0.35">
      <c r="A776" t="s">
        <v>19</v>
      </c>
      <c r="B776">
        <v>2040</v>
      </c>
      <c r="C776" t="s">
        <v>72</v>
      </c>
      <c r="D776" t="s">
        <v>38</v>
      </c>
      <c r="E776">
        <v>3.2085651924787101E-3</v>
      </c>
      <c r="F776">
        <v>3.2085651924787101E-3</v>
      </c>
      <c r="G776">
        <v>0</v>
      </c>
      <c r="H776">
        <v>0</v>
      </c>
      <c r="I776" t="s">
        <v>73</v>
      </c>
    </row>
    <row r="777" spans="1:9" x14ac:dyDescent="0.35">
      <c r="A777" t="s">
        <v>19</v>
      </c>
      <c r="B777">
        <v>2040</v>
      </c>
      <c r="C777" t="s">
        <v>72</v>
      </c>
      <c r="D777" t="s">
        <v>40</v>
      </c>
      <c r="E777">
        <v>1.08800308830525E-3</v>
      </c>
      <c r="F777">
        <v>1.08800308830525E-3</v>
      </c>
      <c r="G777">
        <v>0</v>
      </c>
      <c r="H777">
        <v>0</v>
      </c>
      <c r="I777" t="s">
        <v>73</v>
      </c>
    </row>
    <row r="778" spans="1:9" x14ac:dyDescent="0.35">
      <c r="A778" t="s">
        <v>19</v>
      </c>
      <c r="B778">
        <v>2040</v>
      </c>
      <c r="C778" t="s">
        <v>72</v>
      </c>
      <c r="D778" t="s">
        <v>41</v>
      </c>
      <c r="E778">
        <v>3.2636245586389397E-2</v>
      </c>
      <c r="F778">
        <v>3.1425622293510799E-2</v>
      </c>
      <c r="G778">
        <v>-1.21062329287866E-3</v>
      </c>
      <c r="H778">
        <v>-3.7094441199558199</v>
      </c>
      <c r="I778" t="s">
        <v>73</v>
      </c>
    </row>
    <row r="779" spans="1:9" x14ac:dyDescent="0.35">
      <c r="A779" t="s">
        <v>19</v>
      </c>
      <c r="B779">
        <v>2040</v>
      </c>
      <c r="C779" t="s">
        <v>72</v>
      </c>
      <c r="D779" t="s">
        <v>42</v>
      </c>
      <c r="E779">
        <v>5.0078418456996499</v>
      </c>
      <c r="F779">
        <v>5.0078418456996499</v>
      </c>
      <c r="G779">
        <v>0</v>
      </c>
      <c r="H779">
        <v>0</v>
      </c>
      <c r="I779" t="s">
        <v>73</v>
      </c>
    </row>
    <row r="780" spans="1:9" x14ac:dyDescent="0.35">
      <c r="A780" t="s">
        <v>19</v>
      </c>
      <c r="B780">
        <v>2040</v>
      </c>
      <c r="C780" t="s">
        <v>72</v>
      </c>
      <c r="D780" t="s">
        <v>43</v>
      </c>
      <c r="E780">
        <v>3.8702089597376102E-2</v>
      </c>
      <c r="F780">
        <v>1.24269564030061E-2</v>
      </c>
      <c r="G780">
        <v>-2.6275133194369998E-2</v>
      </c>
      <c r="H780">
        <v>-67.890735274798601</v>
      </c>
      <c r="I780" t="s">
        <v>73</v>
      </c>
    </row>
    <row r="781" spans="1:9" x14ac:dyDescent="0.35">
      <c r="A781" t="s">
        <v>19</v>
      </c>
      <c r="B781">
        <v>2040</v>
      </c>
      <c r="C781" t="s">
        <v>72</v>
      </c>
      <c r="D781" t="s">
        <v>136</v>
      </c>
      <c r="E781">
        <v>6.6186285828875402</v>
      </c>
      <c r="F781">
        <v>6.6186285828875402</v>
      </c>
      <c r="G781">
        <v>0</v>
      </c>
      <c r="H781">
        <v>0</v>
      </c>
      <c r="I781" t="s">
        <v>73</v>
      </c>
    </row>
    <row r="782" spans="1:9" x14ac:dyDescent="0.35">
      <c r="A782" t="s">
        <v>19</v>
      </c>
      <c r="B782">
        <v>2040</v>
      </c>
      <c r="C782" t="s">
        <v>72</v>
      </c>
      <c r="D782" t="s">
        <v>45</v>
      </c>
      <c r="E782">
        <v>1.96014336423917E-2</v>
      </c>
      <c r="F782">
        <v>1.8847259799832299E-2</v>
      </c>
      <c r="G782">
        <v>-7.5417384255930696E-4</v>
      </c>
      <c r="H782">
        <v>-3.84754429863878</v>
      </c>
      <c r="I782" t="s">
        <v>73</v>
      </c>
    </row>
    <row r="783" spans="1:9" x14ac:dyDescent="0.35">
      <c r="A783" t="s">
        <v>19</v>
      </c>
      <c r="B783">
        <v>2040</v>
      </c>
      <c r="C783" t="s">
        <v>72</v>
      </c>
      <c r="D783" t="s">
        <v>46</v>
      </c>
      <c r="E783">
        <v>0.32867470531442</v>
      </c>
      <c r="F783">
        <v>0.32867470531442</v>
      </c>
      <c r="G783">
        <v>0</v>
      </c>
      <c r="H783">
        <v>0</v>
      </c>
      <c r="I783" t="s">
        <v>73</v>
      </c>
    </row>
    <row r="784" spans="1:9" x14ac:dyDescent="0.35">
      <c r="A784" t="s">
        <v>19</v>
      </c>
      <c r="B784">
        <v>2040</v>
      </c>
      <c r="C784" t="s">
        <v>72</v>
      </c>
      <c r="D784" t="s">
        <v>47</v>
      </c>
      <c r="E784">
        <v>4.89265312940124E-3</v>
      </c>
      <c r="F784">
        <v>2.23626279263769E-3</v>
      </c>
      <c r="G784">
        <v>-2.65639033676354E-3</v>
      </c>
      <c r="H784">
        <v>-54.293453194149201</v>
      </c>
      <c r="I784" t="s">
        <v>73</v>
      </c>
    </row>
    <row r="785" spans="1:9" x14ac:dyDescent="0.35">
      <c r="A785" t="s">
        <v>19</v>
      </c>
      <c r="B785">
        <v>2040</v>
      </c>
      <c r="C785" t="s">
        <v>72</v>
      </c>
      <c r="D785" t="s">
        <v>48</v>
      </c>
      <c r="E785">
        <v>1.19354686612131</v>
      </c>
      <c r="F785">
        <v>1.19354686612131</v>
      </c>
      <c r="G785">
        <v>0</v>
      </c>
      <c r="H785">
        <v>0</v>
      </c>
      <c r="I785" t="s">
        <v>73</v>
      </c>
    </row>
    <row r="786" spans="1:9" x14ac:dyDescent="0.35">
      <c r="A786" t="s">
        <v>19</v>
      </c>
      <c r="B786">
        <v>2040</v>
      </c>
      <c r="C786" t="s">
        <v>72</v>
      </c>
      <c r="D786" t="s">
        <v>49</v>
      </c>
      <c r="E786">
        <v>5.77511774157492E-2</v>
      </c>
      <c r="F786">
        <v>5.6993454226111899E-2</v>
      </c>
      <c r="G786">
        <v>-7.5772318963725899E-4</v>
      </c>
      <c r="H786">
        <v>-1.3120480370165</v>
      </c>
      <c r="I786" t="s">
        <v>73</v>
      </c>
    </row>
    <row r="787" spans="1:9" x14ac:dyDescent="0.35">
      <c r="A787" t="s">
        <v>19</v>
      </c>
      <c r="B787">
        <v>2040</v>
      </c>
      <c r="C787" t="s">
        <v>72</v>
      </c>
      <c r="D787" t="s">
        <v>50</v>
      </c>
      <c r="E787">
        <v>0.13456778061265201</v>
      </c>
      <c r="F787">
        <v>0.13456778061265201</v>
      </c>
      <c r="G787">
        <v>0</v>
      </c>
      <c r="H787">
        <v>0</v>
      </c>
      <c r="I787" t="s">
        <v>73</v>
      </c>
    </row>
    <row r="788" spans="1:9" x14ac:dyDescent="0.35">
      <c r="A788" t="s">
        <v>19</v>
      </c>
      <c r="B788">
        <v>2040</v>
      </c>
      <c r="C788" t="s">
        <v>72</v>
      </c>
      <c r="D788" t="s">
        <v>51</v>
      </c>
      <c r="E788">
        <v>0.24386045887648899</v>
      </c>
      <c r="F788">
        <v>0.24386045887648899</v>
      </c>
      <c r="G788">
        <v>0</v>
      </c>
      <c r="H788">
        <v>0</v>
      </c>
      <c r="I788" t="s">
        <v>73</v>
      </c>
    </row>
    <row r="789" spans="1:9" x14ac:dyDescent="0.35">
      <c r="A789" t="s">
        <v>19</v>
      </c>
      <c r="B789">
        <v>2040</v>
      </c>
      <c r="C789" t="s">
        <v>72</v>
      </c>
      <c r="D789" t="s">
        <v>52</v>
      </c>
      <c r="E789">
        <v>0.57528060066189901</v>
      </c>
      <c r="F789">
        <v>0.57528060066189901</v>
      </c>
      <c r="G789">
        <v>0</v>
      </c>
      <c r="H789">
        <v>0</v>
      </c>
      <c r="I789" t="s">
        <v>73</v>
      </c>
    </row>
    <row r="790" spans="1:9" x14ac:dyDescent="0.35">
      <c r="A790" t="s">
        <v>19</v>
      </c>
      <c r="B790">
        <v>2040</v>
      </c>
      <c r="C790" t="s">
        <v>72</v>
      </c>
      <c r="D790" t="s">
        <v>53</v>
      </c>
      <c r="E790">
        <v>2.2296013111256601</v>
      </c>
      <c r="F790">
        <v>2.2296013111256601</v>
      </c>
      <c r="G790">
        <v>0</v>
      </c>
      <c r="H790">
        <v>0</v>
      </c>
      <c r="I790" t="s">
        <v>73</v>
      </c>
    </row>
    <row r="791" spans="1:9" x14ac:dyDescent="0.35">
      <c r="A791" t="s">
        <v>19</v>
      </c>
      <c r="B791">
        <v>2040</v>
      </c>
      <c r="C791" t="s">
        <v>72</v>
      </c>
      <c r="D791" t="s">
        <v>54</v>
      </c>
      <c r="E791">
        <v>0.87994705344167601</v>
      </c>
      <c r="F791">
        <v>0.58816266325158895</v>
      </c>
      <c r="G791">
        <v>-0.29178439019008601</v>
      </c>
      <c r="H791">
        <v>-33.159312148253697</v>
      </c>
      <c r="I791" t="s">
        <v>73</v>
      </c>
    </row>
    <row r="792" spans="1:9" x14ac:dyDescent="0.35">
      <c r="A792" t="s">
        <v>19</v>
      </c>
      <c r="B792">
        <v>2040</v>
      </c>
      <c r="C792" t="s">
        <v>72</v>
      </c>
      <c r="D792" t="s">
        <v>55</v>
      </c>
      <c r="E792">
        <v>0.52912109285752695</v>
      </c>
      <c r="F792">
        <v>0.51130054526000801</v>
      </c>
      <c r="G792">
        <v>-1.7820547597518301E-2</v>
      </c>
      <c r="H792">
        <v>-3.3679525987668</v>
      </c>
      <c r="I792" t="s">
        <v>73</v>
      </c>
    </row>
    <row r="793" spans="1:9" x14ac:dyDescent="0.35">
      <c r="A793" t="s">
        <v>19</v>
      </c>
      <c r="B793">
        <v>2040</v>
      </c>
      <c r="C793" t="s">
        <v>72</v>
      </c>
      <c r="D793" t="s">
        <v>56</v>
      </c>
      <c r="E793" s="1">
        <v>9.5284552999490795E-7</v>
      </c>
      <c r="F793" s="1">
        <v>9.5284552999490795E-7</v>
      </c>
      <c r="G793">
        <v>0</v>
      </c>
      <c r="H793">
        <v>0</v>
      </c>
      <c r="I793" t="s">
        <v>73</v>
      </c>
    </row>
    <row r="794" spans="1:9" x14ac:dyDescent="0.35">
      <c r="A794" t="s">
        <v>13</v>
      </c>
      <c r="B794">
        <v>2025</v>
      </c>
      <c r="C794" t="s">
        <v>61</v>
      </c>
      <c r="D794" t="s">
        <v>38</v>
      </c>
      <c r="E794">
        <v>3.4105907934546399E-3</v>
      </c>
      <c r="F794">
        <v>3.4105907934546399E-3</v>
      </c>
      <c r="G794">
        <v>0</v>
      </c>
      <c r="H794">
        <v>0</v>
      </c>
      <c r="I794" t="s">
        <v>62</v>
      </c>
    </row>
    <row r="795" spans="1:9" x14ac:dyDescent="0.35">
      <c r="A795" t="s">
        <v>13</v>
      </c>
      <c r="B795">
        <v>2025</v>
      </c>
      <c r="C795" t="s">
        <v>61</v>
      </c>
      <c r="D795" t="s">
        <v>40</v>
      </c>
      <c r="E795">
        <v>4.3146735267758996E-3</v>
      </c>
      <c r="F795">
        <v>4.3146735267758996E-3</v>
      </c>
      <c r="G795">
        <v>0</v>
      </c>
      <c r="H795">
        <v>0</v>
      </c>
      <c r="I795" t="s">
        <v>62</v>
      </c>
    </row>
    <row r="796" spans="1:9" x14ac:dyDescent="0.35">
      <c r="A796" t="s">
        <v>13</v>
      </c>
      <c r="B796">
        <v>2025</v>
      </c>
      <c r="C796" t="s">
        <v>61</v>
      </c>
      <c r="D796" t="s">
        <v>41</v>
      </c>
      <c r="E796">
        <v>0.146769598523081</v>
      </c>
      <c r="F796">
        <v>0.146769598523081</v>
      </c>
      <c r="G796">
        <v>0</v>
      </c>
      <c r="H796">
        <v>0</v>
      </c>
      <c r="I796" t="s">
        <v>62</v>
      </c>
    </row>
    <row r="797" spans="1:9" x14ac:dyDescent="0.35">
      <c r="A797" t="s">
        <v>13</v>
      </c>
      <c r="B797">
        <v>2025</v>
      </c>
      <c r="C797" t="s">
        <v>61</v>
      </c>
      <c r="D797" t="s">
        <v>42</v>
      </c>
      <c r="E797">
        <v>17.3087373890056</v>
      </c>
      <c r="F797">
        <v>17.3087373890056</v>
      </c>
      <c r="G797">
        <v>0</v>
      </c>
      <c r="H797">
        <v>0</v>
      </c>
      <c r="I797" t="s">
        <v>62</v>
      </c>
    </row>
    <row r="798" spans="1:9" x14ac:dyDescent="0.35">
      <c r="A798" t="s">
        <v>13</v>
      </c>
      <c r="B798">
        <v>2025</v>
      </c>
      <c r="C798" t="s">
        <v>61</v>
      </c>
      <c r="D798" t="s">
        <v>43</v>
      </c>
      <c r="E798">
        <v>1.36918142707843E-2</v>
      </c>
      <c r="F798">
        <v>1.36918142707843E-2</v>
      </c>
      <c r="G798">
        <v>0</v>
      </c>
      <c r="H798">
        <v>0</v>
      </c>
      <c r="I798" t="s">
        <v>62</v>
      </c>
    </row>
    <row r="799" spans="1:9" x14ac:dyDescent="0.35">
      <c r="A799" t="s">
        <v>13</v>
      </c>
      <c r="B799">
        <v>2025</v>
      </c>
      <c r="C799" t="s">
        <v>61</v>
      </c>
      <c r="D799" t="s">
        <v>136</v>
      </c>
      <c r="E799">
        <v>9.6501816512518594</v>
      </c>
      <c r="F799">
        <v>9.6501816512518594</v>
      </c>
      <c r="G799">
        <v>0</v>
      </c>
      <c r="H799">
        <v>0</v>
      </c>
      <c r="I799" t="s">
        <v>62</v>
      </c>
    </row>
    <row r="800" spans="1:9" x14ac:dyDescent="0.35">
      <c r="A800" t="s">
        <v>13</v>
      </c>
      <c r="B800">
        <v>2025</v>
      </c>
      <c r="C800" t="s">
        <v>61</v>
      </c>
      <c r="D800" t="s">
        <v>45</v>
      </c>
      <c r="E800">
        <v>0.28521398249209501</v>
      </c>
      <c r="F800">
        <v>0.28521398249209501</v>
      </c>
      <c r="G800">
        <v>0</v>
      </c>
      <c r="H800">
        <v>0</v>
      </c>
      <c r="I800" t="s">
        <v>62</v>
      </c>
    </row>
    <row r="801" spans="1:9" x14ac:dyDescent="0.35">
      <c r="A801" t="s">
        <v>13</v>
      </c>
      <c r="B801">
        <v>2025</v>
      </c>
      <c r="C801" t="s">
        <v>61</v>
      </c>
      <c r="D801" t="s">
        <v>46</v>
      </c>
      <c r="E801">
        <v>0.30236343538826799</v>
      </c>
      <c r="F801">
        <v>0.30236343538826799</v>
      </c>
      <c r="G801">
        <v>0</v>
      </c>
      <c r="H801">
        <v>0</v>
      </c>
      <c r="I801" t="s">
        <v>62</v>
      </c>
    </row>
    <row r="802" spans="1:9" x14ac:dyDescent="0.35">
      <c r="A802" t="s">
        <v>13</v>
      </c>
      <c r="B802">
        <v>2025</v>
      </c>
      <c r="C802" t="s">
        <v>61</v>
      </c>
      <c r="D802" t="s">
        <v>47</v>
      </c>
      <c r="E802">
        <v>1.15535869288975E-2</v>
      </c>
      <c r="F802">
        <v>1.15535869288975E-2</v>
      </c>
      <c r="G802">
        <v>0</v>
      </c>
      <c r="H802">
        <v>0</v>
      </c>
      <c r="I802" t="s">
        <v>62</v>
      </c>
    </row>
    <row r="803" spans="1:9" x14ac:dyDescent="0.35">
      <c r="A803" t="s">
        <v>13</v>
      </c>
      <c r="B803">
        <v>2025</v>
      </c>
      <c r="C803" t="s">
        <v>61</v>
      </c>
      <c r="D803" t="s">
        <v>48</v>
      </c>
      <c r="E803">
        <v>28.637426773767999</v>
      </c>
      <c r="F803">
        <v>28.637426773767999</v>
      </c>
      <c r="G803">
        <v>0</v>
      </c>
      <c r="H803">
        <v>0</v>
      </c>
      <c r="I803" t="s">
        <v>62</v>
      </c>
    </row>
    <row r="804" spans="1:9" x14ac:dyDescent="0.35">
      <c r="A804" t="s">
        <v>13</v>
      </c>
      <c r="B804">
        <v>2025</v>
      </c>
      <c r="C804" t="s">
        <v>61</v>
      </c>
      <c r="D804" t="s">
        <v>49</v>
      </c>
      <c r="E804">
        <v>1.3678316482360899</v>
      </c>
      <c r="F804">
        <v>1.3678316482360899</v>
      </c>
      <c r="G804">
        <v>0</v>
      </c>
      <c r="H804">
        <v>0</v>
      </c>
      <c r="I804" t="s">
        <v>62</v>
      </c>
    </row>
    <row r="805" spans="1:9" x14ac:dyDescent="0.35">
      <c r="A805" t="s">
        <v>13</v>
      </c>
      <c r="B805">
        <v>2025</v>
      </c>
      <c r="C805" t="s">
        <v>61</v>
      </c>
      <c r="D805" t="s">
        <v>50</v>
      </c>
      <c r="E805">
        <v>0.110238401112264</v>
      </c>
      <c r="F805">
        <v>0.110238401112264</v>
      </c>
      <c r="G805">
        <v>0</v>
      </c>
      <c r="H805">
        <v>0</v>
      </c>
      <c r="I805" t="s">
        <v>62</v>
      </c>
    </row>
    <row r="806" spans="1:9" x14ac:dyDescent="0.35">
      <c r="A806" t="s">
        <v>13</v>
      </c>
      <c r="B806">
        <v>2025</v>
      </c>
      <c r="C806" t="s">
        <v>61</v>
      </c>
      <c r="D806" t="s">
        <v>51</v>
      </c>
      <c r="E806">
        <v>0.56587240916799697</v>
      </c>
      <c r="F806">
        <v>0.56587240916799697</v>
      </c>
      <c r="G806">
        <v>0</v>
      </c>
      <c r="H806">
        <v>0</v>
      </c>
      <c r="I806" t="s">
        <v>62</v>
      </c>
    </row>
    <row r="807" spans="1:9" x14ac:dyDescent="0.35">
      <c r="A807" t="s">
        <v>13</v>
      </c>
      <c r="B807">
        <v>2025</v>
      </c>
      <c r="C807" t="s">
        <v>61</v>
      </c>
      <c r="D807" t="s">
        <v>52</v>
      </c>
      <c r="E807">
        <v>0.631539775354651</v>
      </c>
      <c r="F807">
        <v>0.631539775354651</v>
      </c>
      <c r="G807">
        <v>0</v>
      </c>
      <c r="H807">
        <v>0</v>
      </c>
      <c r="I807" t="s">
        <v>62</v>
      </c>
    </row>
    <row r="808" spans="1:9" x14ac:dyDescent="0.35">
      <c r="A808" t="s">
        <v>13</v>
      </c>
      <c r="B808">
        <v>2025</v>
      </c>
      <c r="C808" t="s">
        <v>61</v>
      </c>
      <c r="D808" t="s">
        <v>53</v>
      </c>
      <c r="E808">
        <v>2.3744296895244399</v>
      </c>
      <c r="F808">
        <v>2.3744296895244399</v>
      </c>
      <c r="G808">
        <v>0</v>
      </c>
      <c r="H808">
        <v>0</v>
      </c>
      <c r="I808" t="s">
        <v>62</v>
      </c>
    </row>
    <row r="809" spans="1:9" x14ac:dyDescent="0.35">
      <c r="A809" t="s">
        <v>13</v>
      </c>
      <c r="B809">
        <v>2025</v>
      </c>
      <c r="C809" t="s">
        <v>61</v>
      </c>
      <c r="D809" t="s">
        <v>54</v>
      </c>
      <c r="E809">
        <v>7.0745098800956496</v>
      </c>
      <c r="F809">
        <v>7.0745098800956496</v>
      </c>
      <c r="G809">
        <v>0</v>
      </c>
      <c r="H809">
        <v>0</v>
      </c>
      <c r="I809" t="s">
        <v>62</v>
      </c>
    </row>
    <row r="810" spans="1:9" x14ac:dyDescent="0.35">
      <c r="A810" t="s">
        <v>13</v>
      </c>
      <c r="B810">
        <v>2025</v>
      </c>
      <c r="C810" t="s">
        <v>61</v>
      </c>
      <c r="D810" t="s">
        <v>55</v>
      </c>
      <c r="E810">
        <v>6.52763927042351</v>
      </c>
      <c r="F810">
        <v>6.52763927042351</v>
      </c>
      <c r="G810">
        <v>0</v>
      </c>
      <c r="H810">
        <v>0</v>
      </c>
      <c r="I810" t="s">
        <v>62</v>
      </c>
    </row>
    <row r="811" spans="1:9" x14ac:dyDescent="0.35">
      <c r="A811" t="s">
        <v>13</v>
      </c>
      <c r="B811">
        <v>2025</v>
      </c>
      <c r="C811" t="s">
        <v>61</v>
      </c>
      <c r="D811" t="s">
        <v>56</v>
      </c>
      <c r="E811" s="1">
        <v>5.8681073621546297E-7</v>
      </c>
      <c r="F811" s="1">
        <v>5.8681073621546297E-7</v>
      </c>
      <c r="G811">
        <v>0</v>
      </c>
      <c r="H811">
        <v>0</v>
      </c>
      <c r="I811" t="s">
        <v>62</v>
      </c>
    </row>
    <row r="812" spans="1:9" x14ac:dyDescent="0.35">
      <c r="A812" t="s">
        <v>15</v>
      </c>
      <c r="B812">
        <v>2030</v>
      </c>
      <c r="C812" t="s">
        <v>61</v>
      </c>
      <c r="D812" t="s">
        <v>38</v>
      </c>
      <c r="E812">
        <v>3.46345812489727E-3</v>
      </c>
      <c r="F812">
        <v>3.0241567694652702E-3</v>
      </c>
      <c r="G812">
        <v>-4.3930135543200697E-4</v>
      </c>
      <c r="H812">
        <v>-12.6838939461708</v>
      </c>
      <c r="I812" t="s">
        <v>62</v>
      </c>
    </row>
    <row r="813" spans="1:9" x14ac:dyDescent="0.35">
      <c r="A813" t="s">
        <v>15</v>
      </c>
      <c r="B813">
        <v>2030</v>
      </c>
      <c r="C813" t="s">
        <v>61</v>
      </c>
      <c r="D813" t="s">
        <v>40</v>
      </c>
      <c r="E813">
        <v>4.29916176624084E-3</v>
      </c>
      <c r="F813">
        <v>4.29916176624084E-3</v>
      </c>
      <c r="G813">
        <v>0</v>
      </c>
      <c r="H813">
        <v>0</v>
      </c>
      <c r="I813" t="s">
        <v>62</v>
      </c>
    </row>
    <row r="814" spans="1:9" x14ac:dyDescent="0.35">
      <c r="A814" t="s">
        <v>15</v>
      </c>
      <c r="B814">
        <v>2030</v>
      </c>
      <c r="C814" t="s">
        <v>61</v>
      </c>
      <c r="D814" t="s">
        <v>41</v>
      </c>
      <c r="E814">
        <v>0.14764404503440101</v>
      </c>
      <c r="F814">
        <v>6.6267836523046006E-2</v>
      </c>
      <c r="G814">
        <v>-8.1376208511355394E-2</v>
      </c>
      <c r="H814">
        <v>-55.116485390517802</v>
      </c>
      <c r="I814" t="s">
        <v>62</v>
      </c>
    </row>
    <row r="815" spans="1:9" x14ac:dyDescent="0.35">
      <c r="A815" t="s">
        <v>15</v>
      </c>
      <c r="B815">
        <v>2030</v>
      </c>
      <c r="C815" t="s">
        <v>61</v>
      </c>
      <c r="D815" t="s">
        <v>42</v>
      </c>
      <c r="E815">
        <v>17.205345426013501</v>
      </c>
      <c r="F815">
        <v>16.526071729795898</v>
      </c>
      <c r="G815">
        <v>-0.67927369621759204</v>
      </c>
      <c r="H815">
        <v>-3.9480387019174099</v>
      </c>
      <c r="I815" t="s">
        <v>62</v>
      </c>
    </row>
    <row r="816" spans="1:9" x14ac:dyDescent="0.35">
      <c r="A816" t="s">
        <v>15</v>
      </c>
      <c r="B816">
        <v>2030</v>
      </c>
      <c r="C816" t="s">
        <v>61</v>
      </c>
      <c r="D816" t="s">
        <v>43</v>
      </c>
      <c r="E816">
        <v>1.41033772047118E-2</v>
      </c>
      <c r="F816">
        <v>1.41033772047118E-2</v>
      </c>
      <c r="G816">
        <v>0</v>
      </c>
      <c r="H816">
        <v>0</v>
      </c>
      <c r="I816" t="s">
        <v>62</v>
      </c>
    </row>
    <row r="817" spans="1:9" x14ac:dyDescent="0.35">
      <c r="A817" t="s">
        <v>15</v>
      </c>
      <c r="B817">
        <v>2030</v>
      </c>
      <c r="C817" t="s">
        <v>61</v>
      </c>
      <c r="D817" t="s">
        <v>136</v>
      </c>
      <c r="E817">
        <v>9.1996165302425101</v>
      </c>
      <c r="F817">
        <v>9.1996165302425101</v>
      </c>
      <c r="G817">
        <v>0</v>
      </c>
      <c r="H817">
        <v>0</v>
      </c>
      <c r="I817" t="s">
        <v>62</v>
      </c>
    </row>
    <row r="818" spans="1:9" x14ac:dyDescent="0.35">
      <c r="A818" t="s">
        <v>15</v>
      </c>
      <c r="B818">
        <v>2030</v>
      </c>
      <c r="C818" t="s">
        <v>61</v>
      </c>
      <c r="D818" t="s">
        <v>45</v>
      </c>
      <c r="E818">
        <v>0.28421275964665899</v>
      </c>
      <c r="F818">
        <v>8.3288032134627404E-2</v>
      </c>
      <c r="G818">
        <v>-0.200924727512032</v>
      </c>
      <c r="H818">
        <v>-70.695181934064706</v>
      </c>
      <c r="I818" t="s">
        <v>62</v>
      </c>
    </row>
    <row r="819" spans="1:9" x14ac:dyDescent="0.35">
      <c r="A819" t="s">
        <v>15</v>
      </c>
      <c r="B819">
        <v>2030</v>
      </c>
      <c r="C819" t="s">
        <v>61</v>
      </c>
      <c r="D819" t="s">
        <v>46</v>
      </c>
      <c r="E819">
        <v>0.44694359399719003</v>
      </c>
      <c r="F819">
        <v>0.44694359399719003</v>
      </c>
      <c r="G819">
        <v>0</v>
      </c>
      <c r="H819">
        <v>0</v>
      </c>
      <c r="I819" t="s">
        <v>62</v>
      </c>
    </row>
    <row r="820" spans="1:9" x14ac:dyDescent="0.35">
      <c r="A820" t="s">
        <v>15</v>
      </c>
      <c r="B820">
        <v>2030</v>
      </c>
      <c r="C820" t="s">
        <v>61</v>
      </c>
      <c r="D820" t="s">
        <v>47</v>
      </c>
      <c r="E820">
        <v>1.1428064089658499E-2</v>
      </c>
      <c r="F820">
        <v>1.1428064089658499E-2</v>
      </c>
      <c r="G820">
        <v>0</v>
      </c>
      <c r="H820">
        <v>0</v>
      </c>
      <c r="I820" t="s">
        <v>62</v>
      </c>
    </row>
    <row r="821" spans="1:9" x14ac:dyDescent="0.35">
      <c r="A821" t="s">
        <v>15</v>
      </c>
      <c r="B821">
        <v>2030</v>
      </c>
      <c r="C821" t="s">
        <v>61</v>
      </c>
      <c r="D821" t="s">
        <v>48</v>
      </c>
      <c r="E821">
        <v>28.638310355345201</v>
      </c>
      <c r="F821">
        <v>28.638310355345201</v>
      </c>
      <c r="G821">
        <v>0</v>
      </c>
      <c r="H821">
        <v>0</v>
      </c>
      <c r="I821" t="s">
        <v>62</v>
      </c>
    </row>
    <row r="822" spans="1:9" x14ac:dyDescent="0.35">
      <c r="A822" t="s">
        <v>15</v>
      </c>
      <c r="B822">
        <v>2030</v>
      </c>
      <c r="C822" t="s">
        <v>61</v>
      </c>
      <c r="D822" t="s">
        <v>49</v>
      </c>
      <c r="E822">
        <v>1.3671523917272701</v>
      </c>
      <c r="F822">
        <v>0.36351244188769199</v>
      </c>
      <c r="G822">
        <v>-1.00363994983958</v>
      </c>
      <c r="H822">
        <v>-73.410978608725003</v>
      </c>
      <c r="I822" t="s">
        <v>62</v>
      </c>
    </row>
    <row r="823" spans="1:9" x14ac:dyDescent="0.35">
      <c r="A823" t="s">
        <v>15</v>
      </c>
      <c r="B823">
        <v>2030</v>
      </c>
      <c r="C823" t="s">
        <v>61</v>
      </c>
      <c r="D823" t="s">
        <v>50</v>
      </c>
      <c r="E823">
        <v>0.10934856126350501</v>
      </c>
      <c r="F823">
        <v>0.10934856126350501</v>
      </c>
      <c r="G823">
        <v>0</v>
      </c>
      <c r="H823">
        <v>0</v>
      </c>
      <c r="I823" t="s">
        <v>62</v>
      </c>
    </row>
    <row r="824" spans="1:9" x14ac:dyDescent="0.35">
      <c r="A824" t="s">
        <v>15</v>
      </c>
      <c r="B824">
        <v>2030</v>
      </c>
      <c r="C824" t="s">
        <v>61</v>
      </c>
      <c r="D824" t="s">
        <v>51</v>
      </c>
      <c r="E824">
        <v>0.574709144340664</v>
      </c>
      <c r="F824">
        <v>0.574709144340664</v>
      </c>
      <c r="G824">
        <v>0</v>
      </c>
      <c r="H824">
        <v>0</v>
      </c>
      <c r="I824" t="s">
        <v>62</v>
      </c>
    </row>
    <row r="825" spans="1:9" x14ac:dyDescent="0.35">
      <c r="A825" t="s">
        <v>15</v>
      </c>
      <c r="B825">
        <v>2030</v>
      </c>
      <c r="C825" t="s">
        <v>61</v>
      </c>
      <c r="D825" t="s">
        <v>52</v>
      </c>
      <c r="E825">
        <v>0.56721409097674902</v>
      </c>
      <c r="F825">
        <v>0.56721409097674902</v>
      </c>
      <c r="G825">
        <v>0</v>
      </c>
      <c r="H825">
        <v>0</v>
      </c>
      <c r="I825" t="s">
        <v>62</v>
      </c>
    </row>
    <row r="826" spans="1:9" x14ac:dyDescent="0.35">
      <c r="A826" t="s">
        <v>15</v>
      </c>
      <c r="B826">
        <v>2030</v>
      </c>
      <c r="C826" t="s">
        <v>61</v>
      </c>
      <c r="D826" t="s">
        <v>53</v>
      </c>
      <c r="E826">
        <v>2.24484841687647</v>
      </c>
      <c r="F826">
        <v>2.24484841687647</v>
      </c>
      <c r="G826">
        <v>0</v>
      </c>
      <c r="H826">
        <v>0</v>
      </c>
      <c r="I826" t="s">
        <v>62</v>
      </c>
    </row>
    <row r="827" spans="1:9" x14ac:dyDescent="0.35">
      <c r="A827" t="s">
        <v>15</v>
      </c>
      <c r="B827">
        <v>2030</v>
      </c>
      <c r="C827" t="s">
        <v>61</v>
      </c>
      <c r="D827" t="s">
        <v>54</v>
      </c>
      <c r="E827">
        <v>7.0760409898002097</v>
      </c>
      <c r="F827">
        <v>7.0758912563086804</v>
      </c>
      <c r="G827">
        <v>-1.4973349152125299E-4</v>
      </c>
      <c r="H827">
        <v>-2.1160630886266399E-3</v>
      </c>
      <c r="I827" t="s">
        <v>62</v>
      </c>
    </row>
    <row r="828" spans="1:9" x14ac:dyDescent="0.35">
      <c r="A828" t="s">
        <v>15</v>
      </c>
      <c r="B828">
        <v>2030</v>
      </c>
      <c r="C828" t="s">
        <v>61</v>
      </c>
      <c r="D828" t="s">
        <v>55</v>
      </c>
      <c r="E828">
        <v>6.5286185355306099</v>
      </c>
      <c r="F828">
        <v>6.5126221604491201</v>
      </c>
      <c r="G828">
        <v>-1.59963750814879E-2</v>
      </c>
      <c r="H828">
        <v>-0.24501929457864799</v>
      </c>
      <c r="I828" t="s">
        <v>62</v>
      </c>
    </row>
    <row r="829" spans="1:9" x14ac:dyDescent="0.35">
      <c r="A829" t="s">
        <v>15</v>
      </c>
      <c r="B829">
        <v>2030</v>
      </c>
      <c r="C829" t="s">
        <v>61</v>
      </c>
      <c r="D829" t="s">
        <v>56</v>
      </c>
      <c r="E829" s="1">
        <v>5.40775615524756E-7</v>
      </c>
      <c r="F829" s="1">
        <v>5.40775615524756E-7</v>
      </c>
      <c r="G829">
        <v>0</v>
      </c>
      <c r="H829">
        <v>0</v>
      </c>
      <c r="I829" t="s">
        <v>62</v>
      </c>
    </row>
    <row r="830" spans="1:9" x14ac:dyDescent="0.35">
      <c r="A830" t="s">
        <v>17</v>
      </c>
      <c r="B830">
        <v>2035</v>
      </c>
      <c r="C830" t="s">
        <v>61</v>
      </c>
      <c r="D830" t="s">
        <v>38</v>
      </c>
      <c r="E830">
        <v>3.86575456410516E-3</v>
      </c>
      <c r="F830">
        <v>3.7450854678517001E-3</v>
      </c>
      <c r="G830">
        <v>-1.2066909625345699E-4</v>
      </c>
      <c r="H830">
        <v>-3.12148881291923</v>
      </c>
      <c r="I830" t="s">
        <v>62</v>
      </c>
    </row>
    <row r="831" spans="1:9" x14ac:dyDescent="0.35">
      <c r="A831" t="s">
        <v>17</v>
      </c>
      <c r="B831">
        <v>2035</v>
      </c>
      <c r="C831" t="s">
        <v>61</v>
      </c>
      <c r="D831" t="s">
        <v>40</v>
      </c>
      <c r="E831">
        <v>4.3562013975008201E-3</v>
      </c>
      <c r="F831">
        <v>4.3562013975008201E-3</v>
      </c>
      <c r="G831">
        <v>0</v>
      </c>
      <c r="H831">
        <v>0</v>
      </c>
      <c r="I831" t="s">
        <v>62</v>
      </c>
    </row>
    <row r="832" spans="1:9" x14ac:dyDescent="0.35">
      <c r="A832" t="s">
        <v>17</v>
      </c>
      <c r="B832">
        <v>2035</v>
      </c>
      <c r="C832" t="s">
        <v>61</v>
      </c>
      <c r="D832" t="s">
        <v>41</v>
      </c>
      <c r="E832">
        <v>0.14692770266368699</v>
      </c>
      <c r="F832">
        <v>0.12447113068445601</v>
      </c>
      <c r="G832">
        <v>-2.2456571979231201E-2</v>
      </c>
      <c r="H832">
        <v>-15.284096580910701</v>
      </c>
      <c r="I832" t="s">
        <v>62</v>
      </c>
    </row>
    <row r="833" spans="1:9" x14ac:dyDescent="0.35">
      <c r="A833" t="s">
        <v>17</v>
      </c>
      <c r="B833">
        <v>2035</v>
      </c>
      <c r="C833" t="s">
        <v>61</v>
      </c>
      <c r="D833" t="s">
        <v>42</v>
      </c>
      <c r="E833">
        <v>17.226552083694799</v>
      </c>
      <c r="F833">
        <v>17.033759201949898</v>
      </c>
      <c r="G833">
        <v>-0.19279288174487499</v>
      </c>
      <c r="H833">
        <v>-1.1191611693866199</v>
      </c>
      <c r="I833" t="s">
        <v>62</v>
      </c>
    </row>
    <row r="834" spans="1:9" x14ac:dyDescent="0.35">
      <c r="A834" t="s">
        <v>17</v>
      </c>
      <c r="B834">
        <v>2035</v>
      </c>
      <c r="C834" t="s">
        <v>61</v>
      </c>
      <c r="D834" t="s">
        <v>43</v>
      </c>
      <c r="E834">
        <v>1.40209769418827E-2</v>
      </c>
      <c r="F834">
        <v>1.40209769418827E-2</v>
      </c>
      <c r="G834">
        <v>0</v>
      </c>
      <c r="H834">
        <v>0</v>
      </c>
      <c r="I834" t="s">
        <v>62</v>
      </c>
    </row>
    <row r="835" spans="1:9" x14ac:dyDescent="0.35">
      <c r="A835" t="s">
        <v>17</v>
      </c>
      <c r="B835">
        <v>2035</v>
      </c>
      <c r="C835" t="s">
        <v>61</v>
      </c>
      <c r="D835" t="s">
        <v>136</v>
      </c>
      <c r="E835">
        <v>8.8881462304134509</v>
      </c>
      <c r="F835">
        <v>8.8881462304134509</v>
      </c>
      <c r="G835">
        <v>0</v>
      </c>
      <c r="H835">
        <v>0</v>
      </c>
      <c r="I835" t="s">
        <v>62</v>
      </c>
    </row>
    <row r="836" spans="1:9" x14ac:dyDescent="0.35">
      <c r="A836" t="s">
        <v>17</v>
      </c>
      <c r="B836">
        <v>2035</v>
      </c>
      <c r="C836" t="s">
        <v>61</v>
      </c>
      <c r="D836" t="s">
        <v>45</v>
      </c>
      <c r="E836">
        <v>0.28319296215186202</v>
      </c>
      <c r="F836">
        <v>0.227747652037359</v>
      </c>
      <c r="G836">
        <v>-5.5445310114502599E-2</v>
      </c>
      <c r="H836">
        <v>-19.5786327785822</v>
      </c>
      <c r="I836" t="s">
        <v>62</v>
      </c>
    </row>
    <row r="837" spans="1:9" x14ac:dyDescent="0.35">
      <c r="A837" t="s">
        <v>17</v>
      </c>
      <c r="B837">
        <v>2035</v>
      </c>
      <c r="C837" t="s">
        <v>61</v>
      </c>
      <c r="D837" t="s">
        <v>46</v>
      </c>
      <c r="E837">
        <v>0.71232841532485303</v>
      </c>
      <c r="F837">
        <v>0.71232841532485303</v>
      </c>
      <c r="G837">
        <v>0</v>
      </c>
      <c r="H837">
        <v>0</v>
      </c>
      <c r="I837" t="s">
        <v>62</v>
      </c>
    </row>
    <row r="838" spans="1:9" x14ac:dyDescent="0.35">
      <c r="A838" t="s">
        <v>17</v>
      </c>
      <c r="B838">
        <v>2035</v>
      </c>
      <c r="C838" t="s">
        <v>61</v>
      </c>
      <c r="D838" t="s">
        <v>47</v>
      </c>
      <c r="E838">
        <v>1.1473745772792801E-2</v>
      </c>
      <c r="F838">
        <v>1.1473745772792801E-2</v>
      </c>
      <c r="G838">
        <v>0</v>
      </c>
      <c r="H838">
        <v>0</v>
      </c>
      <c r="I838" t="s">
        <v>62</v>
      </c>
    </row>
    <row r="839" spans="1:9" x14ac:dyDescent="0.35">
      <c r="A839" t="s">
        <v>17</v>
      </c>
      <c r="B839">
        <v>2035</v>
      </c>
      <c r="C839" t="s">
        <v>61</v>
      </c>
      <c r="D839" t="s">
        <v>48</v>
      </c>
      <c r="E839">
        <v>28.6410656750318</v>
      </c>
      <c r="F839">
        <v>28.6410656750318</v>
      </c>
      <c r="G839">
        <v>0</v>
      </c>
      <c r="H839">
        <v>0</v>
      </c>
      <c r="I839" t="s">
        <v>62</v>
      </c>
    </row>
    <row r="840" spans="1:9" x14ac:dyDescent="0.35">
      <c r="A840" t="s">
        <v>17</v>
      </c>
      <c r="B840">
        <v>2035</v>
      </c>
      <c r="C840" t="s">
        <v>61</v>
      </c>
      <c r="D840" t="s">
        <v>49</v>
      </c>
      <c r="E840">
        <v>1.36608390465101</v>
      </c>
      <c r="F840">
        <v>1.0891195045258899</v>
      </c>
      <c r="G840">
        <v>-0.27696440012512602</v>
      </c>
      <c r="H840">
        <v>-20.274333017332399</v>
      </c>
      <c r="I840" t="s">
        <v>62</v>
      </c>
    </row>
    <row r="841" spans="1:9" x14ac:dyDescent="0.35">
      <c r="A841" t="s">
        <v>17</v>
      </c>
      <c r="B841">
        <v>2035</v>
      </c>
      <c r="C841" t="s">
        <v>61</v>
      </c>
      <c r="D841" t="s">
        <v>50</v>
      </c>
      <c r="E841">
        <v>0.110064572018418</v>
      </c>
      <c r="F841">
        <v>0.110064572018418</v>
      </c>
      <c r="G841">
        <v>0</v>
      </c>
      <c r="H841">
        <v>0</v>
      </c>
      <c r="I841" t="s">
        <v>62</v>
      </c>
    </row>
    <row r="842" spans="1:9" x14ac:dyDescent="0.35">
      <c r="A842" t="s">
        <v>17</v>
      </c>
      <c r="B842">
        <v>2035</v>
      </c>
      <c r="C842" t="s">
        <v>61</v>
      </c>
      <c r="D842" t="s">
        <v>51</v>
      </c>
      <c r="E842">
        <v>0.590646307475028</v>
      </c>
      <c r="F842">
        <v>0.590646307475028</v>
      </c>
      <c r="G842">
        <v>0</v>
      </c>
      <c r="H842">
        <v>0</v>
      </c>
      <c r="I842" t="s">
        <v>62</v>
      </c>
    </row>
    <row r="843" spans="1:9" x14ac:dyDescent="0.35">
      <c r="A843" t="s">
        <v>17</v>
      </c>
      <c r="B843">
        <v>2035</v>
      </c>
      <c r="C843" t="s">
        <v>61</v>
      </c>
      <c r="D843" t="s">
        <v>52</v>
      </c>
      <c r="E843">
        <v>0.49482628299400699</v>
      </c>
      <c r="F843">
        <v>0.49482628299400699</v>
      </c>
      <c r="G843">
        <v>0</v>
      </c>
      <c r="H843">
        <v>0</v>
      </c>
      <c r="I843" t="s">
        <v>62</v>
      </c>
    </row>
    <row r="844" spans="1:9" x14ac:dyDescent="0.35">
      <c r="A844" t="s">
        <v>17</v>
      </c>
      <c r="B844">
        <v>2035</v>
      </c>
      <c r="C844" t="s">
        <v>61</v>
      </c>
      <c r="D844" t="s">
        <v>53</v>
      </c>
      <c r="E844">
        <v>2.1522029674095302</v>
      </c>
      <c r="F844">
        <v>2.1522029674095302</v>
      </c>
      <c r="G844">
        <v>0</v>
      </c>
      <c r="H844">
        <v>0</v>
      </c>
      <c r="I844" t="s">
        <v>62</v>
      </c>
    </row>
    <row r="845" spans="1:9" x14ac:dyDescent="0.35">
      <c r="A845" t="s">
        <v>17</v>
      </c>
      <c r="B845">
        <v>2035</v>
      </c>
      <c r="C845" t="s">
        <v>61</v>
      </c>
      <c r="D845" t="s">
        <v>54</v>
      </c>
      <c r="E845">
        <v>7.0803970886899901</v>
      </c>
      <c r="F845">
        <v>7.0803559236151203</v>
      </c>
      <c r="G845" s="1">
        <v>-4.1165074870619297E-5</v>
      </c>
      <c r="H845">
        <v>-5.8139500306240099E-4</v>
      </c>
      <c r="I845" t="s">
        <v>62</v>
      </c>
    </row>
    <row r="846" spans="1:9" x14ac:dyDescent="0.35">
      <c r="A846" t="s">
        <v>17</v>
      </c>
      <c r="B846">
        <v>2035</v>
      </c>
      <c r="C846" t="s">
        <v>61</v>
      </c>
      <c r="D846" t="s">
        <v>55</v>
      </c>
      <c r="E846">
        <v>6.5324855882035999</v>
      </c>
      <c r="F846">
        <v>6.5279974104407001</v>
      </c>
      <c r="G846">
        <v>-4.4881777629042201E-3</v>
      </c>
      <c r="H846">
        <v>-6.8705513426757403E-2</v>
      </c>
      <c r="I846" t="s">
        <v>62</v>
      </c>
    </row>
    <row r="847" spans="1:9" x14ac:dyDescent="0.35">
      <c r="A847" t="s">
        <v>17</v>
      </c>
      <c r="B847">
        <v>2035</v>
      </c>
      <c r="C847" t="s">
        <v>61</v>
      </c>
      <c r="D847" t="s">
        <v>56</v>
      </c>
      <c r="E847" s="1">
        <v>4.9913421270317597E-7</v>
      </c>
      <c r="F847" s="1">
        <v>4.9913421270317597E-7</v>
      </c>
      <c r="G847">
        <v>0</v>
      </c>
      <c r="H847">
        <v>0</v>
      </c>
      <c r="I847" t="s">
        <v>62</v>
      </c>
    </row>
    <row r="848" spans="1:9" x14ac:dyDescent="0.35">
      <c r="A848" t="s">
        <v>19</v>
      </c>
      <c r="B848">
        <v>2040</v>
      </c>
      <c r="C848" t="s">
        <v>61</v>
      </c>
      <c r="D848" t="s">
        <v>38</v>
      </c>
      <c r="E848">
        <v>4.5354213116669201E-3</v>
      </c>
      <c r="F848">
        <v>3.9754505259074297E-3</v>
      </c>
      <c r="G848">
        <v>-5.5997078575948495E-4</v>
      </c>
      <c r="H848">
        <v>-12.3466101003453</v>
      </c>
      <c r="I848" t="s">
        <v>62</v>
      </c>
    </row>
    <row r="849" spans="1:9" x14ac:dyDescent="0.35">
      <c r="A849" t="s">
        <v>19</v>
      </c>
      <c r="B849">
        <v>2040</v>
      </c>
      <c r="C849" t="s">
        <v>61</v>
      </c>
      <c r="D849" t="s">
        <v>40</v>
      </c>
      <c r="E849">
        <v>4.3997808354941199E-3</v>
      </c>
      <c r="F849">
        <v>4.3997808354941199E-3</v>
      </c>
      <c r="G849">
        <v>0</v>
      </c>
      <c r="H849">
        <v>0</v>
      </c>
      <c r="I849" t="s">
        <v>62</v>
      </c>
    </row>
    <row r="850" spans="1:9" x14ac:dyDescent="0.35">
      <c r="A850" t="s">
        <v>19</v>
      </c>
      <c r="B850">
        <v>2040</v>
      </c>
      <c r="C850" t="s">
        <v>61</v>
      </c>
      <c r="D850" t="s">
        <v>41</v>
      </c>
      <c r="E850">
        <v>0.146542446180049</v>
      </c>
      <c r="F850">
        <v>4.2709603461596801E-2</v>
      </c>
      <c r="G850">
        <v>-0.103832842718452</v>
      </c>
      <c r="H850">
        <v>-70.855131345957005</v>
      </c>
      <c r="I850" t="s">
        <v>62</v>
      </c>
    </row>
    <row r="851" spans="1:9" x14ac:dyDescent="0.35">
      <c r="A851" t="s">
        <v>19</v>
      </c>
      <c r="B851">
        <v>2040</v>
      </c>
      <c r="C851" t="s">
        <v>61</v>
      </c>
      <c r="D851" t="s">
        <v>42</v>
      </c>
      <c r="E851">
        <v>17.427859242518601</v>
      </c>
      <c r="F851">
        <v>16.555792151951501</v>
      </c>
      <c r="G851">
        <v>-0.87206709056712395</v>
      </c>
      <c r="H851">
        <v>-5.0038681081354399</v>
      </c>
      <c r="I851" t="s">
        <v>62</v>
      </c>
    </row>
    <row r="852" spans="1:9" x14ac:dyDescent="0.35">
      <c r="A852" t="s">
        <v>19</v>
      </c>
      <c r="B852">
        <v>2040</v>
      </c>
      <c r="C852" t="s">
        <v>61</v>
      </c>
      <c r="D852" t="s">
        <v>43</v>
      </c>
      <c r="E852">
        <v>1.41689167121697E-2</v>
      </c>
      <c r="F852">
        <v>1.41689167121697E-2</v>
      </c>
      <c r="G852">
        <v>0</v>
      </c>
      <c r="H852">
        <v>0</v>
      </c>
      <c r="I852" t="s">
        <v>62</v>
      </c>
    </row>
    <row r="853" spans="1:9" x14ac:dyDescent="0.35">
      <c r="A853" t="s">
        <v>19</v>
      </c>
      <c r="B853">
        <v>2040</v>
      </c>
      <c r="C853" t="s">
        <v>61</v>
      </c>
      <c r="D853" t="s">
        <v>136</v>
      </c>
      <c r="E853">
        <v>8.7725390821835703</v>
      </c>
      <c r="F853">
        <v>8.3971061147072596</v>
      </c>
      <c r="G853">
        <v>-0.375432967476303</v>
      </c>
      <c r="H853">
        <v>-4.2796385853530303</v>
      </c>
      <c r="I853" t="s">
        <v>62</v>
      </c>
    </row>
    <row r="854" spans="1:9" x14ac:dyDescent="0.35">
      <c r="A854" t="s">
        <v>19</v>
      </c>
      <c r="B854">
        <v>2040</v>
      </c>
      <c r="C854" t="s">
        <v>61</v>
      </c>
      <c r="D854" t="s">
        <v>45</v>
      </c>
      <c r="E854">
        <v>0.28275619830137799</v>
      </c>
      <c r="F854">
        <v>2.6386007031485598E-2</v>
      </c>
      <c r="G854">
        <v>-0.25637019126989302</v>
      </c>
      <c r="H854">
        <v>-90.668283422257005</v>
      </c>
      <c r="I854" t="s">
        <v>62</v>
      </c>
    </row>
    <row r="855" spans="1:9" x14ac:dyDescent="0.35">
      <c r="A855" t="s">
        <v>19</v>
      </c>
      <c r="B855">
        <v>2040</v>
      </c>
      <c r="C855" t="s">
        <v>61</v>
      </c>
      <c r="D855" t="s">
        <v>46</v>
      </c>
      <c r="E855">
        <v>1.0157347890936701</v>
      </c>
      <c r="F855">
        <v>1.0157347890936701</v>
      </c>
      <c r="G855">
        <v>0</v>
      </c>
      <c r="H855">
        <v>0</v>
      </c>
      <c r="I855" t="s">
        <v>62</v>
      </c>
    </row>
    <row r="856" spans="1:9" x14ac:dyDescent="0.35">
      <c r="A856" t="s">
        <v>19</v>
      </c>
      <c r="B856">
        <v>2040</v>
      </c>
      <c r="C856" t="s">
        <v>61</v>
      </c>
      <c r="D856" t="s">
        <v>47</v>
      </c>
      <c r="E856">
        <v>1.18021529924917E-2</v>
      </c>
      <c r="F856">
        <v>1.18021529924917E-2</v>
      </c>
      <c r="G856">
        <v>0</v>
      </c>
      <c r="H856">
        <v>0</v>
      </c>
      <c r="I856" t="s">
        <v>62</v>
      </c>
    </row>
    <row r="857" spans="1:9" x14ac:dyDescent="0.35">
      <c r="A857" t="s">
        <v>19</v>
      </c>
      <c r="B857">
        <v>2040</v>
      </c>
      <c r="C857" t="s">
        <v>61</v>
      </c>
      <c r="D857" t="s">
        <v>48</v>
      </c>
      <c r="E857">
        <v>28.649693622541999</v>
      </c>
      <c r="F857">
        <v>28.649693622541999</v>
      </c>
      <c r="G857">
        <v>0</v>
      </c>
      <c r="H857">
        <v>0</v>
      </c>
      <c r="I857" t="s">
        <v>62</v>
      </c>
    </row>
    <row r="858" spans="1:9" x14ac:dyDescent="0.35">
      <c r="A858" t="s">
        <v>19</v>
      </c>
      <c r="B858">
        <v>2040</v>
      </c>
      <c r="C858" t="s">
        <v>61</v>
      </c>
      <c r="D858" t="s">
        <v>49</v>
      </c>
      <c r="E858">
        <v>1.3656971302421099</v>
      </c>
      <c r="F858">
        <v>8.5092012800360897E-2</v>
      </c>
      <c r="G858">
        <v>-1.2806051174417501</v>
      </c>
      <c r="H858">
        <v>-93.769335021940293</v>
      </c>
      <c r="I858" t="s">
        <v>62</v>
      </c>
    </row>
    <row r="859" spans="1:9" x14ac:dyDescent="0.35">
      <c r="A859" t="s">
        <v>19</v>
      </c>
      <c r="B859">
        <v>2040</v>
      </c>
      <c r="C859" t="s">
        <v>61</v>
      </c>
      <c r="D859" t="s">
        <v>50</v>
      </c>
      <c r="E859">
        <v>0.112219400992744</v>
      </c>
      <c r="F859">
        <v>0.112219400992744</v>
      </c>
      <c r="G859">
        <v>0</v>
      </c>
      <c r="H859">
        <v>0</v>
      </c>
      <c r="I859" t="s">
        <v>62</v>
      </c>
    </row>
    <row r="860" spans="1:9" x14ac:dyDescent="0.35">
      <c r="A860" t="s">
        <v>19</v>
      </c>
      <c r="B860">
        <v>2040</v>
      </c>
      <c r="C860" t="s">
        <v>61</v>
      </c>
      <c r="D860" t="s">
        <v>51</v>
      </c>
      <c r="E860">
        <v>0.60725536465651497</v>
      </c>
      <c r="F860">
        <v>0.60725536465651497</v>
      </c>
      <c r="G860">
        <v>0</v>
      </c>
      <c r="H860">
        <v>0</v>
      </c>
      <c r="I860" t="s">
        <v>62</v>
      </c>
    </row>
    <row r="861" spans="1:9" x14ac:dyDescent="0.35">
      <c r="A861" t="s">
        <v>19</v>
      </c>
      <c r="B861">
        <v>2040</v>
      </c>
      <c r="C861" t="s">
        <v>61</v>
      </c>
      <c r="D861" t="s">
        <v>52</v>
      </c>
      <c r="E861">
        <v>0.42674801555565101</v>
      </c>
      <c r="F861">
        <v>0.42674801555565101</v>
      </c>
      <c r="G861">
        <v>0</v>
      </c>
      <c r="H861">
        <v>0</v>
      </c>
      <c r="I861" t="s">
        <v>62</v>
      </c>
    </row>
    <row r="862" spans="1:9" x14ac:dyDescent="0.35">
      <c r="A862" t="s">
        <v>19</v>
      </c>
      <c r="B862">
        <v>2040</v>
      </c>
      <c r="C862" t="s">
        <v>61</v>
      </c>
      <c r="D862" t="s">
        <v>53</v>
      </c>
      <c r="E862">
        <v>2.1063450108183002</v>
      </c>
      <c r="F862">
        <v>2.1063450108183002</v>
      </c>
      <c r="G862">
        <v>0</v>
      </c>
      <c r="H862">
        <v>0</v>
      </c>
      <c r="I862" t="s">
        <v>62</v>
      </c>
    </row>
    <row r="863" spans="1:9" x14ac:dyDescent="0.35">
      <c r="A863" t="s">
        <v>19</v>
      </c>
      <c r="B863">
        <v>2040</v>
      </c>
      <c r="C863" t="s">
        <v>61</v>
      </c>
      <c r="D863" t="s">
        <v>54</v>
      </c>
      <c r="E863">
        <v>7.0894461041967203</v>
      </c>
      <c r="F863">
        <v>7.0892552055177402</v>
      </c>
      <c r="G863">
        <v>-1.90898678976481E-4</v>
      </c>
      <c r="H863">
        <v>-2.6927164149463702E-3</v>
      </c>
      <c r="I863" t="s">
        <v>62</v>
      </c>
    </row>
    <row r="864" spans="1:9" x14ac:dyDescent="0.35">
      <c r="A864" t="s">
        <v>19</v>
      </c>
      <c r="B864">
        <v>2040</v>
      </c>
      <c r="C864" t="s">
        <v>61</v>
      </c>
      <c r="D864" t="s">
        <v>55</v>
      </c>
      <c r="E864">
        <v>6.5408417890180699</v>
      </c>
      <c r="F864">
        <v>6.5203572242114403</v>
      </c>
      <c r="G864">
        <v>-2.04845648066278E-2</v>
      </c>
      <c r="H864">
        <v>-0.31317933482233001</v>
      </c>
      <c r="I864" t="s">
        <v>62</v>
      </c>
    </row>
    <row r="865" spans="1:9" x14ac:dyDescent="0.35">
      <c r="A865" t="s">
        <v>19</v>
      </c>
      <c r="B865">
        <v>2040</v>
      </c>
      <c r="C865" t="s">
        <v>61</v>
      </c>
      <c r="D865" t="s">
        <v>56</v>
      </c>
      <c r="E865" s="1">
        <v>4.5762183494992598E-7</v>
      </c>
      <c r="F865" s="1">
        <v>4.5762183494992598E-7</v>
      </c>
      <c r="G865">
        <v>0</v>
      </c>
      <c r="H865">
        <v>0</v>
      </c>
      <c r="I865" t="s">
        <v>62</v>
      </c>
    </row>
    <row r="866" spans="1:9" x14ac:dyDescent="0.35">
      <c r="A866" t="s">
        <v>13</v>
      </c>
      <c r="B866">
        <v>2025</v>
      </c>
      <c r="C866" t="s">
        <v>127</v>
      </c>
      <c r="D866" t="s">
        <v>38</v>
      </c>
      <c r="E866">
        <v>5.3348036043411604E-3</v>
      </c>
      <c r="F866">
        <v>5.3348036043411604E-3</v>
      </c>
      <c r="G866">
        <v>0</v>
      </c>
      <c r="H866">
        <v>0</v>
      </c>
      <c r="I866" t="s">
        <v>128</v>
      </c>
    </row>
    <row r="867" spans="1:9" x14ac:dyDescent="0.35">
      <c r="A867" t="s">
        <v>13</v>
      </c>
      <c r="B867">
        <v>2025</v>
      </c>
      <c r="C867" t="s">
        <v>127</v>
      </c>
      <c r="D867" t="s">
        <v>40</v>
      </c>
      <c r="E867">
        <v>5.5062763618235103E-2</v>
      </c>
      <c r="F867">
        <v>5.5062763618235103E-2</v>
      </c>
      <c r="G867">
        <v>0</v>
      </c>
      <c r="H867">
        <v>0</v>
      </c>
      <c r="I867" t="s">
        <v>128</v>
      </c>
    </row>
    <row r="868" spans="1:9" x14ac:dyDescent="0.35">
      <c r="A868" t="s">
        <v>13</v>
      </c>
      <c r="B868">
        <v>2025</v>
      </c>
      <c r="C868" t="s">
        <v>127</v>
      </c>
      <c r="D868" t="s">
        <v>41</v>
      </c>
      <c r="E868">
        <v>0.76171930988838299</v>
      </c>
      <c r="F868">
        <v>0.76171930988838299</v>
      </c>
      <c r="G868">
        <v>0</v>
      </c>
      <c r="H868">
        <v>0</v>
      </c>
      <c r="I868" t="s">
        <v>128</v>
      </c>
    </row>
    <row r="869" spans="1:9" x14ac:dyDescent="0.35">
      <c r="A869" t="s">
        <v>13</v>
      </c>
      <c r="B869">
        <v>2025</v>
      </c>
      <c r="C869" t="s">
        <v>127</v>
      </c>
      <c r="D869" t="s">
        <v>42</v>
      </c>
      <c r="E869">
        <v>180.29954055544499</v>
      </c>
      <c r="F869">
        <v>180.29954055544499</v>
      </c>
      <c r="G869">
        <v>0</v>
      </c>
      <c r="H869">
        <v>0</v>
      </c>
      <c r="I869" t="s">
        <v>128</v>
      </c>
    </row>
    <row r="870" spans="1:9" x14ac:dyDescent="0.35">
      <c r="A870" t="s">
        <v>13</v>
      </c>
      <c r="B870">
        <v>2025</v>
      </c>
      <c r="C870" t="s">
        <v>127</v>
      </c>
      <c r="D870" t="s">
        <v>43</v>
      </c>
      <c r="E870">
        <v>0.237492980627491</v>
      </c>
      <c r="F870">
        <v>0.237492980627491</v>
      </c>
      <c r="G870">
        <v>0</v>
      </c>
      <c r="H870">
        <v>0</v>
      </c>
      <c r="I870" t="s">
        <v>128</v>
      </c>
    </row>
    <row r="871" spans="1:9" x14ac:dyDescent="0.35">
      <c r="A871" t="s">
        <v>13</v>
      </c>
      <c r="B871">
        <v>2025</v>
      </c>
      <c r="C871" t="s">
        <v>127</v>
      </c>
      <c r="D871" t="s">
        <v>136</v>
      </c>
      <c r="E871">
        <v>30.4045095101546</v>
      </c>
      <c r="F871">
        <v>30.4045095101546</v>
      </c>
      <c r="G871">
        <v>0</v>
      </c>
      <c r="H871">
        <v>0</v>
      </c>
      <c r="I871" t="s">
        <v>128</v>
      </c>
    </row>
    <row r="872" spans="1:9" x14ac:dyDescent="0.35">
      <c r="A872" t="s">
        <v>13</v>
      </c>
      <c r="B872">
        <v>2025</v>
      </c>
      <c r="C872" t="s">
        <v>127</v>
      </c>
      <c r="D872" t="s">
        <v>45</v>
      </c>
      <c r="E872">
        <v>0.23724572103917599</v>
      </c>
      <c r="F872">
        <v>0.23724572103917599</v>
      </c>
      <c r="G872">
        <v>0</v>
      </c>
      <c r="H872">
        <v>0</v>
      </c>
      <c r="I872" t="s">
        <v>128</v>
      </c>
    </row>
    <row r="873" spans="1:9" x14ac:dyDescent="0.35">
      <c r="A873" t="s">
        <v>13</v>
      </c>
      <c r="B873">
        <v>2025</v>
      </c>
      <c r="C873" t="s">
        <v>127</v>
      </c>
      <c r="D873" t="s">
        <v>46</v>
      </c>
      <c r="E873">
        <v>0.54777880568260195</v>
      </c>
      <c r="F873">
        <v>0.54777880568260195</v>
      </c>
      <c r="G873">
        <v>0</v>
      </c>
      <c r="H873">
        <v>0</v>
      </c>
      <c r="I873" t="s">
        <v>128</v>
      </c>
    </row>
    <row r="874" spans="1:9" x14ac:dyDescent="0.35">
      <c r="A874" t="s">
        <v>13</v>
      </c>
      <c r="B874">
        <v>2025</v>
      </c>
      <c r="C874" t="s">
        <v>127</v>
      </c>
      <c r="D874" t="s">
        <v>47</v>
      </c>
      <c r="E874">
        <v>4.5974053668703697E-2</v>
      </c>
      <c r="F874">
        <v>4.5974053668703697E-2</v>
      </c>
      <c r="G874">
        <v>0</v>
      </c>
      <c r="H874">
        <v>0</v>
      </c>
      <c r="I874" t="s">
        <v>128</v>
      </c>
    </row>
    <row r="875" spans="1:9" x14ac:dyDescent="0.35">
      <c r="A875" t="s">
        <v>13</v>
      </c>
      <c r="B875">
        <v>2025</v>
      </c>
      <c r="C875" t="s">
        <v>127</v>
      </c>
      <c r="D875" t="s">
        <v>48</v>
      </c>
      <c r="E875">
        <v>79.764953705458296</v>
      </c>
      <c r="F875">
        <v>79.764953705458296</v>
      </c>
      <c r="G875">
        <v>0</v>
      </c>
      <c r="H875">
        <v>0</v>
      </c>
      <c r="I875" t="s">
        <v>128</v>
      </c>
    </row>
    <row r="876" spans="1:9" x14ac:dyDescent="0.35">
      <c r="A876" t="s">
        <v>13</v>
      </c>
      <c r="B876">
        <v>2025</v>
      </c>
      <c r="C876" t="s">
        <v>127</v>
      </c>
      <c r="D876" t="s">
        <v>49</v>
      </c>
      <c r="E876">
        <v>0.84733197785644199</v>
      </c>
      <c r="F876">
        <v>0.84733197785644199</v>
      </c>
      <c r="G876">
        <v>0</v>
      </c>
      <c r="H876">
        <v>0</v>
      </c>
      <c r="I876" t="s">
        <v>128</v>
      </c>
    </row>
    <row r="877" spans="1:9" x14ac:dyDescent="0.35">
      <c r="A877" t="s">
        <v>13</v>
      </c>
      <c r="B877">
        <v>2025</v>
      </c>
      <c r="C877" t="s">
        <v>127</v>
      </c>
      <c r="D877" t="s">
        <v>50</v>
      </c>
      <c r="E877">
        <v>0.50054350950409998</v>
      </c>
      <c r="F877">
        <v>0.50054350950409998</v>
      </c>
      <c r="G877">
        <v>0</v>
      </c>
      <c r="H877">
        <v>0</v>
      </c>
      <c r="I877" t="s">
        <v>128</v>
      </c>
    </row>
    <row r="878" spans="1:9" x14ac:dyDescent="0.35">
      <c r="A878" t="s">
        <v>13</v>
      </c>
      <c r="B878">
        <v>2025</v>
      </c>
      <c r="C878" t="s">
        <v>127</v>
      </c>
      <c r="D878" t="s">
        <v>51</v>
      </c>
      <c r="E878">
        <v>1.4918505622776601</v>
      </c>
      <c r="F878">
        <v>1.4918505622776601</v>
      </c>
      <c r="G878">
        <v>0</v>
      </c>
      <c r="H878">
        <v>0</v>
      </c>
      <c r="I878" t="s">
        <v>128</v>
      </c>
    </row>
    <row r="879" spans="1:9" x14ac:dyDescent="0.35">
      <c r="A879" t="s">
        <v>13</v>
      </c>
      <c r="B879">
        <v>2025</v>
      </c>
      <c r="C879" t="s">
        <v>127</v>
      </c>
      <c r="D879" t="s">
        <v>52</v>
      </c>
      <c r="E879">
        <v>1.8160372730776999</v>
      </c>
      <c r="F879">
        <v>1.8160372730776999</v>
      </c>
      <c r="G879">
        <v>0</v>
      </c>
      <c r="H879">
        <v>0</v>
      </c>
      <c r="I879" t="s">
        <v>128</v>
      </c>
    </row>
    <row r="880" spans="1:9" x14ac:dyDescent="0.35">
      <c r="A880" t="s">
        <v>13</v>
      </c>
      <c r="B880">
        <v>2025</v>
      </c>
      <c r="C880" t="s">
        <v>127</v>
      </c>
      <c r="D880" t="s">
        <v>53</v>
      </c>
      <c r="E880">
        <v>11.522663888878901</v>
      </c>
      <c r="F880">
        <v>11.522663888878901</v>
      </c>
      <c r="G880">
        <v>0</v>
      </c>
      <c r="H880">
        <v>0</v>
      </c>
      <c r="I880" t="s">
        <v>128</v>
      </c>
    </row>
    <row r="881" spans="1:9" x14ac:dyDescent="0.35">
      <c r="A881" t="s">
        <v>13</v>
      </c>
      <c r="B881">
        <v>2025</v>
      </c>
      <c r="C881" t="s">
        <v>127</v>
      </c>
      <c r="D881" t="s">
        <v>54</v>
      </c>
      <c r="E881">
        <v>14.262280910086499</v>
      </c>
      <c r="F881">
        <v>14.262280910086499</v>
      </c>
      <c r="G881">
        <v>0</v>
      </c>
      <c r="H881">
        <v>0</v>
      </c>
      <c r="I881" t="s">
        <v>128</v>
      </c>
    </row>
    <row r="882" spans="1:9" x14ac:dyDescent="0.35">
      <c r="A882" t="s">
        <v>13</v>
      </c>
      <c r="B882">
        <v>2025</v>
      </c>
      <c r="C882" t="s">
        <v>127</v>
      </c>
      <c r="D882" t="s">
        <v>55</v>
      </c>
      <c r="E882">
        <v>12.359973918422501</v>
      </c>
      <c r="F882">
        <v>12.359973918422501</v>
      </c>
      <c r="G882">
        <v>0</v>
      </c>
      <c r="H882">
        <v>0</v>
      </c>
      <c r="I882" t="s">
        <v>128</v>
      </c>
    </row>
    <row r="883" spans="1:9" x14ac:dyDescent="0.35">
      <c r="A883" t="s">
        <v>13</v>
      </c>
      <c r="B883">
        <v>2025</v>
      </c>
      <c r="C883" t="s">
        <v>127</v>
      </c>
      <c r="D883" t="s">
        <v>56</v>
      </c>
      <c r="E883" s="1">
        <v>2.7980733337736901E-6</v>
      </c>
      <c r="F883" s="1">
        <v>2.7980733337736901E-6</v>
      </c>
      <c r="G883">
        <v>0</v>
      </c>
      <c r="H883">
        <v>0</v>
      </c>
      <c r="I883" t="s">
        <v>128</v>
      </c>
    </row>
    <row r="884" spans="1:9" x14ac:dyDescent="0.35">
      <c r="A884" t="s">
        <v>15</v>
      </c>
      <c r="B884">
        <v>2030</v>
      </c>
      <c r="C884" t="s">
        <v>127</v>
      </c>
      <c r="D884" t="s">
        <v>38</v>
      </c>
      <c r="E884">
        <v>5.7584301643180003E-3</v>
      </c>
      <c r="F884">
        <v>5.6705815278454298E-3</v>
      </c>
      <c r="G884" s="1">
        <v>-8.7848636472568798E-5</v>
      </c>
      <c r="H884">
        <v>-1.5255657178395701</v>
      </c>
      <c r="I884" t="s">
        <v>128</v>
      </c>
    </row>
    <row r="885" spans="1:9" x14ac:dyDescent="0.35">
      <c r="A885" t="s">
        <v>15</v>
      </c>
      <c r="B885">
        <v>2030</v>
      </c>
      <c r="C885" t="s">
        <v>127</v>
      </c>
      <c r="D885" t="s">
        <v>40</v>
      </c>
      <c r="E885">
        <v>5.5336306762642E-2</v>
      </c>
      <c r="F885">
        <v>5.5336306762642E-2</v>
      </c>
      <c r="G885">
        <v>0</v>
      </c>
      <c r="H885">
        <v>0</v>
      </c>
      <c r="I885" t="s">
        <v>128</v>
      </c>
    </row>
    <row r="886" spans="1:9" x14ac:dyDescent="0.35">
      <c r="A886" t="s">
        <v>15</v>
      </c>
      <c r="B886">
        <v>2030</v>
      </c>
      <c r="C886" t="s">
        <v>127</v>
      </c>
      <c r="D886" t="s">
        <v>41</v>
      </c>
      <c r="E886">
        <v>0.73746519277300004</v>
      </c>
      <c r="F886">
        <v>0.73745607403574298</v>
      </c>
      <c r="G886" s="1">
        <v>-9.1187372578405095E-6</v>
      </c>
      <c r="H886">
        <v>-1.23649730823938E-3</v>
      </c>
      <c r="I886" t="s">
        <v>128</v>
      </c>
    </row>
    <row r="887" spans="1:9" x14ac:dyDescent="0.35">
      <c r="A887" t="s">
        <v>15</v>
      </c>
      <c r="B887">
        <v>2030</v>
      </c>
      <c r="C887" t="s">
        <v>127</v>
      </c>
      <c r="D887" t="s">
        <v>42</v>
      </c>
      <c r="E887">
        <v>178.17003645061601</v>
      </c>
      <c r="F887">
        <v>178.10656236614801</v>
      </c>
      <c r="G887">
        <v>-6.3474084468310807E-2</v>
      </c>
      <c r="H887">
        <v>-3.5625566303290203E-2</v>
      </c>
      <c r="I887" t="s">
        <v>128</v>
      </c>
    </row>
    <row r="888" spans="1:9" x14ac:dyDescent="0.35">
      <c r="A888" t="s">
        <v>15</v>
      </c>
      <c r="B888">
        <v>2030</v>
      </c>
      <c r="C888" t="s">
        <v>127</v>
      </c>
      <c r="D888" t="s">
        <v>43</v>
      </c>
      <c r="E888">
        <v>0.23284861966500001</v>
      </c>
      <c r="F888">
        <v>0.23284861130746601</v>
      </c>
      <c r="G888" s="1">
        <v>-8.3575333598151502E-9</v>
      </c>
      <c r="H888" s="1">
        <v>-3.5892561320909499E-6</v>
      </c>
      <c r="I888" t="s">
        <v>128</v>
      </c>
    </row>
    <row r="889" spans="1:9" x14ac:dyDescent="0.35">
      <c r="A889" t="s">
        <v>15</v>
      </c>
      <c r="B889">
        <v>2030</v>
      </c>
      <c r="C889" t="s">
        <v>127</v>
      </c>
      <c r="D889" t="s">
        <v>136</v>
      </c>
      <c r="E889">
        <v>25.850720456465499</v>
      </c>
      <c r="F889">
        <v>25.8506403654015</v>
      </c>
      <c r="G889" s="1">
        <v>-8.0091064013743094E-5</v>
      </c>
      <c r="H889">
        <v>-3.0982139994365702E-4</v>
      </c>
      <c r="I889" t="s">
        <v>128</v>
      </c>
    </row>
    <row r="890" spans="1:9" x14ac:dyDescent="0.35">
      <c r="A890" t="s">
        <v>15</v>
      </c>
      <c r="B890">
        <v>2030</v>
      </c>
      <c r="C890" t="s">
        <v>127</v>
      </c>
      <c r="D890" t="s">
        <v>45</v>
      </c>
      <c r="E890">
        <v>0.19860535561582701</v>
      </c>
      <c r="F890">
        <v>0.198579868032599</v>
      </c>
      <c r="G890" s="1">
        <v>-2.54875832288725E-5</v>
      </c>
      <c r="H890">
        <v>-1.2833280930336199E-2</v>
      </c>
      <c r="I890" t="s">
        <v>128</v>
      </c>
    </row>
    <row r="891" spans="1:9" x14ac:dyDescent="0.35">
      <c r="A891" t="s">
        <v>15</v>
      </c>
      <c r="B891">
        <v>2030</v>
      </c>
      <c r="C891" t="s">
        <v>127</v>
      </c>
      <c r="D891" t="s">
        <v>46</v>
      </c>
      <c r="E891">
        <v>0.78612818020761999</v>
      </c>
      <c r="F891">
        <v>0.78612818020761999</v>
      </c>
      <c r="G891">
        <v>0</v>
      </c>
      <c r="H891">
        <v>0</v>
      </c>
      <c r="I891" t="s">
        <v>128</v>
      </c>
    </row>
    <row r="892" spans="1:9" x14ac:dyDescent="0.35">
      <c r="A892" t="s">
        <v>15</v>
      </c>
      <c r="B892">
        <v>2030</v>
      </c>
      <c r="C892" t="s">
        <v>127</v>
      </c>
      <c r="D892" t="s">
        <v>47</v>
      </c>
      <c r="E892">
        <v>4.3214444052885201E-2</v>
      </c>
      <c r="F892">
        <v>4.3214444052885201E-2</v>
      </c>
      <c r="G892">
        <v>0</v>
      </c>
      <c r="H892">
        <v>0</v>
      </c>
      <c r="I892" t="s">
        <v>128</v>
      </c>
    </row>
    <row r="893" spans="1:9" x14ac:dyDescent="0.35">
      <c r="A893" t="s">
        <v>15</v>
      </c>
      <c r="B893">
        <v>2030</v>
      </c>
      <c r="C893" t="s">
        <v>127</v>
      </c>
      <c r="D893" t="s">
        <v>48</v>
      </c>
      <c r="E893">
        <v>79.792279950564094</v>
      </c>
      <c r="F893">
        <v>79.792279950564094</v>
      </c>
      <c r="G893">
        <v>0</v>
      </c>
      <c r="H893">
        <v>0</v>
      </c>
      <c r="I893" t="s">
        <v>128</v>
      </c>
    </row>
    <row r="894" spans="1:9" x14ac:dyDescent="0.35">
      <c r="A894" t="s">
        <v>15</v>
      </c>
      <c r="B894">
        <v>2030</v>
      </c>
      <c r="C894" t="s">
        <v>127</v>
      </c>
      <c r="D894" t="s">
        <v>49</v>
      </c>
      <c r="E894">
        <v>0.66784323279281599</v>
      </c>
      <c r="F894">
        <v>0.66773102130770301</v>
      </c>
      <c r="G894">
        <v>-1.12211485112978E-4</v>
      </c>
      <c r="H894">
        <v>-1.68020696479513E-2</v>
      </c>
      <c r="I894" t="s">
        <v>128</v>
      </c>
    </row>
    <row r="895" spans="1:9" x14ac:dyDescent="0.35">
      <c r="A895" t="s">
        <v>15</v>
      </c>
      <c r="B895">
        <v>2030</v>
      </c>
      <c r="C895" t="s">
        <v>127</v>
      </c>
      <c r="D895" t="s">
        <v>50</v>
      </c>
      <c r="E895">
        <v>0.50131416790392402</v>
      </c>
      <c r="F895">
        <v>0.50131416790392402</v>
      </c>
      <c r="G895">
        <v>0</v>
      </c>
      <c r="H895">
        <v>0</v>
      </c>
      <c r="I895" t="s">
        <v>128</v>
      </c>
    </row>
    <row r="896" spans="1:9" x14ac:dyDescent="0.35">
      <c r="A896" t="s">
        <v>15</v>
      </c>
      <c r="B896">
        <v>2030</v>
      </c>
      <c r="C896" t="s">
        <v>127</v>
      </c>
      <c r="D896" t="s">
        <v>51</v>
      </c>
      <c r="E896">
        <v>1.49199705844746</v>
      </c>
      <c r="F896">
        <v>1.49199705844746</v>
      </c>
      <c r="G896">
        <v>0</v>
      </c>
      <c r="H896">
        <v>0</v>
      </c>
      <c r="I896" t="s">
        <v>128</v>
      </c>
    </row>
    <row r="897" spans="1:9" x14ac:dyDescent="0.35">
      <c r="A897" t="s">
        <v>15</v>
      </c>
      <c r="B897">
        <v>2030</v>
      </c>
      <c r="C897" t="s">
        <v>127</v>
      </c>
      <c r="D897" t="s">
        <v>52</v>
      </c>
      <c r="E897">
        <v>1.6149086940260899</v>
      </c>
      <c r="F897">
        <v>1.6149086940260899</v>
      </c>
      <c r="G897">
        <v>0</v>
      </c>
      <c r="H897">
        <v>0</v>
      </c>
      <c r="I897" t="s">
        <v>128</v>
      </c>
    </row>
    <row r="898" spans="1:9" x14ac:dyDescent="0.35">
      <c r="A898" t="s">
        <v>15</v>
      </c>
      <c r="B898">
        <v>2030</v>
      </c>
      <c r="C898" t="s">
        <v>127</v>
      </c>
      <c r="D898" t="s">
        <v>53</v>
      </c>
      <c r="E898">
        <v>10.569500504716601</v>
      </c>
      <c r="F898">
        <v>10.569500504716601</v>
      </c>
      <c r="G898">
        <v>0</v>
      </c>
      <c r="H898">
        <v>0</v>
      </c>
      <c r="I898" t="s">
        <v>128</v>
      </c>
    </row>
    <row r="899" spans="1:9" x14ac:dyDescent="0.35">
      <c r="A899" t="s">
        <v>15</v>
      </c>
      <c r="B899">
        <v>2030</v>
      </c>
      <c r="C899" t="s">
        <v>127</v>
      </c>
      <c r="D899" t="s">
        <v>54</v>
      </c>
      <c r="E899">
        <v>14.236120008129401</v>
      </c>
      <c r="F899">
        <v>14.231553671296499</v>
      </c>
      <c r="G899">
        <v>-4.5663368328732103E-3</v>
      </c>
      <c r="H899">
        <v>-3.2075711853128699E-2</v>
      </c>
      <c r="I899" t="s">
        <v>128</v>
      </c>
    </row>
    <row r="900" spans="1:9" x14ac:dyDescent="0.35">
      <c r="A900" t="s">
        <v>15</v>
      </c>
      <c r="B900">
        <v>2030</v>
      </c>
      <c r="C900" t="s">
        <v>127</v>
      </c>
      <c r="D900" t="s">
        <v>55</v>
      </c>
      <c r="E900">
        <v>12.335641586418999</v>
      </c>
      <c r="F900">
        <v>12.3348749793136</v>
      </c>
      <c r="G900">
        <v>-7.6660710535492096E-4</v>
      </c>
      <c r="H900">
        <v>-6.2145701947024703E-3</v>
      </c>
      <c r="I900" t="s">
        <v>128</v>
      </c>
    </row>
    <row r="901" spans="1:9" x14ac:dyDescent="0.35">
      <c r="A901" t="s">
        <v>15</v>
      </c>
      <c r="B901">
        <v>2030</v>
      </c>
      <c r="C901" t="s">
        <v>127</v>
      </c>
      <c r="D901" t="s">
        <v>56</v>
      </c>
      <c r="E901" s="1">
        <v>2.7562342345189799E-6</v>
      </c>
      <c r="F901" s="1">
        <v>2.7562342345189799E-6</v>
      </c>
      <c r="G901">
        <v>0</v>
      </c>
      <c r="H901">
        <v>0</v>
      </c>
      <c r="I901" t="s">
        <v>128</v>
      </c>
    </row>
    <row r="902" spans="1:9" x14ac:dyDescent="0.35">
      <c r="A902" t="s">
        <v>17</v>
      </c>
      <c r="B902">
        <v>2035</v>
      </c>
      <c r="C902" t="s">
        <v>127</v>
      </c>
      <c r="D902" t="s">
        <v>38</v>
      </c>
      <c r="E902">
        <v>8.2996271670602098E-3</v>
      </c>
      <c r="F902">
        <v>8.2747710532731396E-3</v>
      </c>
      <c r="G902" s="1">
        <v>-2.4856113787068401E-5</v>
      </c>
      <c r="H902">
        <v>-0.29948470318905501</v>
      </c>
      <c r="I902" t="s">
        <v>128</v>
      </c>
    </row>
    <row r="903" spans="1:9" x14ac:dyDescent="0.35">
      <c r="A903" t="s">
        <v>17</v>
      </c>
      <c r="B903">
        <v>2035</v>
      </c>
      <c r="C903" t="s">
        <v>127</v>
      </c>
      <c r="D903" t="s">
        <v>40</v>
      </c>
      <c r="E903">
        <v>5.4993801365841199E-2</v>
      </c>
      <c r="F903">
        <v>5.4993801365841199E-2</v>
      </c>
      <c r="G903">
        <v>0</v>
      </c>
      <c r="H903">
        <v>0</v>
      </c>
      <c r="I903" t="s">
        <v>128</v>
      </c>
    </row>
    <row r="904" spans="1:9" x14ac:dyDescent="0.35">
      <c r="A904" t="s">
        <v>17</v>
      </c>
      <c r="B904">
        <v>2035</v>
      </c>
      <c r="C904" t="s">
        <v>127</v>
      </c>
      <c r="D904" t="s">
        <v>41</v>
      </c>
      <c r="E904">
        <v>0.73482996129639999</v>
      </c>
      <c r="F904">
        <v>0.73482744496435004</v>
      </c>
      <c r="G904" s="1">
        <v>-2.5163320501730899E-6</v>
      </c>
      <c r="H904">
        <v>-3.4243732328683699E-4</v>
      </c>
      <c r="I904" t="s">
        <v>128</v>
      </c>
    </row>
    <row r="905" spans="1:9" x14ac:dyDescent="0.35">
      <c r="A905" t="s">
        <v>17</v>
      </c>
      <c r="B905">
        <v>2035</v>
      </c>
      <c r="C905" t="s">
        <v>127</v>
      </c>
      <c r="D905" t="s">
        <v>42</v>
      </c>
      <c r="E905">
        <v>177.26012124461499</v>
      </c>
      <c r="F905">
        <v>177.242102222856</v>
      </c>
      <c r="G905">
        <v>-1.80190217592439E-2</v>
      </c>
      <c r="H905">
        <v>-1.01652992408699E-2</v>
      </c>
      <c r="I905" t="s">
        <v>128</v>
      </c>
    </row>
    <row r="906" spans="1:9" x14ac:dyDescent="0.35">
      <c r="A906" t="s">
        <v>17</v>
      </c>
      <c r="B906">
        <v>2035</v>
      </c>
      <c r="C906" t="s">
        <v>127</v>
      </c>
      <c r="D906" t="s">
        <v>43</v>
      </c>
      <c r="E906">
        <v>0.23005257137738</v>
      </c>
      <c r="F906">
        <v>0.23005256909968599</v>
      </c>
      <c r="G906" s="1">
        <v>-2.2776941444035899E-9</v>
      </c>
      <c r="H906" s="1">
        <v>-9.9007549916372894E-7</v>
      </c>
      <c r="I906" t="s">
        <v>128</v>
      </c>
    </row>
    <row r="907" spans="1:9" x14ac:dyDescent="0.35">
      <c r="A907" t="s">
        <v>17</v>
      </c>
      <c r="B907">
        <v>2035</v>
      </c>
      <c r="C907" t="s">
        <v>127</v>
      </c>
      <c r="D907" t="s">
        <v>136</v>
      </c>
      <c r="E907">
        <v>22.9388645161096</v>
      </c>
      <c r="F907">
        <v>22.938853262771499</v>
      </c>
      <c r="G907" s="1">
        <v>-1.1253338016103901E-5</v>
      </c>
      <c r="H907" s="1">
        <v>-4.9057955803352401E-5</v>
      </c>
      <c r="I907" t="s">
        <v>128</v>
      </c>
    </row>
    <row r="908" spans="1:9" x14ac:dyDescent="0.35">
      <c r="A908" t="s">
        <v>17</v>
      </c>
      <c r="B908">
        <v>2035</v>
      </c>
      <c r="C908" t="s">
        <v>127</v>
      </c>
      <c r="D908" t="s">
        <v>45</v>
      </c>
      <c r="E908">
        <v>0.210768372679002</v>
      </c>
      <c r="F908">
        <v>0.21076131680968199</v>
      </c>
      <c r="G908" s="1">
        <v>-7.0558693200106702E-6</v>
      </c>
      <c r="H908">
        <v>-3.3476888540372599E-3</v>
      </c>
      <c r="I908" t="s">
        <v>128</v>
      </c>
    </row>
    <row r="909" spans="1:9" x14ac:dyDescent="0.35">
      <c r="A909" t="s">
        <v>17</v>
      </c>
      <c r="B909">
        <v>2035</v>
      </c>
      <c r="C909" t="s">
        <v>127</v>
      </c>
      <c r="D909" t="s">
        <v>46</v>
      </c>
      <c r="E909">
        <v>1.39109789337944</v>
      </c>
      <c r="F909">
        <v>1.39109789337944</v>
      </c>
      <c r="G909">
        <v>0</v>
      </c>
      <c r="H909">
        <v>0</v>
      </c>
      <c r="I909" t="s">
        <v>128</v>
      </c>
    </row>
    <row r="910" spans="1:9" x14ac:dyDescent="0.35">
      <c r="A910" t="s">
        <v>17</v>
      </c>
      <c r="B910">
        <v>2035</v>
      </c>
      <c r="C910" t="s">
        <v>127</v>
      </c>
      <c r="D910" t="s">
        <v>47</v>
      </c>
      <c r="E910">
        <v>4.1873956751129503E-2</v>
      </c>
      <c r="F910">
        <v>4.1873956751129503E-2</v>
      </c>
      <c r="G910">
        <v>0</v>
      </c>
      <c r="H910">
        <v>0</v>
      </c>
      <c r="I910" t="s">
        <v>128</v>
      </c>
    </row>
    <row r="911" spans="1:9" x14ac:dyDescent="0.35">
      <c r="A911" t="s">
        <v>17</v>
      </c>
      <c r="B911">
        <v>2035</v>
      </c>
      <c r="C911" t="s">
        <v>127</v>
      </c>
      <c r="D911" t="s">
        <v>48</v>
      </c>
      <c r="E911">
        <v>79.833010502670106</v>
      </c>
      <c r="F911">
        <v>79.833010502670106</v>
      </c>
      <c r="G911">
        <v>0</v>
      </c>
      <c r="H911">
        <v>0</v>
      </c>
      <c r="I911" t="s">
        <v>128</v>
      </c>
    </row>
    <row r="912" spans="1:9" x14ac:dyDescent="0.35">
      <c r="A912" t="s">
        <v>17</v>
      </c>
      <c r="B912">
        <v>2035</v>
      </c>
      <c r="C912" t="s">
        <v>127</v>
      </c>
      <c r="D912" t="s">
        <v>49</v>
      </c>
      <c r="E912">
        <v>0.73814999239156098</v>
      </c>
      <c r="F912">
        <v>0.73811902656409301</v>
      </c>
      <c r="G912" s="1">
        <v>-3.0965827468420998E-5</v>
      </c>
      <c r="H912">
        <v>-4.1950589700737598E-3</v>
      </c>
      <c r="I912" t="s">
        <v>128</v>
      </c>
    </row>
    <row r="913" spans="1:9" x14ac:dyDescent="0.35">
      <c r="A913" t="s">
        <v>17</v>
      </c>
      <c r="B913">
        <v>2035</v>
      </c>
      <c r="C913" t="s">
        <v>127</v>
      </c>
      <c r="D913" t="s">
        <v>50</v>
      </c>
      <c r="E913">
        <v>0.50788221751711404</v>
      </c>
      <c r="F913">
        <v>0.50788221751711404</v>
      </c>
      <c r="G913">
        <v>0</v>
      </c>
      <c r="H913">
        <v>0</v>
      </c>
      <c r="I913" t="s">
        <v>128</v>
      </c>
    </row>
    <row r="914" spans="1:9" x14ac:dyDescent="0.35">
      <c r="A914" t="s">
        <v>17</v>
      </c>
      <c r="B914">
        <v>2035</v>
      </c>
      <c r="C914" t="s">
        <v>127</v>
      </c>
      <c r="D914" t="s">
        <v>51</v>
      </c>
      <c r="E914">
        <v>1.5272753540238</v>
      </c>
      <c r="F914">
        <v>1.5272753540238</v>
      </c>
      <c r="G914">
        <v>0</v>
      </c>
      <c r="H914">
        <v>0</v>
      </c>
      <c r="I914" t="s">
        <v>128</v>
      </c>
    </row>
    <row r="915" spans="1:9" x14ac:dyDescent="0.35">
      <c r="A915" t="s">
        <v>17</v>
      </c>
      <c r="B915">
        <v>2035</v>
      </c>
      <c r="C915" t="s">
        <v>127</v>
      </c>
      <c r="D915" t="s">
        <v>52</v>
      </c>
      <c r="E915">
        <v>1.4211070992947801</v>
      </c>
      <c r="F915">
        <v>1.4211070992947801</v>
      </c>
      <c r="G915">
        <v>0</v>
      </c>
      <c r="H915">
        <v>0</v>
      </c>
      <c r="I915" t="s">
        <v>128</v>
      </c>
    </row>
    <row r="916" spans="1:9" x14ac:dyDescent="0.35">
      <c r="A916" t="s">
        <v>17</v>
      </c>
      <c r="B916">
        <v>2035</v>
      </c>
      <c r="C916" t="s">
        <v>127</v>
      </c>
      <c r="D916" t="s">
        <v>53</v>
      </c>
      <c r="E916">
        <v>9.7942233801257093</v>
      </c>
      <c r="F916">
        <v>9.7942233801257093</v>
      </c>
      <c r="G916">
        <v>0</v>
      </c>
      <c r="H916">
        <v>0</v>
      </c>
      <c r="I916" t="s">
        <v>128</v>
      </c>
    </row>
    <row r="917" spans="1:9" x14ac:dyDescent="0.35">
      <c r="A917" t="s">
        <v>17</v>
      </c>
      <c r="B917">
        <v>2035</v>
      </c>
      <c r="C917" t="s">
        <v>127</v>
      </c>
      <c r="D917" t="s">
        <v>54</v>
      </c>
      <c r="E917">
        <v>14.2539692675991</v>
      </c>
      <c r="F917">
        <v>14.2526771917179</v>
      </c>
      <c r="G917">
        <v>-1.2920758811532001E-3</v>
      </c>
      <c r="H917">
        <v>-9.0646742454415404E-3</v>
      </c>
      <c r="I917" t="s">
        <v>128</v>
      </c>
    </row>
    <row r="918" spans="1:9" x14ac:dyDescent="0.35">
      <c r="A918" t="s">
        <v>17</v>
      </c>
      <c r="B918">
        <v>2035</v>
      </c>
      <c r="C918" t="s">
        <v>127</v>
      </c>
      <c r="D918" t="s">
        <v>55</v>
      </c>
      <c r="E918">
        <v>12.3435383395651</v>
      </c>
      <c r="F918">
        <v>12.3433213852369</v>
      </c>
      <c r="G918">
        <v>-2.1695432813117999E-4</v>
      </c>
      <c r="H918">
        <v>-1.75763482206532E-3</v>
      </c>
      <c r="I918" t="s">
        <v>128</v>
      </c>
    </row>
    <row r="919" spans="1:9" x14ac:dyDescent="0.35">
      <c r="A919" t="s">
        <v>17</v>
      </c>
      <c r="B919">
        <v>2035</v>
      </c>
      <c r="C919" t="s">
        <v>127</v>
      </c>
      <c r="D919" t="s">
        <v>56</v>
      </c>
      <c r="E919" s="1">
        <v>2.6089128713353398E-6</v>
      </c>
      <c r="F919" s="1">
        <v>2.6089128713353398E-6</v>
      </c>
      <c r="G919">
        <v>0</v>
      </c>
      <c r="H919">
        <v>0</v>
      </c>
      <c r="I919" t="s">
        <v>128</v>
      </c>
    </row>
    <row r="920" spans="1:9" x14ac:dyDescent="0.35">
      <c r="A920" t="s">
        <v>19</v>
      </c>
      <c r="B920">
        <v>2040</v>
      </c>
      <c r="C920" t="s">
        <v>127</v>
      </c>
      <c r="D920" t="s">
        <v>38</v>
      </c>
      <c r="E920">
        <v>1.2883966683459799E-2</v>
      </c>
      <c r="F920">
        <v>1.27712618889083E-2</v>
      </c>
      <c r="G920">
        <v>-1.12704794551499E-4</v>
      </c>
      <c r="H920">
        <v>-0.87476782050505497</v>
      </c>
      <c r="I920" t="s">
        <v>128</v>
      </c>
    </row>
    <row r="921" spans="1:9" x14ac:dyDescent="0.35">
      <c r="A921" t="s">
        <v>19</v>
      </c>
      <c r="B921">
        <v>2040</v>
      </c>
      <c r="C921" t="s">
        <v>127</v>
      </c>
      <c r="D921" t="s">
        <v>40</v>
      </c>
      <c r="E921">
        <v>5.4144213830850302E-2</v>
      </c>
      <c r="F921">
        <v>5.4144213830850302E-2</v>
      </c>
      <c r="G921">
        <v>0</v>
      </c>
      <c r="H921">
        <v>0</v>
      </c>
      <c r="I921" t="s">
        <v>128</v>
      </c>
    </row>
    <row r="922" spans="1:9" x14ac:dyDescent="0.35">
      <c r="A922" t="s">
        <v>19</v>
      </c>
      <c r="B922">
        <v>2040</v>
      </c>
      <c r="C922" t="s">
        <v>127</v>
      </c>
      <c r="D922" t="s">
        <v>41</v>
      </c>
      <c r="E922">
        <v>0.71640444776414003</v>
      </c>
      <c r="F922">
        <v>0.71639281269004995</v>
      </c>
      <c r="G922" s="1">
        <v>-1.1635074090965399E-5</v>
      </c>
      <c r="H922">
        <v>-1.62409294460382E-3</v>
      </c>
      <c r="I922" t="s">
        <v>128</v>
      </c>
    </row>
    <row r="923" spans="1:9" x14ac:dyDescent="0.35">
      <c r="A923" t="s">
        <v>19</v>
      </c>
      <c r="B923">
        <v>2040</v>
      </c>
      <c r="C923" t="s">
        <v>127</v>
      </c>
      <c r="D923" t="s">
        <v>42</v>
      </c>
      <c r="E923">
        <v>177.176443630785</v>
      </c>
      <c r="F923">
        <v>177.09495049317599</v>
      </c>
      <c r="G923">
        <v>-8.1493137608561E-2</v>
      </c>
      <c r="H923">
        <v>-4.5995469791900098E-2</v>
      </c>
      <c r="I923" t="s">
        <v>128</v>
      </c>
    </row>
    <row r="924" spans="1:9" x14ac:dyDescent="0.35">
      <c r="A924" t="s">
        <v>19</v>
      </c>
      <c r="B924">
        <v>2040</v>
      </c>
      <c r="C924" t="s">
        <v>127</v>
      </c>
      <c r="D924" t="s">
        <v>43</v>
      </c>
      <c r="E924">
        <v>0.22899300695522101</v>
      </c>
      <c r="F924">
        <v>0.22899299631999001</v>
      </c>
      <c r="G924" s="1">
        <v>-1.0635231723066199E-8</v>
      </c>
      <c r="H924" s="1">
        <v>-4.6443478185104104E-6</v>
      </c>
      <c r="I924" t="s">
        <v>128</v>
      </c>
    </row>
    <row r="925" spans="1:9" x14ac:dyDescent="0.35">
      <c r="A925" t="s">
        <v>19</v>
      </c>
      <c r="B925">
        <v>2040</v>
      </c>
      <c r="C925" t="s">
        <v>127</v>
      </c>
      <c r="D925" t="s">
        <v>136</v>
      </c>
      <c r="E925">
        <v>21.346642945538601</v>
      </c>
      <c r="F925">
        <v>21.346551601097499</v>
      </c>
      <c r="G925" s="1">
        <v>-9.13444410457486E-5</v>
      </c>
      <c r="H925">
        <v>-4.2791009939499298E-4</v>
      </c>
      <c r="I925" t="s">
        <v>128</v>
      </c>
    </row>
    <row r="926" spans="1:9" x14ac:dyDescent="0.35">
      <c r="A926" t="s">
        <v>19</v>
      </c>
      <c r="B926">
        <v>2040</v>
      </c>
      <c r="C926" t="s">
        <v>127</v>
      </c>
      <c r="D926" t="s">
        <v>45</v>
      </c>
      <c r="E926">
        <v>0.18042623376062999</v>
      </c>
      <c r="F926">
        <v>0.180393690294718</v>
      </c>
      <c r="G926" s="1">
        <v>-3.2543465911860602E-5</v>
      </c>
      <c r="H926">
        <v>-1.80369923117919E-2</v>
      </c>
      <c r="I926" t="s">
        <v>128</v>
      </c>
    </row>
    <row r="927" spans="1:9" x14ac:dyDescent="0.35">
      <c r="A927" t="s">
        <v>19</v>
      </c>
      <c r="B927">
        <v>2040</v>
      </c>
      <c r="C927" t="s">
        <v>127</v>
      </c>
      <c r="D927" t="s">
        <v>46</v>
      </c>
      <c r="E927">
        <v>2.1240136751661498</v>
      </c>
      <c r="F927">
        <v>2.1240136751661498</v>
      </c>
      <c r="G927">
        <v>0</v>
      </c>
      <c r="H927">
        <v>0</v>
      </c>
      <c r="I927" t="s">
        <v>128</v>
      </c>
    </row>
    <row r="928" spans="1:9" x14ac:dyDescent="0.35">
      <c r="A928" t="s">
        <v>19</v>
      </c>
      <c r="B928">
        <v>2040</v>
      </c>
      <c r="C928" t="s">
        <v>127</v>
      </c>
      <c r="D928" t="s">
        <v>47</v>
      </c>
      <c r="E928">
        <v>4.1840557995168601E-2</v>
      </c>
      <c r="F928">
        <v>4.1840557995168601E-2</v>
      </c>
      <c r="G928">
        <v>0</v>
      </c>
      <c r="H928">
        <v>0</v>
      </c>
      <c r="I928" t="s">
        <v>128</v>
      </c>
    </row>
    <row r="929" spans="1:9" x14ac:dyDescent="0.35">
      <c r="A929" t="s">
        <v>19</v>
      </c>
      <c r="B929">
        <v>2040</v>
      </c>
      <c r="C929" t="s">
        <v>127</v>
      </c>
      <c r="D929" t="s">
        <v>48</v>
      </c>
      <c r="E929">
        <v>79.895348535352198</v>
      </c>
      <c r="F929">
        <v>79.895348535352198</v>
      </c>
      <c r="G929">
        <v>0</v>
      </c>
      <c r="H929">
        <v>0</v>
      </c>
      <c r="I929" t="s">
        <v>128</v>
      </c>
    </row>
    <row r="930" spans="1:9" x14ac:dyDescent="0.35">
      <c r="A930" t="s">
        <v>19</v>
      </c>
      <c r="B930">
        <v>2040</v>
      </c>
      <c r="C930" t="s">
        <v>127</v>
      </c>
      <c r="D930" t="s">
        <v>49</v>
      </c>
      <c r="E930">
        <v>0.59153467484699396</v>
      </c>
      <c r="F930">
        <v>0.59139149747554998</v>
      </c>
      <c r="G930">
        <v>-1.4317737144342501E-4</v>
      </c>
      <c r="H930">
        <v>-2.4204391987749499E-2</v>
      </c>
      <c r="I930" t="s">
        <v>128</v>
      </c>
    </row>
    <row r="931" spans="1:9" x14ac:dyDescent="0.35">
      <c r="A931" t="s">
        <v>19</v>
      </c>
      <c r="B931">
        <v>2040</v>
      </c>
      <c r="C931" t="s">
        <v>127</v>
      </c>
      <c r="D931" t="s">
        <v>50</v>
      </c>
      <c r="E931">
        <v>0.51747120213771303</v>
      </c>
      <c r="F931">
        <v>0.51747120213771303</v>
      </c>
      <c r="G931">
        <v>0</v>
      </c>
      <c r="H931">
        <v>0</v>
      </c>
      <c r="I931" t="s">
        <v>128</v>
      </c>
    </row>
    <row r="932" spans="1:9" x14ac:dyDescent="0.35">
      <c r="A932" t="s">
        <v>19</v>
      </c>
      <c r="B932">
        <v>2040</v>
      </c>
      <c r="C932" t="s">
        <v>127</v>
      </c>
      <c r="D932" t="s">
        <v>51</v>
      </c>
      <c r="E932">
        <v>1.5893210411679299</v>
      </c>
      <c r="F932">
        <v>1.5893210411679299</v>
      </c>
      <c r="G932">
        <v>0</v>
      </c>
      <c r="H932">
        <v>0</v>
      </c>
      <c r="I932" t="s">
        <v>128</v>
      </c>
    </row>
    <row r="933" spans="1:9" x14ac:dyDescent="0.35">
      <c r="A933" t="s">
        <v>19</v>
      </c>
      <c r="B933">
        <v>2040</v>
      </c>
      <c r="C933" t="s">
        <v>127</v>
      </c>
      <c r="D933" t="s">
        <v>52</v>
      </c>
      <c r="E933">
        <v>1.2292474874886901</v>
      </c>
      <c r="F933">
        <v>1.2292474874886901</v>
      </c>
      <c r="G933">
        <v>0</v>
      </c>
      <c r="H933">
        <v>0</v>
      </c>
      <c r="I933" t="s">
        <v>128</v>
      </c>
    </row>
    <row r="934" spans="1:9" x14ac:dyDescent="0.35">
      <c r="A934" t="s">
        <v>19</v>
      </c>
      <c r="B934">
        <v>2040</v>
      </c>
      <c r="C934" t="s">
        <v>127</v>
      </c>
      <c r="D934" t="s">
        <v>53</v>
      </c>
      <c r="E934">
        <v>9.1717116136722598</v>
      </c>
      <c r="F934">
        <v>9.1717116136722598</v>
      </c>
      <c r="G934">
        <v>0</v>
      </c>
      <c r="H934">
        <v>0</v>
      </c>
      <c r="I934" t="s">
        <v>128</v>
      </c>
    </row>
    <row r="935" spans="1:9" x14ac:dyDescent="0.35">
      <c r="A935" t="s">
        <v>19</v>
      </c>
      <c r="B935">
        <v>2040</v>
      </c>
      <c r="C935" t="s">
        <v>127</v>
      </c>
      <c r="D935" t="s">
        <v>54</v>
      </c>
      <c r="E935">
        <v>14.281973218367501</v>
      </c>
      <c r="F935">
        <v>14.2761148033519</v>
      </c>
      <c r="G935">
        <v>-5.8584150155969097E-3</v>
      </c>
      <c r="H935">
        <v>-4.1019647117546798E-2</v>
      </c>
      <c r="I935" t="s">
        <v>128</v>
      </c>
    </row>
    <row r="936" spans="1:9" x14ac:dyDescent="0.35">
      <c r="A936" t="s">
        <v>19</v>
      </c>
      <c r="B936">
        <v>2040</v>
      </c>
      <c r="C936" t="s">
        <v>127</v>
      </c>
      <c r="D936" t="s">
        <v>55</v>
      </c>
      <c r="E936">
        <v>12.372833259743199</v>
      </c>
      <c r="F936">
        <v>12.3718496979237</v>
      </c>
      <c r="G936">
        <v>-9.8356181942627009E-4</v>
      </c>
      <c r="H936">
        <v>-7.9493661538818997E-3</v>
      </c>
      <c r="I936" t="s">
        <v>128</v>
      </c>
    </row>
    <row r="937" spans="1:9" x14ac:dyDescent="0.35">
      <c r="A937" t="s">
        <v>19</v>
      </c>
      <c r="B937">
        <v>2040</v>
      </c>
      <c r="C937" t="s">
        <v>127</v>
      </c>
      <c r="D937" t="s">
        <v>56</v>
      </c>
      <c r="E937" s="1">
        <v>2.35660465447548E-6</v>
      </c>
      <c r="F937" s="1">
        <v>2.35660465447548E-6</v>
      </c>
      <c r="G937">
        <v>0</v>
      </c>
      <c r="H937">
        <v>0</v>
      </c>
      <c r="I937" t="s">
        <v>128</v>
      </c>
    </row>
    <row r="938" spans="1:9" x14ac:dyDescent="0.35">
      <c r="A938" t="s">
        <v>13</v>
      </c>
      <c r="B938">
        <v>2025</v>
      </c>
      <c r="C938" t="s">
        <v>74</v>
      </c>
      <c r="D938" t="s">
        <v>38</v>
      </c>
      <c r="E938" s="1">
        <v>2.5351205419238499E-6</v>
      </c>
      <c r="F938" s="1">
        <v>2.5351205419238499E-6</v>
      </c>
      <c r="G938">
        <v>0</v>
      </c>
      <c r="H938">
        <v>0</v>
      </c>
      <c r="I938" t="s">
        <v>75</v>
      </c>
    </row>
    <row r="939" spans="1:9" x14ac:dyDescent="0.35">
      <c r="A939" t="s">
        <v>13</v>
      </c>
      <c r="B939">
        <v>2025</v>
      </c>
      <c r="C939" t="s">
        <v>74</v>
      </c>
      <c r="D939" t="s">
        <v>40</v>
      </c>
      <c r="E939">
        <v>1.4084662925629E-4</v>
      </c>
      <c r="F939">
        <v>1.4084662925629E-4</v>
      </c>
      <c r="G939">
        <v>0</v>
      </c>
      <c r="H939">
        <v>0</v>
      </c>
      <c r="I939" t="s">
        <v>75</v>
      </c>
    </row>
    <row r="940" spans="1:9" x14ac:dyDescent="0.35">
      <c r="A940" t="s">
        <v>13</v>
      </c>
      <c r="B940">
        <v>2025</v>
      </c>
      <c r="C940" t="s">
        <v>74</v>
      </c>
      <c r="D940" t="s">
        <v>41</v>
      </c>
      <c r="E940">
        <v>1.5464434111595201E-4</v>
      </c>
      <c r="F940">
        <v>1.5464434111595201E-4</v>
      </c>
      <c r="G940">
        <v>0</v>
      </c>
      <c r="H940">
        <v>0</v>
      </c>
      <c r="I940" t="s">
        <v>75</v>
      </c>
    </row>
    <row r="941" spans="1:9" x14ac:dyDescent="0.35">
      <c r="A941" t="s">
        <v>13</v>
      </c>
      <c r="B941">
        <v>2025</v>
      </c>
      <c r="C941" t="s">
        <v>74</v>
      </c>
      <c r="D941" t="s">
        <v>42</v>
      </c>
      <c r="E941">
        <v>2.6060301205604198E-3</v>
      </c>
      <c r="F941">
        <v>2.6060301205604198E-3</v>
      </c>
      <c r="G941">
        <v>0</v>
      </c>
      <c r="H941">
        <v>0</v>
      </c>
      <c r="I941" t="s">
        <v>75</v>
      </c>
    </row>
    <row r="942" spans="1:9" x14ac:dyDescent="0.35">
      <c r="A942" t="s">
        <v>13</v>
      </c>
      <c r="B942">
        <v>2025</v>
      </c>
      <c r="C942" t="s">
        <v>74</v>
      </c>
      <c r="D942" t="s">
        <v>43</v>
      </c>
      <c r="E942" s="1">
        <v>5.1873147054935899E-5</v>
      </c>
      <c r="F942" s="1">
        <v>5.1873147054935899E-5</v>
      </c>
      <c r="G942">
        <v>0</v>
      </c>
      <c r="H942">
        <v>0</v>
      </c>
      <c r="I942" t="s">
        <v>75</v>
      </c>
    </row>
    <row r="943" spans="1:9" x14ac:dyDescent="0.35">
      <c r="A943" t="s">
        <v>13</v>
      </c>
      <c r="B943">
        <v>2025</v>
      </c>
      <c r="C943" t="s">
        <v>74</v>
      </c>
      <c r="D943" t="s">
        <v>136</v>
      </c>
      <c r="E943">
        <v>1.5157472448823499E-2</v>
      </c>
      <c r="F943">
        <v>1.5157472448823499E-2</v>
      </c>
      <c r="G943">
        <v>0</v>
      </c>
      <c r="H943">
        <v>0</v>
      </c>
      <c r="I943" t="s">
        <v>75</v>
      </c>
    </row>
    <row r="944" spans="1:9" x14ac:dyDescent="0.35">
      <c r="A944" t="s">
        <v>13</v>
      </c>
      <c r="B944">
        <v>2025</v>
      </c>
      <c r="C944" t="s">
        <v>74</v>
      </c>
      <c r="D944" t="s">
        <v>45</v>
      </c>
      <c r="E944" s="1">
        <v>5.2779328523340202E-5</v>
      </c>
      <c r="F944" s="1">
        <v>5.2779328523340202E-5</v>
      </c>
      <c r="G944">
        <v>0</v>
      </c>
      <c r="H944">
        <v>0</v>
      </c>
      <c r="I944" t="s">
        <v>75</v>
      </c>
    </row>
    <row r="945" spans="1:9" x14ac:dyDescent="0.35">
      <c r="A945" t="s">
        <v>13</v>
      </c>
      <c r="B945">
        <v>2025</v>
      </c>
      <c r="C945" t="s">
        <v>74</v>
      </c>
      <c r="D945" t="s">
        <v>46</v>
      </c>
      <c r="E945">
        <v>1.8866981796110101E-4</v>
      </c>
      <c r="F945">
        <v>1.8866981796110101E-4</v>
      </c>
      <c r="G945">
        <v>0</v>
      </c>
      <c r="H945">
        <v>0</v>
      </c>
      <c r="I945" t="s">
        <v>75</v>
      </c>
    </row>
    <row r="946" spans="1:9" x14ac:dyDescent="0.35">
      <c r="A946" t="s">
        <v>13</v>
      </c>
      <c r="B946">
        <v>2025</v>
      </c>
      <c r="C946" t="s">
        <v>74</v>
      </c>
      <c r="D946" t="s">
        <v>47</v>
      </c>
      <c r="E946" s="1">
        <v>3.0101278228401302E-6</v>
      </c>
      <c r="F946" s="1">
        <v>3.0101278228401302E-6</v>
      </c>
      <c r="G946">
        <v>0</v>
      </c>
      <c r="H946">
        <v>0</v>
      </c>
      <c r="I946" t="s">
        <v>75</v>
      </c>
    </row>
    <row r="947" spans="1:9" x14ac:dyDescent="0.35">
      <c r="A947" t="s">
        <v>13</v>
      </c>
      <c r="B947">
        <v>2025</v>
      </c>
      <c r="C947" t="s">
        <v>74</v>
      </c>
      <c r="D947" t="s">
        <v>48</v>
      </c>
      <c r="E947">
        <v>5.2062630427955495E-4</v>
      </c>
      <c r="F947">
        <v>5.2062630427955495E-4</v>
      </c>
      <c r="G947">
        <v>0</v>
      </c>
      <c r="H947">
        <v>0</v>
      </c>
      <c r="I947" t="s">
        <v>75</v>
      </c>
    </row>
    <row r="948" spans="1:9" x14ac:dyDescent="0.35">
      <c r="A948" t="s">
        <v>13</v>
      </c>
      <c r="B948">
        <v>2025</v>
      </c>
      <c r="C948" t="s">
        <v>74</v>
      </c>
      <c r="D948" t="s">
        <v>49</v>
      </c>
      <c r="E948" s="1">
        <v>9.7917839683740106E-5</v>
      </c>
      <c r="F948" s="1">
        <v>9.7917839683740106E-5</v>
      </c>
      <c r="G948">
        <v>0</v>
      </c>
      <c r="H948">
        <v>0</v>
      </c>
      <c r="I948" t="s">
        <v>75</v>
      </c>
    </row>
    <row r="949" spans="1:9" x14ac:dyDescent="0.35">
      <c r="A949" t="s">
        <v>13</v>
      </c>
      <c r="B949">
        <v>2025</v>
      </c>
      <c r="C949" t="s">
        <v>74</v>
      </c>
      <c r="D949" t="s">
        <v>50</v>
      </c>
      <c r="E949" s="1">
        <v>2.73329693344426E-5</v>
      </c>
      <c r="F949" s="1">
        <v>2.73329693344426E-5</v>
      </c>
      <c r="G949">
        <v>0</v>
      </c>
      <c r="H949">
        <v>0</v>
      </c>
      <c r="I949" t="s">
        <v>75</v>
      </c>
    </row>
    <row r="950" spans="1:9" x14ac:dyDescent="0.35">
      <c r="A950" t="s">
        <v>13</v>
      </c>
      <c r="B950">
        <v>2025</v>
      </c>
      <c r="C950" t="s">
        <v>74</v>
      </c>
      <c r="D950" t="s">
        <v>51</v>
      </c>
      <c r="E950">
        <v>1.7174852539567801E-2</v>
      </c>
      <c r="F950">
        <v>1.7174852539567801E-2</v>
      </c>
      <c r="G950">
        <v>0</v>
      </c>
      <c r="H950">
        <v>0</v>
      </c>
      <c r="I950" t="s">
        <v>75</v>
      </c>
    </row>
    <row r="951" spans="1:9" x14ac:dyDescent="0.35">
      <c r="A951" t="s">
        <v>13</v>
      </c>
      <c r="B951">
        <v>2025</v>
      </c>
      <c r="C951" t="s">
        <v>74</v>
      </c>
      <c r="D951" t="s">
        <v>52</v>
      </c>
      <c r="E951">
        <v>1.44295104521269E-3</v>
      </c>
      <c r="F951">
        <v>1.44295104521269E-3</v>
      </c>
      <c r="G951">
        <v>0</v>
      </c>
      <c r="H951">
        <v>0</v>
      </c>
      <c r="I951" t="s">
        <v>75</v>
      </c>
    </row>
    <row r="952" spans="1:9" x14ac:dyDescent="0.35">
      <c r="A952" t="s">
        <v>13</v>
      </c>
      <c r="B952">
        <v>2025</v>
      </c>
      <c r="C952" t="s">
        <v>74</v>
      </c>
      <c r="D952" t="s">
        <v>53</v>
      </c>
      <c r="E952">
        <v>4.90792352893046E-3</v>
      </c>
      <c r="F952">
        <v>4.90792352893046E-3</v>
      </c>
      <c r="G952">
        <v>0</v>
      </c>
      <c r="H952">
        <v>0</v>
      </c>
      <c r="I952" t="s">
        <v>75</v>
      </c>
    </row>
    <row r="953" spans="1:9" x14ac:dyDescent="0.35">
      <c r="A953" t="s">
        <v>13</v>
      </c>
      <c r="B953">
        <v>2025</v>
      </c>
      <c r="C953" t="s">
        <v>74</v>
      </c>
      <c r="D953" t="s">
        <v>54</v>
      </c>
      <c r="E953">
        <v>2.4310851292424501E-4</v>
      </c>
      <c r="F953">
        <v>2.4310851292424501E-4</v>
      </c>
      <c r="G953">
        <v>0</v>
      </c>
      <c r="H953">
        <v>0</v>
      </c>
      <c r="I953" t="s">
        <v>75</v>
      </c>
    </row>
    <row r="954" spans="1:9" x14ac:dyDescent="0.35">
      <c r="A954" t="s">
        <v>13</v>
      </c>
      <c r="B954">
        <v>2025</v>
      </c>
      <c r="C954" t="s">
        <v>74</v>
      </c>
      <c r="D954" t="s">
        <v>55</v>
      </c>
      <c r="E954">
        <v>2.1791399106201899E-4</v>
      </c>
      <c r="F954">
        <v>2.1791399106201899E-4</v>
      </c>
      <c r="G954">
        <v>0</v>
      </c>
      <c r="H954">
        <v>0</v>
      </c>
      <c r="I954" t="s">
        <v>75</v>
      </c>
    </row>
    <row r="955" spans="1:9" x14ac:dyDescent="0.35">
      <c r="A955" t="s">
        <v>13</v>
      </c>
      <c r="B955">
        <v>2025</v>
      </c>
      <c r="C955" t="s">
        <v>74</v>
      </c>
      <c r="D955" t="s">
        <v>56</v>
      </c>
      <c r="E955" s="1">
        <v>1.79102236906763E-9</v>
      </c>
      <c r="F955" s="1">
        <v>1.79102236906763E-9</v>
      </c>
      <c r="G955">
        <v>0</v>
      </c>
      <c r="H955">
        <v>0</v>
      </c>
      <c r="I955" t="s">
        <v>75</v>
      </c>
    </row>
    <row r="956" spans="1:9" x14ac:dyDescent="0.35">
      <c r="A956" t="s">
        <v>15</v>
      </c>
      <c r="B956">
        <v>2030</v>
      </c>
      <c r="C956" t="s">
        <v>74</v>
      </c>
      <c r="D956" t="s">
        <v>38</v>
      </c>
      <c r="E956" s="1">
        <v>3.8424689618937201E-6</v>
      </c>
      <c r="F956" s="1">
        <v>3.8424689618937201E-6</v>
      </c>
      <c r="G956">
        <v>0</v>
      </c>
      <c r="H956">
        <v>0</v>
      </c>
      <c r="I956" t="s">
        <v>75</v>
      </c>
    </row>
    <row r="957" spans="1:9" x14ac:dyDescent="0.35">
      <c r="A957" t="s">
        <v>15</v>
      </c>
      <c r="B957">
        <v>2030</v>
      </c>
      <c r="C957" t="s">
        <v>74</v>
      </c>
      <c r="D957" t="s">
        <v>40</v>
      </c>
      <c r="E957">
        <v>1.4064972392697101E-4</v>
      </c>
      <c r="F957">
        <v>1.4064972392697101E-4</v>
      </c>
      <c r="G957">
        <v>0</v>
      </c>
      <c r="H957">
        <v>0</v>
      </c>
      <c r="I957" t="s">
        <v>75</v>
      </c>
    </row>
    <row r="958" spans="1:9" x14ac:dyDescent="0.35">
      <c r="A958" t="s">
        <v>15</v>
      </c>
      <c r="B958">
        <v>2030</v>
      </c>
      <c r="C958" t="s">
        <v>74</v>
      </c>
      <c r="D958" t="s">
        <v>41</v>
      </c>
      <c r="E958">
        <v>1.53390383847021E-4</v>
      </c>
      <c r="F958">
        <v>1.53390383847021E-4</v>
      </c>
      <c r="G958">
        <v>0</v>
      </c>
      <c r="H958">
        <v>0</v>
      </c>
      <c r="I958" t="s">
        <v>75</v>
      </c>
    </row>
    <row r="959" spans="1:9" x14ac:dyDescent="0.35">
      <c r="A959" t="s">
        <v>15</v>
      </c>
      <c r="B959">
        <v>2030</v>
      </c>
      <c r="C959" t="s">
        <v>74</v>
      </c>
      <c r="D959" t="s">
        <v>42</v>
      </c>
      <c r="E959">
        <v>2.70873394083919E-3</v>
      </c>
      <c r="F959">
        <v>2.70873394083919E-3</v>
      </c>
      <c r="G959">
        <v>0</v>
      </c>
      <c r="H959">
        <v>0</v>
      </c>
      <c r="I959" t="s">
        <v>75</v>
      </c>
    </row>
    <row r="960" spans="1:9" x14ac:dyDescent="0.35">
      <c r="A960" t="s">
        <v>15</v>
      </c>
      <c r="B960">
        <v>2030</v>
      </c>
      <c r="C960" t="s">
        <v>74</v>
      </c>
      <c r="D960" t="s">
        <v>43</v>
      </c>
      <c r="E960" s="1">
        <v>5.19240788273136E-5</v>
      </c>
      <c r="F960" s="1">
        <v>5.19240788273136E-5</v>
      </c>
      <c r="G960">
        <v>0</v>
      </c>
      <c r="H960">
        <v>0</v>
      </c>
      <c r="I960" t="s">
        <v>75</v>
      </c>
    </row>
    <row r="961" spans="1:9" x14ac:dyDescent="0.35">
      <c r="A961" t="s">
        <v>15</v>
      </c>
      <c r="B961">
        <v>2030</v>
      </c>
      <c r="C961" t="s">
        <v>74</v>
      </c>
      <c r="D961" t="s">
        <v>136</v>
      </c>
      <c r="E961">
        <v>1.50135709381038E-2</v>
      </c>
      <c r="F961">
        <v>1.50135709381038E-2</v>
      </c>
      <c r="G961">
        <v>0</v>
      </c>
      <c r="H961">
        <v>0</v>
      </c>
      <c r="I961" t="s">
        <v>75</v>
      </c>
    </row>
    <row r="962" spans="1:9" x14ac:dyDescent="0.35">
      <c r="A962" t="s">
        <v>15</v>
      </c>
      <c r="B962">
        <v>2030</v>
      </c>
      <c r="C962" t="s">
        <v>74</v>
      </c>
      <c r="D962" t="s">
        <v>45</v>
      </c>
      <c r="E962" s="1">
        <v>5.0612104561262802E-5</v>
      </c>
      <c r="F962" s="1">
        <v>5.0612104561262802E-5</v>
      </c>
      <c r="G962">
        <v>0</v>
      </c>
      <c r="H962">
        <v>0</v>
      </c>
      <c r="I962" t="s">
        <v>75</v>
      </c>
    </row>
    <row r="963" spans="1:9" x14ac:dyDescent="0.35">
      <c r="A963" t="s">
        <v>15</v>
      </c>
      <c r="B963">
        <v>2030</v>
      </c>
      <c r="C963" t="s">
        <v>74</v>
      </c>
      <c r="D963" t="s">
        <v>46</v>
      </c>
      <c r="E963">
        <v>5.3994169037108696E-4</v>
      </c>
      <c r="F963">
        <v>5.3994169037108696E-4</v>
      </c>
      <c r="G963">
        <v>0</v>
      </c>
      <c r="H963">
        <v>0</v>
      </c>
      <c r="I963" t="s">
        <v>75</v>
      </c>
    </row>
    <row r="964" spans="1:9" x14ac:dyDescent="0.35">
      <c r="A964" t="s">
        <v>15</v>
      </c>
      <c r="B964">
        <v>2030</v>
      </c>
      <c r="C964" t="s">
        <v>74</v>
      </c>
      <c r="D964" t="s">
        <v>47</v>
      </c>
      <c r="E964" s="1">
        <v>3.1493504664231501E-6</v>
      </c>
      <c r="F964" s="1">
        <v>3.1493504664231501E-6</v>
      </c>
      <c r="G964">
        <v>0</v>
      </c>
      <c r="H964">
        <v>0</v>
      </c>
      <c r="I964" t="s">
        <v>75</v>
      </c>
    </row>
    <row r="965" spans="1:9" x14ac:dyDescent="0.35">
      <c r="A965" t="s">
        <v>15</v>
      </c>
      <c r="B965">
        <v>2030</v>
      </c>
      <c r="C965" t="s">
        <v>74</v>
      </c>
      <c r="D965" t="s">
        <v>48</v>
      </c>
      <c r="E965">
        <v>5.3610426267032302E-4</v>
      </c>
      <c r="F965">
        <v>5.3610426267032302E-4</v>
      </c>
      <c r="G965">
        <v>0</v>
      </c>
      <c r="H965">
        <v>0</v>
      </c>
      <c r="I965" t="s">
        <v>75</v>
      </c>
    </row>
    <row r="966" spans="1:9" x14ac:dyDescent="0.35">
      <c r="A966" t="s">
        <v>15</v>
      </c>
      <c r="B966">
        <v>2030</v>
      </c>
      <c r="C966" t="s">
        <v>74</v>
      </c>
      <c r="D966" t="s">
        <v>49</v>
      </c>
      <c r="E966" s="1">
        <v>9.6191670660350701E-5</v>
      </c>
      <c r="F966" s="1">
        <v>9.6191670660350701E-5</v>
      </c>
      <c r="G966">
        <v>0</v>
      </c>
      <c r="H966">
        <v>0</v>
      </c>
      <c r="I966" t="s">
        <v>75</v>
      </c>
    </row>
    <row r="967" spans="1:9" x14ac:dyDescent="0.35">
      <c r="A967" t="s">
        <v>15</v>
      </c>
      <c r="B967">
        <v>2030</v>
      </c>
      <c r="C967" t="s">
        <v>74</v>
      </c>
      <c r="D967" t="s">
        <v>50</v>
      </c>
      <c r="E967" s="1">
        <v>3.2149031238483703E-5</v>
      </c>
      <c r="F967" s="1">
        <v>3.2149031238483703E-5</v>
      </c>
      <c r="G967">
        <v>0</v>
      </c>
      <c r="H967">
        <v>0</v>
      </c>
      <c r="I967" t="s">
        <v>75</v>
      </c>
    </row>
    <row r="968" spans="1:9" x14ac:dyDescent="0.35">
      <c r="A968" t="s">
        <v>15</v>
      </c>
      <c r="B968">
        <v>2030</v>
      </c>
      <c r="C968" t="s">
        <v>74</v>
      </c>
      <c r="D968" t="s">
        <v>51</v>
      </c>
      <c r="E968">
        <v>1.7196366580344999E-2</v>
      </c>
      <c r="F968">
        <v>1.7196366580344999E-2</v>
      </c>
      <c r="G968">
        <v>0</v>
      </c>
      <c r="H968">
        <v>0</v>
      </c>
      <c r="I968" t="s">
        <v>75</v>
      </c>
    </row>
    <row r="969" spans="1:9" x14ac:dyDescent="0.35">
      <c r="A969" t="s">
        <v>15</v>
      </c>
      <c r="B969">
        <v>2030</v>
      </c>
      <c r="C969" t="s">
        <v>74</v>
      </c>
      <c r="D969" t="s">
        <v>52</v>
      </c>
      <c r="E969">
        <v>1.34066841482303E-3</v>
      </c>
      <c r="F969">
        <v>1.34066841482303E-3</v>
      </c>
      <c r="G969">
        <v>0</v>
      </c>
      <c r="H969">
        <v>0</v>
      </c>
      <c r="I969" t="s">
        <v>75</v>
      </c>
    </row>
    <row r="970" spans="1:9" x14ac:dyDescent="0.35">
      <c r="A970" t="s">
        <v>15</v>
      </c>
      <c r="B970">
        <v>2030</v>
      </c>
      <c r="C970" t="s">
        <v>74</v>
      </c>
      <c r="D970" t="s">
        <v>53</v>
      </c>
      <c r="E970">
        <v>4.8376909787995097E-3</v>
      </c>
      <c r="F970">
        <v>4.8376909787995097E-3</v>
      </c>
      <c r="G970">
        <v>0</v>
      </c>
      <c r="H970">
        <v>0</v>
      </c>
      <c r="I970" t="s">
        <v>75</v>
      </c>
    </row>
    <row r="971" spans="1:9" x14ac:dyDescent="0.35">
      <c r="A971" t="s">
        <v>15</v>
      </c>
      <c r="B971">
        <v>2030</v>
      </c>
      <c r="C971" t="s">
        <v>74</v>
      </c>
      <c r="D971" t="s">
        <v>54</v>
      </c>
      <c r="E971">
        <v>2.5821423081103998E-4</v>
      </c>
      <c r="F971">
        <v>2.5821423081103998E-4</v>
      </c>
      <c r="G971">
        <v>0</v>
      </c>
      <c r="H971">
        <v>0</v>
      </c>
      <c r="I971" t="s">
        <v>75</v>
      </c>
    </row>
    <row r="972" spans="1:9" x14ac:dyDescent="0.35">
      <c r="A972" t="s">
        <v>15</v>
      </c>
      <c r="B972">
        <v>2030</v>
      </c>
      <c r="C972" t="s">
        <v>74</v>
      </c>
      <c r="D972" t="s">
        <v>55</v>
      </c>
      <c r="E972">
        <v>2.31246143767577E-4</v>
      </c>
      <c r="F972">
        <v>2.31246143767577E-4</v>
      </c>
      <c r="G972">
        <v>0</v>
      </c>
      <c r="H972">
        <v>0</v>
      </c>
      <c r="I972" t="s">
        <v>75</v>
      </c>
    </row>
    <row r="973" spans="1:9" x14ac:dyDescent="0.35">
      <c r="A973" t="s">
        <v>15</v>
      </c>
      <c r="B973">
        <v>2030</v>
      </c>
      <c r="C973" t="s">
        <v>74</v>
      </c>
      <c r="D973" t="s">
        <v>56</v>
      </c>
      <c r="E973" s="1">
        <v>1.6767518898685701E-9</v>
      </c>
      <c r="F973" s="1">
        <v>1.6767518898685701E-9</v>
      </c>
      <c r="G973">
        <v>0</v>
      </c>
      <c r="H973">
        <v>0</v>
      </c>
      <c r="I973" t="s">
        <v>75</v>
      </c>
    </row>
    <row r="974" spans="1:9" x14ac:dyDescent="0.35">
      <c r="A974" t="s">
        <v>17</v>
      </c>
      <c r="B974">
        <v>2035</v>
      </c>
      <c r="C974" t="s">
        <v>74</v>
      </c>
      <c r="D974" t="s">
        <v>38</v>
      </c>
      <c r="E974" s="1">
        <v>6.8564585605121203E-6</v>
      </c>
      <c r="F974" s="1">
        <v>6.8564585605121203E-6</v>
      </c>
      <c r="G974">
        <v>0</v>
      </c>
      <c r="H974">
        <v>0</v>
      </c>
      <c r="I974" t="s">
        <v>75</v>
      </c>
    </row>
    <row r="975" spans="1:9" x14ac:dyDescent="0.35">
      <c r="A975" t="s">
        <v>17</v>
      </c>
      <c r="B975">
        <v>2035</v>
      </c>
      <c r="C975" t="s">
        <v>74</v>
      </c>
      <c r="D975" t="s">
        <v>40</v>
      </c>
      <c r="E975">
        <v>1.4039960090122901E-4</v>
      </c>
      <c r="F975">
        <v>1.4039960090122901E-4</v>
      </c>
      <c r="G975">
        <v>0</v>
      </c>
      <c r="H975">
        <v>0</v>
      </c>
      <c r="I975" t="s">
        <v>75</v>
      </c>
    </row>
    <row r="976" spans="1:9" x14ac:dyDescent="0.35">
      <c r="A976" t="s">
        <v>17</v>
      </c>
      <c r="B976">
        <v>2035</v>
      </c>
      <c r="C976" t="s">
        <v>74</v>
      </c>
      <c r="D976" t="s">
        <v>41</v>
      </c>
      <c r="E976">
        <v>1.5275179105284401E-4</v>
      </c>
      <c r="F976">
        <v>1.5275179105284401E-4</v>
      </c>
      <c r="G976">
        <v>0</v>
      </c>
      <c r="H976">
        <v>0</v>
      </c>
      <c r="I976" t="s">
        <v>75</v>
      </c>
    </row>
    <row r="977" spans="1:9" x14ac:dyDescent="0.35">
      <c r="A977" t="s">
        <v>17</v>
      </c>
      <c r="B977">
        <v>2035</v>
      </c>
      <c r="C977" t="s">
        <v>74</v>
      </c>
      <c r="D977" t="s">
        <v>42</v>
      </c>
      <c r="E977">
        <v>3.1098974768073899E-3</v>
      </c>
      <c r="F977">
        <v>3.1098974768073899E-3</v>
      </c>
      <c r="G977">
        <v>0</v>
      </c>
      <c r="H977">
        <v>0</v>
      </c>
      <c r="I977" t="s">
        <v>75</v>
      </c>
    </row>
    <row r="978" spans="1:9" x14ac:dyDescent="0.35">
      <c r="A978" t="s">
        <v>17</v>
      </c>
      <c r="B978">
        <v>2035</v>
      </c>
      <c r="C978" t="s">
        <v>74</v>
      </c>
      <c r="D978" t="s">
        <v>43</v>
      </c>
      <c r="E978" s="1">
        <v>5.2543718808134503E-5</v>
      </c>
      <c r="F978" s="1">
        <v>5.2543718808134503E-5</v>
      </c>
      <c r="G978">
        <v>0</v>
      </c>
      <c r="H978">
        <v>0</v>
      </c>
      <c r="I978" t="s">
        <v>75</v>
      </c>
    </row>
    <row r="979" spans="1:9" x14ac:dyDescent="0.35">
      <c r="A979" t="s">
        <v>17</v>
      </c>
      <c r="B979">
        <v>2035</v>
      </c>
      <c r="C979" t="s">
        <v>74</v>
      </c>
      <c r="D979" t="s">
        <v>136</v>
      </c>
      <c r="E979">
        <v>1.5347950598896499E-2</v>
      </c>
      <c r="F979">
        <v>1.5347950598896499E-2</v>
      </c>
      <c r="G979">
        <v>0</v>
      </c>
      <c r="H979">
        <v>0</v>
      </c>
      <c r="I979" t="s">
        <v>75</v>
      </c>
    </row>
    <row r="980" spans="1:9" x14ac:dyDescent="0.35">
      <c r="A980" t="s">
        <v>17</v>
      </c>
      <c r="B980">
        <v>2035</v>
      </c>
      <c r="C980" t="s">
        <v>74</v>
      </c>
      <c r="D980" t="s">
        <v>45</v>
      </c>
      <c r="E980" s="1">
        <v>4.9253558830995101E-5</v>
      </c>
      <c r="F980" s="1">
        <v>4.9253558830995101E-5</v>
      </c>
      <c r="G980">
        <v>0</v>
      </c>
      <c r="H980">
        <v>0</v>
      </c>
      <c r="I980" t="s">
        <v>75</v>
      </c>
    </row>
    <row r="981" spans="1:9" x14ac:dyDescent="0.35">
      <c r="A981" t="s">
        <v>17</v>
      </c>
      <c r="B981">
        <v>2035</v>
      </c>
      <c r="C981" t="s">
        <v>74</v>
      </c>
      <c r="D981" t="s">
        <v>46</v>
      </c>
      <c r="E981">
        <v>1.3348106348631699E-3</v>
      </c>
      <c r="F981">
        <v>1.3348106348631699E-3</v>
      </c>
      <c r="G981">
        <v>0</v>
      </c>
      <c r="H981">
        <v>0</v>
      </c>
      <c r="I981" t="s">
        <v>75</v>
      </c>
    </row>
    <row r="982" spans="1:9" x14ac:dyDescent="0.35">
      <c r="A982" t="s">
        <v>17</v>
      </c>
      <c r="B982">
        <v>2035</v>
      </c>
      <c r="C982" t="s">
        <v>74</v>
      </c>
      <c r="D982" t="s">
        <v>47</v>
      </c>
      <c r="E982" s="1">
        <v>3.7119328172005701E-6</v>
      </c>
      <c r="F982" s="1">
        <v>3.7119328172005701E-6</v>
      </c>
      <c r="G982">
        <v>0</v>
      </c>
      <c r="H982">
        <v>0</v>
      </c>
      <c r="I982" t="s">
        <v>75</v>
      </c>
    </row>
    <row r="983" spans="1:9" x14ac:dyDescent="0.35">
      <c r="A983" t="s">
        <v>17</v>
      </c>
      <c r="B983">
        <v>2035</v>
      </c>
      <c r="C983" t="s">
        <v>74</v>
      </c>
      <c r="D983" t="s">
        <v>48</v>
      </c>
      <c r="E983">
        <v>5.5718291010826298E-4</v>
      </c>
      <c r="F983">
        <v>5.5718291010826298E-4</v>
      </c>
      <c r="G983">
        <v>0</v>
      </c>
      <c r="H983">
        <v>0</v>
      </c>
      <c r="I983" t="s">
        <v>75</v>
      </c>
    </row>
    <row r="984" spans="1:9" x14ac:dyDescent="0.35">
      <c r="A984" t="s">
        <v>17</v>
      </c>
      <c r="B984">
        <v>2035</v>
      </c>
      <c r="C984" t="s">
        <v>74</v>
      </c>
      <c r="D984" t="s">
        <v>49</v>
      </c>
      <c r="E984" s="1">
        <v>9.6058401922753903E-5</v>
      </c>
      <c r="F984" s="1">
        <v>9.6058401922753903E-5</v>
      </c>
      <c r="G984">
        <v>0</v>
      </c>
      <c r="H984">
        <v>0</v>
      </c>
      <c r="I984" t="s">
        <v>75</v>
      </c>
    </row>
    <row r="985" spans="1:9" x14ac:dyDescent="0.35">
      <c r="A985" t="s">
        <v>17</v>
      </c>
      <c r="B985">
        <v>2035</v>
      </c>
      <c r="C985" t="s">
        <v>74</v>
      </c>
      <c r="D985" t="s">
        <v>50</v>
      </c>
      <c r="E985" s="1">
        <v>4.2142437433768499E-5</v>
      </c>
      <c r="F985" s="1">
        <v>4.2142437433768499E-5</v>
      </c>
      <c r="G985">
        <v>0</v>
      </c>
      <c r="H985">
        <v>0</v>
      </c>
      <c r="I985" t="s">
        <v>75</v>
      </c>
    </row>
    <row r="986" spans="1:9" x14ac:dyDescent="0.35">
      <c r="A986" t="s">
        <v>17</v>
      </c>
      <c r="B986">
        <v>2035</v>
      </c>
      <c r="C986" t="s">
        <v>74</v>
      </c>
      <c r="D986" t="s">
        <v>51</v>
      </c>
      <c r="E986">
        <v>1.7231649679534999E-2</v>
      </c>
      <c r="F986">
        <v>1.7231649679534999E-2</v>
      </c>
      <c r="G986">
        <v>0</v>
      </c>
      <c r="H986">
        <v>0</v>
      </c>
      <c r="I986" t="s">
        <v>75</v>
      </c>
    </row>
    <row r="987" spans="1:9" x14ac:dyDescent="0.35">
      <c r="A987" t="s">
        <v>17</v>
      </c>
      <c r="B987">
        <v>2035</v>
      </c>
      <c r="C987" t="s">
        <v>74</v>
      </c>
      <c r="D987" t="s">
        <v>52</v>
      </c>
      <c r="E987">
        <v>1.20621946846113E-3</v>
      </c>
      <c r="F987">
        <v>1.20621946846113E-3</v>
      </c>
      <c r="G987">
        <v>0</v>
      </c>
      <c r="H987">
        <v>0</v>
      </c>
      <c r="I987" t="s">
        <v>75</v>
      </c>
    </row>
    <row r="988" spans="1:9" x14ac:dyDescent="0.35">
      <c r="A988" t="s">
        <v>17</v>
      </c>
      <c r="B988">
        <v>2035</v>
      </c>
      <c r="C988" t="s">
        <v>74</v>
      </c>
      <c r="D988" t="s">
        <v>53</v>
      </c>
      <c r="E988">
        <v>4.8682126348832903E-3</v>
      </c>
      <c r="F988">
        <v>4.8682126348832903E-3</v>
      </c>
      <c r="G988">
        <v>0</v>
      </c>
      <c r="H988">
        <v>0</v>
      </c>
      <c r="I988" t="s">
        <v>75</v>
      </c>
    </row>
    <row r="989" spans="1:9" x14ac:dyDescent="0.35">
      <c r="A989" t="s">
        <v>17</v>
      </c>
      <c r="B989">
        <v>2035</v>
      </c>
      <c r="C989" t="s">
        <v>74</v>
      </c>
      <c r="D989" t="s">
        <v>54</v>
      </c>
      <c r="E989">
        <v>2.8475494253484397E-4</v>
      </c>
      <c r="F989">
        <v>2.8475494253484397E-4</v>
      </c>
      <c r="G989">
        <v>0</v>
      </c>
      <c r="H989">
        <v>0</v>
      </c>
      <c r="I989" t="s">
        <v>75</v>
      </c>
    </row>
    <row r="990" spans="1:9" x14ac:dyDescent="0.35">
      <c r="A990" t="s">
        <v>17</v>
      </c>
      <c r="B990">
        <v>2035</v>
      </c>
      <c r="C990" t="s">
        <v>74</v>
      </c>
      <c r="D990" t="s">
        <v>55</v>
      </c>
      <c r="E990">
        <v>2.5511551958171201E-4</v>
      </c>
      <c r="F990">
        <v>2.5511551958171201E-4</v>
      </c>
      <c r="G990">
        <v>0</v>
      </c>
      <c r="H990">
        <v>0</v>
      </c>
      <c r="I990" t="s">
        <v>75</v>
      </c>
    </row>
    <row r="991" spans="1:9" x14ac:dyDescent="0.35">
      <c r="A991" t="s">
        <v>17</v>
      </c>
      <c r="B991">
        <v>2035</v>
      </c>
      <c r="C991" t="s">
        <v>74</v>
      </c>
      <c r="D991" t="s">
        <v>56</v>
      </c>
      <c r="E991" s="1">
        <v>1.5103652226075401E-9</v>
      </c>
      <c r="F991" s="1">
        <v>1.5103652226075401E-9</v>
      </c>
      <c r="G991">
        <v>0</v>
      </c>
      <c r="H991">
        <v>0</v>
      </c>
      <c r="I991" t="s">
        <v>75</v>
      </c>
    </row>
    <row r="992" spans="1:9" x14ac:dyDescent="0.35">
      <c r="A992" t="s">
        <v>19</v>
      </c>
      <c r="B992">
        <v>2040</v>
      </c>
      <c r="C992" t="s">
        <v>74</v>
      </c>
      <c r="D992" t="s">
        <v>38</v>
      </c>
      <c r="E992" s="1">
        <v>1.29689198249485E-5</v>
      </c>
      <c r="F992" s="1">
        <v>1.29689198249485E-5</v>
      </c>
      <c r="G992">
        <v>0</v>
      </c>
      <c r="H992">
        <v>0</v>
      </c>
      <c r="I992" t="s">
        <v>75</v>
      </c>
    </row>
    <row r="993" spans="1:9" x14ac:dyDescent="0.35">
      <c r="A993" t="s">
        <v>19</v>
      </c>
      <c r="B993">
        <v>2040</v>
      </c>
      <c r="C993" t="s">
        <v>74</v>
      </c>
      <c r="D993" t="s">
        <v>40</v>
      </c>
      <c r="E993">
        <v>1.4005772019657099E-4</v>
      </c>
      <c r="F993">
        <v>1.4005772019657099E-4</v>
      </c>
      <c r="G993">
        <v>0</v>
      </c>
      <c r="H993">
        <v>0</v>
      </c>
      <c r="I993" t="s">
        <v>75</v>
      </c>
    </row>
    <row r="994" spans="1:9" x14ac:dyDescent="0.35">
      <c r="A994" t="s">
        <v>19</v>
      </c>
      <c r="B994">
        <v>2040</v>
      </c>
      <c r="C994" t="s">
        <v>74</v>
      </c>
      <c r="D994" t="s">
        <v>41</v>
      </c>
      <c r="E994">
        <v>1.5285282607828101E-4</v>
      </c>
      <c r="F994">
        <v>1.5285282607828101E-4</v>
      </c>
      <c r="G994">
        <v>0</v>
      </c>
      <c r="H994">
        <v>0</v>
      </c>
      <c r="I994" t="s">
        <v>75</v>
      </c>
    </row>
    <row r="995" spans="1:9" x14ac:dyDescent="0.35">
      <c r="A995" t="s">
        <v>19</v>
      </c>
      <c r="B995">
        <v>2040</v>
      </c>
      <c r="C995" t="s">
        <v>74</v>
      </c>
      <c r="D995" t="s">
        <v>42</v>
      </c>
      <c r="E995">
        <v>3.8916060172861002E-3</v>
      </c>
      <c r="F995">
        <v>3.8916060172861002E-3</v>
      </c>
      <c r="G995">
        <v>0</v>
      </c>
      <c r="H995">
        <v>0</v>
      </c>
      <c r="I995" t="s">
        <v>75</v>
      </c>
    </row>
    <row r="996" spans="1:9" x14ac:dyDescent="0.35">
      <c r="A996" t="s">
        <v>19</v>
      </c>
      <c r="B996">
        <v>2040</v>
      </c>
      <c r="C996" t="s">
        <v>74</v>
      </c>
      <c r="D996" t="s">
        <v>43</v>
      </c>
      <c r="E996" s="1">
        <v>5.3782847433714999E-5</v>
      </c>
      <c r="F996" s="1">
        <v>5.3782847433714999E-5</v>
      </c>
      <c r="G996">
        <v>0</v>
      </c>
      <c r="H996">
        <v>0</v>
      </c>
      <c r="I996" t="s">
        <v>75</v>
      </c>
    </row>
    <row r="997" spans="1:9" x14ac:dyDescent="0.35">
      <c r="A997" t="s">
        <v>19</v>
      </c>
      <c r="B997">
        <v>2040</v>
      </c>
      <c r="C997" t="s">
        <v>74</v>
      </c>
      <c r="D997" t="s">
        <v>136</v>
      </c>
      <c r="E997">
        <v>1.6269365514255799E-2</v>
      </c>
      <c r="F997">
        <v>1.6269365514255799E-2</v>
      </c>
      <c r="G997">
        <v>0</v>
      </c>
      <c r="H997">
        <v>0</v>
      </c>
      <c r="I997" t="s">
        <v>75</v>
      </c>
    </row>
    <row r="998" spans="1:9" x14ac:dyDescent="0.35">
      <c r="A998" t="s">
        <v>19</v>
      </c>
      <c r="B998">
        <v>2040</v>
      </c>
      <c r="C998" t="s">
        <v>74</v>
      </c>
      <c r="D998" t="s">
        <v>45</v>
      </c>
      <c r="E998" s="1">
        <v>4.9174983706250003E-5</v>
      </c>
      <c r="F998" s="1">
        <v>4.9174983706250003E-5</v>
      </c>
      <c r="G998">
        <v>0</v>
      </c>
      <c r="H998">
        <v>0</v>
      </c>
      <c r="I998" t="s">
        <v>75</v>
      </c>
    </row>
    <row r="999" spans="1:9" x14ac:dyDescent="0.35">
      <c r="A999" t="s">
        <v>19</v>
      </c>
      <c r="B999">
        <v>2040</v>
      </c>
      <c r="C999" t="s">
        <v>74</v>
      </c>
      <c r="D999" t="s">
        <v>46</v>
      </c>
      <c r="E999">
        <v>2.2916308534686402E-3</v>
      </c>
      <c r="F999">
        <v>2.2916308534686402E-3</v>
      </c>
      <c r="G999">
        <v>0</v>
      </c>
      <c r="H999">
        <v>0</v>
      </c>
      <c r="I999" t="s">
        <v>75</v>
      </c>
    </row>
    <row r="1000" spans="1:9" x14ac:dyDescent="0.35">
      <c r="A1000" t="s">
        <v>19</v>
      </c>
      <c r="B1000">
        <v>2040</v>
      </c>
      <c r="C1000" t="s">
        <v>74</v>
      </c>
      <c r="D1000" t="s">
        <v>47</v>
      </c>
      <c r="E1000" s="1">
        <v>4.8418050935891501E-6</v>
      </c>
      <c r="F1000" s="1">
        <v>4.8418050935891501E-6</v>
      </c>
      <c r="G1000">
        <v>0</v>
      </c>
      <c r="H1000">
        <v>0</v>
      </c>
      <c r="I1000" t="s">
        <v>75</v>
      </c>
    </row>
    <row r="1001" spans="1:9" x14ac:dyDescent="0.35">
      <c r="A1001" t="s">
        <v>19</v>
      </c>
      <c r="B1001">
        <v>2040</v>
      </c>
      <c r="C1001" t="s">
        <v>74</v>
      </c>
      <c r="D1001" t="s">
        <v>48</v>
      </c>
      <c r="E1001">
        <v>5.9392573562688604E-4</v>
      </c>
      <c r="F1001">
        <v>5.9392573562688604E-4</v>
      </c>
      <c r="G1001">
        <v>0</v>
      </c>
      <c r="H1001">
        <v>0</v>
      </c>
      <c r="I1001" t="s">
        <v>75</v>
      </c>
    </row>
    <row r="1002" spans="1:9" x14ac:dyDescent="0.35">
      <c r="A1002" t="s">
        <v>19</v>
      </c>
      <c r="B1002">
        <v>2040</v>
      </c>
      <c r="C1002" t="s">
        <v>74</v>
      </c>
      <c r="D1002" t="s">
        <v>49</v>
      </c>
      <c r="E1002" s="1">
        <v>9.7830485322577594E-5</v>
      </c>
      <c r="F1002" s="1">
        <v>9.7830485322577594E-5</v>
      </c>
      <c r="G1002">
        <v>0</v>
      </c>
      <c r="H1002">
        <v>0</v>
      </c>
      <c r="I1002" t="s">
        <v>75</v>
      </c>
    </row>
    <row r="1003" spans="1:9" x14ac:dyDescent="0.35">
      <c r="A1003" t="s">
        <v>19</v>
      </c>
      <c r="B1003">
        <v>2040</v>
      </c>
      <c r="C1003" t="s">
        <v>74</v>
      </c>
      <c r="D1003" t="s">
        <v>50</v>
      </c>
      <c r="E1003" s="1">
        <v>5.6174323701237697E-5</v>
      </c>
      <c r="F1003" s="1">
        <v>5.6174323701237697E-5</v>
      </c>
      <c r="G1003">
        <v>0</v>
      </c>
      <c r="H1003">
        <v>0</v>
      </c>
      <c r="I1003" t="s">
        <v>75</v>
      </c>
    </row>
    <row r="1004" spans="1:9" x14ac:dyDescent="0.35">
      <c r="A1004" t="s">
        <v>19</v>
      </c>
      <c r="B1004">
        <v>2040</v>
      </c>
      <c r="C1004" t="s">
        <v>74</v>
      </c>
      <c r="D1004" t="s">
        <v>51</v>
      </c>
      <c r="E1004">
        <v>1.7275132630032199E-2</v>
      </c>
      <c r="F1004">
        <v>1.7275132630032199E-2</v>
      </c>
      <c r="G1004">
        <v>0</v>
      </c>
      <c r="H1004">
        <v>0</v>
      </c>
      <c r="I1004" t="s">
        <v>75</v>
      </c>
    </row>
    <row r="1005" spans="1:9" x14ac:dyDescent="0.35">
      <c r="A1005" t="s">
        <v>19</v>
      </c>
      <c r="B1005">
        <v>2040</v>
      </c>
      <c r="C1005" t="s">
        <v>74</v>
      </c>
      <c r="D1005" t="s">
        <v>52</v>
      </c>
      <c r="E1005">
        <v>1.0615519160893799E-3</v>
      </c>
      <c r="F1005">
        <v>1.0615519160893799E-3</v>
      </c>
      <c r="G1005">
        <v>0</v>
      </c>
      <c r="H1005">
        <v>0</v>
      </c>
      <c r="I1005" t="s">
        <v>75</v>
      </c>
    </row>
    <row r="1006" spans="1:9" x14ac:dyDescent="0.35">
      <c r="A1006" t="s">
        <v>19</v>
      </c>
      <c r="B1006">
        <v>2040</v>
      </c>
      <c r="C1006" t="s">
        <v>74</v>
      </c>
      <c r="D1006" t="s">
        <v>53</v>
      </c>
      <c r="E1006">
        <v>5.0127384507187202E-3</v>
      </c>
      <c r="F1006">
        <v>5.0127384507187202E-3</v>
      </c>
      <c r="G1006">
        <v>0</v>
      </c>
      <c r="H1006">
        <v>0</v>
      </c>
      <c r="I1006" t="s">
        <v>75</v>
      </c>
    </row>
    <row r="1007" spans="1:9" x14ac:dyDescent="0.35">
      <c r="A1007" t="s">
        <v>19</v>
      </c>
      <c r="B1007">
        <v>2040</v>
      </c>
      <c r="C1007" t="s">
        <v>74</v>
      </c>
      <c r="D1007" t="s">
        <v>54</v>
      </c>
      <c r="E1007">
        <v>3.2471686975661798E-4</v>
      </c>
      <c r="F1007">
        <v>3.2471686975661798E-4</v>
      </c>
      <c r="G1007">
        <v>0</v>
      </c>
      <c r="H1007">
        <v>0</v>
      </c>
      <c r="I1007" t="s">
        <v>75</v>
      </c>
    </row>
    <row r="1008" spans="1:9" x14ac:dyDescent="0.35">
      <c r="A1008" t="s">
        <v>19</v>
      </c>
      <c r="B1008">
        <v>2040</v>
      </c>
      <c r="C1008" t="s">
        <v>74</v>
      </c>
      <c r="D1008" t="s">
        <v>55</v>
      </c>
      <c r="E1008">
        <v>2.91351483476476E-4</v>
      </c>
      <c r="F1008">
        <v>2.91351483476476E-4</v>
      </c>
      <c r="G1008">
        <v>0</v>
      </c>
      <c r="H1008">
        <v>0</v>
      </c>
      <c r="I1008" t="s">
        <v>75</v>
      </c>
    </row>
    <row r="1009" spans="1:9" x14ac:dyDescent="0.35">
      <c r="A1009" t="s">
        <v>19</v>
      </c>
      <c r="B1009">
        <v>2040</v>
      </c>
      <c r="C1009" t="s">
        <v>74</v>
      </c>
      <c r="D1009" t="s">
        <v>56</v>
      </c>
      <c r="E1009" s="1">
        <v>1.3035552206405699E-9</v>
      </c>
      <c r="F1009" s="1">
        <v>1.3035552206405699E-9</v>
      </c>
      <c r="G1009">
        <v>0</v>
      </c>
      <c r="H1009">
        <v>0</v>
      </c>
      <c r="I1009" t="s">
        <v>75</v>
      </c>
    </row>
    <row r="1010" spans="1:9" x14ac:dyDescent="0.35">
      <c r="A1010" t="s">
        <v>13</v>
      </c>
      <c r="B1010">
        <v>2025</v>
      </c>
      <c r="C1010" t="s">
        <v>67</v>
      </c>
      <c r="D1010" t="s">
        <v>38</v>
      </c>
      <c r="E1010">
        <v>2.3943017445080799E-2</v>
      </c>
      <c r="F1010">
        <v>2.3943017445080799E-2</v>
      </c>
      <c r="G1010">
        <v>0</v>
      </c>
      <c r="H1010">
        <v>0</v>
      </c>
      <c r="I1010" t="s">
        <v>68</v>
      </c>
    </row>
    <row r="1011" spans="1:9" x14ac:dyDescent="0.35">
      <c r="A1011" t="s">
        <v>13</v>
      </c>
      <c r="B1011">
        <v>2025</v>
      </c>
      <c r="C1011" t="s">
        <v>67</v>
      </c>
      <c r="D1011" t="s">
        <v>40</v>
      </c>
      <c r="E1011">
        <v>7.14327236406429E-3</v>
      </c>
      <c r="F1011">
        <v>7.14327236406429E-3</v>
      </c>
      <c r="G1011">
        <v>0</v>
      </c>
      <c r="H1011">
        <v>0</v>
      </c>
      <c r="I1011" t="s">
        <v>68</v>
      </c>
    </row>
    <row r="1012" spans="1:9" x14ac:dyDescent="0.35">
      <c r="A1012" t="s">
        <v>13</v>
      </c>
      <c r="B1012">
        <v>2025</v>
      </c>
      <c r="C1012" t="s">
        <v>67</v>
      </c>
      <c r="D1012" t="s">
        <v>41</v>
      </c>
      <c r="E1012">
        <v>6.6236325943381802E-2</v>
      </c>
      <c r="F1012">
        <v>6.6236325943381802E-2</v>
      </c>
      <c r="G1012">
        <v>0</v>
      </c>
      <c r="H1012">
        <v>0</v>
      </c>
      <c r="I1012" t="s">
        <v>68</v>
      </c>
    </row>
    <row r="1013" spans="1:9" x14ac:dyDescent="0.35">
      <c r="A1013" t="s">
        <v>13</v>
      </c>
      <c r="B1013">
        <v>2025</v>
      </c>
      <c r="C1013" t="s">
        <v>67</v>
      </c>
      <c r="D1013" t="s">
        <v>42</v>
      </c>
      <c r="E1013">
        <v>30.777491331075598</v>
      </c>
      <c r="F1013">
        <v>30.777491331075598</v>
      </c>
      <c r="G1013">
        <v>0</v>
      </c>
      <c r="H1013">
        <v>0</v>
      </c>
      <c r="I1013" t="s">
        <v>68</v>
      </c>
    </row>
    <row r="1014" spans="1:9" x14ac:dyDescent="0.35">
      <c r="A1014" t="s">
        <v>13</v>
      </c>
      <c r="B1014">
        <v>2025</v>
      </c>
      <c r="C1014" t="s">
        <v>67</v>
      </c>
      <c r="D1014" t="s">
        <v>43</v>
      </c>
      <c r="E1014">
        <v>2.8585977810559601E-2</v>
      </c>
      <c r="F1014">
        <v>2.8585977810559601E-2</v>
      </c>
      <c r="G1014">
        <v>0</v>
      </c>
      <c r="H1014">
        <v>0</v>
      </c>
      <c r="I1014" t="s">
        <v>68</v>
      </c>
    </row>
    <row r="1015" spans="1:9" x14ac:dyDescent="0.35">
      <c r="A1015" t="s">
        <v>13</v>
      </c>
      <c r="B1015">
        <v>2025</v>
      </c>
      <c r="C1015" t="s">
        <v>67</v>
      </c>
      <c r="D1015" t="s">
        <v>136</v>
      </c>
      <c r="E1015">
        <v>21.6077283456864</v>
      </c>
      <c r="F1015">
        <v>21.6077283456864</v>
      </c>
      <c r="G1015">
        <v>0</v>
      </c>
      <c r="H1015">
        <v>0</v>
      </c>
      <c r="I1015" t="s">
        <v>68</v>
      </c>
    </row>
    <row r="1016" spans="1:9" x14ac:dyDescent="0.35">
      <c r="A1016" t="s">
        <v>13</v>
      </c>
      <c r="B1016">
        <v>2025</v>
      </c>
      <c r="C1016" t="s">
        <v>67</v>
      </c>
      <c r="D1016" t="s">
        <v>45</v>
      </c>
      <c r="E1016">
        <v>6.0632857783032401E-2</v>
      </c>
      <c r="F1016">
        <v>6.0632857783032401E-2</v>
      </c>
      <c r="G1016">
        <v>0</v>
      </c>
      <c r="H1016">
        <v>0</v>
      </c>
      <c r="I1016" t="s">
        <v>68</v>
      </c>
    </row>
    <row r="1017" spans="1:9" x14ac:dyDescent="0.35">
      <c r="A1017" t="s">
        <v>13</v>
      </c>
      <c r="B1017">
        <v>2025</v>
      </c>
      <c r="C1017" t="s">
        <v>67</v>
      </c>
      <c r="D1017" t="s">
        <v>46</v>
      </c>
      <c r="E1017">
        <v>0.25300824230052599</v>
      </c>
      <c r="F1017">
        <v>0.25300824230052599</v>
      </c>
      <c r="G1017">
        <v>0</v>
      </c>
      <c r="H1017">
        <v>0</v>
      </c>
      <c r="I1017" t="s">
        <v>68</v>
      </c>
    </row>
    <row r="1018" spans="1:9" x14ac:dyDescent="0.35">
      <c r="A1018" t="s">
        <v>13</v>
      </c>
      <c r="B1018">
        <v>2025</v>
      </c>
      <c r="C1018" t="s">
        <v>67</v>
      </c>
      <c r="D1018" t="s">
        <v>47</v>
      </c>
      <c r="E1018">
        <v>7.22885921649607E-3</v>
      </c>
      <c r="F1018">
        <v>7.22885921649607E-3</v>
      </c>
      <c r="G1018">
        <v>0</v>
      </c>
      <c r="H1018">
        <v>0</v>
      </c>
      <c r="I1018" t="s">
        <v>68</v>
      </c>
    </row>
    <row r="1019" spans="1:9" x14ac:dyDescent="0.35">
      <c r="A1019" t="s">
        <v>13</v>
      </c>
      <c r="B1019">
        <v>2025</v>
      </c>
      <c r="C1019" t="s">
        <v>67</v>
      </c>
      <c r="D1019" t="s">
        <v>48</v>
      </c>
      <c r="E1019">
        <v>108.59630276732899</v>
      </c>
      <c r="F1019">
        <v>108.59630276732899</v>
      </c>
      <c r="G1019">
        <v>0</v>
      </c>
      <c r="H1019">
        <v>0</v>
      </c>
      <c r="I1019" t="s">
        <v>68</v>
      </c>
    </row>
    <row r="1020" spans="1:9" x14ac:dyDescent="0.35">
      <c r="A1020" t="s">
        <v>13</v>
      </c>
      <c r="B1020">
        <v>2025</v>
      </c>
      <c r="C1020" t="s">
        <v>67</v>
      </c>
      <c r="D1020" t="s">
        <v>49</v>
      </c>
      <c r="E1020">
        <v>0.156173087716211</v>
      </c>
      <c r="F1020">
        <v>0.156173087716211</v>
      </c>
      <c r="G1020">
        <v>0</v>
      </c>
      <c r="H1020">
        <v>0</v>
      </c>
      <c r="I1020" t="s">
        <v>68</v>
      </c>
    </row>
    <row r="1021" spans="1:9" x14ac:dyDescent="0.35">
      <c r="A1021" t="s">
        <v>13</v>
      </c>
      <c r="B1021">
        <v>2025</v>
      </c>
      <c r="C1021" t="s">
        <v>67</v>
      </c>
      <c r="D1021" t="s">
        <v>50</v>
      </c>
      <c r="E1021">
        <v>0.39543428104260703</v>
      </c>
      <c r="F1021">
        <v>0.39543428104260703</v>
      </c>
      <c r="G1021">
        <v>0</v>
      </c>
      <c r="H1021">
        <v>0</v>
      </c>
      <c r="I1021" t="s">
        <v>68</v>
      </c>
    </row>
    <row r="1022" spans="1:9" x14ac:dyDescent="0.35">
      <c r="A1022" t="s">
        <v>13</v>
      </c>
      <c r="B1022">
        <v>2025</v>
      </c>
      <c r="C1022" t="s">
        <v>67</v>
      </c>
      <c r="D1022" t="s">
        <v>51</v>
      </c>
      <c r="E1022">
        <v>0.62996159294385601</v>
      </c>
      <c r="F1022">
        <v>0.62996159294385601</v>
      </c>
      <c r="G1022">
        <v>0</v>
      </c>
      <c r="H1022">
        <v>0</v>
      </c>
      <c r="I1022" t="s">
        <v>68</v>
      </c>
    </row>
    <row r="1023" spans="1:9" x14ac:dyDescent="0.35">
      <c r="A1023" t="s">
        <v>13</v>
      </c>
      <c r="B1023">
        <v>2025</v>
      </c>
      <c r="C1023" t="s">
        <v>67</v>
      </c>
      <c r="D1023" t="s">
        <v>52</v>
      </c>
      <c r="E1023">
        <v>11.1442511048045</v>
      </c>
      <c r="F1023">
        <v>11.1442511048045</v>
      </c>
      <c r="G1023">
        <v>0</v>
      </c>
      <c r="H1023">
        <v>0</v>
      </c>
      <c r="I1023" t="s">
        <v>68</v>
      </c>
    </row>
    <row r="1024" spans="1:9" x14ac:dyDescent="0.35">
      <c r="A1024" t="s">
        <v>13</v>
      </c>
      <c r="B1024">
        <v>2025</v>
      </c>
      <c r="C1024" t="s">
        <v>67</v>
      </c>
      <c r="D1024" t="s">
        <v>53</v>
      </c>
      <c r="E1024">
        <v>7.6367845775926702</v>
      </c>
      <c r="F1024">
        <v>7.6367845775926702</v>
      </c>
      <c r="G1024">
        <v>0</v>
      </c>
      <c r="H1024">
        <v>0</v>
      </c>
      <c r="I1024" t="s">
        <v>68</v>
      </c>
    </row>
    <row r="1025" spans="1:9" x14ac:dyDescent="0.35">
      <c r="A1025" t="s">
        <v>13</v>
      </c>
      <c r="B1025">
        <v>2025</v>
      </c>
      <c r="C1025" t="s">
        <v>67</v>
      </c>
      <c r="D1025" t="s">
        <v>54</v>
      </c>
      <c r="E1025">
        <v>2.8418348817199202</v>
      </c>
      <c r="F1025">
        <v>2.8418348817199202</v>
      </c>
      <c r="G1025">
        <v>0</v>
      </c>
      <c r="H1025">
        <v>0</v>
      </c>
      <c r="I1025" t="s">
        <v>68</v>
      </c>
    </row>
    <row r="1026" spans="1:9" x14ac:dyDescent="0.35">
      <c r="A1026" t="s">
        <v>13</v>
      </c>
      <c r="B1026">
        <v>2025</v>
      </c>
      <c r="C1026" t="s">
        <v>67</v>
      </c>
      <c r="D1026" t="s">
        <v>55</v>
      </c>
      <c r="E1026">
        <v>2.6354259083757698</v>
      </c>
      <c r="F1026">
        <v>2.6354259083757698</v>
      </c>
      <c r="G1026">
        <v>0</v>
      </c>
      <c r="H1026">
        <v>0</v>
      </c>
      <c r="I1026" t="s">
        <v>68</v>
      </c>
    </row>
    <row r="1027" spans="1:9" x14ac:dyDescent="0.35">
      <c r="A1027" t="s">
        <v>13</v>
      </c>
      <c r="B1027">
        <v>2025</v>
      </c>
      <c r="C1027" t="s">
        <v>67</v>
      </c>
      <c r="D1027" t="s">
        <v>56</v>
      </c>
      <c r="E1027" s="1">
        <v>2.42134340223824E-6</v>
      </c>
      <c r="F1027" s="1">
        <v>2.42134340223824E-6</v>
      </c>
      <c r="G1027">
        <v>0</v>
      </c>
      <c r="H1027">
        <v>0</v>
      </c>
      <c r="I1027" t="s">
        <v>68</v>
      </c>
    </row>
    <row r="1028" spans="1:9" x14ac:dyDescent="0.35">
      <c r="A1028" t="s">
        <v>15</v>
      </c>
      <c r="B1028">
        <v>2030</v>
      </c>
      <c r="C1028" t="s">
        <v>67</v>
      </c>
      <c r="D1028" t="s">
        <v>38</v>
      </c>
      <c r="E1028">
        <v>2.4325208786111701E-2</v>
      </c>
      <c r="F1028">
        <v>1.2115521793722999E-2</v>
      </c>
      <c r="G1028">
        <v>-1.22096869923887E-2</v>
      </c>
      <c r="H1028">
        <v>-50.193554759372603</v>
      </c>
      <c r="I1028" t="s">
        <v>68</v>
      </c>
    </row>
    <row r="1029" spans="1:9" x14ac:dyDescent="0.35">
      <c r="A1029" t="s">
        <v>15</v>
      </c>
      <c r="B1029">
        <v>2030</v>
      </c>
      <c r="C1029" t="s">
        <v>67</v>
      </c>
      <c r="D1029" t="s">
        <v>40</v>
      </c>
      <c r="E1029">
        <v>6.8741993239261499E-3</v>
      </c>
      <c r="F1029">
        <v>6.8741993239261499E-3</v>
      </c>
      <c r="G1029">
        <v>0</v>
      </c>
      <c r="H1029">
        <v>0</v>
      </c>
      <c r="I1029" t="s">
        <v>68</v>
      </c>
    </row>
    <row r="1030" spans="1:9" x14ac:dyDescent="0.35">
      <c r="A1030" t="s">
        <v>15</v>
      </c>
      <c r="B1030">
        <v>2030</v>
      </c>
      <c r="C1030" t="s">
        <v>67</v>
      </c>
      <c r="D1030" t="s">
        <v>41</v>
      </c>
      <c r="E1030">
        <v>6.4146465959625198E-2</v>
      </c>
      <c r="F1030">
        <v>5.8403406360876702E-2</v>
      </c>
      <c r="G1030">
        <v>-5.74305959874849E-3</v>
      </c>
      <c r="H1030">
        <v>-8.9530413138632792</v>
      </c>
      <c r="I1030" t="s">
        <v>68</v>
      </c>
    </row>
    <row r="1031" spans="1:9" x14ac:dyDescent="0.35">
      <c r="A1031" t="s">
        <v>15</v>
      </c>
      <c r="B1031">
        <v>2030</v>
      </c>
      <c r="C1031" t="s">
        <v>67</v>
      </c>
      <c r="D1031" t="s">
        <v>42</v>
      </c>
      <c r="E1031">
        <v>30.633576924264698</v>
      </c>
      <c r="F1031">
        <v>26.1117227670813</v>
      </c>
      <c r="G1031">
        <v>-4.5218541571833404</v>
      </c>
      <c r="H1031">
        <v>-14.7611040276579</v>
      </c>
      <c r="I1031" t="s">
        <v>68</v>
      </c>
    </row>
    <row r="1032" spans="1:9" x14ac:dyDescent="0.35">
      <c r="A1032" t="s">
        <v>15</v>
      </c>
      <c r="B1032">
        <v>2030</v>
      </c>
      <c r="C1032" t="s">
        <v>67</v>
      </c>
      <c r="D1032" t="s">
        <v>43</v>
      </c>
      <c r="E1032">
        <v>2.8146207037464701E-2</v>
      </c>
      <c r="F1032">
        <v>2.6418610005216399E-2</v>
      </c>
      <c r="G1032">
        <v>-1.72759703224828E-3</v>
      </c>
      <c r="H1032">
        <v>-6.1379390478749896</v>
      </c>
      <c r="I1032" t="s">
        <v>68</v>
      </c>
    </row>
    <row r="1033" spans="1:9" x14ac:dyDescent="0.35">
      <c r="A1033" t="s">
        <v>15</v>
      </c>
      <c r="B1033">
        <v>2030</v>
      </c>
      <c r="C1033" t="s">
        <v>67</v>
      </c>
      <c r="D1033" t="s">
        <v>136</v>
      </c>
      <c r="E1033">
        <v>21.025695519633501</v>
      </c>
      <c r="F1033">
        <v>20.492018007333499</v>
      </c>
      <c r="G1033">
        <v>-0.53367751230003702</v>
      </c>
      <c r="H1033">
        <v>-2.5382157360820501</v>
      </c>
      <c r="I1033" t="s">
        <v>68</v>
      </c>
    </row>
    <row r="1034" spans="1:9" x14ac:dyDescent="0.35">
      <c r="A1034" t="s">
        <v>15</v>
      </c>
      <c r="B1034">
        <v>2030</v>
      </c>
      <c r="C1034" t="s">
        <v>67</v>
      </c>
      <c r="D1034" t="s">
        <v>45</v>
      </c>
      <c r="E1034">
        <v>5.8893415597238402E-2</v>
      </c>
      <c r="F1034">
        <v>3.9897695717960098E-2</v>
      </c>
      <c r="G1034">
        <v>-1.89957198792782E-2</v>
      </c>
      <c r="H1034">
        <v>-32.254403461987302</v>
      </c>
      <c r="I1034" t="s">
        <v>68</v>
      </c>
    </row>
    <row r="1035" spans="1:9" x14ac:dyDescent="0.35">
      <c r="A1035" t="s">
        <v>15</v>
      </c>
      <c r="B1035">
        <v>2030</v>
      </c>
      <c r="C1035" t="s">
        <v>67</v>
      </c>
      <c r="D1035" t="s">
        <v>46</v>
      </c>
      <c r="E1035">
        <v>0.35710613177527301</v>
      </c>
      <c r="F1035">
        <v>0.35710613177527301</v>
      </c>
      <c r="G1035">
        <v>0</v>
      </c>
      <c r="H1035">
        <v>0</v>
      </c>
      <c r="I1035" t="s">
        <v>68</v>
      </c>
    </row>
    <row r="1036" spans="1:9" x14ac:dyDescent="0.35">
      <c r="A1036" t="s">
        <v>15</v>
      </c>
      <c r="B1036">
        <v>2030</v>
      </c>
      <c r="C1036" t="s">
        <v>67</v>
      </c>
      <c r="D1036" t="s">
        <v>47</v>
      </c>
      <c r="E1036">
        <v>7.0720892194961298E-3</v>
      </c>
      <c r="F1036">
        <v>7.0720892194961298E-3</v>
      </c>
      <c r="G1036">
        <v>0</v>
      </c>
      <c r="H1036">
        <v>0</v>
      </c>
      <c r="I1036" t="s">
        <v>68</v>
      </c>
    </row>
    <row r="1037" spans="1:9" x14ac:dyDescent="0.35">
      <c r="A1037" t="s">
        <v>15</v>
      </c>
      <c r="B1037">
        <v>2030</v>
      </c>
      <c r="C1037" t="s">
        <v>67</v>
      </c>
      <c r="D1037" t="s">
        <v>48</v>
      </c>
      <c r="E1037">
        <v>108.57961770586699</v>
      </c>
      <c r="F1037">
        <v>108.57961770586699</v>
      </c>
      <c r="G1037">
        <v>0</v>
      </c>
      <c r="H1037">
        <v>0</v>
      </c>
      <c r="I1037" t="s">
        <v>68</v>
      </c>
    </row>
    <row r="1038" spans="1:9" x14ac:dyDescent="0.35">
      <c r="A1038" t="s">
        <v>15</v>
      </c>
      <c r="B1038">
        <v>2030</v>
      </c>
      <c r="C1038" t="s">
        <v>67</v>
      </c>
      <c r="D1038" t="s">
        <v>49</v>
      </c>
      <c r="E1038">
        <v>0.153908051912898</v>
      </c>
      <c r="F1038">
        <v>9.8048928109389394E-2</v>
      </c>
      <c r="G1038">
        <v>-5.5859123803508798E-2</v>
      </c>
      <c r="H1038">
        <v>-36.293828106616097</v>
      </c>
      <c r="I1038" t="s">
        <v>68</v>
      </c>
    </row>
    <row r="1039" spans="1:9" x14ac:dyDescent="0.35">
      <c r="A1039" t="s">
        <v>15</v>
      </c>
      <c r="B1039">
        <v>2030</v>
      </c>
      <c r="C1039" t="s">
        <v>67</v>
      </c>
      <c r="D1039" t="s">
        <v>50</v>
      </c>
      <c r="E1039">
        <v>0.39611335703227701</v>
      </c>
      <c r="F1039">
        <v>0.39611335703227701</v>
      </c>
      <c r="G1039">
        <v>0</v>
      </c>
      <c r="H1039">
        <v>0</v>
      </c>
      <c r="I1039" t="s">
        <v>68</v>
      </c>
    </row>
    <row r="1040" spans="1:9" x14ac:dyDescent="0.35">
      <c r="A1040" t="s">
        <v>15</v>
      </c>
      <c r="B1040">
        <v>2030</v>
      </c>
      <c r="C1040" t="s">
        <v>67</v>
      </c>
      <c r="D1040" t="s">
        <v>51</v>
      </c>
      <c r="E1040">
        <v>0.63175824236927502</v>
      </c>
      <c r="F1040">
        <v>0.63175824236927502</v>
      </c>
      <c r="G1040">
        <v>0</v>
      </c>
      <c r="H1040">
        <v>0</v>
      </c>
      <c r="I1040" t="s">
        <v>68</v>
      </c>
    </row>
    <row r="1041" spans="1:9" x14ac:dyDescent="0.35">
      <c r="A1041" t="s">
        <v>15</v>
      </c>
      <c r="B1041">
        <v>2030</v>
      </c>
      <c r="C1041" t="s">
        <v>67</v>
      </c>
      <c r="D1041" t="s">
        <v>52</v>
      </c>
      <c r="E1041">
        <v>11.041208749796599</v>
      </c>
      <c r="F1041">
        <v>11.041208749796599</v>
      </c>
      <c r="G1041">
        <v>0</v>
      </c>
      <c r="H1041">
        <v>0</v>
      </c>
      <c r="I1041" t="s">
        <v>68</v>
      </c>
    </row>
    <row r="1042" spans="1:9" x14ac:dyDescent="0.35">
      <c r="A1042" t="s">
        <v>15</v>
      </c>
      <c r="B1042">
        <v>2030</v>
      </c>
      <c r="C1042" t="s">
        <v>67</v>
      </c>
      <c r="D1042" t="s">
        <v>53</v>
      </c>
      <c r="E1042">
        <v>7.3885320453103898</v>
      </c>
      <c r="F1042">
        <v>7.3885320453103898</v>
      </c>
      <c r="G1042">
        <v>0</v>
      </c>
      <c r="H1042">
        <v>0</v>
      </c>
      <c r="I1042" t="s">
        <v>68</v>
      </c>
    </row>
    <row r="1043" spans="1:9" x14ac:dyDescent="0.35">
      <c r="A1043" t="s">
        <v>15</v>
      </c>
      <c r="B1043">
        <v>2030</v>
      </c>
      <c r="C1043" t="s">
        <v>67</v>
      </c>
      <c r="D1043" t="s">
        <v>54</v>
      </c>
      <c r="E1043">
        <v>2.8450473942001899</v>
      </c>
      <c r="F1043">
        <v>2.8423786325326201</v>
      </c>
      <c r="G1043">
        <v>-2.6687616675755699E-3</v>
      </c>
      <c r="H1043">
        <v>-9.3803768366600995E-2</v>
      </c>
      <c r="I1043" t="s">
        <v>68</v>
      </c>
    </row>
    <row r="1044" spans="1:9" x14ac:dyDescent="0.35">
      <c r="A1044" t="s">
        <v>15</v>
      </c>
      <c r="B1044">
        <v>2030</v>
      </c>
      <c r="C1044" t="s">
        <v>67</v>
      </c>
      <c r="D1044" t="s">
        <v>55</v>
      </c>
      <c r="E1044">
        <v>2.6373418773783501</v>
      </c>
      <c r="F1044">
        <v>2.5164242901874001</v>
      </c>
      <c r="G1044">
        <v>-0.120917587190953</v>
      </c>
      <c r="H1044">
        <v>-4.5848279371027498</v>
      </c>
      <c r="I1044" t="s">
        <v>68</v>
      </c>
    </row>
    <row r="1045" spans="1:9" x14ac:dyDescent="0.35">
      <c r="A1045" t="s">
        <v>15</v>
      </c>
      <c r="B1045">
        <v>2030</v>
      </c>
      <c r="C1045" t="s">
        <v>67</v>
      </c>
      <c r="D1045" t="s">
        <v>56</v>
      </c>
      <c r="E1045" s="1">
        <v>2.3068300613271798E-6</v>
      </c>
      <c r="F1045" s="1">
        <v>2.3068300613271798E-6</v>
      </c>
      <c r="G1045">
        <v>0</v>
      </c>
      <c r="H1045">
        <v>0</v>
      </c>
      <c r="I1045" t="s">
        <v>68</v>
      </c>
    </row>
    <row r="1046" spans="1:9" x14ac:dyDescent="0.35">
      <c r="A1046" t="s">
        <v>17</v>
      </c>
      <c r="B1046">
        <v>2035</v>
      </c>
      <c r="C1046" t="s">
        <v>67</v>
      </c>
      <c r="D1046" t="s">
        <v>38</v>
      </c>
      <c r="E1046">
        <v>2.6070106853188599E-2</v>
      </c>
      <c r="F1046">
        <v>2.2614689022222401E-2</v>
      </c>
      <c r="G1046">
        <v>-3.4554178309661502E-3</v>
      </c>
      <c r="H1046">
        <v>-13.2543293758825</v>
      </c>
      <c r="I1046" t="s">
        <v>68</v>
      </c>
    </row>
    <row r="1047" spans="1:9" x14ac:dyDescent="0.35">
      <c r="A1047" t="s">
        <v>17</v>
      </c>
      <c r="B1047">
        <v>2035</v>
      </c>
      <c r="C1047" t="s">
        <v>67</v>
      </c>
      <c r="D1047" t="s">
        <v>40</v>
      </c>
      <c r="E1047">
        <v>6.6281037137278899E-3</v>
      </c>
      <c r="F1047">
        <v>6.6281037137278899E-3</v>
      </c>
      <c r="G1047">
        <v>0</v>
      </c>
      <c r="H1047">
        <v>0</v>
      </c>
      <c r="I1047" t="s">
        <v>68</v>
      </c>
    </row>
    <row r="1048" spans="1:9" x14ac:dyDescent="0.35">
      <c r="A1048" t="s">
        <v>17</v>
      </c>
      <c r="B1048">
        <v>2035</v>
      </c>
      <c r="C1048" t="s">
        <v>67</v>
      </c>
      <c r="D1048" t="s">
        <v>41</v>
      </c>
      <c r="E1048">
        <v>6.2999068538817704E-2</v>
      </c>
      <c r="F1048">
        <v>6.14185697106698E-2</v>
      </c>
      <c r="G1048">
        <v>-1.5804988281478899E-3</v>
      </c>
      <c r="H1048">
        <v>-2.5087653909899399</v>
      </c>
      <c r="I1048" t="s">
        <v>68</v>
      </c>
    </row>
    <row r="1049" spans="1:9" x14ac:dyDescent="0.35">
      <c r="A1049" t="s">
        <v>17</v>
      </c>
      <c r="B1049">
        <v>2035</v>
      </c>
      <c r="C1049" t="s">
        <v>67</v>
      </c>
      <c r="D1049" t="s">
        <v>42</v>
      </c>
      <c r="E1049">
        <v>30.634136635922399</v>
      </c>
      <c r="F1049">
        <v>29.3688943499373</v>
      </c>
      <c r="G1049">
        <v>-1.26524228598511</v>
      </c>
      <c r="H1049">
        <v>-4.1301711911197003</v>
      </c>
      <c r="I1049" t="s">
        <v>68</v>
      </c>
    </row>
    <row r="1050" spans="1:9" x14ac:dyDescent="0.35">
      <c r="A1050" t="s">
        <v>17</v>
      </c>
      <c r="B1050">
        <v>2035</v>
      </c>
      <c r="C1050" t="s">
        <v>67</v>
      </c>
      <c r="D1050" t="s">
        <v>43</v>
      </c>
      <c r="E1050">
        <v>2.8285425884176402E-2</v>
      </c>
      <c r="F1050">
        <v>2.78017598803873E-2</v>
      </c>
      <c r="G1050">
        <v>-4.8366600378909398E-4</v>
      </c>
      <c r="H1050">
        <v>-1.7099477510772401</v>
      </c>
      <c r="I1050" t="s">
        <v>68</v>
      </c>
    </row>
    <row r="1051" spans="1:9" x14ac:dyDescent="0.35">
      <c r="A1051" t="s">
        <v>17</v>
      </c>
      <c r="B1051">
        <v>2035</v>
      </c>
      <c r="C1051" t="s">
        <v>67</v>
      </c>
      <c r="D1051" t="s">
        <v>136</v>
      </c>
      <c r="E1051">
        <v>20.716784571231599</v>
      </c>
      <c r="F1051">
        <v>20.642540333901401</v>
      </c>
      <c r="G1051">
        <v>-7.4244237330205395E-2</v>
      </c>
      <c r="H1051">
        <v>-0.35837722342927902</v>
      </c>
      <c r="I1051" t="s">
        <v>68</v>
      </c>
    </row>
    <row r="1052" spans="1:9" x14ac:dyDescent="0.35">
      <c r="A1052" t="s">
        <v>17</v>
      </c>
      <c r="B1052">
        <v>2035</v>
      </c>
      <c r="C1052" t="s">
        <v>67</v>
      </c>
      <c r="D1052" t="s">
        <v>45</v>
      </c>
      <c r="E1052">
        <v>5.7826854765973101E-2</v>
      </c>
      <c r="F1052">
        <v>5.2657887144749602E-2</v>
      </c>
      <c r="G1052">
        <v>-5.1689676212235301E-3</v>
      </c>
      <c r="H1052">
        <v>-8.9386974998769695</v>
      </c>
      <c r="I1052" t="s">
        <v>68</v>
      </c>
    </row>
    <row r="1053" spans="1:9" x14ac:dyDescent="0.35">
      <c r="A1053" t="s">
        <v>17</v>
      </c>
      <c r="B1053">
        <v>2035</v>
      </c>
      <c r="C1053" t="s">
        <v>67</v>
      </c>
      <c r="D1053" t="s">
        <v>46</v>
      </c>
      <c r="E1053">
        <v>0.62556027426065497</v>
      </c>
      <c r="F1053">
        <v>0.62556027426065497</v>
      </c>
      <c r="G1053">
        <v>0</v>
      </c>
      <c r="H1053">
        <v>0</v>
      </c>
      <c r="I1053" t="s">
        <v>68</v>
      </c>
    </row>
    <row r="1054" spans="1:9" x14ac:dyDescent="0.35">
      <c r="A1054" t="s">
        <v>17</v>
      </c>
      <c r="B1054">
        <v>2035</v>
      </c>
      <c r="C1054" t="s">
        <v>67</v>
      </c>
      <c r="D1054" t="s">
        <v>47</v>
      </c>
      <c r="E1054">
        <v>7.0542897766769303E-3</v>
      </c>
      <c r="F1054">
        <v>7.0542897766769303E-3</v>
      </c>
      <c r="G1054">
        <v>0</v>
      </c>
      <c r="H1054">
        <v>0</v>
      </c>
      <c r="I1054" t="s">
        <v>68</v>
      </c>
    </row>
    <row r="1055" spans="1:9" x14ac:dyDescent="0.35">
      <c r="A1055" t="s">
        <v>17</v>
      </c>
      <c r="B1055">
        <v>2035</v>
      </c>
      <c r="C1055" t="s">
        <v>67</v>
      </c>
      <c r="D1055" t="s">
        <v>48</v>
      </c>
      <c r="E1055">
        <v>108.56293551802401</v>
      </c>
      <c r="F1055">
        <v>108.56293551802401</v>
      </c>
      <c r="G1055">
        <v>0</v>
      </c>
      <c r="H1055">
        <v>0</v>
      </c>
      <c r="I1055" t="s">
        <v>68</v>
      </c>
    </row>
    <row r="1056" spans="1:9" x14ac:dyDescent="0.35">
      <c r="A1056" t="s">
        <v>17</v>
      </c>
      <c r="B1056">
        <v>2035</v>
      </c>
      <c r="C1056" t="s">
        <v>67</v>
      </c>
      <c r="D1056" t="s">
        <v>49</v>
      </c>
      <c r="E1056">
        <v>0.153194347520649</v>
      </c>
      <c r="F1056">
        <v>0.137781870931556</v>
      </c>
      <c r="G1056">
        <v>-1.54124765890936E-2</v>
      </c>
      <c r="H1056">
        <v>-10.060734510466199</v>
      </c>
      <c r="I1056" t="s">
        <v>68</v>
      </c>
    </row>
    <row r="1057" spans="1:9" x14ac:dyDescent="0.35">
      <c r="A1057" t="s">
        <v>17</v>
      </c>
      <c r="B1057">
        <v>2035</v>
      </c>
      <c r="C1057" t="s">
        <v>67</v>
      </c>
      <c r="D1057" t="s">
        <v>50</v>
      </c>
      <c r="E1057">
        <v>0.40209768643590099</v>
      </c>
      <c r="F1057">
        <v>0.40209768643590099</v>
      </c>
      <c r="G1057">
        <v>0</v>
      </c>
      <c r="H1057">
        <v>0</v>
      </c>
      <c r="I1057" t="s">
        <v>68</v>
      </c>
    </row>
    <row r="1058" spans="1:9" x14ac:dyDescent="0.35">
      <c r="A1058" t="s">
        <v>17</v>
      </c>
      <c r="B1058">
        <v>2035</v>
      </c>
      <c r="C1058" t="s">
        <v>67</v>
      </c>
      <c r="D1058" t="s">
        <v>51</v>
      </c>
      <c r="E1058">
        <v>0.63944561495068897</v>
      </c>
      <c r="F1058">
        <v>0.63944561495068897</v>
      </c>
      <c r="G1058">
        <v>0</v>
      </c>
      <c r="H1058">
        <v>0</v>
      </c>
      <c r="I1058" t="s">
        <v>68</v>
      </c>
    </row>
    <row r="1059" spans="1:9" x14ac:dyDescent="0.35">
      <c r="A1059" t="s">
        <v>17</v>
      </c>
      <c r="B1059">
        <v>2035</v>
      </c>
      <c r="C1059" t="s">
        <v>67</v>
      </c>
      <c r="D1059" t="s">
        <v>52</v>
      </c>
      <c r="E1059">
        <v>10.945801600984799</v>
      </c>
      <c r="F1059">
        <v>10.945801600984799</v>
      </c>
      <c r="G1059">
        <v>0</v>
      </c>
      <c r="H1059">
        <v>0</v>
      </c>
      <c r="I1059" t="s">
        <v>68</v>
      </c>
    </row>
    <row r="1060" spans="1:9" x14ac:dyDescent="0.35">
      <c r="A1060" t="s">
        <v>17</v>
      </c>
      <c r="B1060">
        <v>2035</v>
      </c>
      <c r="C1060" t="s">
        <v>67</v>
      </c>
      <c r="D1060" t="s">
        <v>53</v>
      </c>
      <c r="E1060">
        <v>7.2115775553199502</v>
      </c>
      <c r="F1060">
        <v>7.2115775553199502</v>
      </c>
      <c r="G1060">
        <v>0</v>
      </c>
      <c r="H1060">
        <v>0</v>
      </c>
      <c r="I1060" t="s">
        <v>68</v>
      </c>
    </row>
    <row r="1061" spans="1:9" x14ac:dyDescent="0.35">
      <c r="A1061" t="s">
        <v>17</v>
      </c>
      <c r="B1061">
        <v>2035</v>
      </c>
      <c r="C1061" t="s">
        <v>67</v>
      </c>
      <c r="D1061" t="s">
        <v>54</v>
      </c>
      <c r="E1061">
        <v>2.8517598009212901</v>
      </c>
      <c r="F1061">
        <v>2.8510192450805101</v>
      </c>
      <c r="G1061">
        <v>-7.4055584077603598E-4</v>
      </c>
      <c r="H1061">
        <v>-2.5968380665748601E-2</v>
      </c>
      <c r="I1061" t="s">
        <v>68</v>
      </c>
    </row>
    <row r="1062" spans="1:9" x14ac:dyDescent="0.35">
      <c r="A1062" t="s">
        <v>17</v>
      </c>
      <c r="B1062">
        <v>2035</v>
      </c>
      <c r="C1062" t="s">
        <v>67</v>
      </c>
      <c r="D1062" t="s">
        <v>55</v>
      </c>
      <c r="E1062">
        <v>2.6431618845150702</v>
      </c>
      <c r="F1062">
        <v>2.60955789161632</v>
      </c>
      <c r="G1062">
        <v>-3.3603992898758497E-2</v>
      </c>
      <c r="H1062">
        <v>-1.2713558369476701</v>
      </c>
      <c r="I1062" t="s">
        <v>68</v>
      </c>
    </row>
    <row r="1063" spans="1:9" x14ac:dyDescent="0.35">
      <c r="A1063" t="s">
        <v>17</v>
      </c>
      <c r="B1063">
        <v>2035</v>
      </c>
      <c r="C1063" t="s">
        <v>67</v>
      </c>
      <c r="D1063" t="s">
        <v>56</v>
      </c>
      <c r="E1063" s="1">
        <v>2.2238258143312598E-6</v>
      </c>
      <c r="F1063" s="1">
        <v>2.2238258143312598E-6</v>
      </c>
      <c r="G1063">
        <v>0</v>
      </c>
      <c r="H1063">
        <v>0</v>
      </c>
      <c r="I1063" t="s">
        <v>68</v>
      </c>
    </row>
    <row r="1064" spans="1:9" x14ac:dyDescent="0.35">
      <c r="A1064" t="s">
        <v>19</v>
      </c>
      <c r="B1064">
        <v>2040</v>
      </c>
      <c r="C1064" t="s">
        <v>67</v>
      </c>
      <c r="D1064" t="s">
        <v>38</v>
      </c>
      <c r="E1064">
        <v>2.8975727781813201E-2</v>
      </c>
      <c r="F1064">
        <v>1.33105405449066E-2</v>
      </c>
      <c r="G1064">
        <v>-1.5665187236906498E-2</v>
      </c>
      <c r="H1064">
        <v>-54.063136411499897</v>
      </c>
      <c r="I1064" t="s">
        <v>68</v>
      </c>
    </row>
    <row r="1065" spans="1:9" x14ac:dyDescent="0.35">
      <c r="A1065" t="s">
        <v>19</v>
      </c>
      <c r="B1065">
        <v>2040</v>
      </c>
      <c r="C1065" t="s">
        <v>67</v>
      </c>
      <c r="D1065" t="s">
        <v>40</v>
      </c>
      <c r="E1065">
        <v>6.3805029629854003E-3</v>
      </c>
      <c r="F1065">
        <v>6.3805029629854003E-3</v>
      </c>
      <c r="G1065">
        <v>0</v>
      </c>
      <c r="H1065">
        <v>0</v>
      </c>
      <c r="I1065" t="s">
        <v>68</v>
      </c>
    </row>
    <row r="1066" spans="1:9" x14ac:dyDescent="0.35">
      <c r="A1066" t="s">
        <v>19</v>
      </c>
      <c r="B1066">
        <v>2040</v>
      </c>
      <c r="C1066" t="s">
        <v>67</v>
      </c>
      <c r="D1066" t="s">
        <v>41</v>
      </c>
      <c r="E1066">
        <v>6.2419098759990799E-2</v>
      </c>
      <c r="F1066">
        <v>5.5095501713235899E-2</v>
      </c>
      <c r="G1066">
        <v>-7.3235970467548902E-3</v>
      </c>
      <c r="H1066">
        <v>-11.7329426285295</v>
      </c>
      <c r="I1066" t="s">
        <v>68</v>
      </c>
    </row>
    <row r="1067" spans="1:9" x14ac:dyDescent="0.35">
      <c r="A1067" t="s">
        <v>19</v>
      </c>
      <c r="B1067">
        <v>2040</v>
      </c>
      <c r="C1067" t="s">
        <v>67</v>
      </c>
      <c r="D1067" t="s">
        <v>42</v>
      </c>
      <c r="E1067">
        <v>30.796963960229998</v>
      </c>
      <c r="F1067">
        <v>25.009837016568198</v>
      </c>
      <c r="G1067">
        <v>-5.7871269436617503</v>
      </c>
      <c r="H1067">
        <v>-18.791225495912599</v>
      </c>
      <c r="I1067" t="s">
        <v>68</v>
      </c>
    </row>
    <row r="1068" spans="1:9" x14ac:dyDescent="0.35">
      <c r="A1068" t="s">
        <v>19</v>
      </c>
      <c r="B1068">
        <v>2040</v>
      </c>
      <c r="C1068" t="s">
        <v>67</v>
      </c>
      <c r="D1068" t="s">
        <v>43</v>
      </c>
      <c r="E1068">
        <v>2.8847809957434401E-2</v>
      </c>
      <c r="F1068">
        <v>2.6636535213881901E-2</v>
      </c>
      <c r="G1068">
        <v>-2.21127474355249E-3</v>
      </c>
      <c r="H1068">
        <v>-7.6653123644923999</v>
      </c>
      <c r="I1068" t="s">
        <v>68</v>
      </c>
    </row>
    <row r="1069" spans="1:9" x14ac:dyDescent="0.35">
      <c r="A1069" t="s">
        <v>19</v>
      </c>
      <c r="B1069">
        <v>2040</v>
      </c>
      <c r="C1069" t="s">
        <v>67</v>
      </c>
      <c r="D1069" t="s">
        <v>136</v>
      </c>
      <c r="E1069">
        <v>20.634624456919301</v>
      </c>
      <c r="F1069">
        <v>20.0393224664322</v>
      </c>
      <c r="G1069">
        <v>-0.59530199048703003</v>
      </c>
      <c r="H1069">
        <v>-2.88496643944208</v>
      </c>
      <c r="I1069" t="s">
        <v>68</v>
      </c>
    </row>
    <row r="1070" spans="1:9" x14ac:dyDescent="0.35">
      <c r="A1070" t="s">
        <v>19</v>
      </c>
      <c r="B1070">
        <v>2040</v>
      </c>
      <c r="C1070" t="s">
        <v>67</v>
      </c>
      <c r="D1070" t="s">
        <v>45</v>
      </c>
      <c r="E1070">
        <v>5.74837982214048E-2</v>
      </c>
      <c r="F1070">
        <v>3.3318983425634101E-2</v>
      </c>
      <c r="G1070">
        <v>-2.4164814795770699E-2</v>
      </c>
      <c r="H1070">
        <v>-42.037609802152303</v>
      </c>
      <c r="I1070" t="s">
        <v>68</v>
      </c>
    </row>
    <row r="1071" spans="1:9" x14ac:dyDescent="0.35">
      <c r="A1071" t="s">
        <v>19</v>
      </c>
      <c r="B1071">
        <v>2040</v>
      </c>
      <c r="C1071" t="s">
        <v>67</v>
      </c>
      <c r="D1071" t="s">
        <v>46</v>
      </c>
      <c r="E1071">
        <v>1.0078835755825399</v>
      </c>
      <c r="F1071">
        <v>1.0078835755825399</v>
      </c>
      <c r="G1071">
        <v>0</v>
      </c>
      <c r="H1071">
        <v>0</v>
      </c>
      <c r="I1071" t="s">
        <v>68</v>
      </c>
    </row>
    <row r="1072" spans="1:9" x14ac:dyDescent="0.35">
      <c r="A1072" t="s">
        <v>19</v>
      </c>
      <c r="B1072">
        <v>2040</v>
      </c>
      <c r="C1072" t="s">
        <v>67</v>
      </c>
      <c r="D1072" t="s">
        <v>47</v>
      </c>
      <c r="E1072">
        <v>7.25469348784468E-3</v>
      </c>
      <c r="F1072">
        <v>7.25469348784468E-3</v>
      </c>
      <c r="G1072">
        <v>0</v>
      </c>
      <c r="H1072">
        <v>0</v>
      </c>
      <c r="I1072" t="s">
        <v>68</v>
      </c>
    </row>
    <row r="1073" spans="1:9" x14ac:dyDescent="0.35">
      <c r="A1073" t="s">
        <v>19</v>
      </c>
      <c r="B1073">
        <v>2040</v>
      </c>
      <c r="C1073" t="s">
        <v>67</v>
      </c>
      <c r="D1073" t="s">
        <v>48</v>
      </c>
      <c r="E1073">
        <v>108.567089210097</v>
      </c>
      <c r="F1073">
        <v>108.567089210097</v>
      </c>
      <c r="G1073">
        <v>0</v>
      </c>
      <c r="H1073">
        <v>0</v>
      </c>
      <c r="I1073" t="s">
        <v>68</v>
      </c>
    </row>
    <row r="1074" spans="1:9" x14ac:dyDescent="0.35">
      <c r="A1074" t="s">
        <v>19</v>
      </c>
      <c r="B1074">
        <v>2040</v>
      </c>
      <c r="C1074" t="s">
        <v>67</v>
      </c>
      <c r="D1074" t="s">
        <v>49</v>
      </c>
      <c r="E1074">
        <v>0.153338359714353</v>
      </c>
      <c r="F1074">
        <v>8.2066384064756595E-2</v>
      </c>
      <c r="G1074">
        <v>-7.1271975649596406E-2</v>
      </c>
      <c r="H1074">
        <v>-46.480199594129999</v>
      </c>
      <c r="I1074" t="s">
        <v>68</v>
      </c>
    </row>
    <row r="1075" spans="1:9" x14ac:dyDescent="0.35">
      <c r="A1075" t="s">
        <v>19</v>
      </c>
      <c r="B1075">
        <v>2040</v>
      </c>
      <c r="C1075" t="s">
        <v>67</v>
      </c>
      <c r="D1075" t="s">
        <v>50</v>
      </c>
      <c r="E1075">
        <v>0.41171326478544401</v>
      </c>
      <c r="F1075">
        <v>0.41171326478544401</v>
      </c>
      <c r="G1075">
        <v>0</v>
      </c>
      <c r="H1075">
        <v>0</v>
      </c>
      <c r="I1075" t="s">
        <v>68</v>
      </c>
    </row>
    <row r="1076" spans="1:9" x14ac:dyDescent="0.35">
      <c r="A1076" t="s">
        <v>19</v>
      </c>
      <c r="B1076">
        <v>2040</v>
      </c>
      <c r="C1076" t="s">
        <v>67</v>
      </c>
      <c r="D1076" t="s">
        <v>51</v>
      </c>
      <c r="E1076">
        <v>0.65072442991528501</v>
      </c>
      <c r="F1076">
        <v>0.65072442991528501</v>
      </c>
      <c r="G1076">
        <v>0</v>
      </c>
      <c r="H1076">
        <v>0</v>
      </c>
      <c r="I1076" t="s">
        <v>68</v>
      </c>
    </row>
    <row r="1077" spans="1:9" x14ac:dyDescent="0.35">
      <c r="A1077" t="s">
        <v>19</v>
      </c>
      <c r="B1077">
        <v>2040</v>
      </c>
      <c r="C1077" t="s">
        <v>67</v>
      </c>
      <c r="D1077" t="s">
        <v>52</v>
      </c>
      <c r="E1077">
        <v>10.853092235323301</v>
      </c>
      <c r="F1077">
        <v>10.853092235323301</v>
      </c>
      <c r="G1077">
        <v>0</v>
      </c>
      <c r="H1077">
        <v>0</v>
      </c>
      <c r="I1077" t="s">
        <v>68</v>
      </c>
    </row>
    <row r="1078" spans="1:9" x14ac:dyDescent="0.35">
      <c r="A1078" t="s">
        <v>19</v>
      </c>
      <c r="B1078">
        <v>2040</v>
      </c>
      <c r="C1078" t="s">
        <v>67</v>
      </c>
      <c r="D1078" t="s">
        <v>53</v>
      </c>
      <c r="E1078">
        <v>7.0843348080353197</v>
      </c>
      <c r="F1078">
        <v>7.0843348080353197</v>
      </c>
      <c r="G1078">
        <v>0</v>
      </c>
      <c r="H1078">
        <v>0</v>
      </c>
      <c r="I1078" t="s">
        <v>68</v>
      </c>
    </row>
    <row r="1079" spans="1:9" x14ac:dyDescent="0.35">
      <c r="A1079" t="s">
        <v>19</v>
      </c>
      <c r="B1079">
        <v>2040</v>
      </c>
      <c r="C1079" t="s">
        <v>67</v>
      </c>
      <c r="D1079" t="s">
        <v>54</v>
      </c>
      <c r="E1079">
        <v>2.8648543643882798</v>
      </c>
      <c r="F1079">
        <v>2.8614450289129501</v>
      </c>
      <c r="G1079">
        <v>-3.40933547533106E-3</v>
      </c>
      <c r="H1079">
        <v>-0.119005542400722</v>
      </c>
      <c r="I1079" t="s">
        <v>68</v>
      </c>
    </row>
    <row r="1080" spans="1:9" x14ac:dyDescent="0.35">
      <c r="A1080" t="s">
        <v>19</v>
      </c>
      <c r="B1080">
        <v>2040</v>
      </c>
      <c r="C1080" t="s">
        <v>67</v>
      </c>
      <c r="D1080" t="s">
        <v>55</v>
      </c>
      <c r="E1080">
        <v>2.6548072584654498</v>
      </c>
      <c r="F1080">
        <v>2.5002848635894299</v>
      </c>
      <c r="G1080">
        <v>-0.15452239487602201</v>
      </c>
      <c r="H1080">
        <v>-5.8204750790586601</v>
      </c>
      <c r="I1080" t="s">
        <v>68</v>
      </c>
    </row>
    <row r="1081" spans="1:9" x14ac:dyDescent="0.35">
      <c r="A1081" t="s">
        <v>19</v>
      </c>
      <c r="B1081">
        <v>2040</v>
      </c>
      <c r="C1081" t="s">
        <v>67</v>
      </c>
      <c r="D1081" t="s">
        <v>56</v>
      </c>
      <c r="E1081" s="1">
        <v>2.1511940861401799E-6</v>
      </c>
      <c r="F1081" s="1">
        <v>2.1511940861401799E-6</v>
      </c>
      <c r="G1081">
        <v>0</v>
      </c>
      <c r="H1081">
        <v>0</v>
      </c>
      <c r="I1081" t="s">
        <v>68</v>
      </c>
    </row>
    <row r="1082" spans="1:9" x14ac:dyDescent="0.35">
      <c r="A1082" t="s">
        <v>13</v>
      </c>
      <c r="B1082">
        <v>2025</v>
      </c>
      <c r="C1082" t="s">
        <v>80</v>
      </c>
      <c r="D1082" t="s">
        <v>38</v>
      </c>
      <c r="E1082">
        <v>3.4017058736059798E-4</v>
      </c>
      <c r="F1082">
        <v>3.4017058736059798E-4</v>
      </c>
      <c r="G1082">
        <v>0</v>
      </c>
      <c r="H1082">
        <v>0</v>
      </c>
      <c r="I1082" t="s">
        <v>81</v>
      </c>
    </row>
    <row r="1083" spans="1:9" x14ac:dyDescent="0.35">
      <c r="A1083" t="s">
        <v>13</v>
      </c>
      <c r="B1083">
        <v>2025</v>
      </c>
      <c r="C1083" t="s">
        <v>80</v>
      </c>
      <c r="D1083" t="s">
        <v>40</v>
      </c>
      <c r="E1083">
        <v>4.3016776463465297E-4</v>
      </c>
      <c r="F1083">
        <v>4.3016776463465297E-4</v>
      </c>
      <c r="G1083">
        <v>0</v>
      </c>
      <c r="H1083">
        <v>0</v>
      </c>
      <c r="I1083" t="s">
        <v>81</v>
      </c>
    </row>
    <row r="1084" spans="1:9" x14ac:dyDescent="0.35">
      <c r="A1084" t="s">
        <v>13</v>
      </c>
      <c r="B1084">
        <v>2025</v>
      </c>
      <c r="C1084" t="s">
        <v>80</v>
      </c>
      <c r="D1084" t="s">
        <v>41</v>
      </c>
      <c r="E1084">
        <v>4.03965780301665E-3</v>
      </c>
      <c r="F1084">
        <v>4.03965780301665E-3</v>
      </c>
      <c r="G1084">
        <v>0</v>
      </c>
      <c r="H1084">
        <v>0</v>
      </c>
      <c r="I1084" t="s">
        <v>81</v>
      </c>
    </row>
    <row r="1085" spans="1:9" x14ac:dyDescent="0.35">
      <c r="A1085" t="s">
        <v>13</v>
      </c>
      <c r="B1085">
        <v>2025</v>
      </c>
      <c r="C1085" t="s">
        <v>80</v>
      </c>
      <c r="D1085" t="s">
        <v>42</v>
      </c>
      <c r="E1085">
        <v>0.66824877997835996</v>
      </c>
      <c r="F1085">
        <v>0.66824877997835996</v>
      </c>
      <c r="G1085">
        <v>0</v>
      </c>
      <c r="H1085">
        <v>0</v>
      </c>
      <c r="I1085" t="s">
        <v>81</v>
      </c>
    </row>
    <row r="1086" spans="1:9" x14ac:dyDescent="0.35">
      <c r="A1086" t="s">
        <v>13</v>
      </c>
      <c r="B1086">
        <v>2025</v>
      </c>
      <c r="C1086" t="s">
        <v>80</v>
      </c>
      <c r="D1086" t="s">
        <v>43</v>
      </c>
      <c r="E1086">
        <v>1.2834843782771499E-3</v>
      </c>
      <c r="F1086">
        <v>1.2834843782771499E-3</v>
      </c>
      <c r="G1086">
        <v>0</v>
      </c>
      <c r="H1086">
        <v>0</v>
      </c>
      <c r="I1086" t="s">
        <v>81</v>
      </c>
    </row>
    <row r="1087" spans="1:9" x14ac:dyDescent="0.35">
      <c r="A1087" t="s">
        <v>13</v>
      </c>
      <c r="B1087">
        <v>2025</v>
      </c>
      <c r="C1087" t="s">
        <v>80</v>
      </c>
      <c r="D1087" t="s">
        <v>136</v>
      </c>
      <c r="E1087">
        <v>1.6460259277748399</v>
      </c>
      <c r="F1087">
        <v>1.6460259277748399</v>
      </c>
      <c r="G1087">
        <v>0</v>
      </c>
      <c r="H1087">
        <v>0</v>
      </c>
      <c r="I1087" t="s">
        <v>81</v>
      </c>
    </row>
    <row r="1088" spans="1:9" x14ac:dyDescent="0.35">
      <c r="A1088" t="s">
        <v>13</v>
      </c>
      <c r="B1088">
        <v>2025</v>
      </c>
      <c r="C1088" t="s">
        <v>80</v>
      </c>
      <c r="D1088" t="s">
        <v>45</v>
      </c>
      <c r="E1088">
        <v>1.75604816245979E-3</v>
      </c>
      <c r="F1088">
        <v>1.75604816245979E-3</v>
      </c>
      <c r="G1088">
        <v>0</v>
      </c>
      <c r="H1088">
        <v>0</v>
      </c>
      <c r="I1088" t="s">
        <v>81</v>
      </c>
    </row>
    <row r="1089" spans="1:9" x14ac:dyDescent="0.35">
      <c r="A1089" t="s">
        <v>13</v>
      </c>
      <c r="B1089">
        <v>2025</v>
      </c>
      <c r="C1089" t="s">
        <v>80</v>
      </c>
      <c r="D1089" t="s">
        <v>46</v>
      </c>
      <c r="E1089">
        <v>2.2507323452675601E-2</v>
      </c>
      <c r="F1089">
        <v>2.2507323452675601E-2</v>
      </c>
      <c r="G1089">
        <v>0</v>
      </c>
      <c r="H1089">
        <v>0</v>
      </c>
      <c r="I1089" t="s">
        <v>81</v>
      </c>
    </row>
    <row r="1090" spans="1:9" x14ac:dyDescent="0.35">
      <c r="A1090" t="s">
        <v>13</v>
      </c>
      <c r="B1090">
        <v>2025</v>
      </c>
      <c r="C1090" t="s">
        <v>80</v>
      </c>
      <c r="D1090" t="s">
        <v>47</v>
      </c>
      <c r="E1090">
        <v>6.1654298444324305E-4</v>
      </c>
      <c r="F1090">
        <v>6.1654298444324305E-4</v>
      </c>
      <c r="G1090">
        <v>0</v>
      </c>
      <c r="H1090">
        <v>0</v>
      </c>
      <c r="I1090" t="s">
        <v>81</v>
      </c>
    </row>
    <row r="1091" spans="1:9" x14ac:dyDescent="0.35">
      <c r="A1091" t="s">
        <v>13</v>
      </c>
      <c r="B1091">
        <v>2025</v>
      </c>
      <c r="C1091" t="s">
        <v>80</v>
      </c>
      <c r="D1091" t="s">
        <v>48</v>
      </c>
      <c r="E1091">
        <v>80.557699951119105</v>
      </c>
      <c r="F1091">
        <v>80.557699951119105</v>
      </c>
      <c r="G1091">
        <v>0</v>
      </c>
      <c r="H1091">
        <v>0</v>
      </c>
      <c r="I1091" t="s">
        <v>81</v>
      </c>
    </row>
    <row r="1092" spans="1:9" x14ac:dyDescent="0.35">
      <c r="A1092" t="s">
        <v>13</v>
      </c>
      <c r="B1092">
        <v>2025</v>
      </c>
      <c r="C1092" t="s">
        <v>80</v>
      </c>
      <c r="D1092" t="s">
        <v>49</v>
      </c>
      <c r="E1092">
        <v>4.3910899516046101E-3</v>
      </c>
      <c r="F1092">
        <v>4.3910899516046101E-3</v>
      </c>
      <c r="G1092">
        <v>0</v>
      </c>
      <c r="H1092">
        <v>0</v>
      </c>
      <c r="I1092" t="s">
        <v>81</v>
      </c>
    </row>
    <row r="1093" spans="1:9" x14ac:dyDescent="0.35">
      <c r="A1093" t="s">
        <v>13</v>
      </c>
      <c r="B1093">
        <v>2025</v>
      </c>
      <c r="C1093" t="s">
        <v>80</v>
      </c>
      <c r="D1093" t="s">
        <v>50</v>
      </c>
      <c r="E1093">
        <v>7.5662862060836703E-3</v>
      </c>
      <c r="F1093">
        <v>7.5662862060836703E-3</v>
      </c>
      <c r="G1093">
        <v>0</v>
      </c>
      <c r="H1093">
        <v>0</v>
      </c>
      <c r="I1093" t="s">
        <v>81</v>
      </c>
    </row>
    <row r="1094" spans="1:9" x14ac:dyDescent="0.35">
      <c r="A1094" t="s">
        <v>13</v>
      </c>
      <c r="B1094">
        <v>2025</v>
      </c>
      <c r="C1094" t="s">
        <v>80</v>
      </c>
      <c r="D1094" t="s">
        <v>51</v>
      </c>
      <c r="E1094">
        <v>5.87351114591282E-2</v>
      </c>
      <c r="F1094">
        <v>5.87351114591282E-2</v>
      </c>
      <c r="G1094">
        <v>0</v>
      </c>
      <c r="H1094">
        <v>0</v>
      </c>
      <c r="I1094" t="s">
        <v>81</v>
      </c>
    </row>
    <row r="1095" spans="1:9" x14ac:dyDescent="0.35">
      <c r="A1095" t="s">
        <v>13</v>
      </c>
      <c r="B1095">
        <v>2025</v>
      </c>
      <c r="C1095" t="s">
        <v>80</v>
      </c>
      <c r="D1095" t="s">
        <v>52</v>
      </c>
      <c r="E1095">
        <v>0.45419271464204403</v>
      </c>
      <c r="F1095">
        <v>0.45419271464204403</v>
      </c>
      <c r="G1095">
        <v>0</v>
      </c>
      <c r="H1095">
        <v>0</v>
      </c>
      <c r="I1095" t="s">
        <v>81</v>
      </c>
    </row>
    <row r="1096" spans="1:9" x14ac:dyDescent="0.35">
      <c r="A1096" t="s">
        <v>13</v>
      </c>
      <c r="B1096">
        <v>2025</v>
      </c>
      <c r="C1096" t="s">
        <v>80</v>
      </c>
      <c r="D1096" t="s">
        <v>53</v>
      </c>
      <c r="E1096">
        <v>0.41707623468504801</v>
      </c>
      <c r="F1096">
        <v>0.41707623468504801</v>
      </c>
      <c r="G1096">
        <v>0</v>
      </c>
      <c r="H1096">
        <v>0</v>
      </c>
      <c r="I1096" t="s">
        <v>81</v>
      </c>
    </row>
    <row r="1097" spans="1:9" x14ac:dyDescent="0.35">
      <c r="A1097" t="s">
        <v>13</v>
      </c>
      <c r="B1097">
        <v>2025</v>
      </c>
      <c r="C1097" t="s">
        <v>80</v>
      </c>
      <c r="D1097" t="s">
        <v>54</v>
      </c>
      <c r="E1097">
        <v>4.8713734409159902E-2</v>
      </c>
      <c r="F1097">
        <v>4.8713734409159902E-2</v>
      </c>
      <c r="G1097">
        <v>0</v>
      </c>
      <c r="H1097">
        <v>0</v>
      </c>
      <c r="I1097" t="s">
        <v>81</v>
      </c>
    </row>
    <row r="1098" spans="1:9" x14ac:dyDescent="0.35">
      <c r="A1098" t="s">
        <v>13</v>
      </c>
      <c r="B1098">
        <v>2025</v>
      </c>
      <c r="C1098" t="s">
        <v>80</v>
      </c>
      <c r="D1098" t="s">
        <v>55</v>
      </c>
      <c r="E1098">
        <v>4.5435369131370897E-2</v>
      </c>
      <c r="F1098">
        <v>4.5435369131370897E-2</v>
      </c>
      <c r="G1098">
        <v>0</v>
      </c>
      <c r="H1098">
        <v>0</v>
      </c>
      <c r="I1098" t="s">
        <v>81</v>
      </c>
    </row>
    <row r="1099" spans="1:9" x14ac:dyDescent="0.35">
      <c r="A1099" t="s">
        <v>13</v>
      </c>
      <c r="B1099">
        <v>2025</v>
      </c>
      <c r="C1099" t="s">
        <v>80</v>
      </c>
      <c r="D1099" t="s">
        <v>56</v>
      </c>
      <c r="E1099" s="1">
        <v>1.0605753800338901E-7</v>
      </c>
      <c r="F1099" s="1">
        <v>1.0605753800338901E-7</v>
      </c>
      <c r="G1099">
        <v>0</v>
      </c>
      <c r="H1099">
        <v>0</v>
      </c>
      <c r="I1099" t="s">
        <v>81</v>
      </c>
    </row>
    <row r="1100" spans="1:9" x14ac:dyDescent="0.35">
      <c r="A1100" t="s">
        <v>15</v>
      </c>
      <c r="B1100">
        <v>2030</v>
      </c>
      <c r="C1100" t="s">
        <v>80</v>
      </c>
      <c r="D1100" t="s">
        <v>38</v>
      </c>
      <c r="E1100">
        <v>3.6012836751785798E-4</v>
      </c>
      <c r="F1100">
        <v>3.6012836751785798E-4</v>
      </c>
      <c r="G1100">
        <v>0</v>
      </c>
      <c r="H1100">
        <v>0</v>
      </c>
      <c r="I1100" t="s">
        <v>81</v>
      </c>
    </row>
    <row r="1101" spans="1:9" x14ac:dyDescent="0.35">
      <c r="A1101" t="s">
        <v>15</v>
      </c>
      <c r="B1101">
        <v>2030</v>
      </c>
      <c r="C1101" t="s">
        <v>80</v>
      </c>
      <c r="D1101" t="s">
        <v>40</v>
      </c>
      <c r="E1101">
        <v>4.0690967506288098E-4</v>
      </c>
      <c r="F1101">
        <v>4.0690967506288098E-4</v>
      </c>
      <c r="G1101">
        <v>0</v>
      </c>
      <c r="H1101">
        <v>0</v>
      </c>
      <c r="I1101" t="s">
        <v>81</v>
      </c>
    </row>
    <row r="1102" spans="1:9" x14ac:dyDescent="0.35">
      <c r="A1102" t="s">
        <v>15</v>
      </c>
      <c r="B1102">
        <v>2030</v>
      </c>
      <c r="C1102" t="s">
        <v>80</v>
      </c>
      <c r="D1102" t="s">
        <v>41</v>
      </c>
      <c r="E1102">
        <v>3.61536287467466E-3</v>
      </c>
      <c r="F1102">
        <v>3.61536287467466E-3</v>
      </c>
      <c r="G1102">
        <v>0</v>
      </c>
      <c r="H1102">
        <v>0</v>
      </c>
      <c r="I1102" t="s">
        <v>81</v>
      </c>
    </row>
    <row r="1103" spans="1:9" x14ac:dyDescent="0.35">
      <c r="A1103" t="s">
        <v>15</v>
      </c>
      <c r="B1103">
        <v>2030</v>
      </c>
      <c r="C1103" t="s">
        <v>80</v>
      </c>
      <c r="D1103" t="s">
        <v>42</v>
      </c>
      <c r="E1103">
        <v>0.57410582670704702</v>
      </c>
      <c r="F1103">
        <v>0.57410582670704702</v>
      </c>
      <c r="G1103">
        <v>0</v>
      </c>
      <c r="H1103">
        <v>0</v>
      </c>
      <c r="I1103" t="s">
        <v>81</v>
      </c>
    </row>
    <row r="1104" spans="1:9" x14ac:dyDescent="0.35">
      <c r="A1104" t="s">
        <v>15</v>
      </c>
      <c r="B1104">
        <v>2030</v>
      </c>
      <c r="C1104" t="s">
        <v>80</v>
      </c>
      <c r="D1104" t="s">
        <v>43</v>
      </c>
      <c r="E1104">
        <v>1.1294637552442901E-3</v>
      </c>
      <c r="F1104">
        <v>1.1294637552442901E-3</v>
      </c>
      <c r="G1104">
        <v>0</v>
      </c>
      <c r="H1104">
        <v>0</v>
      </c>
      <c r="I1104" t="s">
        <v>81</v>
      </c>
    </row>
    <row r="1105" spans="1:9" x14ac:dyDescent="0.35">
      <c r="A1105" t="s">
        <v>15</v>
      </c>
      <c r="B1105">
        <v>2030</v>
      </c>
      <c r="C1105" t="s">
        <v>80</v>
      </c>
      <c r="D1105" t="s">
        <v>136</v>
      </c>
      <c r="E1105">
        <v>1.4989844608206599</v>
      </c>
      <c r="F1105">
        <v>1.2888643768026</v>
      </c>
      <c r="G1105">
        <v>-0.21012008401806501</v>
      </c>
      <c r="H1105">
        <v>-14.0174958119997</v>
      </c>
      <c r="I1105" t="s">
        <v>81</v>
      </c>
    </row>
    <row r="1106" spans="1:9" x14ac:dyDescent="0.35">
      <c r="A1106" t="s">
        <v>15</v>
      </c>
      <c r="B1106">
        <v>2030</v>
      </c>
      <c r="C1106" t="s">
        <v>80</v>
      </c>
      <c r="D1106" t="s">
        <v>45</v>
      </c>
      <c r="E1106">
        <v>1.5353113129954099E-3</v>
      </c>
      <c r="F1106">
        <v>1.5353113129954099E-3</v>
      </c>
      <c r="G1106">
        <v>0</v>
      </c>
      <c r="H1106">
        <v>0</v>
      </c>
      <c r="I1106" t="s">
        <v>81</v>
      </c>
    </row>
    <row r="1107" spans="1:9" x14ac:dyDescent="0.35">
      <c r="A1107" t="s">
        <v>15</v>
      </c>
      <c r="B1107">
        <v>2030</v>
      </c>
      <c r="C1107" t="s">
        <v>80</v>
      </c>
      <c r="D1107" t="s">
        <v>46</v>
      </c>
      <c r="E1107">
        <v>2.7636090790317699E-2</v>
      </c>
      <c r="F1107">
        <v>2.7636090790317699E-2</v>
      </c>
      <c r="G1107">
        <v>0</v>
      </c>
      <c r="H1107">
        <v>0</v>
      </c>
      <c r="I1107" t="s">
        <v>81</v>
      </c>
    </row>
    <row r="1108" spans="1:9" x14ac:dyDescent="0.35">
      <c r="A1108" t="s">
        <v>15</v>
      </c>
      <c r="B1108">
        <v>2030</v>
      </c>
      <c r="C1108" t="s">
        <v>80</v>
      </c>
      <c r="D1108" t="s">
        <v>47</v>
      </c>
      <c r="E1108">
        <v>4.78851457268632E-4</v>
      </c>
      <c r="F1108">
        <v>4.78851457268632E-4</v>
      </c>
      <c r="G1108">
        <v>0</v>
      </c>
      <c r="H1108">
        <v>0</v>
      </c>
      <c r="I1108" t="s">
        <v>81</v>
      </c>
    </row>
    <row r="1109" spans="1:9" x14ac:dyDescent="0.35">
      <c r="A1109" t="s">
        <v>15</v>
      </c>
      <c r="B1109">
        <v>2030</v>
      </c>
      <c r="C1109" t="s">
        <v>80</v>
      </c>
      <c r="D1109" t="s">
        <v>48</v>
      </c>
      <c r="E1109">
        <v>80.558387448180497</v>
      </c>
      <c r="F1109">
        <v>80.558387448180497</v>
      </c>
      <c r="G1109">
        <v>0</v>
      </c>
      <c r="H1109">
        <v>0</v>
      </c>
      <c r="I1109" t="s">
        <v>81</v>
      </c>
    </row>
    <row r="1110" spans="1:9" x14ac:dyDescent="0.35">
      <c r="A1110" t="s">
        <v>15</v>
      </c>
      <c r="B1110">
        <v>2030</v>
      </c>
      <c r="C1110" t="s">
        <v>80</v>
      </c>
      <c r="D1110" t="s">
        <v>49</v>
      </c>
      <c r="E1110">
        <v>3.77608218962697E-3</v>
      </c>
      <c r="F1110">
        <v>3.77608218962697E-3</v>
      </c>
      <c r="G1110">
        <v>0</v>
      </c>
      <c r="H1110">
        <v>0</v>
      </c>
      <c r="I1110" t="s">
        <v>81</v>
      </c>
    </row>
    <row r="1111" spans="1:9" x14ac:dyDescent="0.35">
      <c r="A1111" t="s">
        <v>15</v>
      </c>
      <c r="B1111">
        <v>2030</v>
      </c>
      <c r="C1111" t="s">
        <v>80</v>
      </c>
      <c r="D1111" t="s">
        <v>50</v>
      </c>
      <c r="E1111">
        <v>6.8803378703283201E-3</v>
      </c>
      <c r="F1111">
        <v>6.8803378703283201E-3</v>
      </c>
      <c r="G1111">
        <v>0</v>
      </c>
      <c r="H1111">
        <v>0</v>
      </c>
      <c r="I1111" t="s">
        <v>81</v>
      </c>
    </row>
    <row r="1112" spans="1:9" x14ac:dyDescent="0.35">
      <c r="A1112" t="s">
        <v>15</v>
      </c>
      <c r="B1112">
        <v>2030</v>
      </c>
      <c r="C1112" t="s">
        <v>80</v>
      </c>
      <c r="D1112" t="s">
        <v>51</v>
      </c>
      <c r="E1112">
        <v>5.9801077611100699E-2</v>
      </c>
      <c r="F1112">
        <v>5.9801077611100699E-2</v>
      </c>
      <c r="G1112">
        <v>0</v>
      </c>
      <c r="H1112">
        <v>0</v>
      </c>
      <c r="I1112" t="s">
        <v>81</v>
      </c>
    </row>
    <row r="1113" spans="1:9" x14ac:dyDescent="0.35">
      <c r="A1113" t="s">
        <v>15</v>
      </c>
      <c r="B1113">
        <v>2030</v>
      </c>
      <c r="C1113" t="s">
        <v>80</v>
      </c>
      <c r="D1113" t="s">
        <v>52</v>
      </c>
      <c r="E1113">
        <v>0.360575566573412</v>
      </c>
      <c r="F1113">
        <v>0.360575566573412</v>
      </c>
      <c r="G1113">
        <v>0</v>
      </c>
      <c r="H1113">
        <v>0</v>
      </c>
      <c r="I1113" t="s">
        <v>81</v>
      </c>
    </row>
    <row r="1114" spans="1:9" x14ac:dyDescent="0.35">
      <c r="A1114" t="s">
        <v>15</v>
      </c>
      <c r="B1114">
        <v>2030</v>
      </c>
      <c r="C1114" t="s">
        <v>80</v>
      </c>
      <c r="D1114" t="s">
        <v>53</v>
      </c>
      <c r="E1114">
        <v>0.37035740989582999</v>
      </c>
      <c r="F1114">
        <v>0.37035740989582999</v>
      </c>
      <c r="G1114">
        <v>0</v>
      </c>
      <c r="H1114">
        <v>0</v>
      </c>
      <c r="I1114" t="s">
        <v>81</v>
      </c>
    </row>
    <row r="1115" spans="1:9" x14ac:dyDescent="0.35">
      <c r="A1115" t="s">
        <v>15</v>
      </c>
      <c r="B1115">
        <v>2030</v>
      </c>
      <c r="C1115" t="s">
        <v>80</v>
      </c>
      <c r="D1115" t="s">
        <v>54</v>
      </c>
      <c r="E1115">
        <v>4.80758526040636E-2</v>
      </c>
      <c r="F1115">
        <v>4.80758526040636E-2</v>
      </c>
      <c r="G1115">
        <v>0</v>
      </c>
      <c r="H1115">
        <v>0</v>
      </c>
      <c r="I1115" t="s">
        <v>81</v>
      </c>
    </row>
    <row r="1116" spans="1:9" x14ac:dyDescent="0.35">
      <c r="A1116" t="s">
        <v>15</v>
      </c>
      <c r="B1116">
        <v>2030</v>
      </c>
      <c r="C1116" t="s">
        <v>80</v>
      </c>
      <c r="D1116" t="s">
        <v>55</v>
      </c>
      <c r="E1116">
        <v>4.4631740429730303E-2</v>
      </c>
      <c r="F1116">
        <v>4.4631740429730303E-2</v>
      </c>
      <c r="G1116">
        <v>0</v>
      </c>
      <c r="H1116">
        <v>0</v>
      </c>
      <c r="I1116" t="s">
        <v>81</v>
      </c>
    </row>
    <row r="1117" spans="1:9" x14ac:dyDescent="0.35">
      <c r="A1117" t="s">
        <v>15</v>
      </c>
      <c r="B1117">
        <v>2030</v>
      </c>
      <c r="C1117" t="s">
        <v>80</v>
      </c>
      <c r="D1117" t="s">
        <v>56</v>
      </c>
      <c r="E1117" s="1">
        <v>9.5542556418052596E-8</v>
      </c>
      <c r="F1117" s="1">
        <v>9.5542556418052596E-8</v>
      </c>
      <c r="G1117">
        <v>0</v>
      </c>
      <c r="H1117">
        <v>0</v>
      </c>
      <c r="I1117" t="s">
        <v>81</v>
      </c>
    </row>
    <row r="1118" spans="1:9" x14ac:dyDescent="0.35">
      <c r="A1118" t="s">
        <v>17</v>
      </c>
      <c r="B1118">
        <v>2035</v>
      </c>
      <c r="C1118" t="s">
        <v>80</v>
      </c>
      <c r="D1118" t="s">
        <v>38</v>
      </c>
      <c r="E1118">
        <v>4.7445939683142698E-4</v>
      </c>
      <c r="F1118">
        <v>4.7445939683142698E-4</v>
      </c>
      <c r="G1118">
        <v>0</v>
      </c>
      <c r="H1118">
        <v>0</v>
      </c>
      <c r="I1118" t="s">
        <v>81</v>
      </c>
    </row>
    <row r="1119" spans="1:9" x14ac:dyDescent="0.35">
      <c r="A1119" t="s">
        <v>17</v>
      </c>
      <c r="B1119">
        <v>2035</v>
      </c>
      <c r="C1119" t="s">
        <v>80</v>
      </c>
      <c r="D1119" t="s">
        <v>40</v>
      </c>
      <c r="E1119">
        <v>3.7886437682016402E-4</v>
      </c>
      <c r="F1119">
        <v>3.7886437682016402E-4</v>
      </c>
      <c r="G1119">
        <v>0</v>
      </c>
      <c r="H1119">
        <v>0</v>
      </c>
      <c r="I1119" t="s">
        <v>81</v>
      </c>
    </row>
    <row r="1120" spans="1:9" x14ac:dyDescent="0.35">
      <c r="A1120" t="s">
        <v>17</v>
      </c>
      <c r="B1120">
        <v>2035</v>
      </c>
      <c r="C1120" t="s">
        <v>80</v>
      </c>
      <c r="D1120" t="s">
        <v>41</v>
      </c>
      <c r="E1120">
        <v>3.2964491612691199E-3</v>
      </c>
      <c r="F1120">
        <v>3.2964491612691199E-3</v>
      </c>
      <c r="G1120">
        <v>0</v>
      </c>
      <c r="H1120">
        <v>0</v>
      </c>
      <c r="I1120" t="s">
        <v>81</v>
      </c>
    </row>
    <row r="1121" spans="1:9" x14ac:dyDescent="0.35">
      <c r="A1121" t="s">
        <v>17</v>
      </c>
      <c r="B1121">
        <v>2035</v>
      </c>
      <c r="C1121" t="s">
        <v>80</v>
      </c>
      <c r="D1121" t="s">
        <v>42</v>
      </c>
      <c r="E1121">
        <v>0.50560133940097396</v>
      </c>
      <c r="F1121">
        <v>0.50560133940097396</v>
      </c>
      <c r="G1121">
        <v>0</v>
      </c>
      <c r="H1121">
        <v>0</v>
      </c>
      <c r="I1121" t="s">
        <v>81</v>
      </c>
    </row>
    <row r="1122" spans="1:9" x14ac:dyDescent="0.35">
      <c r="A1122" t="s">
        <v>17</v>
      </c>
      <c r="B1122">
        <v>2035</v>
      </c>
      <c r="C1122" t="s">
        <v>80</v>
      </c>
      <c r="D1122" t="s">
        <v>43</v>
      </c>
      <c r="E1122">
        <v>1.05029414914139E-3</v>
      </c>
      <c r="F1122">
        <v>1.05029414914139E-3</v>
      </c>
      <c r="G1122">
        <v>0</v>
      </c>
      <c r="H1122">
        <v>0</v>
      </c>
      <c r="I1122" t="s">
        <v>81</v>
      </c>
    </row>
    <row r="1123" spans="1:9" x14ac:dyDescent="0.35">
      <c r="A1123" t="s">
        <v>17</v>
      </c>
      <c r="B1123">
        <v>2035</v>
      </c>
      <c r="C1123" t="s">
        <v>80</v>
      </c>
      <c r="D1123" t="s">
        <v>136</v>
      </c>
      <c r="E1123">
        <v>1.3608944800707801</v>
      </c>
      <c r="F1123">
        <v>1.3313712153958499</v>
      </c>
      <c r="G1123">
        <v>-2.9523264674930098E-2</v>
      </c>
      <c r="H1123">
        <v>-2.1694014567091502</v>
      </c>
      <c r="I1123" t="s">
        <v>81</v>
      </c>
    </row>
    <row r="1124" spans="1:9" x14ac:dyDescent="0.35">
      <c r="A1124" t="s">
        <v>17</v>
      </c>
      <c r="B1124">
        <v>2035</v>
      </c>
      <c r="C1124" t="s">
        <v>80</v>
      </c>
      <c r="D1124" t="s">
        <v>45</v>
      </c>
      <c r="E1124">
        <v>1.3814754690048101E-3</v>
      </c>
      <c r="F1124">
        <v>1.3814754690048101E-3</v>
      </c>
      <c r="G1124">
        <v>0</v>
      </c>
      <c r="H1124">
        <v>0</v>
      </c>
      <c r="I1124" t="s">
        <v>81</v>
      </c>
    </row>
    <row r="1125" spans="1:9" x14ac:dyDescent="0.35">
      <c r="A1125" t="s">
        <v>17</v>
      </c>
      <c r="B1125">
        <v>2035</v>
      </c>
      <c r="C1125" t="s">
        <v>80</v>
      </c>
      <c r="D1125" t="s">
        <v>46</v>
      </c>
      <c r="E1125">
        <v>4.5659636977982497E-2</v>
      </c>
      <c r="F1125">
        <v>4.5659636977982497E-2</v>
      </c>
      <c r="G1125">
        <v>0</v>
      </c>
      <c r="H1125">
        <v>0</v>
      </c>
      <c r="I1125" t="s">
        <v>81</v>
      </c>
    </row>
    <row r="1126" spans="1:9" x14ac:dyDescent="0.35">
      <c r="A1126" t="s">
        <v>17</v>
      </c>
      <c r="B1126">
        <v>2035</v>
      </c>
      <c r="C1126" t="s">
        <v>80</v>
      </c>
      <c r="D1126" t="s">
        <v>47</v>
      </c>
      <c r="E1126">
        <v>3.7540825368841802E-4</v>
      </c>
      <c r="F1126">
        <v>3.7540825368841802E-4</v>
      </c>
      <c r="G1126">
        <v>0</v>
      </c>
      <c r="H1126">
        <v>0</v>
      </c>
      <c r="I1126" t="s">
        <v>81</v>
      </c>
    </row>
    <row r="1127" spans="1:9" x14ac:dyDescent="0.35">
      <c r="A1127" t="s">
        <v>17</v>
      </c>
      <c r="B1127">
        <v>2035</v>
      </c>
      <c r="C1127" t="s">
        <v>80</v>
      </c>
      <c r="D1127" t="s">
        <v>48</v>
      </c>
      <c r="E1127">
        <v>80.559285077681807</v>
      </c>
      <c r="F1127">
        <v>80.559285077681807</v>
      </c>
      <c r="G1127">
        <v>0</v>
      </c>
      <c r="H1127">
        <v>0</v>
      </c>
      <c r="I1127" t="s">
        <v>81</v>
      </c>
    </row>
    <row r="1128" spans="1:9" x14ac:dyDescent="0.35">
      <c r="A1128" t="s">
        <v>17</v>
      </c>
      <c r="B1128">
        <v>2035</v>
      </c>
      <c r="C1128" t="s">
        <v>80</v>
      </c>
      <c r="D1128" t="s">
        <v>49</v>
      </c>
      <c r="E1128">
        <v>3.37167307889939E-3</v>
      </c>
      <c r="F1128">
        <v>3.37167307889939E-3</v>
      </c>
      <c r="G1128">
        <v>0</v>
      </c>
      <c r="H1128">
        <v>0</v>
      </c>
      <c r="I1128" t="s">
        <v>81</v>
      </c>
    </row>
    <row r="1129" spans="1:9" x14ac:dyDescent="0.35">
      <c r="A1129" t="s">
        <v>17</v>
      </c>
      <c r="B1129">
        <v>2035</v>
      </c>
      <c r="C1129" t="s">
        <v>80</v>
      </c>
      <c r="D1129" t="s">
        <v>50</v>
      </c>
      <c r="E1129">
        <v>6.5702959432564403E-3</v>
      </c>
      <c r="F1129">
        <v>6.5702959432564403E-3</v>
      </c>
      <c r="G1129">
        <v>0</v>
      </c>
      <c r="H1129">
        <v>0</v>
      </c>
      <c r="I1129" t="s">
        <v>81</v>
      </c>
    </row>
    <row r="1130" spans="1:9" x14ac:dyDescent="0.35">
      <c r="A1130" t="s">
        <v>17</v>
      </c>
      <c r="B1130">
        <v>2035</v>
      </c>
      <c r="C1130" t="s">
        <v>80</v>
      </c>
      <c r="D1130" t="s">
        <v>51</v>
      </c>
      <c r="E1130">
        <v>6.1200511787525003E-2</v>
      </c>
      <c r="F1130">
        <v>6.1200511787525003E-2</v>
      </c>
      <c r="G1130">
        <v>0</v>
      </c>
      <c r="H1130">
        <v>0</v>
      </c>
      <c r="I1130" t="s">
        <v>81</v>
      </c>
    </row>
    <row r="1131" spans="1:9" x14ac:dyDescent="0.35">
      <c r="A1131" t="s">
        <v>17</v>
      </c>
      <c r="B1131">
        <v>2035</v>
      </c>
      <c r="C1131" t="s">
        <v>80</v>
      </c>
      <c r="D1131" t="s">
        <v>52</v>
      </c>
      <c r="E1131">
        <v>0.26933897074671098</v>
      </c>
      <c r="F1131">
        <v>0.26933897074671098</v>
      </c>
      <c r="G1131">
        <v>0</v>
      </c>
      <c r="H1131">
        <v>0</v>
      </c>
      <c r="I1131" t="s">
        <v>81</v>
      </c>
    </row>
    <row r="1132" spans="1:9" x14ac:dyDescent="0.35">
      <c r="A1132" t="s">
        <v>17</v>
      </c>
      <c r="B1132">
        <v>2035</v>
      </c>
      <c r="C1132" t="s">
        <v>80</v>
      </c>
      <c r="D1132" t="s">
        <v>53</v>
      </c>
      <c r="E1132">
        <v>0.32231817144095198</v>
      </c>
      <c r="F1132">
        <v>0.32231817144095198</v>
      </c>
      <c r="G1132">
        <v>0</v>
      </c>
      <c r="H1132">
        <v>0</v>
      </c>
      <c r="I1132" t="s">
        <v>81</v>
      </c>
    </row>
    <row r="1133" spans="1:9" x14ac:dyDescent="0.35">
      <c r="A1133" t="s">
        <v>17</v>
      </c>
      <c r="B1133">
        <v>2035</v>
      </c>
      <c r="C1133" t="s">
        <v>80</v>
      </c>
      <c r="D1133" t="s">
        <v>54</v>
      </c>
      <c r="E1133">
        <v>4.8139981196329201E-2</v>
      </c>
      <c r="F1133">
        <v>4.8139981196329201E-2</v>
      </c>
      <c r="G1133">
        <v>0</v>
      </c>
      <c r="H1133">
        <v>0</v>
      </c>
      <c r="I1133" t="s">
        <v>81</v>
      </c>
    </row>
    <row r="1134" spans="1:9" x14ac:dyDescent="0.35">
      <c r="A1134" t="s">
        <v>17</v>
      </c>
      <c r="B1134">
        <v>2035</v>
      </c>
      <c r="C1134" t="s">
        <v>80</v>
      </c>
      <c r="D1134" t="s">
        <v>55</v>
      </c>
      <c r="E1134">
        <v>4.4535345379189899E-2</v>
      </c>
      <c r="F1134">
        <v>4.4535345379189899E-2</v>
      </c>
      <c r="G1134">
        <v>0</v>
      </c>
      <c r="H1134">
        <v>0</v>
      </c>
      <c r="I1134" t="s">
        <v>81</v>
      </c>
    </row>
    <row r="1135" spans="1:9" x14ac:dyDescent="0.35">
      <c r="A1135" t="s">
        <v>17</v>
      </c>
      <c r="B1135">
        <v>2035</v>
      </c>
      <c r="C1135" t="s">
        <v>80</v>
      </c>
      <c r="D1135" t="s">
        <v>56</v>
      </c>
      <c r="E1135" s="1">
        <v>8.6250559835261304E-8</v>
      </c>
      <c r="F1135" s="1">
        <v>8.6250559835261304E-8</v>
      </c>
      <c r="G1135">
        <v>0</v>
      </c>
      <c r="H1135">
        <v>0</v>
      </c>
      <c r="I1135" t="s">
        <v>81</v>
      </c>
    </row>
    <row r="1136" spans="1:9" x14ac:dyDescent="0.35">
      <c r="A1136" t="s">
        <v>19</v>
      </c>
      <c r="B1136">
        <v>2040</v>
      </c>
      <c r="C1136" t="s">
        <v>80</v>
      </c>
      <c r="D1136" t="s">
        <v>38</v>
      </c>
      <c r="E1136">
        <v>6.4388664496614297E-4</v>
      </c>
      <c r="F1136">
        <v>6.4388664496614297E-4</v>
      </c>
      <c r="G1136">
        <v>0</v>
      </c>
      <c r="H1136">
        <v>0</v>
      </c>
      <c r="I1136" t="s">
        <v>81</v>
      </c>
    </row>
    <row r="1137" spans="1:9" x14ac:dyDescent="0.35">
      <c r="A1137" t="s">
        <v>19</v>
      </c>
      <c r="B1137">
        <v>2040</v>
      </c>
      <c r="C1137" t="s">
        <v>80</v>
      </c>
      <c r="D1137" t="s">
        <v>40</v>
      </c>
      <c r="E1137">
        <v>3.51193284609764E-4</v>
      </c>
      <c r="F1137">
        <v>3.51193284609764E-4</v>
      </c>
      <c r="G1137">
        <v>0</v>
      </c>
      <c r="H1137">
        <v>0</v>
      </c>
      <c r="I1137" t="s">
        <v>81</v>
      </c>
    </row>
    <row r="1138" spans="1:9" x14ac:dyDescent="0.35">
      <c r="A1138" t="s">
        <v>19</v>
      </c>
      <c r="B1138">
        <v>2040</v>
      </c>
      <c r="C1138" t="s">
        <v>80</v>
      </c>
      <c r="D1138" t="s">
        <v>41</v>
      </c>
      <c r="E1138">
        <v>3.0330860127088799E-3</v>
      </c>
      <c r="F1138">
        <v>3.0330860127088799E-3</v>
      </c>
      <c r="G1138">
        <v>0</v>
      </c>
      <c r="H1138">
        <v>0</v>
      </c>
      <c r="I1138" t="s">
        <v>81</v>
      </c>
    </row>
    <row r="1139" spans="1:9" x14ac:dyDescent="0.35">
      <c r="A1139" t="s">
        <v>19</v>
      </c>
      <c r="B1139">
        <v>2040</v>
      </c>
      <c r="C1139" t="s">
        <v>80</v>
      </c>
      <c r="D1139" t="s">
        <v>42</v>
      </c>
      <c r="E1139">
        <v>0.45524900402290103</v>
      </c>
      <c r="F1139">
        <v>0.45524900402290103</v>
      </c>
      <c r="G1139">
        <v>0</v>
      </c>
      <c r="H1139">
        <v>0</v>
      </c>
      <c r="I1139" t="s">
        <v>81</v>
      </c>
    </row>
    <row r="1140" spans="1:9" x14ac:dyDescent="0.35">
      <c r="A1140" t="s">
        <v>19</v>
      </c>
      <c r="B1140">
        <v>2040</v>
      </c>
      <c r="C1140" t="s">
        <v>80</v>
      </c>
      <c r="D1140" t="s">
        <v>43</v>
      </c>
      <c r="E1140">
        <v>1.00861471558432E-3</v>
      </c>
      <c r="F1140">
        <v>1.00861471558432E-3</v>
      </c>
      <c r="G1140">
        <v>0</v>
      </c>
      <c r="H1140">
        <v>0</v>
      </c>
      <c r="I1140" t="s">
        <v>81</v>
      </c>
    </row>
    <row r="1141" spans="1:9" x14ac:dyDescent="0.35">
      <c r="A1141" t="s">
        <v>19</v>
      </c>
      <c r="B1141">
        <v>2040</v>
      </c>
      <c r="C1141" t="s">
        <v>80</v>
      </c>
      <c r="D1141" t="s">
        <v>136</v>
      </c>
      <c r="E1141">
        <v>1.24374767059798</v>
      </c>
      <c r="F1141">
        <v>1.00410426484613</v>
      </c>
      <c r="G1141">
        <v>-0.239643405751852</v>
      </c>
      <c r="H1141">
        <v>-19.2678476042197</v>
      </c>
      <c r="I1141" t="s">
        <v>81</v>
      </c>
    </row>
    <row r="1142" spans="1:9" x14ac:dyDescent="0.35">
      <c r="A1142" t="s">
        <v>19</v>
      </c>
      <c r="B1142">
        <v>2040</v>
      </c>
      <c r="C1142" t="s">
        <v>80</v>
      </c>
      <c r="D1142" t="s">
        <v>45</v>
      </c>
      <c r="E1142">
        <v>1.2849297890722799E-3</v>
      </c>
      <c r="F1142">
        <v>1.2849297890722799E-3</v>
      </c>
      <c r="G1142">
        <v>0</v>
      </c>
      <c r="H1142">
        <v>0</v>
      </c>
      <c r="I1142" t="s">
        <v>81</v>
      </c>
    </row>
    <row r="1143" spans="1:9" x14ac:dyDescent="0.35">
      <c r="A1143" t="s">
        <v>19</v>
      </c>
      <c r="B1143">
        <v>2040</v>
      </c>
      <c r="C1143" t="s">
        <v>80</v>
      </c>
      <c r="D1143" t="s">
        <v>46</v>
      </c>
      <c r="E1143">
        <v>6.8737051494476897E-2</v>
      </c>
      <c r="F1143">
        <v>6.8737051494476897E-2</v>
      </c>
      <c r="G1143">
        <v>0</v>
      </c>
      <c r="H1143">
        <v>0</v>
      </c>
      <c r="I1143" t="s">
        <v>81</v>
      </c>
    </row>
    <row r="1144" spans="1:9" x14ac:dyDescent="0.35">
      <c r="A1144" t="s">
        <v>19</v>
      </c>
      <c r="B1144">
        <v>2040</v>
      </c>
      <c r="C1144" t="s">
        <v>80</v>
      </c>
      <c r="D1144" t="s">
        <v>47</v>
      </c>
      <c r="E1144">
        <v>2.9879112042598003E-4</v>
      </c>
      <c r="F1144">
        <v>2.9879112042598003E-4</v>
      </c>
      <c r="G1144">
        <v>0</v>
      </c>
      <c r="H1144">
        <v>0</v>
      </c>
      <c r="I1144" t="s">
        <v>81</v>
      </c>
    </row>
    <row r="1145" spans="1:9" x14ac:dyDescent="0.35">
      <c r="A1145" t="s">
        <v>19</v>
      </c>
      <c r="B1145">
        <v>2040</v>
      </c>
      <c r="C1145" t="s">
        <v>80</v>
      </c>
      <c r="D1145" t="s">
        <v>48</v>
      </c>
      <c r="E1145">
        <v>80.561222368745305</v>
      </c>
      <c r="F1145">
        <v>80.561222368745305</v>
      </c>
      <c r="G1145">
        <v>0</v>
      </c>
      <c r="H1145">
        <v>0</v>
      </c>
      <c r="I1145" t="s">
        <v>81</v>
      </c>
    </row>
    <row r="1146" spans="1:9" x14ac:dyDescent="0.35">
      <c r="A1146" t="s">
        <v>19</v>
      </c>
      <c r="B1146">
        <v>2040</v>
      </c>
      <c r="C1146" t="s">
        <v>80</v>
      </c>
      <c r="D1146" t="s">
        <v>49</v>
      </c>
      <c r="E1146">
        <v>3.09587919100456E-3</v>
      </c>
      <c r="F1146">
        <v>3.09587919100456E-3</v>
      </c>
      <c r="G1146">
        <v>0</v>
      </c>
      <c r="H1146">
        <v>0</v>
      </c>
      <c r="I1146" t="s">
        <v>81</v>
      </c>
    </row>
    <row r="1147" spans="1:9" x14ac:dyDescent="0.35">
      <c r="A1147" t="s">
        <v>19</v>
      </c>
      <c r="B1147">
        <v>2040</v>
      </c>
      <c r="C1147" t="s">
        <v>80</v>
      </c>
      <c r="D1147" t="s">
        <v>50</v>
      </c>
      <c r="E1147">
        <v>6.5500560093388503E-3</v>
      </c>
      <c r="F1147">
        <v>6.5500560093388503E-3</v>
      </c>
      <c r="G1147">
        <v>0</v>
      </c>
      <c r="H1147">
        <v>0</v>
      </c>
      <c r="I1147" t="s">
        <v>81</v>
      </c>
    </row>
    <row r="1148" spans="1:9" x14ac:dyDescent="0.35">
      <c r="A1148" t="s">
        <v>19</v>
      </c>
      <c r="B1148">
        <v>2040</v>
      </c>
      <c r="C1148" t="s">
        <v>80</v>
      </c>
      <c r="D1148" t="s">
        <v>51</v>
      </c>
      <c r="E1148">
        <v>6.26703478501099E-2</v>
      </c>
      <c r="F1148">
        <v>6.26703478501099E-2</v>
      </c>
      <c r="G1148">
        <v>0</v>
      </c>
      <c r="H1148">
        <v>0</v>
      </c>
      <c r="I1148" t="s">
        <v>81</v>
      </c>
    </row>
    <row r="1149" spans="1:9" x14ac:dyDescent="0.35">
      <c r="A1149" t="s">
        <v>19</v>
      </c>
      <c r="B1149">
        <v>2040</v>
      </c>
      <c r="C1149" t="s">
        <v>80</v>
      </c>
      <c r="D1149" t="s">
        <v>52</v>
      </c>
      <c r="E1149">
        <v>0.19050070916967701</v>
      </c>
      <c r="F1149">
        <v>0.19050070916967701</v>
      </c>
      <c r="G1149">
        <v>0</v>
      </c>
      <c r="H1149">
        <v>0</v>
      </c>
      <c r="I1149" t="s">
        <v>81</v>
      </c>
    </row>
    <row r="1150" spans="1:9" x14ac:dyDescent="0.35">
      <c r="A1150" t="s">
        <v>19</v>
      </c>
      <c r="B1150">
        <v>2040</v>
      </c>
      <c r="C1150" t="s">
        <v>80</v>
      </c>
      <c r="D1150" t="s">
        <v>53</v>
      </c>
      <c r="E1150">
        <v>0.27918115898460799</v>
      </c>
      <c r="F1150">
        <v>0.27918115898460799</v>
      </c>
      <c r="G1150">
        <v>0</v>
      </c>
      <c r="H1150">
        <v>0</v>
      </c>
      <c r="I1150" t="s">
        <v>81</v>
      </c>
    </row>
    <row r="1151" spans="1:9" x14ac:dyDescent="0.35">
      <c r="A1151" t="s">
        <v>19</v>
      </c>
      <c r="B1151">
        <v>2040</v>
      </c>
      <c r="C1151" t="s">
        <v>80</v>
      </c>
      <c r="D1151" t="s">
        <v>54</v>
      </c>
      <c r="E1151">
        <v>4.8616576421019297E-2</v>
      </c>
      <c r="F1151">
        <v>4.8616576421019297E-2</v>
      </c>
      <c r="G1151">
        <v>0</v>
      </c>
      <c r="H1151">
        <v>0</v>
      </c>
      <c r="I1151" t="s">
        <v>81</v>
      </c>
    </row>
    <row r="1152" spans="1:9" x14ac:dyDescent="0.35">
      <c r="A1152" t="s">
        <v>19</v>
      </c>
      <c r="B1152">
        <v>2040</v>
      </c>
      <c r="C1152" t="s">
        <v>80</v>
      </c>
      <c r="D1152" t="s">
        <v>55</v>
      </c>
      <c r="E1152">
        <v>4.4837126376900002E-2</v>
      </c>
      <c r="F1152">
        <v>4.4837126376900002E-2</v>
      </c>
      <c r="G1152">
        <v>0</v>
      </c>
      <c r="H1152">
        <v>0</v>
      </c>
      <c r="I1152" t="s">
        <v>81</v>
      </c>
    </row>
    <row r="1153" spans="1:9" x14ac:dyDescent="0.35">
      <c r="A1153" t="s">
        <v>19</v>
      </c>
      <c r="B1153">
        <v>2040</v>
      </c>
      <c r="C1153" t="s">
        <v>80</v>
      </c>
      <c r="D1153" t="s">
        <v>56</v>
      </c>
      <c r="E1153" s="1">
        <v>7.8800803252451201E-8</v>
      </c>
      <c r="F1153" s="1">
        <v>7.8800803252451201E-8</v>
      </c>
      <c r="G1153">
        <v>0</v>
      </c>
      <c r="H1153">
        <v>0</v>
      </c>
      <c r="I1153" t="s">
        <v>81</v>
      </c>
    </row>
    <row r="1154" spans="1:9" x14ac:dyDescent="0.35">
      <c r="A1154" t="s">
        <v>13</v>
      </c>
      <c r="B1154">
        <v>2025</v>
      </c>
      <c r="C1154" t="s">
        <v>57</v>
      </c>
      <c r="D1154" t="s">
        <v>38</v>
      </c>
      <c r="E1154">
        <v>3.6464024334242797E-4</v>
      </c>
      <c r="F1154">
        <v>3.6464024334242797E-4</v>
      </c>
      <c r="G1154">
        <v>0</v>
      </c>
      <c r="H1154">
        <v>0</v>
      </c>
      <c r="I1154" t="s">
        <v>58</v>
      </c>
    </row>
    <row r="1155" spans="1:9" x14ac:dyDescent="0.35">
      <c r="A1155" t="s">
        <v>13</v>
      </c>
      <c r="B1155">
        <v>2025</v>
      </c>
      <c r="C1155" t="s">
        <v>57</v>
      </c>
      <c r="D1155" t="s">
        <v>40</v>
      </c>
      <c r="E1155">
        <v>6.1029542169357899E-4</v>
      </c>
      <c r="F1155">
        <v>6.1029542169357899E-4</v>
      </c>
      <c r="G1155">
        <v>0</v>
      </c>
      <c r="H1155">
        <v>0</v>
      </c>
      <c r="I1155" t="s">
        <v>58</v>
      </c>
    </row>
    <row r="1156" spans="1:9" x14ac:dyDescent="0.35">
      <c r="A1156" t="s">
        <v>13</v>
      </c>
      <c r="B1156">
        <v>2025</v>
      </c>
      <c r="C1156" t="s">
        <v>57</v>
      </c>
      <c r="D1156" t="s">
        <v>41</v>
      </c>
      <c r="E1156">
        <v>3.3873377356357899E-3</v>
      </c>
      <c r="F1156">
        <v>3.3873377356357899E-3</v>
      </c>
      <c r="G1156">
        <v>0</v>
      </c>
      <c r="H1156">
        <v>0</v>
      </c>
      <c r="I1156" t="s">
        <v>58</v>
      </c>
    </row>
    <row r="1157" spans="1:9" x14ac:dyDescent="0.35">
      <c r="A1157" t="s">
        <v>13</v>
      </c>
      <c r="B1157">
        <v>2025</v>
      </c>
      <c r="C1157" t="s">
        <v>57</v>
      </c>
      <c r="D1157" t="s">
        <v>42</v>
      </c>
      <c r="E1157">
        <v>2.5035867062642501</v>
      </c>
      <c r="F1157">
        <v>2.5035867062642501</v>
      </c>
      <c r="G1157">
        <v>0</v>
      </c>
      <c r="H1157">
        <v>0</v>
      </c>
      <c r="I1157" t="s">
        <v>58</v>
      </c>
    </row>
    <row r="1158" spans="1:9" x14ac:dyDescent="0.35">
      <c r="A1158" t="s">
        <v>13</v>
      </c>
      <c r="B1158">
        <v>2025</v>
      </c>
      <c r="C1158" t="s">
        <v>57</v>
      </c>
      <c r="D1158" t="s">
        <v>43</v>
      </c>
      <c r="E1158">
        <v>1.2646043248800501E-3</v>
      </c>
      <c r="F1158">
        <v>1.2646043248800501E-3</v>
      </c>
      <c r="G1158">
        <v>0</v>
      </c>
      <c r="H1158">
        <v>0</v>
      </c>
      <c r="I1158" t="s">
        <v>58</v>
      </c>
    </row>
    <row r="1159" spans="1:9" x14ac:dyDescent="0.35">
      <c r="A1159" t="s">
        <v>13</v>
      </c>
      <c r="B1159">
        <v>2025</v>
      </c>
      <c r="C1159" t="s">
        <v>57</v>
      </c>
      <c r="D1159" t="s">
        <v>136</v>
      </c>
      <c r="E1159">
        <v>0.49372207998501499</v>
      </c>
      <c r="F1159">
        <v>0.49372207998501499</v>
      </c>
      <c r="G1159">
        <v>0</v>
      </c>
      <c r="H1159">
        <v>0</v>
      </c>
      <c r="I1159" t="s">
        <v>58</v>
      </c>
    </row>
    <row r="1160" spans="1:9" x14ac:dyDescent="0.35">
      <c r="A1160" t="s">
        <v>13</v>
      </c>
      <c r="B1160">
        <v>2025</v>
      </c>
      <c r="C1160" t="s">
        <v>57</v>
      </c>
      <c r="D1160" t="s">
        <v>45</v>
      </c>
      <c r="E1160">
        <v>1.2590302526030799E-3</v>
      </c>
      <c r="F1160">
        <v>1.2590302526030799E-3</v>
      </c>
      <c r="G1160">
        <v>0</v>
      </c>
      <c r="H1160">
        <v>0</v>
      </c>
      <c r="I1160" t="s">
        <v>58</v>
      </c>
    </row>
    <row r="1161" spans="1:9" x14ac:dyDescent="0.35">
      <c r="A1161" t="s">
        <v>13</v>
      </c>
      <c r="B1161">
        <v>2025</v>
      </c>
      <c r="C1161" t="s">
        <v>57</v>
      </c>
      <c r="D1161" t="s">
        <v>46</v>
      </c>
      <c r="E1161">
        <v>2.2689285519872499E-2</v>
      </c>
      <c r="F1161">
        <v>2.2689285519872499E-2</v>
      </c>
      <c r="G1161">
        <v>0</v>
      </c>
      <c r="H1161">
        <v>0</v>
      </c>
      <c r="I1161" t="s">
        <v>58</v>
      </c>
    </row>
    <row r="1162" spans="1:9" x14ac:dyDescent="0.35">
      <c r="A1162" t="s">
        <v>13</v>
      </c>
      <c r="B1162">
        <v>2025</v>
      </c>
      <c r="C1162" t="s">
        <v>57</v>
      </c>
      <c r="D1162" t="s">
        <v>47</v>
      </c>
      <c r="E1162">
        <v>1.70712041989406E-3</v>
      </c>
      <c r="F1162">
        <v>1.70712041989406E-3</v>
      </c>
      <c r="G1162">
        <v>0</v>
      </c>
      <c r="H1162">
        <v>0</v>
      </c>
      <c r="I1162" t="s">
        <v>58</v>
      </c>
    </row>
    <row r="1163" spans="1:9" x14ac:dyDescent="0.35">
      <c r="A1163" t="s">
        <v>13</v>
      </c>
      <c r="B1163">
        <v>2025</v>
      </c>
      <c r="C1163" t="s">
        <v>57</v>
      </c>
      <c r="D1163" t="s">
        <v>48</v>
      </c>
      <c r="E1163">
        <v>5.0233748556877797</v>
      </c>
      <c r="F1163">
        <v>5.0233748556877797</v>
      </c>
      <c r="G1163">
        <v>0</v>
      </c>
      <c r="H1163">
        <v>0</v>
      </c>
      <c r="I1163" t="s">
        <v>58</v>
      </c>
    </row>
    <row r="1164" spans="1:9" x14ac:dyDescent="0.35">
      <c r="A1164" t="s">
        <v>13</v>
      </c>
      <c r="B1164">
        <v>2025</v>
      </c>
      <c r="C1164" t="s">
        <v>57</v>
      </c>
      <c r="D1164" t="s">
        <v>49</v>
      </c>
      <c r="E1164">
        <v>2.8108872311595002E-3</v>
      </c>
      <c r="F1164">
        <v>2.8108872311595002E-3</v>
      </c>
      <c r="G1164">
        <v>0</v>
      </c>
      <c r="H1164">
        <v>0</v>
      </c>
      <c r="I1164" t="s">
        <v>58</v>
      </c>
    </row>
    <row r="1165" spans="1:9" x14ac:dyDescent="0.35">
      <c r="A1165" t="s">
        <v>13</v>
      </c>
      <c r="B1165">
        <v>2025</v>
      </c>
      <c r="C1165" t="s">
        <v>57</v>
      </c>
      <c r="D1165" t="s">
        <v>50</v>
      </c>
      <c r="E1165">
        <v>1.50596138063218E-2</v>
      </c>
      <c r="F1165">
        <v>1.50596138063218E-2</v>
      </c>
      <c r="G1165">
        <v>0</v>
      </c>
      <c r="H1165">
        <v>0</v>
      </c>
      <c r="I1165" t="s">
        <v>58</v>
      </c>
    </row>
    <row r="1166" spans="1:9" x14ac:dyDescent="0.35">
      <c r="A1166" t="s">
        <v>13</v>
      </c>
      <c r="B1166">
        <v>2025</v>
      </c>
      <c r="C1166" t="s">
        <v>57</v>
      </c>
      <c r="D1166" t="s">
        <v>51</v>
      </c>
      <c r="E1166">
        <v>6.4912597560823904E-2</v>
      </c>
      <c r="F1166">
        <v>6.4912597560823904E-2</v>
      </c>
      <c r="G1166">
        <v>0</v>
      </c>
      <c r="H1166">
        <v>0</v>
      </c>
      <c r="I1166" t="s">
        <v>58</v>
      </c>
    </row>
    <row r="1167" spans="1:9" x14ac:dyDescent="0.35">
      <c r="A1167" t="s">
        <v>13</v>
      </c>
      <c r="B1167">
        <v>2025</v>
      </c>
      <c r="C1167" t="s">
        <v>57</v>
      </c>
      <c r="D1167" t="s">
        <v>52</v>
      </c>
      <c r="E1167">
        <v>2.6461049926149699E-2</v>
      </c>
      <c r="F1167">
        <v>2.6461049926149699E-2</v>
      </c>
      <c r="G1167">
        <v>0</v>
      </c>
      <c r="H1167">
        <v>0</v>
      </c>
      <c r="I1167" t="s">
        <v>58</v>
      </c>
    </row>
    <row r="1168" spans="1:9" x14ac:dyDescent="0.35">
      <c r="A1168" t="s">
        <v>13</v>
      </c>
      <c r="B1168">
        <v>2025</v>
      </c>
      <c r="C1168" t="s">
        <v>57</v>
      </c>
      <c r="D1168" t="s">
        <v>53</v>
      </c>
      <c r="E1168">
        <v>0.126928899639417</v>
      </c>
      <c r="F1168">
        <v>0.126928899639417</v>
      </c>
      <c r="G1168">
        <v>0</v>
      </c>
      <c r="H1168">
        <v>0</v>
      </c>
      <c r="I1168" t="s">
        <v>58</v>
      </c>
    </row>
    <row r="1169" spans="1:9" x14ac:dyDescent="0.35">
      <c r="A1169" t="s">
        <v>13</v>
      </c>
      <c r="B1169">
        <v>2025</v>
      </c>
      <c r="C1169" t="s">
        <v>57</v>
      </c>
      <c r="D1169" t="s">
        <v>54</v>
      </c>
      <c r="E1169">
        <v>1.10591572074956</v>
      </c>
      <c r="F1169">
        <v>1.10591572074956</v>
      </c>
      <c r="G1169">
        <v>0</v>
      </c>
      <c r="H1169">
        <v>0</v>
      </c>
      <c r="I1169" t="s">
        <v>58</v>
      </c>
    </row>
    <row r="1170" spans="1:9" x14ac:dyDescent="0.35">
      <c r="A1170" t="s">
        <v>13</v>
      </c>
      <c r="B1170">
        <v>2025</v>
      </c>
      <c r="C1170" t="s">
        <v>57</v>
      </c>
      <c r="D1170" t="s">
        <v>55</v>
      </c>
      <c r="E1170">
        <v>1.00996978242197</v>
      </c>
      <c r="F1170">
        <v>1.00996978242197</v>
      </c>
      <c r="G1170">
        <v>0</v>
      </c>
      <c r="H1170">
        <v>0</v>
      </c>
      <c r="I1170" t="s">
        <v>58</v>
      </c>
    </row>
    <row r="1171" spans="1:9" x14ac:dyDescent="0.35">
      <c r="A1171" t="s">
        <v>13</v>
      </c>
      <c r="B1171">
        <v>2025</v>
      </c>
      <c r="C1171" t="s">
        <v>57</v>
      </c>
      <c r="D1171" t="s">
        <v>56</v>
      </c>
      <c r="E1171" s="1">
        <v>5.5262371242322803E-8</v>
      </c>
      <c r="F1171" s="1">
        <v>5.5262371242322803E-8</v>
      </c>
      <c r="G1171">
        <v>0</v>
      </c>
      <c r="H1171">
        <v>0</v>
      </c>
      <c r="I1171" t="s">
        <v>58</v>
      </c>
    </row>
    <row r="1172" spans="1:9" x14ac:dyDescent="0.35">
      <c r="A1172" t="s">
        <v>15</v>
      </c>
      <c r="B1172">
        <v>2030</v>
      </c>
      <c r="C1172" t="s">
        <v>57</v>
      </c>
      <c r="D1172" t="s">
        <v>38</v>
      </c>
      <c r="E1172">
        <v>3.7090829240016499E-4</v>
      </c>
      <c r="F1172">
        <v>3.7090829240016499E-4</v>
      </c>
      <c r="G1172">
        <v>0</v>
      </c>
      <c r="H1172">
        <v>0</v>
      </c>
      <c r="I1172" t="s">
        <v>58</v>
      </c>
    </row>
    <row r="1173" spans="1:9" x14ac:dyDescent="0.35">
      <c r="A1173" t="s">
        <v>15</v>
      </c>
      <c r="B1173">
        <v>2030</v>
      </c>
      <c r="C1173" t="s">
        <v>57</v>
      </c>
      <c r="D1173" t="s">
        <v>40</v>
      </c>
      <c r="E1173">
        <v>6.1935231172178704E-4</v>
      </c>
      <c r="F1173">
        <v>6.1935231172178704E-4</v>
      </c>
      <c r="G1173">
        <v>0</v>
      </c>
      <c r="H1173">
        <v>0</v>
      </c>
      <c r="I1173" t="s">
        <v>58</v>
      </c>
    </row>
    <row r="1174" spans="1:9" x14ac:dyDescent="0.35">
      <c r="A1174" t="s">
        <v>15</v>
      </c>
      <c r="B1174">
        <v>2030</v>
      </c>
      <c r="C1174" t="s">
        <v>57</v>
      </c>
      <c r="D1174" t="s">
        <v>41</v>
      </c>
      <c r="E1174">
        <v>3.7040913490244401E-3</v>
      </c>
      <c r="F1174">
        <v>3.7040913490244401E-3</v>
      </c>
      <c r="G1174">
        <v>0</v>
      </c>
      <c r="H1174">
        <v>0</v>
      </c>
      <c r="I1174" t="s">
        <v>58</v>
      </c>
    </row>
    <row r="1175" spans="1:9" x14ac:dyDescent="0.35">
      <c r="A1175" t="s">
        <v>15</v>
      </c>
      <c r="B1175">
        <v>2030</v>
      </c>
      <c r="C1175" t="s">
        <v>57</v>
      </c>
      <c r="D1175" t="s">
        <v>42</v>
      </c>
      <c r="E1175">
        <v>2.5172442568503199</v>
      </c>
      <c r="F1175">
        <v>2.5172442568503199</v>
      </c>
      <c r="G1175">
        <v>0</v>
      </c>
      <c r="H1175">
        <v>0</v>
      </c>
      <c r="I1175" t="s">
        <v>58</v>
      </c>
    </row>
    <row r="1176" spans="1:9" x14ac:dyDescent="0.35">
      <c r="A1176" t="s">
        <v>15</v>
      </c>
      <c r="B1176">
        <v>2030</v>
      </c>
      <c r="C1176" t="s">
        <v>57</v>
      </c>
      <c r="D1176" t="s">
        <v>43</v>
      </c>
      <c r="E1176">
        <v>1.3947262768351299E-3</v>
      </c>
      <c r="F1176">
        <v>1.3947262768351299E-3</v>
      </c>
      <c r="G1176">
        <v>0</v>
      </c>
      <c r="H1176">
        <v>0</v>
      </c>
      <c r="I1176" t="s">
        <v>58</v>
      </c>
    </row>
    <row r="1177" spans="1:9" x14ac:dyDescent="0.35">
      <c r="A1177" t="s">
        <v>15</v>
      </c>
      <c r="B1177">
        <v>2030</v>
      </c>
      <c r="C1177" t="s">
        <v>57</v>
      </c>
      <c r="D1177" t="s">
        <v>136</v>
      </c>
      <c r="E1177">
        <v>0.48812731913715601</v>
      </c>
      <c r="F1177">
        <v>0.48812731913715601</v>
      </c>
      <c r="G1177">
        <v>0</v>
      </c>
      <c r="H1177">
        <v>0</v>
      </c>
      <c r="I1177" t="s">
        <v>58</v>
      </c>
    </row>
    <row r="1178" spans="1:9" x14ac:dyDescent="0.35">
      <c r="A1178" t="s">
        <v>15</v>
      </c>
      <c r="B1178">
        <v>2030</v>
      </c>
      <c r="C1178" t="s">
        <v>57</v>
      </c>
      <c r="D1178" t="s">
        <v>45</v>
      </c>
      <c r="E1178">
        <v>1.3241461186904199E-3</v>
      </c>
      <c r="F1178">
        <v>1.3241461186904199E-3</v>
      </c>
      <c r="G1178">
        <v>0</v>
      </c>
      <c r="H1178">
        <v>0</v>
      </c>
      <c r="I1178" t="s">
        <v>58</v>
      </c>
    </row>
    <row r="1179" spans="1:9" x14ac:dyDescent="0.35">
      <c r="A1179" t="s">
        <v>15</v>
      </c>
      <c r="B1179">
        <v>2030</v>
      </c>
      <c r="C1179" t="s">
        <v>57</v>
      </c>
      <c r="D1179" t="s">
        <v>46</v>
      </c>
      <c r="E1179">
        <v>4.6876070442363298E-2</v>
      </c>
      <c r="F1179">
        <v>4.6876070442363298E-2</v>
      </c>
      <c r="G1179">
        <v>0</v>
      </c>
      <c r="H1179">
        <v>0</v>
      </c>
      <c r="I1179" t="s">
        <v>58</v>
      </c>
    </row>
    <row r="1180" spans="1:9" x14ac:dyDescent="0.35">
      <c r="A1180" t="s">
        <v>15</v>
      </c>
      <c r="B1180">
        <v>2030</v>
      </c>
      <c r="C1180" t="s">
        <v>57</v>
      </c>
      <c r="D1180" t="s">
        <v>47</v>
      </c>
      <c r="E1180">
        <v>1.73199100897749E-3</v>
      </c>
      <c r="F1180">
        <v>1.73199100897749E-3</v>
      </c>
      <c r="G1180">
        <v>0</v>
      </c>
      <c r="H1180">
        <v>0</v>
      </c>
      <c r="I1180" t="s">
        <v>58</v>
      </c>
    </row>
    <row r="1181" spans="1:9" x14ac:dyDescent="0.35">
      <c r="A1181" t="s">
        <v>15</v>
      </c>
      <c r="B1181">
        <v>2030</v>
      </c>
      <c r="C1181" t="s">
        <v>57</v>
      </c>
      <c r="D1181" t="s">
        <v>48</v>
      </c>
      <c r="E1181">
        <v>5.0234252658035299</v>
      </c>
      <c r="F1181">
        <v>5.0234252658035299</v>
      </c>
      <c r="G1181">
        <v>0</v>
      </c>
      <c r="H1181">
        <v>0</v>
      </c>
      <c r="I1181" t="s">
        <v>58</v>
      </c>
    </row>
    <row r="1182" spans="1:9" x14ac:dyDescent="0.35">
      <c r="A1182" t="s">
        <v>15</v>
      </c>
      <c r="B1182">
        <v>2030</v>
      </c>
      <c r="C1182" t="s">
        <v>57</v>
      </c>
      <c r="D1182" t="s">
        <v>49</v>
      </c>
      <c r="E1182">
        <v>2.98387473240519E-3</v>
      </c>
      <c r="F1182">
        <v>2.98387473240519E-3</v>
      </c>
      <c r="G1182">
        <v>0</v>
      </c>
      <c r="H1182">
        <v>0</v>
      </c>
      <c r="I1182" t="s">
        <v>58</v>
      </c>
    </row>
    <row r="1183" spans="1:9" x14ac:dyDescent="0.35">
      <c r="A1183" t="s">
        <v>15</v>
      </c>
      <c r="B1183">
        <v>2030</v>
      </c>
      <c r="C1183" t="s">
        <v>57</v>
      </c>
      <c r="D1183" t="s">
        <v>50</v>
      </c>
      <c r="E1183">
        <v>1.51268034836111E-2</v>
      </c>
      <c r="F1183">
        <v>1.51268034836111E-2</v>
      </c>
      <c r="G1183">
        <v>0</v>
      </c>
      <c r="H1183">
        <v>0</v>
      </c>
      <c r="I1183" t="s">
        <v>58</v>
      </c>
    </row>
    <row r="1184" spans="1:9" x14ac:dyDescent="0.35">
      <c r="A1184" t="s">
        <v>15</v>
      </c>
      <c r="B1184">
        <v>2030</v>
      </c>
      <c r="C1184" t="s">
        <v>57</v>
      </c>
      <c r="D1184" t="s">
        <v>51</v>
      </c>
      <c r="E1184">
        <v>6.6197249739965505E-2</v>
      </c>
      <c r="F1184">
        <v>6.6197249739965505E-2</v>
      </c>
      <c r="G1184">
        <v>0</v>
      </c>
      <c r="H1184">
        <v>0</v>
      </c>
      <c r="I1184" t="s">
        <v>58</v>
      </c>
    </row>
    <row r="1185" spans="1:9" x14ac:dyDescent="0.35">
      <c r="A1185" t="s">
        <v>15</v>
      </c>
      <c r="B1185">
        <v>2030</v>
      </c>
      <c r="C1185" t="s">
        <v>57</v>
      </c>
      <c r="D1185" t="s">
        <v>52</v>
      </c>
      <c r="E1185">
        <v>2.4625465946568101E-2</v>
      </c>
      <c r="F1185">
        <v>2.4625465946568101E-2</v>
      </c>
      <c r="G1185">
        <v>0</v>
      </c>
      <c r="H1185">
        <v>0</v>
      </c>
      <c r="I1185" t="s">
        <v>58</v>
      </c>
    </row>
    <row r="1186" spans="1:9" x14ac:dyDescent="0.35">
      <c r="A1186" t="s">
        <v>15</v>
      </c>
      <c r="B1186">
        <v>2030</v>
      </c>
      <c r="C1186" t="s">
        <v>57</v>
      </c>
      <c r="D1186" t="s">
        <v>53</v>
      </c>
      <c r="E1186">
        <v>0.12480101935704201</v>
      </c>
      <c r="F1186">
        <v>0.12480101935704201</v>
      </c>
      <c r="G1186">
        <v>0</v>
      </c>
      <c r="H1186">
        <v>0</v>
      </c>
      <c r="I1186" t="s">
        <v>58</v>
      </c>
    </row>
    <row r="1187" spans="1:9" x14ac:dyDescent="0.35">
      <c r="A1187" t="s">
        <v>15</v>
      </c>
      <c r="B1187">
        <v>2030</v>
      </c>
      <c r="C1187" t="s">
        <v>57</v>
      </c>
      <c r="D1187" t="s">
        <v>54</v>
      </c>
      <c r="E1187">
        <v>1.1064913995619301</v>
      </c>
      <c r="F1187">
        <v>1.1064913995619301</v>
      </c>
      <c r="G1187">
        <v>0</v>
      </c>
      <c r="H1187">
        <v>0</v>
      </c>
      <c r="I1187" t="s">
        <v>58</v>
      </c>
    </row>
    <row r="1188" spans="1:9" x14ac:dyDescent="0.35">
      <c r="A1188" t="s">
        <v>15</v>
      </c>
      <c r="B1188">
        <v>2030</v>
      </c>
      <c r="C1188" t="s">
        <v>57</v>
      </c>
      <c r="D1188" t="s">
        <v>55</v>
      </c>
      <c r="E1188">
        <v>1.0104872747751801</v>
      </c>
      <c r="F1188">
        <v>1.0104872747751801</v>
      </c>
      <c r="G1188">
        <v>0</v>
      </c>
      <c r="H1188">
        <v>0</v>
      </c>
      <c r="I1188" t="s">
        <v>58</v>
      </c>
    </row>
    <row r="1189" spans="1:9" x14ac:dyDescent="0.35">
      <c r="A1189" t="s">
        <v>15</v>
      </c>
      <c r="B1189">
        <v>2030</v>
      </c>
      <c r="C1189" t="s">
        <v>57</v>
      </c>
      <c r="D1189" t="s">
        <v>56</v>
      </c>
      <c r="E1189" s="1">
        <v>5.0521151408176103E-8</v>
      </c>
      <c r="F1189" s="1">
        <v>5.0521151408176103E-8</v>
      </c>
      <c r="G1189">
        <v>0</v>
      </c>
      <c r="H1189">
        <v>0</v>
      </c>
      <c r="I1189" t="s">
        <v>58</v>
      </c>
    </row>
    <row r="1190" spans="1:9" x14ac:dyDescent="0.35">
      <c r="A1190" t="s">
        <v>17</v>
      </c>
      <c r="B1190">
        <v>2035</v>
      </c>
      <c r="C1190" t="s">
        <v>57</v>
      </c>
      <c r="D1190" t="s">
        <v>38</v>
      </c>
      <c r="E1190">
        <v>4.0997115047468498E-4</v>
      </c>
      <c r="F1190">
        <v>4.0997115047468498E-4</v>
      </c>
      <c r="G1190">
        <v>0</v>
      </c>
      <c r="H1190">
        <v>0</v>
      </c>
      <c r="I1190" t="s">
        <v>58</v>
      </c>
    </row>
    <row r="1191" spans="1:9" x14ac:dyDescent="0.35">
      <c r="A1191" t="s">
        <v>17</v>
      </c>
      <c r="B1191">
        <v>2035</v>
      </c>
      <c r="C1191" t="s">
        <v>57</v>
      </c>
      <c r="D1191" t="s">
        <v>40</v>
      </c>
      <c r="E1191">
        <v>6.3833564387068395E-4</v>
      </c>
      <c r="F1191">
        <v>6.3833564387068395E-4</v>
      </c>
      <c r="G1191">
        <v>0</v>
      </c>
      <c r="H1191">
        <v>0</v>
      </c>
      <c r="I1191" t="s">
        <v>58</v>
      </c>
    </row>
    <row r="1192" spans="1:9" x14ac:dyDescent="0.35">
      <c r="A1192" t="s">
        <v>17</v>
      </c>
      <c r="B1192">
        <v>2035</v>
      </c>
      <c r="C1192" t="s">
        <v>57</v>
      </c>
      <c r="D1192" t="s">
        <v>41</v>
      </c>
      <c r="E1192">
        <v>3.6903786095872399E-3</v>
      </c>
      <c r="F1192">
        <v>3.6903786095872399E-3</v>
      </c>
      <c r="G1192">
        <v>0</v>
      </c>
      <c r="H1192">
        <v>0</v>
      </c>
      <c r="I1192" t="s">
        <v>58</v>
      </c>
    </row>
    <row r="1193" spans="1:9" x14ac:dyDescent="0.35">
      <c r="A1193" t="s">
        <v>17</v>
      </c>
      <c r="B1193">
        <v>2035</v>
      </c>
      <c r="C1193" t="s">
        <v>57</v>
      </c>
      <c r="D1193" t="s">
        <v>42</v>
      </c>
      <c r="E1193">
        <v>2.5456423131875199</v>
      </c>
      <c r="F1193">
        <v>2.5456423131875199</v>
      </c>
      <c r="G1193">
        <v>0</v>
      </c>
      <c r="H1193">
        <v>0</v>
      </c>
      <c r="I1193" t="s">
        <v>58</v>
      </c>
    </row>
    <row r="1194" spans="1:9" x14ac:dyDescent="0.35">
      <c r="A1194" t="s">
        <v>17</v>
      </c>
      <c r="B1194">
        <v>2035</v>
      </c>
      <c r="C1194" t="s">
        <v>57</v>
      </c>
      <c r="D1194" t="s">
        <v>43</v>
      </c>
      <c r="E1194">
        <v>1.4146468997204701E-3</v>
      </c>
      <c r="F1194">
        <v>1.4146468997204701E-3</v>
      </c>
      <c r="G1194">
        <v>0</v>
      </c>
      <c r="H1194">
        <v>0</v>
      </c>
      <c r="I1194" t="s">
        <v>58</v>
      </c>
    </row>
    <row r="1195" spans="1:9" x14ac:dyDescent="0.35">
      <c r="A1195" t="s">
        <v>17</v>
      </c>
      <c r="B1195">
        <v>2035</v>
      </c>
      <c r="C1195" t="s">
        <v>57</v>
      </c>
      <c r="D1195" t="s">
        <v>136</v>
      </c>
      <c r="E1195">
        <v>0.490085962417738</v>
      </c>
      <c r="F1195">
        <v>0.490085962417738</v>
      </c>
      <c r="G1195">
        <v>0</v>
      </c>
      <c r="H1195">
        <v>0</v>
      </c>
      <c r="I1195" t="s">
        <v>58</v>
      </c>
    </row>
    <row r="1196" spans="1:9" x14ac:dyDescent="0.35">
      <c r="A1196" t="s">
        <v>17</v>
      </c>
      <c r="B1196">
        <v>2035</v>
      </c>
      <c r="C1196" t="s">
        <v>57</v>
      </c>
      <c r="D1196" t="s">
        <v>45</v>
      </c>
      <c r="E1196">
        <v>1.31597075268948E-3</v>
      </c>
      <c r="F1196">
        <v>1.31597075268948E-3</v>
      </c>
      <c r="G1196">
        <v>0</v>
      </c>
      <c r="H1196">
        <v>0</v>
      </c>
      <c r="I1196" t="s">
        <v>58</v>
      </c>
    </row>
    <row r="1197" spans="1:9" x14ac:dyDescent="0.35">
      <c r="A1197" t="s">
        <v>17</v>
      </c>
      <c r="B1197">
        <v>2035</v>
      </c>
      <c r="C1197" t="s">
        <v>57</v>
      </c>
      <c r="D1197" t="s">
        <v>46</v>
      </c>
      <c r="E1197">
        <v>9.16796721749535E-2</v>
      </c>
      <c r="F1197">
        <v>9.16796721749535E-2</v>
      </c>
      <c r="G1197">
        <v>0</v>
      </c>
      <c r="H1197">
        <v>0</v>
      </c>
      <c r="I1197" t="s">
        <v>58</v>
      </c>
    </row>
    <row r="1198" spans="1:9" x14ac:dyDescent="0.35">
      <c r="A1198" t="s">
        <v>17</v>
      </c>
      <c r="B1198">
        <v>2035</v>
      </c>
      <c r="C1198" t="s">
        <v>57</v>
      </c>
      <c r="D1198" t="s">
        <v>47</v>
      </c>
      <c r="E1198">
        <v>1.77791457781698E-3</v>
      </c>
      <c r="F1198">
        <v>1.77791457781698E-3</v>
      </c>
      <c r="G1198">
        <v>0</v>
      </c>
      <c r="H1198">
        <v>0</v>
      </c>
      <c r="I1198" t="s">
        <v>58</v>
      </c>
    </row>
    <row r="1199" spans="1:9" x14ac:dyDescent="0.35">
      <c r="A1199" t="s">
        <v>17</v>
      </c>
      <c r="B1199">
        <v>2035</v>
      </c>
      <c r="C1199" t="s">
        <v>57</v>
      </c>
      <c r="D1199" t="s">
        <v>48</v>
      </c>
      <c r="E1199">
        <v>5.0238335623044099</v>
      </c>
      <c r="F1199">
        <v>5.0238335623044099</v>
      </c>
      <c r="G1199">
        <v>0</v>
      </c>
      <c r="H1199">
        <v>0</v>
      </c>
      <c r="I1199" t="s">
        <v>58</v>
      </c>
    </row>
    <row r="1200" spans="1:9" x14ac:dyDescent="0.35">
      <c r="A1200" t="s">
        <v>17</v>
      </c>
      <c r="B1200">
        <v>2035</v>
      </c>
      <c r="C1200" t="s">
        <v>57</v>
      </c>
      <c r="D1200" t="s">
        <v>49</v>
      </c>
      <c r="E1200">
        <v>2.9987542105916901E-3</v>
      </c>
      <c r="F1200">
        <v>2.9987542105916901E-3</v>
      </c>
      <c r="G1200">
        <v>0</v>
      </c>
      <c r="H1200">
        <v>0</v>
      </c>
      <c r="I1200" t="s">
        <v>58</v>
      </c>
    </row>
    <row r="1201" spans="1:9" x14ac:dyDescent="0.35">
      <c r="A1201" t="s">
        <v>17</v>
      </c>
      <c r="B1201">
        <v>2035</v>
      </c>
      <c r="C1201" t="s">
        <v>57</v>
      </c>
      <c r="D1201" t="s">
        <v>50</v>
      </c>
      <c r="E1201">
        <v>1.5341716982382301E-2</v>
      </c>
      <c r="F1201">
        <v>1.5341716982382301E-2</v>
      </c>
      <c r="G1201">
        <v>0</v>
      </c>
      <c r="H1201">
        <v>0</v>
      </c>
      <c r="I1201" t="s">
        <v>58</v>
      </c>
    </row>
    <row r="1202" spans="1:9" x14ac:dyDescent="0.35">
      <c r="A1202" t="s">
        <v>17</v>
      </c>
      <c r="B1202">
        <v>2035</v>
      </c>
      <c r="C1202" t="s">
        <v>57</v>
      </c>
      <c r="D1202" t="s">
        <v>51</v>
      </c>
      <c r="E1202">
        <v>6.8593211881327901E-2</v>
      </c>
      <c r="F1202">
        <v>6.8593211881327901E-2</v>
      </c>
      <c r="G1202">
        <v>0</v>
      </c>
      <c r="H1202">
        <v>0</v>
      </c>
      <c r="I1202" t="s">
        <v>58</v>
      </c>
    </row>
    <row r="1203" spans="1:9" x14ac:dyDescent="0.35">
      <c r="A1203" t="s">
        <v>17</v>
      </c>
      <c r="B1203">
        <v>2035</v>
      </c>
      <c r="C1203" t="s">
        <v>57</v>
      </c>
      <c r="D1203" t="s">
        <v>52</v>
      </c>
      <c r="E1203">
        <v>2.2335417850909599E-2</v>
      </c>
      <c r="F1203">
        <v>2.2335417850909599E-2</v>
      </c>
      <c r="G1203">
        <v>0</v>
      </c>
      <c r="H1203">
        <v>0</v>
      </c>
      <c r="I1203" t="s">
        <v>58</v>
      </c>
    </row>
    <row r="1204" spans="1:9" x14ac:dyDescent="0.35">
      <c r="A1204" t="s">
        <v>17</v>
      </c>
      <c r="B1204">
        <v>2035</v>
      </c>
      <c r="C1204" t="s">
        <v>57</v>
      </c>
      <c r="D1204" t="s">
        <v>53</v>
      </c>
      <c r="E1204">
        <v>0.124496921529302</v>
      </c>
      <c r="F1204">
        <v>0.124496921529302</v>
      </c>
      <c r="G1204">
        <v>0</v>
      </c>
      <c r="H1204">
        <v>0</v>
      </c>
      <c r="I1204" t="s">
        <v>58</v>
      </c>
    </row>
    <row r="1205" spans="1:9" x14ac:dyDescent="0.35">
      <c r="A1205" t="s">
        <v>17</v>
      </c>
      <c r="B1205">
        <v>2035</v>
      </c>
      <c r="C1205" t="s">
        <v>57</v>
      </c>
      <c r="D1205" t="s">
        <v>54</v>
      </c>
      <c r="E1205">
        <v>1.1074837994331199</v>
      </c>
      <c r="F1205">
        <v>1.1074837994331199</v>
      </c>
      <c r="G1205">
        <v>0</v>
      </c>
      <c r="H1205">
        <v>0</v>
      </c>
      <c r="I1205" t="s">
        <v>58</v>
      </c>
    </row>
    <row r="1206" spans="1:9" x14ac:dyDescent="0.35">
      <c r="A1206" t="s">
        <v>17</v>
      </c>
      <c r="B1206">
        <v>2035</v>
      </c>
      <c r="C1206" t="s">
        <v>57</v>
      </c>
      <c r="D1206" t="s">
        <v>55</v>
      </c>
      <c r="E1206">
        <v>1.01141701448036</v>
      </c>
      <c r="F1206">
        <v>1.01141701448036</v>
      </c>
      <c r="G1206">
        <v>0</v>
      </c>
      <c r="H1206">
        <v>0</v>
      </c>
      <c r="I1206" t="s">
        <v>58</v>
      </c>
    </row>
    <row r="1207" spans="1:9" x14ac:dyDescent="0.35">
      <c r="A1207" t="s">
        <v>17</v>
      </c>
      <c r="B1207">
        <v>2035</v>
      </c>
      <c r="C1207" t="s">
        <v>57</v>
      </c>
      <c r="D1207" t="s">
        <v>56</v>
      </c>
      <c r="E1207" s="1">
        <v>4.5124761453811297E-8</v>
      </c>
      <c r="F1207" s="1">
        <v>4.5124761453811297E-8</v>
      </c>
      <c r="G1207">
        <v>0</v>
      </c>
      <c r="H1207">
        <v>0</v>
      </c>
      <c r="I1207" t="s">
        <v>58</v>
      </c>
    </row>
    <row r="1208" spans="1:9" x14ac:dyDescent="0.35">
      <c r="A1208" t="s">
        <v>19</v>
      </c>
      <c r="B1208">
        <v>2040</v>
      </c>
      <c r="C1208" t="s">
        <v>57</v>
      </c>
      <c r="D1208" t="s">
        <v>38</v>
      </c>
      <c r="E1208">
        <v>4.7595039566470201E-4</v>
      </c>
      <c r="F1208">
        <v>4.7595039566470201E-4</v>
      </c>
      <c r="G1208">
        <v>0</v>
      </c>
      <c r="H1208">
        <v>0</v>
      </c>
      <c r="I1208" t="s">
        <v>58</v>
      </c>
    </row>
    <row r="1209" spans="1:9" x14ac:dyDescent="0.35">
      <c r="A1209" t="s">
        <v>19</v>
      </c>
      <c r="B1209">
        <v>2040</v>
      </c>
      <c r="C1209" t="s">
        <v>57</v>
      </c>
      <c r="D1209" t="s">
        <v>40</v>
      </c>
      <c r="E1209">
        <v>6.5384004152459001E-4</v>
      </c>
      <c r="F1209">
        <v>6.5384004152459001E-4</v>
      </c>
      <c r="G1209">
        <v>0</v>
      </c>
      <c r="H1209">
        <v>0</v>
      </c>
      <c r="I1209" t="s">
        <v>58</v>
      </c>
    </row>
    <row r="1210" spans="1:9" x14ac:dyDescent="0.35">
      <c r="A1210" t="s">
        <v>19</v>
      </c>
      <c r="B1210">
        <v>2040</v>
      </c>
      <c r="C1210" t="s">
        <v>57</v>
      </c>
      <c r="D1210" t="s">
        <v>41</v>
      </c>
      <c r="E1210">
        <v>3.6898146398252102E-3</v>
      </c>
      <c r="F1210">
        <v>3.6898146398252102E-3</v>
      </c>
      <c r="G1210">
        <v>0</v>
      </c>
      <c r="H1210">
        <v>0</v>
      </c>
      <c r="I1210" t="s">
        <v>58</v>
      </c>
    </row>
    <row r="1211" spans="1:9" x14ac:dyDescent="0.35">
      <c r="A1211" t="s">
        <v>19</v>
      </c>
      <c r="B1211">
        <v>2040</v>
      </c>
      <c r="C1211" t="s">
        <v>57</v>
      </c>
      <c r="D1211" t="s">
        <v>42</v>
      </c>
      <c r="E1211">
        <v>2.5919340918324298</v>
      </c>
      <c r="F1211">
        <v>2.5919340918324298</v>
      </c>
      <c r="G1211">
        <v>0</v>
      </c>
      <c r="H1211">
        <v>0</v>
      </c>
      <c r="I1211" t="s">
        <v>58</v>
      </c>
    </row>
    <row r="1212" spans="1:9" x14ac:dyDescent="0.35">
      <c r="A1212" t="s">
        <v>19</v>
      </c>
      <c r="B1212">
        <v>2040</v>
      </c>
      <c r="C1212" t="s">
        <v>57</v>
      </c>
      <c r="D1212" t="s">
        <v>43</v>
      </c>
      <c r="E1212">
        <v>1.4519633705850599E-3</v>
      </c>
      <c r="F1212">
        <v>1.4519633705850599E-3</v>
      </c>
      <c r="G1212">
        <v>0</v>
      </c>
      <c r="H1212">
        <v>0</v>
      </c>
      <c r="I1212" t="s">
        <v>58</v>
      </c>
    </row>
    <row r="1213" spans="1:9" x14ac:dyDescent="0.35">
      <c r="A1213" t="s">
        <v>19</v>
      </c>
      <c r="B1213">
        <v>2040</v>
      </c>
      <c r="C1213" t="s">
        <v>57</v>
      </c>
      <c r="D1213" t="s">
        <v>136</v>
      </c>
      <c r="E1213">
        <v>0.50565616105569999</v>
      </c>
      <c r="F1213">
        <v>0.50565616105569999</v>
      </c>
      <c r="G1213">
        <v>0</v>
      </c>
      <c r="H1213">
        <v>0</v>
      </c>
      <c r="I1213" t="s">
        <v>58</v>
      </c>
    </row>
    <row r="1214" spans="1:9" x14ac:dyDescent="0.35">
      <c r="A1214" t="s">
        <v>19</v>
      </c>
      <c r="B1214">
        <v>2040</v>
      </c>
      <c r="C1214" t="s">
        <v>57</v>
      </c>
      <c r="D1214" t="s">
        <v>45</v>
      </c>
      <c r="E1214">
        <v>1.3221044057766299E-3</v>
      </c>
      <c r="F1214">
        <v>1.3221044057766299E-3</v>
      </c>
      <c r="G1214">
        <v>0</v>
      </c>
      <c r="H1214">
        <v>0</v>
      </c>
      <c r="I1214" t="s">
        <v>58</v>
      </c>
    </row>
    <row r="1215" spans="1:9" x14ac:dyDescent="0.35">
      <c r="A1215" t="s">
        <v>19</v>
      </c>
      <c r="B1215">
        <v>2040</v>
      </c>
      <c r="C1215" t="s">
        <v>57</v>
      </c>
      <c r="D1215" t="s">
        <v>46</v>
      </c>
      <c r="E1215">
        <v>0.135472718752952</v>
      </c>
      <c r="F1215">
        <v>0.135472718752952</v>
      </c>
      <c r="G1215">
        <v>0</v>
      </c>
      <c r="H1215">
        <v>0</v>
      </c>
      <c r="I1215" t="s">
        <v>58</v>
      </c>
    </row>
    <row r="1216" spans="1:9" x14ac:dyDescent="0.35">
      <c r="A1216" t="s">
        <v>19</v>
      </c>
      <c r="B1216">
        <v>2040</v>
      </c>
      <c r="C1216" t="s">
        <v>57</v>
      </c>
      <c r="D1216" t="s">
        <v>47</v>
      </c>
      <c r="E1216">
        <v>1.8524408853327901E-3</v>
      </c>
      <c r="F1216">
        <v>1.8524408853327901E-3</v>
      </c>
      <c r="G1216">
        <v>0</v>
      </c>
      <c r="H1216">
        <v>0</v>
      </c>
      <c r="I1216" t="s">
        <v>58</v>
      </c>
    </row>
    <row r="1217" spans="1:9" x14ac:dyDescent="0.35">
      <c r="A1217" t="s">
        <v>19</v>
      </c>
      <c r="B1217">
        <v>2040</v>
      </c>
      <c r="C1217" t="s">
        <v>57</v>
      </c>
      <c r="D1217" t="s">
        <v>48</v>
      </c>
      <c r="E1217">
        <v>5.0249420514175602</v>
      </c>
      <c r="F1217">
        <v>5.0249420514175602</v>
      </c>
      <c r="G1217">
        <v>0</v>
      </c>
      <c r="H1217">
        <v>0</v>
      </c>
      <c r="I1217" t="s">
        <v>58</v>
      </c>
    </row>
    <row r="1218" spans="1:9" x14ac:dyDescent="0.35">
      <c r="A1218" t="s">
        <v>19</v>
      </c>
      <c r="B1218">
        <v>2040</v>
      </c>
      <c r="C1218" t="s">
        <v>57</v>
      </c>
      <c r="D1218" t="s">
        <v>49</v>
      </c>
      <c r="E1218">
        <v>3.0422243556519199E-3</v>
      </c>
      <c r="F1218">
        <v>3.0422243556519199E-3</v>
      </c>
      <c r="G1218">
        <v>0</v>
      </c>
      <c r="H1218">
        <v>0</v>
      </c>
      <c r="I1218" t="s">
        <v>58</v>
      </c>
    </row>
    <row r="1219" spans="1:9" x14ac:dyDescent="0.35">
      <c r="A1219" t="s">
        <v>19</v>
      </c>
      <c r="B1219">
        <v>2040</v>
      </c>
      <c r="C1219" t="s">
        <v>57</v>
      </c>
      <c r="D1219" t="s">
        <v>50</v>
      </c>
      <c r="E1219">
        <v>1.56798026745683E-2</v>
      </c>
      <c r="F1219">
        <v>1.56798026745683E-2</v>
      </c>
      <c r="G1219">
        <v>0</v>
      </c>
      <c r="H1219">
        <v>0</v>
      </c>
      <c r="I1219" t="s">
        <v>58</v>
      </c>
    </row>
    <row r="1220" spans="1:9" x14ac:dyDescent="0.35">
      <c r="A1220" t="s">
        <v>19</v>
      </c>
      <c r="B1220">
        <v>2040</v>
      </c>
      <c r="C1220" t="s">
        <v>57</v>
      </c>
      <c r="D1220" t="s">
        <v>51</v>
      </c>
      <c r="E1220">
        <v>7.1021008811358796E-2</v>
      </c>
      <c r="F1220">
        <v>7.1021008811358796E-2</v>
      </c>
      <c r="G1220">
        <v>0</v>
      </c>
      <c r="H1220">
        <v>0</v>
      </c>
      <c r="I1220" t="s">
        <v>58</v>
      </c>
    </row>
    <row r="1221" spans="1:9" x14ac:dyDescent="0.35">
      <c r="A1221" t="s">
        <v>19</v>
      </c>
      <c r="B1221">
        <v>2040</v>
      </c>
      <c r="C1221" t="s">
        <v>57</v>
      </c>
      <c r="D1221" t="s">
        <v>52</v>
      </c>
      <c r="E1221">
        <v>1.9497909910924899E-2</v>
      </c>
      <c r="F1221">
        <v>1.9497909910924899E-2</v>
      </c>
      <c r="G1221">
        <v>0</v>
      </c>
      <c r="H1221">
        <v>0</v>
      </c>
      <c r="I1221" t="s">
        <v>58</v>
      </c>
    </row>
    <row r="1222" spans="1:9" x14ac:dyDescent="0.35">
      <c r="A1222" t="s">
        <v>19</v>
      </c>
      <c r="B1222">
        <v>2040</v>
      </c>
      <c r="C1222" t="s">
        <v>57</v>
      </c>
      <c r="D1222" t="s">
        <v>53</v>
      </c>
      <c r="E1222">
        <v>0.127673168244092</v>
      </c>
      <c r="F1222">
        <v>0.127673168244092</v>
      </c>
      <c r="G1222">
        <v>0</v>
      </c>
      <c r="H1222">
        <v>0</v>
      </c>
      <c r="I1222" t="s">
        <v>58</v>
      </c>
    </row>
    <row r="1223" spans="1:9" x14ac:dyDescent="0.35">
      <c r="A1223" t="s">
        <v>19</v>
      </c>
      <c r="B1223">
        <v>2040</v>
      </c>
      <c r="C1223" t="s">
        <v>57</v>
      </c>
      <c r="D1223" t="s">
        <v>54</v>
      </c>
      <c r="E1223">
        <v>1.1090326318866199</v>
      </c>
      <c r="F1223">
        <v>1.1090326318866199</v>
      </c>
      <c r="G1223">
        <v>0</v>
      </c>
      <c r="H1223">
        <v>0</v>
      </c>
      <c r="I1223" t="s">
        <v>58</v>
      </c>
    </row>
    <row r="1224" spans="1:9" x14ac:dyDescent="0.35">
      <c r="A1224" t="s">
        <v>19</v>
      </c>
      <c r="B1224">
        <v>2040</v>
      </c>
      <c r="C1224" t="s">
        <v>57</v>
      </c>
      <c r="D1224" t="s">
        <v>55</v>
      </c>
      <c r="E1224">
        <v>1.0128675610040201</v>
      </c>
      <c r="F1224">
        <v>1.0128675610040201</v>
      </c>
      <c r="G1224">
        <v>0</v>
      </c>
      <c r="H1224">
        <v>0</v>
      </c>
      <c r="I1224" t="s">
        <v>58</v>
      </c>
    </row>
    <row r="1225" spans="1:9" x14ac:dyDescent="0.35">
      <c r="A1225" t="s">
        <v>19</v>
      </c>
      <c r="B1225">
        <v>2040</v>
      </c>
      <c r="C1225" t="s">
        <v>57</v>
      </c>
      <c r="D1225" t="s">
        <v>56</v>
      </c>
      <c r="E1225" s="1">
        <v>3.9120179338218499E-8</v>
      </c>
      <c r="F1225" s="1">
        <v>3.9120179338218499E-8</v>
      </c>
      <c r="G1225">
        <v>0</v>
      </c>
      <c r="H1225">
        <v>0</v>
      </c>
      <c r="I1225" t="s">
        <v>58</v>
      </c>
    </row>
    <row r="1226" spans="1:9" x14ac:dyDescent="0.35">
      <c r="A1226" t="s">
        <v>13</v>
      </c>
      <c r="B1226">
        <v>2025</v>
      </c>
      <c r="C1226" t="s">
        <v>59</v>
      </c>
      <c r="D1226" t="s">
        <v>38</v>
      </c>
      <c r="E1226">
        <v>4.7631252452478498E-3</v>
      </c>
      <c r="F1226">
        <v>4.7631252452478498E-3</v>
      </c>
      <c r="G1226">
        <v>0</v>
      </c>
      <c r="H1226">
        <v>0</v>
      </c>
      <c r="I1226" t="s">
        <v>60</v>
      </c>
    </row>
    <row r="1227" spans="1:9" x14ac:dyDescent="0.35">
      <c r="A1227" t="s">
        <v>13</v>
      </c>
      <c r="B1227">
        <v>2025</v>
      </c>
      <c r="C1227" t="s">
        <v>59</v>
      </c>
      <c r="D1227" t="s">
        <v>40</v>
      </c>
      <c r="E1227">
        <v>4.6238339007170504E-3</v>
      </c>
      <c r="F1227">
        <v>4.6238339007170504E-3</v>
      </c>
      <c r="G1227">
        <v>0</v>
      </c>
      <c r="H1227">
        <v>0</v>
      </c>
      <c r="I1227" t="s">
        <v>60</v>
      </c>
    </row>
    <row r="1228" spans="1:9" x14ac:dyDescent="0.35">
      <c r="A1228" t="s">
        <v>13</v>
      </c>
      <c r="B1228">
        <v>2025</v>
      </c>
      <c r="C1228" t="s">
        <v>59</v>
      </c>
      <c r="D1228" t="s">
        <v>41</v>
      </c>
      <c r="E1228">
        <v>2.9580530441300702E-2</v>
      </c>
      <c r="F1228">
        <v>2.9580530441300702E-2</v>
      </c>
      <c r="G1228">
        <v>0</v>
      </c>
      <c r="H1228">
        <v>0</v>
      </c>
      <c r="I1228" t="s">
        <v>60</v>
      </c>
    </row>
    <row r="1229" spans="1:9" x14ac:dyDescent="0.35">
      <c r="A1229" t="s">
        <v>13</v>
      </c>
      <c r="B1229">
        <v>2025</v>
      </c>
      <c r="C1229" t="s">
        <v>59</v>
      </c>
      <c r="D1229" t="s">
        <v>42</v>
      </c>
      <c r="E1229">
        <v>18.127346608815699</v>
      </c>
      <c r="F1229">
        <v>18.127346608815699</v>
      </c>
      <c r="G1229">
        <v>0</v>
      </c>
      <c r="H1229">
        <v>0</v>
      </c>
      <c r="I1229" t="s">
        <v>60</v>
      </c>
    </row>
    <row r="1230" spans="1:9" x14ac:dyDescent="0.35">
      <c r="A1230" t="s">
        <v>13</v>
      </c>
      <c r="B1230">
        <v>2025</v>
      </c>
      <c r="C1230" t="s">
        <v>59</v>
      </c>
      <c r="D1230" t="s">
        <v>43</v>
      </c>
      <c r="E1230">
        <v>1.0873689256249401E-2</v>
      </c>
      <c r="F1230">
        <v>1.0873689256249401E-2</v>
      </c>
      <c r="G1230">
        <v>0</v>
      </c>
      <c r="H1230">
        <v>0</v>
      </c>
      <c r="I1230" t="s">
        <v>60</v>
      </c>
    </row>
    <row r="1231" spans="1:9" x14ac:dyDescent="0.35">
      <c r="A1231" t="s">
        <v>13</v>
      </c>
      <c r="B1231">
        <v>2025</v>
      </c>
      <c r="C1231" t="s">
        <v>59</v>
      </c>
      <c r="D1231" t="s">
        <v>136</v>
      </c>
      <c r="E1231">
        <v>5.4954102497415702</v>
      </c>
      <c r="F1231">
        <v>5.4954102497415702</v>
      </c>
      <c r="G1231">
        <v>0</v>
      </c>
      <c r="H1231">
        <v>0</v>
      </c>
      <c r="I1231" t="s">
        <v>60</v>
      </c>
    </row>
    <row r="1232" spans="1:9" x14ac:dyDescent="0.35">
      <c r="A1232" t="s">
        <v>13</v>
      </c>
      <c r="B1232">
        <v>2025</v>
      </c>
      <c r="C1232" t="s">
        <v>59</v>
      </c>
      <c r="D1232" t="s">
        <v>45</v>
      </c>
      <c r="E1232">
        <v>1.4194492880718199E-2</v>
      </c>
      <c r="F1232">
        <v>1.4194492880718199E-2</v>
      </c>
      <c r="G1232">
        <v>0</v>
      </c>
      <c r="H1232">
        <v>0</v>
      </c>
      <c r="I1232" t="s">
        <v>60</v>
      </c>
    </row>
    <row r="1233" spans="1:9" x14ac:dyDescent="0.35">
      <c r="A1233" t="s">
        <v>13</v>
      </c>
      <c r="B1233">
        <v>2025</v>
      </c>
      <c r="C1233" t="s">
        <v>59</v>
      </c>
      <c r="D1233" t="s">
        <v>46</v>
      </c>
      <c r="E1233">
        <v>0.19111109571927301</v>
      </c>
      <c r="F1233">
        <v>0.19111109571927301</v>
      </c>
      <c r="G1233">
        <v>0</v>
      </c>
      <c r="H1233">
        <v>0</v>
      </c>
      <c r="I1233" t="s">
        <v>60</v>
      </c>
    </row>
    <row r="1234" spans="1:9" x14ac:dyDescent="0.35">
      <c r="A1234" t="s">
        <v>13</v>
      </c>
      <c r="B1234">
        <v>2025</v>
      </c>
      <c r="C1234" t="s">
        <v>59</v>
      </c>
      <c r="D1234" t="s">
        <v>47</v>
      </c>
      <c r="E1234">
        <v>1.1706958524177099E-2</v>
      </c>
      <c r="F1234">
        <v>1.1706958524177099E-2</v>
      </c>
      <c r="G1234">
        <v>0</v>
      </c>
      <c r="H1234">
        <v>0</v>
      </c>
      <c r="I1234" t="s">
        <v>60</v>
      </c>
    </row>
    <row r="1235" spans="1:9" x14ac:dyDescent="0.35">
      <c r="A1235" t="s">
        <v>13</v>
      </c>
      <c r="B1235">
        <v>2025</v>
      </c>
      <c r="C1235" t="s">
        <v>59</v>
      </c>
      <c r="D1235" t="s">
        <v>48</v>
      </c>
      <c r="E1235">
        <v>36.096845845680299</v>
      </c>
      <c r="F1235">
        <v>36.096845845680299</v>
      </c>
      <c r="G1235">
        <v>0</v>
      </c>
      <c r="H1235">
        <v>0</v>
      </c>
      <c r="I1235" t="s">
        <v>60</v>
      </c>
    </row>
    <row r="1236" spans="1:9" x14ac:dyDescent="0.35">
      <c r="A1236" t="s">
        <v>13</v>
      </c>
      <c r="B1236">
        <v>2025</v>
      </c>
      <c r="C1236" t="s">
        <v>59</v>
      </c>
      <c r="D1236" t="s">
        <v>49</v>
      </c>
      <c r="E1236">
        <v>2.9529752823787701E-2</v>
      </c>
      <c r="F1236">
        <v>2.9529752823787701E-2</v>
      </c>
      <c r="G1236">
        <v>0</v>
      </c>
      <c r="H1236">
        <v>0</v>
      </c>
      <c r="I1236" t="s">
        <v>60</v>
      </c>
    </row>
    <row r="1237" spans="1:9" x14ac:dyDescent="0.35">
      <c r="A1237" t="s">
        <v>13</v>
      </c>
      <c r="B1237">
        <v>2025</v>
      </c>
      <c r="C1237" t="s">
        <v>59</v>
      </c>
      <c r="D1237" t="s">
        <v>50</v>
      </c>
      <c r="E1237">
        <v>0.11622991086470701</v>
      </c>
      <c r="F1237">
        <v>0.11622991086470701</v>
      </c>
      <c r="G1237">
        <v>0</v>
      </c>
      <c r="H1237">
        <v>0</v>
      </c>
      <c r="I1237" t="s">
        <v>60</v>
      </c>
    </row>
    <row r="1238" spans="1:9" x14ac:dyDescent="0.35">
      <c r="A1238" t="s">
        <v>13</v>
      </c>
      <c r="B1238">
        <v>2025</v>
      </c>
      <c r="C1238" t="s">
        <v>59</v>
      </c>
      <c r="D1238" t="s">
        <v>51</v>
      </c>
      <c r="E1238">
        <v>0.49099577665327998</v>
      </c>
      <c r="F1238">
        <v>0.49099577665327998</v>
      </c>
      <c r="G1238">
        <v>0</v>
      </c>
      <c r="H1238">
        <v>0</v>
      </c>
      <c r="I1238" t="s">
        <v>60</v>
      </c>
    </row>
    <row r="1239" spans="1:9" x14ac:dyDescent="0.35">
      <c r="A1239" t="s">
        <v>13</v>
      </c>
      <c r="B1239">
        <v>2025</v>
      </c>
      <c r="C1239" t="s">
        <v>59</v>
      </c>
      <c r="D1239" t="s">
        <v>52</v>
      </c>
      <c r="E1239">
        <v>0.772729280370967</v>
      </c>
      <c r="F1239">
        <v>0.772729280370967</v>
      </c>
      <c r="G1239">
        <v>0</v>
      </c>
      <c r="H1239">
        <v>0</v>
      </c>
      <c r="I1239" t="s">
        <v>60</v>
      </c>
    </row>
    <row r="1240" spans="1:9" x14ac:dyDescent="0.35">
      <c r="A1240" t="s">
        <v>13</v>
      </c>
      <c r="B1240">
        <v>2025</v>
      </c>
      <c r="C1240" t="s">
        <v>59</v>
      </c>
      <c r="D1240" t="s">
        <v>53</v>
      </c>
      <c r="E1240">
        <v>1.6211397910658301</v>
      </c>
      <c r="F1240">
        <v>1.6211397910658301</v>
      </c>
      <c r="G1240">
        <v>0</v>
      </c>
      <c r="H1240">
        <v>0</v>
      </c>
      <c r="I1240" t="s">
        <v>60</v>
      </c>
    </row>
    <row r="1241" spans="1:9" x14ac:dyDescent="0.35">
      <c r="A1241" t="s">
        <v>13</v>
      </c>
      <c r="B1241">
        <v>2025</v>
      </c>
      <c r="C1241" t="s">
        <v>59</v>
      </c>
      <c r="D1241" t="s">
        <v>54</v>
      </c>
      <c r="E1241">
        <v>7.2266332125544901</v>
      </c>
      <c r="F1241">
        <v>7.2266332125544901</v>
      </c>
      <c r="G1241">
        <v>0</v>
      </c>
      <c r="H1241">
        <v>0</v>
      </c>
      <c r="I1241" t="s">
        <v>60</v>
      </c>
    </row>
    <row r="1242" spans="1:9" x14ac:dyDescent="0.35">
      <c r="A1242" t="s">
        <v>13</v>
      </c>
      <c r="B1242">
        <v>2025</v>
      </c>
      <c r="C1242" t="s">
        <v>59</v>
      </c>
      <c r="D1242" t="s">
        <v>55</v>
      </c>
      <c r="E1242">
        <v>6.6100075696628098</v>
      </c>
      <c r="F1242">
        <v>6.6100075696628098</v>
      </c>
      <c r="G1242">
        <v>0</v>
      </c>
      <c r="H1242">
        <v>0</v>
      </c>
      <c r="I1242" t="s">
        <v>60</v>
      </c>
    </row>
    <row r="1243" spans="1:9" x14ac:dyDescent="0.35">
      <c r="A1243" t="s">
        <v>13</v>
      </c>
      <c r="B1243">
        <v>2025</v>
      </c>
      <c r="C1243" t="s">
        <v>59</v>
      </c>
      <c r="D1243" t="s">
        <v>56</v>
      </c>
      <c r="E1243" s="1">
        <v>6.9686401580038702E-7</v>
      </c>
      <c r="F1243" s="1">
        <v>6.9686401580038702E-7</v>
      </c>
      <c r="G1243">
        <v>0</v>
      </c>
      <c r="H1243">
        <v>0</v>
      </c>
      <c r="I1243" t="s">
        <v>60</v>
      </c>
    </row>
    <row r="1244" spans="1:9" x14ac:dyDescent="0.35">
      <c r="A1244" t="s">
        <v>15</v>
      </c>
      <c r="B1244">
        <v>2030</v>
      </c>
      <c r="C1244" t="s">
        <v>59</v>
      </c>
      <c r="D1244" t="s">
        <v>38</v>
      </c>
      <c r="E1244">
        <v>4.8694969357864302E-3</v>
      </c>
      <c r="F1244">
        <v>4.8694969357864302E-3</v>
      </c>
      <c r="G1244">
        <v>0</v>
      </c>
      <c r="H1244">
        <v>0</v>
      </c>
      <c r="I1244" t="s">
        <v>60</v>
      </c>
    </row>
    <row r="1245" spans="1:9" x14ac:dyDescent="0.35">
      <c r="A1245" t="s">
        <v>15</v>
      </c>
      <c r="B1245">
        <v>2030</v>
      </c>
      <c r="C1245" t="s">
        <v>59</v>
      </c>
      <c r="D1245" t="s">
        <v>40</v>
      </c>
      <c r="E1245">
        <v>4.6211537434876302E-3</v>
      </c>
      <c r="F1245">
        <v>4.6211537434876302E-3</v>
      </c>
      <c r="G1245">
        <v>0</v>
      </c>
      <c r="H1245">
        <v>0</v>
      </c>
      <c r="I1245" t="s">
        <v>60</v>
      </c>
    </row>
    <row r="1246" spans="1:9" x14ac:dyDescent="0.35">
      <c r="A1246" t="s">
        <v>15</v>
      </c>
      <c r="B1246">
        <v>2030</v>
      </c>
      <c r="C1246" t="s">
        <v>59</v>
      </c>
      <c r="D1246" t="s">
        <v>41</v>
      </c>
      <c r="E1246">
        <v>3.08956086340627E-2</v>
      </c>
      <c r="F1246">
        <v>3.08956086340627E-2</v>
      </c>
      <c r="G1246">
        <v>0</v>
      </c>
      <c r="H1246">
        <v>0</v>
      </c>
      <c r="I1246" t="s">
        <v>60</v>
      </c>
    </row>
    <row r="1247" spans="1:9" x14ac:dyDescent="0.35">
      <c r="A1247" t="s">
        <v>15</v>
      </c>
      <c r="B1247">
        <v>2030</v>
      </c>
      <c r="C1247" t="s">
        <v>59</v>
      </c>
      <c r="D1247" t="s">
        <v>42</v>
      </c>
      <c r="E1247">
        <v>18.124728590122398</v>
      </c>
      <c r="F1247">
        <v>18.124728590122398</v>
      </c>
      <c r="G1247">
        <v>0</v>
      </c>
      <c r="H1247">
        <v>0</v>
      </c>
      <c r="I1247" t="s">
        <v>60</v>
      </c>
    </row>
    <row r="1248" spans="1:9" x14ac:dyDescent="0.35">
      <c r="A1248" t="s">
        <v>15</v>
      </c>
      <c r="B1248">
        <v>2030</v>
      </c>
      <c r="C1248" t="s">
        <v>59</v>
      </c>
      <c r="D1248" t="s">
        <v>43</v>
      </c>
      <c r="E1248">
        <v>1.15058251502363E-2</v>
      </c>
      <c r="F1248">
        <v>1.15058251502363E-2</v>
      </c>
      <c r="G1248">
        <v>0</v>
      </c>
      <c r="H1248">
        <v>0</v>
      </c>
      <c r="I1248" t="s">
        <v>60</v>
      </c>
    </row>
    <row r="1249" spans="1:9" x14ac:dyDescent="0.35">
      <c r="A1249" t="s">
        <v>15</v>
      </c>
      <c r="B1249">
        <v>2030</v>
      </c>
      <c r="C1249" t="s">
        <v>59</v>
      </c>
      <c r="D1249" t="s">
        <v>136</v>
      </c>
      <c r="E1249">
        <v>5.2248038450566101</v>
      </c>
      <c r="F1249">
        <v>5.2248038450566101</v>
      </c>
      <c r="G1249">
        <v>0</v>
      </c>
      <c r="H1249">
        <v>0</v>
      </c>
      <c r="I1249" t="s">
        <v>60</v>
      </c>
    </row>
    <row r="1250" spans="1:9" x14ac:dyDescent="0.35">
      <c r="A1250" t="s">
        <v>15</v>
      </c>
      <c r="B1250">
        <v>2030</v>
      </c>
      <c r="C1250" t="s">
        <v>59</v>
      </c>
      <c r="D1250" t="s">
        <v>45</v>
      </c>
      <c r="E1250">
        <v>1.3932646965389499E-2</v>
      </c>
      <c r="F1250">
        <v>1.3932646965389499E-2</v>
      </c>
      <c r="G1250">
        <v>0</v>
      </c>
      <c r="H1250">
        <v>0</v>
      </c>
      <c r="I1250" t="s">
        <v>60</v>
      </c>
    </row>
    <row r="1251" spans="1:9" x14ac:dyDescent="0.35">
      <c r="A1251" t="s">
        <v>15</v>
      </c>
      <c r="B1251">
        <v>2030</v>
      </c>
      <c r="C1251" t="s">
        <v>59</v>
      </c>
      <c r="D1251" t="s">
        <v>46</v>
      </c>
      <c r="E1251">
        <v>0.36826188079771399</v>
      </c>
      <c r="F1251">
        <v>0.36826188079771399</v>
      </c>
      <c r="G1251">
        <v>0</v>
      </c>
      <c r="H1251">
        <v>0</v>
      </c>
      <c r="I1251" t="s">
        <v>60</v>
      </c>
    </row>
    <row r="1252" spans="1:9" x14ac:dyDescent="0.35">
      <c r="A1252" t="s">
        <v>15</v>
      </c>
      <c r="B1252">
        <v>2030</v>
      </c>
      <c r="C1252" t="s">
        <v>59</v>
      </c>
      <c r="D1252" t="s">
        <v>47</v>
      </c>
      <c r="E1252">
        <v>1.1767133323691101E-2</v>
      </c>
      <c r="F1252">
        <v>1.1767133323691101E-2</v>
      </c>
      <c r="G1252">
        <v>0</v>
      </c>
      <c r="H1252">
        <v>0</v>
      </c>
      <c r="I1252" t="s">
        <v>60</v>
      </c>
    </row>
    <row r="1253" spans="1:9" x14ac:dyDescent="0.35">
      <c r="A1253" t="s">
        <v>15</v>
      </c>
      <c r="B1253">
        <v>2030</v>
      </c>
      <c r="C1253" t="s">
        <v>59</v>
      </c>
      <c r="D1253" t="s">
        <v>48</v>
      </c>
      <c r="E1253">
        <v>36.095358514171501</v>
      </c>
      <c r="F1253">
        <v>36.095358514171501</v>
      </c>
      <c r="G1253">
        <v>0</v>
      </c>
      <c r="H1253">
        <v>0</v>
      </c>
      <c r="I1253" t="s">
        <v>60</v>
      </c>
    </row>
    <row r="1254" spans="1:9" x14ac:dyDescent="0.35">
      <c r="A1254" t="s">
        <v>15</v>
      </c>
      <c r="B1254">
        <v>2030</v>
      </c>
      <c r="C1254" t="s">
        <v>59</v>
      </c>
      <c r="D1254" t="s">
        <v>49</v>
      </c>
      <c r="E1254">
        <v>2.9763349477827699E-2</v>
      </c>
      <c r="F1254">
        <v>2.9763349477827699E-2</v>
      </c>
      <c r="G1254">
        <v>0</v>
      </c>
      <c r="H1254">
        <v>0</v>
      </c>
      <c r="I1254" t="s">
        <v>60</v>
      </c>
    </row>
    <row r="1255" spans="1:9" x14ac:dyDescent="0.35">
      <c r="A1255" t="s">
        <v>15</v>
      </c>
      <c r="B1255">
        <v>2030</v>
      </c>
      <c r="C1255" t="s">
        <v>59</v>
      </c>
      <c r="D1255" t="s">
        <v>50</v>
      </c>
      <c r="E1255">
        <v>0.11665830955517301</v>
      </c>
      <c r="F1255">
        <v>0.11665830955517301</v>
      </c>
      <c r="G1255">
        <v>0</v>
      </c>
      <c r="H1255">
        <v>0</v>
      </c>
      <c r="I1255" t="s">
        <v>60</v>
      </c>
    </row>
    <row r="1256" spans="1:9" x14ac:dyDescent="0.35">
      <c r="A1256" t="s">
        <v>15</v>
      </c>
      <c r="B1256">
        <v>2030</v>
      </c>
      <c r="C1256" t="s">
        <v>59</v>
      </c>
      <c r="D1256" t="s">
        <v>51</v>
      </c>
      <c r="E1256">
        <v>0.49878433121592702</v>
      </c>
      <c r="F1256">
        <v>0.49878433121592702</v>
      </c>
      <c r="G1256">
        <v>0</v>
      </c>
      <c r="H1256">
        <v>0</v>
      </c>
      <c r="I1256" t="s">
        <v>60</v>
      </c>
    </row>
    <row r="1257" spans="1:9" x14ac:dyDescent="0.35">
      <c r="A1257" t="s">
        <v>15</v>
      </c>
      <c r="B1257">
        <v>2030</v>
      </c>
      <c r="C1257" t="s">
        <v>59</v>
      </c>
      <c r="D1257" t="s">
        <v>52</v>
      </c>
      <c r="E1257">
        <v>0.73073586921081701</v>
      </c>
      <c r="F1257">
        <v>0.73073586921081701</v>
      </c>
      <c r="G1257">
        <v>0</v>
      </c>
      <c r="H1257">
        <v>0</v>
      </c>
      <c r="I1257" t="s">
        <v>60</v>
      </c>
    </row>
    <row r="1258" spans="1:9" x14ac:dyDescent="0.35">
      <c r="A1258" t="s">
        <v>15</v>
      </c>
      <c r="B1258">
        <v>2030</v>
      </c>
      <c r="C1258" t="s">
        <v>59</v>
      </c>
      <c r="D1258" t="s">
        <v>53</v>
      </c>
      <c r="E1258">
        <v>1.53345814460882</v>
      </c>
      <c r="F1258">
        <v>1.53345814460882</v>
      </c>
      <c r="G1258">
        <v>0</v>
      </c>
      <c r="H1258">
        <v>0</v>
      </c>
      <c r="I1258" t="s">
        <v>60</v>
      </c>
    </row>
    <row r="1259" spans="1:9" x14ac:dyDescent="0.35">
      <c r="A1259" t="s">
        <v>15</v>
      </c>
      <c r="B1259">
        <v>2030</v>
      </c>
      <c r="C1259" t="s">
        <v>59</v>
      </c>
      <c r="D1259" t="s">
        <v>54</v>
      </c>
      <c r="E1259">
        <v>7.2312768408310504</v>
      </c>
      <c r="F1259">
        <v>7.2312768408310504</v>
      </c>
      <c r="G1259">
        <v>0</v>
      </c>
      <c r="H1259">
        <v>0</v>
      </c>
      <c r="I1259" t="s">
        <v>60</v>
      </c>
    </row>
    <row r="1260" spans="1:9" x14ac:dyDescent="0.35">
      <c r="A1260" t="s">
        <v>15</v>
      </c>
      <c r="B1260">
        <v>2030</v>
      </c>
      <c r="C1260" t="s">
        <v>59</v>
      </c>
      <c r="D1260" t="s">
        <v>55</v>
      </c>
      <c r="E1260">
        <v>6.6136312213688297</v>
      </c>
      <c r="F1260">
        <v>6.6136312213688297</v>
      </c>
      <c r="G1260">
        <v>0</v>
      </c>
      <c r="H1260">
        <v>0</v>
      </c>
      <c r="I1260" t="s">
        <v>60</v>
      </c>
    </row>
    <row r="1261" spans="1:9" x14ac:dyDescent="0.35">
      <c r="A1261" t="s">
        <v>15</v>
      </c>
      <c r="B1261">
        <v>2030</v>
      </c>
      <c r="C1261" t="s">
        <v>59</v>
      </c>
      <c r="D1261" t="s">
        <v>56</v>
      </c>
      <c r="E1261" s="1">
        <v>6.2648521330708999E-7</v>
      </c>
      <c r="F1261" s="1">
        <v>6.2648521330708999E-7</v>
      </c>
      <c r="G1261">
        <v>0</v>
      </c>
      <c r="H1261">
        <v>0</v>
      </c>
      <c r="I1261" t="s">
        <v>60</v>
      </c>
    </row>
    <row r="1262" spans="1:9" x14ac:dyDescent="0.35">
      <c r="A1262" t="s">
        <v>17</v>
      </c>
      <c r="B1262">
        <v>2035</v>
      </c>
      <c r="C1262" t="s">
        <v>59</v>
      </c>
      <c r="D1262" t="s">
        <v>38</v>
      </c>
      <c r="E1262">
        <v>5.6734899622852197E-3</v>
      </c>
      <c r="F1262">
        <v>5.6734899622852197E-3</v>
      </c>
      <c r="G1262">
        <v>0</v>
      </c>
      <c r="H1262">
        <v>0</v>
      </c>
      <c r="I1262" t="s">
        <v>60</v>
      </c>
    </row>
    <row r="1263" spans="1:9" x14ac:dyDescent="0.35">
      <c r="A1263" t="s">
        <v>17</v>
      </c>
      <c r="B1263">
        <v>2035</v>
      </c>
      <c r="C1263" t="s">
        <v>59</v>
      </c>
      <c r="D1263" t="s">
        <v>40</v>
      </c>
      <c r="E1263">
        <v>4.6937589354978798E-3</v>
      </c>
      <c r="F1263">
        <v>4.6937589354978798E-3</v>
      </c>
      <c r="G1263">
        <v>0</v>
      </c>
      <c r="H1263">
        <v>0</v>
      </c>
      <c r="I1263" t="s">
        <v>60</v>
      </c>
    </row>
    <row r="1264" spans="1:9" x14ac:dyDescent="0.35">
      <c r="A1264" t="s">
        <v>17</v>
      </c>
      <c r="B1264">
        <v>2035</v>
      </c>
      <c r="C1264" t="s">
        <v>59</v>
      </c>
      <c r="D1264" t="s">
        <v>41</v>
      </c>
      <c r="E1264">
        <v>3.0387386214135299E-2</v>
      </c>
      <c r="F1264">
        <v>3.0387386214135299E-2</v>
      </c>
      <c r="G1264">
        <v>0</v>
      </c>
      <c r="H1264">
        <v>0</v>
      </c>
      <c r="I1264" t="s">
        <v>60</v>
      </c>
    </row>
    <row r="1265" spans="1:9" x14ac:dyDescent="0.35">
      <c r="A1265" t="s">
        <v>17</v>
      </c>
      <c r="B1265">
        <v>2035</v>
      </c>
      <c r="C1265" t="s">
        <v>59</v>
      </c>
      <c r="D1265" t="s">
        <v>42</v>
      </c>
      <c r="E1265">
        <v>18.2708937534466</v>
      </c>
      <c r="F1265">
        <v>18.2708937534466</v>
      </c>
      <c r="G1265">
        <v>0</v>
      </c>
      <c r="H1265">
        <v>0</v>
      </c>
      <c r="I1265" t="s">
        <v>60</v>
      </c>
    </row>
    <row r="1266" spans="1:9" x14ac:dyDescent="0.35">
      <c r="A1266" t="s">
        <v>17</v>
      </c>
      <c r="B1266">
        <v>2035</v>
      </c>
      <c r="C1266" t="s">
        <v>59</v>
      </c>
      <c r="D1266" t="s">
        <v>43</v>
      </c>
      <c r="E1266">
        <v>1.1631670258888E-2</v>
      </c>
      <c r="F1266">
        <v>1.1631670258888E-2</v>
      </c>
      <c r="G1266">
        <v>0</v>
      </c>
      <c r="H1266">
        <v>0</v>
      </c>
      <c r="I1266" t="s">
        <v>60</v>
      </c>
    </row>
    <row r="1267" spans="1:9" x14ac:dyDescent="0.35">
      <c r="A1267" t="s">
        <v>17</v>
      </c>
      <c r="B1267">
        <v>2035</v>
      </c>
      <c r="C1267" t="s">
        <v>59</v>
      </c>
      <c r="D1267" t="s">
        <v>136</v>
      </c>
      <c r="E1267">
        <v>5.0821534527111103</v>
      </c>
      <c r="F1267">
        <v>5.0821534527111103</v>
      </c>
      <c r="G1267">
        <v>0</v>
      </c>
      <c r="H1267">
        <v>0</v>
      </c>
      <c r="I1267" t="s">
        <v>60</v>
      </c>
    </row>
    <row r="1268" spans="1:9" x14ac:dyDescent="0.35">
      <c r="A1268" t="s">
        <v>17</v>
      </c>
      <c r="B1268">
        <v>2035</v>
      </c>
      <c r="C1268" t="s">
        <v>59</v>
      </c>
      <c r="D1268" t="s">
        <v>45</v>
      </c>
      <c r="E1268">
        <v>1.3451598726585599E-2</v>
      </c>
      <c r="F1268">
        <v>1.3451598726585599E-2</v>
      </c>
      <c r="G1268">
        <v>0</v>
      </c>
      <c r="H1268">
        <v>0</v>
      </c>
      <c r="I1268" t="s">
        <v>60</v>
      </c>
    </row>
    <row r="1269" spans="1:9" x14ac:dyDescent="0.35">
      <c r="A1269" t="s">
        <v>17</v>
      </c>
      <c r="B1269">
        <v>2035</v>
      </c>
      <c r="C1269" t="s">
        <v>59</v>
      </c>
      <c r="D1269" t="s">
        <v>46</v>
      </c>
      <c r="E1269">
        <v>0.72528624566399102</v>
      </c>
      <c r="F1269">
        <v>0.72528624566399102</v>
      </c>
      <c r="G1269">
        <v>0</v>
      </c>
      <c r="H1269">
        <v>0</v>
      </c>
      <c r="I1269" t="s">
        <v>60</v>
      </c>
    </row>
    <row r="1270" spans="1:9" x14ac:dyDescent="0.35">
      <c r="A1270" t="s">
        <v>17</v>
      </c>
      <c r="B1270">
        <v>2035</v>
      </c>
      <c r="C1270" t="s">
        <v>59</v>
      </c>
      <c r="D1270" t="s">
        <v>47</v>
      </c>
      <c r="E1270">
        <v>1.20017582962528E-2</v>
      </c>
      <c r="F1270">
        <v>1.20017582962528E-2</v>
      </c>
      <c r="G1270">
        <v>0</v>
      </c>
      <c r="H1270">
        <v>0</v>
      </c>
      <c r="I1270" t="s">
        <v>60</v>
      </c>
    </row>
    <row r="1271" spans="1:9" x14ac:dyDescent="0.35">
      <c r="A1271" t="s">
        <v>17</v>
      </c>
      <c r="B1271">
        <v>2035</v>
      </c>
      <c r="C1271" t="s">
        <v>59</v>
      </c>
      <c r="D1271" t="s">
        <v>48</v>
      </c>
      <c r="E1271">
        <v>36.100485234142504</v>
      </c>
      <c r="F1271">
        <v>36.100485234142504</v>
      </c>
      <c r="G1271">
        <v>0</v>
      </c>
      <c r="H1271">
        <v>0</v>
      </c>
      <c r="I1271" t="s">
        <v>60</v>
      </c>
    </row>
    <row r="1272" spans="1:9" x14ac:dyDescent="0.35">
      <c r="A1272" t="s">
        <v>17</v>
      </c>
      <c r="B1272">
        <v>2035</v>
      </c>
      <c r="C1272" t="s">
        <v>59</v>
      </c>
      <c r="D1272" t="s">
        <v>49</v>
      </c>
      <c r="E1272">
        <v>2.9454379776024098E-2</v>
      </c>
      <c r="F1272">
        <v>2.9454379776024098E-2</v>
      </c>
      <c r="G1272">
        <v>0</v>
      </c>
      <c r="H1272">
        <v>0</v>
      </c>
      <c r="I1272" t="s">
        <v>60</v>
      </c>
    </row>
    <row r="1273" spans="1:9" x14ac:dyDescent="0.35">
      <c r="A1273" t="s">
        <v>17</v>
      </c>
      <c r="B1273">
        <v>2035</v>
      </c>
      <c r="C1273" t="s">
        <v>59</v>
      </c>
      <c r="D1273" t="s">
        <v>50</v>
      </c>
      <c r="E1273">
        <v>0.119937245141482</v>
      </c>
      <c r="F1273">
        <v>0.119937245141482</v>
      </c>
      <c r="G1273">
        <v>0</v>
      </c>
      <c r="H1273">
        <v>0</v>
      </c>
      <c r="I1273" t="s">
        <v>60</v>
      </c>
    </row>
    <row r="1274" spans="1:9" x14ac:dyDescent="0.35">
      <c r="A1274" t="s">
        <v>17</v>
      </c>
      <c r="B1274">
        <v>2035</v>
      </c>
      <c r="C1274" t="s">
        <v>59</v>
      </c>
      <c r="D1274" t="s">
        <v>51</v>
      </c>
      <c r="E1274">
        <v>0.51544389786594402</v>
      </c>
      <c r="F1274">
        <v>0.51544389786594402</v>
      </c>
      <c r="G1274">
        <v>0</v>
      </c>
      <c r="H1274">
        <v>0</v>
      </c>
      <c r="I1274" t="s">
        <v>60</v>
      </c>
    </row>
    <row r="1275" spans="1:9" x14ac:dyDescent="0.35">
      <c r="A1275" t="s">
        <v>17</v>
      </c>
      <c r="B1275">
        <v>2035</v>
      </c>
      <c r="C1275" t="s">
        <v>59</v>
      </c>
      <c r="D1275" t="s">
        <v>52</v>
      </c>
      <c r="E1275">
        <v>0.68549539517139402</v>
      </c>
      <c r="F1275">
        <v>0.68549539517139402</v>
      </c>
      <c r="G1275">
        <v>0</v>
      </c>
      <c r="H1275">
        <v>0</v>
      </c>
      <c r="I1275" t="s">
        <v>60</v>
      </c>
    </row>
    <row r="1276" spans="1:9" x14ac:dyDescent="0.35">
      <c r="A1276" t="s">
        <v>17</v>
      </c>
      <c r="B1276">
        <v>2035</v>
      </c>
      <c r="C1276" t="s">
        <v>59</v>
      </c>
      <c r="D1276" t="s">
        <v>53</v>
      </c>
      <c r="E1276">
        <v>1.4811977992074099</v>
      </c>
      <c r="F1276">
        <v>1.4811977992074099</v>
      </c>
      <c r="G1276">
        <v>0</v>
      </c>
      <c r="H1276">
        <v>0</v>
      </c>
      <c r="I1276" t="s">
        <v>60</v>
      </c>
    </row>
    <row r="1277" spans="1:9" x14ac:dyDescent="0.35">
      <c r="A1277" t="s">
        <v>17</v>
      </c>
      <c r="B1277">
        <v>2035</v>
      </c>
      <c r="C1277" t="s">
        <v>59</v>
      </c>
      <c r="D1277" t="s">
        <v>54</v>
      </c>
      <c r="E1277">
        <v>7.23982835142262</v>
      </c>
      <c r="F1277">
        <v>7.23982835142262</v>
      </c>
      <c r="G1277">
        <v>0</v>
      </c>
      <c r="H1277">
        <v>0</v>
      </c>
      <c r="I1277" t="s">
        <v>60</v>
      </c>
    </row>
    <row r="1278" spans="1:9" x14ac:dyDescent="0.35">
      <c r="A1278" t="s">
        <v>17</v>
      </c>
      <c r="B1278">
        <v>2035</v>
      </c>
      <c r="C1278" t="s">
        <v>59</v>
      </c>
      <c r="D1278" t="s">
        <v>55</v>
      </c>
      <c r="E1278">
        <v>6.6213067274040096</v>
      </c>
      <c r="F1278">
        <v>6.6213067274040096</v>
      </c>
      <c r="G1278">
        <v>0</v>
      </c>
      <c r="H1278">
        <v>0</v>
      </c>
      <c r="I1278" t="s">
        <v>60</v>
      </c>
    </row>
    <row r="1279" spans="1:9" x14ac:dyDescent="0.35">
      <c r="A1279" t="s">
        <v>17</v>
      </c>
      <c r="B1279">
        <v>2035</v>
      </c>
      <c r="C1279" t="s">
        <v>59</v>
      </c>
      <c r="D1279" t="s">
        <v>56</v>
      </c>
      <c r="E1279" s="1">
        <v>5.7110438042261897E-7</v>
      </c>
      <c r="F1279" s="1">
        <v>5.7110438042261897E-7</v>
      </c>
      <c r="G1279">
        <v>0</v>
      </c>
      <c r="H1279">
        <v>0</v>
      </c>
      <c r="I1279" t="s">
        <v>60</v>
      </c>
    </row>
    <row r="1280" spans="1:9" x14ac:dyDescent="0.35">
      <c r="A1280" t="s">
        <v>19</v>
      </c>
      <c r="B1280">
        <v>2040</v>
      </c>
      <c r="C1280" t="s">
        <v>59</v>
      </c>
      <c r="D1280" t="s">
        <v>38</v>
      </c>
      <c r="E1280">
        <v>6.9012294697432296E-3</v>
      </c>
      <c r="F1280">
        <v>6.9012294697432296E-3</v>
      </c>
      <c r="G1280">
        <v>0</v>
      </c>
      <c r="H1280">
        <v>0</v>
      </c>
      <c r="I1280" t="s">
        <v>60</v>
      </c>
    </row>
    <row r="1281" spans="1:9" x14ac:dyDescent="0.35">
      <c r="A1281" t="s">
        <v>19</v>
      </c>
      <c r="B1281">
        <v>2040</v>
      </c>
      <c r="C1281" t="s">
        <v>59</v>
      </c>
      <c r="D1281" t="s">
        <v>40</v>
      </c>
      <c r="E1281">
        <v>4.7473522581238398E-3</v>
      </c>
      <c r="F1281">
        <v>4.7473522581238398E-3</v>
      </c>
      <c r="G1281">
        <v>0</v>
      </c>
      <c r="H1281">
        <v>0</v>
      </c>
      <c r="I1281" t="s">
        <v>60</v>
      </c>
    </row>
    <row r="1282" spans="1:9" x14ac:dyDescent="0.35">
      <c r="A1282" t="s">
        <v>19</v>
      </c>
      <c r="B1282">
        <v>2040</v>
      </c>
      <c r="C1282" t="s">
        <v>59</v>
      </c>
      <c r="D1282" t="s">
        <v>41</v>
      </c>
      <c r="E1282">
        <v>3.0176560990860701E-2</v>
      </c>
      <c r="F1282">
        <v>3.0176560990860701E-2</v>
      </c>
      <c r="G1282">
        <v>0</v>
      </c>
      <c r="H1282">
        <v>0</v>
      </c>
      <c r="I1282" t="s">
        <v>60</v>
      </c>
    </row>
    <row r="1283" spans="1:9" x14ac:dyDescent="0.35">
      <c r="A1283" t="s">
        <v>19</v>
      </c>
      <c r="B1283">
        <v>2040</v>
      </c>
      <c r="C1283" t="s">
        <v>59</v>
      </c>
      <c r="D1283" t="s">
        <v>42</v>
      </c>
      <c r="E1283">
        <v>18.582153671625601</v>
      </c>
      <c r="F1283">
        <v>18.582153671625601</v>
      </c>
      <c r="G1283">
        <v>0</v>
      </c>
      <c r="H1283">
        <v>0</v>
      </c>
      <c r="I1283" t="s">
        <v>60</v>
      </c>
    </row>
    <row r="1284" spans="1:9" x14ac:dyDescent="0.35">
      <c r="A1284" t="s">
        <v>19</v>
      </c>
      <c r="B1284">
        <v>2040</v>
      </c>
      <c r="C1284" t="s">
        <v>59</v>
      </c>
      <c r="D1284" t="s">
        <v>43</v>
      </c>
      <c r="E1284">
        <v>1.20045746328923E-2</v>
      </c>
      <c r="F1284">
        <v>1.20045746328923E-2</v>
      </c>
      <c r="G1284">
        <v>0</v>
      </c>
      <c r="H1284">
        <v>0</v>
      </c>
      <c r="I1284" t="s">
        <v>60</v>
      </c>
    </row>
    <row r="1285" spans="1:9" x14ac:dyDescent="0.35">
      <c r="A1285" t="s">
        <v>19</v>
      </c>
      <c r="B1285">
        <v>2040</v>
      </c>
      <c r="C1285" t="s">
        <v>59</v>
      </c>
      <c r="D1285" t="s">
        <v>136</v>
      </c>
      <c r="E1285">
        <v>5.0998968453028297</v>
      </c>
      <c r="F1285">
        <v>5.0998968453028297</v>
      </c>
      <c r="G1285">
        <v>0</v>
      </c>
      <c r="H1285">
        <v>0</v>
      </c>
      <c r="I1285" t="s">
        <v>60</v>
      </c>
    </row>
    <row r="1286" spans="1:9" x14ac:dyDescent="0.35">
      <c r="A1286" t="s">
        <v>19</v>
      </c>
      <c r="B1286">
        <v>2040</v>
      </c>
      <c r="C1286" t="s">
        <v>59</v>
      </c>
      <c r="D1286" t="s">
        <v>45</v>
      </c>
      <c r="E1286">
        <v>1.3324714694229099E-2</v>
      </c>
      <c r="F1286">
        <v>1.3324714694229099E-2</v>
      </c>
      <c r="G1286">
        <v>0</v>
      </c>
      <c r="H1286">
        <v>0</v>
      </c>
      <c r="I1286" t="s">
        <v>60</v>
      </c>
    </row>
    <row r="1287" spans="1:9" x14ac:dyDescent="0.35">
      <c r="A1287" t="s">
        <v>19</v>
      </c>
      <c r="B1287">
        <v>2040</v>
      </c>
      <c r="C1287" t="s">
        <v>59</v>
      </c>
      <c r="D1287" t="s">
        <v>46</v>
      </c>
      <c r="E1287">
        <v>1.09563440725387</v>
      </c>
      <c r="F1287">
        <v>1.09563440725387</v>
      </c>
      <c r="G1287">
        <v>0</v>
      </c>
      <c r="H1287">
        <v>0</v>
      </c>
      <c r="I1287" t="s">
        <v>60</v>
      </c>
    </row>
    <row r="1288" spans="1:9" x14ac:dyDescent="0.35">
      <c r="A1288" t="s">
        <v>19</v>
      </c>
      <c r="B1288">
        <v>2040</v>
      </c>
      <c r="C1288" t="s">
        <v>59</v>
      </c>
      <c r="D1288" t="s">
        <v>47</v>
      </c>
      <c r="E1288">
        <v>1.2485586088140901E-2</v>
      </c>
      <c r="F1288">
        <v>1.2485586088140901E-2</v>
      </c>
      <c r="G1288">
        <v>0</v>
      </c>
      <c r="H1288">
        <v>0</v>
      </c>
      <c r="I1288" t="s">
        <v>60</v>
      </c>
    </row>
    <row r="1289" spans="1:9" x14ac:dyDescent="0.35">
      <c r="A1289" t="s">
        <v>19</v>
      </c>
      <c r="B1289">
        <v>2040</v>
      </c>
      <c r="C1289" t="s">
        <v>59</v>
      </c>
      <c r="D1289" t="s">
        <v>48</v>
      </c>
      <c r="E1289">
        <v>36.117248655622802</v>
      </c>
      <c r="F1289">
        <v>36.117248655622802</v>
      </c>
      <c r="G1289">
        <v>0</v>
      </c>
      <c r="H1289">
        <v>0</v>
      </c>
      <c r="I1289" t="s">
        <v>60</v>
      </c>
    </row>
    <row r="1290" spans="1:9" x14ac:dyDescent="0.35">
      <c r="A1290" t="s">
        <v>19</v>
      </c>
      <c r="B1290">
        <v>2040</v>
      </c>
      <c r="C1290" t="s">
        <v>59</v>
      </c>
      <c r="D1290" t="s">
        <v>49</v>
      </c>
      <c r="E1290">
        <v>2.96837769190001E-2</v>
      </c>
      <c r="F1290">
        <v>2.96837769190001E-2</v>
      </c>
      <c r="G1290">
        <v>0</v>
      </c>
      <c r="H1290">
        <v>0</v>
      </c>
      <c r="I1290" t="s">
        <v>60</v>
      </c>
    </row>
    <row r="1291" spans="1:9" x14ac:dyDescent="0.35">
      <c r="A1291" t="s">
        <v>19</v>
      </c>
      <c r="B1291">
        <v>2040</v>
      </c>
      <c r="C1291" t="s">
        <v>59</v>
      </c>
      <c r="D1291" t="s">
        <v>50</v>
      </c>
      <c r="E1291">
        <v>0.12512919815564999</v>
      </c>
      <c r="F1291">
        <v>0.12512919815564999</v>
      </c>
      <c r="G1291">
        <v>0</v>
      </c>
      <c r="H1291">
        <v>0</v>
      </c>
      <c r="I1291" t="s">
        <v>60</v>
      </c>
    </row>
    <row r="1292" spans="1:9" x14ac:dyDescent="0.35">
      <c r="A1292" t="s">
        <v>19</v>
      </c>
      <c r="B1292">
        <v>2040</v>
      </c>
      <c r="C1292" t="s">
        <v>59</v>
      </c>
      <c r="D1292" t="s">
        <v>51</v>
      </c>
      <c r="E1292">
        <v>0.53332068031122604</v>
      </c>
      <c r="F1292">
        <v>0.53332068031122604</v>
      </c>
      <c r="G1292">
        <v>0</v>
      </c>
      <c r="H1292">
        <v>0</v>
      </c>
      <c r="I1292" t="s">
        <v>60</v>
      </c>
    </row>
    <row r="1293" spans="1:9" x14ac:dyDescent="0.35">
      <c r="A1293" t="s">
        <v>19</v>
      </c>
      <c r="B1293">
        <v>2040</v>
      </c>
      <c r="C1293" t="s">
        <v>59</v>
      </c>
      <c r="D1293" t="s">
        <v>52</v>
      </c>
      <c r="E1293">
        <v>0.63974903018676599</v>
      </c>
      <c r="F1293">
        <v>0.63974903018676599</v>
      </c>
      <c r="G1293">
        <v>0</v>
      </c>
      <c r="H1293">
        <v>0</v>
      </c>
      <c r="I1293" t="s">
        <v>60</v>
      </c>
    </row>
    <row r="1294" spans="1:9" x14ac:dyDescent="0.35">
      <c r="A1294" t="s">
        <v>19</v>
      </c>
      <c r="B1294">
        <v>2040</v>
      </c>
      <c r="C1294" t="s">
        <v>59</v>
      </c>
      <c r="D1294" t="s">
        <v>53</v>
      </c>
      <c r="E1294">
        <v>1.46924445593634</v>
      </c>
      <c r="F1294">
        <v>1.46924445593634</v>
      </c>
      <c r="G1294">
        <v>0</v>
      </c>
      <c r="H1294">
        <v>0</v>
      </c>
      <c r="I1294" t="s">
        <v>60</v>
      </c>
    </row>
    <row r="1295" spans="1:9" x14ac:dyDescent="0.35">
      <c r="A1295" t="s">
        <v>19</v>
      </c>
      <c r="B1295">
        <v>2040</v>
      </c>
      <c r="C1295" t="s">
        <v>59</v>
      </c>
      <c r="D1295" t="s">
        <v>54</v>
      </c>
      <c r="E1295">
        <v>7.2538818317102498</v>
      </c>
      <c r="F1295">
        <v>7.2538818317102498</v>
      </c>
      <c r="G1295">
        <v>0</v>
      </c>
      <c r="H1295">
        <v>0</v>
      </c>
      <c r="I1295" t="s">
        <v>60</v>
      </c>
    </row>
    <row r="1296" spans="1:9" x14ac:dyDescent="0.35">
      <c r="A1296" t="s">
        <v>19</v>
      </c>
      <c r="B1296">
        <v>2040</v>
      </c>
      <c r="C1296" t="s">
        <v>59</v>
      </c>
      <c r="D1296" t="s">
        <v>55</v>
      </c>
      <c r="E1296">
        <v>6.6340876900858401</v>
      </c>
      <c r="F1296">
        <v>6.6340876900858401</v>
      </c>
      <c r="G1296">
        <v>0</v>
      </c>
      <c r="H1296">
        <v>0</v>
      </c>
      <c r="I1296" t="s">
        <v>60</v>
      </c>
    </row>
    <row r="1297" spans="1:9" x14ac:dyDescent="0.35">
      <c r="A1297" t="s">
        <v>19</v>
      </c>
      <c r="B1297">
        <v>2040</v>
      </c>
      <c r="C1297" t="s">
        <v>59</v>
      </c>
      <c r="D1297" t="s">
        <v>56</v>
      </c>
      <c r="E1297" s="1">
        <v>5.2231864878428205E-7</v>
      </c>
      <c r="F1297" s="1">
        <v>5.2231864878428205E-7</v>
      </c>
      <c r="G1297">
        <v>0</v>
      </c>
      <c r="H1297">
        <v>0</v>
      </c>
      <c r="I1297" t="s">
        <v>60</v>
      </c>
    </row>
    <row r="1298" spans="1:9" x14ac:dyDescent="0.35">
      <c r="A1298" t="s">
        <v>13</v>
      </c>
      <c r="B1298">
        <v>2025</v>
      </c>
      <c r="C1298" t="s">
        <v>63</v>
      </c>
      <c r="D1298" t="s">
        <v>38</v>
      </c>
      <c r="E1298">
        <v>4.0791610115060196E-3</v>
      </c>
      <c r="F1298">
        <v>4.0791610115060196E-3</v>
      </c>
      <c r="G1298">
        <v>0</v>
      </c>
      <c r="H1298">
        <v>0</v>
      </c>
      <c r="I1298" t="s">
        <v>64</v>
      </c>
    </row>
    <row r="1299" spans="1:9" x14ac:dyDescent="0.35">
      <c r="A1299" t="s">
        <v>13</v>
      </c>
      <c r="B1299">
        <v>2025</v>
      </c>
      <c r="C1299" t="s">
        <v>63</v>
      </c>
      <c r="D1299" t="s">
        <v>40</v>
      </c>
      <c r="E1299">
        <v>5.6106736601749696E-4</v>
      </c>
      <c r="F1299">
        <v>5.6106736601749696E-4</v>
      </c>
      <c r="G1299">
        <v>0</v>
      </c>
      <c r="H1299">
        <v>0</v>
      </c>
      <c r="I1299" t="s">
        <v>64</v>
      </c>
    </row>
    <row r="1300" spans="1:9" x14ac:dyDescent="0.35">
      <c r="A1300" t="s">
        <v>13</v>
      </c>
      <c r="B1300">
        <v>2025</v>
      </c>
      <c r="C1300" t="s">
        <v>63</v>
      </c>
      <c r="D1300" t="s">
        <v>41</v>
      </c>
      <c r="E1300">
        <v>4.9297740118644197E-3</v>
      </c>
      <c r="F1300">
        <v>4.9297740118644197E-3</v>
      </c>
      <c r="G1300">
        <v>0</v>
      </c>
      <c r="H1300">
        <v>0</v>
      </c>
      <c r="I1300" t="s">
        <v>64</v>
      </c>
    </row>
    <row r="1301" spans="1:9" x14ac:dyDescent="0.35">
      <c r="A1301" t="s">
        <v>13</v>
      </c>
      <c r="B1301">
        <v>2025</v>
      </c>
      <c r="C1301" t="s">
        <v>63</v>
      </c>
      <c r="D1301" t="s">
        <v>42</v>
      </c>
      <c r="E1301">
        <v>3.23172612733382</v>
      </c>
      <c r="F1301">
        <v>3.23172612733382</v>
      </c>
      <c r="G1301">
        <v>0</v>
      </c>
      <c r="H1301">
        <v>0</v>
      </c>
      <c r="I1301" t="s">
        <v>64</v>
      </c>
    </row>
    <row r="1302" spans="1:9" x14ac:dyDescent="0.35">
      <c r="A1302" t="s">
        <v>13</v>
      </c>
      <c r="B1302">
        <v>2025</v>
      </c>
      <c r="C1302" t="s">
        <v>63</v>
      </c>
      <c r="D1302" t="s">
        <v>43</v>
      </c>
      <c r="E1302">
        <v>1.5634669359767899E-3</v>
      </c>
      <c r="F1302">
        <v>1.5634669359767899E-3</v>
      </c>
      <c r="G1302">
        <v>0</v>
      </c>
      <c r="H1302">
        <v>0</v>
      </c>
      <c r="I1302" t="s">
        <v>64</v>
      </c>
    </row>
    <row r="1303" spans="1:9" x14ac:dyDescent="0.35">
      <c r="A1303" t="s">
        <v>13</v>
      </c>
      <c r="B1303">
        <v>2025</v>
      </c>
      <c r="C1303" t="s">
        <v>63</v>
      </c>
      <c r="D1303" t="s">
        <v>136</v>
      </c>
      <c r="E1303">
        <v>0.89276382480878003</v>
      </c>
      <c r="F1303">
        <v>0.89276382480878003</v>
      </c>
      <c r="G1303">
        <v>0</v>
      </c>
      <c r="H1303">
        <v>0</v>
      </c>
      <c r="I1303" t="s">
        <v>64</v>
      </c>
    </row>
    <row r="1304" spans="1:9" x14ac:dyDescent="0.35">
      <c r="A1304" t="s">
        <v>13</v>
      </c>
      <c r="B1304">
        <v>2025</v>
      </c>
      <c r="C1304" t="s">
        <v>63</v>
      </c>
      <c r="D1304" t="s">
        <v>45</v>
      </c>
      <c r="E1304">
        <v>1.90650189199675E-3</v>
      </c>
      <c r="F1304">
        <v>1.90650189199675E-3</v>
      </c>
      <c r="G1304">
        <v>0</v>
      </c>
      <c r="H1304">
        <v>0</v>
      </c>
      <c r="I1304" t="s">
        <v>64</v>
      </c>
    </row>
    <row r="1305" spans="1:9" x14ac:dyDescent="0.35">
      <c r="A1305" t="s">
        <v>13</v>
      </c>
      <c r="B1305">
        <v>2025</v>
      </c>
      <c r="C1305" t="s">
        <v>63</v>
      </c>
      <c r="D1305" t="s">
        <v>46</v>
      </c>
      <c r="E1305">
        <v>1.46068295220089E-2</v>
      </c>
      <c r="F1305">
        <v>1.46068295220089E-2</v>
      </c>
      <c r="G1305">
        <v>0</v>
      </c>
      <c r="H1305">
        <v>0</v>
      </c>
      <c r="I1305" t="s">
        <v>64</v>
      </c>
    </row>
    <row r="1306" spans="1:9" x14ac:dyDescent="0.35">
      <c r="A1306" t="s">
        <v>13</v>
      </c>
      <c r="B1306">
        <v>2025</v>
      </c>
      <c r="C1306" t="s">
        <v>63</v>
      </c>
      <c r="D1306" t="s">
        <v>47</v>
      </c>
      <c r="E1306">
        <v>2.2759713809199899E-3</v>
      </c>
      <c r="F1306">
        <v>2.2759713809199899E-3</v>
      </c>
      <c r="G1306">
        <v>0</v>
      </c>
      <c r="H1306">
        <v>0</v>
      </c>
      <c r="I1306" t="s">
        <v>64</v>
      </c>
    </row>
    <row r="1307" spans="1:9" x14ac:dyDescent="0.35">
      <c r="A1307" t="s">
        <v>13</v>
      </c>
      <c r="B1307">
        <v>2025</v>
      </c>
      <c r="C1307" t="s">
        <v>63</v>
      </c>
      <c r="D1307" t="s">
        <v>48</v>
      </c>
      <c r="E1307">
        <v>1.0260935982461099</v>
      </c>
      <c r="F1307">
        <v>1.0260935982461099</v>
      </c>
      <c r="G1307">
        <v>0</v>
      </c>
      <c r="H1307">
        <v>0</v>
      </c>
      <c r="I1307" t="s">
        <v>64</v>
      </c>
    </row>
    <row r="1308" spans="1:9" x14ac:dyDescent="0.35">
      <c r="A1308" t="s">
        <v>13</v>
      </c>
      <c r="B1308">
        <v>2025</v>
      </c>
      <c r="C1308" t="s">
        <v>63</v>
      </c>
      <c r="D1308" t="s">
        <v>49</v>
      </c>
      <c r="E1308">
        <v>4.8995034762080898E-3</v>
      </c>
      <c r="F1308">
        <v>4.8995034762080898E-3</v>
      </c>
      <c r="G1308">
        <v>0</v>
      </c>
      <c r="H1308">
        <v>0</v>
      </c>
      <c r="I1308" t="s">
        <v>64</v>
      </c>
    </row>
    <row r="1309" spans="1:9" x14ac:dyDescent="0.35">
      <c r="A1309" t="s">
        <v>13</v>
      </c>
      <c r="B1309">
        <v>2025</v>
      </c>
      <c r="C1309" t="s">
        <v>63</v>
      </c>
      <c r="D1309" t="s">
        <v>50</v>
      </c>
      <c r="E1309">
        <v>1.09573569745049E-3</v>
      </c>
      <c r="F1309">
        <v>1.09573569745049E-3</v>
      </c>
      <c r="G1309">
        <v>0</v>
      </c>
      <c r="H1309">
        <v>0</v>
      </c>
      <c r="I1309" t="s">
        <v>64</v>
      </c>
    </row>
    <row r="1310" spans="1:9" x14ac:dyDescent="0.35">
      <c r="A1310" t="s">
        <v>13</v>
      </c>
      <c r="B1310">
        <v>2025</v>
      </c>
      <c r="C1310" t="s">
        <v>63</v>
      </c>
      <c r="D1310" t="s">
        <v>51</v>
      </c>
      <c r="E1310">
        <v>5.4716493454832697E-2</v>
      </c>
      <c r="F1310">
        <v>5.4716493454832697E-2</v>
      </c>
      <c r="G1310">
        <v>0</v>
      </c>
      <c r="H1310">
        <v>0</v>
      </c>
      <c r="I1310" t="s">
        <v>64</v>
      </c>
    </row>
    <row r="1311" spans="1:9" x14ac:dyDescent="0.35">
      <c r="A1311" t="s">
        <v>13</v>
      </c>
      <c r="B1311">
        <v>2025</v>
      </c>
      <c r="C1311" t="s">
        <v>63</v>
      </c>
      <c r="D1311" t="s">
        <v>52</v>
      </c>
      <c r="E1311">
        <v>2.1982492891318799E-2</v>
      </c>
      <c r="F1311">
        <v>2.1982492891318799E-2</v>
      </c>
      <c r="G1311">
        <v>0</v>
      </c>
      <c r="H1311">
        <v>0</v>
      </c>
      <c r="I1311" t="s">
        <v>64</v>
      </c>
    </row>
    <row r="1312" spans="1:9" x14ac:dyDescent="0.35">
      <c r="A1312" t="s">
        <v>13</v>
      </c>
      <c r="B1312">
        <v>2025</v>
      </c>
      <c r="C1312" t="s">
        <v>63</v>
      </c>
      <c r="D1312" t="s">
        <v>53</v>
      </c>
      <c r="E1312">
        <v>0.251052006302596</v>
      </c>
      <c r="F1312">
        <v>0.251052006302596</v>
      </c>
      <c r="G1312">
        <v>0</v>
      </c>
      <c r="H1312">
        <v>0</v>
      </c>
      <c r="I1312" t="s">
        <v>64</v>
      </c>
    </row>
    <row r="1313" spans="1:9" x14ac:dyDescent="0.35">
      <c r="A1313" t="s">
        <v>13</v>
      </c>
      <c r="B1313">
        <v>2025</v>
      </c>
      <c r="C1313" t="s">
        <v>63</v>
      </c>
      <c r="D1313" t="s">
        <v>54</v>
      </c>
      <c r="E1313">
        <v>1.50060945916015</v>
      </c>
      <c r="F1313">
        <v>1.50060945916015</v>
      </c>
      <c r="G1313">
        <v>0</v>
      </c>
      <c r="H1313">
        <v>0</v>
      </c>
      <c r="I1313" t="s">
        <v>64</v>
      </c>
    </row>
    <row r="1314" spans="1:9" x14ac:dyDescent="0.35">
      <c r="A1314" t="s">
        <v>13</v>
      </c>
      <c r="B1314">
        <v>2025</v>
      </c>
      <c r="C1314" t="s">
        <v>63</v>
      </c>
      <c r="D1314" t="s">
        <v>55</v>
      </c>
      <c r="E1314">
        <v>1.6166519000025401</v>
      </c>
      <c r="F1314">
        <v>1.6166519000025401</v>
      </c>
      <c r="G1314">
        <v>0</v>
      </c>
      <c r="H1314">
        <v>0</v>
      </c>
      <c r="I1314" t="s">
        <v>64</v>
      </c>
    </row>
    <row r="1315" spans="1:9" x14ac:dyDescent="0.35">
      <c r="A1315" t="s">
        <v>13</v>
      </c>
      <c r="B1315">
        <v>2025</v>
      </c>
      <c r="C1315" t="s">
        <v>63</v>
      </c>
      <c r="D1315" t="s">
        <v>56</v>
      </c>
      <c r="E1315" s="1">
        <v>6.0526591597211202E-8</v>
      </c>
      <c r="F1315" s="1">
        <v>6.0526591597211202E-8</v>
      </c>
      <c r="G1315">
        <v>0</v>
      </c>
      <c r="H1315">
        <v>0</v>
      </c>
      <c r="I1315" t="s">
        <v>64</v>
      </c>
    </row>
    <row r="1316" spans="1:9" x14ac:dyDescent="0.35">
      <c r="A1316" t="s">
        <v>15</v>
      </c>
      <c r="B1316">
        <v>2030</v>
      </c>
      <c r="C1316" t="s">
        <v>63</v>
      </c>
      <c r="D1316" t="s">
        <v>38</v>
      </c>
      <c r="E1316">
        <v>4.0803831213500402E-3</v>
      </c>
      <c r="F1316">
        <v>1.17675035868207E-3</v>
      </c>
      <c r="G1316">
        <v>-2.9036327626679702E-3</v>
      </c>
      <c r="H1316">
        <v>-71.160787512209595</v>
      </c>
      <c r="I1316" t="s">
        <v>64</v>
      </c>
    </row>
    <row r="1317" spans="1:9" x14ac:dyDescent="0.35">
      <c r="A1317" t="s">
        <v>15</v>
      </c>
      <c r="B1317">
        <v>2030</v>
      </c>
      <c r="C1317" t="s">
        <v>63</v>
      </c>
      <c r="D1317" t="s">
        <v>40</v>
      </c>
      <c r="E1317">
        <v>5.6056430070921496E-4</v>
      </c>
      <c r="F1317">
        <v>5.6056430070921496E-4</v>
      </c>
      <c r="G1317">
        <v>0</v>
      </c>
      <c r="H1317">
        <v>0</v>
      </c>
      <c r="I1317" t="s">
        <v>64</v>
      </c>
    </row>
    <row r="1318" spans="1:9" x14ac:dyDescent="0.35">
      <c r="A1318" t="s">
        <v>15</v>
      </c>
      <c r="B1318">
        <v>2030</v>
      </c>
      <c r="C1318" t="s">
        <v>63</v>
      </c>
      <c r="D1318" t="s">
        <v>41</v>
      </c>
      <c r="E1318">
        <v>4.9203792678853197E-3</v>
      </c>
      <c r="F1318">
        <v>2.17242224632865E-3</v>
      </c>
      <c r="G1318">
        <v>-2.7479570215566602E-3</v>
      </c>
      <c r="H1318">
        <v>-55.848479800982503</v>
      </c>
      <c r="I1318" t="s">
        <v>64</v>
      </c>
    </row>
    <row r="1319" spans="1:9" x14ac:dyDescent="0.35">
      <c r="A1319" t="s">
        <v>15</v>
      </c>
      <c r="B1319">
        <v>2030</v>
      </c>
      <c r="C1319" t="s">
        <v>63</v>
      </c>
      <c r="D1319" t="s">
        <v>42</v>
      </c>
      <c r="E1319">
        <v>3.23115210462394</v>
      </c>
      <c r="F1319">
        <v>3.18986692984967</v>
      </c>
      <c r="G1319">
        <v>-4.1285174774268997E-2</v>
      </c>
      <c r="H1319">
        <v>-1.27772303616372</v>
      </c>
      <c r="I1319" t="s">
        <v>64</v>
      </c>
    </row>
    <row r="1320" spans="1:9" x14ac:dyDescent="0.35">
      <c r="A1320" t="s">
        <v>15</v>
      </c>
      <c r="B1320">
        <v>2030</v>
      </c>
      <c r="C1320" t="s">
        <v>63</v>
      </c>
      <c r="D1320" t="s">
        <v>43</v>
      </c>
      <c r="E1320">
        <v>1.5606440718061599E-3</v>
      </c>
      <c r="F1320">
        <v>6.0042711176926599E-4</v>
      </c>
      <c r="G1320">
        <v>-9.6021696003689304E-4</v>
      </c>
      <c r="H1320">
        <v>-61.526966807083497</v>
      </c>
      <c r="I1320" t="s">
        <v>64</v>
      </c>
    </row>
    <row r="1321" spans="1:9" x14ac:dyDescent="0.35">
      <c r="A1321" t="s">
        <v>15</v>
      </c>
      <c r="B1321">
        <v>2030</v>
      </c>
      <c r="C1321" t="s">
        <v>63</v>
      </c>
      <c r="D1321" t="s">
        <v>136</v>
      </c>
      <c r="E1321">
        <v>0.89048876648767705</v>
      </c>
      <c r="F1321">
        <v>0.61644093531243904</v>
      </c>
      <c r="G1321">
        <v>-0.27404783117523701</v>
      </c>
      <c r="H1321">
        <v>-30.774990262499799</v>
      </c>
      <c r="I1321" t="s">
        <v>64</v>
      </c>
    </row>
    <row r="1322" spans="1:9" x14ac:dyDescent="0.35">
      <c r="A1322" t="s">
        <v>15</v>
      </c>
      <c r="B1322">
        <v>2030</v>
      </c>
      <c r="C1322" t="s">
        <v>63</v>
      </c>
      <c r="D1322" t="s">
        <v>45</v>
      </c>
      <c r="E1322">
        <v>1.8793058677352001E-3</v>
      </c>
      <c r="F1322">
        <v>7.6733659617990099E-4</v>
      </c>
      <c r="G1322">
        <v>-1.1119692715552999E-3</v>
      </c>
      <c r="H1322">
        <v>-59.169148069300803</v>
      </c>
      <c r="I1322" t="s">
        <v>64</v>
      </c>
    </row>
    <row r="1323" spans="1:9" x14ac:dyDescent="0.35">
      <c r="A1323" t="s">
        <v>15</v>
      </c>
      <c r="B1323">
        <v>2030</v>
      </c>
      <c r="C1323" t="s">
        <v>63</v>
      </c>
      <c r="D1323" t="s">
        <v>46</v>
      </c>
      <c r="E1323">
        <v>1.4979468770355E-2</v>
      </c>
      <c r="F1323">
        <v>1.4979468770355E-2</v>
      </c>
      <c r="G1323">
        <v>0</v>
      </c>
      <c r="H1323">
        <v>0</v>
      </c>
      <c r="I1323" t="s">
        <v>64</v>
      </c>
    </row>
    <row r="1324" spans="1:9" x14ac:dyDescent="0.35">
      <c r="A1324" t="s">
        <v>15</v>
      </c>
      <c r="B1324">
        <v>2030</v>
      </c>
      <c r="C1324" t="s">
        <v>63</v>
      </c>
      <c r="D1324" t="s">
        <v>47</v>
      </c>
      <c r="E1324">
        <v>2.2752822430011799E-3</v>
      </c>
      <c r="F1324">
        <v>2.2752822430011799E-3</v>
      </c>
      <c r="G1324">
        <v>0</v>
      </c>
      <c r="H1324">
        <v>0</v>
      </c>
      <c r="I1324" t="s">
        <v>64</v>
      </c>
    </row>
    <row r="1325" spans="1:9" x14ac:dyDescent="0.35">
      <c r="A1325" t="s">
        <v>15</v>
      </c>
      <c r="B1325">
        <v>2030</v>
      </c>
      <c r="C1325" t="s">
        <v>63</v>
      </c>
      <c r="D1325" t="s">
        <v>48</v>
      </c>
      <c r="E1325">
        <v>1.02603468682433</v>
      </c>
      <c r="F1325">
        <v>1.02603468682433</v>
      </c>
      <c r="G1325">
        <v>0</v>
      </c>
      <c r="H1325">
        <v>0</v>
      </c>
      <c r="I1325" t="s">
        <v>64</v>
      </c>
    </row>
    <row r="1326" spans="1:9" x14ac:dyDescent="0.35">
      <c r="A1326" t="s">
        <v>15</v>
      </c>
      <c r="B1326">
        <v>2030</v>
      </c>
      <c r="C1326" t="s">
        <v>63</v>
      </c>
      <c r="D1326" t="s">
        <v>49</v>
      </c>
      <c r="E1326">
        <v>4.8886176216131798E-3</v>
      </c>
      <c r="F1326">
        <v>1.78042490961532E-3</v>
      </c>
      <c r="G1326">
        <v>-3.10819271199786E-3</v>
      </c>
      <c r="H1326">
        <v>-63.580196950895797</v>
      </c>
      <c r="I1326" t="s">
        <v>64</v>
      </c>
    </row>
    <row r="1327" spans="1:9" x14ac:dyDescent="0.35">
      <c r="A1327" t="s">
        <v>15</v>
      </c>
      <c r="B1327">
        <v>2030</v>
      </c>
      <c r="C1327" t="s">
        <v>63</v>
      </c>
      <c r="D1327" t="s">
        <v>50</v>
      </c>
      <c r="E1327">
        <v>1.09625677166921E-3</v>
      </c>
      <c r="F1327">
        <v>1.09625677166921E-3</v>
      </c>
      <c r="G1327">
        <v>0</v>
      </c>
      <c r="H1327">
        <v>0</v>
      </c>
      <c r="I1327" t="s">
        <v>64</v>
      </c>
    </row>
    <row r="1328" spans="1:9" x14ac:dyDescent="0.35">
      <c r="A1328" t="s">
        <v>15</v>
      </c>
      <c r="B1328">
        <v>2030</v>
      </c>
      <c r="C1328" t="s">
        <v>63</v>
      </c>
      <c r="D1328" t="s">
        <v>51</v>
      </c>
      <c r="E1328">
        <v>5.4734412653928199E-2</v>
      </c>
      <c r="F1328">
        <v>5.4734412653928199E-2</v>
      </c>
      <c r="G1328">
        <v>0</v>
      </c>
      <c r="H1328">
        <v>0</v>
      </c>
      <c r="I1328" t="s">
        <v>64</v>
      </c>
    </row>
    <row r="1329" spans="1:9" x14ac:dyDescent="0.35">
      <c r="A1329" t="s">
        <v>15</v>
      </c>
      <c r="B1329">
        <v>2030</v>
      </c>
      <c r="C1329" t="s">
        <v>63</v>
      </c>
      <c r="D1329" t="s">
        <v>52</v>
      </c>
      <c r="E1329">
        <v>2.18443192957339E-2</v>
      </c>
      <c r="F1329">
        <v>2.18443192957339E-2</v>
      </c>
      <c r="G1329">
        <v>0</v>
      </c>
      <c r="H1329">
        <v>0</v>
      </c>
      <c r="I1329" t="s">
        <v>64</v>
      </c>
    </row>
    <row r="1330" spans="1:9" x14ac:dyDescent="0.35">
      <c r="A1330" t="s">
        <v>15</v>
      </c>
      <c r="B1330">
        <v>2030</v>
      </c>
      <c r="C1330" t="s">
        <v>63</v>
      </c>
      <c r="D1330" t="s">
        <v>53</v>
      </c>
      <c r="E1330">
        <v>0.250457317687798</v>
      </c>
      <c r="F1330">
        <v>0.250457317687798</v>
      </c>
      <c r="G1330">
        <v>0</v>
      </c>
      <c r="H1330">
        <v>0</v>
      </c>
      <c r="I1330" t="s">
        <v>64</v>
      </c>
    </row>
    <row r="1331" spans="1:9" x14ac:dyDescent="0.35">
      <c r="A1331" t="s">
        <v>15</v>
      </c>
      <c r="B1331">
        <v>2030</v>
      </c>
      <c r="C1331" t="s">
        <v>63</v>
      </c>
      <c r="D1331" t="s">
        <v>54</v>
      </c>
      <c r="E1331">
        <v>1.5006261836736901</v>
      </c>
      <c r="F1331">
        <v>1.4992750114817299</v>
      </c>
      <c r="G1331">
        <v>-1.3511721919587901E-3</v>
      </c>
      <c r="H1331">
        <v>-9.0040558178918206E-2</v>
      </c>
      <c r="I1331" t="s">
        <v>64</v>
      </c>
    </row>
    <row r="1332" spans="1:9" x14ac:dyDescent="0.35">
      <c r="A1332" t="s">
        <v>15</v>
      </c>
      <c r="B1332">
        <v>2030</v>
      </c>
      <c r="C1332" t="s">
        <v>63</v>
      </c>
      <c r="D1332" t="s">
        <v>55</v>
      </c>
      <c r="E1332">
        <v>1.6166632867847299</v>
      </c>
      <c r="F1332">
        <v>1.4380753031569999</v>
      </c>
      <c r="G1332">
        <v>-0.17858798362772901</v>
      </c>
      <c r="H1332">
        <v>-11.046702494426601</v>
      </c>
      <c r="I1332" t="s">
        <v>64</v>
      </c>
    </row>
    <row r="1333" spans="1:9" x14ac:dyDescent="0.35">
      <c r="A1333" t="s">
        <v>15</v>
      </c>
      <c r="B1333">
        <v>2030</v>
      </c>
      <c r="C1333" t="s">
        <v>63</v>
      </c>
      <c r="D1333" t="s">
        <v>56</v>
      </c>
      <c r="E1333" s="1">
        <v>6.0233132792207797E-8</v>
      </c>
      <c r="F1333" s="1">
        <v>6.0233132792207797E-8</v>
      </c>
      <c r="G1333">
        <v>0</v>
      </c>
      <c r="H1333">
        <v>0</v>
      </c>
      <c r="I1333" t="s">
        <v>64</v>
      </c>
    </row>
    <row r="1334" spans="1:9" x14ac:dyDescent="0.35">
      <c r="A1334" t="s">
        <v>17</v>
      </c>
      <c r="B1334">
        <v>2035</v>
      </c>
      <c r="C1334" t="s">
        <v>63</v>
      </c>
      <c r="D1334" t="s">
        <v>38</v>
      </c>
      <c r="E1334">
        <v>4.0859351168366599E-3</v>
      </c>
      <c r="F1334">
        <v>3.3517817117418502E-3</v>
      </c>
      <c r="G1334">
        <v>-7.3415340509481401E-4</v>
      </c>
      <c r="H1334">
        <v>-17.967818482227699</v>
      </c>
      <c r="I1334" t="s">
        <v>64</v>
      </c>
    </row>
    <row r="1335" spans="1:9" x14ac:dyDescent="0.35">
      <c r="A1335" t="s">
        <v>17</v>
      </c>
      <c r="B1335">
        <v>2035</v>
      </c>
      <c r="C1335" t="s">
        <v>63</v>
      </c>
      <c r="D1335" t="s">
        <v>40</v>
      </c>
      <c r="E1335">
        <v>5.6001110228355903E-4</v>
      </c>
      <c r="F1335">
        <v>5.6001110228355903E-4</v>
      </c>
      <c r="G1335">
        <v>0</v>
      </c>
      <c r="H1335">
        <v>0</v>
      </c>
      <c r="I1335" t="s">
        <v>64</v>
      </c>
    </row>
    <row r="1336" spans="1:9" x14ac:dyDescent="0.35">
      <c r="A1336" t="s">
        <v>17</v>
      </c>
      <c r="B1336">
        <v>2035</v>
      </c>
      <c r="C1336" t="s">
        <v>63</v>
      </c>
      <c r="D1336" t="s">
        <v>41</v>
      </c>
      <c r="E1336">
        <v>4.9166587485224202E-3</v>
      </c>
      <c r="F1336">
        <v>4.1857036130190303E-3</v>
      </c>
      <c r="G1336">
        <v>-7.3095513550338904E-4</v>
      </c>
      <c r="H1336">
        <v>-14.866908054643</v>
      </c>
      <c r="I1336" t="s">
        <v>64</v>
      </c>
    </row>
    <row r="1337" spans="1:9" x14ac:dyDescent="0.35">
      <c r="A1337" t="s">
        <v>17</v>
      </c>
      <c r="B1337">
        <v>2035</v>
      </c>
      <c r="C1337" t="s">
        <v>63</v>
      </c>
      <c r="D1337" t="s">
        <v>42</v>
      </c>
      <c r="E1337">
        <v>3.2311184045813901</v>
      </c>
      <c r="F1337">
        <v>3.2206798762092199</v>
      </c>
      <c r="G1337">
        <v>-1.0438528372171E-2</v>
      </c>
      <c r="H1337">
        <v>-0.32306239094705702</v>
      </c>
      <c r="I1337" t="s">
        <v>64</v>
      </c>
    </row>
    <row r="1338" spans="1:9" x14ac:dyDescent="0.35">
      <c r="A1338" t="s">
        <v>17</v>
      </c>
      <c r="B1338">
        <v>2035</v>
      </c>
      <c r="C1338" t="s">
        <v>63</v>
      </c>
      <c r="D1338" t="s">
        <v>43</v>
      </c>
      <c r="E1338">
        <v>1.5610283486440901E-3</v>
      </c>
      <c r="F1338">
        <v>1.2993386680350599E-3</v>
      </c>
      <c r="G1338">
        <v>-2.6168968060903702E-4</v>
      </c>
      <c r="H1338">
        <v>-16.763928780431101</v>
      </c>
      <c r="I1338" t="s">
        <v>64</v>
      </c>
    </row>
    <row r="1339" spans="1:9" x14ac:dyDescent="0.35">
      <c r="A1339" t="s">
        <v>17</v>
      </c>
      <c r="B1339">
        <v>2035</v>
      </c>
      <c r="C1339" t="s">
        <v>63</v>
      </c>
      <c r="D1339" t="s">
        <v>136</v>
      </c>
      <c r="E1339">
        <v>0.88935707531549302</v>
      </c>
      <c r="F1339">
        <v>0.85085010871075895</v>
      </c>
      <c r="G1339">
        <v>-3.8506966604734599E-2</v>
      </c>
      <c r="H1339">
        <v>-4.3297532198835302</v>
      </c>
      <c r="I1339" t="s">
        <v>64</v>
      </c>
    </row>
    <row r="1340" spans="1:9" x14ac:dyDescent="0.35">
      <c r="A1340" t="s">
        <v>17</v>
      </c>
      <c r="B1340">
        <v>2035</v>
      </c>
      <c r="C1340" t="s">
        <v>63</v>
      </c>
      <c r="D1340" t="s">
        <v>45</v>
      </c>
      <c r="E1340">
        <v>1.8665171372732399E-3</v>
      </c>
      <c r="F1340">
        <v>1.56669279320717E-3</v>
      </c>
      <c r="G1340">
        <v>-2.9982434406607399E-4</v>
      </c>
      <c r="H1340">
        <v>-16.063305183689899</v>
      </c>
      <c r="I1340" t="s">
        <v>64</v>
      </c>
    </row>
    <row r="1341" spans="1:9" x14ac:dyDescent="0.35">
      <c r="A1341" t="s">
        <v>17</v>
      </c>
      <c r="B1341">
        <v>2035</v>
      </c>
      <c r="C1341" t="s">
        <v>63</v>
      </c>
      <c r="D1341" t="s">
        <v>46</v>
      </c>
      <c r="E1341">
        <v>1.6090456102872502E-2</v>
      </c>
      <c r="F1341">
        <v>1.6090456102872502E-2</v>
      </c>
      <c r="G1341">
        <v>0</v>
      </c>
      <c r="H1341">
        <v>0</v>
      </c>
      <c r="I1341" t="s">
        <v>64</v>
      </c>
    </row>
    <row r="1342" spans="1:9" x14ac:dyDescent="0.35">
      <c r="A1342" t="s">
        <v>17</v>
      </c>
      <c r="B1342">
        <v>2035</v>
      </c>
      <c r="C1342" t="s">
        <v>63</v>
      </c>
      <c r="D1342" t="s">
        <v>47</v>
      </c>
      <c r="E1342">
        <v>2.2751406823673802E-3</v>
      </c>
      <c r="F1342">
        <v>2.2751406823673802E-3</v>
      </c>
      <c r="G1342">
        <v>0</v>
      </c>
      <c r="H1342">
        <v>0</v>
      </c>
      <c r="I1342" t="s">
        <v>64</v>
      </c>
    </row>
    <row r="1343" spans="1:9" x14ac:dyDescent="0.35">
      <c r="A1343" t="s">
        <v>17</v>
      </c>
      <c r="B1343">
        <v>2035</v>
      </c>
      <c r="C1343" t="s">
        <v>63</v>
      </c>
      <c r="D1343" t="s">
        <v>48</v>
      </c>
      <c r="E1343">
        <v>1.0259418129464</v>
      </c>
      <c r="F1343">
        <v>1.0259418129464</v>
      </c>
      <c r="G1343">
        <v>0</v>
      </c>
      <c r="H1343">
        <v>0</v>
      </c>
      <c r="I1343" t="s">
        <v>64</v>
      </c>
    </row>
    <row r="1344" spans="1:9" x14ac:dyDescent="0.35">
      <c r="A1344" t="s">
        <v>17</v>
      </c>
      <c r="B1344">
        <v>2035</v>
      </c>
      <c r="C1344" t="s">
        <v>63</v>
      </c>
      <c r="D1344" t="s">
        <v>49</v>
      </c>
      <c r="E1344">
        <v>4.8838657268634204E-3</v>
      </c>
      <c r="F1344">
        <v>4.0308679145819202E-3</v>
      </c>
      <c r="G1344">
        <v>-8.5299781228149497E-4</v>
      </c>
      <c r="H1344">
        <v>-17.465627844549999</v>
      </c>
      <c r="I1344" t="s">
        <v>64</v>
      </c>
    </row>
    <row r="1345" spans="1:9" x14ac:dyDescent="0.35">
      <c r="A1345" t="s">
        <v>17</v>
      </c>
      <c r="B1345">
        <v>2035</v>
      </c>
      <c r="C1345" t="s">
        <v>63</v>
      </c>
      <c r="D1345" t="s">
        <v>50</v>
      </c>
      <c r="E1345">
        <v>1.1157751342095899E-3</v>
      </c>
      <c r="F1345">
        <v>1.1157751342095899E-3</v>
      </c>
      <c r="G1345">
        <v>0</v>
      </c>
      <c r="H1345">
        <v>0</v>
      </c>
      <c r="I1345" t="s">
        <v>64</v>
      </c>
    </row>
    <row r="1346" spans="1:9" x14ac:dyDescent="0.35">
      <c r="A1346" t="s">
        <v>17</v>
      </c>
      <c r="B1346">
        <v>2035</v>
      </c>
      <c r="C1346" t="s">
        <v>63</v>
      </c>
      <c r="D1346" t="s">
        <v>51</v>
      </c>
      <c r="E1346">
        <v>5.4779052802040498E-2</v>
      </c>
      <c r="F1346">
        <v>5.4779052802040498E-2</v>
      </c>
      <c r="G1346">
        <v>0</v>
      </c>
      <c r="H1346">
        <v>0</v>
      </c>
      <c r="I1346" t="s">
        <v>64</v>
      </c>
    </row>
    <row r="1347" spans="1:9" x14ac:dyDescent="0.35">
      <c r="A1347" t="s">
        <v>17</v>
      </c>
      <c r="B1347">
        <v>2035</v>
      </c>
      <c r="C1347" t="s">
        <v>63</v>
      </c>
      <c r="D1347" t="s">
        <v>52</v>
      </c>
      <c r="E1347">
        <v>2.1660405070959399E-2</v>
      </c>
      <c r="F1347">
        <v>2.1660405070959399E-2</v>
      </c>
      <c r="G1347">
        <v>0</v>
      </c>
      <c r="H1347">
        <v>0</v>
      </c>
      <c r="I1347" t="s">
        <v>64</v>
      </c>
    </row>
    <row r="1348" spans="1:9" x14ac:dyDescent="0.35">
      <c r="A1348" t="s">
        <v>17</v>
      </c>
      <c r="B1348">
        <v>2035</v>
      </c>
      <c r="C1348" t="s">
        <v>63</v>
      </c>
      <c r="D1348" t="s">
        <v>53</v>
      </c>
      <c r="E1348">
        <v>0.250088723081063</v>
      </c>
      <c r="F1348">
        <v>0.250088723081063</v>
      </c>
      <c r="G1348">
        <v>0</v>
      </c>
      <c r="H1348">
        <v>0</v>
      </c>
      <c r="I1348" t="s">
        <v>64</v>
      </c>
    </row>
    <row r="1349" spans="1:9" x14ac:dyDescent="0.35">
      <c r="A1349" t="s">
        <v>17</v>
      </c>
      <c r="B1349">
        <v>2035</v>
      </c>
      <c r="C1349" t="s">
        <v>63</v>
      </c>
      <c r="D1349" t="s">
        <v>54</v>
      </c>
      <c r="E1349">
        <v>1.5006538181603899</v>
      </c>
      <c r="F1349">
        <v>1.5003121882850601</v>
      </c>
      <c r="G1349">
        <v>-3.4162987533559099E-4</v>
      </c>
      <c r="H1349">
        <v>-2.2765402066839399E-2</v>
      </c>
      <c r="I1349" t="s">
        <v>64</v>
      </c>
    </row>
    <row r="1350" spans="1:9" x14ac:dyDescent="0.35">
      <c r="A1350" t="s">
        <v>17</v>
      </c>
      <c r="B1350">
        <v>2035</v>
      </c>
      <c r="C1350" t="s">
        <v>63</v>
      </c>
      <c r="D1350" t="s">
        <v>55</v>
      </c>
      <c r="E1350">
        <v>1.61668600337849</v>
      </c>
      <c r="F1350">
        <v>1.57153188575752</v>
      </c>
      <c r="G1350">
        <v>-4.5154117620963899E-2</v>
      </c>
      <c r="H1350">
        <v>-2.7930047966396998</v>
      </c>
      <c r="I1350" t="s">
        <v>64</v>
      </c>
    </row>
    <row r="1351" spans="1:9" x14ac:dyDescent="0.35">
      <c r="A1351" t="s">
        <v>17</v>
      </c>
      <c r="B1351">
        <v>2035</v>
      </c>
      <c r="C1351" t="s">
        <v>63</v>
      </c>
      <c r="D1351" t="s">
        <v>56</v>
      </c>
      <c r="E1351" s="1">
        <v>5.9964086910184998E-8</v>
      </c>
      <c r="F1351" s="1">
        <v>5.9964086910184998E-8</v>
      </c>
      <c r="G1351">
        <v>0</v>
      </c>
      <c r="H1351">
        <v>0</v>
      </c>
      <c r="I1351" t="s">
        <v>64</v>
      </c>
    </row>
    <row r="1352" spans="1:9" x14ac:dyDescent="0.35">
      <c r="A1352" t="s">
        <v>19</v>
      </c>
      <c r="B1352">
        <v>2040</v>
      </c>
      <c r="C1352" t="s">
        <v>63</v>
      </c>
      <c r="D1352" t="s">
        <v>38</v>
      </c>
      <c r="E1352">
        <v>4.0948991945050899E-3</v>
      </c>
      <c r="F1352">
        <v>4.5711248123688202E-4</v>
      </c>
      <c r="G1352">
        <v>-3.6377867132682102E-3</v>
      </c>
      <c r="H1352">
        <v>-88.837027249650504</v>
      </c>
      <c r="I1352" t="s">
        <v>64</v>
      </c>
    </row>
    <row r="1353" spans="1:9" x14ac:dyDescent="0.35">
      <c r="A1353" t="s">
        <v>19</v>
      </c>
      <c r="B1353">
        <v>2040</v>
      </c>
      <c r="C1353" t="s">
        <v>63</v>
      </c>
      <c r="D1353" t="s">
        <v>40</v>
      </c>
      <c r="E1353">
        <v>5.5940160915044597E-4</v>
      </c>
      <c r="F1353">
        <v>5.5940160915044597E-4</v>
      </c>
      <c r="G1353">
        <v>0</v>
      </c>
      <c r="H1353">
        <v>0</v>
      </c>
      <c r="I1353" t="s">
        <v>64</v>
      </c>
    </row>
    <row r="1354" spans="1:9" x14ac:dyDescent="0.35">
      <c r="A1354" t="s">
        <v>19</v>
      </c>
      <c r="B1354">
        <v>2040</v>
      </c>
      <c r="C1354" t="s">
        <v>63</v>
      </c>
      <c r="D1354" t="s">
        <v>41</v>
      </c>
      <c r="E1354">
        <v>4.9171283967541796E-3</v>
      </c>
      <c r="F1354">
        <v>1.4382156808044901E-3</v>
      </c>
      <c r="G1354">
        <v>-3.47891271594968E-3</v>
      </c>
      <c r="H1354">
        <v>-70.750902462626897</v>
      </c>
      <c r="I1354" t="s">
        <v>64</v>
      </c>
    </row>
    <row r="1355" spans="1:9" x14ac:dyDescent="0.35">
      <c r="A1355" t="s">
        <v>19</v>
      </c>
      <c r="B1355">
        <v>2040</v>
      </c>
      <c r="C1355" t="s">
        <v>63</v>
      </c>
      <c r="D1355" t="s">
        <v>42</v>
      </c>
      <c r="E1355">
        <v>3.2316739031246802</v>
      </c>
      <c r="F1355">
        <v>3.17995019233051</v>
      </c>
      <c r="G1355">
        <v>-5.1723710794170097E-2</v>
      </c>
      <c r="H1355">
        <v>-1.60052382587732</v>
      </c>
      <c r="I1355" t="s">
        <v>64</v>
      </c>
    </row>
    <row r="1356" spans="1:9" x14ac:dyDescent="0.35">
      <c r="A1356" t="s">
        <v>19</v>
      </c>
      <c r="B1356">
        <v>2040</v>
      </c>
      <c r="C1356" t="s">
        <v>63</v>
      </c>
      <c r="D1356" t="s">
        <v>43</v>
      </c>
      <c r="E1356">
        <v>1.5635367578016601E-3</v>
      </c>
      <c r="F1356">
        <v>3.4162991841448599E-4</v>
      </c>
      <c r="G1356">
        <v>-1.22190683938717E-3</v>
      </c>
      <c r="H1356">
        <v>-78.150183121065893</v>
      </c>
      <c r="I1356" t="s">
        <v>64</v>
      </c>
    </row>
    <row r="1357" spans="1:9" x14ac:dyDescent="0.35">
      <c r="A1357" t="s">
        <v>19</v>
      </c>
      <c r="B1357">
        <v>2040</v>
      </c>
      <c r="C1357" t="s">
        <v>63</v>
      </c>
      <c r="D1357" t="s">
        <v>136</v>
      </c>
      <c r="E1357">
        <v>0.88947159593671998</v>
      </c>
      <c r="F1357">
        <v>0.57689272399039604</v>
      </c>
      <c r="G1357">
        <v>-0.312578871946323</v>
      </c>
      <c r="H1357">
        <v>-35.142085860216802</v>
      </c>
      <c r="I1357" t="s">
        <v>64</v>
      </c>
    </row>
    <row r="1358" spans="1:9" x14ac:dyDescent="0.35">
      <c r="A1358" t="s">
        <v>19</v>
      </c>
      <c r="B1358">
        <v>2040</v>
      </c>
      <c r="C1358" t="s">
        <v>63</v>
      </c>
      <c r="D1358" t="s">
        <v>45</v>
      </c>
      <c r="E1358">
        <v>1.8613923010287301E-3</v>
      </c>
      <c r="F1358">
        <v>4.4959848683290401E-4</v>
      </c>
      <c r="G1358">
        <v>-1.4117938141958301E-3</v>
      </c>
      <c r="H1358">
        <v>-75.846118704561903</v>
      </c>
      <c r="I1358" t="s">
        <v>64</v>
      </c>
    </row>
    <row r="1359" spans="1:9" x14ac:dyDescent="0.35">
      <c r="A1359" t="s">
        <v>19</v>
      </c>
      <c r="B1359">
        <v>2040</v>
      </c>
      <c r="C1359" t="s">
        <v>63</v>
      </c>
      <c r="D1359" t="s">
        <v>46</v>
      </c>
      <c r="E1359">
        <v>1.75886091278252E-2</v>
      </c>
      <c r="F1359">
        <v>1.75886091278252E-2</v>
      </c>
      <c r="G1359">
        <v>0</v>
      </c>
      <c r="H1359">
        <v>0</v>
      </c>
      <c r="I1359" t="s">
        <v>64</v>
      </c>
    </row>
    <row r="1360" spans="1:9" x14ac:dyDescent="0.35">
      <c r="A1360" t="s">
        <v>19</v>
      </c>
      <c r="B1360">
        <v>2040</v>
      </c>
      <c r="C1360" t="s">
        <v>63</v>
      </c>
      <c r="D1360" t="s">
        <v>47</v>
      </c>
      <c r="E1360">
        <v>2.2757800009593401E-3</v>
      </c>
      <c r="F1360">
        <v>2.2757800009593401E-3</v>
      </c>
      <c r="G1360">
        <v>0</v>
      </c>
      <c r="H1360">
        <v>0</v>
      </c>
      <c r="I1360" t="s">
        <v>64</v>
      </c>
    </row>
    <row r="1361" spans="1:9" x14ac:dyDescent="0.35">
      <c r="A1361" t="s">
        <v>19</v>
      </c>
      <c r="B1361">
        <v>2040</v>
      </c>
      <c r="C1361" t="s">
        <v>63</v>
      </c>
      <c r="D1361" t="s">
        <v>48</v>
      </c>
      <c r="E1361">
        <v>1.0259312725260199</v>
      </c>
      <c r="F1361">
        <v>1.0259312725260199</v>
      </c>
      <c r="G1361">
        <v>0</v>
      </c>
      <c r="H1361">
        <v>0</v>
      </c>
      <c r="I1361" t="s">
        <v>64</v>
      </c>
    </row>
    <row r="1362" spans="1:9" x14ac:dyDescent="0.35">
      <c r="A1362" t="s">
        <v>19</v>
      </c>
      <c r="B1362">
        <v>2040</v>
      </c>
      <c r="C1362" t="s">
        <v>63</v>
      </c>
      <c r="D1362" t="s">
        <v>49</v>
      </c>
      <c r="E1362">
        <v>4.88586551788952E-3</v>
      </c>
      <c r="F1362">
        <v>9.2467445162351799E-4</v>
      </c>
      <c r="G1362">
        <v>-3.9611910662659998E-3</v>
      </c>
      <c r="H1362">
        <v>-81.074500551891205</v>
      </c>
      <c r="I1362" t="s">
        <v>64</v>
      </c>
    </row>
    <row r="1363" spans="1:9" x14ac:dyDescent="0.35">
      <c r="A1363" t="s">
        <v>19</v>
      </c>
      <c r="B1363">
        <v>2040</v>
      </c>
      <c r="C1363" t="s">
        <v>63</v>
      </c>
      <c r="D1363" t="s">
        <v>50</v>
      </c>
      <c r="E1363">
        <v>1.1494216541454399E-3</v>
      </c>
      <c r="F1363">
        <v>1.1494216541454399E-3</v>
      </c>
      <c r="G1363">
        <v>0</v>
      </c>
      <c r="H1363">
        <v>0</v>
      </c>
      <c r="I1363" t="s">
        <v>64</v>
      </c>
    </row>
    <row r="1364" spans="1:9" x14ac:dyDescent="0.35">
      <c r="A1364" t="s">
        <v>19</v>
      </c>
      <c r="B1364">
        <v>2040</v>
      </c>
      <c r="C1364" t="s">
        <v>63</v>
      </c>
      <c r="D1364" t="s">
        <v>51</v>
      </c>
      <c r="E1364">
        <v>5.4838180723234799E-2</v>
      </c>
      <c r="F1364">
        <v>5.4838180723234799E-2</v>
      </c>
      <c r="G1364">
        <v>0</v>
      </c>
      <c r="H1364">
        <v>0</v>
      </c>
      <c r="I1364" t="s">
        <v>64</v>
      </c>
    </row>
    <row r="1365" spans="1:9" x14ac:dyDescent="0.35">
      <c r="A1365" t="s">
        <v>19</v>
      </c>
      <c r="B1365">
        <v>2040</v>
      </c>
      <c r="C1365" t="s">
        <v>63</v>
      </c>
      <c r="D1365" t="s">
        <v>52</v>
      </c>
      <c r="E1365">
        <v>2.1477104000889501E-2</v>
      </c>
      <c r="F1365">
        <v>2.1477104000889501E-2</v>
      </c>
      <c r="G1365">
        <v>0</v>
      </c>
      <c r="H1365">
        <v>0</v>
      </c>
      <c r="I1365" t="s">
        <v>64</v>
      </c>
    </row>
    <row r="1366" spans="1:9" x14ac:dyDescent="0.35">
      <c r="A1366" t="s">
        <v>19</v>
      </c>
      <c r="B1366">
        <v>2040</v>
      </c>
      <c r="C1366" t="s">
        <v>63</v>
      </c>
      <c r="D1366" t="s">
        <v>53</v>
      </c>
      <c r="E1366">
        <v>0.249967857640572</v>
      </c>
      <c r="F1366">
        <v>0.249967857640572</v>
      </c>
      <c r="G1366">
        <v>0</v>
      </c>
      <c r="H1366">
        <v>0</v>
      </c>
      <c r="I1366" t="s">
        <v>64</v>
      </c>
    </row>
    <row r="1367" spans="1:9" x14ac:dyDescent="0.35">
      <c r="A1367" t="s">
        <v>19</v>
      </c>
      <c r="B1367">
        <v>2040</v>
      </c>
      <c r="C1367" t="s">
        <v>63</v>
      </c>
      <c r="D1367" t="s">
        <v>54</v>
      </c>
      <c r="E1367">
        <v>1.5007020444191499</v>
      </c>
      <c r="F1367">
        <v>1.49900924210595</v>
      </c>
      <c r="G1367">
        <v>-1.6928023132005601E-3</v>
      </c>
      <c r="H1367">
        <v>-0.112800693481814</v>
      </c>
      <c r="I1367" t="s">
        <v>64</v>
      </c>
    </row>
    <row r="1368" spans="1:9" x14ac:dyDescent="0.35">
      <c r="A1368" t="s">
        <v>19</v>
      </c>
      <c r="B1368">
        <v>2040</v>
      </c>
      <c r="C1368" t="s">
        <v>63</v>
      </c>
      <c r="D1368" t="s">
        <v>55</v>
      </c>
      <c r="E1368">
        <v>1.61672804846164</v>
      </c>
      <c r="F1368">
        <v>1.3929859137845999</v>
      </c>
      <c r="G1368">
        <v>-0.22374213467703599</v>
      </c>
      <c r="H1368">
        <v>-13.8391942225492</v>
      </c>
      <c r="I1368" t="s">
        <v>64</v>
      </c>
    </row>
    <row r="1369" spans="1:9" x14ac:dyDescent="0.35">
      <c r="A1369" t="s">
        <v>19</v>
      </c>
      <c r="B1369">
        <v>2040</v>
      </c>
      <c r="C1369" t="s">
        <v>63</v>
      </c>
      <c r="D1369" t="s">
        <v>56</v>
      </c>
      <c r="E1369" s="1">
        <v>5.97002612715249E-8</v>
      </c>
      <c r="F1369" s="1">
        <v>5.97002612715249E-8</v>
      </c>
      <c r="G1369">
        <v>0</v>
      </c>
      <c r="H1369">
        <v>0</v>
      </c>
      <c r="I1369" t="s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CC4A8-640C-4EBD-9785-73EA6035B311}">
  <sheetPr>
    <tabColor theme="9" tint="0.79998168889431442"/>
  </sheetPr>
  <dimension ref="A1:I1369"/>
  <sheetViews>
    <sheetView workbookViewId="0">
      <selection activeCell="A2" sqref="A2:I1369"/>
    </sheetView>
  </sheetViews>
  <sheetFormatPr defaultRowHeight="14.5" x14ac:dyDescent="0.35"/>
  <cols>
    <col min="3" max="3" width="61.54296875" bestFit="1" customWidth="1"/>
  </cols>
  <sheetData>
    <row r="1" spans="1:9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x14ac:dyDescent="0.35">
      <c r="A2" t="s">
        <v>20</v>
      </c>
      <c r="B2">
        <v>2025</v>
      </c>
      <c r="C2" t="s">
        <v>69</v>
      </c>
      <c r="D2" t="s">
        <v>38</v>
      </c>
      <c r="E2" s="1">
        <v>2.40762866834718E-6</v>
      </c>
      <c r="F2" s="1">
        <v>2.40762866834718E-6</v>
      </c>
      <c r="G2">
        <v>0</v>
      </c>
      <c r="H2">
        <v>0</v>
      </c>
      <c r="I2" t="s">
        <v>71</v>
      </c>
    </row>
    <row r="3" spans="1:9" x14ac:dyDescent="0.35">
      <c r="A3" t="s">
        <v>20</v>
      </c>
      <c r="B3">
        <v>2025</v>
      </c>
      <c r="C3" t="s">
        <v>69</v>
      </c>
      <c r="D3" t="s">
        <v>40</v>
      </c>
      <c r="E3" s="1">
        <v>3.5403068039545901E-5</v>
      </c>
      <c r="F3" s="1">
        <v>3.5403068039545901E-5</v>
      </c>
      <c r="G3">
        <v>0</v>
      </c>
      <c r="H3">
        <v>0</v>
      </c>
      <c r="I3" t="s">
        <v>71</v>
      </c>
    </row>
    <row r="4" spans="1:9" x14ac:dyDescent="0.35">
      <c r="A4" t="s">
        <v>20</v>
      </c>
      <c r="B4">
        <v>2025</v>
      </c>
      <c r="C4" t="s">
        <v>69</v>
      </c>
      <c r="D4" t="s">
        <v>41</v>
      </c>
      <c r="E4">
        <v>2.1110788106437701E-4</v>
      </c>
      <c r="F4">
        <v>2.1110788106437701E-4</v>
      </c>
      <c r="G4">
        <v>0</v>
      </c>
      <c r="H4">
        <v>0</v>
      </c>
      <c r="I4" t="s">
        <v>71</v>
      </c>
    </row>
    <row r="5" spans="1:9" x14ac:dyDescent="0.35">
      <c r="A5" t="s">
        <v>20</v>
      </c>
      <c r="B5">
        <v>2025</v>
      </c>
      <c r="C5" t="s">
        <v>69</v>
      </c>
      <c r="D5" t="s">
        <v>42</v>
      </c>
      <c r="E5">
        <v>1.1100872899980499E-2</v>
      </c>
      <c r="F5">
        <v>1.1100872899980499E-2</v>
      </c>
      <c r="G5">
        <v>0</v>
      </c>
      <c r="H5">
        <v>0</v>
      </c>
      <c r="I5" t="s">
        <v>71</v>
      </c>
    </row>
    <row r="6" spans="1:9" x14ac:dyDescent="0.35">
      <c r="A6" t="s">
        <v>20</v>
      </c>
      <c r="B6">
        <v>2025</v>
      </c>
      <c r="C6" t="s">
        <v>69</v>
      </c>
      <c r="D6" t="s">
        <v>43</v>
      </c>
      <c r="E6" s="1">
        <v>7.1272159278350496E-5</v>
      </c>
      <c r="F6" s="1">
        <v>7.1272159278350496E-5</v>
      </c>
      <c r="G6">
        <v>0</v>
      </c>
      <c r="H6">
        <v>0</v>
      </c>
      <c r="I6" t="s">
        <v>71</v>
      </c>
    </row>
    <row r="7" spans="1:9" x14ac:dyDescent="0.35">
      <c r="A7" t="s">
        <v>20</v>
      </c>
      <c r="B7">
        <v>2025</v>
      </c>
      <c r="C7" t="s">
        <v>69</v>
      </c>
      <c r="D7" t="s">
        <v>136</v>
      </c>
      <c r="E7">
        <v>3.1362377944853102E-2</v>
      </c>
      <c r="F7">
        <v>3.1362377944853102E-2</v>
      </c>
      <c r="G7">
        <v>0</v>
      </c>
      <c r="H7">
        <v>0</v>
      </c>
      <c r="I7" t="s">
        <v>71</v>
      </c>
    </row>
    <row r="8" spans="1:9" x14ac:dyDescent="0.35">
      <c r="A8" t="s">
        <v>20</v>
      </c>
      <c r="B8">
        <v>2025</v>
      </c>
      <c r="C8" t="s">
        <v>69</v>
      </c>
      <c r="D8" t="s">
        <v>45</v>
      </c>
      <c r="E8">
        <v>1.54185302549932E-3</v>
      </c>
      <c r="F8">
        <v>1.54185302549932E-3</v>
      </c>
      <c r="G8">
        <v>0</v>
      </c>
      <c r="H8">
        <v>0</v>
      </c>
      <c r="I8" t="s">
        <v>71</v>
      </c>
    </row>
    <row r="9" spans="1:9" x14ac:dyDescent="0.35">
      <c r="A9" t="s">
        <v>20</v>
      </c>
      <c r="B9">
        <v>2025</v>
      </c>
      <c r="C9" t="s">
        <v>69</v>
      </c>
      <c r="D9" t="s">
        <v>46</v>
      </c>
      <c r="E9">
        <v>3.3451862673563698E-4</v>
      </c>
      <c r="F9">
        <v>3.3451862673563698E-4</v>
      </c>
      <c r="G9">
        <v>0</v>
      </c>
      <c r="H9">
        <v>0</v>
      </c>
      <c r="I9" t="s">
        <v>71</v>
      </c>
    </row>
    <row r="10" spans="1:9" x14ac:dyDescent="0.35">
      <c r="A10" t="s">
        <v>20</v>
      </c>
      <c r="B10">
        <v>2025</v>
      </c>
      <c r="C10" t="s">
        <v>69</v>
      </c>
      <c r="D10" t="s">
        <v>47</v>
      </c>
      <c r="E10" s="1">
        <v>1.2868389449885001E-5</v>
      </c>
      <c r="F10" s="1">
        <v>1.2868389449885001E-5</v>
      </c>
      <c r="G10">
        <v>0</v>
      </c>
      <c r="H10">
        <v>0</v>
      </c>
      <c r="I10" t="s">
        <v>71</v>
      </c>
    </row>
    <row r="11" spans="1:9" x14ac:dyDescent="0.35">
      <c r="A11" t="s">
        <v>20</v>
      </c>
      <c r="B11">
        <v>2025</v>
      </c>
      <c r="C11" t="s">
        <v>69</v>
      </c>
      <c r="D11" t="s">
        <v>48</v>
      </c>
      <c r="E11">
        <v>1.6126449726595799E-3</v>
      </c>
      <c r="F11">
        <v>1.6126449726595799E-3</v>
      </c>
      <c r="G11">
        <v>0</v>
      </c>
      <c r="H11">
        <v>0</v>
      </c>
      <c r="I11" t="s">
        <v>71</v>
      </c>
    </row>
    <row r="12" spans="1:9" x14ac:dyDescent="0.35">
      <c r="A12" t="s">
        <v>20</v>
      </c>
      <c r="B12">
        <v>2025</v>
      </c>
      <c r="C12" t="s">
        <v>69</v>
      </c>
      <c r="D12" t="s">
        <v>49</v>
      </c>
      <c r="E12">
        <v>2.0622356897221099E-4</v>
      </c>
      <c r="F12">
        <v>2.0622356897221099E-4</v>
      </c>
      <c r="G12">
        <v>0</v>
      </c>
      <c r="H12">
        <v>0</v>
      </c>
      <c r="I12" t="s">
        <v>71</v>
      </c>
    </row>
    <row r="13" spans="1:9" x14ac:dyDescent="0.35">
      <c r="A13" t="s">
        <v>20</v>
      </c>
      <c r="B13">
        <v>2025</v>
      </c>
      <c r="C13" t="s">
        <v>69</v>
      </c>
      <c r="D13" t="s">
        <v>50</v>
      </c>
      <c r="E13">
        <v>5.0761931456557905E-4</v>
      </c>
      <c r="F13">
        <v>5.0761931456557905E-4</v>
      </c>
      <c r="G13">
        <v>0</v>
      </c>
      <c r="H13">
        <v>0</v>
      </c>
      <c r="I13" t="s">
        <v>71</v>
      </c>
    </row>
    <row r="14" spans="1:9" x14ac:dyDescent="0.35">
      <c r="A14" t="s">
        <v>20</v>
      </c>
      <c r="B14">
        <v>2025</v>
      </c>
      <c r="C14" t="s">
        <v>69</v>
      </c>
      <c r="D14" t="s">
        <v>51</v>
      </c>
      <c r="E14">
        <v>9.5922590516095193E-3</v>
      </c>
      <c r="F14">
        <v>9.5922590516095193E-3</v>
      </c>
      <c r="G14">
        <v>0</v>
      </c>
      <c r="H14">
        <v>0</v>
      </c>
      <c r="I14" t="s">
        <v>71</v>
      </c>
    </row>
    <row r="15" spans="1:9" x14ac:dyDescent="0.35">
      <c r="A15" t="s">
        <v>20</v>
      </c>
      <c r="B15">
        <v>2025</v>
      </c>
      <c r="C15" t="s">
        <v>69</v>
      </c>
      <c r="D15" t="s">
        <v>52</v>
      </c>
      <c r="E15">
        <v>3.6549267699043601E-3</v>
      </c>
      <c r="F15">
        <v>3.6549267699043601E-3</v>
      </c>
      <c r="G15">
        <v>0</v>
      </c>
      <c r="H15">
        <v>0</v>
      </c>
      <c r="I15" t="s">
        <v>71</v>
      </c>
    </row>
    <row r="16" spans="1:9" x14ac:dyDescent="0.35">
      <c r="A16" t="s">
        <v>20</v>
      </c>
      <c r="B16">
        <v>2025</v>
      </c>
      <c r="C16" t="s">
        <v>69</v>
      </c>
      <c r="D16" t="s">
        <v>53</v>
      </c>
      <c r="E16">
        <v>8.2731509038588003E-3</v>
      </c>
      <c r="F16">
        <v>8.2731509038588003E-3</v>
      </c>
      <c r="G16">
        <v>0</v>
      </c>
      <c r="H16">
        <v>0</v>
      </c>
      <c r="I16" t="s">
        <v>71</v>
      </c>
    </row>
    <row r="17" spans="1:9" x14ac:dyDescent="0.35">
      <c r="A17" t="s">
        <v>20</v>
      </c>
      <c r="B17">
        <v>2025</v>
      </c>
      <c r="C17" t="s">
        <v>69</v>
      </c>
      <c r="D17" t="s">
        <v>54</v>
      </c>
      <c r="E17">
        <v>5.6590132544187403E-4</v>
      </c>
      <c r="F17">
        <v>5.6590132544187403E-4</v>
      </c>
      <c r="G17">
        <v>0</v>
      </c>
      <c r="H17">
        <v>0</v>
      </c>
      <c r="I17" t="s">
        <v>71</v>
      </c>
    </row>
    <row r="18" spans="1:9" x14ac:dyDescent="0.35">
      <c r="A18" t="s">
        <v>20</v>
      </c>
      <c r="B18">
        <v>2025</v>
      </c>
      <c r="C18" t="s">
        <v>69</v>
      </c>
      <c r="D18" t="s">
        <v>55</v>
      </c>
      <c r="E18">
        <v>5.1996504075625997E-4</v>
      </c>
      <c r="F18">
        <v>5.1996504075625997E-4</v>
      </c>
      <c r="G18">
        <v>0</v>
      </c>
      <c r="H18">
        <v>0</v>
      </c>
      <c r="I18" t="s">
        <v>71</v>
      </c>
    </row>
    <row r="19" spans="1:9" x14ac:dyDescent="0.35">
      <c r="A19" t="s">
        <v>20</v>
      </c>
      <c r="B19">
        <v>2025</v>
      </c>
      <c r="C19" t="s">
        <v>69</v>
      </c>
      <c r="D19" t="s">
        <v>56</v>
      </c>
      <c r="E19" s="1">
        <v>1.4698371556266499E-9</v>
      </c>
      <c r="F19" s="1">
        <v>1.4698371556266499E-9</v>
      </c>
      <c r="G19">
        <v>0</v>
      </c>
      <c r="H19">
        <v>0</v>
      </c>
      <c r="I19" t="s">
        <v>71</v>
      </c>
    </row>
    <row r="20" spans="1:9" x14ac:dyDescent="0.35">
      <c r="A20" t="s">
        <v>22</v>
      </c>
      <c r="B20">
        <v>2030</v>
      </c>
      <c r="C20" t="s">
        <v>69</v>
      </c>
      <c r="D20" t="s">
        <v>38</v>
      </c>
      <c r="E20" s="1">
        <v>7.3858067221602799E-6</v>
      </c>
      <c r="F20" s="1">
        <v>7.3858067221602799E-6</v>
      </c>
      <c r="G20">
        <v>0</v>
      </c>
      <c r="H20">
        <v>0</v>
      </c>
      <c r="I20" t="s">
        <v>71</v>
      </c>
    </row>
    <row r="21" spans="1:9" x14ac:dyDescent="0.35">
      <c r="A21" t="s">
        <v>22</v>
      </c>
      <c r="B21">
        <v>2030</v>
      </c>
      <c r="C21" t="s">
        <v>69</v>
      </c>
      <c r="D21" t="s">
        <v>40</v>
      </c>
      <c r="E21" s="1">
        <v>3.5338107511745098E-5</v>
      </c>
      <c r="F21" s="1">
        <v>3.5338107511745098E-5</v>
      </c>
      <c r="G21">
        <v>0</v>
      </c>
      <c r="H21">
        <v>0</v>
      </c>
      <c r="I21" t="s">
        <v>71</v>
      </c>
    </row>
    <row r="22" spans="1:9" x14ac:dyDescent="0.35">
      <c r="A22" t="s">
        <v>22</v>
      </c>
      <c r="B22">
        <v>2030</v>
      </c>
      <c r="C22" t="s">
        <v>69</v>
      </c>
      <c r="D22" t="s">
        <v>41</v>
      </c>
      <c r="E22">
        <v>2.0628880032778999E-4</v>
      </c>
      <c r="F22">
        <v>2.0628880032778999E-4</v>
      </c>
      <c r="G22">
        <v>0</v>
      </c>
      <c r="H22">
        <v>0</v>
      </c>
      <c r="I22" t="s">
        <v>71</v>
      </c>
    </row>
    <row r="23" spans="1:9" x14ac:dyDescent="0.35">
      <c r="A23" t="s">
        <v>22</v>
      </c>
      <c r="B23">
        <v>2030</v>
      </c>
      <c r="C23" t="s">
        <v>69</v>
      </c>
      <c r="D23" t="s">
        <v>42</v>
      </c>
      <c r="E23">
        <v>1.1731343511658599E-2</v>
      </c>
      <c r="F23">
        <v>1.1731343511658599E-2</v>
      </c>
      <c r="G23">
        <v>0</v>
      </c>
      <c r="H23">
        <v>0</v>
      </c>
      <c r="I23" t="s">
        <v>71</v>
      </c>
    </row>
    <row r="24" spans="1:9" x14ac:dyDescent="0.35">
      <c r="A24" t="s">
        <v>22</v>
      </c>
      <c r="B24">
        <v>2030</v>
      </c>
      <c r="C24" t="s">
        <v>69</v>
      </c>
      <c r="D24" t="s">
        <v>43</v>
      </c>
      <c r="E24" s="1">
        <v>7.0554798411401204E-5</v>
      </c>
      <c r="F24" s="1">
        <v>7.0554798411401204E-5</v>
      </c>
      <c r="G24">
        <v>0</v>
      </c>
      <c r="H24">
        <v>0</v>
      </c>
      <c r="I24" t="s">
        <v>71</v>
      </c>
    </row>
    <row r="25" spans="1:9" x14ac:dyDescent="0.35">
      <c r="A25" t="s">
        <v>22</v>
      </c>
      <c r="B25">
        <v>2030</v>
      </c>
      <c r="C25" t="s">
        <v>69</v>
      </c>
      <c r="D25" t="s">
        <v>136</v>
      </c>
      <c r="E25">
        <v>3.03668632978717E-2</v>
      </c>
      <c r="F25">
        <v>3.03668632978717E-2</v>
      </c>
      <c r="G25">
        <v>0</v>
      </c>
      <c r="H25">
        <v>0</v>
      </c>
      <c r="I25" t="s">
        <v>71</v>
      </c>
    </row>
    <row r="26" spans="1:9" x14ac:dyDescent="0.35">
      <c r="A26" t="s">
        <v>22</v>
      </c>
      <c r="B26">
        <v>2030</v>
      </c>
      <c r="C26" t="s">
        <v>69</v>
      </c>
      <c r="D26" t="s">
        <v>45</v>
      </c>
      <c r="E26">
        <v>1.53266779219338E-3</v>
      </c>
      <c r="F26">
        <v>1.53266779219338E-3</v>
      </c>
      <c r="G26">
        <v>0</v>
      </c>
      <c r="H26">
        <v>0</v>
      </c>
      <c r="I26" t="s">
        <v>71</v>
      </c>
    </row>
    <row r="27" spans="1:9" x14ac:dyDescent="0.35">
      <c r="A27" t="s">
        <v>22</v>
      </c>
      <c r="B27">
        <v>2030</v>
      </c>
      <c r="C27" t="s">
        <v>69</v>
      </c>
      <c r="D27" t="s">
        <v>46</v>
      </c>
      <c r="E27">
        <v>4.5878738633175901E-4</v>
      </c>
      <c r="F27">
        <v>4.5878738633175901E-4</v>
      </c>
      <c r="G27">
        <v>0</v>
      </c>
      <c r="H27">
        <v>0</v>
      </c>
      <c r="I27" t="s">
        <v>71</v>
      </c>
    </row>
    <row r="28" spans="1:9" x14ac:dyDescent="0.35">
      <c r="A28" t="s">
        <v>22</v>
      </c>
      <c r="B28">
        <v>2030</v>
      </c>
      <c r="C28" t="s">
        <v>69</v>
      </c>
      <c r="D28" t="s">
        <v>47</v>
      </c>
      <c r="E28" s="1">
        <v>1.43602211336155E-5</v>
      </c>
      <c r="F28" s="1">
        <v>1.43602211336155E-5</v>
      </c>
      <c r="G28">
        <v>0</v>
      </c>
      <c r="H28">
        <v>0</v>
      </c>
      <c r="I28" t="s">
        <v>71</v>
      </c>
    </row>
    <row r="29" spans="1:9" x14ac:dyDescent="0.35">
      <c r="A29" t="s">
        <v>22</v>
      </c>
      <c r="B29">
        <v>2030</v>
      </c>
      <c r="C29" t="s">
        <v>69</v>
      </c>
      <c r="D29" t="s">
        <v>48</v>
      </c>
      <c r="E29">
        <v>1.6247256652966099E-3</v>
      </c>
      <c r="F29">
        <v>1.6247256652966099E-3</v>
      </c>
      <c r="G29">
        <v>0</v>
      </c>
      <c r="H29">
        <v>0</v>
      </c>
      <c r="I29" t="s">
        <v>71</v>
      </c>
    </row>
    <row r="30" spans="1:9" x14ac:dyDescent="0.35">
      <c r="A30" t="s">
        <v>22</v>
      </c>
      <c r="B30">
        <v>2030</v>
      </c>
      <c r="C30" t="s">
        <v>69</v>
      </c>
      <c r="D30" t="s">
        <v>49</v>
      </c>
      <c r="E30">
        <v>1.95097340460699E-4</v>
      </c>
      <c r="F30">
        <v>1.95097340460699E-4</v>
      </c>
      <c r="G30">
        <v>0</v>
      </c>
      <c r="H30">
        <v>0</v>
      </c>
      <c r="I30" t="s">
        <v>71</v>
      </c>
    </row>
    <row r="31" spans="1:9" x14ac:dyDescent="0.35">
      <c r="A31" t="s">
        <v>22</v>
      </c>
      <c r="B31">
        <v>2030</v>
      </c>
      <c r="C31" t="s">
        <v>69</v>
      </c>
      <c r="D31" t="s">
        <v>50</v>
      </c>
      <c r="E31">
        <v>5.1349017611622004E-4</v>
      </c>
      <c r="F31">
        <v>5.1349017611622004E-4</v>
      </c>
      <c r="G31">
        <v>0</v>
      </c>
      <c r="H31">
        <v>0</v>
      </c>
      <c r="I31" t="s">
        <v>71</v>
      </c>
    </row>
    <row r="32" spans="1:9" x14ac:dyDescent="0.35">
      <c r="A32" t="s">
        <v>22</v>
      </c>
      <c r="B32">
        <v>2030</v>
      </c>
      <c r="C32" t="s">
        <v>69</v>
      </c>
      <c r="D32" t="s">
        <v>51</v>
      </c>
      <c r="E32">
        <v>9.5853429374452292E-3</v>
      </c>
      <c r="F32">
        <v>9.5853429374452292E-3</v>
      </c>
      <c r="G32">
        <v>0</v>
      </c>
      <c r="H32">
        <v>0</v>
      </c>
      <c r="I32" t="s">
        <v>71</v>
      </c>
    </row>
    <row r="33" spans="1:9" x14ac:dyDescent="0.35">
      <c r="A33" t="s">
        <v>22</v>
      </c>
      <c r="B33">
        <v>2030</v>
      </c>
      <c r="C33" t="s">
        <v>69</v>
      </c>
      <c r="D33" t="s">
        <v>52</v>
      </c>
      <c r="E33">
        <v>3.1114386755639102E-3</v>
      </c>
      <c r="F33">
        <v>3.1114386755639102E-3</v>
      </c>
      <c r="G33">
        <v>0</v>
      </c>
      <c r="H33">
        <v>0</v>
      </c>
      <c r="I33" t="s">
        <v>71</v>
      </c>
    </row>
    <row r="34" spans="1:9" x14ac:dyDescent="0.35">
      <c r="A34" t="s">
        <v>22</v>
      </c>
      <c r="B34">
        <v>2030</v>
      </c>
      <c r="C34" t="s">
        <v>69</v>
      </c>
      <c r="D34" t="s">
        <v>53</v>
      </c>
      <c r="E34">
        <v>8.1388497972938092E-3</v>
      </c>
      <c r="F34">
        <v>8.1388497972938092E-3</v>
      </c>
      <c r="G34">
        <v>0</v>
      </c>
      <c r="H34">
        <v>0</v>
      </c>
      <c r="I34" t="s">
        <v>71</v>
      </c>
    </row>
    <row r="35" spans="1:9" x14ac:dyDescent="0.35">
      <c r="A35" t="s">
        <v>22</v>
      </c>
      <c r="B35">
        <v>2030</v>
      </c>
      <c r="C35" t="s">
        <v>69</v>
      </c>
      <c r="D35" t="s">
        <v>54</v>
      </c>
      <c r="E35">
        <v>6.0451597558830699E-4</v>
      </c>
      <c r="F35">
        <v>6.0451597558830699E-4</v>
      </c>
      <c r="G35">
        <v>0</v>
      </c>
      <c r="H35">
        <v>0</v>
      </c>
      <c r="I35" t="s">
        <v>71</v>
      </c>
    </row>
    <row r="36" spans="1:9" x14ac:dyDescent="0.35">
      <c r="A36" t="s">
        <v>22</v>
      </c>
      <c r="B36">
        <v>2030</v>
      </c>
      <c r="C36" t="s">
        <v>69</v>
      </c>
      <c r="D36" t="s">
        <v>55</v>
      </c>
      <c r="E36">
        <v>5.5254320365579596E-4</v>
      </c>
      <c r="F36">
        <v>5.5254320365579596E-4</v>
      </c>
      <c r="G36">
        <v>0</v>
      </c>
      <c r="H36">
        <v>0</v>
      </c>
      <c r="I36" t="s">
        <v>71</v>
      </c>
    </row>
    <row r="37" spans="1:9" x14ac:dyDescent="0.35">
      <c r="A37" t="s">
        <v>22</v>
      </c>
      <c r="B37">
        <v>2030</v>
      </c>
      <c r="C37" t="s">
        <v>69</v>
      </c>
      <c r="D37" t="s">
        <v>56</v>
      </c>
      <c r="E37" s="1">
        <v>1.4628544350512401E-9</v>
      </c>
      <c r="F37" s="1">
        <v>1.4628544350512401E-9</v>
      </c>
      <c r="G37">
        <v>0</v>
      </c>
      <c r="H37">
        <v>0</v>
      </c>
      <c r="I37" t="s">
        <v>71</v>
      </c>
    </row>
    <row r="38" spans="1:9" x14ac:dyDescent="0.35">
      <c r="A38" t="s">
        <v>24</v>
      </c>
      <c r="B38">
        <v>2035</v>
      </c>
      <c r="C38" t="s">
        <v>69</v>
      </c>
      <c r="D38" t="s">
        <v>38</v>
      </c>
      <c r="E38" s="1">
        <v>1.11051855559142E-5</v>
      </c>
      <c r="F38" s="1">
        <v>1.11051855559142E-5</v>
      </c>
      <c r="G38">
        <v>0</v>
      </c>
      <c r="H38">
        <v>0</v>
      </c>
      <c r="I38" t="s">
        <v>71</v>
      </c>
    </row>
    <row r="39" spans="1:9" x14ac:dyDescent="0.35">
      <c r="A39" t="s">
        <v>24</v>
      </c>
      <c r="B39">
        <v>2035</v>
      </c>
      <c r="C39" t="s">
        <v>69</v>
      </c>
      <c r="D39" t="s">
        <v>40</v>
      </c>
      <c r="E39" s="1">
        <v>3.5332286033613197E-5</v>
      </c>
      <c r="F39" s="1">
        <v>3.5332286033613197E-5</v>
      </c>
      <c r="G39">
        <v>0</v>
      </c>
      <c r="H39">
        <v>0</v>
      </c>
      <c r="I39" t="s">
        <v>71</v>
      </c>
    </row>
    <row r="40" spans="1:9" x14ac:dyDescent="0.35">
      <c r="A40" t="s">
        <v>24</v>
      </c>
      <c r="B40">
        <v>2035</v>
      </c>
      <c r="C40" t="s">
        <v>69</v>
      </c>
      <c r="D40" t="s">
        <v>41</v>
      </c>
      <c r="E40">
        <v>2.0487270577202E-4</v>
      </c>
      <c r="F40">
        <v>2.0487270577202E-4</v>
      </c>
      <c r="G40">
        <v>0</v>
      </c>
      <c r="H40">
        <v>0</v>
      </c>
      <c r="I40" t="s">
        <v>71</v>
      </c>
    </row>
    <row r="41" spans="1:9" x14ac:dyDescent="0.35">
      <c r="A41" t="s">
        <v>24</v>
      </c>
      <c r="B41">
        <v>2035</v>
      </c>
      <c r="C41" t="s">
        <v>69</v>
      </c>
      <c r="D41" t="s">
        <v>42</v>
      </c>
      <c r="E41">
        <v>1.3245311416978199E-2</v>
      </c>
      <c r="F41">
        <v>1.3245311416978199E-2</v>
      </c>
      <c r="G41">
        <v>0</v>
      </c>
      <c r="H41">
        <v>0</v>
      </c>
      <c r="I41" t="s">
        <v>71</v>
      </c>
    </row>
    <row r="42" spans="1:9" x14ac:dyDescent="0.35">
      <c r="A42" t="s">
        <v>24</v>
      </c>
      <c r="B42">
        <v>2035</v>
      </c>
      <c r="C42" t="s">
        <v>69</v>
      </c>
      <c r="D42" t="s">
        <v>43</v>
      </c>
      <c r="E42" s="1">
        <v>7.1021036730437197E-5</v>
      </c>
      <c r="F42" s="1">
        <v>7.1021036730437197E-5</v>
      </c>
      <c r="G42">
        <v>0</v>
      </c>
      <c r="H42">
        <v>0</v>
      </c>
      <c r="I42" t="s">
        <v>71</v>
      </c>
    </row>
    <row r="43" spans="1:9" x14ac:dyDescent="0.35">
      <c r="A43" t="s">
        <v>24</v>
      </c>
      <c r="B43">
        <v>2035</v>
      </c>
      <c r="C43" t="s">
        <v>69</v>
      </c>
      <c r="D43" t="s">
        <v>136</v>
      </c>
      <c r="E43">
        <v>3.1135941511945701E-2</v>
      </c>
      <c r="F43">
        <v>3.1135941511945701E-2</v>
      </c>
      <c r="G43">
        <v>0</v>
      </c>
      <c r="H43">
        <v>0</v>
      </c>
      <c r="I43" t="s">
        <v>71</v>
      </c>
    </row>
    <row r="44" spans="1:9" x14ac:dyDescent="0.35">
      <c r="A44" t="s">
        <v>24</v>
      </c>
      <c r="B44">
        <v>2035</v>
      </c>
      <c r="C44" t="s">
        <v>69</v>
      </c>
      <c r="D44" t="s">
        <v>45</v>
      </c>
      <c r="E44">
        <v>1.5269667886750799E-3</v>
      </c>
      <c r="F44">
        <v>1.5269667886750799E-3</v>
      </c>
      <c r="G44">
        <v>0</v>
      </c>
      <c r="H44">
        <v>0</v>
      </c>
      <c r="I44" t="s">
        <v>71</v>
      </c>
    </row>
    <row r="45" spans="1:9" x14ac:dyDescent="0.35">
      <c r="A45" t="s">
        <v>24</v>
      </c>
      <c r="B45">
        <v>2035</v>
      </c>
      <c r="C45" t="s">
        <v>69</v>
      </c>
      <c r="D45" t="s">
        <v>46</v>
      </c>
      <c r="E45">
        <v>6.5417097557013404E-4</v>
      </c>
      <c r="F45">
        <v>6.5417097557013404E-4</v>
      </c>
      <c r="G45">
        <v>0</v>
      </c>
      <c r="H45">
        <v>0</v>
      </c>
      <c r="I45" t="s">
        <v>71</v>
      </c>
    </row>
    <row r="46" spans="1:9" x14ac:dyDescent="0.35">
      <c r="A46" t="s">
        <v>24</v>
      </c>
      <c r="B46">
        <v>2035</v>
      </c>
      <c r="C46" t="s">
        <v>69</v>
      </c>
      <c r="D46" t="s">
        <v>47</v>
      </c>
      <c r="E46" s="1">
        <v>1.72712120915668E-5</v>
      </c>
      <c r="F46" s="1">
        <v>1.72712120915668E-5</v>
      </c>
      <c r="G46">
        <v>0</v>
      </c>
      <c r="H46">
        <v>0</v>
      </c>
      <c r="I46" t="s">
        <v>71</v>
      </c>
    </row>
    <row r="47" spans="1:9" x14ac:dyDescent="0.35">
      <c r="A47" t="s">
        <v>24</v>
      </c>
      <c r="B47">
        <v>2035</v>
      </c>
      <c r="C47" t="s">
        <v>69</v>
      </c>
      <c r="D47" t="s">
        <v>48</v>
      </c>
      <c r="E47">
        <v>1.6154911329917701E-3</v>
      </c>
      <c r="F47">
        <v>1.6154911329917701E-3</v>
      </c>
      <c r="G47">
        <v>0</v>
      </c>
      <c r="H47">
        <v>0</v>
      </c>
      <c r="I47" t="s">
        <v>71</v>
      </c>
    </row>
    <row r="48" spans="1:9" x14ac:dyDescent="0.35">
      <c r="A48" t="s">
        <v>24</v>
      </c>
      <c r="B48">
        <v>2035</v>
      </c>
      <c r="C48" t="s">
        <v>69</v>
      </c>
      <c r="D48" t="s">
        <v>49</v>
      </c>
      <c r="E48">
        <v>1.91081399261479E-4</v>
      </c>
      <c r="F48">
        <v>1.91081399261479E-4</v>
      </c>
      <c r="G48">
        <v>0</v>
      </c>
      <c r="H48">
        <v>0</v>
      </c>
      <c r="I48" t="s">
        <v>71</v>
      </c>
    </row>
    <row r="49" spans="1:9" x14ac:dyDescent="0.35">
      <c r="A49" t="s">
        <v>24</v>
      </c>
      <c r="B49">
        <v>2035</v>
      </c>
      <c r="C49" t="s">
        <v>69</v>
      </c>
      <c r="D49" t="s">
        <v>50</v>
      </c>
      <c r="E49">
        <v>5.21906041668127E-4</v>
      </c>
      <c r="F49">
        <v>5.21906041668127E-4</v>
      </c>
      <c r="G49">
        <v>0</v>
      </c>
      <c r="H49">
        <v>0</v>
      </c>
      <c r="I49" t="s">
        <v>71</v>
      </c>
    </row>
    <row r="50" spans="1:9" x14ac:dyDescent="0.35">
      <c r="A50" t="s">
        <v>24</v>
      </c>
      <c r="B50">
        <v>2035</v>
      </c>
      <c r="C50" t="s">
        <v>69</v>
      </c>
      <c r="D50" t="s">
        <v>51</v>
      </c>
      <c r="E50">
        <v>9.5839426611973207E-3</v>
      </c>
      <c r="F50">
        <v>9.5839426611973207E-3</v>
      </c>
      <c r="G50">
        <v>0</v>
      </c>
      <c r="H50">
        <v>0</v>
      </c>
      <c r="I50" t="s">
        <v>71</v>
      </c>
    </row>
    <row r="51" spans="1:9" x14ac:dyDescent="0.35">
      <c r="A51" t="s">
        <v>24</v>
      </c>
      <c r="B51">
        <v>2035</v>
      </c>
      <c r="C51" t="s">
        <v>69</v>
      </c>
      <c r="D51" t="s">
        <v>52</v>
      </c>
      <c r="E51">
        <v>2.5639872829610099E-3</v>
      </c>
      <c r="F51">
        <v>2.5639872829610099E-3</v>
      </c>
      <c r="G51">
        <v>0</v>
      </c>
      <c r="H51">
        <v>0</v>
      </c>
      <c r="I51" t="s">
        <v>71</v>
      </c>
    </row>
    <row r="52" spans="1:9" x14ac:dyDescent="0.35">
      <c r="A52" t="s">
        <v>24</v>
      </c>
      <c r="B52">
        <v>2035</v>
      </c>
      <c r="C52" t="s">
        <v>69</v>
      </c>
      <c r="D52" t="s">
        <v>53</v>
      </c>
      <c r="E52">
        <v>8.4446482915588404E-3</v>
      </c>
      <c r="F52">
        <v>8.4446482915588404E-3</v>
      </c>
      <c r="G52">
        <v>0</v>
      </c>
      <c r="H52">
        <v>0</v>
      </c>
      <c r="I52" t="s">
        <v>71</v>
      </c>
    </row>
    <row r="53" spans="1:9" x14ac:dyDescent="0.35">
      <c r="A53" t="s">
        <v>24</v>
      </c>
      <c r="B53">
        <v>2035</v>
      </c>
      <c r="C53" t="s">
        <v>69</v>
      </c>
      <c r="D53" t="s">
        <v>54</v>
      </c>
      <c r="E53">
        <v>6.4865921191209399E-4</v>
      </c>
      <c r="F53">
        <v>6.4865921191209399E-4</v>
      </c>
      <c r="G53">
        <v>0</v>
      </c>
      <c r="H53">
        <v>0</v>
      </c>
      <c r="I53" t="s">
        <v>71</v>
      </c>
    </row>
    <row r="54" spans="1:9" x14ac:dyDescent="0.35">
      <c r="A54" t="s">
        <v>24</v>
      </c>
      <c r="B54">
        <v>2035</v>
      </c>
      <c r="C54" t="s">
        <v>69</v>
      </c>
      <c r="D54" t="s">
        <v>55</v>
      </c>
      <c r="E54">
        <v>5.9198412475404199E-4</v>
      </c>
      <c r="F54">
        <v>5.9198412475404199E-4</v>
      </c>
      <c r="G54">
        <v>0</v>
      </c>
      <c r="H54">
        <v>0</v>
      </c>
      <c r="I54" t="s">
        <v>71</v>
      </c>
    </row>
    <row r="55" spans="1:9" x14ac:dyDescent="0.35">
      <c r="A55" t="s">
        <v>24</v>
      </c>
      <c r="B55">
        <v>2035</v>
      </c>
      <c r="C55" t="s">
        <v>69</v>
      </c>
      <c r="D55" t="s">
        <v>56</v>
      </c>
      <c r="E55" s="1">
        <v>1.4927457952483701E-9</v>
      </c>
      <c r="F55" s="1">
        <v>1.4927457952483701E-9</v>
      </c>
      <c r="G55">
        <v>0</v>
      </c>
      <c r="H55">
        <v>0</v>
      </c>
      <c r="I55" t="s">
        <v>71</v>
      </c>
    </row>
    <row r="56" spans="1:9" x14ac:dyDescent="0.35">
      <c r="A56" t="s">
        <v>26</v>
      </c>
      <c r="B56">
        <v>2040</v>
      </c>
      <c r="C56" t="s">
        <v>69</v>
      </c>
      <c r="D56" t="s">
        <v>38</v>
      </c>
      <c r="E56" s="1">
        <v>9.5794284545831604E-6</v>
      </c>
      <c r="F56" s="1">
        <v>9.5794284545831604E-6</v>
      </c>
      <c r="G56">
        <v>0</v>
      </c>
      <c r="H56">
        <v>0</v>
      </c>
      <c r="I56" t="s">
        <v>71</v>
      </c>
    </row>
    <row r="57" spans="1:9" x14ac:dyDescent="0.35">
      <c r="A57" t="s">
        <v>26</v>
      </c>
      <c r="B57">
        <v>2040</v>
      </c>
      <c r="C57" t="s">
        <v>69</v>
      </c>
      <c r="D57" t="s">
        <v>40</v>
      </c>
      <c r="E57" s="1">
        <v>3.5304231955893003E-5</v>
      </c>
      <c r="F57" s="1">
        <v>3.5304231955893003E-5</v>
      </c>
      <c r="G57">
        <v>0</v>
      </c>
      <c r="H57">
        <v>0</v>
      </c>
      <c r="I57" t="s">
        <v>71</v>
      </c>
    </row>
    <row r="58" spans="1:9" x14ac:dyDescent="0.35">
      <c r="A58" t="s">
        <v>26</v>
      </c>
      <c r="B58">
        <v>2040</v>
      </c>
      <c r="C58" t="s">
        <v>69</v>
      </c>
      <c r="D58" t="s">
        <v>41</v>
      </c>
      <c r="E58">
        <v>2.0414409331427801E-4</v>
      </c>
      <c r="F58">
        <v>2.0414409331427801E-4</v>
      </c>
      <c r="G58">
        <v>0</v>
      </c>
      <c r="H58">
        <v>0</v>
      </c>
      <c r="I58" t="s">
        <v>71</v>
      </c>
    </row>
    <row r="59" spans="1:9" x14ac:dyDescent="0.35">
      <c r="A59" t="s">
        <v>26</v>
      </c>
      <c r="B59">
        <v>2040</v>
      </c>
      <c r="C59" t="s">
        <v>69</v>
      </c>
      <c r="D59" t="s">
        <v>42</v>
      </c>
      <c r="E59">
        <v>1.45933655976962E-2</v>
      </c>
      <c r="F59">
        <v>1.45933655976962E-2</v>
      </c>
      <c r="G59">
        <v>0</v>
      </c>
      <c r="H59">
        <v>0</v>
      </c>
      <c r="I59" t="s">
        <v>71</v>
      </c>
    </row>
    <row r="60" spans="1:9" x14ac:dyDescent="0.35">
      <c r="A60" t="s">
        <v>26</v>
      </c>
      <c r="B60">
        <v>2040</v>
      </c>
      <c r="C60" t="s">
        <v>69</v>
      </c>
      <c r="D60" t="s">
        <v>43</v>
      </c>
      <c r="E60" s="1">
        <v>7.0896556963006999E-5</v>
      </c>
      <c r="F60" s="1">
        <v>7.0896556963006999E-5</v>
      </c>
      <c r="G60">
        <v>0</v>
      </c>
      <c r="H60">
        <v>0</v>
      </c>
      <c r="I60" t="s">
        <v>71</v>
      </c>
    </row>
    <row r="61" spans="1:9" x14ac:dyDescent="0.35">
      <c r="A61" t="s">
        <v>26</v>
      </c>
      <c r="B61">
        <v>2040</v>
      </c>
      <c r="C61" t="s">
        <v>69</v>
      </c>
      <c r="D61" t="s">
        <v>136</v>
      </c>
      <c r="E61">
        <v>3.1936442326235097E-2</v>
      </c>
      <c r="F61">
        <v>3.1936442326235097E-2</v>
      </c>
      <c r="G61">
        <v>0</v>
      </c>
      <c r="H61">
        <v>0</v>
      </c>
      <c r="I61" t="s">
        <v>71</v>
      </c>
    </row>
    <row r="62" spans="1:9" x14ac:dyDescent="0.35">
      <c r="A62" t="s">
        <v>26</v>
      </c>
      <c r="B62">
        <v>2040</v>
      </c>
      <c r="C62" t="s">
        <v>69</v>
      </c>
      <c r="D62" t="s">
        <v>45</v>
      </c>
      <c r="E62">
        <v>1.52405914409523E-3</v>
      </c>
      <c r="F62">
        <v>1.4634418239317101E-4</v>
      </c>
      <c r="G62">
        <v>-1.3777149617020599E-3</v>
      </c>
      <c r="H62">
        <v>-90.397736009119896</v>
      </c>
      <c r="I62" t="s">
        <v>71</v>
      </c>
    </row>
    <row r="63" spans="1:9" x14ac:dyDescent="0.35">
      <c r="A63" t="s">
        <v>26</v>
      </c>
      <c r="B63">
        <v>2040</v>
      </c>
      <c r="C63" t="s">
        <v>69</v>
      </c>
      <c r="D63" t="s">
        <v>46</v>
      </c>
      <c r="E63">
        <v>7.7756622377987803E-4</v>
      </c>
      <c r="F63">
        <v>7.7756622377987803E-4</v>
      </c>
      <c r="G63">
        <v>0</v>
      </c>
      <c r="H63">
        <v>0</v>
      </c>
      <c r="I63" t="s">
        <v>71</v>
      </c>
    </row>
    <row r="64" spans="1:9" x14ac:dyDescent="0.35">
      <c r="A64" t="s">
        <v>26</v>
      </c>
      <c r="B64">
        <v>2040</v>
      </c>
      <c r="C64" t="s">
        <v>69</v>
      </c>
      <c r="D64" t="s">
        <v>47</v>
      </c>
      <c r="E64" s="1">
        <v>1.98119853078164E-5</v>
      </c>
      <c r="F64" s="1">
        <v>1.98119853078164E-5</v>
      </c>
      <c r="G64">
        <v>0</v>
      </c>
      <c r="H64">
        <v>0</v>
      </c>
      <c r="I64" t="s">
        <v>71</v>
      </c>
    </row>
    <row r="65" spans="1:9" x14ac:dyDescent="0.35">
      <c r="A65" t="s">
        <v>26</v>
      </c>
      <c r="B65">
        <v>2040</v>
      </c>
      <c r="C65" t="s">
        <v>69</v>
      </c>
      <c r="D65" t="s">
        <v>48</v>
      </c>
      <c r="E65">
        <v>1.6023662988009599E-3</v>
      </c>
      <c r="F65">
        <v>1.6023662988009599E-3</v>
      </c>
      <c r="G65">
        <v>0</v>
      </c>
      <c r="H65">
        <v>0</v>
      </c>
      <c r="I65" t="s">
        <v>71</v>
      </c>
    </row>
    <row r="66" spans="1:9" x14ac:dyDescent="0.35">
      <c r="A66" t="s">
        <v>26</v>
      </c>
      <c r="B66">
        <v>2040</v>
      </c>
      <c r="C66" t="s">
        <v>69</v>
      </c>
      <c r="D66" t="s">
        <v>49</v>
      </c>
      <c r="E66">
        <v>1.8900446261415301E-4</v>
      </c>
      <c r="F66">
        <v>1.8900446261415301E-4</v>
      </c>
      <c r="G66">
        <v>0</v>
      </c>
      <c r="H66">
        <v>0</v>
      </c>
      <c r="I66" t="s">
        <v>71</v>
      </c>
    </row>
    <row r="67" spans="1:9" x14ac:dyDescent="0.35">
      <c r="A67" t="s">
        <v>26</v>
      </c>
      <c r="B67">
        <v>2040</v>
      </c>
      <c r="C67" t="s">
        <v>69</v>
      </c>
      <c r="D67" t="s">
        <v>50</v>
      </c>
      <c r="E67">
        <v>5.1825953489567005E-4</v>
      </c>
      <c r="F67">
        <v>5.1825953489567005E-4</v>
      </c>
      <c r="G67">
        <v>0</v>
      </c>
      <c r="H67">
        <v>0</v>
      </c>
      <c r="I67" t="s">
        <v>71</v>
      </c>
    </row>
    <row r="68" spans="1:9" x14ac:dyDescent="0.35">
      <c r="A68" t="s">
        <v>26</v>
      </c>
      <c r="B68">
        <v>2040</v>
      </c>
      <c r="C68" t="s">
        <v>69</v>
      </c>
      <c r="D68" t="s">
        <v>51</v>
      </c>
      <c r="E68">
        <v>9.5855419626894103E-3</v>
      </c>
      <c r="F68">
        <v>9.5855419626894103E-3</v>
      </c>
      <c r="G68">
        <v>0</v>
      </c>
      <c r="H68">
        <v>0</v>
      </c>
      <c r="I68" t="s">
        <v>71</v>
      </c>
    </row>
    <row r="69" spans="1:9" x14ac:dyDescent="0.35">
      <c r="A69" t="s">
        <v>26</v>
      </c>
      <c r="B69">
        <v>2040</v>
      </c>
      <c r="C69" t="s">
        <v>69</v>
      </c>
      <c r="D69" t="s">
        <v>52</v>
      </c>
      <c r="E69">
        <v>2.13007025965745E-3</v>
      </c>
      <c r="F69">
        <v>2.13007025965745E-3</v>
      </c>
      <c r="G69">
        <v>0</v>
      </c>
      <c r="H69">
        <v>0</v>
      </c>
      <c r="I69" t="s">
        <v>71</v>
      </c>
    </row>
    <row r="70" spans="1:9" x14ac:dyDescent="0.35">
      <c r="A70" t="s">
        <v>26</v>
      </c>
      <c r="B70">
        <v>2040</v>
      </c>
      <c r="C70" t="s">
        <v>69</v>
      </c>
      <c r="D70" t="s">
        <v>53</v>
      </c>
      <c r="E70">
        <v>8.6999614768255799E-3</v>
      </c>
      <c r="F70">
        <v>8.6999614768255799E-3</v>
      </c>
      <c r="G70">
        <v>0</v>
      </c>
      <c r="H70">
        <v>0</v>
      </c>
      <c r="I70" t="s">
        <v>71</v>
      </c>
    </row>
    <row r="71" spans="1:9" x14ac:dyDescent="0.35">
      <c r="A71" t="s">
        <v>26</v>
      </c>
      <c r="B71">
        <v>2040</v>
      </c>
      <c r="C71" t="s">
        <v>69</v>
      </c>
      <c r="D71" t="s">
        <v>54</v>
      </c>
      <c r="E71">
        <v>6.8405320986831197E-4</v>
      </c>
      <c r="F71">
        <v>6.8405320986831197E-4</v>
      </c>
      <c r="G71">
        <v>0</v>
      </c>
      <c r="H71">
        <v>0</v>
      </c>
      <c r="I71" t="s">
        <v>71</v>
      </c>
    </row>
    <row r="72" spans="1:9" x14ac:dyDescent="0.35">
      <c r="A72" t="s">
        <v>26</v>
      </c>
      <c r="B72">
        <v>2040</v>
      </c>
      <c r="C72" t="s">
        <v>69</v>
      </c>
      <c r="D72" t="s">
        <v>55</v>
      </c>
      <c r="E72">
        <v>6.2488045053990396E-4</v>
      </c>
      <c r="F72">
        <v>6.2488045053990396E-4</v>
      </c>
      <c r="G72">
        <v>0</v>
      </c>
      <c r="H72">
        <v>0</v>
      </c>
      <c r="I72" t="s">
        <v>71</v>
      </c>
    </row>
    <row r="73" spans="1:9" x14ac:dyDescent="0.35">
      <c r="A73" t="s">
        <v>26</v>
      </c>
      <c r="B73">
        <v>2040</v>
      </c>
      <c r="C73" t="s">
        <v>69</v>
      </c>
      <c r="D73" t="s">
        <v>56</v>
      </c>
      <c r="E73" s="1">
        <v>1.5048340683370901E-9</v>
      </c>
      <c r="F73" s="1">
        <v>1.5048340683370901E-9</v>
      </c>
      <c r="G73">
        <v>0</v>
      </c>
      <c r="H73">
        <v>0</v>
      </c>
      <c r="I73" t="s">
        <v>71</v>
      </c>
    </row>
    <row r="74" spans="1:9" x14ac:dyDescent="0.35">
      <c r="A74" t="s">
        <v>20</v>
      </c>
      <c r="B74">
        <v>2025</v>
      </c>
      <c r="C74" t="s">
        <v>69</v>
      </c>
      <c r="D74" t="s">
        <v>38</v>
      </c>
      <c r="E74" s="1">
        <v>1.80359264931652E-6</v>
      </c>
      <c r="F74" s="1">
        <v>1.80359264931652E-6</v>
      </c>
      <c r="G74">
        <v>0</v>
      </c>
      <c r="H74">
        <v>0</v>
      </c>
      <c r="I74" t="s">
        <v>70</v>
      </c>
    </row>
    <row r="75" spans="1:9" x14ac:dyDescent="0.35">
      <c r="A75" t="s">
        <v>20</v>
      </c>
      <c r="B75">
        <v>2025</v>
      </c>
      <c r="C75" t="s">
        <v>69</v>
      </c>
      <c r="D75" t="s">
        <v>40</v>
      </c>
      <c r="E75" s="1">
        <v>3.7018875478513202E-5</v>
      </c>
      <c r="F75" s="1">
        <v>3.7018875478513202E-5</v>
      </c>
      <c r="G75">
        <v>0</v>
      </c>
      <c r="H75">
        <v>0</v>
      </c>
      <c r="I75" t="s">
        <v>70</v>
      </c>
    </row>
    <row r="76" spans="1:9" x14ac:dyDescent="0.35">
      <c r="A76" t="s">
        <v>20</v>
      </c>
      <c r="B76">
        <v>2025</v>
      </c>
      <c r="C76" t="s">
        <v>69</v>
      </c>
      <c r="D76" t="s">
        <v>41</v>
      </c>
      <c r="E76">
        <v>2.04530502163907E-4</v>
      </c>
      <c r="F76">
        <v>2.04530502163907E-4</v>
      </c>
      <c r="G76">
        <v>0</v>
      </c>
      <c r="H76">
        <v>0</v>
      </c>
      <c r="I76" t="s">
        <v>70</v>
      </c>
    </row>
    <row r="77" spans="1:9" x14ac:dyDescent="0.35">
      <c r="A77" t="s">
        <v>20</v>
      </c>
      <c r="B77">
        <v>2025</v>
      </c>
      <c r="C77" t="s">
        <v>69</v>
      </c>
      <c r="D77" t="s">
        <v>42</v>
      </c>
      <c r="E77">
        <v>9.8599785124288807E-3</v>
      </c>
      <c r="F77">
        <v>9.8599785124288807E-3</v>
      </c>
      <c r="G77">
        <v>0</v>
      </c>
      <c r="H77">
        <v>0</v>
      </c>
      <c r="I77" t="s">
        <v>70</v>
      </c>
    </row>
    <row r="78" spans="1:9" x14ac:dyDescent="0.35">
      <c r="A78" t="s">
        <v>20</v>
      </c>
      <c r="B78">
        <v>2025</v>
      </c>
      <c r="C78" t="s">
        <v>69</v>
      </c>
      <c r="D78" t="s">
        <v>43</v>
      </c>
      <c r="E78" s="1">
        <v>6.8653690394126398E-5</v>
      </c>
      <c r="F78" s="1">
        <v>6.8653690394126398E-5</v>
      </c>
      <c r="G78">
        <v>0</v>
      </c>
      <c r="H78">
        <v>0</v>
      </c>
      <c r="I78" t="s">
        <v>70</v>
      </c>
    </row>
    <row r="79" spans="1:9" x14ac:dyDescent="0.35">
      <c r="A79" t="s">
        <v>20</v>
      </c>
      <c r="B79">
        <v>2025</v>
      </c>
      <c r="C79" t="s">
        <v>69</v>
      </c>
      <c r="D79" t="s">
        <v>136</v>
      </c>
      <c r="E79">
        <v>2.4022583809718001E-2</v>
      </c>
      <c r="F79">
        <v>2.4022583809718001E-2</v>
      </c>
      <c r="G79">
        <v>0</v>
      </c>
      <c r="H79">
        <v>0</v>
      </c>
      <c r="I79" t="s">
        <v>70</v>
      </c>
    </row>
    <row r="80" spans="1:9" x14ac:dyDescent="0.35">
      <c r="A80" t="s">
        <v>20</v>
      </c>
      <c r="B80">
        <v>2025</v>
      </c>
      <c r="C80" t="s">
        <v>69</v>
      </c>
      <c r="D80" t="s">
        <v>45</v>
      </c>
      <c r="E80">
        <v>1.52788688777621E-3</v>
      </c>
      <c r="F80">
        <v>1.52788688777621E-3</v>
      </c>
      <c r="G80">
        <v>0</v>
      </c>
      <c r="H80">
        <v>0</v>
      </c>
      <c r="I80" t="s">
        <v>70</v>
      </c>
    </row>
    <row r="81" spans="1:9" x14ac:dyDescent="0.35">
      <c r="A81" t="s">
        <v>20</v>
      </c>
      <c r="B81">
        <v>2025</v>
      </c>
      <c r="C81" t="s">
        <v>69</v>
      </c>
      <c r="D81" t="s">
        <v>46</v>
      </c>
      <c r="E81">
        <v>2.8521566801215201E-4</v>
      </c>
      <c r="F81">
        <v>2.8521566801215201E-4</v>
      </c>
      <c r="G81">
        <v>0</v>
      </c>
      <c r="H81">
        <v>0</v>
      </c>
      <c r="I81" t="s">
        <v>70</v>
      </c>
    </row>
    <row r="82" spans="1:9" x14ac:dyDescent="0.35">
      <c r="A82" t="s">
        <v>20</v>
      </c>
      <c r="B82">
        <v>2025</v>
      </c>
      <c r="C82" t="s">
        <v>69</v>
      </c>
      <c r="D82" t="s">
        <v>47</v>
      </c>
      <c r="E82" s="1">
        <v>1.0511708258863199E-5</v>
      </c>
      <c r="F82" s="1">
        <v>1.0511708258863199E-5</v>
      </c>
      <c r="G82">
        <v>0</v>
      </c>
      <c r="H82">
        <v>0</v>
      </c>
      <c r="I82" t="s">
        <v>70</v>
      </c>
    </row>
    <row r="83" spans="1:9" x14ac:dyDescent="0.35">
      <c r="A83" t="s">
        <v>20</v>
      </c>
      <c r="B83">
        <v>2025</v>
      </c>
      <c r="C83" t="s">
        <v>69</v>
      </c>
      <c r="D83" t="s">
        <v>48</v>
      </c>
      <c r="E83">
        <v>1.50650450674414E-3</v>
      </c>
      <c r="F83">
        <v>1.50650450674414E-3</v>
      </c>
      <c r="G83">
        <v>0</v>
      </c>
      <c r="H83">
        <v>0</v>
      </c>
      <c r="I83" t="s">
        <v>70</v>
      </c>
    </row>
    <row r="84" spans="1:9" x14ac:dyDescent="0.35">
      <c r="A84" t="s">
        <v>20</v>
      </c>
      <c r="B84">
        <v>2025</v>
      </c>
      <c r="C84" t="s">
        <v>69</v>
      </c>
      <c r="D84" t="s">
        <v>49</v>
      </c>
      <c r="E84">
        <v>2.0875545055732699E-4</v>
      </c>
      <c r="F84">
        <v>2.0875545055732699E-4</v>
      </c>
      <c r="G84">
        <v>0</v>
      </c>
      <c r="H84">
        <v>0</v>
      </c>
      <c r="I84" t="s">
        <v>70</v>
      </c>
    </row>
    <row r="85" spans="1:9" x14ac:dyDescent="0.35">
      <c r="A85" t="s">
        <v>20</v>
      </c>
      <c r="B85">
        <v>2025</v>
      </c>
      <c r="C85" t="s">
        <v>69</v>
      </c>
      <c r="D85" t="s">
        <v>50</v>
      </c>
      <c r="E85">
        <v>5.2281784779886005E-4</v>
      </c>
      <c r="F85">
        <v>5.2281784779886005E-4</v>
      </c>
      <c r="G85">
        <v>0</v>
      </c>
      <c r="H85">
        <v>0</v>
      </c>
      <c r="I85" t="s">
        <v>70</v>
      </c>
    </row>
    <row r="86" spans="1:9" x14ac:dyDescent="0.35">
      <c r="A86" t="s">
        <v>20</v>
      </c>
      <c r="B86">
        <v>2025</v>
      </c>
      <c r="C86" t="s">
        <v>69</v>
      </c>
      <c r="D86" t="s">
        <v>51</v>
      </c>
      <c r="E86">
        <v>9.4814130114309891E-3</v>
      </c>
      <c r="F86">
        <v>9.4814130114309891E-3</v>
      </c>
      <c r="G86">
        <v>0</v>
      </c>
      <c r="H86">
        <v>0</v>
      </c>
      <c r="I86" t="s">
        <v>70</v>
      </c>
    </row>
    <row r="87" spans="1:9" x14ac:dyDescent="0.35">
      <c r="A87" t="s">
        <v>20</v>
      </c>
      <c r="B87">
        <v>2025</v>
      </c>
      <c r="C87" t="s">
        <v>69</v>
      </c>
      <c r="D87" t="s">
        <v>52</v>
      </c>
      <c r="E87">
        <v>4.3666454406353604E-3</v>
      </c>
      <c r="F87">
        <v>4.3666454406353604E-3</v>
      </c>
      <c r="G87">
        <v>0</v>
      </c>
      <c r="H87">
        <v>0</v>
      </c>
      <c r="I87" t="s">
        <v>70</v>
      </c>
    </row>
    <row r="88" spans="1:9" x14ac:dyDescent="0.35">
      <c r="A88" t="s">
        <v>20</v>
      </c>
      <c r="B88">
        <v>2025</v>
      </c>
      <c r="C88" t="s">
        <v>69</v>
      </c>
      <c r="D88" t="s">
        <v>53</v>
      </c>
      <c r="E88">
        <v>6.9013263712907596E-3</v>
      </c>
      <c r="F88">
        <v>6.9013263712907596E-3</v>
      </c>
      <c r="G88">
        <v>0</v>
      </c>
      <c r="H88">
        <v>0</v>
      </c>
      <c r="I88" t="s">
        <v>70</v>
      </c>
    </row>
    <row r="89" spans="1:9" x14ac:dyDescent="0.35">
      <c r="A89" t="s">
        <v>20</v>
      </c>
      <c r="B89">
        <v>2025</v>
      </c>
      <c r="C89" t="s">
        <v>69</v>
      </c>
      <c r="D89" t="s">
        <v>54</v>
      </c>
      <c r="E89">
        <v>3.7172851546144001E-4</v>
      </c>
      <c r="F89">
        <v>3.7172851546144001E-4</v>
      </c>
      <c r="G89">
        <v>0</v>
      </c>
      <c r="H89">
        <v>0</v>
      </c>
      <c r="I89" t="s">
        <v>70</v>
      </c>
    </row>
    <row r="90" spans="1:9" x14ac:dyDescent="0.35">
      <c r="A90" t="s">
        <v>20</v>
      </c>
      <c r="B90">
        <v>2025</v>
      </c>
      <c r="C90" t="s">
        <v>69</v>
      </c>
      <c r="D90" t="s">
        <v>55</v>
      </c>
      <c r="E90">
        <v>3.5128035330966601E-4</v>
      </c>
      <c r="F90">
        <v>3.5128035330966601E-4</v>
      </c>
      <c r="G90">
        <v>0</v>
      </c>
      <c r="H90">
        <v>0</v>
      </c>
      <c r="I90" t="s">
        <v>70</v>
      </c>
    </row>
    <row r="91" spans="1:9" x14ac:dyDescent="0.35">
      <c r="A91" t="s">
        <v>20</v>
      </c>
      <c r="B91">
        <v>2025</v>
      </c>
      <c r="C91" t="s">
        <v>69</v>
      </c>
      <c r="D91" t="s">
        <v>56</v>
      </c>
      <c r="E91" s="1">
        <v>1.56075981209477E-9</v>
      </c>
      <c r="F91" s="1">
        <v>1.56075981209477E-9</v>
      </c>
      <c r="G91">
        <v>0</v>
      </c>
      <c r="H91">
        <v>0</v>
      </c>
      <c r="I91" t="s">
        <v>70</v>
      </c>
    </row>
    <row r="92" spans="1:9" x14ac:dyDescent="0.35">
      <c r="A92" t="s">
        <v>22</v>
      </c>
      <c r="B92">
        <v>2030</v>
      </c>
      <c r="C92" t="s">
        <v>69</v>
      </c>
      <c r="D92" t="s">
        <v>38</v>
      </c>
      <c r="E92" s="1">
        <v>3.9616077873984399E-6</v>
      </c>
      <c r="F92" s="1">
        <v>3.9616077873984399E-6</v>
      </c>
      <c r="G92">
        <v>0</v>
      </c>
      <c r="H92">
        <v>0</v>
      </c>
      <c r="I92" t="s">
        <v>70</v>
      </c>
    </row>
    <row r="93" spans="1:9" x14ac:dyDescent="0.35">
      <c r="A93" t="s">
        <v>22</v>
      </c>
      <c r="B93">
        <v>2030</v>
      </c>
      <c r="C93" t="s">
        <v>69</v>
      </c>
      <c r="D93" t="s">
        <v>40</v>
      </c>
      <c r="E93" s="1">
        <v>3.6778390079633497E-5</v>
      </c>
      <c r="F93" s="1">
        <v>3.6778390079633497E-5</v>
      </c>
      <c r="G93">
        <v>0</v>
      </c>
      <c r="H93">
        <v>0</v>
      </c>
      <c r="I93" t="s">
        <v>70</v>
      </c>
    </row>
    <row r="94" spans="1:9" x14ac:dyDescent="0.35">
      <c r="A94" t="s">
        <v>22</v>
      </c>
      <c r="B94">
        <v>2030</v>
      </c>
      <c r="C94" t="s">
        <v>69</v>
      </c>
      <c r="D94" t="s">
        <v>41</v>
      </c>
      <c r="E94">
        <v>2.07995602883997E-4</v>
      </c>
      <c r="F94">
        <v>2.07995602883997E-4</v>
      </c>
      <c r="G94">
        <v>0</v>
      </c>
      <c r="H94">
        <v>0</v>
      </c>
      <c r="I94" t="s">
        <v>70</v>
      </c>
    </row>
    <row r="95" spans="1:9" x14ac:dyDescent="0.35">
      <c r="A95" t="s">
        <v>22</v>
      </c>
      <c r="B95">
        <v>2030</v>
      </c>
      <c r="C95" t="s">
        <v>69</v>
      </c>
      <c r="D95" t="s">
        <v>42</v>
      </c>
      <c r="E95">
        <v>8.4512221599271995E-3</v>
      </c>
      <c r="F95">
        <v>8.4512221599271995E-3</v>
      </c>
      <c r="G95">
        <v>0</v>
      </c>
      <c r="H95">
        <v>0</v>
      </c>
      <c r="I95" t="s">
        <v>70</v>
      </c>
    </row>
    <row r="96" spans="1:9" x14ac:dyDescent="0.35">
      <c r="A96" t="s">
        <v>22</v>
      </c>
      <c r="B96">
        <v>2030</v>
      </c>
      <c r="C96" t="s">
        <v>69</v>
      </c>
      <c r="D96" t="s">
        <v>43</v>
      </c>
      <c r="E96" s="1">
        <v>6.9667582045267705E-5</v>
      </c>
      <c r="F96" s="1">
        <v>6.9667582045267705E-5</v>
      </c>
      <c r="G96">
        <v>0</v>
      </c>
      <c r="H96">
        <v>0</v>
      </c>
      <c r="I96" t="s">
        <v>70</v>
      </c>
    </row>
    <row r="97" spans="1:9" x14ac:dyDescent="0.35">
      <c r="A97" t="s">
        <v>22</v>
      </c>
      <c r="B97">
        <v>2030</v>
      </c>
      <c r="C97" t="s">
        <v>69</v>
      </c>
      <c r="D97" t="s">
        <v>136</v>
      </c>
      <c r="E97">
        <v>2.4107557371143E-2</v>
      </c>
      <c r="F97">
        <v>2.4107557371143E-2</v>
      </c>
      <c r="G97">
        <v>0</v>
      </c>
      <c r="H97">
        <v>0</v>
      </c>
      <c r="I97" t="s">
        <v>70</v>
      </c>
    </row>
    <row r="98" spans="1:9" x14ac:dyDescent="0.35">
      <c r="A98" t="s">
        <v>22</v>
      </c>
      <c r="B98">
        <v>2030</v>
      </c>
      <c r="C98" t="s">
        <v>69</v>
      </c>
      <c r="D98" t="s">
        <v>45</v>
      </c>
      <c r="E98">
        <v>1.5275611380242101E-3</v>
      </c>
      <c r="F98">
        <v>1.5275611380242101E-3</v>
      </c>
      <c r="G98">
        <v>0</v>
      </c>
      <c r="H98">
        <v>0</v>
      </c>
      <c r="I98" t="s">
        <v>70</v>
      </c>
    </row>
    <row r="99" spans="1:9" x14ac:dyDescent="0.35">
      <c r="A99" t="s">
        <v>22</v>
      </c>
      <c r="B99">
        <v>2030</v>
      </c>
      <c r="C99" t="s">
        <v>69</v>
      </c>
      <c r="D99" t="s">
        <v>46</v>
      </c>
      <c r="E99">
        <v>4.8026649270122002E-4</v>
      </c>
      <c r="F99">
        <v>4.8026649270122002E-4</v>
      </c>
      <c r="G99">
        <v>0</v>
      </c>
      <c r="H99">
        <v>0</v>
      </c>
      <c r="I99" t="s">
        <v>70</v>
      </c>
    </row>
    <row r="100" spans="1:9" x14ac:dyDescent="0.35">
      <c r="A100" t="s">
        <v>22</v>
      </c>
      <c r="B100">
        <v>2030</v>
      </c>
      <c r="C100" t="s">
        <v>69</v>
      </c>
      <c r="D100" t="s">
        <v>47</v>
      </c>
      <c r="E100" s="1">
        <v>8.2334522254516497E-6</v>
      </c>
      <c r="F100" s="1">
        <v>8.2334522254516497E-6</v>
      </c>
      <c r="G100">
        <v>0</v>
      </c>
      <c r="H100">
        <v>0</v>
      </c>
      <c r="I100" t="s">
        <v>70</v>
      </c>
    </row>
    <row r="101" spans="1:9" x14ac:dyDescent="0.35">
      <c r="A101" t="s">
        <v>22</v>
      </c>
      <c r="B101">
        <v>2030</v>
      </c>
      <c r="C101" t="s">
        <v>69</v>
      </c>
      <c r="D101" t="s">
        <v>48</v>
      </c>
      <c r="E101">
        <v>1.5041641972329701E-3</v>
      </c>
      <c r="F101">
        <v>1.5041641972329701E-3</v>
      </c>
      <c r="G101">
        <v>0</v>
      </c>
      <c r="H101">
        <v>0</v>
      </c>
      <c r="I101" t="s">
        <v>70</v>
      </c>
    </row>
    <row r="102" spans="1:9" x14ac:dyDescent="0.35">
      <c r="A102" t="s">
        <v>22</v>
      </c>
      <c r="B102">
        <v>2030</v>
      </c>
      <c r="C102" t="s">
        <v>69</v>
      </c>
      <c r="D102" t="s">
        <v>49</v>
      </c>
      <c r="E102">
        <v>2.0821519235570901E-4</v>
      </c>
      <c r="F102">
        <v>2.0821519235570901E-4</v>
      </c>
      <c r="G102">
        <v>0</v>
      </c>
      <c r="H102">
        <v>0</v>
      </c>
      <c r="I102" t="s">
        <v>70</v>
      </c>
    </row>
    <row r="103" spans="1:9" x14ac:dyDescent="0.35">
      <c r="A103" t="s">
        <v>22</v>
      </c>
      <c r="B103">
        <v>2030</v>
      </c>
      <c r="C103" t="s">
        <v>69</v>
      </c>
      <c r="D103" t="s">
        <v>50</v>
      </c>
      <c r="E103">
        <v>5.1527176961754296E-4</v>
      </c>
      <c r="F103">
        <v>5.1527176961754296E-4</v>
      </c>
      <c r="G103">
        <v>0</v>
      </c>
      <c r="H103">
        <v>0</v>
      </c>
      <c r="I103" t="s">
        <v>70</v>
      </c>
    </row>
    <row r="104" spans="1:9" x14ac:dyDescent="0.35">
      <c r="A104" t="s">
        <v>22</v>
      </c>
      <c r="B104">
        <v>2030</v>
      </c>
      <c r="C104" t="s">
        <v>69</v>
      </c>
      <c r="D104" t="s">
        <v>51</v>
      </c>
      <c r="E104">
        <v>9.4821733992986896E-3</v>
      </c>
      <c r="F104">
        <v>9.4821733992986896E-3</v>
      </c>
      <c r="G104">
        <v>0</v>
      </c>
      <c r="H104">
        <v>0</v>
      </c>
      <c r="I104" t="s">
        <v>70</v>
      </c>
    </row>
    <row r="105" spans="1:9" x14ac:dyDescent="0.35">
      <c r="A105" t="s">
        <v>22</v>
      </c>
      <c r="B105">
        <v>2030</v>
      </c>
      <c r="C105" t="s">
        <v>69</v>
      </c>
      <c r="D105" t="s">
        <v>52</v>
      </c>
      <c r="E105">
        <v>3.42239190461637E-3</v>
      </c>
      <c r="F105">
        <v>3.42239190461637E-3</v>
      </c>
      <c r="G105">
        <v>0</v>
      </c>
      <c r="H105">
        <v>0</v>
      </c>
      <c r="I105" t="s">
        <v>70</v>
      </c>
    </row>
    <row r="106" spans="1:9" x14ac:dyDescent="0.35">
      <c r="A106" t="s">
        <v>22</v>
      </c>
      <c r="B106">
        <v>2030</v>
      </c>
      <c r="C106" t="s">
        <v>69</v>
      </c>
      <c r="D106" t="s">
        <v>53</v>
      </c>
      <c r="E106">
        <v>7.2519987048430302E-3</v>
      </c>
      <c r="F106">
        <v>7.2519987048430302E-3</v>
      </c>
      <c r="G106">
        <v>0</v>
      </c>
      <c r="H106">
        <v>0</v>
      </c>
      <c r="I106" t="s">
        <v>70</v>
      </c>
    </row>
    <row r="107" spans="1:9" x14ac:dyDescent="0.35">
      <c r="A107" t="s">
        <v>22</v>
      </c>
      <c r="B107">
        <v>2030</v>
      </c>
      <c r="C107" t="s">
        <v>69</v>
      </c>
      <c r="D107" t="s">
        <v>54</v>
      </c>
      <c r="E107">
        <v>3.3811947055790097E-4</v>
      </c>
      <c r="F107">
        <v>3.3811947055790097E-4</v>
      </c>
      <c r="G107">
        <v>0</v>
      </c>
      <c r="H107">
        <v>0</v>
      </c>
      <c r="I107" t="s">
        <v>70</v>
      </c>
    </row>
    <row r="108" spans="1:9" x14ac:dyDescent="0.35">
      <c r="A108" t="s">
        <v>22</v>
      </c>
      <c r="B108">
        <v>2030</v>
      </c>
      <c r="C108" t="s">
        <v>69</v>
      </c>
      <c r="D108" t="s">
        <v>55</v>
      </c>
      <c r="E108">
        <v>3.1820460965463899E-4</v>
      </c>
      <c r="F108">
        <v>3.1820460965463899E-4</v>
      </c>
      <c r="G108">
        <v>0</v>
      </c>
      <c r="H108">
        <v>0</v>
      </c>
      <c r="I108" t="s">
        <v>70</v>
      </c>
    </row>
    <row r="109" spans="1:9" x14ac:dyDescent="0.35">
      <c r="A109" t="s">
        <v>22</v>
      </c>
      <c r="B109">
        <v>2030</v>
      </c>
      <c r="C109" t="s">
        <v>69</v>
      </c>
      <c r="D109" t="s">
        <v>56</v>
      </c>
      <c r="E109" s="1">
        <v>1.7134669822118E-9</v>
      </c>
      <c r="F109" s="1">
        <v>1.7134669822118E-9</v>
      </c>
      <c r="G109">
        <v>0</v>
      </c>
      <c r="H109">
        <v>0</v>
      </c>
      <c r="I109" t="s">
        <v>70</v>
      </c>
    </row>
    <row r="110" spans="1:9" x14ac:dyDescent="0.35">
      <c r="A110" t="s">
        <v>24</v>
      </c>
      <c r="B110">
        <v>2035</v>
      </c>
      <c r="C110" t="s">
        <v>69</v>
      </c>
      <c r="D110" t="s">
        <v>38</v>
      </c>
      <c r="E110" s="1">
        <v>5.5865295637423502E-6</v>
      </c>
      <c r="F110" s="1">
        <v>5.5865295637423502E-6</v>
      </c>
      <c r="G110">
        <v>0</v>
      </c>
      <c r="H110">
        <v>0</v>
      </c>
      <c r="I110" t="s">
        <v>70</v>
      </c>
    </row>
    <row r="111" spans="1:9" x14ac:dyDescent="0.35">
      <c r="A111" t="s">
        <v>24</v>
      </c>
      <c r="B111">
        <v>2035</v>
      </c>
      <c r="C111" t="s">
        <v>69</v>
      </c>
      <c r="D111" t="s">
        <v>40</v>
      </c>
      <c r="E111" s="1">
        <v>3.6618913852068597E-5</v>
      </c>
      <c r="F111" s="1">
        <v>3.6618913852068597E-5</v>
      </c>
      <c r="G111">
        <v>0</v>
      </c>
      <c r="H111">
        <v>0</v>
      </c>
      <c r="I111" t="s">
        <v>70</v>
      </c>
    </row>
    <row r="112" spans="1:9" x14ac:dyDescent="0.35">
      <c r="A112" t="s">
        <v>24</v>
      </c>
      <c r="B112">
        <v>2035</v>
      </c>
      <c r="C112" t="s">
        <v>69</v>
      </c>
      <c r="D112" t="s">
        <v>41</v>
      </c>
      <c r="E112">
        <v>2.08422126513971E-4</v>
      </c>
      <c r="F112">
        <v>2.08422126513971E-4</v>
      </c>
      <c r="G112">
        <v>0</v>
      </c>
      <c r="H112">
        <v>0</v>
      </c>
      <c r="I112" t="s">
        <v>70</v>
      </c>
    </row>
    <row r="113" spans="1:9" x14ac:dyDescent="0.35">
      <c r="A113" t="s">
        <v>24</v>
      </c>
      <c r="B113">
        <v>2035</v>
      </c>
      <c r="C113" t="s">
        <v>69</v>
      </c>
      <c r="D113" t="s">
        <v>42</v>
      </c>
      <c r="E113">
        <v>7.4476080347397403E-3</v>
      </c>
      <c r="F113">
        <v>7.4476080347397403E-3</v>
      </c>
      <c r="G113">
        <v>0</v>
      </c>
      <c r="H113">
        <v>0</v>
      </c>
      <c r="I113" t="s">
        <v>70</v>
      </c>
    </row>
    <row r="114" spans="1:9" x14ac:dyDescent="0.35">
      <c r="A114" t="s">
        <v>24</v>
      </c>
      <c r="B114">
        <v>2035</v>
      </c>
      <c r="C114" t="s">
        <v>69</v>
      </c>
      <c r="D114" t="s">
        <v>43</v>
      </c>
      <c r="E114" s="1">
        <v>6.95797435485364E-5</v>
      </c>
      <c r="F114" s="1">
        <v>6.95797435485364E-5</v>
      </c>
      <c r="G114">
        <v>0</v>
      </c>
      <c r="H114">
        <v>0</v>
      </c>
      <c r="I114" t="s">
        <v>70</v>
      </c>
    </row>
    <row r="115" spans="1:9" x14ac:dyDescent="0.35">
      <c r="A115" t="s">
        <v>24</v>
      </c>
      <c r="B115">
        <v>2035</v>
      </c>
      <c r="C115" t="s">
        <v>69</v>
      </c>
      <c r="D115" t="s">
        <v>136</v>
      </c>
      <c r="E115">
        <v>2.4713734979235E-2</v>
      </c>
      <c r="F115">
        <v>2.4713734979235E-2</v>
      </c>
      <c r="G115">
        <v>0</v>
      </c>
      <c r="H115">
        <v>0</v>
      </c>
      <c r="I115" t="s">
        <v>70</v>
      </c>
    </row>
    <row r="116" spans="1:9" x14ac:dyDescent="0.35">
      <c r="A116" t="s">
        <v>24</v>
      </c>
      <c r="B116">
        <v>2035</v>
      </c>
      <c r="C116" t="s">
        <v>69</v>
      </c>
      <c r="D116" t="s">
        <v>45</v>
      </c>
      <c r="E116">
        <v>1.52698144406542E-3</v>
      </c>
      <c r="F116">
        <v>1.52698144406542E-3</v>
      </c>
      <c r="G116">
        <v>0</v>
      </c>
      <c r="H116">
        <v>0</v>
      </c>
      <c r="I116" t="s">
        <v>70</v>
      </c>
    </row>
    <row r="117" spans="1:9" x14ac:dyDescent="0.35">
      <c r="A117" t="s">
        <v>24</v>
      </c>
      <c r="B117">
        <v>2035</v>
      </c>
      <c r="C117" t="s">
        <v>69</v>
      </c>
      <c r="D117" t="s">
        <v>46</v>
      </c>
      <c r="E117">
        <v>6.5335853749708302E-4</v>
      </c>
      <c r="F117">
        <v>6.5335853749708302E-4</v>
      </c>
      <c r="G117">
        <v>0</v>
      </c>
      <c r="H117">
        <v>0</v>
      </c>
      <c r="I117" t="s">
        <v>70</v>
      </c>
    </row>
    <row r="118" spans="1:9" x14ac:dyDescent="0.35">
      <c r="A118" t="s">
        <v>24</v>
      </c>
      <c r="B118">
        <v>2035</v>
      </c>
      <c r="C118" t="s">
        <v>69</v>
      </c>
      <c r="D118" t="s">
        <v>47</v>
      </c>
      <c r="E118" s="1">
        <v>6.6142482434180403E-6</v>
      </c>
      <c r="F118" s="1">
        <v>6.6142482434180403E-6</v>
      </c>
      <c r="G118">
        <v>0</v>
      </c>
      <c r="H118">
        <v>0</v>
      </c>
      <c r="I118" t="s">
        <v>70</v>
      </c>
    </row>
    <row r="119" spans="1:9" x14ac:dyDescent="0.35">
      <c r="A119" t="s">
        <v>24</v>
      </c>
      <c r="B119">
        <v>2035</v>
      </c>
      <c r="C119" t="s">
        <v>69</v>
      </c>
      <c r="D119" t="s">
        <v>48</v>
      </c>
      <c r="E119">
        <v>1.4893007509928001E-3</v>
      </c>
      <c r="F119">
        <v>1.4893007509928001E-3</v>
      </c>
      <c r="G119">
        <v>0</v>
      </c>
      <c r="H119">
        <v>0</v>
      </c>
      <c r="I119" t="s">
        <v>70</v>
      </c>
    </row>
    <row r="120" spans="1:9" x14ac:dyDescent="0.35">
      <c r="A120" t="s">
        <v>24</v>
      </c>
      <c r="B120">
        <v>2035</v>
      </c>
      <c r="C120" t="s">
        <v>69</v>
      </c>
      <c r="D120" t="s">
        <v>49</v>
      </c>
      <c r="E120">
        <v>2.0715119396412301E-4</v>
      </c>
      <c r="F120">
        <v>2.0715119396412301E-4</v>
      </c>
      <c r="G120">
        <v>0</v>
      </c>
      <c r="H120">
        <v>0</v>
      </c>
      <c r="I120" t="s">
        <v>70</v>
      </c>
    </row>
    <row r="121" spans="1:9" x14ac:dyDescent="0.35">
      <c r="A121" t="s">
        <v>24</v>
      </c>
      <c r="B121">
        <v>2035</v>
      </c>
      <c r="C121" t="s">
        <v>69</v>
      </c>
      <c r="D121" t="s">
        <v>50</v>
      </c>
      <c r="E121">
        <v>5.0971856039991E-4</v>
      </c>
      <c r="F121">
        <v>5.0971856039991E-4</v>
      </c>
      <c r="G121">
        <v>0</v>
      </c>
      <c r="H121">
        <v>0</v>
      </c>
      <c r="I121" t="s">
        <v>70</v>
      </c>
    </row>
    <row r="122" spans="1:9" x14ac:dyDescent="0.35">
      <c r="A122" t="s">
        <v>24</v>
      </c>
      <c r="B122">
        <v>2035</v>
      </c>
      <c r="C122" t="s">
        <v>69</v>
      </c>
      <c r="D122" t="s">
        <v>51</v>
      </c>
      <c r="E122">
        <v>9.4847711304658494E-3</v>
      </c>
      <c r="F122">
        <v>9.4847711304658494E-3</v>
      </c>
      <c r="G122">
        <v>0</v>
      </c>
      <c r="H122">
        <v>0</v>
      </c>
      <c r="I122" t="s">
        <v>70</v>
      </c>
    </row>
    <row r="123" spans="1:9" x14ac:dyDescent="0.35">
      <c r="A123" t="s">
        <v>24</v>
      </c>
      <c r="B123">
        <v>2035</v>
      </c>
      <c r="C123" t="s">
        <v>69</v>
      </c>
      <c r="D123" t="s">
        <v>52</v>
      </c>
      <c r="E123">
        <v>2.5659168686407601E-3</v>
      </c>
      <c r="F123">
        <v>2.5659168686407601E-3</v>
      </c>
      <c r="G123">
        <v>0</v>
      </c>
      <c r="H123">
        <v>0</v>
      </c>
      <c r="I123" t="s">
        <v>70</v>
      </c>
    </row>
    <row r="124" spans="1:9" x14ac:dyDescent="0.35">
      <c r="A124" t="s">
        <v>24</v>
      </c>
      <c r="B124">
        <v>2035</v>
      </c>
      <c r="C124" t="s">
        <v>69</v>
      </c>
      <c r="D124" t="s">
        <v>53</v>
      </c>
      <c r="E124">
        <v>7.7358711217103302E-3</v>
      </c>
      <c r="F124">
        <v>7.7358711217103302E-3</v>
      </c>
      <c r="G124">
        <v>0</v>
      </c>
      <c r="H124">
        <v>0</v>
      </c>
      <c r="I124" t="s">
        <v>70</v>
      </c>
    </row>
    <row r="125" spans="1:9" x14ac:dyDescent="0.35">
      <c r="A125" t="s">
        <v>24</v>
      </c>
      <c r="B125">
        <v>2035</v>
      </c>
      <c r="C125" t="s">
        <v>69</v>
      </c>
      <c r="D125" t="s">
        <v>54</v>
      </c>
      <c r="E125">
        <v>3.1199034083320302E-4</v>
      </c>
      <c r="F125">
        <v>3.1199034083320302E-4</v>
      </c>
      <c r="G125">
        <v>0</v>
      </c>
      <c r="H125">
        <v>0</v>
      </c>
      <c r="I125" t="s">
        <v>70</v>
      </c>
    </row>
    <row r="126" spans="1:9" x14ac:dyDescent="0.35">
      <c r="A126" t="s">
        <v>24</v>
      </c>
      <c r="B126">
        <v>2035</v>
      </c>
      <c r="C126" t="s">
        <v>69</v>
      </c>
      <c r="D126" t="s">
        <v>55</v>
      </c>
      <c r="E126">
        <v>2.9276503066217701E-4</v>
      </c>
      <c r="F126">
        <v>2.9276503066217701E-4</v>
      </c>
      <c r="G126">
        <v>0</v>
      </c>
      <c r="H126">
        <v>0</v>
      </c>
      <c r="I126" t="s">
        <v>70</v>
      </c>
    </row>
    <row r="127" spans="1:9" x14ac:dyDescent="0.35">
      <c r="A127" t="s">
        <v>24</v>
      </c>
      <c r="B127">
        <v>2035</v>
      </c>
      <c r="C127" t="s">
        <v>69</v>
      </c>
      <c r="D127" t="s">
        <v>56</v>
      </c>
      <c r="E127" s="1">
        <v>1.8934072247676499E-9</v>
      </c>
      <c r="F127" s="1">
        <v>1.8934072247676499E-9</v>
      </c>
      <c r="G127">
        <v>0</v>
      </c>
      <c r="H127">
        <v>0</v>
      </c>
      <c r="I127" t="s">
        <v>70</v>
      </c>
    </row>
    <row r="128" spans="1:9" x14ac:dyDescent="0.35">
      <c r="A128" t="s">
        <v>26</v>
      </c>
      <c r="B128">
        <v>2040</v>
      </c>
      <c r="C128" t="s">
        <v>69</v>
      </c>
      <c r="D128" t="s">
        <v>38</v>
      </c>
      <c r="E128" s="1">
        <v>4.9023169439522402E-6</v>
      </c>
      <c r="F128" s="1">
        <v>4.9023169439522402E-6</v>
      </c>
      <c r="G128">
        <v>0</v>
      </c>
      <c r="H128">
        <v>0</v>
      </c>
      <c r="I128" t="s">
        <v>70</v>
      </c>
    </row>
    <row r="129" spans="1:9" x14ac:dyDescent="0.35">
      <c r="A129" t="s">
        <v>26</v>
      </c>
      <c r="B129">
        <v>2040</v>
      </c>
      <c r="C129" t="s">
        <v>69</v>
      </c>
      <c r="D129" t="s">
        <v>40</v>
      </c>
      <c r="E129" s="1">
        <v>3.6536365585594001E-5</v>
      </c>
      <c r="F129" s="1">
        <v>3.6536365585594001E-5</v>
      </c>
      <c r="G129">
        <v>0</v>
      </c>
      <c r="H129">
        <v>0</v>
      </c>
      <c r="I129" t="s">
        <v>70</v>
      </c>
    </row>
    <row r="130" spans="1:9" x14ac:dyDescent="0.35">
      <c r="A130" t="s">
        <v>26</v>
      </c>
      <c r="B130">
        <v>2040</v>
      </c>
      <c r="C130" t="s">
        <v>69</v>
      </c>
      <c r="D130" t="s">
        <v>41</v>
      </c>
      <c r="E130">
        <v>2.09359173623336E-4</v>
      </c>
      <c r="F130">
        <v>2.09359173623336E-4</v>
      </c>
      <c r="G130">
        <v>0</v>
      </c>
      <c r="H130">
        <v>0</v>
      </c>
      <c r="I130" t="s">
        <v>70</v>
      </c>
    </row>
    <row r="131" spans="1:9" x14ac:dyDescent="0.35">
      <c r="A131" t="s">
        <v>26</v>
      </c>
      <c r="B131">
        <v>2040</v>
      </c>
      <c r="C131" t="s">
        <v>69</v>
      </c>
      <c r="D131" t="s">
        <v>42</v>
      </c>
      <c r="E131">
        <v>6.9133864234555299E-3</v>
      </c>
      <c r="F131">
        <v>6.9133864234555299E-3</v>
      </c>
      <c r="G131">
        <v>0</v>
      </c>
      <c r="H131">
        <v>0</v>
      </c>
      <c r="I131" t="s">
        <v>70</v>
      </c>
    </row>
    <row r="132" spans="1:9" x14ac:dyDescent="0.35">
      <c r="A132" t="s">
        <v>26</v>
      </c>
      <c r="B132">
        <v>2040</v>
      </c>
      <c r="C132" t="s">
        <v>69</v>
      </c>
      <c r="D132" t="s">
        <v>43</v>
      </c>
      <c r="E132" s="1">
        <v>6.9464523743057398E-5</v>
      </c>
      <c r="F132" s="1">
        <v>6.9464523743057398E-5</v>
      </c>
      <c r="G132">
        <v>0</v>
      </c>
      <c r="H132">
        <v>0</v>
      </c>
      <c r="I132" t="s">
        <v>70</v>
      </c>
    </row>
    <row r="133" spans="1:9" x14ac:dyDescent="0.35">
      <c r="A133" t="s">
        <v>26</v>
      </c>
      <c r="B133">
        <v>2040</v>
      </c>
      <c r="C133" t="s">
        <v>69</v>
      </c>
      <c r="D133" t="s">
        <v>136</v>
      </c>
      <c r="E133">
        <v>2.55326881910947E-2</v>
      </c>
      <c r="F133">
        <v>2.55326881910947E-2</v>
      </c>
      <c r="G133">
        <v>0</v>
      </c>
      <c r="H133">
        <v>0</v>
      </c>
      <c r="I133" t="s">
        <v>70</v>
      </c>
    </row>
    <row r="134" spans="1:9" x14ac:dyDescent="0.35">
      <c r="A134" t="s">
        <v>26</v>
      </c>
      <c r="B134">
        <v>2040</v>
      </c>
      <c r="C134" t="s">
        <v>69</v>
      </c>
      <c r="D134" t="s">
        <v>45</v>
      </c>
      <c r="E134">
        <v>1.52686540487576E-3</v>
      </c>
      <c r="F134">
        <v>1.4915042474169599E-4</v>
      </c>
      <c r="G134">
        <v>-1.37771498013406E-3</v>
      </c>
      <c r="H134">
        <v>-90.231593153829294</v>
      </c>
      <c r="I134" t="s">
        <v>70</v>
      </c>
    </row>
    <row r="135" spans="1:9" x14ac:dyDescent="0.35">
      <c r="A135" t="s">
        <v>26</v>
      </c>
      <c r="B135">
        <v>2040</v>
      </c>
      <c r="C135" t="s">
        <v>69</v>
      </c>
      <c r="D135" t="s">
        <v>46</v>
      </c>
      <c r="E135">
        <v>7.5934481024043997E-4</v>
      </c>
      <c r="F135">
        <v>7.5934481024043997E-4</v>
      </c>
      <c r="G135">
        <v>0</v>
      </c>
      <c r="H135">
        <v>0</v>
      </c>
      <c r="I135" t="s">
        <v>70</v>
      </c>
    </row>
    <row r="136" spans="1:9" x14ac:dyDescent="0.35">
      <c r="A136" t="s">
        <v>26</v>
      </c>
      <c r="B136">
        <v>2040</v>
      </c>
      <c r="C136" t="s">
        <v>69</v>
      </c>
      <c r="D136" t="s">
        <v>47</v>
      </c>
      <c r="E136" s="1">
        <v>5.7620487650973002E-6</v>
      </c>
      <c r="F136" s="1">
        <v>5.7620487650973002E-6</v>
      </c>
      <c r="G136">
        <v>0</v>
      </c>
      <c r="H136">
        <v>0</v>
      </c>
      <c r="I136" t="s">
        <v>70</v>
      </c>
    </row>
    <row r="137" spans="1:9" x14ac:dyDescent="0.35">
      <c r="A137" t="s">
        <v>26</v>
      </c>
      <c r="B137">
        <v>2040</v>
      </c>
      <c r="C137" t="s">
        <v>69</v>
      </c>
      <c r="D137" t="s">
        <v>48</v>
      </c>
      <c r="E137">
        <v>1.47112951157409E-3</v>
      </c>
      <c r="F137">
        <v>1.47112951157409E-3</v>
      </c>
      <c r="G137">
        <v>0</v>
      </c>
      <c r="H137">
        <v>0</v>
      </c>
      <c r="I137" t="s">
        <v>70</v>
      </c>
    </row>
    <row r="138" spans="1:9" x14ac:dyDescent="0.35">
      <c r="A138" t="s">
        <v>26</v>
      </c>
      <c r="B138">
        <v>2040</v>
      </c>
      <c r="C138" t="s">
        <v>69</v>
      </c>
      <c r="D138" t="s">
        <v>49</v>
      </c>
      <c r="E138">
        <v>2.0726065940043E-4</v>
      </c>
      <c r="F138">
        <v>2.0726065940043E-4</v>
      </c>
      <c r="G138">
        <v>0</v>
      </c>
      <c r="H138">
        <v>0</v>
      </c>
      <c r="I138" t="s">
        <v>70</v>
      </c>
    </row>
    <row r="139" spans="1:9" x14ac:dyDescent="0.35">
      <c r="A139" t="s">
        <v>26</v>
      </c>
      <c r="B139">
        <v>2040</v>
      </c>
      <c r="C139" t="s">
        <v>69</v>
      </c>
      <c r="D139" t="s">
        <v>50</v>
      </c>
      <c r="E139">
        <v>5.0102843880282105E-4</v>
      </c>
      <c r="F139">
        <v>5.0102843880282105E-4</v>
      </c>
      <c r="G139">
        <v>0</v>
      </c>
      <c r="H139">
        <v>0</v>
      </c>
      <c r="I139" t="s">
        <v>70</v>
      </c>
    </row>
    <row r="140" spans="1:9" x14ac:dyDescent="0.35">
      <c r="A140" t="s">
        <v>26</v>
      </c>
      <c r="B140">
        <v>2040</v>
      </c>
      <c r="C140" t="s">
        <v>69</v>
      </c>
      <c r="D140" t="s">
        <v>51</v>
      </c>
      <c r="E140">
        <v>9.4926218847535496E-3</v>
      </c>
      <c r="F140">
        <v>9.4926218847535496E-3</v>
      </c>
      <c r="G140">
        <v>0</v>
      </c>
      <c r="H140">
        <v>0</v>
      </c>
      <c r="I140" t="s">
        <v>70</v>
      </c>
    </row>
    <row r="141" spans="1:9" x14ac:dyDescent="0.35">
      <c r="A141" t="s">
        <v>26</v>
      </c>
      <c r="B141">
        <v>2040</v>
      </c>
      <c r="C141" t="s">
        <v>69</v>
      </c>
      <c r="D141" t="s">
        <v>52</v>
      </c>
      <c r="E141">
        <v>1.8553537953221299E-3</v>
      </c>
      <c r="F141">
        <v>1.8553537953221299E-3</v>
      </c>
      <c r="G141">
        <v>0</v>
      </c>
      <c r="H141">
        <v>0</v>
      </c>
      <c r="I141" t="s">
        <v>70</v>
      </c>
    </row>
    <row r="142" spans="1:9" x14ac:dyDescent="0.35">
      <c r="A142" t="s">
        <v>26</v>
      </c>
      <c r="B142">
        <v>2040</v>
      </c>
      <c r="C142" t="s">
        <v>69</v>
      </c>
      <c r="D142" t="s">
        <v>53</v>
      </c>
      <c r="E142">
        <v>8.1966232107446996E-3</v>
      </c>
      <c r="F142">
        <v>8.1966232107446996E-3</v>
      </c>
      <c r="G142">
        <v>0</v>
      </c>
      <c r="H142">
        <v>0</v>
      </c>
      <c r="I142" t="s">
        <v>70</v>
      </c>
    </row>
    <row r="143" spans="1:9" x14ac:dyDescent="0.35">
      <c r="A143" t="s">
        <v>26</v>
      </c>
      <c r="B143">
        <v>2040</v>
      </c>
      <c r="C143" t="s">
        <v>69</v>
      </c>
      <c r="D143" t="s">
        <v>54</v>
      </c>
      <c r="E143">
        <v>2.9582449076985898E-4</v>
      </c>
      <c r="F143">
        <v>2.9582449076985898E-4</v>
      </c>
      <c r="G143">
        <v>0</v>
      </c>
      <c r="H143">
        <v>0</v>
      </c>
      <c r="I143" t="s">
        <v>70</v>
      </c>
    </row>
    <row r="144" spans="1:9" x14ac:dyDescent="0.35">
      <c r="A144" t="s">
        <v>26</v>
      </c>
      <c r="B144">
        <v>2040</v>
      </c>
      <c r="C144" t="s">
        <v>69</v>
      </c>
      <c r="D144" t="s">
        <v>55</v>
      </c>
      <c r="E144">
        <v>2.7750426128708803E-4</v>
      </c>
      <c r="F144">
        <v>2.7750426128708803E-4</v>
      </c>
      <c r="G144">
        <v>0</v>
      </c>
      <c r="H144">
        <v>0</v>
      </c>
      <c r="I144" t="s">
        <v>70</v>
      </c>
    </row>
    <row r="145" spans="1:9" x14ac:dyDescent="0.35">
      <c r="A145" t="s">
        <v>26</v>
      </c>
      <c r="B145">
        <v>2040</v>
      </c>
      <c r="C145" t="s">
        <v>69</v>
      </c>
      <c r="D145" t="s">
        <v>56</v>
      </c>
      <c r="E145" s="1">
        <v>2.0463003384669102E-9</v>
      </c>
      <c r="F145" s="1">
        <v>2.0463003384669102E-9</v>
      </c>
      <c r="G145">
        <v>0</v>
      </c>
      <c r="H145">
        <v>0</v>
      </c>
      <c r="I145" t="s">
        <v>70</v>
      </c>
    </row>
    <row r="146" spans="1:9" x14ac:dyDescent="0.35">
      <c r="A146" t="s">
        <v>20</v>
      </c>
      <c r="B146">
        <v>2025</v>
      </c>
      <c r="C146" t="s">
        <v>80</v>
      </c>
      <c r="D146" t="s">
        <v>38</v>
      </c>
      <c r="E146">
        <v>3.0559668148387101E-4</v>
      </c>
      <c r="F146">
        <v>3.0559668148387101E-4</v>
      </c>
      <c r="G146">
        <v>0</v>
      </c>
      <c r="H146">
        <v>0</v>
      </c>
      <c r="I146" t="s">
        <v>82</v>
      </c>
    </row>
    <row r="147" spans="1:9" x14ac:dyDescent="0.35">
      <c r="A147" t="s">
        <v>20</v>
      </c>
      <c r="B147">
        <v>2025</v>
      </c>
      <c r="C147" t="s">
        <v>80</v>
      </c>
      <c r="D147" t="s">
        <v>40</v>
      </c>
      <c r="E147">
        <v>4.7668326776769402E-4</v>
      </c>
      <c r="F147">
        <v>4.7668326776769402E-4</v>
      </c>
      <c r="G147">
        <v>0</v>
      </c>
      <c r="H147">
        <v>0</v>
      </c>
      <c r="I147" t="s">
        <v>82</v>
      </c>
    </row>
    <row r="148" spans="1:9" x14ac:dyDescent="0.35">
      <c r="A148" t="s">
        <v>20</v>
      </c>
      <c r="B148">
        <v>2025</v>
      </c>
      <c r="C148" t="s">
        <v>80</v>
      </c>
      <c r="D148" t="s">
        <v>41</v>
      </c>
      <c r="E148">
        <v>4.2489274643361498E-3</v>
      </c>
      <c r="F148">
        <v>4.2489274643361498E-3</v>
      </c>
      <c r="G148">
        <v>0</v>
      </c>
      <c r="H148">
        <v>0</v>
      </c>
      <c r="I148" t="s">
        <v>82</v>
      </c>
    </row>
    <row r="149" spans="1:9" x14ac:dyDescent="0.35">
      <c r="A149" t="s">
        <v>20</v>
      </c>
      <c r="B149">
        <v>2025</v>
      </c>
      <c r="C149" t="s">
        <v>80</v>
      </c>
      <c r="D149" t="s">
        <v>42</v>
      </c>
      <c r="E149">
        <v>0.74656003411767702</v>
      </c>
      <c r="F149">
        <v>0.74656003411767702</v>
      </c>
      <c r="G149">
        <v>0</v>
      </c>
      <c r="H149">
        <v>0</v>
      </c>
      <c r="I149" t="s">
        <v>82</v>
      </c>
    </row>
    <row r="150" spans="1:9" x14ac:dyDescent="0.35">
      <c r="A150" t="s">
        <v>20</v>
      </c>
      <c r="B150">
        <v>2025</v>
      </c>
      <c r="C150" t="s">
        <v>80</v>
      </c>
      <c r="D150" t="s">
        <v>43</v>
      </c>
      <c r="E150">
        <v>1.45156363723324E-3</v>
      </c>
      <c r="F150">
        <v>1.45156363723324E-3</v>
      </c>
      <c r="G150">
        <v>0</v>
      </c>
      <c r="H150">
        <v>0</v>
      </c>
      <c r="I150" t="s">
        <v>82</v>
      </c>
    </row>
    <row r="151" spans="1:9" x14ac:dyDescent="0.35">
      <c r="A151" t="s">
        <v>20</v>
      </c>
      <c r="B151">
        <v>2025</v>
      </c>
      <c r="C151" t="s">
        <v>80</v>
      </c>
      <c r="D151" t="s">
        <v>136</v>
      </c>
      <c r="E151">
        <v>2.24999533986652</v>
      </c>
      <c r="F151">
        <v>2.24999533986652</v>
      </c>
      <c r="G151">
        <v>0</v>
      </c>
      <c r="H151">
        <v>0</v>
      </c>
      <c r="I151" t="s">
        <v>82</v>
      </c>
    </row>
    <row r="152" spans="1:9" x14ac:dyDescent="0.35">
      <c r="A152" t="s">
        <v>20</v>
      </c>
      <c r="B152">
        <v>2025</v>
      </c>
      <c r="C152" t="s">
        <v>80</v>
      </c>
      <c r="D152" t="s">
        <v>45</v>
      </c>
      <c r="E152">
        <v>3.1332579465762601E-3</v>
      </c>
      <c r="F152">
        <v>3.1332579465762601E-3</v>
      </c>
      <c r="G152">
        <v>0</v>
      </c>
      <c r="H152">
        <v>0</v>
      </c>
      <c r="I152" t="s">
        <v>82</v>
      </c>
    </row>
    <row r="153" spans="1:9" x14ac:dyDescent="0.35">
      <c r="A153" t="s">
        <v>20</v>
      </c>
      <c r="B153">
        <v>2025</v>
      </c>
      <c r="C153" t="s">
        <v>80</v>
      </c>
      <c r="D153" t="s">
        <v>46</v>
      </c>
      <c r="E153">
        <v>2.9129835642487702E-2</v>
      </c>
      <c r="F153">
        <v>2.9129835642487702E-2</v>
      </c>
      <c r="G153">
        <v>0</v>
      </c>
      <c r="H153">
        <v>0</v>
      </c>
      <c r="I153" t="s">
        <v>82</v>
      </c>
    </row>
    <row r="154" spans="1:9" x14ac:dyDescent="0.35">
      <c r="A154" t="s">
        <v>20</v>
      </c>
      <c r="B154">
        <v>2025</v>
      </c>
      <c r="C154" t="s">
        <v>80</v>
      </c>
      <c r="D154" t="s">
        <v>47</v>
      </c>
      <c r="E154">
        <v>7.5409527773600399E-4</v>
      </c>
      <c r="F154">
        <v>7.5409527773600399E-4</v>
      </c>
      <c r="G154">
        <v>0</v>
      </c>
      <c r="H154">
        <v>0</v>
      </c>
      <c r="I154" t="s">
        <v>82</v>
      </c>
    </row>
    <row r="155" spans="1:9" x14ac:dyDescent="0.35">
      <c r="A155" t="s">
        <v>20</v>
      </c>
      <c r="B155">
        <v>2025</v>
      </c>
      <c r="C155" t="s">
        <v>80</v>
      </c>
      <c r="D155" t="s">
        <v>48</v>
      </c>
      <c r="E155">
        <v>80.550211427959894</v>
      </c>
      <c r="F155">
        <v>80.550211427959894</v>
      </c>
      <c r="G155">
        <v>0</v>
      </c>
      <c r="H155">
        <v>0</v>
      </c>
      <c r="I155" t="s">
        <v>82</v>
      </c>
    </row>
    <row r="156" spans="1:9" x14ac:dyDescent="0.35">
      <c r="A156" t="s">
        <v>20</v>
      </c>
      <c r="B156">
        <v>2025</v>
      </c>
      <c r="C156" t="s">
        <v>80</v>
      </c>
      <c r="D156" t="s">
        <v>49</v>
      </c>
      <c r="E156">
        <v>4.9860547828372197E-3</v>
      </c>
      <c r="F156">
        <v>4.9860547828372197E-3</v>
      </c>
      <c r="G156">
        <v>0</v>
      </c>
      <c r="H156">
        <v>0</v>
      </c>
      <c r="I156" t="s">
        <v>82</v>
      </c>
    </row>
    <row r="157" spans="1:9" x14ac:dyDescent="0.35">
      <c r="A157" t="s">
        <v>20</v>
      </c>
      <c r="B157">
        <v>2025</v>
      </c>
      <c r="C157" t="s">
        <v>80</v>
      </c>
      <c r="D157" t="s">
        <v>50</v>
      </c>
      <c r="E157">
        <v>8.4088392841366998E-3</v>
      </c>
      <c r="F157">
        <v>8.4088392841366998E-3</v>
      </c>
      <c r="G157">
        <v>0</v>
      </c>
      <c r="H157">
        <v>0</v>
      </c>
      <c r="I157" t="s">
        <v>82</v>
      </c>
    </row>
    <row r="158" spans="1:9" x14ac:dyDescent="0.35">
      <c r="A158" t="s">
        <v>20</v>
      </c>
      <c r="B158">
        <v>2025</v>
      </c>
      <c r="C158" t="s">
        <v>80</v>
      </c>
      <c r="D158" t="s">
        <v>51</v>
      </c>
      <c r="E158">
        <v>6.4633913028882495E-2</v>
      </c>
      <c r="F158">
        <v>6.4633913028882495E-2</v>
      </c>
      <c r="G158">
        <v>0</v>
      </c>
      <c r="H158">
        <v>0</v>
      </c>
      <c r="I158" t="s">
        <v>82</v>
      </c>
    </row>
    <row r="159" spans="1:9" x14ac:dyDescent="0.35">
      <c r="A159" t="s">
        <v>20</v>
      </c>
      <c r="B159">
        <v>2025</v>
      </c>
      <c r="C159" t="s">
        <v>80</v>
      </c>
      <c r="D159" t="s">
        <v>52</v>
      </c>
      <c r="E159">
        <v>0.194209621084074</v>
      </c>
      <c r="F159">
        <v>0.194209621084074</v>
      </c>
      <c r="G159">
        <v>0</v>
      </c>
      <c r="H159">
        <v>0</v>
      </c>
      <c r="I159" t="s">
        <v>82</v>
      </c>
    </row>
    <row r="160" spans="1:9" x14ac:dyDescent="0.35">
      <c r="A160" t="s">
        <v>20</v>
      </c>
      <c r="B160">
        <v>2025</v>
      </c>
      <c r="C160" t="s">
        <v>80</v>
      </c>
      <c r="D160" t="s">
        <v>53</v>
      </c>
      <c r="E160">
        <v>0.480249181251793</v>
      </c>
      <c r="F160">
        <v>0.480249181251793</v>
      </c>
      <c r="G160">
        <v>0</v>
      </c>
      <c r="H160">
        <v>0</v>
      </c>
      <c r="I160" t="s">
        <v>82</v>
      </c>
    </row>
    <row r="161" spans="1:9" x14ac:dyDescent="0.35">
      <c r="A161" t="s">
        <v>20</v>
      </c>
      <c r="B161">
        <v>2025</v>
      </c>
      <c r="C161" t="s">
        <v>80</v>
      </c>
      <c r="D161" t="s">
        <v>54</v>
      </c>
      <c r="E161">
        <v>5.1133507192187601E-2</v>
      </c>
      <c r="F161">
        <v>5.1133507192187601E-2</v>
      </c>
      <c r="G161">
        <v>0</v>
      </c>
      <c r="H161">
        <v>0</v>
      </c>
      <c r="I161" t="s">
        <v>82</v>
      </c>
    </row>
    <row r="162" spans="1:9" x14ac:dyDescent="0.35">
      <c r="A162" t="s">
        <v>20</v>
      </c>
      <c r="B162">
        <v>2025</v>
      </c>
      <c r="C162" t="s">
        <v>80</v>
      </c>
      <c r="D162" t="s">
        <v>55</v>
      </c>
      <c r="E162">
        <v>4.7392885916399501E-2</v>
      </c>
      <c r="F162">
        <v>4.7392885916399501E-2</v>
      </c>
      <c r="G162">
        <v>0</v>
      </c>
      <c r="H162">
        <v>0</v>
      </c>
      <c r="I162" t="s">
        <v>82</v>
      </c>
    </row>
    <row r="163" spans="1:9" x14ac:dyDescent="0.35">
      <c r="A163" t="s">
        <v>20</v>
      </c>
      <c r="B163">
        <v>2025</v>
      </c>
      <c r="C163" t="s">
        <v>80</v>
      </c>
      <c r="D163" t="s">
        <v>56</v>
      </c>
      <c r="E163" s="1">
        <v>8.6574886028178195E-8</v>
      </c>
      <c r="F163" s="1">
        <v>8.6574886028178195E-8</v>
      </c>
      <c r="G163">
        <v>0</v>
      </c>
      <c r="H163">
        <v>0</v>
      </c>
      <c r="I163" t="s">
        <v>82</v>
      </c>
    </row>
    <row r="164" spans="1:9" x14ac:dyDescent="0.35">
      <c r="A164" t="s">
        <v>22</v>
      </c>
      <c r="B164">
        <v>2030</v>
      </c>
      <c r="C164" t="s">
        <v>80</v>
      </c>
      <c r="D164" t="s">
        <v>38</v>
      </c>
      <c r="E164">
        <v>5.9584609585250196E-4</v>
      </c>
      <c r="F164">
        <v>5.9584609585250196E-4</v>
      </c>
      <c r="G164">
        <v>0</v>
      </c>
      <c r="H164">
        <v>0</v>
      </c>
      <c r="I164" t="s">
        <v>82</v>
      </c>
    </row>
    <row r="165" spans="1:9" x14ac:dyDescent="0.35">
      <c r="A165" t="s">
        <v>22</v>
      </c>
      <c r="B165">
        <v>2030</v>
      </c>
      <c r="C165" t="s">
        <v>80</v>
      </c>
      <c r="D165" t="s">
        <v>40</v>
      </c>
      <c r="E165">
        <v>4.6335826890753998E-4</v>
      </c>
      <c r="F165">
        <v>4.6335826890753998E-4</v>
      </c>
      <c r="G165">
        <v>0</v>
      </c>
      <c r="H165">
        <v>0</v>
      </c>
      <c r="I165" t="s">
        <v>82</v>
      </c>
    </row>
    <row r="166" spans="1:9" x14ac:dyDescent="0.35">
      <c r="A166" t="s">
        <v>22</v>
      </c>
      <c r="B166">
        <v>2030</v>
      </c>
      <c r="C166" t="s">
        <v>80</v>
      </c>
      <c r="D166" t="s">
        <v>41</v>
      </c>
      <c r="E166">
        <v>3.87544215395123E-3</v>
      </c>
      <c r="F166">
        <v>3.87544215395123E-3</v>
      </c>
      <c r="G166">
        <v>0</v>
      </c>
      <c r="H166">
        <v>0</v>
      </c>
      <c r="I166" t="s">
        <v>82</v>
      </c>
    </row>
    <row r="167" spans="1:9" x14ac:dyDescent="0.35">
      <c r="A167" t="s">
        <v>22</v>
      </c>
      <c r="B167">
        <v>2030</v>
      </c>
      <c r="C167" t="s">
        <v>80</v>
      </c>
      <c r="D167" t="s">
        <v>42</v>
      </c>
      <c r="E167">
        <v>0.80873608989720702</v>
      </c>
      <c r="F167">
        <v>0.80873608989720702</v>
      </c>
      <c r="G167">
        <v>0</v>
      </c>
      <c r="H167">
        <v>0</v>
      </c>
      <c r="I167" t="s">
        <v>82</v>
      </c>
    </row>
    <row r="168" spans="1:9" x14ac:dyDescent="0.35">
      <c r="A168" t="s">
        <v>22</v>
      </c>
      <c r="B168">
        <v>2030</v>
      </c>
      <c r="C168" t="s">
        <v>80</v>
      </c>
      <c r="D168" t="s">
        <v>43</v>
      </c>
      <c r="E168">
        <v>1.4132665440935201E-3</v>
      </c>
      <c r="F168">
        <v>1.4132665440935201E-3</v>
      </c>
      <c r="G168">
        <v>0</v>
      </c>
      <c r="H168">
        <v>0</v>
      </c>
      <c r="I168" t="s">
        <v>82</v>
      </c>
    </row>
    <row r="169" spans="1:9" x14ac:dyDescent="0.35">
      <c r="A169" t="s">
        <v>22</v>
      </c>
      <c r="B169">
        <v>2030</v>
      </c>
      <c r="C169" t="s">
        <v>80</v>
      </c>
      <c r="D169" t="s">
        <v>136</v>
      </c>
      <c r="E169">
        <v>2.1681284494933699</v>
      </c>
      <c r="F169">
        <v>2.1681284494933699</v>
      </c>
      <c r="G169">
        <v>0</v>
      </c>
      <c r="H169">
        <v>0</v>
      </c>
      <c r="I169" t="s">
        <v>82</v>
      </c>
    </row>
    <row r="170" spans="1:9" x14ac:dyDescent="0.35">
      <c r="A170" t="s">
        <v>22</v>
      </c>
      <c r="B170">
        <v>2030</v>
      </c>
      <c r="C170" t="s">
        <v>80</v>
      </c>
      <c r="D170" t="s">
        <v>45</v>
      </c>
      <c r="E170">
        <v>2.5051653101331602E-3</v>
      </c>
      <c r="F170">
        <v>2.5051653101331602E-3</v>
      </c>
      <c r="G170">
        <v>0</v>
      </c>
      <c r="H170">
        <v>0</v>
      </c>
      <c r="I170" t="s">
        <v>82</v>
      </c>
    </row>
    <row r="171" spans="1:9" x14ac:dyDescent="0.35">
      <c r="A171" t="s">
        <v>22</v>
      </c>
      <c r="B171">
        <v>2030</v>
      </c>
      <c r="C171" t="s">
        <v>80</v>
      </c>
      <c r="D171" t="s">
        <v>46</v>
      </c>
      <c r="E171">
        <v>4.26153355983587E-2</v>
      </c>
      <c r="F171">
        <v>4.26153355983587E-2</v>
      </c>
      <c r="G171">
        <v>0</v>
      </c>
      <c r="H171">
        <v>0</v>
      </c>
      <c r="I171" t="s">
        <v>82</v>
      </c>
    </row>
    <row r="172" spans="1:9" x14ac:dyDescent="0.35">
      <c r="A172" t="s">
        <v>22</v>
      </c>
      <c r="B172">
        <v>2030</v>
      </c>
      <c r="C172" t="s">
        <v>80</v>
      </c>
      <c r="D172" t="s">
        <v>47</v>
      </c>
      <c r="E172">
        <v>8.9467445456873696E-4</v>
      </c>
      <c r="F172">
        <v>8.9467445456873696E-4</v>
      </c>
      <c r="G172">
        <v>0</v>
      </c>
      <c r="H172">
        <v>0</v>
      </c>
      <c r="I172" t="s">
        <v>82</v>
      </c>
    </row>
    <row r="173" spans="1:9" x14ac:dyDescent="0.35">
      <c r="A173" t="s">
        <v>22</v>
      </c>
      <c r="B173">
        <v>2030</v>
      </c>
      <c r="C173" t="s">
        <v>80</v>
      </c>
      <c r="D173" t="s">
        <v>48</v>
      </c>
      <c r="E173">
        <v>80.550845989802099</v>
      </c>
      <c r="F173">
        <v>80.550845989802099</v>
      </c>
      <c r="G173">
        <v>0</v>
      </c>
      <c r="H173">
        <v>0</v>
      </c>
      <c r="I173" t="s">
        <v>82</v>
      </c>
    </row>
    <row r="174" spans="1:9" x14ac:dyDescent="0.35">
      <c r="A174" t="s">
        <v>22</v>
      </c>
      <c r="B174">
        <v>2030</v>
      </c>
      <c r="C174" t="s">
        <v>80</v>
      </c>
      <c r="D174" t="s">
        <v>49</v>
      </c>
      <c r="E174">
        <v>4.3965561836493399E-3</v>
      </c>
      <c r="F174">
        <v>4.3965561836493399E-3</v>
      </c>
      <c r="G174">
        <v>0</v>
      </c>
      <c r="H174">
        <v>0</v>
      </c>
      <c r="I174" t="s">
        <v>82</v>
      </c>
    </row>
    <row r="175" spans="1:9" x14ac:dyDescent="0.35">
      <c r="A175" t="s">
        <v>22</v>
      </c>
      <c r="B175">
        <v>2030</v>
      </c>
      <c r="C175" t="s">
        <v>80</v>
      </c>
      <c r="D175" t="s">
        <v>50</v>
      </c>
      <c r="E175">
        <v>9.1195866652893399E-3</v>
      </c>
      <c r="F175">
        <v>9.1195866652893399E-3</v>
      </c>
      <c r="G175">
        <v>0</v>
      </c>
      <c r="H175">
        <v>0</v>
      </c>
      <c r="I175" t="s">
        <v>82</v>
      </c>
    </row>
    <row r="176" spans="1:9" x14ac:dyDescent="0.35">
      <c r="A176" t="s">
        <v>22</v>
      </c>
      <c r="B176">
        <v>2030</v>
      </c>
      <c r="C176" t="s">
        <v>80</v>
      </c>
      <c r="D176" t="s">
        <v>51</v>
      </c>
      <c r="E176">
        <v>6.3881818148124894E-2</v>
      </c>
      <c r="F176">
        <v>6.3881818148124894E-2</v>
      </c>
      <c r="G176">
        <v>0</v>
      </c>
      <c r="H176">
        <v>0</v>
      </c>
      <c r="I176" t="s">
        <v>82</v>
      </c>
    </row>
    <row r="177" spans="1:9" x14ac:dyDescent="0.35">
      <c r="A177" t="s">
        <v>22</v>
      </c>
      <c r="B177">
        <v>2030</v>
      </c>
      <c r="C177" t="s">
        <v>80</v>
      </c>
      <c r="D177" t="s">
        <v>52</v>
      </c>
      <c r="E177">
        <v>0.16674079196196501</v>
      </c>
      <c r="F177">
        <v>0.16674079196196501</v>
      </c>
      <c r="G177">
        <v>0</v>
      </c>
      <c r="H177">
        <v>0</v>
      </c>
      <c r="I177" t="s">
        <v>82</v>
      </c>
    </row>
    <row r="178" spans="1:9" x14ac:dyDescent="0.35">
      <c r="A178" t="s">
        <v>22</v>
      </c>
      <c r="B178">
        <v>2030</v>
      </c>
      <c r="C178" t="s">
        <v>80</v>
      </c>
      <c r="D178" t="s">
        <v>53</v>
      </c>
      <c r="E178">
        <v>0.465700526028753</v>
      </c>
      <c r="F178">
        <v>0.465700526028753</v>
      </c>
      <c r="G178">
        <v>0</v>
      </c>
      <c r="H178">
        <v>0</v>
      </c>
      <c r="I178" t="s">
        <v>82</v>
      </c>
    </row>
    <row r="179" spans="1:9" x14ac:dyDescent="0.35">
      <c r="A179" t="s">
        <v>22</v>
      </c>
      <c r="B179">
        <v>2030</v>
      </c>
      <c r="C179" t="s">
        <v>80</v>
      </c>
      <c r="D179" t="s">
        <v>54</v>
      </c>
      <c r="E179">
        <v>5.4552449547315501E-2</v>
      </c>
      <c r="F179">
        <v>5.4552449547315501E-2</v>
      </c>
      <c r="G179">
        <v>0</v>
      </c>
      <c r="H179">
        <v>0</v>
      </c>
      <c r="I179" t="s">
        <v>82</v>
      </c>
    </row>
    <row r="180" spans="1:9" x14ac:dyDescent="0.35">
      <c r="A180" t="s">
        <v>22</v>
      </c>
      <c r="B180">
        <v>2030</v>
      </c>
      <c r="C180" t="s">
        <v>80</v>
      </c>
      <c r="D180" t="s">
        <v>55</v>
      </c>
      <c r="E180">
        <v>5.02924251701743E-2</v>
      </c>
      <c r="F180">
        <v>5.02924251701743E-2</v>
      </c>
      <c r="G180">
        <v>0</v>
      </c>
      <c r="H180">
        <v>0</v>
      </c>
      <c r="I180" t="s">
        <v>82</v>
      </c>
    </row>
    <row r="181" spans="1:9" x14ac:dyDescent="0.35">
      <c r="A181" t="s">
        <v>22</v>
      </c>
      <c r="B181">
        <v>2030</v>
      </c>
      <c r="C181" t="s">
        <v>80</v>
      </c>
      <c r="D181" t="s">
        <v>56</v>
      </c>
      <c r="E181" s="1">
        <v>8.1822963999556306E-8</v>
      </c>
      <c r="F181" s="1">
        <v>8.1822963999556306E-8</v>
      </c>
      <c r="G181">
        <v>0</v>
      </c>
      <c r="H181">
        <v>0</v>
      </c>
      <c r="I181" t="s">
        <v>82</v>
      </c>
    </row>
    <row r="182" spans="1:9" x14ac:dyDescent="0.35">
      <c r="A182" t="s">
        <v>24</v>
      </c>
      <c r="B182">
        <v>2035</v>
      </c>
      <c r="C182" t="s">
        <v>80</v>
      </c>
      <c r="D182" t="s">
        <v>38</v>
      </c>
      <c r="E182">
        <v>8.3576757318880302E-4</v>
      </c>
      <c r="F182">
        <v>8.3576757318880302E-4</v>
      </c>
      <c r="G182">
        <v>0</v>
      </c>
      <c r="H182">
        <v>0</v>
      </c>
      <c r="I182" t="s">
        <v>82</v>
      </c>
    </row>
    <row r="183" spans="1:9" x14ac:dyDescent="0.35">
      <c r="A183" t="s">
        <v>24</v>
      </c>
      <c r="B183">
        <v>2035</v>
      </c>
      <c r="C183" t="s">
        <v>80</v>
      </c>
      <c r="D183" t="s">
        <v>40</v>
      </c>
      <c r="E183">
        <v>4.5584860350347101E-4</v>
      </c>
      <c r="F183">
        <v>4.5584860350347101E-4</v>
      </c>
      <c r="G183">
        <v>0</v>
      </c>
      <c r="H183">
        <v>0</v>
      </c>
      <c r="I183" t="s">
        <v>82</v>
      </c>
    </row>
    <row r="184" spans="1:9" x14ac:dyDescent="0.35">
      <c r="A184" t="s">
        <v>24</v>
      </c>
      <c r="B184">
        <v>2035</v>
      </c>
      <c r="C184" t="s">
        <v>80</v>
      </c>
      <c r="D184" t="s">
        <v>41</v>
      </c>
      <c r="E184">
        <v>3.7346461587779698E-3</v>
      </c>
      <c r="F184">
        <v>3.7346461587779698E-3</v>
      </c>
      <c r="G184">
        <v>0</v>
      </c>
      <c r="H184">
        <v>0</v>
      </c>
      <c r="I184" t="s">
        <v>82</v>
      </c>
    </row>
    <row r="185" spans="1:9" x14ac:dyDescent="0.35">
      <c r="A185" t="s">
        <v>24</v>
      </c>
      <c r="B185">
        <v>2035</v>
      </c>
      <c r="C185" t="s">
        <v>80</v>
      </c>
      <c r="D185" t="s">
        <v>42</v>
      </c>
      <c r="E185">
        <v>0.93624808902902701</v>
      </c>
      <c r="F185">
        <v>0.93624808902902701</v>
      </c>
      <c r="G185">
        <v>0</v>
      </c>
      <c r="H185">
        <v>0</v>
      </c>
      <c r="I185" t="s">
        <v>82</v>
      </c>
    </row>
    <row r="186" spans="1:9" x14ac:dyDescent="0.35">
      <c r="A186" t="s">
        <v>24</v>
      </c>
      <c r="B186">
        <v>2035</v>
      </c>
      <c r="C186" t="s">
        <v>80</v>
      </c>
      <c r="D186" t="s">
        <v>43</v>
      </c>
      <c r="E186">
        <v>1.45734231796275E-3</v>
      </c>
      <c r="F186">
        <v>1.45734231796275E-3</v>
      </c>
      <c r="G186">
        <v>0</v>
      </c>
      <c r="H186">
        <v>0</v>
      </c>
      <c r="I186" t="s">
        <v>82</v>
      </c>
    </row>
    <row r="187" spans="1:9" x14ac:dyDescent="0.35">
      <c r="A187" t="s">
        <v>24</v>
      </c>
      <c r="B187">
        <v>2035</v>
      </c>
      <c r="C187" t="s">
        <v>80</v>
      </c>
      <c r="D187" t="s">
        <v>136</v>
      </c>
      <c r="E187">
        <v>2.2197783080444502</v>
      </c>
      <c r="F187">
        <v>2.2197783080444502</v>
      </c>
      <c r="G187">
        <v>0</v>
      </c>
      <c r="H187">
        <v>0</v>
      </c>
      <c r="I187" t="s">
        <v>82</v>
      </c>
    </row>
    <row r="188" spans="1:9" x14ac:dyDescent="0.35">
      <c r="A188" t="s">
        <v>24</v>
      </c>
      <c r="B188">
        <v>2035</v>
      </c>
      <c r="C188" t="s">
        <v>80</v>
      </c>
      <c r="D188" t="s">
        <v>45</v>
      </c>
      <c r="E188">
        <v>2.1593612562682001E-3</v>
      </c>
      <c r="F188">
        <v>2.1593612562682001E-3</v>
      </c>
      <c r="G188">
        <v>0</v>
      </c>
      <c r="H188">
        <v>0</v>
      </c>
      <c r="I188" t="s">
        <v>82</v>
      </c>
    </row>
    <row r="189" spans="1:9" x14ac:dyDescent="0.35">
      <c r="A189" t="s">
        <v>24</v>
      </c>
      <c r="B189">
        <v>2035</v>
      </c>
      <c r="C189" t="s">
        <v>80</v>
      </c>
      <c r="D189" t="s">
        <v>46</v>
      </c>
      <c r="E189">
        <v>5.7104669628945198E-2</v>
      </c>
      <c r="F189">
        <v>5.7104669628945198E-2</v>
      </c>
      <c r="G189">
        <v>0</v>
      </c>
      <c r="H189">
        <v>0</v>
      </c>
      <c r="I189" t="s">
        <v>82</v>
      </c>
    </row>
    <row r="190" spans="1:9" x14ac:dyDescent="0.35">
      <c r="A190" t="s">
        <v>24</v>
      </c>
      <c r="B190">
        <v>2035</v>
      </c>
      <c r="C190" t="s">
        <v>80</v>
      </c>
      <c r="D190" t="s">
        <v>47</v>
      </c>
      <c r="E190">
        <v>1.1346235912216499E-3</v>
      </c>
      <c r="F190">
        <v>1.1346235912216499E-3</v>
      </c>
      <c r="G190">
        <v>0</v>
      </c>
      <c r="H190">
        <v>0</v>
      </c>
      <c r="I190" t="s">
        <v>82</v>
      </c>
    </row>
    <row r="191" spans="1:9" x14ac:dyDescent="0.35">
      <c r="A191" t="s">
        <v>24</v>
      </c>
      <c r="B191">
        <v>2035</v>
      </c>
      <c r="C191" t="s">
        <v>80</v>
      </c>
      <c r="D191" t="s">
        <v>48</v>
      </c>
      <c r="E191">
        <v>80.551042282756399</v>
      </c>
      <c r="F191">
        <v>80.551042282756399</v>
      </c>
      <c r="G191">
        <v>0</v>
      </c>
      <c r="H191">
        <v>0</v>
      </c>
      <c r="I191" t="s">
        <v>82</v>
      </c>
    </row>
    <row r="192" spans="1:9" x14ac:dyDescent="0.35">
      <c r="A192" t="s">
        <v>24</v>
      </c>
      <c r="B192">
        <v>2035</v>
      </c>
      <c r="C192" t="s">
        <v>80</v>
      </c>
      <c r="D192" t="s">
        <v>49</v>
      </c>
      <c r="E192">
        <v>4.1449473383284698E-3</v>
      </c>
      <c r="F192">
        <v>4.1449473383284698E-3</v>
      </c>
      <c r="G192">
        <v>0</v>
      </c>
      <c r="H192">
        <v>0</v>
      </c>
      <c r="I192" t="s">
        <v>82</v>
      </c>
    </row>
    <row r="193" spans="1:9" x14ac:dyDescent="0.35">
      <c r="A193" t="s">
        <v>24</v>
      </c>
      <c r="B193">
        <v>2035</v>
      </c>
      <c r="C193" t="s">
        <v>80</v>
      </c>
      <c r="D193" t="s">
        <v>50</v>
      </c>
      <c r="E193">
        <v>9.9968798732399493E-3</v>
      </c>
      <c r="F193">
        <v>9.9968798732399493E-3</v>
      </c>
      <c r="G193">
        <v>0</v>
      </c>
      <c r="H193">
        <v>0</v>
      </c>
      <c r="I193" t="s">
        <v>82</v>
      </c>
    </row>
    <row r="194" spans="1:9" x14ac:dyDescent="0.35">
      <c r="A194" t="s">
        <v>24</v>
      </c>
      <c r="B194">
        <v>2035</v>
      </c>
      <c r="C194" t="s">
        <v>80</v>
      </c>
      <c r="D194" t="s">
        <v>51</v>
      </c>
      <c r="E194">
        <v>6.3613665848303899E-2</v>
      </c>
      <c r="F194">
        <v>6.3613665848303899E-2</v>
      </c>
      <c r="G194">
        <v>0</v>
      </c>
      <c r="H194">
        <v>0</v>
      </c>
      <c r="I194" t="s">
        <v>82</v>
      </c>
    </row>
    <row r="195" spans="1:9" x14ac:dyDescent="0.35">
      <c r="A195" t="s">
        <v>24</v>
      </c>
      <c r="B195">
        <v>2035</v>
      </c>
      <c r="C195" t="s">
        <v>80</v>
      </c>
      <c r="D195" t="s">
        <v>52</v>
      </c>
      <c r="E195">
        <v>0.13876187631359599</v>
      </c>
      <c r="F195">
        <v>0.13876187631359599</v>
      </c>
      <c r="G195">
        <v>0</v>
      </c>
      <c r="H195">
        <v>0</v>
      </c>
      <c r="I195" t="s">
        <v>82</v>
      </c>
    </row>
    <row r="196" spans="1:9" x14ac:dyDescent="0.35">
      <c r="A196" t="s">
        <v>24</v>
      </c>
      <c r="B196">
        <v>2035</v>
      </c>
      <c r="C196" t="s">
        <v>80</v>
      </c>
      <c r="D196" t="s">
        <v>53</v>
      </c>
      <c r="E196">
        <v>0.48475887946062601</v>
      </c>
      <c r="F196">
        <v>0.48475887946062601</v>
      </c>
      <c r="G196">
        <v>0</v>
      </c>
      <c r="H196">
        <v>0</v>
      </c>
      <c r="I196" t="s">
        <v>82</v>
      </c>
    </row>
    <row r="197" spans="1:9" x14ac:dyDescent="0.35">
      <c r="A197" t="s">
        <v>24</v>
      </c>
      <c r="B197">
        <v>2035</v>
      </c>
      <c r="C197" t="s">
        <v>80</v>
      </c>
      <c r="D197" t="s">
        <v>54</v>
      </c>
      <c r="E197">
        <v>5.83369970996876E-2</v>
      </c>
      <c r="F197">
        <v>5.83369970996876E-2</v>
      </c>
      <c r="G197">
        <v>0</v>
      </c>
      <c r="H197">
        <v>0</v>
      </c>
      <c r="I197" t="s">
        <v>82</v>
      </c>
    </row>
    <row r="198" spans="1:9" x14ac:dyDescent="0.35">
      <c r="A198" t="s">
        <v>24</v>
      </c>
      <c r="B198">
        <v>2035</v>
      </c>
      <c r="C198" t="s">
        <v>80</v>
      </c>
      <c r="D198" t="s">
        <v>55</v>
      </c>
      <c r="E198">
        <v>5.3697946061072997E-2</v>
      </c>
      <c r="F198">
        <v>5.3697946061072997E-2</v>
      </c>
      <c r="G198">
        <v>0</v>
      </c>
      <c r="H198">
        <v>0</v>
      </c>
      <c r="I198" t="s">
        <v>82</v>
      </c>
    </row>
    <row r="199" spans="1:9" x14ac:dyDescent="0.35">
      <c r="A199" t="s">
        <v>24</v>
      </c>
      <c r="B199">
        <v>2035</v>
      </c>
      <c r="C199" t="s">
        <v>80</v>
      </c>
      <c r="D199" t="s">
        <v>56</v>
      </c>
      <c r="E199" s="1">
        <v>8.2695572419550001E-8</v>
      </c>
      <c r="F199" s="1">
        <v>8.2695572419550001E-8</v>
      </c>
      <c r="G199">
        <v>0</v>
      </c>
      <c r="H199">
        <v>0</v>
      </c>
      <c r="I199" t="s">
        <v>82</v>
      </c>
    </row>
    <row r="200" spans="1:9" x14ac:dyDescent="0.35">
      <c r="A200" t="s">
        <v>26</v>
      </c>
      <c r="B200">
        <v>2040</v>
      </c>
      <c r="C200" t="s">
        <v>80</v>
      </c>
      <c r="D200" t="s">
        <v>38</v>
      </c>
      <c r="E200">
        <v>7.3482500040351602E-4</v>
      </c>
      <c r="F200">
        <v>7.3482500040351602E-4</v>
      </c>
      <c r="G200">
        <v>0</v>
      </c>
      <c r="H200">
        <v>0</v>
      </c>
      <c r="I200" t="s">
        <v>82</v>
      </c>
    </row>
    <row r="201" spans="1:9" x14ac:dyDescent="0.35">
      <c r="A201" t="s">
        <v>26</v>
      </c>
      <c r="B201">
        <v>2040</v>
      </c>
      <c r="C201" t="s">
        <v>80</v>
      </c>
      <c r="D201" t="s">
        <v>40</v>
      </c>
      <c r="E201">
        <v>4.4898993343873701E-4</v>
      </c>
      <c r="F201">
        <v>4.4898993343873701E-4</v>
      </c>
      <c r="G201">
        <v>0</v>
      </c>
      <c r="H201">
        <v>0</v>
      </c>
      <c r="I201" t="s">
        <v>82</v>
      </c>
    </row>
    <row r="202" spans="1:9" x14ac:dyDescent="0.35">
      <c r="A202" t="s">
        <v>26</v>
      </c>
      <c r="B202">
        <v>2040</v>
      </c>
      <c r="C202" t="s">
        <v>80</v>
      </c>
      <c r="D202" t="s">
        <v>41</v>
      </c>
      <c r="E202">
        <v>3.6439867087913699E-3</v>
      </c>
      <c r="F202">
        <v>3.6439867087913699E-3</v>
      </c>
      <c r="G202">
        <v>0</v>
      </c>
      <c r="H202">
        <v>0</v>
      </c>
      <c r="I202" t="s">
        <v>82</v>
      </c>
    </row>
    <row r="203" spans="1:9" x14ac:dyDescent="0.35">
      <c r="A203" t="s">
        <v>26</v>
      </c>
      <c r="B203">
        <v>2040</v>
      </c>
      <c r="C203" t="s">
        <v>80</v>
      </c>
      <c r="D203" t="s">
        <v>42</v>
      </c>
      <c r="E203">
        <v>1.0461227134033</v>
      </c>
      <c r="F203">
        <v>1.0461227134033</v>
      </c>
      <c r="G203">
        <v>0</v>
      </c>
      <c r="H203">
        <v>0</v>
      </c>
      <c r="I203" t="s">
        <v>82</v>
      </c>
    </row>
    <row r="204" spans="1:9" x14ac:dyDescent="0.35">
      <c r="A204" t="s">
        <v>26</v>
      </c>
      <c r="B204">
        <v>2040</v>
      </c>
      <c r="C204" t="s">
        <v>80</v>
      </c>
      <c r="D204" t="s">
        <v>43</v>
      </c>
      <c r="E204">
        <v>1.43997637117925E-3</v>
      </c>
      <c r="F204">
        <v>1.43997637117925E-3</v>
      </c>
      <c r="G204">
        <v>0</v>
      </c>
      <c r="H204">
        <v>0</v>
      </c>
      <c r="I204" t="s">
        <v>82</v>
      </c>
    </row>
    <row r="205" spans="1:9" x14ac:dyDescent="0.35">
      <c r="A205" t="s">
        <v>26</v>
      </c>
      <c r="B205">
        <v>2040</v>
      </c>
      <c r="C205" t="s">
        <v>80</v>
      </c>
      <c r="D205" t="s">
        <v>136</v>
      </c>
      <c r="E205">
        <v>2.2722734157747499</v>
      </c>
      <c r="F205">
        <v>2.0326301336076602</v>
      </c>
      <c r="G205">
        <v>-0.23964328216709399</v>
      </c>
      <c r="H205">
        <v>-10.5464105025136</v>
      </c>
      <c r="I205" t="s">
        <v>82</v>
      </c>
    </row>
    <row r="206" spans="1:9" x14ac:dyDescent="0.35">
      <c r="A206" t="s">
        <v>26</v>
      </c>
      <c r="B206">
        <v>2040</v>
      </c>
      <c r="C206" t="s">
        <v>80</v>
      </c>
      <c r="D206" t="s">
        <v>45</v>
      </c>
      <c r="E206">
        <v>1.93763479751198E-3</v>
      </c>
      <c r="F206">
        <v>1.93763479751198E-3</v>
      </c>
      <c r="G206">
        <v>0</v>
      </c>
      <c r="H206">
        <v>0</v>
      </c>
      <c r="I206" t="s">
        <v>82</v>
      </c>
    </row>
    <row r="207" spans="1:9" x14ac:dyDescent="0.35">
      <c r="A207" t="s">
        <v>26</v>
      </c>
      <c r="B207">
        <v>2040</v>
      </c>
      <c r="C207" t="s">
        <v>80</v>
      </c>
      <c r="D207" t="s">
        <v>46</v>
      </c>
      <c r="E207">
        <v>5.8458116828617103E-2</v>
      </c>
      <c r="F207">
        <v>5.8458116828617103E-2</v>
      </c>
      <c r="G207">
        <v>0</v>
      </c>
      <c r="H207">
        <v>0</v>
      </c>
      <c r="I207" t="s">
        <v>82</v>
      </c>
    </row>
    <row r="208" spans="1:9" x14ac:dyDescent="0.35">
      <c r="A208" t="s">
        <v>26</v>
      </c>
      <c r="B208">
        <v>2040</v>
      </c>
      <c r="C208" t="s">
        <v>80</v>
      </c>
      <c r="D208" t="s">
        <v>47</v>
      </c>
      <c r="E208">
        <v>1.3375422347597901E-3</v>
      </c>
      <c r="F208">
        <v>1.3375422347597901E-3</v>
      </c>
      <c r="G208">
        <v>0</v>
      </c>
      <c r="H208">
        <v>0</v>
      </c>
      <c r="I208" t="s">
        <v>82</v>
      </c>
    </row>
    <row r="209" spans="1:9" x14ac:dyDescent="0.35">
      <c r="A209" t="s">
        <v>26</v>
      </c>
      <c r="B209">
        <v>2040</v>
      </c>
      <c r="C209" t="s">
        <v>80</v>
      </c>
      <c r="D209" t="s">
        <v>48</v>
      </c>
      <c r="E209">
        <v>80.551749531855094</v>
      </c>
      <c r="F209">
        <v>80.551749531855094</v>
      </c>
      <c r="G209">
        <v>0</v>
      </c>
      <c r="H209">
        <v>0</v>
      </c>
      <c r="I209" t="s">
        <v>82</v>
      </c>
    </row>
    <row r="210" spans="1:9" x14ac:dyDescent="0.35">
      <c r="A210" t="s">
        <v>26</v>
      </c>
      <c r="B210">
        <v>2040</v>
      </c>
      <c r="C210" t="s">
        <v>80</v>
      </c>
      <c r="D210" t="s">
        <v>49</v>
      </c>
      <c r="E210">
        <v>3.9534762123645002E-3</v>
      </c>
      <c r="F210">
        <v>3.9534762123645002E-3</v>
      </c>
      <c r="G210">
        <v>0</v>
      </c>
      <c r="H210">
        <v>0</v>
      </c>
      <c r="I210" t="s">
        <v>82</v>
      </c>
    </row>
    <row r="211" spans="1:9" x14ac:dyDescent="0.35">
      <c r="A211" t="s">
        <v>26</v>
      </c>
      <c r="B211">
        <v>2040</v>
      </c>
      <c r="C211" t="s">
        <v>80</v>
      </c>
      <c r="D211" t="s">
        <v>50</v>
      </c>
      <c r="E211">
        <v>9.6591131363289607E-3</v>
      </c>
      <c r="F211">
        <v>9.6591131363289607E-3</v>
      </c>
      <c r="G211">
        <v>0</v>
      </c>
      <c r="H211">
        <v>0</v>
      </c>
      <c r="I211" t="s">
        <v>82</v>
      </c>
    </row>
    <row r="212" spans="1:9" x14ac:dyDescent="0.35">
      <c r="A212" t="s">
        <v>26</v>
      </c>
      <c r="B212">
        <v>2040</v>
      </c>
      <c r="C212" t="s">
        <v>80</v>
      </c>
      <c r="D212" t="s">
        <v>51</v>
      </c>
      <c r="E212">
        <v>6.3545829334434395E-2</v>
      </c>
      <c r="F212">
        <v>6.3545829334434395E-2</v>
      </c>
      <c r="G212">
        <v>0</v>
      </c>
      <c r="H212">
        <v>0</v>
      </c>
      <c r="I212" t="s">
        <v>82</v>
      </c>
    </row>
    <row r="213" spans="1:9" x14ac:dyDescent="0.35">
      <c r="A213" t="s">
        <v>26</v>
      </c>
      <c r="B213">
        <v>2040</v>
      </c>
      <c r="C213" t="s">
        <v>80</v>
      </c>
      <c r="D213" t="s">
        <v>52</v>
      </c>
      <c r="E213">
        <v>0.116991132937285</v>
      </c>
      <c r="F213">
        <v>0.116991132937285</v>
      </c>
      <c r="G213">
        <v>0</v>
      </c>
      <c r="H213">
        <v>0</v>
      </c>
      <c r="I213" t="s">
        <v>82</v>
      </c>
    </row>
    <row r="214" spans="1:9" x14ac:dyDescent="0.35">
      <c r="A214" t="s">
        <v>26</v>
      </c>
      <c r="B214">
        <v>2040</v>
      </c>
      <c r="C214" t="s">
        <v>80</v>
      </c>
      <c r="D214" t="s">
        <v>53</v>
      </c>
      <c r="E214">
        <v>0.50042390756355404</v>
      </c>
      <c r="F214">
        <v>0.50042390756355404</v>
      </c>
      <c r="G214">
        <v>0</v>
      </c>
      <c r="H214">
        <v>0</v>
      </c>
      <c r="I214" t="s">
        <v>82</v>
      </c>
    </row>
    <row r="215" spans="1:9" x14ac:dyDescent="0.35">
      <c r="A215" t="s">
        <v>26</v>
      </c>
      <c r="B215">
        <v>2040</v>
      </c>
      <c r="C215" t="s">
        <v>80</v>
      </c>
      <c r="D215" t="s">
        <v>54</v>
      </c>
      <c r="E215">
        <v>6.1411469030691002E-2</v>
      </c>
      <c r="F215">
        <v>6.1411469030691002E-2</v>
      </c>
      <c r="G215">
        <v>0</v>
      </c>
      <c r="H215">
        <v>0</v>
      </c>
      <c r="I215" t="s">
        <v>82</v>
      </c>
    </row>
    <row r="216" spans="1:9" x14ac:dyDescent="0.35">
      <c r="A216" t="s">
        <v>26</v>
      </c>
      <c r="B216">
        <v>2040</v>
      </c>
      <c r="C216" t="s">
        <v>80</v>
      </c>
      <c r="D216" t="s">
        <v>55</v>
      </c>
      <c r="E216">
        <v>5.6544943808202401E-2</v>
      </c>
      <c r="F216">
        <v>5.6544943808202401E-2</v>
      </c>
      <c r="G216">
        <v>0</v>
      </c>
      <c r="H216">
        <v>0</v>
      </c>
      <c r="I216" t="s">
        <v>82</v>
      </c>
    </row>
    <row r="217" spans="1:9" x14ac:dyDescent="0.35">
      <c r="A217" t="s">
        <v>26</v>
      </c>
      <c r="B217">
        <v>2040</v>
      </c>
      <c r="C217" t="s">
        <v>80</v>
      </c>
      <c r="D217" t="s">
        <v>56</v>
      </c>
      <c r="E217" s="1">
        <v>8.4087695998312102E-8</v>
      </c>
      <c r="F217" s="1">
        <v>8.4087695998312102E-8</v>
      </c>
      <c r="G217">
        <v>0</v>
      </c>
      <c r="H217">
        <v>0</v>
      </c>
      <c r="I217" t="s">
        <v>82</v>
      </c>
    </row>
    <row r="218" spans="1:9" x14ac:dyDescent="0.35">
      <c r="A218" t="s">
        <v>20</v>
      </c>
      <c r="B218">
        <v>2025</v>
      </c>
      <c r="C218" t="s">
        <v>65</v>
      </c>
      <c r="D218" t="s">
        <v>38</v>
      </c>
      <c r="E218">
        <v>6.4150213174541004E-2</v>
      </c>
      <c r="F218">
        <v>6.4150213174541004E-2</v>
      </c>
      <c r="G218">
        <v>0</v>
      </c>
      <c r="H218">
        <v>0</v>
      </c>
      <c r="I218" t="s">
        <v>66</v>
      </c>
    </row>
    <row r="219" spans="1:9" x14ac:dyDescent="0.35">
      <c r="A219" t="s">
        <v>20</v>
      </c>
      <c r="B219">
        <v>2025</v>
      </c>
      <c r="C219" t="s">
        <v>65</v>
      </c>
      <c r="D219" t="s">
        <v>40</v>
      </c>
      <c r="E219">
        <v>9.7294130137384194E-3</v>
      </c>
      <c r="F219">
        <v>9.7294130137384194E-3</v>
      </c>
      <c r="G219">
        <v>0</v>
      </c>
      <c r="H219">
        <v>0</v>
      </c>
      <c r="I219" t="s">
        <v>66</v>
      </c>
    </row>
    <row r="220" spans="1:9" x14ac:dyDescent="0.35">
      <c r="A220" t="s">
        <v>20</v>
      </c>
      <c r="B220">
        <v>2025</v>
      </c>
      <c r="C220" t="s">
        <v>65</v>
      </c>
      <c r="D220" t="s">
        <v>41</v>
      </c>
      <c r="E220">
        <v>0.30621088795410101</v>
      </c>
      <c r="F220">
        <v>0.30621088795410101</v>
      </c>
      <c r="G220">
        <v>0</v>
      </c>
      <c r="H220">
        <v>0</v>
      </c>
      <c r="I220" t="s">
        <v>66</v>
      </c>
    </row>
    <row r="221" spans="1:9" x14ac:dyDescent="0.35">
      <c r="A221" t="s">
        <v>20</v>
      </c>
      <c r="B221">
        <v>2025</v>
      </c>
      <c r="C221" t="s">
        <v>65</v>
      </c>
      <c r="D221" t="s">
        <v>42</v>
      </c>
      <c r="E221">
        <v>52.802430414833502</v>
      </c>
      <c r="F221">
        <v>52.802430414833502</v>
      </c>
      <c r="G221">
        <v>0</v>
      </c>
      <c r="H221">
        <v>0</v>
      </c>
      <c r="I221" t="s">
        <v>66</v>
      </c>
    </row>
    <row r="222" spans="1:9" x14ac:dyDescent="0.35">
      <c r="A222" t="s">
        <v>20</v>
      </c>
      <c r="B222">
        <v>2025</v>
      </c>
      <c r="C222" t="s">
        <v>65</v>
      </c>
      <c r="D222" t="s">
        <v>43</v>
      </c>
      <c r="E222">
        <v>7.2319597557319995E-2</v>
      </c>
      <c r="F222">
        <v>7.2319597557319995E-2</v>
      </c>
      <c r="G222">
        <v>0</v>
      </c>
      <c r="H222">
        <v>0</v>
      </c>
      <c r="I222" t="s">
        <v>66</v>
      </c>
    </row>
    <row r="223" spans="1:9" x14ac:dyDescent="0.35">
      <c r="A223" t="s">
        <v>20</v>
      </c>
      <c r="B223">
        <v>2025</v>
      </c>
      <c r="C223" t="s">
        <v>65</v>
      </c>
      <c r="D223" t="s">
        <v>136</v>
      </c>
      <c r="E223">
        <v>44.792814969834197</v>
      </c>
      <c r="F223">
        <v>44.792814969834197</v>
      </c>
      <c r="G223">
        <v>0</v>
      </c>
      <c r="H223">
        <v>0</v>
      </c>
      <c r="I223" t="s">
        <v>66</v>
      </c>
    </row>
    <row r="224" spans="1:9" x14ac:dyDescent="0.35">
      <c r="A224" t="s">
        <v>20</v>
      </c>
      <c r="B224">
        <v>2025</v>
      </c>
      <c r="C224" t="s">
        <v>65</v>
      </c>
      <c r="D224" t="s">
        <v>45</v>
      </c>
      <c r="E224">
        <v>8.5304432701901398E-2</v>
      </c>
      <c r="F224">
        <v>8.5304432701901398E-2</v>
      </c>
      <c r="G224">
        <v>0</v>
      </c>
      <c r="H224">
        <v>0</v>
      </c>
      <c r="I224" t="s">
        <v>66</v>
      </c>
    </row>
    <row r="225" spans="1:9" x14ac:dyDescent="0.35">
      <c r="A225" t="s">
        <v>20</v>
      </c>
      <c r="B225">
        <v>2025</v>
      </c>
      <c r="C225" t="s">
        <v>65</v>
      </c>
      <c r="D225" t="s">
        <v>46</v>
      </c>
      <c r="E225">
        <v>0.53832796996117405</v>
      </c>
      <c r="F225">
        <v>0.53832796996117405</v>
      </c>
      <c r="G225">
        <v>0</v>
      </c>
      <c r="H225">
        <v>0</v>
      </c>
      <c r="I225" t="s">
        <v>66</v>
      </c>
    </row>
    <row r="226" spans="1:9" x14ac:dyDescent="0.35">
      <c r="A226" t="s">
        <v>20</v>
      </c>
      <c r="B226">
        <v>2025</v>
      </c>
      <c r="C226" t="s">
        <v>65</v>
      </c>
      <c r="D226" t="s">
        <v>47</v>
      </c>
      <c r="E226">
        <v>3.7161401094913803E-2</v>
      </c>
      <c r="F226">
        <v>3.7161401094913803E-2</v>
      </c>
      <c r="G226">
        <v>0</v>
      </c>
      <c r="H226">
        <v>0</v>
      </c>
      <c r="I226" t="s">
        <v>66</v>
      </c>
    </row>
    <row r="227" spans="1:9" x14ac:dyDescent="0.35">
      <c r="A227" t="s">
        <v>20</v>
      </c>
      <c r="B227">
        <v>2025</v>
      </c>
      <c r="C227" t="s">
        <v>65</v>
      </c>
      <c r="D227" t="s">
        <v>48</v>
      </c>
      <c r="E227">
        <v>15.310134945605601</v>
      </c>
      <c r="F227">
        <v>15.310134945605601</v>
      </c>
      <c r="G227">
        <v>0</v>
      </c>
      <c r="H227">
        <v>0</v>
      </c>
      <c r="I227" t="s">
        <v>66</v>
      </c>
    </row>
    <row r="228" spans="1:9" x14ac:dyDescent="0.35">
      <c r="A228" t="s">
        <v>20</v>
      </c>
      <c r="B228">
        <v>2025</v>
      </c>
      <c r="C228" t="s">
        <v>65</v>
      </c>
      <c r="D228" t="s">
        <v>49</v>
      </c>
      <c r="E228">
        <v>0.207620301701817</v>
      </c>
      <c r="F228">
        <v>0.207620301701817</v>
      </c>
      <c r="G228">
        <v>0</v>
      </c>
      <c r="H228">
        <v>0</v>
      </c>
      <c r="I228" t="s">
        <v>66</v>
      </c>
    </row>
    <row r="229" spans="1:9" x14ac:dyDescent="0.35">
      <c r="A229" t="s">
        <v>20</v>
      </c>
      <c r="B229">
        <v>2025</v>
      </c>
      <c r="C229" t="s">
        <v>65</v>
      </c>
      <c r="D229" t="s">
        <v>50</v>
      </c>
      <c r="E229">
        <v>5.6590212532423301E-2</v>
      </c>
      <c r="F229">
        <v>5.6590212532423301E-2</v>
      </c>
      <c r="G229">
        <v>0</v>
      </c>
      <c r="H229">
        <v>0</v>
      </c>
      <c r="I229" t="s">
        <v>66</v>
      </c>
    </row>
    <row r="230" spans="1:9" x14ac:dyDescent="0.35">
      <c r="A230" t="s">
        <v>20</v>
      </c>
      <c r="B230">
        <v>2025</v>
      </c>
      <c r="C230" t="s">
        <v>65</v>
      </c>
      <c r="D230" t="s">
        <v>51</v>
      </c>
      <c r="E230">
        <v>1.22963545936843</v>
      </c>
      <c r="F230">
        <v>1.22963545936843</v>
      </c>
      <c r="G230">
        <v>0</v>
      </c>
      <c r="H230">
        <v>0</v>
      </c>
      <c r="I230" t="s">
        <v>66</v>
      </c>
    </row>
    <row r="231" spans="1:9" x14ac:dyDescent="0.35">
      <c r="A231" t="s">
        <v>20</v>
      </c>
      <c r="B231">
        <v>2025</v>
      </c>
      <c r="C231" t="s">
        <v>65</v>
      </c>
      <c r="D231" t="s">
        <v>52</v>
      </c>
      <c r="E231">
        <v>0.67381819194152703</v>
      </c>
      <c r="F231">
        <v>0.67381819194152703</v>
      </c>
      <c r="G231">
        <v>0</v>
      </c>
      <c r="H231">
        <v>0</v>
      </c>
      <c r="I231" t="s">
        <v>66</v>
      </c>
    </row>
    <row r="232" spans="1:9" x14ac:dyDescent="0.35">
      <c r="A232" t="s">
        <v>20</v>
      </c>
      <c r="B232">
        <v>2025</v>
      </c>
      <c r="C232" t="s">
        <v>65</v>
      </c>
      <c r="D232" t="s">
        <v>53</v>
      </c>
      <c r="E232">
        <v>8.8932302927547209</v>
      </c>
      <c r="F232">
        <v>8.8932302927547209</v>
      </c>
      <c r="G232">
        <v>0</v>
      </c>
      <c r="H232">
        <v>0</v>
      </c>
      <c r="I232" t="s">
        <v>66</v>
      </c>
    </row>
    <row r="233" spans="1:9" x14ac:dyDescent="0.35">
      <c r="A233" t="s">
        <v>20</v>
      </c>
      <c r="B233">
        <v>2025</v>
      </c>
      <c r="C233" t="s">
        <v>65</v>
      </c>
      <c r="D233" t="s">
        <v>54</v>
      </c>
      <c r="E233">
        <v>22.787030527633402</v>
      </c>
      <c r="F233">
        <v>22.787030527633402</v>
      </c>
      <c r="G233">
        <v>0</v>
      </c>
      <c r="H233">
        <v>0</v>
      </c>
      <c r="I233" t="s">
        <v>66</v>
      </c>
    </row>
    <row r="234" spans="1:9" x14ac:dyDescent="0.35">
      <c r="A234" t="s">
        <v>20</v>
      </c>
      <c r="B234">
        <v>2025</v>
      </c>
      <c r="C234" t="s">
        <v>65</v>
      </c>
      <c r="D234" t="s">
        <v>55</v>
      </c>
      <c r="E234">
        <v>24.4522300963581</v>
      </c>
      <c r="F234">
        <v>24.4522300963581</v>
      </c>
      <c r="G234">
        <v>0</v>
      </c>
      <c r="H234">
        <v>0</v>
      </c>
      <c r="I234" t="s">
        <v>66</v>
      </c>
    </row>
    <row r="235" spans="1:9" x14ac:dyDescent="0.35">
      <c r="A235" t="s">
        <v>20</v>
      </c>
      <c r="B235">
        <v>2025</v>
      </c>
      <c r="C235" t="s">
        <v>65</v>
      </c>
      <c r="D235" t="s">
        <v>56</v>
      </c>
      <c r="E235" s="1">
        <v>2.2361535757673298E-6</v>
      </c>
      <c r="F235" s="1">
        <v>2.2361535757673298E-6</v>
      </c>
      <c r="G235">
        <v>0</v>
      </c>
      <c r="H235">
        <v>0</v>
      </c>
      <c r="I235" t="s">
        <v>66</v>
      </c>
    </row>
    <row r="236" spans="1:9" x14ac:dyDescent="0.35">
      <c r="A236" t="s">
        <v>22</v>
      </c>
      <c r="B236">
        <v>2030</v>
      </c>
      <c r="C236" t="s">
        <v>65</v>
      </c>
      <c r="D236" t="s">
        <v>38</v>
      </c>
      <c r="E236">
        <v>6.8323373864932202E-2</v>
      </c>
      <c r="F236">
        <v>6.8323373864932202E-2</v>
      </c>
      <c r="G236">
        <v>0</v>
      </c>
      <c r="H236">
        <v>0</v>
      </c>
      <c r="I236" t="s">
        <v>66</v>
      </c>
    </row>
    <row r="237" spans="1:9" x14ac:dyDescent="0.35">
      <c r="A237" t="s">
        <v>22</v>
      </c>
      <c r="B237">
        <v>2030</v>
      </c>
      <c r="C237" t="s">
        <v>65</v>
      </c>
      <c r="D237" t="s">
        <v>40</v>
      </c>
      <c r="E237">
        <v>9.6104809541420894E-3</v>
      </c>
      <c r="F237">
        <v>9.6104809541420894E-3</v>
      </c>
      <c r="G237">
        <v>0</v>
      </c>
      <c r="H237">
        <v>0</v>
      </c>
      <c r="I237" t="s">
        <v>66</v>
      </c>
    </row>
    <row r="238" spans="1:9" x14ac:dyDescent="0.35">
      <c r="A238" t="s">
        <v>22</v>
      </c>
      <c r="B238">
        <v>2030</v>
      </c>
      <c r="C238" t="s">
        <v>65</v>
      </c>
      <c r="D238" t="s">
        <v>41</v>
      </c>
      <c r="E238">
        <v>0.305169914189719</v>
      </c>
      <c r="F238">
        <v>0.305169914189719</v>
      </c>
      <c r="G238">
        <v>0</v>
      </c>
      <c r="H238">
        <v>0</v>
      </c>
      <c r="I238" t="s">
        <v>66</v>
      </c>
    </row>
    <row r="239" spans="1:9" x14ac:dyDescent="0.35">
      <c r="A239" t="s">
        <v>22</v>
      </c>
      <c r="B239">
        <v>2030</v>
      </c>
      <c r="C239" t="s">
        <v>65</v>
      </c>
      <c r="D239" t="s">
        <v>42</v>
      </c>
      <c r="E239">
        <v>52.795012173320004</v>
      </c>
      <c r="F239">
        <v>52.795012173320004</v>
      </c>
      <c r="G239">
        <v>0</v>
      </c>
      <c r="H239">
        <v>0</v>
      </c>
      <c r="I239" t="s">
        <v>66</v>
      </c>
    </row>
    <row r="240" spans="1:9" x14ac:dyDescent="0.35">
      <c r="A240" t="s">
        <v>22</v>
      </c>
      <c r="B240">
        <v>2030</v>
      </c>
      <c r="C240" t="s">
        <v>65</v>
      </c>
      <c r="D240" t="s">
        <v>43</v>
      </c>
      <c r="E240">
        <v>7.3087077269513703E-2</v>
      </c>
      <c r="F240">
        <v>7.3087077269513703E-2</v>
      </c>
      <c r="G240">
        <v>0</v>
      </c>
      <c r="H240">
        <v>0</v>
      </c>
      <c r="I240" t="s">
        <v>66</v>
      </c>
    </row>
    <row r="241" spans="1:9" x14ac:dyDescent="0.35">
      <c r="A241" t="s">
        <v>22</v>
      </c>
      <c r="B241">
        <v>2030</v>
      </c>
      <c r="C241" t="s">
        <v>65</v>
      </c>
      <c r="D241" t="s">
        <v>136</v>
      </c>
      <c r="E241">
        <v>44.452087087970497</v>
      </c>
      <c r="F241">
        <v>44.452087087970497</v>
      </c>
      <c r="G241">
        <v>0</v>
      </c>
      <c r="H241">
        <v>0</v>
      </c>
      <c r="I241" t="s">
        <v>66</v>
      </c>
    </row>
    <row r="242" spans="1:9" x14ac:dyDescent="0.35">
      <c r="A242" t="s">
        <v>22</v>
      </c>
      <c r="B242">
        <v>2030</v>
      </c>
      <c r="C242" t="s">
        <v>65</v>
      </c>
      <c r="D242" t="s">
        <v>45</v>
      </c>
      <c r="E242">
        <v>8.3711657506905804E-2</v>
      </c>
      <c r="F242">
        <v>8.3711657506905804E-2</v>
      </c>
      <c r="G242">
        <v>0</v>
      </c>
      <c r="H242">
        <v>0</v>
      </c>
      <c r="I242" t="s">
        <v>66</v>
      </c>
    </row>
    <row r="243" spans="1:9" x14ac:dyDescent="0.35">
      <c r="A243" t="s">
        <v>22</v>
      </c>
      <c r="B243">
        <v>2030</v>
      </c>
      <c r="C243" t="s">
        <v>65</v>
      </c>
      <c r="D243" t="s">
        <v>46</v>
      </c>
      <c r="E243">
        <v>0.776772274337583</v>
      </c>
      <c r="F243">
        <v>0.776772274337583</v>
      </c>
      <c r="G243">
        <v>0</v>
      </c>
      <c r="H243">
        <v>0</v>
      </c>
      <c r="I243" t="s">
        <v>66</v>
      </c>
    </row>
    <row r="244" spans="1:9" x14ac:dyDescent="0.35">
      <c r="A244" t="s">
        <v>22</v>
      </c>
      <c r="B244">
        <v>2030</v>
      </c>
      <c r="C244" t="s">
        <v>65</v>
      </c>
      <c r="D244" t="s">
        <v>47</v>
      </c>
      <c r="E244">
        <v>3.7325509473127197E-2</v>
      </c>
      <c r="F244">
        <v>3.7325509473127197E-2</v>
      </c>
      <c r="G244">
        <v>0</v>
      </c>
      <c r="H244">
        <v>0</v>
      </c>
      <c r="I244" t="s">
        <v>66</v>
      </c>
    </row>
    <row r="245" spans="1:9" x14ac:dyDescent="0.35">
      <c r="A245" t="s">
        <v>22</v>
      </c>
      <c r="B245">
        <v>2030</v>
      </c>
      <c r="C245" t="s">
        <v>65</v>
      </c>
      <c r="D245" t="s">
        <v>48</v>
      </c>
      <c r="E245">
        <v>15.303779708300301</v>
      </c>
      <c r="F245">
        <v>15.303779708300301</v>
      </c>
      <c r="G245">
        <v>0</v>
      </c>
      <c r="H245">
        <v>0</v>
      </c>
      <c r="I245" t="s">
        <v>66</v>
      </c>
    </row>
    <row r="246" spans="1:9" x14ac:dyDescent="0.35">
      <c r="A246" t="s">
        <v>22</v>
      </c>
      <c r="B246">
        <v>2030</v>
      </c>
      <c r="C246" t="s">
        <v>65</v>
      </c>
      <c r="D246" t="s">
        <v>49</v>
      </c>
      <c r="E246">
        <v>0.20732035370180599</v>
      </c>
      <c r="F246">
        <v>0.20732035370180599</v>
      </c>
      <c r="G246">
        <v>0</v>
      </c>
      <c r="H246">
        <v>0</v>
      </c>
      <c r="I246" t="s">
        <v>66</v>
      </c>
    </row>
    <row r="247" spans="1:9" x14ac:dyDescent="0.35">
      <c r="A247" t="s">
        <v>22</v>
      </c>
      <c r="B247">
        <v>2030</v>
      </c>
      <c r="C247" t="s">
        <v>65</v>
      </c>
      <c r="D247" t="s">
        <v>50</v>
      </c>
      <c r="E247">
        <v>7.3548690885047396E-2</v>
      </c>
      <c r="F247">
        <v>7.3548690885047396E-2</v>
      </c>
      <c r="G247">
        <v>0</v>
      </c>
      <c r="H247">
        <v>0</v>
      </c>
      <c r="I247" t="s">
        <v>66</v>
      </c>
    </row>
    <row r="248" spans="1:9" x14ac:dyDescent="0.35">
      <c r="A248" t="s">
        <v>22</v>
      </c>
      <c r="B248">
        <v>2030</v>
      </c>
      <c r="C248" t="s">
        <v>65</v>
      </c>
      <c r="D248" t="s">
        <v>51</v>
      </c>
      <c r="E248">
        <v>1.22440585800016</v>
      </c>
      <c r="F248">
        <v>1.22440585800016</v>
      </c>
      <c r="G248">
        <v>0</v>
      </c>
      <c r="H248">
        <v>0</v>
      </c>
      <c r="I248" t="s">
        <v>66</v>
      </c>
    </row>
    <row r="249" spans="1:9" x14ac:dyDescent="0.35">
      <c r="A249" t="s">
        <v>22</v>
      </c>
      <c r="B249">
        <v>2030</v>
      </c>
      <c r="C249" t="s">
        <v>65</v>
      </c>
      <c r="D249" t="s">
        <v>52</v>
      </c>
      <c r="E249">
        <v>0.62097113407073401</v>
      </c>
      <c r="F249">
        <v>0.62097113407073401</v>
      </c>
      <c r="G249">
        <v>0</v>
      </c>
      <c r="H249">
        <v>0</v>
      </c>
      <c r="I249" t="s">
        <v>66</v>
      </c>
    </row>
    <row r="250" spans="1:9" x14ac:dyDescent="0.35">
      <c r="A250" t="s">
        <v>22</v>
      </c>
      <c r="B250">
        <v>2030</v>
      </c>
      <c r="C250" t="s">
        <v>65</v>
      </c>
      <c r="D250" t="s">
        <v>53</v>
      </c>
      <c r="E250">
        <v>8.7710691934353999</v>
      </c>
      <c r="F250">
        <v>8.7710691934353999</v>
      </c>
      <c r="G250">
        <v>0</v>
      </c>
      <c r="H250">
        <v>0</v>
      </c>
      <c r="I250" t="s">
        <v>66</v>
      </c>
    </row>
    <row r="251" spans="1:9" x14ac:dyDescent="0.35">
      <c r="A251" t="s">
        <v>22</v>
      </c>
      <c r="B251">
        <v>2030</v>
      </c>
      <c r="C251" t="s">
        <v>65</v>
      </c>
      <c r="D251" t="s">
        <v>54</v>
      </c>
      <c r="E251">
        <v>22.797016142182901</v>
      </c>
      <c r="F251">
        <v>22.797016142182901</v>
      </c>
      <c r="G251">
        <v>0</v>
      </c>
      <c r="H251">
        <v>0</v>
      </c>
      <c r="I251" t="s">
        <v>66</v>
      </c>
    </row>
    <row r="252" spans="1:9" x14ac:dyDescent="0.35">
      <c r="A252" t="s">
        <v>22</v>
      </c>
      <c r="B252">
        <v>2030</v>
      </c>
      <c r="C252" t="s">
        <v>65</v>
      </c>
      <c r="D252" t="s">
        <v>55</v>
      </c>
      <c r="E252">
        <v>24.458940241717698</v>
      </c>
      <c r="F252">
        <v>24.458940241717698</v>
      </c>
      <c r="G252">
        <v>0</v>
      </c>
      <c r="H252">
        <v>0</v>
      </c>
      <c r="I252" t="s">
        <v>66</v>
      </c>
    </row>
    <row r="253" spans="1:9" x14ac:dyDescent="0.35">
      <c r="A253" t="s">
        <v>22</v>
      </c>
      <c r="B253">
        <v>2030</v>
      </c>
      <c r="C253" t="s">
        <v>65</v>
      </c>
      <c r="D253" t="s">
        <v>56</v>
      </c>
      <c r="E253" s="1">
        <v>2.0469761232020499E-6</v>
      </c>
      <c r="F253" s="1">
        <v>2.0469761232020499E-6</v>
      </c>
      <c r="G253">
        <v>0</v>
      </c>
      <c r="H253">
        <v>0</v>
      </c>
      <c r="I253" t="s">
        <v>66</v>
      </c>
    </row>
    <row r="254" spans="1:9" x14ac:dyDescent="0.35">
      <c r="A254" t="s">
        <v>24</v>
      </c>
      <c r="B254">
        <v>2035</v>
      </c>
      <c r="C254" t="s">
        <v>65</v>
      </c>
      <c r="D254" t="s">
        <v>38</v>
      </c>
      <c r="E254">
        <v>7.2345782245199206E-2</v>
      </c>
      <c r="F254">
        <v>7.2345782245199206E-2</v>
      </c>
      <c r="G254">
        <v>0</v>
      </c>
      <c r="H254">
        <v>0</v>
      </c>
      <c r="I254" t="s">
        <v>66</v>
      </c>
    </row>
    <row r="255" spans="1:9" x14ac:dyDescent="0.35">
      <c r="A255" t="s">
        <v>24</v>
      </c>
      <c r="B255">
        <v>2035</v>
      </c>
      <c r="C255" t="s">
        <v>65</v>
      </c>
      <c r="D255" t="s">
        <v>40</v>
      </c>
      <c r="E255">
        <v>9.5444213956420807E-3</v>
      </c>
      <c r="F255">
        <v>9.5444213956420807E-3</v>
      </c>
      <c r="G255">
        <v>0</v>
      </c>
      <c r="H255">
        <v>0</v>
      </c>
      <c r="I255" t="s">
        <v>66</v>
      </c>
    </row>
    <row r="256" spans="1:9" x14ac:dyDescent="0.35">
      <c r="A256" t="s">
        <v>24</v>
      </c>
      <c r="B256">
        <v>2035</v>
      </c>
      <c r="C256" t="s">
        <v>65</v>
      </c>
      <c r="D256" t="s">
        <v>41</v>
      </c>
      <c r="E256">
        <v>0.30493921081693798</v>
      </c>
      <c r="F256">
        <v>0.30493921081693798</v>
      </c>
      <c r="G256">
        <v>0</v>
      </c>
      <c r="H256">
        <v>0</v>
      </c>
      <c r="I256" t="s">
        <v>66</v>
      </c>
    </row>
    <row r="257" spans="1:9" x14ac:dyDescent="0.35">
      <c r="A257" t="s">
        <v>24</v>
      </c>
      <c r="B257">
        <v>2035</v>
      </c>
      <c r="C257" t="s">
        <v>65</v>
      </c>
      <c r="D257" t="s">
        <v>42</v>
      </c>
      <c r="E257">
        <v>52.9546216753401</v>
      </c>
      <c r="F257">
        <v>52.9546216753401</v>
      </c>
      <c r="G257">
        <v>0</v>
      </c>
      <c r="H257">
        <v>0</v>
      </c>
      <c r="I257" t="s">
        <v>66</v>
      </c>
    </row>
    <row r="258" spans="1:9" x14ac:dyDescent="0.35">
      <c r="A258" t="s">
        <v>24</v>
      </c>
      <c r="B258">
        <v>2035</v>
      </c>
      <c r="C258" t="s">
        <v>65</v>
      </c>
      <c r="D258" t="s">
        <v>43</v>
      </c>
      <c r="E258">
        <v>7.4039267565205305E-2</v>
      </c>
      <c r="F258">
        <v>7.4039267565205305E-2</v>
      </c>
      <c r="G258">
        <v>0</v>
      </c>
      <c r="H258">
        <v>0</v>
      </c>
      <c r="I258" t="s">
        <v>66</v>
      </c>
    </row>
    <row r="259" spans="1:9" x14ac:dyDescent="0.35">
      <c r="A259" t="s">
        <v>24</v>
      </c>
      <c r="B259">
        <v>2035</v>
      </c>
      <c r="C259" t="s">
        <v>65</v>
      </c>
      <c r="D259" t="s">
        <v>136</v>
      </c>
      <c r="E259">
        <v>44.426480253002097</v>
      </c>
      <c r="F259">
        <v>44.426480253002097</v>
      </c>
      <c r="G259">
        <v>0</v>
      </c>
      <c r="H259">
        <v>0</v>
      </c>
      <c r="I259" t="s">
        <v>66</v>
      </c>
    </row>
    <row r="260" spans="1:9" x14ac:dyDescent="0.35">
      <c r="A260" t="s">
        <v>24</v>
      </c>
      <c r="B260">
        <v>2035</v>
      </c>
      <c r="C260" t="s">
        <v>65</v>
      </c>
      <c r="D260" t="s">
        <v>45</v>
      </c>
      <c r="E260">
        <v>8.3084915063486198E-2</v>
      </c>
      <c r="F260">
        <v>8.3084915063486198E-2</v>
      </c>
      <c r="G260">
        <v>0</v>
      </c>
      <c r="H260">
        <v>0</v>
      </c>
      <c r="I260" t="s">
        <v>66</v>
      </c>
    </row>
    <row r="261" spans="1:9" x14ac:dyDescent="0.35">
      <c r="A261" t="s">
        <v>24</v>
      </c>
      <c r="B261">
        <v>2035</v>
      </c>
      <c r="C261" t="s">
        <v>65</v>
      </c>
      <c r="D261" t="s">
        <v>46</v>
      </c>
      <c r="E261">
        <v>1.0446894561193301</v>
      </c>
      <c r="F261">
        <v>1.0446894561193301</v>
      </c>
      <c r="G261">
        <v>0</v>
      </c>
      <c r="H261">
        <v>0</v>
      </c>
      <c r="I261" t="s">
        <v>66</v>
      </c>
    </row>
    <row r="262" spans="1:9" x14ac:dyDescent="0.35">
      <c r="A262" t="s">
        <v>24</v>
      </c>
      <c r="B262">
        <v>2035</v>
      </c>
      <c r="C262" t="s">
        <v>65</v>
      </c>
      <c r="D262" t="s">
        <v>47</v>
      </c>
      <c r="E262">
        <v>3.7613005036226201E-2</v>
      </c>
      <c r="F262">
        <v>3.7613005036226201E-2</v>
      </c>
      <c r="G262">
        <v>0</v>
      </c>
      <c r="H262">
        <v>0</v>
      </c>
      <c r="I262" t="s">
        <v>66</v>
      </c>
    </row>
    <row r="263" spans="1:9" x14ac:dyDescent="0.35">
      <c r="A263" t="s">
        <v>24</v>
      </c>
      <c r="B263">
        <v>2035</v>
      </c>
      <c r="C263" t="s">
        <v>65</v>
      </c>
      <c r="D263" t="s">
        <v>48</v>
      </c>
      <c r="E263">
        <v>15.3021885548198</v>
      </c>
      <c r="F263">
        <v>15.3021885548198</v>
      </c>
      <c r="G263">
        <v>0</v>
      </c>
      <c r="H263">
        <v>0</v>
      </c>
      <c r="I263" t="s">
        <v>66</v>
      </c>
    </row>
    <row r="264" spans="1:9" x14ac:dyDescent="0.35">
      <c r="A264" t="s">
        <v>24</v>
      </c>
      <c r="B264">
        <v>2035</v>
      </c>
      <c r="C264" t="s">
        <v>65</v>
      </c>
      <c r="D264" t="s">
        <v>49</v>
      </c>
      <c r="E264">
        <v>0.20767756589428599</v>
      </c>
      <c r="F264">
        <v>0.20767756589428599</v>
      </c>
      <c r="G264">
        <v>0</v>
      </c>
      <c r="H264">
        <v>0</v>
      </c>
      <c r="I264" t="s">
        <v>66</v>
      </c>
    </row>
    <row r="265" spans="1:9" x14ac:dyDescent="0.35">
      <c r="A265" t="s">
        <v>24</v>
      </c>
      <c r="B265">
        <v>2035</v>
      </c>
      <c r="C265" t="s">
        <v>65</v>
      </c>
      <c r="D265" t="s">
        <v>50</v>
      </c>
      <c r="E265">
        <v>8.9739918767708898E-2</v>
      </c>
      <c r="F265">
        <v>8.9739918767708898E-2</v>
      </c>
      <c r="G265">
        <v>0</v>
      </c>
      <c r="H265">
        <v>0</v>
      </c>
      <c r="I265" t="s">
        <v>66</v>
      </c>
    </row>
    <row r="266" spans="1:9" x14ac:dyDescent="0.35">
      <c r="A266" t="s">
        <v>24</v>
      </c>
      <c r="B266">
        <v>2035</v>
      </c>
      <c r="C266" t="s">
        <v>65</v>
      </c>
      <c r="D266" t="s">
        <v>51</v>
      </c>
      <c r="E266">
        <v>1.22361078536999</v>
      </c>
      <c r="F266">
        <v>1.22361078536999</v>
      </c>
      <c r="G266">
        <v>0</v>
      </c>
      <c r="H266">
        <v>0</v>
      </c>
      <c r="I266" t="s">
        <v>66</v>
      </c>
    </row>
    <row r="267" spans="1:9" x14ac:dyDescent="0.35">
      <c r="A267" t="s">
        <v>24</v>
      </c>
      <c r="B267">
        <v>2035</v>
      </c>
      <c r="C267" t="s">
        <v>65</v>
      </c>
      <c r="D267" t="s">
        <v>52</v>
      </c>
      <c r="E267">
        <v>0.57937594004897797</v>
      </c>
      <c r="F267">
        <v>0.57937594004897797</v>
      </c>
      <c r="G267">
        <v>0</v>
      </c>
      <c r="H267">
        <v>0</v>
      </c>
      <c r="I267" t="s">
        <v>66</v>
      </c>
    </row>
    <row r="268" spans="1:9" x14ac:dyDescent="0.35">
      <c r="A268" t="s">
        <v>24</v>
      </c>
      <c r="B268">
        <v>2035</v>
      </c>
      <c r="C268" t="s">
        <v>65</v>
      </c>
      <c r="D268" t="s">
        <v>53</v>
      </c>
      <c r="E268">
        <v>8.7503293681876997</v>
      </c>
      <c r="F268">
        <v>8.7503293681876997</v>
      </c>
      <c r="G268">
        <v>0</v>
      </c>
      <c r="H268">
        <v>0</v>
      </c>
      <c r="I268" t="s">
        <v>66</v>
      </c>
    </row>
    <row r="269" spans="1:9" x14ac:dyDescent="0.35">
      <c r="A269" t="s">
        <v>24</v>
      </c>
      <c r="B269">
        <v>2035</v>
      </c>
      <c r="C269" t="s">
        <v>65</v>
      </c>
      <c r="D269" t="s">
        <v>54</v>
      </c>
      <c r="E269">
        <v>22.806245511235701</v>
      </c>
      <c r="F269">
        <v>22.806245511235701</v>
      </c>
      <c r="G269">
        <v>0</v>
      </c>
      <c r="H269">
        <v>0</v>
      </c>
      <c r="I269" t="s">
        <v>66</v>
      </c>
    </row>
    <row r="270" spans="1:9" x14ac:dyDescent="0.35">
      <c r="A270" t="s">
        <v>24</v>
      </c>
      <c r="B270">
        <v>2035</v>
      </c>
      <c r="C270" t="s">
        <v>65</v>
      </c>
      <c r="D270" t="s">
        <v>55</v>
      </c>
      <c r="E270">
        <v>24.4665082578876</v>
      </c>
      <c r="F270">
        <v>24.4665082578876</v>
      </c>
      <c r="G270">
        <v>0</v>
      </c>
      <c r="H270">
        <v>0</v>
      </c>
      <c r="I270" t="s">
        <v>66</v>
      </c>
    </row>
    <row r="271" spans="1:9" x14ac:dyDescent="0.35">
      <c r="A271" t="s">
        <v>24</v>
      </c>
      <c r="B271">
        <v>2035</v>
      </c>
      <c r="C271" t="s">
        <v>65</v>
      </c>
      <c r="D271" t="s">
        <v>56</v>
      </c>
      <c r="E271" s="1">
        <v>1.9637946244194699E-6</v>
      </c>
      <c r="F271" s="1">
        <v>1.9637946244194699E-6</v>
      </c>
      <c r="G271">
        <v>0</v>
      </c>
      <c r="H271">
        <v>0</v>
      </c>
      <c r="I271" t="s">
        <v>66</v>
      </c>
    </row>
    <row r="272" spans="1:9" x14ac:dyDescent="0.35">
      <c r="A272" t="s">
        <v>26</v>
      </c>
      <c r="B272">
        <v>2040</v>
      </c>
      <c r="C272" t="s">
        <v>65</v>
      </c>
      <c r="D272" t="s">
        <v>38</v>
      </c>
      <c r="E272">
        <v>7.1175061995960298E-2</v>
      </c>
      <c r="F272">
        <v>7.0697810964873001E-2</v>
      </c>
      <c r="G272">
        <v>-4.7725103108726898E-4</v>
      </c>
      <c r="H272">
        <v>-0.67053124746748605</v>
      </c>
      <c r="I272" t="s">
        <v>66</v>
      </c>
    </row>
    <row r="273" spans="1:9" x14ac:dyDescent="0.35">
      <c r="A273" t="s">
        <v>26</v>
      </c>
      <c r="B273">
        <v>2040</v>
      </c>
      <c r="C273" t="s">
        <v>65</v>
      </c>
      <c r="D273" t="s">
        <v>40</v>
      </c>
      <c r="E273">
        <v>9.4993639019695895E-3</v>
      </c>
      <c r="F273">
        <v>9.4993639019695895E-3</v>
      </c>
      <c r="G273">
        <v>0</v>
      </c>
      <c r="H273">
        <v>0</v>
      </c>
      <c r="I273" t="s">
        <v>66</v>
      </c>
    </row>
    <row r="274" spans="1:9" x14ac:dyDescent="0.35">
      <c r="A274" t="s">
        <v>26</v>
      </c>
      <c r="B274">
        <v>2040</v>
      </c>
      <c r="C274" t="s">
        <v>65</v>
      </c>
      <c r="D274" t="s">
        <v>41</v>
      </c>
      <c r="E274">
        <v>0.30490014492609901</v>
      </c>
      <c r="F274">
        <v>0.170136086266784</v>
      </c>
      <c r="G274">
        <v>-0.13476405865931401</v>
      </c>
      <c r="H274">
        <v>-44.199407872363601</v>
      </c>
      <c r="I274" t="s">
        <v>66</v>
      </c>
    </row>
    <row r="275" spans="1:9" x14ac:dyDescent="0.35">
      <c r="A275" t="s">
        <v>26</v>
      </c>
      <c r="B275">
        <v>2040</v>
      </c>
      <c r="C275" t="s">
        <v>65</v>
      </c>
      <c r="D275" t="s">
        <v>42</v>
      </c>
      <c r="E275">
        <v>53.1384075329143</v>
      </c>
      <c r="F275">
        <v>52.247213498925703</v>
      </c>
      <c r="G275">
        <v>-0.89119403398858299</v>
      </c>
      <c r="H275">
        <v>-1.6771184447644001</v>
      </c>
      <c r="I275" t="s">
        <v>66</v>
      </c>
    </row>
    <row r="276" spans="1:9" x14ac:dyDescent="0.35">
      <c r="A276" t="s">
        <v>26</v>
      </c>
      <c r="B276">
        <v>2040</v>
      </c>
      <c r="C276" t="s">
        <v>65</v>
      </c>
      <c r="D276" t="s">
        <v>43</v>
      </c>
      <c r="E276">
        <v>7.3823575763859603E-2</v>
      </c>
      <c r="F276">
        <v>4.2042077554351902E-2</v>
      </c>
      <c r="G276">
        <v>-3.1781498209507597E-2</v>
      </c>
      <c r="H276">
        <v>-43.050607994345199</v>
      </c>
      <c r="I276" t="s">
        <v>66</v>
      </c>
    </row>
    <row r="277" spans="1:9" x14ac:dyDescent="0.35">
      <c r="A277" t="s">
        <v>26</v>
      </c>
      <c r="B277">
        <v>2040</v>
      </c>
      <c r="C277" t="s">
        <v>65</v>
      </c>
      <c r="D277" t="s">
        <v>136</v>
      </c>
      <c r="E277">
        <v>44.548477579553797</v>
      </c>
      <c r="F277">
        <v>33.928873943365097</v>
      </c>
      <c r="G277">
        <v>-10.6196036361887</v>
      </c>
      <c r="H277">
        <v>-23.838308766499299</v>
      </c>
      <c r="I277" t="s">
        <v>66</v>
      </c>
    </row>
    <row r="278" spans="1:9" x14ac:dyDescent="0.35">
      <c r="A278" t="s">
        <v>26</v>
      </c>
      <c r="B278">
        <v>2040</v>
      </c>
      <c r="C278" t="s">
        <v>65</v>
      </c>
      <c r="D278" t="s">
        <v>45</v>
      </c>
      <c r="E278">
        <v>8.2681970795989601E-2</v>
      </c>
      <c r="F278">
        <v>4.41209970413112E-2</v>
      </c>
      <c r="G278">
        <v>-3.8560973754678401E-2</v>
      </c>
      <c r="H278">
        <v>-46.637705153187603</v>
      </c>
      <c r="I278" t="s">
        <v>66</v>
      </c>
    </row>
    <row r="279" spans="1:9" x14ac:dyDescent="0.35">
      <c r="A279" t="s">
        <v>26</v>
      </c>
      <c r="B279">
        <v>2040</v>
      </c>
      <c r="C279" t="s">
        <v>65</v>
      </c>
      <c r="D279" t="s">
        <v>46</v>
      </c>
      <c r="E279">
        <v>1.1028719017513</v>
      </c>
      <c r="F279">
        <v>1.1028719017513</v>
      </c>
      <c r="G279">
        <v>0</v>
      </c>
      <c r="H279">
        <v>0</v>
      </c>
      <c r="I279" t="s">
        <v>66</v>
      </c>
    </row>
    <row r="280" spans="1:9" x14ac:dyDescent="0.35">
      <c r="A280" t="s">
        <v>26</v>
      </c>
      <c r="B280">
        <v>2040</v>
      </c>
      <c r="C280" t="s">
        <v>65</v>
      </c>
      <c r="D280" t="s">
        <v>47</v>
      </c>
      <c r="E280">
        <v>3.7916563682326203E-2</v>
      </c>
      <c r="F280">
        <v>3.7916563682326203E-2</v>
      </c>
      <c r="G280">
        <v>0</v>
      </c>
      <c r="H280">
        <v>0</v>
      </c>
      <c r="I280" t="s">
        <v>66</v>
      </c>
    </row>
    <row r="281" spans="1:9" x14ac:dyDescent="0.35">
      <c r="A281" t="s">
        <v>26</v>
      </c>
      <c r="B281">
        <v>2040</v>
      </c>
      <c r="C281" t="s">
        <v>65</v>
      </c>
      <c r="D281" t="s">
        <v>48</v>
      </c>
      <c r="E281">
        <v>15.303190666754899</v>
      </c>
      <c r="F281">
        <v>15.303190666754899</v>
      </c>
      <c r="G281">
        <v>0</v>
      </c>
      <c r="H281">
        <v>0</v>
      </c>
      <c r="I281" t="s">
        <v>66</v>
      </c>
    </row>
    <row r="282" spans="1:9" x14ac:dyDescent="0.35">
      <c r="A282" t="s">
        <v>26</v>
      </c>
      <c r="B282">
        <v>2040</v>
      </c>
      <c r="C282" t="s">
        <v>65</v>
      </c>
      <c r="D282" t="s">
        <v>49</v>
      </c>
      <c r="E282">
        <v>0.207426459542881</v>
      </c>
      <c r="F282">
        <v>0.101792680683725</v>
      </c>
      <c r="G282">
        <v>-0.10563377885915499</v>
      </c>
      <c r="H282">
        <v>-50.925893973192899</v>
      </c>
      <c r="I282" t="s">
        <v>66</v>
      </c>
    </row>
    <row r="283" spans="1:9" x14ac:dyDescent="0.35">
      <c r="A283" t="s">
        <v>26</v>
      </c>
      <c r="B283">
        <v>2040</v>
      </c>
      <c r="C283" t="s">
        <v>65</v>
      </c>
      <c r="D283" t="s">
        <v>50</v>
      </c>
      <c r="E283">
        <v>8.58309964993937E-2</v>
      </c>
      <c r="F283">
        <v>8.58309964993937E-2</v>
      </c>
      <c r="G283">
        <v>0</v>
      </c>
      <c r="H283">
        <v>0</v>
      </c>
      <c r="I283" t="s">
        <v>66</v>
      </c>
    </row>
    <row r="284" spans="1:9" x14ac:dyDescent="0.35">
      <c r="A284" t="s">
        <v>26</v>
      </c>
      <c r="B284">
        <v>2040</v>
      </c>
      <c r="C284" t="s">
        <v>65</v>
      </c>
      <c r="D284" t="s">
        <v>51</v>
      </c>
      <c r="E284">
        <v>1.22425488998677</v>
      </c>
      <c r="F284">
        <v>1.22425488998677</v>
      </c>
      <c r="G284">
        <v>0</v>
      </c>
      <c r="H284">
        <v>0</v>
      </c>
      <c r="I284" t="s">
        <v>66</v>
      </c>
    </row>
    <row r="285" spans="1:9" x14ac:dyDescent="0.35">
      <c r="A285" t="s">
        <v>26</v>
      </c>
      <c r="B285">
        <v>2040</v>
      </c>
      <c r="C285" t="s">
        <v>65</v>
      </c>
      <c r="D285" t="s">
        <v>52</v>
      </c>
      <c r="E285">
        <v>0.54790451435259302</v>
      </c>
      <c r="F285">
        <v>0.54790451435259302</v>
      </c>
      <c r="G285">
        <v>0</v>
      </c>
      <c r="H285">
        <v>0</v>
      </c>
      <c r="I285" t="s">
        <v>66</v>
      </c>
    </row>
    <row r="286" spans="1:9" x14ac:dyDescent="0.35">
      <c r="A286" t="s">
        <v>26</v>
      </c>
      <c r="B286">
        <v>2040</v>
      </c>
      <c r="C286" t="s">
        <v>65</v>
      </c>
      <c r="D286" t="s">
        <v>53</v>
      </c>
      <c r="E286">
        <v>8.7802203099533909</v>
      </c>
      <c r="F286">
        <v>8.7802203099533909</v>
      </c>
      <c r="G286">
        <v>0</v>
      </c>
      <c r="H286">
        <v>0</v>
      </c>
      <c r="I286" t="s">
        <v>66</v>
      </c>
    </row>
    <row r="287" spans="1:9" x14ac:dyDescent="0.35">
      <c r="A287" t="s">
        <v>26</v>
      </c>
      <c r="B287">
        <v>2040</v>
      </c>
      <c r="C287" t="s">
        <v>65</v>
      </c>
      <c r="D287" t="s">
        <v>54</v>
      </c>
      <c r="E287">
        <v>22.814015336111002</v>
      </c>
      <c r="F287">
        <v>22.813823185521599</v>
      </c>
      <c r="G287">
        <v>-1.92150589423789E-4</v>
      </c>
      <c r="H287">
        <v>-8.42248006731392E-4</v>
      </c>
      <c r="I287" t="s">
        <v>66</v>
      </c>
    </row>
    <row r="288" spans="1:9" x14ac:dyDescent="0.35">
      <c r="A288" t="s">
        <v>26</v>
      </c>
      <c r="B288">
        <v>2040</v>
      </c>
      <c r="C288" t="s">
        <v>65</v>
      </c>
      <c r="D288" t="s">
        <v>55</v>
      </c>
      <c r="E288">
        <v>24.473965356315802</v>
      </c>
      <c r="F288">
        <v>24.4550609351855</v>
      </c>
      <c r="G288">
        <v>-1.8904421130287102E-2</v>
      </c>
      <c r="H288">
        <v>-7.7242983942561599E-2</v>
      </c>
      <c r="I288" t="s">
        <v>66</v>
      </c>
    </row>
    <row r="289" spans="1:9" x14ac:dyDescent="0.35">
      <c r="A289" t="s">
        <v>26</v>
      </c>
      <c r="B289">
        <v>2040</v>
      </c>
      <c r="C289" t="s">
        <v>65</v>
      </c>
      <c r="D289" t="s">
        <v>56</v>
      </c>
      <c r="E289" s="1">
        <v>1.9423159065627E-6</v>
      </c>
      <c r="F289" s="1">
        <v>1.9423159065627E-6</v>
      </c>
      <c r="G289">
        <v>0</v>
      </c>
      <c r="H289">
        <v>0</v>
      </c>
      <c r="I289" t="s">
        <v>66</v>
      </c>
    </row>
    <row r="290" spans="1:9" x14ac:dyDescent="0.35">
      <c r="A290" t="s">
        <v>20</v>
      </c>
      <c r="B290">
        <v>2025</v>
      </c>
      <c r="C290" t="s">
        <v>76</v>
      </c>
      <c r="D290" t="s">
        <v>38</v>
      </c>
      <c r="E290">
        <v>1.01590802923786E-3</v>
      </c>
      <c r="F290">
        <v>1.01590802923786E-3</v>
      </c>
      <c r="G290">
        <v>0</v>
      </c>
      <c r="H290">
        <v>0</v>
      </c>
      <c r="I290" t="s">
        <v>77</v>
      </c>
    </row>
    <row r="291" spans="1:9" x14ac:dyDescent="0.35">
      <c r="A291" t="s">
        <v>20</v>
      </c>
      <c r="B291">
        <v>2025</v>
      </c>
      <c r="C291" t="s">
        <v>76</v>
      </c>
      <c r="D291" t="s">
        <v>40</v>
      </c>
      <c r="E291">
        <v>6.9976985352581203E-4</v>
      </c>
      <c r="F291">
        <v>6.9976985352581203E-4</v>
      </c>
      <c r="G291">
        <v>0</v>
      </c>
      <c r="H291">
        <v>0</v>
      </c>
      <c r="I291" t="s">
        <v>77</v>
      </c>
    </row>
    <row r="292" spans="1:9" x14ac:dyDescent="0.35">
      <c r="A292" t="s">
        <v>20</v>
      </c>
      <c r="B292">
        <v>2025</v>
      </c>
      <c r="C292" t="s">
        <v>76</v>
      </c>
      <c r="D292" t="s">
        <v>41</v>
      </c>
      <c r="E292">
        <v>9.3148887151856107E-3</v>
      </c>
      <c r="F292">
        <v>9.3148887151856107E-3</v>
      </c>
      <c r="G292">
        <v>0</v>
      </c>
      <c r="H292">
        <v>0</v>
      </c>
      <c r="I292" t="s">
        <v>77</v>
      </c>
    </row>
    <row r="293" spans="1:9" x14ac:dyDescent="0.35">
      <c r="A293" t="s">
        <v>20</v>
      </c>
      <c r="B293">
        <v>2025</v>
      </c>
      <c r="C293" t="s">
        <v>76</v>
      </c>
      <c r="D293" t="s">
        <v>42</v>
      </c>
      <c r="E293">
        <v>1.75279204280708</v>
      </c>
      <c r="F293">
        <v>1.75279204280708</v>
      </c>
      <c r="G293">
        <v>0</v>
      </c>
      <c r="H293">
        <v>0</v>
      </c>
      <c r="I293" t="s">
        <v>77</v>
      </c>
    </row>
    <row r="294" spans="1:9" x14ac:dyDescent="0.35">
      <c r="A294" t="s">
        <v>20</v>
      </c>
      <c r="B294">
        <v>2025</v>
      </c>
      <c r="C294" t="s">
        <v>76</v>
      </c>
      <c r="D294" t="s">
        <v>43</v>
      </c>
      <c r="E294">
        <v>8.1649079886166199E-3</v>
      </c>
      <c r="F294">
        <v>8.1649079886166199E-3</v>
      </c>
      <c r="G294">
        <v>0</v>
      </c>
      <c r="H294">
        <v>0</v>
      </c>
      <c r="I294" t="s">
        <v>77</v>
      </c>
    </row>
    <row r="295" spans="1:9" x14ac:dyDescent="0.35">
      <c r="A295" t="s">
        <v>20</v>
      </c>
      <c r="B295">
        <v>2025</v>
      </c>
      <c r="C295" t="s">
        <v>76</v>
      </c>
      <c r="D295" t="s">
        <v>136</v>
      </c>
      <c r="E295">
        <v>2.1209991714095802</v>
      </c>
      <c r="F295">
        <v>2.1209991714095802</v>
      </c>
      <c r="G295">
        <v>0</v>
      </c>
      <c r="H295">
        <v>0</v>
      </c>
      <c r="I295" t="s">
        <v>77</v>
      </c>
    </row>
    <row r="296" spans="1:9" x14ac:dyDescent="0.35">
      <c r="A296" t="s">
        <v>20</v>
      </c>
      <c r="B296">
        <v>2025</v>
      </c>
      <c r="C296" t="s">
        <v>76</v>
      </c>
      <c r="D296" t="s">
        <v>45</v>
      </c>
      <c r="E296">
        <v>5.83054567491899E-3</v>
      </c>
      <c r="F296">
        <v>5.83054567491899E-3</v>
      </c>
      <c r="G296">
        <v>0</v>
      </c>
      <c r="H296">
        <v>0</v>
      </c>
      <c r="I296" t="s">
        <v>77</v>
      </c>
    </row>
    <row r="297" spans="1:9" x14ac:dyDescent="0.35">
      <c r="A297" t="s">
        <v>20</v>
      </c>
      <c r="B297">
        <v>2025</v>
      </c>
      <c r="C297" t="s">
        <v>76</v>
      </c>
      <c r="D297" t="s">
        <v>46</v>
      </c>
      <c r="E297">
        <v>0.10042477732602299</v>
      </c>
      <c r="F297">
        <v>0.10042477732602299</v>
      </c>
      <c r="G297">
        <v>0</v>
      </c>
      <c r="H297">
        <v>0</v>
      </c>
      <c r="I297" t="s">
        <v>77</v>
      </c>
    </row>
    <row r="298" spans="1:9" x14ac:dyDescent="0.35">
      <c r="A298" t="s">
        <v>20</v>
      </c>
      <c r="B298">
        <v>2025</v>
      </c>
      <c r="C298" t="s">
        <v>76</v>
      </c>
      <c r="D298" t="s">
        <v>47</v>
      </c>
      <c r="E298">
        <v>1.9900738081182999E-3</v>
      </c>
      <c r="F298">
        <v>1.9900738081182999E-3</v>
      </c>
      <c r="G298">
        <v>0</v>
      </c>
      <c r="H298">
        <v>0</v>
      </c>
      <c r="I298" t="s">
        <v>77</v>
      </c>
    </row>
    <row r="299" spans="1:9" x14ac:dyDescent="0.35">
      <c r="A299" t="s">
        <v>20</v>
      </c>
      <c r="B299">
        <v>2025</v>
      </c>
      <c r="C299" t="s">
        <v>76</v>
      </c>
      <c r="D299" t="s">
        <v>48</v>
      </c>
      <c r="E299">
        <v>0.27063718863567099</v>
      </c>
      <c r="F299">
        <v>0.27063718863567099</v>
      </c>
      <c r="G299">
        <v>0</v>
      </c>
      <c r="H299">
        <v>0</v>
      </c>
      <c r="I299" t="s">
        <v>77</v>
      </c>
    </row>
    <row r="300" spans="1:9" x14ac:dyDescent="0.35">
      <c r="A300" t="s">
        <v>20</v>
      </c>
      <c r="B300">
        <v>2025</v>
      </c>
      <c r="C300" t="s">
        <v>76</v>
      </c>
      <c r="D300" t="s">
        <v>49</v>
      </c>
      <c r="E300">
        <v>1.48348068420147E-2</v>
      </c>
      <c r="F300">
        <v>1.48348068420147E-2</v>
      </c>
      <c r="G300">
        <v>0</v>
      </c>
      <c r="H300">
        <v>0</v>
      </c>
      <c r="I300" t="s">
        <v>77</v>
      </c>
    </row>
    <row r="301" spans="1:9" x14ac:dyDescent="0.35">
      <c r="A301" t="s">
        <v>20</v>
      </c>
      <c r="B301">
        <v>2025</v>
      </c>
      <c r="C301" t="s">
        <v>76</v>
      </c>
      <c r="D301" t="s">
        <v>50</v>
      </c>
      <c r="E301">
        <v>5.3343093645669398E-3</v>
      </c>
      <c r="F301">
        <v>5.3343093645669398E-3</v>
      </c>
      <c r="G301">
        <v>0</v>
      </c>
      <c r="H301">
        <v>0</v>
      </c>
      <c r="I301" t="s">
        <v>77</v>
      </c>
    </row>
    <row r="302" spans="1:9" x14ac:dyDescent="0.35">
      <c r="A302" t="s">
        <v>20</v>
      </c>
      <c r="B302">
        <v>2025</v>
      </c>
      <c r="C302" t="s">
        <v>76</v>
      </c>
      <c r="D302" t="s">
        <v>51</v>
      </c>
      <c r="E302">
        <v>0.167684743005621</v>
      </c>
      <c r="F302">
        <v>0.167684743005621</v>
      </c>
      <c r="G302">
        <v>0</v>
      </c>
      <c r="H302">
        <v>0</v>
      </c>
      <c r="I302" t="s">
        <v>77</v>
      </c>
    </row>
    <row r="303" spans="1:9" x14ac:dyDescent="0.35">
      <c r="A303" t="s">
        <v>20</v>
      </c>
      <c r="B303">
        <v>2025</v>
      </c>
      <c r="C303" t="s">
        <v>76</v>
      </c>
      <c r="D303" t="s">
        <v>52</v>
      </c>
      <c r="E303">
        <v>0.17536075628822501</v>
      </c>
      <c r="F303">
        <v>0.17536075628822501</v>
      </c>
      <c r="G303">
        <v>0</v>
      </c>
      <c r="H303">
        <v>0</v>
      </c>
      <c r="I303" t="s">
        <v>77</v>
      </c>
    </row>
    <row r="304" spans="1:9" x14ac:dyDescent="0.35">
      <c r="A304" t="s">
        <v>20</v>
      </c>
      <c r="B304">
        <v>2025</v>
      </c>
      <c r="C304" t="s">
        <v>76</v>
      </c>
      <c r="D304" t="s">
        <v>53</v>
      </c>
      <c r="E304">
        <v>0.64405462822480597</v>
      </c>
      <c r="F304">
        <v>0.64405462822480597</v>
      </c>
      <c r="G304">
        <v>0</v>
      </c>
      <c r="H304">
        <v>0</v>
      </c>
      <c r="I304" t="s">
        <v>77</v>
      </c>
    </row>
    <row r="305" spans="1:9" x14ac:dyDescent="0.35">
      <c r="A305" t="s">
        <v>20</v>
      </c>
      <c r="B305">
        <v>2025</v>
      </c>
      <c r="C305" t="s">
        <v>76</v>
      </c>
      <c r="D305" t="s">
        <v>54</v>
      </c>
      <c r="E305">
        <v>0.114311528976212</v>
      </c>
      <c r="F305">
        <v>0.114311528976212</v>
      </c>
      <c r="G305">
        <v>0</v>
      </c>
      <c r="H305">
        <v>0</v>
      </c>
      <c r="I305" t="s">
        <v>77</v>
      </c>
    </row>
    <row r="306" spans="1:9" x14ac:dyDescent="0.35">
      <c r="A306" t="s">
        <v>20</v>
      </c>
      <c r="B306">
        <v>2025</v>
      </c>
      <c r="C306" t="s">
        <v>76</v>
      </c>
      <c r="D306" t="s">
        <v>55</v>
      </c>
      <c r="E306">
        <v>0.105985645847161</v>
      </c>
      <c r="F306">
        <v>0.105985645847161</v>
      </c>
      <c r="G306">
        <v>0</v>
      </c>
      <c r="H306">
        <v>0</v>
      </c>
      <c r="I306" t="s">
        <v>77</v>
      </c>
    </row>
    <row r="307" spans="1:9" x14ac:dyDescent="0.35">
      <c r="A307" t="s">
        <v>20</v>
      </c>
      <c r="B307">
        <v>2025</v>
      </c>
      <c r="C307" t="s">
        <v>76</v>
      </c>
      <c r="D307" t="s">
        <v>56</v>
      </c>
      <c r="E307" s="1">
        <v>2.5541064167361198E-7</v>
      </c>
      <c r="F307" s="1">
        <v>2.5541064167361198E-7</v>
      </c>
      <c r="G307">
        <v>0</v>
      </c>
      <c r="H307">
        <v>0</v>
      </c>
      <c r="I307" t="s">
        <v>77</v>
      </c>
    </row>
    <row r="308" spans="1:9" x14ac:dyDescent="0.35">
      <c r="A308" t="s">
        <v>22</v>
      </c>
      <c r="B308">
        <v>2030</v>
      </c>
      <c r="C308" t="s">
        <v>76</v>
      </c>
      <c r="D308" t="s">
        <v>38</v>
      </c>
      <c r="E308">
        <v>2.1408268296137598E-3</v>
      </c>
      <c r="F308">
        <v>2.1408268296137598E-3</v>
      </c>
      <c r="G308">
        <v>0</v>
      </c>
      <c r="H308">
        <v>0</v>
      </c>
      <c r="I308" t="s">
        <v>77</v>
      </c>
    </row>
    <row r="309" spans="1:9" x14ac:dyDescent="0.35">
      <c r="A309" t="s">
        <v>22</v>
      </c>
      <c r="B309">
        <v>2030</v>
      </c>
      <c r="C309" t="s">
        <v>76</v>
      </c>
      <c r="D309" t="s">
        <v>40</v>
      </c>
      <c r="E309">
        <v>6.7634472239539497E-4</v>
      </c>
      <c r="F309">
        <v>6.7634472239539497E-4</v>
      </c>
      <c r="G309">
        <v>0</v>
      </c>
      <c r="H309">
        <v>0</v>
      </c>
      <c r="I309" t="s">
        <v>77</v>
      </c>
    </row>
    <row r="310" spans="1:9" x14ac:dyDescent="0.35">
      <c r="A310" t="s">
        <v>22</v>
      </c>
      <c r="B310">
        <v>2030</v>
      </c>
      <c r="C310" t="s">
        <v>76</v>
      </c>
      <c r="D310" t="s">
        <v>41</v>
      </c>
      <c r="E310">
        <v>9.0399915560559797E-3</v>
      </c>
      <c r="F310">
        <v>9.0399915560559797E-3</v>
      </c>
      <c r="G310">
        <v>0</v>
      </c>
      <c r="H310">
        <v>0</v>
      </c>
      <c r="I310" t="s">
        <v>77</v>
      </c>
    </row>
    <row r="311" spans="1:9" x14ac:dyDescent="0.35">
      <c r="A311" t="s">
        <v>22</v>
      </c>
      <c r="B311">
        <v>2030</v>
      </c>
      <c r="C311" t="s">
        <v>76</v>
      </c>
      <c r="D311" t="s">
        <v>42</v>
      </c>
      <c r="E311">
        <v>1.7528244993995701</v>
      </c>
      <c r="F311">
        <v>1.7528244993995701</v>
      </c>
      <c r="G311">
        <v>0</v>
      </c>
      <c r="H311">
        <v>0</v>
      </c>
      <c r="I311" t="s">
        <v>77</v>
      </c>
    </row>
    <row r="312" spans="1:9" x14ac:dyDescent="0.35">
      <c r="A312" t="s">
        <v>22</v>
      </c>
      <c r="B312">
        <v>2030</v>
      </c>
      <c r="C312" t="s">
        <v>76</v>
      </c>
      <c r="D312" t="s">
        <v>43</v>
      </c>
      <c r="E312">
        <v>8.3274168069483404E-3</v>
      </c>
      <c r="F312">
        <v>8.3274168069483404E-3</v>
      </c>
      <c r="G312">
        <v>0</v>
      </c>
      <c r="H312">
        <v>0</v>
      </c>
      <c r="I312" t="s">
        <v>77</v>
      </c>
    </row>
    <row r="313" spans="1:9" x14ac:dyDescent="0.35">
      <c r="A313" t="s">
        <v>22</v>
      </c>
      <c r="B313">
        <v>2030</v>
      </c>
      <c r="C313" t="s">
        <v>76</v>
      </c>
      <c r="D313" t="s">
        <v>136</v>
      </c>
      <c r="E313">
        <v>2.0556705881913002</v>
      </c>
      <c r="F313">
        <v>2.0556705881913002</v>
      </c>
      <c r="G313">
        <v>0</v>
      </c>
      <c r="H313">
        <v>0</v>
      </c>
      <c r="I313" t="s">
        <v>77</v>
      </c>
    </row>
    <row r="314" spans="1:9" x14ac:dyDescent="0.35">
      <c r="A314" t="s">
        <v>22</v>
      </c>
      <c r="B314">
        <v>2030</v>
      </c>
      <c r="C314" t="s">
        <v>76</v>
      </c>
      <c r="D314" t="s">
        <v>45</v>
      </c>
      <c r="E314">
        <v>5.4937924330146198E-3</v>
      </c>
      <c r="F314">
        <v>5.4937924330146198E-3</v>
      </c>
      <c r="G314">
        <v>0</v>
      </c>
      <c r="H314">
        <v>0</v>
      </c>
      <c r="I314" t="s">
        <v>77</v>
      </c>
    </row>
    <row r="315" spans="1:9" x14ac:dyDescent="0.35">
      <c r="A315" t="s">
        <v>22</v>
      </c>
      <c r="B315">
        <v>2030</v>
      </c>
      <c r="C315" t="s">
        <v>76</v>
      </c>
      <c r="D315" t="s">
        <v>46</v>
      </c>
      <c r="E315">
        <v>0.16217696755866801</v>
      </c>
      <c r="F315">
        <v>0.16217696755866801</v>
      </c>
      <c r="G315">
        <v>0</v>
      </c>
      <c r="H315">
        <v>0</v>
      </c>
      <c r="I315" t="s">
        <v>77</v>
      </c>
    </row>
    <row r="316" spans="1:9" x14ac:dyDescent="0.35">
      <c r="A316" t="s">
        <v>22</v>
      </c>
      <c r="B316">
        <v>2030</v>
      </c>
      <c r="C316" t="s">
        <v>76</v>
      </c>
      <c r="D316" t="s">
        <v>47</v>
      </c>
      <c r="E316">
        <v>2.02256840123357E-3</v>
      </c>
      <c r="F316">
        <v>2.02256840123357E-3</v>
      </c>
      <c r="G316">
        <v>0</v>
      </c>
      <c r="H316">
        <v>0</v>
      </c>
      <c r="I316" t="s">
        <v>77</v>
      </c>
    </row>
    <row r="317" spans="1:9" x14ac:dyDescent="0.35">
      <c r="A317" t="s">
        <v>22</v>
      </c>
      <c r="B317">
        <v>2030</v>
      </c>
      <c r="C317" t="s">
        <v>76</v>
      </c>
      <c r="D317" t="s">
        <v>48</v>
      </c>
      <c r="E317">
        <v>0.27094129320976001</v>
      </c>
      <c r="F317">
        <v>0.27094129320976001</v>
      </c>
      <c r="G317">
        <v>0</v>
      </c>
      <c r="H317">
        <v>0</v>
      </c>
      <c r="I317" t="s">
        <v>77</v>
      </c>
    </row>
    <row r="318" spans="1:9" x14ac:dyDescent="0.35">
      <c r="A318" t="s">
        <v>22</v>
      </c>
      <c r="B318">
        <v>2030</v>
      </c>
      <c r="C318" t="s">
        <v>76</v>
      </c>
      <c r="D318" t="s">
        <v>49</v>
      </c>
      <c r="E318">
        <v>1.45627287423608E-2</v>
      </c>
      <c r="F318">
        <v>1.45627287423608E-2</v>
      </c>
      <c r="G318">
        <v>0</v>
      </c>
      <c r="H318">
        <v>0</v>
      </c>
      <c r="I318" t="s">
        <v>77</v>
      </c>
    </row>
    <row r="319" spans="1:9" x14ac:dyDescent="0.35">
      <c r="A319" t="s">
        <v>22</v>
      </c>
      <c r="B319">
        <v>2030</v>
      </c>
      <c r="C319" t="s">
        <v>76</v>
      </c>
      <c r="D319" t="s">
        <v>50</v>
      </c>
      <c r="E319">
        <v>9.2581900176815501E-3</v>
      </c>
      <c r="F319">
        <v>9.2581900176815501E-3</v>
      </c>
      <c r="G319">
        <v>0</v>
      </c>
      <c r="H319">
        <v>0</v>
      </c>
      <c r="I319" t="s">
        <v>77</v>
      </c>
    </row>
    <row r="320" spans="1:9" x14ac:dyDescent="0.35">
      <c r="A320" t="s">
        <v>22</v>
      </c>
      <c r="B320">
        <v>2030</v>
      </c>
      <c r="C320" t="s">
        <v>76</v>
      </c>
      <c r="D320" t="s">
        <v>51</v>
      </c>
      <c r="E320">
        <v>0.167037154197055</v>
      </c>
      <c r="F320">
        <v>0.167037154197055</v>
      </c>
      <c r="G320">
        <v>0</v>
      </c>
      <c r="H320">
        <v>0</v>
      </c>
      <c r="I320" t="s">
        <v>77</v>
      </c>
    </row>
    <row r="321" spans="1:9" x14ac:dyDescent="0.35">
      <c r="A321" t="s">
        <v>22</v>
      </c>
      <c r="B321">
        <v>2030</v>
      </c>
      <c r="C321" t="s">
        <v>76</v>
      </c>
      <c r="D321" t="s">
        <v>52</v>
      </c>
      <c r="E321">
        <v>0.14968006000106099</v>
      </c>
      <c r="F321">
        <v>0.14968006000106099</v>
      </c>
      <c r="G321">
        <v>0</v>
      </c>
      <c r="H321">
        <v>0</v>
      </c>
      <c r="I321" t="s">
        <v>77</v>
      </c>
    </row>
    <row r="322" spans="1:9" x14ac:dyDescent="0.35">
      <c r="A322" t="s">
        <v>22</v>
      </c>
      <c r="B322">
        <v>2030</v>
      </c>
      <c r="C322" t="s">
        <v>76</v>
      </c>
      <c r="D322" t="s">
        <v>53</v>
      </c>
      <c r="E322">
        <v>0.62462040545188402</v>
      </c>
      <c r="F322">
        <v>0.62462040545188402</v>
      </c>
      <c r="G322">
        <v>0</v>
      </c>
      <c r="H322">
        <v>0</v>
      </c>
      <c r="I322" t="s">
        <v>77</v>
      </c>
    </row>
    <row r="323" spans="1:9" x14ac:dyDescent="0.35">
      <c r="A323" t="s">
        <v>22</v>
      </c>
      <c r="B323">
        <v>2030</v>
      </c>
      <c r="C323" t="s">
        <v>76</v>
      </c>
      <c r="D323" t="s">
        <v>54</v>
      </c>
      <c r="E323">
        <v>0.116606010840798</v>
      </c>
      <c r="F323">
        <v>0.116606010840798</v>
      </c>
      <c r="G323">
        <v>0</v>
      </c>
      <c r="H323">
        <v>0</v>
      </c>
      <c r="I323" t="s">
        <v>77</v>
      </c>
    </row>
    <row r="324" spans="1:9" x14ac:dyDescent="0.35">
      <c r="A324" t="s">
        <v>22</v>
      </c>
      <c r="B324">
        <v>2030</v>
      </c>
      <c r="C324" t="s">
        <v>76</v>
      </c>
      <c r="D324" t="s">
        <v>55</v>
      </c>
      <c r="E324">
        <v>0.107549038395105</v>
      </c>
      <c r="F324">
        <v>0.107549038395105</v>
      </c>
      <c r="G324">
        <v>0</v>
      </c>
      <c r="H324">
        <v>0</v>
      </c>
      <c r="I324" t="s">
        <v>77</v>
      </c>
    </row>
    <row r="325" spans="1:9" x14ac:dyDescent="0.35">
      <c r="A325" t="s">
        <v>22</v>
      </c>
      <c r="B325">
        <v>2030</v>
      </c>
      <c r="C325" t="s">
        <v>76</v>
      </c>
      <c r="D325" t="s">
        <v>56</v>
      </c>
      <c r="E325" s="1">
        <v>2.34564357771006E-7</v>
      </c>
      <c r="F325" s="1">
        <v>2.34564357771006E-7</v>
      </c>
      <c r="G325">
        <v>0</v>
      </c>
      <c r="H325">
        <v>0</v>
      </c>
      <c r="I325" t="s">
        <v>77</v>
      </c>
    </row>
    <row r="326" spans="1:9" x14ac:dyDescent="0.35">
      <c r="A326" t="s">
        <v>24</v>
      </c>
      <c r="B326">
        <v>2035</v>
      </c>
      <c r="C326" t="s">
        <v>76</v>
      </c>
      <c r="D326" t="s">
        <v>38</v>
      </c>
      <c r="E326">
        <v>3.0362298337480698E-3</v>
      </c>
      <c r="F326">
        <v>3.0362298337480698E-3</v>
      </c>
      <c r="G326">
        <v>0</v>
      </c>
      <c r="H326">
        <v>0</v>
      </c>
      <c r="I326" t="s">
        <v>77</v>
      </c>
    </row>
    <row r="327" spans="1:9" x14ac:dyDescent="0.35">
      <c r="A327" t="s">
        <v>24</v>
      </c>
      <c r="B327">
        <v>2035</v>
      </c>
      <c r="C327" t="s">
        <v>76</v>
      </c>
      <c r="D327" t="s">
        <v>40</v>
      </c>
      <c r="E327">
        <v>6.6240964398489805E-4</v>
      </c>
      <c r="F327">
        <v>6.6240964398489805E-4</v>
      </c>
      <c r="G327">
        <v>0</v>
      </c>
      <c r="H327">
        <v>0</v>
      </c>
      <c r="I327" t="s">
        <v>77</v>
      </c>
    </row>
    <row r="328" spans="1:9" x14ac:dyDescent="0.35">
      <c r="A328" t="s">
        <v>24</v>
      </c>
      <c r="B328">
        <v>2035</v>
      </c>
      <c r="C328" t="s">
        <v>76</v>
      </c>
      <c r="D328" t="s">
        <v>41</v>
      </c>
      <c r="E328">
        <v>8.9451494837562602E-3</v>
      </c>
      <c r="F328">
        <v>8.9451494837562602E-3</v>
      </c>
      <c r="G328">
        <v>0</v>
      </c>
      <c r="H328">
        <v>0</v>
      </c>
      <c r="I328" t="s">
        <v>77</v>
      </c>
    </row>
    <row r="329" spans="1:9" x14ac:dyDescent="0.35">
      <c r="A329" t="s">
        <v>24</v>
      </c>
      <c r="B329">
        <v>2035</v>
      </c>
      <c r="C329" t="s">
        <v>76</v>
      </c>
      <c r="D329" t="s">
        <v>42</v>
      </c>
      <c r="E329">
        <v>1.7982714341292401</v>
      </c>
      <c r="F329">
        <v>1.7982714341292401</v>
      </c>
      <c r="G329">
        <v>0</v>
      </c>
      <c r="H329">
        <v>0</v>
      </c>
      <c r="I329" t="s">
        <v>77</v>
      </c>
    </row>
    <row r="330" spans="1:9" x14ac:dyDescent="0.35">
      <c r="A330" t="s">
        <v>24</v>
      </c>
      <c r="B330">
        <v>2035</v>
      </c>
      <c r="C330" t="s">
        <v>76</v>
      </c>
      <c r="D330" t="s">
        <v>43</v>
      </c>
      <c r="E330">
        <v>8.4999645973459995E-3</v>
      </c>
      <c r="F330">
        <v>8.4999645973459995E-3</v>
      </c>
      <c r="G330">
        <v>0</v>
      </c>
      <c r="H330">
        <v>0</v>
      </c>
      <c r="I330" t="s">
        <v>77</v>
      </c>
    </row>
    <row r="331" spans="1:9" x14ac:dyDescent="0.35">
      <c r="A331" t="s">
        <v>24</v>
      </c>
      <c r="B331">
        <v>2035</v>
      </c>
      <c r="C331" t="s">
        <v>76</v>
      </c>
      <c r="D331" t="s">
        <v>136</v>
      </c>
      <c r="E331">
        <v>2.0643077801554601</v>
      </c>
      <c r="F331">
        <v>2.0643077801554601</v>
      </c>
      <c r="G331">
        <v>0</v>
      </c>
      <c r="H331">
        <v>0</v>
      </c>
      <c r="I331" t="s">
        <v>77</v>
      </c>
    </row>
    <row r="332" spans="1:9" x14ac:dyDescent="0.35">
      <c r="A332" t="s">
        <v>24</v>
      </c>
      <c r="B332">
        <v>2035</v>
      </c>
      <c r="C332" t="s">
        <v>76</v>
      </c>
      <c r="D332" t="s">
        <v>45</v>
      </c>
      <c r="E332">
        <v>5.3106212711823602E-3</v>
      </c>
      <c r="F332">
        <v>5.3106212711823602E-3</v>
      </c>
      <c r="G332">
        <v>0</v>
      </c>
      <c r="H332">
        <v>0</v>
      </c>
      <c r="I332" t="s">
        <v>77</v>
      </c>
    </row>
    <row r="333" spans="1:9" x14ac:dyDescent="0.35">
      <c r="A333" t="s">
        <v>24</v>
      </c>
      <c r="B333">
        <v>2035</v>
      </c>
      <c r="C333" t="s">
        <v>76</v>
      </c>
      <c r="D333" t="s">
        <v>46</v>
      </c>
      <c r="E333">
        <v>0.22054903983644</v>
      </c>
      <c r="F333">
        <v>0.22054903983644</v>
      </c>
      <c r="G333">
        <v>0</v>
      </c>
      <c r="H333">
        <v>0</v>
      </c>
      <c r="I333" t="s">
        <v>77</v>
      </c>
    </row>
    <row r="334" spans="1:9" x14ac:dyDescent="0.35">
      <c r="A334" t="s">
        <v>24</v>
      </c>
      <c r="B334">
        <v>2035</v>
      </c>
      <c r="C334" t="s">
        <v>76</v>
      </c>
      <c r="D334" t="s">
        <v>47</v>
      </c>
      <c r="E334">
        <v>2.1037426137454E-3</v>
      </c>
      <c r="F334">
        <v>2.1037426137454E-3</v>
      </c>
      <c r="G334">
        <v>0</v>
      </c>
      <c r="H334">
        <v>0</v>
      </c>
      <c r="I334" t="s">
        <v>77</v>
      </c>
    </row>
    <row r="335" spans="1:9" x14ac:dyDescent="0.35">
      <c r="A335" t="s">
        <v>24</v>
      </c>
      <c r="B335">
        <v>2035</v>
      </c>
      <c r="C335" t="s">
        <v>76</v>
      </c>
      <c r="D335" t="s">
        <v>48</v>
      </c>
      <c r="E335">
        <v>0.27360470973533102</v>
      </c>
      <c r="F335">
        <v>0.27360470973533102</v>
      </c>
      <c r="G335">
        <v>0</v>
      </c>
      <c r="H335">
        <v>0</v>
      </c>
      <c r="I335" t="s">
        <v>77</v>
      </c>
    </row>
    <row r="336" spans="1:9" x14ac:dyDescent="0.35">
      <c r="A336" t="s">
        <v>24</v>
      </c>
      <c r="B336">
        <v>2035</v>
      </c>
      <c r="C336" t="s">
        <v>76</v>
      </c>
      <c r="D336" t="s">
        <v>49</v>
      </c>
      <c r="E336">
        <v>1.4518663885066301E-2</v>
      </c>
      <c r="F336">
        <v>1.4518663885066301E-2</v>
      </c>
      <c r="G336">
        <v>0</v>
      </c>
      <c r="H336">
        <v>0</v>
      </c>
      <c r="I336" t="s">
        <v>77</v>
      </c>
    </row>
    <row r="337" spans="1:9" x14ac:dyDescent="0.35">
      <c r="A337" t="s">
        <v>24</v>
      </c>
      <c r="B337">
        <v>2035</v>
      </c>
      <c r="C337" t="s">
        <v>76</v>
      </c>
      <c r="D337" t="s">
        <v>50</v>
      </c>
      <c r="E337">
        <v>1.2520117321266599E-2</v>
      </c>
      <c r="F337">
        <v>1.2520117321266599E-2</v>
      </c>
      <c r="G337">
        <v>0</v>
      </c>
      <c r="H337">
        <v>0</v>
      </c>
      <c r="I337" t="s">
        <v>77</v>
      </c>
    </row>
    <row r="338" spans="1:9" x14ac:dyDescent="0.35">
      <c r="A338" t="s">
        <v>24</v>
      </c>
      <c r="B338">
        <v>2035</v>
      </c>
      <c r="C338" t="s">
        <v>76</v>
      </c>
      <c r="D338" t="s">
        <v>51</v>
      </c>
      <c r="E338">
        <v>0.16713223217921899</v>
      </c>
      <c r="F338">
        <v>0.16713223217921899</v>
      </c>
      <c r="G338">
        <v>0</v>
      </c>
      <c r="H338">
        <v>0</v>
      </c>
      <c r="I338" t="s">
        <v>77</v>
      </c>
    </row>
    <row r="339" spans="1:9" x14ac:dyDescent="0.35">
      <c r="A339" t="s">
        <v>24</v>
      </c>
      <c r="B339">
        <v>2035</v>
      </c>
      <c r="C339" t="s">
        <v>76</v>
      </c>
      <c r="D339" t="s">
        <v>52</v>
      </c>
      <c r="E339">
        <v>0.12678424539223401</v>
      </c>
      <c r="F339">
        <v>0.12678424539223401</v>
      </c>
      <c r="G339">
        <v>0</v>
      </c>
      <c r="H339">
        <v>0</v>
      </c>
      <c r="I339" t="s">
        <v>77</v>
      </c>
    </row>
    <row r="340" spans="1:9" x14ac:dyDescent="0.35">
      <c r="A340" t="s">
        <v>24</v>
      </c>
      <c r="B340">
        <v>2035</v>
      </c>
      <c r="C340" t="s">
        <v>76</v>
      </c>
      <c r="D340" t="s">
        <v>53</v>
      </c>
      <c r="E340">
        <v>0.62829820202723596</v>
      </c>
      <c r="F340">
        <v>0.62829820202723596</v>
      </c>
      <c r="G340">
        <v>0</v>
      </c>
      <c r="H340">
        <v>0</v>
      </c>
      <c r="I340" t="s">
        <v>77</v>
      </c>
    </row>
    <row r="341" spans="1:9" x14ac:dyDescent="0.35">
      <c r="A341" t="s">
        <v>24</v>
      </c>
      <c r="B341">
        <v>2035</v>
      </c>
      <c r="C341" t="s">
        <v>76</v>
      </c>
      <c r="D341" t="s">
        <v>54</v>
      </c>
      <c r="E341">
        <v>0.119513770881776</v>
      </c>
      <c r="F341">
        <v>0.119513770881776</v>
      </c>
      <c r="G341">
        <v>0</v>
      </c>
      <c r="H341">
        <v>0</v>
      </c>
      <c r="I341" t="s">
        <v>77</v>
      </c>
    </row>
    <row r="342" spans="1:9" x14ac:dyDescent="0.35">
      <c r="A342" t="s">
        <v>24</v>
      </c>
      <c r="B342">
        <v>2035</v>
      </c>
      <c r="C342" t="s">
        <v>76</v>
      </c>
      <c r="D342" t="s">
        <v>55</v>
      </c>
      <c r="E342">
        <v>0.109955950332605</v>
      </c>
      <c r="F342">
        <v>0.109955950332605</v>
      </c>
      <c r="G342">
        <v>0</v>
      </c>
      <c r="H342">
        <v>0</v>
      </c>
      <c r="I342" t="s">
        <v>77</v>
      </c>
    </row>
    <row r="343" spans="1:9" x14ac:dyDescent="0.35">
      <c r="A343" t="s">
        <v>24</v>
      </c>
      <c r="B343">
        <v>2035</v>
      </c>
      <c r="C343" t="s">
        <v>76</v>
      </c>
      <c r="D343" t="s">
        <v>56</v>
      </c>
      <c r="E343" s="1">
        <v>2.27232557964125E-7</v>
      </c>
      <c r="F343" s="1">
        <v>2.27232557964125E-7</v>
      </c>
      <c r="G343">
        <v>0</v>
      </c>
      <c r="H343">
        <v>0</v>
      </c>
      <c r="I343" t="s">
        <v>77</v>
      </c>
    </row>
    <row r="344" spans="1:9" x14ac:dyDescent="0.35">
      <c r="A344" t="s">
        <v>26</v>
      </c>
      <c r="B344">
        <v>2040</v>
      </c>
      <c r="C344" t="s">
        <v>76</v>
      </c>
      <c r="D344" t="s">
        <v>38</v>
      </c>
      <c r="E344">
        <v>2.6367777721021499E-3</v>
      </c>
      <c r="F344">
        <v>2.6367777721021499E-3</v>
      </c>
      <c r="G344">
        <v>0</v>
      </c>
      <c r="H344">
        <v>0</v>
      </c>
      <c r="I344" t="s">
        <v>77</v>
      </c>
    </row>
    <row r="345" spans="1:9" x14ac:dyDescent="0.35">
      <c r="A345" t="s">
        <v>26</v>
      </c>
      <c r="B345">
        <v>2040</v>
      </c>
      <c r="C345" t="s">
        <v>76</v>
      </c>
      <c r="D345" t="s">
        <v>40</v>
      </c>
      <c r="E345">
        <v>6.5426996882945695E-4</v>
      </c>
      <c r="F345">
        <v>6.5426996882945695E-4</v>
      </c>
      <c r="G345">
        <v>0</v>
      </c>
      <c r="H345">
        <v>0</v>
      </c>
      <c r="I345" t="s">
        <v>77</v>
      </c>
    </row>
    <row r="346" spans="1:9" x14ac:dyDescent="0.35">
      <c r="A346" t="s">
        <v>26</v>
      </c>
      <c r="B346">
        <v>2040</v>
      </c>
      <c r="C346" t="s">
        <v>76</v>
      </c>
      <c r="D346" t="s">
        <v>41</v>
      </c>
      <c r="E346">
        <v>8.9100072943189002E-3</v>
      </c>
      <c r="F346">
        <v>8.9100072943189002E-3</v>
      </c>
      <c r="G346">
        <v>0</v>
      </c>
      <c r="H346">
        <v>0</v>
      </c>
      <c r="I346" t="s">
        <v>77</v>
      </c>
    </row>
    <row r="347" spans="1:9" x14ac:dyDescent="0.35">
      <c r="A347" t="s">
        <v>26</v>
      </c>
      <c r="B347">
        <v>2040</v>
      </c>
      <c r="C347" t="s">
        <v>76</v>
      </c>
      <c r="D347" t="s">
        <v>42</v>
      </c>
      <c r="E347">
        <v>1.8507243258550901</v>
      </c>
      <c r="F347">
        <v>1.8507243258550901</v>
      </c>
      <c r="G347">
        <v>0</v>
      </c>
      <c r="H347">
        <v>0</v>
      </c>
      <c r="I347" t="s">
        <v>77</v>
      </c>
    </row>
    <row r="348" spans="1:9" x14ac:dyDescent="0.35">
      <c r="A348" t="s">
        <v>26</v>
      </c>
      <c r="B348">
        <v>2040</v>
      </c>
      <c r="C348" t="s">
        <v>76</v>
      </c>
      <c r="D348" t="s">
        <v>43</v>
      </c>
      <c r="E348">
        <v>8.41359074747197E-3</v>
      </c>
      <c r="F348">
        <v>8.41359074747197E-3</v>
      </c>
      <c r="G348">
        <v>0</v>
      </c>
      <c r="H348">
        <v>0</v>
      </c>
      <c r="I348" t="s">
        <v>77</v>
      </c>
    </row>
    <row r="349" spans="1:9" x14ac:dyDescent="0.35">
      <c r="A349" t="s">
        <v>26</v>
      </c>
      <c r="B349">
        <v>2040</v>
      </c>
      <c r="C349" t="s">
        <v>76</v>
      </c>
      <c r="D349" t="s">
        <v>136</v>
      </c>
      <c r="E349">
        <v>2.1044434531952501</v>
      </c>
      <c r="F349">
        <v>2.1044434531952501</v>
      </c>
      <c r="G349">
        <v>0</v>
      </c>
      <c r="H349">
        <v>0</v>
      </c>
      <c r="I349" t="s">
        <v>77</v>
      </c>
    </row>
    <row r="350" spans="1:9" x14ac:dyDescent="0.35">
      <c r="A350" t="s">
        <v>26</v>
      </c>
      <c r="B350">
        <v>2040</v>
      </c>
      <c r="C350" t="s">
        <v>76</v>
      </c>
      <c r="D350" t="s">
        <v>45</v>
      </c>
      <c r="E350">
        <v>5.2048505398541002E-3</v>
      </c>
      <c r="F350">
        <v>5.2048505398541002E-3</v>
      </c>
      <c r="G350">
        <v>0</v>
      </c>
      <c r="H350">
        <v>0</v>
      </c>
      <c r="I350" t="s">
        <v>77</v>
      </c>
    </row>
    <row r="351" spans="1:9" x14ac:dyDescent="0.35">
      <c r="A351" t="s">
        <v>26</v>
      </c>
      <c r="B351">
        <v>2040</v>
      </c>
      <c r="C351" t="s">
        <v>76</v>
      </c>
      <c r="D351" t="s">
        <v>46</v>
      </c>
      <c r="E351">
        <v>0.226635001383198</v>
      </c>
      <c r="F351">
        <v>0.226635001383198</v>
      </c>
      <c r="G351">
        <v>0</v>
      </c>
      <c r="H351">
        <v>0</v>
      </c>
      <c r="I351" t="s">
        <v>77</v>
      </c>
    </row>
    <row r="352" spans="1:9" x14ac:dyDescent="0.35">
      <c r="A352" t="s">
        <v>26</v>
      </c>
      <c r="B352">
        <v>2040</v>
      </c>
      <c r="C352" t="s">
        <v>76</v>
      </c>
      <c r="D352" t="s">
        <v>47</v>
      </c>
      <c r="E352">
        <v>2.19072737909062E-3</v>
      </c>
      <c r="F352">
        <v>2.19072737909062E-3</v>
      </c>
      <c r="G352">
        <v>0</v>
      </c>
      <c r="H352">
        <v>0</v>
      </c>
      <c r="I352" t="s">
        <v>77</v>
      </c>
    </row>
    <row r="353" spans="1:9" x14ac:dyDescent="0.35">
      <c r="A353" t="s">
        <v>26</v>
      </c>
      <c r="B353">
        <v>2040</v>
      </c>
      <c r="C353" t="s">
        <v>76</v>
      </c>
      <c r="D353" t="s">
        <v>48</v>
      </c>
      <c r="E353">
        <v>0.27895234773602101</v>
      </c>
      <c r="F353">
        <v>0.27895234773602101</v>
      </c>
      <c r="G353">
        <v>0</v>
      </c>
      <c r="H353">
        <v>0</v>
      </c>
      <c r="I353" t="s">
        <v>77</v>
      </c>
    </row>
    <row r="354" spans="1:9" x14ac:dyDescent="0.35">
      <c r="A354" t="s">
        <v>26</v>
      </c>
      <c r="B354">
        <v>2040</v>
      </c>
      <c r="C354" t="s">
        <v>76</v>
      </c>
      <c r="D354" t="s">
        <v>49</v>
      </c>
      <c r="E354">
        <v>1.44106279504346E-2</v>
      </c>
      <c r="F354">
        <v>1.44106279504346E-2</v>
      </c>
      <c r="G354">
        <v>0</v>
      </c>
      <c r="H354">
        <v>0</v>
      </c>
      <c r="I354" t="s">
        <v>77</v>
      </c>
    </row>
    <row r="355" spans="1:9" x14ac:dyDescent="0.35">
      <c r="A355" t="s">
        <v>26</v>
      </c>
      <c r="B355">
        <v>2040</v>
      </c>
      <c r="C355" t="s">
        <v>76</v>
      </c>
      <c r="D355" t="s">
        <v>50</v>
      </c>
      <c r="E355">
        <v>1.12801024185319E-2</v>
      </c>
      <c r="F355">
        <v>1.12801024185319E-2</v>
      </c>
      <c r="G355">
        <v>0</v>
      </c>
      <c r="H355">
        <v>0</v>
      </c>
      <c r="I355" t="s">
        <v>77</v>
      </c>
    </row>
    <row r="356" spans="1:9" x14ac:dyDescent="0.35">
      <c r="A356" t="s">
        <v>26</v>
      </c>
      <c r="B356">
        <v>2040</v>
      </c>
      <c r="C356" t="s">
        <v>76</v>
      </c>
      <c r="D356" t="s">
        <v>51</v>
      </c>
      <c r="E356">
        <v>0.16762076957640401</v>
      </c>
      <c r="F356">
        <v>0.16762076957640401</v>
      </c>
      <c r="G356">
        <v>0</v>
      </c>
      <c r="H356">
        <v>0</v>
      </c>
      <c r="I356" t="s">
        <v>77</v>
      </c>
    </row>
    <row r="357" spans="1:9" x14ac:dyDescent="0.35">
      <c r="A357" t="s">
        <v>26</v>
      </c>
      <c r="B357">
        <v>2040</v>
      </c>
      <c r="C357" t="s">
        <v>76</v>
      </c>
      <c r="D357" t="s">
        <v>52</v>
      </c>
      <c r="E357">
        <v>0.10948340685548601</v>
      </c>
      <c r="F357">
        <v>0.10948340685548601</v>
      </c>
      <c r="G357">
        <v>0</v>
      </c>
      <c r="H357">
        <v>0</v>
      </c>
      <c r="I357" t="s">
        <v>77</v>
      </c>
    </row>
    <row r="358" spans="1:9" x14ac:dyDescent="0.35">
      <c r="A358" t="s">
        <v>26</v>
      </c>
      <c r="B358">
        <v>2040</v>
      </c>
      <c r="C358" t="s">
        <v>76</v>
      </c>
      <c r="D358" t="s">
        <v>53</v>
      </c>
      <c r="E358">
        <v>0.64131333335488006</v>
      </c>
      <c r="F358">
        <v>0.64131333335488006</v>
      </c>
      <c r="G358">
        <v>0</v>
      </c>
      <c r="H358">
        <v>0</v>
      </c>
      <c r="I358" t="s">
        <v>77</v>
      </c>
    </row>
    <row r="359" spans="1:9" x14ac:dyDescent="0.35">
      <c r="A359" t="s">
        <v>26</v>
      </c>
      <c r="B359">
        <v>2040</v>
      </c>
      <c r="C359" t="s">
        <v>76</v>
      </c>
      <c r="D359" t="s">
        <v>54</v>
      </c>
      <c r="E359">
        <v>0.122457184858677</v>
      </c>
      <c r="F359">
        <v>0.122457184858677</v>
      </c>
      <c r="G359">
        <v>0</v>
      </c>
      <c r="H359">
        <v>0</v>
      </c>
      <c r="I359" t="s">
        <v>77</v>
      </c>
    </row>
    <row r="360" spans="1:9" x14ac:dyDescent="0.35">
      <c r="A360" t="s">
        <v>26</v>
      </c>
      <c r="B360">
        <v>2040</v>
      </c>
      <c r="C360" t="s">
        <v>76</v>
      </c>
      <c r="D360" t="s">
        <v>55</v>
      </c>
      <c r="E360">
        <v>0.112644699932786</v>
      </c>
      <c r="F360">
        <v>0.112644699932786</v>
      </c>
      <c r="G360">
        <v>0</v>
      </c>
      <c r="H360">
        <v>0</v>
      </c>
      <c r="I360" t="s">
        <v>77</v>
      </c>
    </row>
    <row r="361" spans="1:9" x14ac:dyDescent="0.35">
      <c r="A361" t="s">
        <v>26</v>
      </c>
      <c r="B361">
        <v>2040</v>
      </c>
      <c r="C361" t="s">
        <v>76</v>
      </c>
      <c r="D361" t="s">
        <v>56</v>
      </c>
      <c r="E361" s="1">
        <v>2.26924483862123E-7</v>
      </c>
      <c r="F361" s="1">
        <v>2.26924483862123E-7</v>
      </c>
      <c r="G361">
        <v>0</v>
      </c>
      <c r="H361">
        <v>0</v>
      </c>
      <c r="I361" t="s">
        <v>77</v>
      </c>
    </row>
    <row r="362" spans="1:9" x14ac:dyDescent="0.35">
      <c r="A362" t="s">
        <v>20</v>
      </c>
      <c r="B362">
        <v>2025</v>
      </c>
      <c r="C362" t="s">
        <v>83</v>
      </c>
      <c r="D362" t="s">
        <v>38</v>
      </c>
      <c r="E362">
        <v>2.6672487222895299E-4</v>
      </c>
      <c r="F362">
        <v>2.6672487222895299E-4</v>
      </c>
      <c r="G362">
        <v>0</v>
      </c>
      <c r="H362">
        <v>0</v>
      </c>
      <c r="I362" t="s">
        <v>84</v>
      </c>
    </row>
    <row r="363" spans="1:9" x14ac:dyDescent="0.35">
      <c r="A363" t="s">
        <v>20</v>
      </c>
      <c r="B363">
        <v>2025</v>
      </c>
      <c r="C363" t="s">
        <v>83</v>
      </c>
      <c r="D363" t="s">
        <v>40</v>
      </c>
      <c r="E363">
        <v>2.6937901628838799E-4</v>
      </c>
      <c r="F363">
        <v>2.6937901628838799E-4</v>
      </c>
      <c r="G363">
        <v>0</v>
      </c>
      <c r="H363">
        <v>0</v>
      </c>
      <c r="I363" t="s">
        <v>84</v>
      </c>
    </row>
    <row r="364" spans="1:9" x14ac:dyDescent="0.35">
      <c r="A364" t="s">
        <v>20</v>
      </c>
      <c r="B364">
        <v>2025</v>
      </c>
      <c r="C364" t="s">
        <v>83</v>
      </c>
      <c r="D364" t="s">
        <v>41</v>
      </c>
      <c r="E364">
        <v>2.7892437608183999E-3</v>
      </c>
      <c r="F364">
        <v>2.7892437608183999E-3</v>
      </c>
      <c r="G364">
        <v>0</v>
      </c>
      <c r="H364">
        <v>0</v>
      </c>
      <c r="I364" t="s">
        <v>84</v>
      </c>
    </row>
    <row r="365" spans="1:9" x14ac:dyDescent="0.35">
      <c r="A365" t="s">
        <v>20</v>
      </c>
      <c r="B365">
        <v>2025</v>
      </c>
      <c r="C365" t="s">
        <v>83</v>
      </c>
      <c r="D365" t="s">
        <v>42</v>
      </c>
      <c r="E365">
        <v>2.2116717033975699</v>
      </c>
      <c r="F365">
        <v>2.2116717033975699</v>
      </c>
      <c r="G365">
        <v>0</v>
      </c>
      <c r="H365">
        <v>0</v>
      </c>
      <c r="I365" t="s">
        <v>84</v>
      </c>
    </row>
    <row r="366" spans="1:9" x14ac:dyDescent="0.35">
      <c r="A366" t="s">
        <v>20</v>
      </c>
      <c r="B366">
        <v>2025</v>
      </c>
      <c r="C366" t="s">
        <v>83</v>
      </c>
      <c r="D366" t="s">
        <v>43</v>
      </c>
      <c r="E366">
        <v>8.1181871044858198E-4</v>
      </c>
      <c r="F366">
        <v>8.1181871044858198E-4</v>
      </c>
      <c r="G366">
        <v>0</v>
      </c>
      <c r="H366">
        <v>0</v>
      </c>
      <c r="I366" t="s">
        <v>84</v>
      </c>
    </row>
    <row r="367" spans="1:9" x14ac:dyDescent="0.35">
      <c r="A367" t="s">
        <v>20</v>
      </c>
      <c r="B367">
        <v>2025</v>
      </c>
      <c r="C367" t="s">
        <v>83</v>
      </c>
      <c r="D367" t="s">
        <v>136</v>
      </c>
      <c r="E367">
        <v>0.968201218243398</v>
      </c>
      <c r="F367">
        <v>0.968201218243398</v>
      </c>
      <c r="G367">
        <v>0</v>
      </c>
      <c r="H367">
        <v>0</v>
      </c>
      <c r="I367" t="s">
        <v>84</v>
      </c>
    </row>
    <row r="368" spans="1:9" x14ac:dyDescent="0.35">
      <c r="A368" t="s">
        <v>20</v>
      </c>
      <c r="B368">
        <v>2025</v>
      </c>
      <c r="C368" t="s">
        <v>83</v>
      </c>
      <c r="D368" t="s">
        <v>45</v>
      </c>
      <c r="E368">
        <v>1.6490534991016E-3</v>
      </c>
      <c r="F368">
        <v>1.6490534991016E-3</v>
      </c>
      <c r="G368">
        <v>0</v>
      </c>
      <c r="H368">
        <v>0</v>
      </c>
      <c r="I368" t="s">
        <v>84</v>
      </c>
    </row>
    <row r="369" spans="1:9" x14ac:dyDescent="0.35">
      <c r="A369" t="s">
        <v>20</v>
      </c>
      <c r="B369">
        <v>2025</v>
      </c>
      <c r="C369" t="s">
        <v>83</v>
      </c>
      <c r="D369" t="s">
        <v>46</v>
      </c>
      <c r="E369">
        <v>1.5856031523586701E-2</v>
      </c>
      <c r="F369">
        <v>1.5856031523586701E-2</v>
      </c>
      <c r="G369">
        <v>0</v>
      </c>
      <c r="H369">
        <v>0</v>
      </c>
      <c r="I369" t="s">
        <v>84</v>
      </c>
    </row>
    <row r="370" spans="1:9" x14ac:dyDescent="0.35">
      <c r="A370" t="s">
        <v>20</v>
      </c>
      <c r="B370">
        <v>2025</v>
      </c>
      <c r="C370" t="s">
        <v>83</v>
      </c>
      <c r="D370" t="s">
        <v>47</v>
      </c>
      <c r="E370">
        <v>4.1453344309746998E-4</v>
      </c>
      <c r="F370">
        <v>4.1453344309746998E-4</v>
      </c>
      <c r="G370">
        <v>0</v>
      </c>
      <c r="H370">
        <v>0</v>
      </c>
      <c r="I370" t="s">
        <v>84</v>
      </c>
    </row>
    <row r="371" spans="1:9" x14ac:dyDescent="0.35">
      <c r="A371" t="s">
        <v>20</v>
      </c>
      <c r="B371">
        <v>2025</v>
      </c>
      <c r="C371" t="s">
        <v>83</v>
      </c>
      <c r="D371" t="s">
        <v>48</v>
      </c>
      <c r="E371">
        <v>36.274908693127799</v>
      </c>
      <c r="F371">
        <v>36.274908693127799</v>
      </c>
      <c r="G371">
        <v>0</v>
      </c>
      <c r="H371">
        <v>0</v>
      </c>
      <c r="I371" t="s">
        <v>84</v>
      </c>
    </row>
    <row r="372" spans="1:9" x14ac:dyDescent="0.35">
      <c r="A372" t="s">
        <v>20</v>
      </c>
      <c r="B372">
        <v>2025</v>
      </c>
      <c r="C372" t="s">
        <v>83</v>
      </c>
      <c r="D372" t="s">
        <v>49</v>
      </c>
      <c r="E372">
        <v>4.6070510237142303E-3</v>
      </c>
      <c r="F372">
        <v>4.6070510237142303E-3</v>
      </c>
      <c r="G372">
        <v>0</v>
      </c>
      <c r="H372">
        <v>0</v>
      </c>
      <c r="I372" t="s">
        <v>84</v>
      </c>
    </row>
    <row r="373" spans="1:9" x14ac:dyDescent="0.35">
      <c r="A373" t="s">
        <v>20</v>
      </c>
      <c r="B373">
        <v>2025</v>
      </c>
      <c r="C373" t="s">
        <v>83</v>
      </c>
      <c r="D373" t="s">
        <v>50</v>
      </c>
      <c r="E373">
        <v>4.7751946083333099E-3</v>
      </c>
      <c r="F373">
        <v>4.7751946083333099E-3</v>
      </c>
      <c r="G373">
        <v>0</v>
      </c>
      <c r="H373">
        <v>0</v>
      </c>
      <c r="I373" t="s">
        <v>84</v>
      </c>
    </row>
    <row r="374" spans="1:9" x14ac:dyDescent="0.35">
      <c r="A374" t="s">
        <v>20</v>
      </c>
      <c r="B374">
        <v>2025</v>
      </c>
      <c r="C374" t="s">
        <v>83</v>
      </c>
      <c r="D374" t="s">
        <v>51</v>
      </c>
      <c r="E374">
        <v>3.3021712666843402E-2</v>
      </c>
      <c r="F374">
        <v>3.3021712666843402E-2</v>
      </c>
      <c r="G374">
        <v>0</v>
      </c>
      <c r="H374">
        <v>0</v>
      </c>
      <c r="I374" t="s">
        <v>84</v>
      </c>
    </row>
    <row r="375" spans="1:9" x14ac:dyDescent="0.35">
      <c r="A375" t="s">
        <v>20</v>
      </c>
      <c r="B375">
        <v>2025</v>
      </c>
      <c r="C375" t="s">
        <v>83</v>
      </c>
      <c r="D375" t="s">
        <v>52</v>
      </c>
      <c r="E375">
        <v>0.21899192281733501</v>
      </c>
      <c r="F375">
        <v>0.21899192281733501</v>
      </c>
      <c r="G375">
        <v>0</v>
      </c>
      <c r="H375">
        <v>0</v>
      </c>
      <c r="I375" t="s">
        <v>84</v>
      </c>
    </row>
    <row r="376" spans="1:9" x14ac:dyDescent="0.35">
      <c r="A376" t="s">
        <v>20</v>
      </c>
      <c r="B376">
        <v>2025</v>
      </c>
      <c r="C376" t="s">
        <v>83</v>
      </c>
      <c r="D376" t="s">
        <v>53</v>
      </c>
      <c r="E376">
        <v>0.278418280870663</v>
      </c>
      <c r="F376">
        <v>0.278418280870663</v>
      </c>
      <c r="G376">
        <v>0</v>
      </c>
      <c r="H376">
        <v>0</v>
      </c>
      <c r="I376" t="s">
        <v>84</v>
      </c>
    </row>
    <row r="377" spans="1:9" x14ac:dyDescent="0.35">
      <c r="A377" t="s">
        <v>20</v>
      </c>
      <c r="B377">
        <v>2025</v>
      </c>
      <c r="C377" t="s">
        <v>83</v>
      </c>
      <c r="D377" t="s">
        <v>54</v>
      </c>
      <c r="E377">
        <v>6.43184924748781E-2</v>
      </c>
      <c r="F377">
        <v>6.43184924748781E-2</v>
      </c>
      <c r="G377">
        <v>0</v>
      </c>
      <c r="H377">
        <v>0</v>
      </c>
      <c r="I377" t="s">
        <v>84</v>
      </c>
    </row>
    <row r="378" spans="1:9" x14ac:dyDescent="0.35">
      <c r="A378" t="s">
        <v>20</v>
      </c>
      <c r="B378">
        <v>2025</v>
      </c>
      <c r="C378" t="s">
        <v>83</v>
      </c>
      <c r="D378" t="s">
        <v>55</v>
      </c>
      <c r="E378">
        <v>6.1268570042193202E-2</v>
      </c>
      <c r="F378">
        <v>6.1268570042193202E-2</v>
      </c>
      <c r="G378">
        <v>0</v>
      </c>
      <c r="H378">
        <v>0</v>
      </c>
      <c r="I378" t="s">
        <v>84</v>
      </c>
    </row>
    <row r="379" spans="1:9" x14ac:dyDescent="0.35">
      <c r="A379" t="s">
        <v>20</v>
      </c>
      <c r="B379">
        <v>2025</v>
      </c>
      <c r="C379" t="s">
        <v>83</v>
      </c>
      <c r="D379" t="s">
        <v>56</v>
      </c>
      <c r="E379" s="1">
        <v>7.3152540380345195E-8</v>
      </c>
      <c r="F379" s="1">
        <v>7.3152540380345195E-8</v>
      </c>
      <c r="G379">
        <v>0</v>
      </c>
      <c r="H379">
        <v>0</v>
      </c>
      <c r="I379" t="s">
        <v>84</v>
      </c>
    </row>
    <row r="380" spans="1:9" x14ac:dyDescent="0.35">
      <c r="A380" t="s">
        <v>22</v>
      </c>
      <c r="B380">
        <v>2030</v>
      </c>
      <c r="C380" t="s">
        <v>83</v>
      </c>
      <c r="D380" t="s">
        <v>38</v>
      </c>
      <c r="E380">
        <v>5.0066486311873605E-4</v>
      </c>
      <c r="F380">
        <v>5.0066486311873605E-4</v>
      </c>
      <c r="G380">
        <v>0</v>
      </c>
      <c r="H380">
        <v>0</v>
      </c>
      <c r="I380" t="s">
        <v>84</v>
      </c>
    </row>
    <row r="381" spans="1:9" x14ac:dyDescent="0.35">
      <c r="A381" t="s">
        <v>22</v>
      </c>
      <c r="B381">
        <v>2030</v>
      </c>
      <c r="C381" t="s">
        <v>83</v>
      </c>
      <c r="D381" t="s">
        <v>40</v>
      </c>
      <c r="E381">
        <v>2.7427726131171501E-4</v>
      </c>
      <c r="F381">
        <v>2.7427726131171501E-4</v>
      </c>
      <c r="G381">
        <v>0</v>
      </c>
      <c r="H381">
        <v>0</v>
      </c>
      <c r="I381" t="s">
        <v>84</v>
      </c>
    </row>
    <row r="382" spans="1:9" x14ac:dyDescent="0.35">
      <c r="A382" t="s">
        <v>22</v>
      </c>
      <c r="B382">
        <v>2030</v>
      </c>
      <c r="C382" t="s">
        <v>83</v>
      </c>
      <c r="D382" t="s">
        <v>41</v>
      </c>
      <c r="E382">
        <v>2.6712570832622901E-3</v>
      </c>
      <c r="F382">
        <v>2.6712570832622901E-3</v>
      </c>
      <c r="G382">
        <v>0</v>
      </c>
      <c r="H382">
        <v>0</v>
      </c>
      <c r="I382" t="s">
        <v>84</v>
      </c>
    </row>
    <row r="383" spans="1:9" x14ac:dyDescent="0.35">
      <c r="A383" t="s">
        <v>22</v>
      </c>
      <c r="B383">
        <v>2030</v>
      </c>
      <c r="C383" t="s">
        <v>83</v>
      </c>
      <c r="D383" t="s">
        <v>42</v>
      </c>
      <c r="E383">
        <v>2.1781334408360502</v>
      </c>
      <c r="F383">
        <v>2.1781334408360502</v>
      </c>
      <c r="G383">
        <v>0</v>
      </c>
      <c r="H383">
        <v>0</v>
      </c>
      <c r="I383" t="s">
        <v>84</v>
      </c>
    </row>
    <row r="384" spans="1:9" x14ac:dyDescent="0.35">
      <c r="A384" t="s">
        <v>22</v>
      </c>
      <c r="B384">
        <v>2030</v>
      </c>
      <c r="C384" t="s">
        <v>83</v>
      </c>
      <c r="D384" t="s">
        <v>43</v>
      </c>
      <c r="E384">
        <v>7.9673994319199204E-4</v>
      </c>
      <c r="F384">
        <v>7.9673994319199204E-4</v>
      </c>
      <c r="G384">
        <v>0</v>
      </c>
      <c r="H384">
        <v>0</v>
      </c>
      <c r="I384" t="s">
        <v>84</v>
      </c>
    </row>
    <row r="385" spans="1:9" x14ac:dyDescent="0.35">
      <c r="A385" t="s">
        <v>22</v>
      </c>
      <c r="B385">
        <v>2030</v>
      </c>
      <c r="C385" t="s">
        <v>83</v>
      </c>
      <c r="D385" t="s">
        <v>136</v>
      </c>
      <c r="E385">
        <v>0.95363786694745201</v>
      </c>
      <c r="F385">
        <v>0.95363786694745201</v>
      </c>
      <c r="G385">
        <v>0</v>
      </c>
      <c r="H385">
        <v>0</v>
      </c>
      <c r="I385" t="s">
        <v>84</v>
      </c>
    </row>
    <row r="386" spans="1:9" x14ac:dyDescent="0.35">
      <c r="A386" t="s">
        <v>22</v>
      </c>
      <c r="B386">
        <v>2030</v>
      </c>
      <c r="C386" t="s">
        <v>83</v>
      </c>
      <c r="D386" t="s">
        <v>45</v>
      </c>
      <c r="E386">
        <v>1.50486940833575E-3</v>
      </c>
      <c r="F386">
        <v>1.50486940833575E-3</v>
      </c>
      <c r="G386">
        <v>0</v>
      </c>
      <c r="H386">
        <v>0</v>
      </c>
      <c r="I386" t="s">
        <v>84</v>
      </c>
    </row>
    <row r="387" spans="1:9" x14ac:dyDescent="0.35">
      <c r="A387" t="s">
        <v>22</v>
      </c>
      <c r="B387">
        <v>2030</v>
      </c>
      <c r="C387" t="s">
        <v>83</v>
      </c>
      <c r="D387" t="s">
        <v>46</v>
      </c>
      <c r="E387">
        <v>2.7680529301532902E-2</v>
      </c>
      <c r="F387">
        <v>2.7680529301532902E-2</v>
      </c>
      <c r="G387">
        <v>0</v>
      </c>
      <c r="H387">
        <v>0</v>
      </c>
      <c r="I387" t="s">
        <v>84</v>
      </c>
    </row>
    <row r="388" spans="1:9" x14ac:dyDescent="0.35">
      <c r="A388" t="s">
        <v>22</v>
      </c>
      <c r="B388">
        <v>2030</v>
      </c>
      <c r="C388" t="s">
        <v>83</v>
      </c>
      <c r="D388" t="s">
        <v>47</v>
      </c>
      <c r="E388">
        <v>3.7226284879157299E-4</v>
      </c>
      <c r="F388">
        <v>3.7226284879157299E-4</v>
      </c>
      <c r="G388">
        <v>0</v>
      </c>
      <c r="H388">
        <v>0</v>
      </c>
      <c r="I388" t="s">
        <v>84</v>
      </c>
    </row>
    <row r="389" spans="1:9" x14ac:dyDescent="0.35">
      <c r="A389" t="s">
        <v>22</v>
      </c>
      <c r="B389">
        <v>2030</v>
      </c>
      <c r="C389" t="s">
        <v>83</v>
      </c>
      <c r="D389" t="s">
        <v>48</v>
      </c>
      <c r="E389">
        <v>36.2754070245552</v>
      </c>
      <c r="F389">
        <v>36.2754070245552</v>
      </c>
      <c r="G389">
        <v>0</v>
      </c>
      <c r="H389">
        <v>0</v>
      </c>
      <c r="I389" t="s">
        <v>84</v>
      </c>
    </row>
    <row r="390" spans="1:9" x14ac:dyDescent="0.35">
      <c r="A390" t="s">
        <v>22</v>
      </c>
      <c r="B390">
        <v>2030</v>
      </c>
      <c r="C390" t="s">
        <v>83</v>
      </c>
      <c r="D390" t="s">
        <v>49</v>
      </c>
      <c r="E390">
        <v>4.3238607751873697E-3</v>
      </c>
      <c r="F390">
        <v>4.3238607751873697E-3</v>
      </c>
      <c r="G390">
        <v>0</v>
      </c>
      <c r="H390">
        <v>0</v>
      </c>
      <c r="I390" t="s">
        <v>84</v>
      </c>
    </row>
    <row r="391" spans="1:9" x14ac:dyDescent="0.35">
      <c r="A391" t="s">
        <v>22</v>
      </c>
      <c r="B391">
        <v>2030</v>
      </c>
      <c r="C391" t="s">
        <v>83</v>
      </c>
      <c r="D391" t="s">
        <v>50</v>
      </c>
      <c r="E391">
        <v>5.4624583237554E-3</v>
      </c>
      <c r="F391">
        <v>5.4624583237554E-3</v>
      </c>
      <c r="G391">
        <v>0</v>
      </c>
      <c r="H391">
        <v>0</v>
      </c>
      <c r="I391" t="s">
        <v>84</v>
      </c>
    </row>
    <row r="392" spans="1:9" x14ac:dyDescent="0.35">
      <c r="A392" t="s">
        <v>22</v>
      </c>
      <c r="B392">
        <v>2030</v>
      </c>
      <c r="C392" t="s">
        <v>83</v>
      </c>
      <c r="D392" t="s">
        <v>51</v>
      </c>
      <c r="E392">
        <v>3.2820181342921098E-2</v>
      </c>
      <c r="F392">
        <v>3.2820181342921098E-2</v>
      </c>
      <c r="G392">
        <v>0</v>
      </c>
      <c r="H392">
        <v>0</v>
      </c>
      <c r="I392" t="s">
        <v>84</v>
      </c>
    </row>
    <row r="393" spans="1:9" x14ac:dyDescent="0.35">
      <c r="A393" t="s">
        <v>22</v>
      </c>
      <c r="B393">
        <v>2030</v>
      </c>
      <c r="C393" t="s">
        <v>83</v>
      </c>
      <c r="D393" t="s">
        <v>52</v>
      </c>
      <c r="E393">
        <v>0.17690553151549801</v>
      </c>
      <c r="F393">
        <v>0.17690553151549801</v>
      </c>
      <c r="G393">
        <v>0</v>
      </c>
      <c r="H393">
        <v>0</v>
      </c>
      <c r="I393" t="s">
        <v>84</v>
      </c>
    </row>
    <row r="394" spans="1:9" x14ac:dyDescent="0.35">
      <c r="A394" t="s">
        <v>22</v>
      </c>
      <c r="B394">
        <v>2030</v>
      </c>
      <c r="C394" t="s">
        <v>83</v>
      </c>
      <c r="D394" t="s">
        <v>53</v>
      </c>
      <c r="E394">
        <v>0.281653390138564</v>
      </c>
      <c r="F394">
        <v>0.281653390138564</v>
      </c>
      <c r="G394">
        <v>0</v>
      </c>
      <c r="H394">
        <v>0</v>
      </c>
      <c r="I394" t="s">
        <v>84</v>
      </c>
    </row>
    <row r="395" spans="1:9" x14ac:dyDescent="0.35">
      <c r="A395" t="s">
        <v>22</v>
      </c>
      <c r="B395">
        <v>2030</v>
      </c>
      <c r="C395" t="s">
        <v>83</v>
      </c>
      <c r="D395" t="s">
        <v>54</v>
      </c>
      <c r="E395">
        <v>6.4250466075609497E-2</v>
      </c>
      <c r="F395">
        <v>6.4250466075609497E-2</v>
      </c>
      <c r="G395">
        <v>0</v>
      </c>
      <c r="H395">
        <v>0</v>
      </c>
      <c r="I395" t="s">
        <v>84</v>
      </c>
    </row>
    <row r="396" spans="1:9" x14ac:dyDescent="0.35">
      <c r="A396" t="s">
        <v>22</v>
      </c>
      <c r="B396">
        <v>2030</v>
      </c>
      <c r="C396" t="s">
        <v>83</v>
      </c>
      <c r="D396" t="s">
        <v>55</v>
      </c>
      <c r="E396">
        <v>6.10167956676924E-2</v>
      </c>
      <c r="F396">
        <v>6.10167956676924E-2</v>
      </c>
      <c r="G396">
        <v>0</v>
      </c>
      <c r="H396">
        <v>0</v>
      </c>
      <c r="I396" t="s">
        <v>84</v>
      </c>
    </row>
    <row r="397" spans="1:9" x14ac:dyDescent="0.35">
      <c r="A397" t="s">
        <v>22</v>
      </c>
      <c r="B397">
        <v>2030</v>
      </c>
      <c r="C397" t="s">
        <v>83</v>
      </c>
      <c r="D397" t="s">
        <v>56</v>
      </c>
      <c r="E397" s="1">
        <v>7.1165412844631597E-8</v>
      </c>
      <c r="F397" s="1">
        <v>7.1165412844631597E-8</v>
      </c>
      <c r="G397">
        <v>0</v>
      </c>
      <c r="H397">
        <v>0</v>
      </c>
      <c r="I397" t="s">
        <v>84</v>
      </c>
    </row>
    <row r="398" spans="1:9" x14ac:dyDescent="0.35">
      <c r="A398" t="s">
        <v>24</v>
      </c>
      <c r="B398">
        <v>2035</v>
      </c>
      <c r="C398" t="s">
        <v>83</v>
      </c>
      <c r="D398" t="s">
        <v>38</v>
      </c>
      <c r="E398">
        <v>6.9166377570916804E-4</v>
      </c>
      <c r="F398">
        <v>6.9166377570916804E-4</v>
      </c>
      <c r="G398">
        <v>0</v>
      </c>
      <c r="H398">
        <v>0</v>
      </c>
      <c r="I398" t="s">
        <v>84</v>
      </c>
    </row>
    <row r="399" spans="1:9" x14ac:dyDescent="0.35">
      <c r="A399" t="s">
        <v>24</v>
      </c>
      <c r="B399">
        <v>2035</v>
      </c>
      <c r="C399" t="s">
        <v>83</v>
      </c>
      <c r="D399" t="s">
        <v>40</v>
      </c>
      <c r="E399">
        <v>2.8144710066594801E-4</v>
      </c>
      <c r="F399">
        <v>2.8144710066594801E-4</v>
      </c>
      <c r="G399">
        <v>0</v>
      </c>
      <c r="H399">
        <v>0</v>
      </c>
      <c r="I399" t="s">
        <v>84</v>
      </c>
    </row>
    <row r="400" spans="1:9" x14ac:dyDescent="0.35">
      <c r="A400" t="s">
        <v>24</v>
      </c>
      <c r="B400">
        <v>2035</v>
      </c>
      <c r="C400" t="s">
        <v>83</v>
      </c>
      <c r="D400" t="s">
        <v>41</v>
      </c>
      <c r="E400">
        <v>2.64583356051554E-3</v>
      </c>
      <c r="F400">
        <v>2.64583356051554E-3</v>
      </c>
      <c r="G400">
        <v>0</v>
      </c>
      <c r="H400">
        <v>0</v>
      </c>
      <c r="I400" t="s">
        <v>84</v>
      </c>
    </row>
    <row r="401" spans="1:9" x14ac:dyDescent="0.35">
      <c r="A401" t="s">
        <v>24</v>
      </c>
      <c r="B401">
        <v>2035</v>
      </c>
      <c r="C401" t="s">
        <v>83</v>
      </c>
      <c r="D401" t="s">
        <v>42</v>
      </c>
      <c r="E401">
        <v>2.1664354638529799</v>
      </c>
      <c r="F401">
        <v>2.1664354638529799</v>
      </c>
      <c r="G401">
        <v>0</v>
      </c>
      <c r="H401">
        <v>0</v>
      </c>
      <c r="I401" t="s">
        <v>84</v>
      </c>
    </row>
    <row r="402" spans="1:9" x14ac:dyDescent="0.35">
      <c r="A402" t="s">
        <v>24</v>
      </c>
      <c r="B402">
        <v>2035</v>
      </c>
      <c r="C402" t="s">
        <v>83</v>
      </c>
      <c r="D402" t="s">
        <v>43</v>
      </c>
      <c r="E402">
        <v>8.0865313043865803E-4</v>
      </c>
      <c r="F402">
        <v>8.0865313043865803E-4</v>
      </c>
      <c r="G402">
        <v>0</v>
      </c>
      <c r="H402">
        <v>0</v>
      </c>
      <c r="I402" t="s">
        <v>84</v>
      </c>
    </row>
    <row r="403" spans="1:9" x14ac:dyDescent="0.35">
      <c r="A403" t="s">
        <v>24</v>
      </c>
      <c r="B403">
        <v>2035</v>
      </c>
      <c r="C403" t="s">
        <v>83</v>
      </c>
      <c r="D403" t="s">
        <v>136</v>
      </c>
      <c r="E403">
        <v>0.96855103907259699</v>
      </c>
      <c r="F403">
        <v>0.96855103907259699</v>
      </c>
      <c r="G403">
        <v>0</v>
      </c>
      <c r="H403">
        <v>0</v>
      </c>
      <c r="I403" t="s">
        <v>84</v>
      </c>
    </row>
    <row r="404" spans="1:9" x14ac:dyDescent="0.35">
      <c r="A404" t="s">
        <v>24</v>
      </c>
      <c r="B404">
        <v>2035</v>
      </c>
      <c r="C404" t="s">
        <v>83</v>
      </c>
      <c r="D404" t="s">
        <v>45</v>
      </c>
      <c r="E404">
        <v>1.41910498190252E-3</v>
      </c>
      <c r="F404">
        <v>1.41910498190252E-3</v>
      </c>
      <c r="G404">
        <v>0</v>
      </c>
      <c r="H404">
        <v>0</v>
      </c>
      <c r="I404" t="s">
        <v>84</v>
      </c>
    </row>
    <row r="405" spans="1:9" x14ac:dyDescent="0.35">
      <c r="A405" t="s">
        <v>24</v>
      </c>
      <c r="B405">
        <v>2035</v>
      </c>
      <c r="C405" t="s">
        <v>83</v>
      </c>
      <c r="D405" t="s">
        <v>46</v>
      </c>
      <c r="E405">
        <v>3.9960327993615902E-2</v>
      </c>
      <c r="F405">
        <v>3.9960327993615902E-2</v>
      </c>
      <c r="G405">
        <v>0</v>
      </c>
      <c r="H405">
        <v>0</v>
      </c>
      <c r="I405" t="s">
        <v>84</v>
      </c>
    </row>
    <row r="406" spans="1:9" x14ac:dyDescent="0.35">
      <c r="A406" t="s">
        <v>24</v>
      </c>
      <c r="B406">
        <v>2035</v>
      </c>
      <c r="C406" t="s">
        <v>83</v>
      </c>
      <c r="D406" t="s">
        <v>47</v>
      </c>
      <c r="E406">
        <v>3.6040868103653001E-4</v>
      </c>
      <c r="F406">
        <v>3.6040868103653001E-4</v>
      </c>
      <c r="G406">
        <v>0</v>
      </c>
      <c r="H406">
        <v>0</v>
      </c>
      <c r="I406" t="s">
        <v>84</v>
      </c>
    </row>
    <row r="407" spans="1:9" x14ac:dyDescent="0.35">
      <c r="A407" t="s">
        <v>24</v>
      </c>
      <c r="B407">
        <v>2035</v>
      </c>
      <c r="C407" t="s">
        <v>83</v>
      </c>
      <c r="D407" t="s">
        <v>48</v>
      </c>
      <c r="E407">
        <v>36.276202769157997</v>
      </c>
      <c r="F407">
        <v>36.276202769157997</v>
      </c>
      <c r="G407">
        <v>0</v>
      </c>
      <c r="H407">
        <v>0</v>
      </c>
      <c r="I407" t="s">
        <v>84</v>
      </c>
    </row>
    <row r="408" spans="1:9" x14ac:dyDescent="0.35">
      <c r="A408" t="s">
        <v>24</v>
      </c>
      <c r="B408">
        <v>2035</v>
      </c>
      <c r="C408" t="s">
        <v>83</v>
      </c>
      <c r="D408" t="s">
        <v>49</v>
      </c>
      <c r="E408">
        <v>4.16228174762123E-3</v>
      </c>
      <c r="F408">
        <v>4.16228174762123E-3</v>
      </c>
      <c r="G408">
        <v>0</v>
      </c>
      <c r="H408">
        <v>0</v>
      </c>
      <c r="I408" t="s">
        <v>84</v>
      </c>
    </row>
    <row r="409" spans="1:9" x14ac:dyDescent="0.35">
      <c r="A409" t="s">
        <v>24</v>
      </c>
      <c r="B409">
        <v>2035</v>
      </c>
      <c r="C409" t="s">
        <v>83</v>
      </c>
      <c r="D409" t="s">
        <v>50</v>
      </c>
      <c r="E409">
        <v>6.06204227589949E-3</v>
      </c>
      <c r="F409">
        <v>6.06204227589949E-3</v>
      </c>
      <c r="G409">
        <v>0</v>
      </c>
      <c r="H409">
        <v>0</v>
      </c>
      <c r="I409" t="s">
        <v>84</v>
      </c>
    </row>
    <row r="410" spans="1:9" x14ac:dyDescent="0.35">
      <c r="A410" t="s">
        <v>24</v>
      </c>
      <c r="B410">
        <v>2035</v>
      </c>
      <c r="C410" t="s">
        <v>83</v>
      </c>
      <c r="D410" t="s">
        <v>51</v>
      </c>
      <c r="E410">
        <v>3.27949056443404E-2</v>
      </c>
      <c r="F410">
        <v>3.27949056443404E-2</v>
      </c>
      <c r="G410">
        <v>0</v>
      </c>
      <c r="H410">
        <v>0</v>
      </c>
      <c r="I410" t="s">
        <v>84</v>
      </c>
    </row>
    <row r="411" spans="1:9" x14ac:dyDescent="0.35">
      <c r="A411" t="s">
        <v>24</v>
      </c>
      <c r="B411">
        <v>2035</v>
      </c>
      <c r="C411" t="s">
        <v>83</v>
      </c>
      <c r="D411" t="s">
        <v>52</v>
      </c>
      <c r="E411">
        <v>0.13805799791605</v>
      </c>
      <c r="F411">
        <v>0.13805799791605</v>
      </c>
      <c r="G411">
        <v>0</v>
      </c>
      <c r="H411">
        <v>0</v>
      </c>
      <c r="I411" t="s">
        <v>84</v>
      </c>
    </row>
    <row r="412" spans="1:9" x14ac:dyDescent="0.35">
      <c r="A412" t="s">
        <v>24</v>
      </c>
      <c r="B412">
        <v>2035</v>
      </c>
      <c r="C412" t="s">
        <v>83</v>
      </c>
      <c r="D412" t="s">
        <v>53</v>
      </c>
      <c r="E412">
        <v>0.29288711991357103</v>
      </c>
      <c r="F412">
        <v>0.29288711991357103</v>
      </c>
      <c r="G412">
        <v>0</v>
      </c>
      <c r="H412">
        <v>0</v>
      </c>
      <c r="I412" t="s">
        <v>84</v>
      </c>
    </row>
    <row r="413" spans="1:9" x14ac:dyDescent="0.35">
      <c r="A413" t="s">
        <v>24</v>
      </c>
      <c r="B413">
        <v>2035</v>
      </c>
      <c r="C413" t="s">
        <v>83</v>
      </c>
      <c r="D413" t="s">
        <v>54</v>
      </c>
      <c r="E413">
        <v>6.45331844554735E-2</v>
      </c>
      <c r="F413">
        <v>6.45331844554735E-2</v>
      </c>
      <c r="G413">
        <v>0</v>
      </c>
      <c r="H413">
        <v>0</v>
      </c>
      <c r="I413" t="s">
        <v>84</v>
      </c>
    </row>
    <row r="414" spans="1:9" x14ac:dyDescent="0.35">
      <c r="A414" t="s">
        <v>24</v>
      </c>
      <c r="B414">
        <v>2035</v>
      </c>
      <c r="C414" t="s">
        <v>83</v>
      </c>
      <c r="D414" t="s">
        <v>55</v>
      </c>
      <c r="E414">
        <v>6.11647018851499E-2</v>
      </c>
      <c r="F414">
        <v>6.11647018851499E-2</v>
      </c>
      <c r="G414">
        <v>0</v>
      </c>
      <c r="H414">
        <v>0</v>
      </c>
      <c r="I414" t="s">
        <v>84</v>
      </c>
    </row>
    <row r="415" spans="1:9" x14ac:dyDescent="0.35">
      <c r="A415" t="s">
        <v>24</v>
      </c>
      <c r="B415">
        <v>2035</v>
      </c>
      <c r="C415" t="s">
        <v>83</v>
      </c>
      <c r="D415" t="s">
        <v>56</v>
      </c>
      <c r="E415" s="1">
        <v>7.22508364188187E-8</v>
      </c>
      <c r="F415" s="1">
        <v>7.22508364188187E-8</v>
      </c>
      <c r="G415">
        <v>0</v>
      </c>
      <c r="H415">
        <v>0</v>
      </c>
      <c r="I415" t="s">
        <v>84</v>
      </c>
    </row>
    <row r="416" spans="1:9" x14ac:dyDescent="0.35">
      <c r="A416" t="s">
        <v>26</v>
      </c>
      <c r="B416">
        <v>2040</v>
      </c>
      <c r="C416" t="s">
        <v>83</v>
      </c>
      <c r="D416" t="s">
        <v>38</v>
      </c>
      <c r="E416">
        <v>6.1001960383118097E-4</v>
      </c>
      <c r="F416">
        <v>6.1000856542278595E-4</v>
      </c>
      <c r="G416" s="1">
        <v>-1.10384083952357E-8</v>
      </c>
      <c r="H416">
        <v>-1.8095169935375499E-3</v>
      </c>
      <c r="I416" t="s">
        <v>84</v>
      </c>
    </row>
    <row r="417" spans="1:9" x14ac:dyDescent="0.35">
      <c r="A417" t="s">
        <v>26</v>
      </c>
      <c r="B417">
        <v>2040</v>
      </c>
      <c r="C417" t="s">
        <v>83</v>
      </c>
      <c r="D417" t="s">
        <v>40</v>
      </c>
      <c r="E417">
        <v>2.8854670066186201E-4</v>
      </c>
      <c r="F417">
        <v>2.8854670066186201E-4</v>
      </c>
      <c r="G417">
        <v>0</v>
      </c>
      <c r="H417">
        <v>0</v>
      </c>
      <c r="I417" t="s">
        <v>84</v>
      </c>
    </row>
    <row r="418" spans="1:9" x14ac:dyDescent="0.35">
      <c r="A418" t="s">
        <v>26</v>
      </c>
      <c r="B418">
        <v>2040</v>
      </c>
      <c r="C418" t="s">
        <v>83</v>
      </c>
      <c r="D418" t="s">
        <v>41</v>
      </c>
      <c r="E418">
        <v>2.6445625935660401E-3</v>
      </c>
      <c r="F418">
        <v>2.6445625935660401E-3</v>
      </c>
      <c r="G418">
        <v>0</v>
      </c>
      <c r="H418">
        <v>0</v>
      </c>
      <c r="I418" t="s">
        <v>84</v>
      </c>
    </row>
    <row r="419" spans="1:9" x14ac:dyDescent="0.35">
      <c r="A419" t="s">
        <v>26</v>
      </c>
      <c r="B419">
        <v>2040</v>
      </c>
      <c r="C419" t="s">
        <v>83</v>
      </c>
      <c r="D419" t="s">
        <v>42</v>
      </c>
      <c r="E419">
        <v>2.1641448354500801</v>
      </c>
      <c r="F419">
        <v>0.67972155316155802</v>
      </c>
      <c r="G419">
        <v>-1.4844232822885199</v>
      </c>
      <c r="H419">
        <v>-68.5916791691903</v>
      </c>
      <c r="I419" t="s">
        <v>84</v>
      </c>
    </row>
    <row r="420" spans="1:9" x14ac:dyDescent="0.35">
      <c r="A420" t="s">
        <v>26</v>
      </c>
      <c r="B420">
        <v>2040</v>
      </c>
      <c r="C420" t="s">
        <v>83</v>
      </c>
      <c r="D420" t="s">
        <v>43</v>
      </c>
      <c r="E420">
        <v>7.7322206411756396E-4</v>
      </c>
      <c r="F420">
        <v>7.7322206411756396E-4</v>
      </c>
      <c r="G420">
        <v>0</v>
      </c>
      <c r="H420">
        <v>0</v>
      </c>
      <c r="I420" t="s">
        <v>84</v>
      </c>
    </row>
    <row r="421" spans="1:9" x14ac:dyDescent="0.35">
      <c r="A421" t="s">
        <v>26</v>
      </c>
      <c r="B421">
        <v>2040</v>
      </c>
      <c r="C421" t="s">
        <v>83</v>
      </c>
      <c r="D421" t="s">
        <v>136</v>
      </c>
      <c r="E421">
        <v>0.993303565745013</v>
      </c>
      <c r="F421">
        <v>0.993303565745013</v>
      </c>
      <c r="G421">
        <v>0</v>
      </c>
      <c r="H421">
        <v>0</v>
      </c>
      <c r="I421" t="s">
        <v>84</v>
      </c>
    </row>
    <row r="422" spans="1:9" x14ac:dyDescent="0.35">
      <c r="A422" t="s">
        <v>26</v>
      </c>
      <c r="B422">
        <v>2040</v>
      </c>
      <c r="C422" t="s">
        <v>83</v>
      </c>
      <c r="D422" t="s">
        <v>45</v>
      </c>
      <c r="E422">
        <v>1.3638336179914599E-3</v>
      </c>
      <c r="F422">
        <v>1.3638336179914599E-3</v>
      </c>
      <c r="G422">
        <v>0</v>
      </c>
      <c r="H422">
        <v>0</v>
      </c>
      <c r="I422" t="s">
        <v>84</v>
      </c>
    </row>
    <row r="423" spans="1:9" x14ac:dyDescent="0.35">
      <c r="A423" t="s">
        <v>26</v>
      </c>
      <c r="B423">
        <v>2040</v>
      </c>
      <c r="C423" t="s">
        <v>83</v>
      </c>
      <c r="D423" t="s">
        <v>46</v>
      </c>
      <c r="E423">
        <v>4.1050913861164502E-2</v>
      </c>
      <c r="F423">
        <v>4.1050913861164502E-2</v>
      </c>
      <c r="G423">
        <v>0</v>
      </c>
      <c r="H423">
        <v>0</v>
      </c>
      <c r="I423" t="s">
        <v>84</v>
      </c>
    </row>
    <row r="424" spans="1:9" x14ac:dyDescent="0.35">
      <c r="A424" t="s">
        <v>26</v>
      </c>
      <c r="B424">
        <v>2040</v>
      </c>
      <c r="C424" t="s">
        <v>83</v>
      </c>
      <c r="D424" t="s">
        <v>47</v>
      </c>
      <c r="E424">
        <v>3.6246206333573501E-4</v>
      </c>
      <c r="F424">
        <v>3.6246206333573501E-4</v>
      </c>
      <c r="G424">
        <v>0</v>
      </c>
      <c r="H424">
        <v>0</v>
      </c>
      <c r="I424" t="s">
        <v>84</v>
      </c>
    </row>
    <row r="425" spans="1:9" x14ac:dyDescent="0.35">
      <c r="A425" t="s">
        <v>26</v>
      </c>
      <c r="B425">
        <v>2040</v>
      </c>
      <c r="C425" t="s">
        <v>83</v>
      </c>
      <c r="D425" t="s">
        <v>48</v>
      </c>
      <c r="E425">
        <v>36.2773925909353</v>
      </c>
      <c r="F425">
        <v>36.2773925909353</v>
      </c>
      <c r="G425">
        <v>0</v>
      </c>
      <c r="H425">
        <v>0</v>
      </c>
      <c r="I425" t="s">
        <v>84</v>
      </c>
    </row>
    <row r="426" spans="1:9" x14ac:dyDescent="0.35">
      <c r="A426" t="s">
        <v>26</v>
      </c>
      <c r="B426">
        <v>2040</v>
      </c>
      <c r="C426" t="s">
        <v>83</v>
      </c>
      <c r="D426" t="s">
        <v>49</v>
      </c>
      <c r="E426">
        <v>4.0299271840461203E-3</v>
      </c>
      <c r="F426">
        <v>4.0299271840461203E-3</v>
      </c>
      <c r="G426">
        <v>0</v>
      </c>
      <c r="H426">
        <v>0</v>
      </c>
      <c r="I426" t="s">
        <v>84</v>
      </c>
    </row>
    <row r="427" spans="1:9" x14ac:dyDescent="0.35">
      <c r="A427" t="s">
        <v>26</v>
      </c>
      <c r="B427">
        <v>2040</v>
      </c>
      <c r="C427" t="s">
        <v>83</v>
      </c>
      <c r="D427" t="s">
        <v>50</v>
      </c>
      <c r="E427">
        <v>5.6861266610687602E-3</v>
      </c>
      <c r="F427">
        <v>5.6861266610687602E-3</v>
      </c>
      <c r="G427">
        <v>0</v>
      </c>
      <c r="H427">
        <v>0</v>
      </c>
      <c r="I427" t="s">
        <v>84</v>
      </c>
    </row>
    <row r="428" spans="1:9" x14ac:dyDescent="0.35">
      <c r="A428" t="s">
        <v>26</v>
      </c>
      <c r="B428">
        <v>2040</v>
      </c>
      <c r="C428" t="s">
        <v>83</v>
      </c>
      <c r="D428" t="s">
        <v>51</v>
      </c>
      <c r="E428">
        <v>3.28646106043489E-2</v>
      </c>
      <c r="F428">
        <v>3.28646106043489E-2</v>
      </c>
      <c r="G428">
        <v>0</v>
      </c>
      <c r="H428">
        <v>0</v>
      </c>
      <c r="I428" t="s">
        <v>84</v>
      </c>
    </row>
    <row r="429" spans="1:9" x14ac:dyDescent="0.35">
      <c r="A429" t="s">
        <v>26</v>
      </c>
      <c r="B429">
        <v>2040</v>
      </c>
      <c r="C429" t="s">
        <v>83</v>
      </c>
      <c r="D429" t="s">
        <v>52</v>
      </c>
      <c r="E429">
        <v>0.10706375367635899</v>
      </c>
      <c r="F429">
        <v>0.10706375367635899</v>
      </c>
      <c r="G429">
        <v>0</v>
      </c>
      <c r="H429">
        <v>0</v>
      </c>
      <c r="I429" t="s">
        <v>84</v>
      </c>
    </row>
    <row r="430" spans="1:9" x14ac:dyDescent="0.35">
      <c r="A430" t="s">
        <v>26</v>
      </c>
      <c r="B430">
        <v>2040</v>
      </c>
      <c r="C430" t="s">
        <v>83</v>
      </c>
      <c r="D430" t="s">
        <v>53</v>
      </c>
      <c r="E430">
        <v>0.30553885147885601</v>
      </c>
      <c r="F430">
        <v>0.30553885147885601</v>
      </c>
      <c r="G430">
        <v>0</v>
      </c>
      <c r="H430">
        <v>0</v>
      </c>
      <c r="I430" t="s">
        <v>84</v>
      </c>
    </row>
    <row r="431" spans="1:9" x14ac:dyDescent="0.35">
      <c r="A431" t="s">
        <v>26</v>
      </c>
      <c r="B431">
        <v>2040</v>
      </c>
      <c r="C431" t="s">
        <v>83</v>
      </c>
      <c r="D431" t="s">
        <v>54</v>
      </c>
      <c r="E431">
        <v>6.4929465298164193E-2</v>
      </c>
      <c r="F431">
        <v>6.1598550258599102E-2</v>
      </c>
      <c r="G431">
        <v>-3.330915039565E-3</v>
      </c>
      <c r="H431">
        <v>-5.1300515478897299</v>
      </c>
      <c r="I431" t="s">
        <v>84</v>
      </c>
    </row>
    <row r="432" spans="1:9" x14ac:dyDescent="0.35">
      <c r="A432" t="s">
        <v>26</v>
      </c>
      <c r="B432">
        <v>2040</v>
      </c>
      <c r="C432" t="s">
        <v>83</v>
      </c>
      <c r="D432" t="s">
        <v>55</v>
      </c>
      <c r="E432">
        <v>6.1488318777446899E-2</v>
      </c>
      <c r="F432">
        <v>5.6741433699151203E-2</v>
      </c>
      <c r="G432">
        <v>-4.7468850782956297E-3</v>
      </c>
      <c r="H432">
        <v>-7.7199786441985498</v>
      </c>
      <c r="I432" t="s">
        <v>84</v>
      </c>
    </row>
    <row r="433" spans="1:9" x14ac:dyDescent="0.35">
      <c r="A433" t="s">
        <v>26</v>
      </c>
      <c r="B433">
        <v>2040</v>
      </c>
      <c r="C433" t="s">
        <v>83</v>
      </c>
      <c r="D433" t="s">
        <v>56</v>
      </c>
      <c r="E433" s="1">
        <v>7.4599814101206097E-8</v>
      </c>
      <c r="F433" s="1">
        <v>7.4599814101206097E-8</v>
      </c>
      <c r="G433">
        <v>0</v>
      </c>
      <c r="H433">
        <v>0</v>
      </c>
      <c r="I433" t="s">
        <v>84</v>
      </c>
    </row>
    <row r="434" spans="1:9" x14ac:dyDescent="0.35">
      <c r="A434" t="s">
        <v>20</v>
      </c>
      <c r="B434">
        <v>2025</v>
      </c>
      <c r="C434" t="s">
        <v>78</v>
      </c>
      <c r="D434" t="s">
        <v>38</v>
      </c>
      <c r="E434" s="1">
        <v>3.7444866439319E-6</v>
      </c>
      <c r="F434" s="1">
        <v>3.7444866439319E-6</v>
      </c>
      <c r="G434">
        <v>0</v>
      </c>
      <c r="H434">
        <v>0</v>
      </c>
      <c r="I434" t="s">
        <v>79</v>
      </c>
    </row>
    <row r="435" spans="1:9" x14ac:dyDescent="0.35">
      <c r="A435" t="s">
        <v>20</v>
      </c>
      <c r="B435">
        <v>2025</v>
      </c>
      <c r="C435" t="s">
        <v>78</v>
      </c>
      <c r="D435" t="s">
        <v>40</v>
      </c>
      <c r="E435" s="1">
        <v>7.7962057214217803E-5</v>
      </c>
      <c r="F435" s="1">
        <v>7.7962057214217803E-5</v>
      </c>
      <c r="G435">
        <v>0</v>
      </c>
      <c r="H435">
        <v>0</v>
      </c>
      <c r="I435" t="s">
        <v>79</v>
      </c>
    </row>
    <row r="436" spans="1:9" x14ac:dyDescent="0.35">
      <c r="A436" t="s">
        <v>20</v>
      </c>
      <c r="B436">
        <v>2025</v>
      </c>
      <c r="C436" t="s">
        <v>78</v>
      </c>
      <c r="D436" t="s">
        <v>41</v>
      </c>
      <c r="E436">
        <v>3.1181745864835702E-4</v>
      </c>
      <c r="F436">
        <v>3.1181745864835702E-4</v>
      </c>
      <c r="G436">
        <v>0</v>
      </c>
      <c r="H436">
        <v>0</v>
      </c>
      <c r="I436" t="s">
        <v>79</v>
      </c>
    </row>
    <row r="437" spans="1:9" x14ac:dyDescent="0.35">
      <c r="A437" t="s">
        <v>20</v>
      </c>
      <c r="B437">
        <v>2025</v>
      </c>
      <c r="C437" t="s">
        <v>78</v>
      </c>
      <c r="D437" t="s">
        <v>42</v>
      </c>
      <c r="E437">
        <v>1.3632521801461401E-2</v>
      </c>
      <c r="F437">
        <v>1.3632521801461401E-2</v>
      </c>
      <c r="G437">
        <v>0</v>
      </c>
      <c r="H437">
        <v>0</v>
      </c>
      <c r="I437" t="s">
        <v>79</v>
      </c>
    </row>
    <row r="438" spans="1:9" x14ac:dyDescent="0.35">
      <c r="A438" t="s">
        <v>20</v>
      </c>
      <c r="B438">
        <v>2025</v>
      </c>
      <c r="C438" t="s">
        <v>78</v>
      </c>
      <c r="D438" t="s">
        <v>43</v>
      </c>
      <c r="E438">
        <v>1.03821944058621E-4</v>
      </c>
      <c r="F438">
        <v>1.03821944058621E-4</v>
      </c>
      <c r="G438">
        <v>0</v>
      </c>
      <c r="H438">
        <v>0</v>
      </c>
      <c r="I438" t="s">
        <v>79</v>
      </c>
    </row>
    <row r="439" spans="1:9" x14ac:dyDescent="0.35">
      <c r="A439" t="s">
        <v>20</v>
      </c>
      <c r="B439">
        <v>2025</v>
      </c>
      <c r="C439" t="s">
        <v>78</v>
      </c>
      <c r="D439" t="s">
        <v>136</v>
      </c>
      <c r="E439">
        <v>1.65818623099795E-2</v>
      </c>
      <c r="F439">
        <v>1.65818623099795E-2</v>
      </c>
      <c r="G439">
        <v>0</v>
      </c>
      <c r="H439">
        <v>0</v>
      </c>
      <c r="I439" t="s">
        <v>79</v>
      </c>
    </row>
    <row r="440" spans="1:9" x14ac:dyDescent="0.35">
      <c r="A440" t="s">
        <v>20</v>
      </c>
      <c r="B440">
        <v>2025</v>
      </c>
      <c r="C440" t="s">
        <v>78</v>
      </c>
      <c r="D440" t="s">
        <v>45</v>
      </c>
      <c r="E440">
        <v>1.07861328734884E-4</v>
      </c>
      <c r="F440">
        <v>1.07861328734884E-4</v>
      </c>
      <c r="G440">
        <v>0</v>
      </c>
      <c r="H440">
        <v>0</v>
      </c>
      <c r="I440" t="s">
        <v>79</v>
      </c>
    </row>
    <row r="441" spans="1:9" x14ac:dyDescent="0.35">
      <c r="A441" t="s">
        <v>20</v>
      </c>
      <c r="B441">
        <v>2025</v>
      </c>
      <c r="C441" t="s">
        <v>78</v>
      </c>
      <c r="D441" t="s">
        <v>46</v>
      </c>
      <c r="E441">
        <v>1.6288174865780501E-3</v>
      </c>
      <c r="F441">
        <v>1.6288174865780501E-3</v>
      </c>
      <c r="G441">
        <v>0</v>
      </c>
      <c r="H441">
        <v>0</v>
      </c>
      <c r="I441" t="s">
        <v>79</v>
      </c>
    </row>
    <row r="442" spans="1:9" x14ac:dyDescent="0.35">
      <c r="A442" t="s">
        <v>20</v>
      </c>
      <c r="B442">
        <v>2025</v>
      </c>
      <c r="C442" t="s">
        <v>78</v>
      </c>
      <c r="D442" t="s">
        <v>47</v>
      </c>
      <c r="E442" s="1">
        <v>6.3289366690212296E-6</v>
      </c>
      <c r="F442" s="1">
        <v>6.3289366690212296E-6</v>
      </c>
      <c r="G442">
        <v>0</v>
      </c>
      <c r="H442">
        <v>0</v>
      </c>
      <c r="I442" t="s">
        <v>79</v>
      </c>
    </row>
    <row r="443" spans="1:9" x14ac:dyDescent="0.35">
      <c r="A443" t="s">
        <v>20</v>
      </c>
      <c r="B443">
        <v>2025</v>
      </c>
      <c r="C443" t="s">
        <v>78</v>
      </c>
      <c r="D443" t="s">
        <v>48</v>
      </c>
      <c r="E443">
        <v>46.972598228058203</v>
      </c>
      <c r="F443">
        <v>46.972598228058203</v>
      </c>
      <c r="G443">
        <v>0</v>
      </c>
      <c r="H443">
        <v>0</v>
      </c>
      <c r="I443" t="s">
        <v>79</v>
      </c>
    </row>
    <row r="444" spans="1:9" x14ac:dyDescent="0.35">
      <c r="A444" t="s">
        <v>20</v>
      </c>
      <c r="B444">
        <v>2025</v>
      </c>
      <c r="C444" t="s">
        <v>78</v>
      </c>
      <c r="D444" t="s">
        <v>49</v>
      </c>
      <c r="E444">
        <v>2.6913328520273801E-4</v>
      </c>
      <c r="F444">
        <v>2.6913328520273801E-4</v>
      </c>
      <c r="G444">
        <v>0</v>
      </c>
      <c r="H444">
        <v>0</v>
      </c>
      <c r="I444" t="s">
        <v>79</v>
      </c>
    </row>
    <row r="445" spans="1:9" x14ac:dyDescent="0.35">
      <c r="A445" t="s">
        <v>20</v>
      </c>
      <c r="B445">
        <v>2025</v>
      </c>
      <c r="C445" t="s">
        <v>78</v>
      </c>
      <c r="D445" t="s">
        <v>50</v>
      </c>
      <c r="E445">
        <v>1.4398472639792E-3</v>
      </c>
      <c r="F445">
        <v>1.4398472639792E-3</v>
      </c>
      <c r="G445">
        <v>0</v>
      </c>
      <c r="H445">
        <v>0</v>
      </c>
      <c r="I445" t="s">
        <v>79</v>
      </c>
    </row>
    <row r="446" spans="1:9" x14ac:dyDescent="0.35">
      <c r="A446" t="s">
        <v>20</v>
      </c>
      <c r="B446">
        <v>2025</v>
      </c>
      <c r="C446" t="s">
        <v>78</v>
      </c>
      <c r="D446" t="s">
        <v>51</v>
      </c>
      <c r="E446">
        <v>2.29419746154058E-2</v>
      </c>
      <c r="F446">
        <v>2.29419746154058E-2</v>
      </c>
      <c r="G446">
        <v>0</v>
      </c>
      <c r="H446">
        <v>0</v>
      </c>
      <c r="I446" t="s">
        <v>79</v>
      </c>
    </row>
    <row r="447" spans="1:9" x14ac:dyDescent="0.35">
      <c r="A447" t="s">
        <v>20</v>
      </c>
      <c r="B447">
        <v>2025</v>
      </c>
      <c r="C447" t="s">
        <v>78</v>
      </c>
      <c r="D447" t="s">
        <v>52</v>
      </c>
      <c r="E447">
        <v>1.2400968511221801E-3</v>
      </c>
      <c r="F447">
        <v>1.2400968511221801E-3</v>
      </c>
      <c r="G447">
        <v>0</v>
      </c>
      <c r="H447">
        <v>0</v>
      </c>
      <c r="I447" t="s">
        <v>79</v>
      </c>
    </row>
    <row r="448" spans="1:9" x14ac:dyDescent="0.35">
      <c r="A448" t="s">
        <v>20</v>
      </c>
      <c r="B448">
        <v>2025</v>
      </c>
      <c r="C448" t="s">
        <v>78</v>
      </c>
      <c r="D448" t="s">
        <v>53</v>
      </c>
      <c r="E448">
        <v>4.9859892291623104E-3</v>
      </c>
      <c r="F448">
        <v>4.9859892291623104E-3</v>
      </c>
      <c r="G448">
        <v>0</v>
      </c>
      <c r="H448">
        <v>0</v>
      </c>
      <c r="I448" t="s">
        <v>79</v>
      </c>
    </row>
    <row r="449" spans="1:9" x14ac:dyDescent="0.35">
      <c r="A449" t="s">
        <v>20</v>
      </c>
      <c r="B449">
        <v>2025</v>
      </c>
      <c r="C449" t="s">
        <v>78</v>
      </c>
      <c r="D449" t="s">
        <v>54</v>
      </c>
      <c r="E449">
        <v>1.9643321799644002E-3</v>
      </c>
      <c r="F449">
        <v>1.9643321799644002E-3</v>
      </c>
      <c r="G449">
        <v>0</v>
      </c>
      <c r="H449">
        <v>0</v>
      </c>
      <c r="I449" t="s">
        <v>79</v>
      </c>
    </row>
    <row r="450" spans="1:9" x14ac:dyDescent="0.35">
      <c r="A450" t="s">
        <v>20</v>
      </c>
      <c r="B450">
        <v>2025</v>
      </c>
      <c r="C450" t="s">
        <v>78</v>
      </c>
      <c r="D450" t="s">
        <v>55</v>
      </c>
      <c r="E450">
        <v>1.8009175774359901E-3</v>
      </c>
      <c r="F450">
        <v>1.8009175774359901E-3</v>
      </c>
      <c r="G450">
        <v>0</v>
      </c>
      <c r="H450">
        <v>0</v>
      </c>
      <c r="I450" t="s">
        <v>79</v>
      </c>
    </row>
    <row r="451" spans="1:9" x14ac:dyDescent="0.35">
      <c r="A451" t="s">
        <v>20</v>
      </c>
      <c r="B451">
        <v>2025</v>
      </c>
      <c r="C451" t="s">
        <v>78</v>
      </c>
      <c r="D451" t="s">
        <v>56</v>
      </c>
      <c r="E451" s="1">
        <v>1.76698984378364E-9</v>
      </c>
      <c r="F451" s="1">
        <v>1.76698984378364E-9</v>
      </c>
      <c r="G451">
        <v>0</v>
      </c>
      <c r="H451">
        <v>0</v>
      </c>
      <c r="I451" t="s">
        <v>79</v>
      </c>
    </row>
    <row r="452" spans="1:9" x14ac:dyDescent="0.35">
      <c r="A452" t="s">
        <v>22</v>
      </c>
      <c r="B452">
        <v>2030</v>
      </c>
      <c r="C452" t="s">
        <v>78</v>
      </c>
      <c r="D452" t="s">
        <v>38</v>
      </c>
      <c r="E452" s="1">
        <v>1.3303160238175901E-5</v>
      </c>
      <c r="F452" s="1">
        <v>1.3303160238175901E-5</v>
      </c>
      <c r="G452">
        <v>0</v>
      </c>
      <c r="H452">
        <v>0</v>
      </c>
      <c r="I452" t="s">
        <v>79</v>
      </c>
    </row>
    <row r="453" spans="1:9" x14ac:dyDescent="0.35">
      <c r="A453" t="s">
        <v>22</v>
      </c>
      <c r="B453">
        <v>2030</v>
      </c>
      <c r="C453" t="s">
        <v>78</v>
      </c>
      <c r="D453" t="s">
        <v>40</v>
      </c>
      <c r="E453" s="1">
        <v>7.7874612107965002E-5</v>
      </c>
      <c r="F453" s="1">
        <v>7.7874612107965002E-5</v>
      </c>
      <c r="G453">
        <v>0</v>
      </c>
      <c r="H453">
        <v>0</v>
      </c>
      <c r="I453" t="s">
        <v>79</v>
      </c>
    </row>
    <row r="454" spans="1:9" x14ac:dyDescent="0.35">
      <c r="A454" t="s">
        <v>22</v>
      </c>
      <c r="B454">
        <v>2030</v>
      </c>
      <c r="C454" t="s">
        <v>78</v>
      </c>
      <c r="D454" t="s">
        <v>41</v>
      </c>
      <c r="E454">
        <v>3.1086284185186298E-4</v>
      </c>
      <c r="F454">
        <v>3.1086284185186298E-4</v>
      </c>
      <c r="G454">
        <v>0</v>
      </c>
      <c r="H454">
        <v>0</v>
      </c>
      <c r="I454" t="s">
        <v>79</v>
      </c>
    </row>
    <row r="455" spans="1:9" x14ac:dyDescent="0.35">
      <c r="A455" t="s">
        <v>22</v>
      </c>
      <c r="B455">
        <v>2030</v>
      </c>
      <c r="C455" t="s">
        <v>78</v>
      </c>
      <c r="D455" t="s">
        <v>42</v>
      </c>
      <c r="E455">
        <v>1.3731151184770699E-2</v>
      </c>
      <c r="F455">
        <v>1.3731151184770699E-2</v>
      </c>
      <c r="G455">
        <v>0</v>
      </c>
      <c r="H455">
        <v>0</v>
      </c>
      <c r="I455" t="s">
        <v>79</v>
      </c>
    </row>
    <row r="456" spans="1:9" x14ac:dyDescent="0.35">
      <c r="A456" t="s">
        <v>22</v>
      </c>
      <c r="B456">
        <v>2030</v>
      </c>
      <c r="C456" t="s">
        <v>78</v>
      </c>
      <c r="D456" t="s">
        <v>43</v>
      </c>
      <c r="E456">
        <v>1.04956660159308E-4</v>
      </c>
      <c r="F456">
        <v>1.04956660159308E-4</v>
      </c>
      <c r="G456">
        <v>0</v>
      </c>
      <c r="H456">
        <v>0</v>
      </c>
      <c r="I456" t="s">
        <v>79</v>
      </c>
    </row>
    <row r="457" spans="1:9" x14ac:dyDescent="0.35">
      <c r="A457" t="s">
        <v>22</v>
      </c>
      <c r="B457">
        <v>2030</v>
      </c>
      <c r="C457" t="s">
        <v>78</v>
      </c>
      <c r="D457" t="s">
        <v>136</v>
      </c>
      <c r="E457">
        <v>1.63960554103715E-2</v>
      </c>
      <c r="F457">
        <v>1.63960554103715E-2</v>
      </c>
      <c r="G457">
        <v>0</v>
      </c>
      <c r="H457">
        <v>0</v>
      </c>
      <c r="I457" t="s">
        <v>79</v>
      </c>
    </row>
    <row r="458" spans="1:9" x14ac:dyDescent="0.35">
      <c r="A458" t="s">
        <v>22</v>
      </c>
      <c r="B458">
        <v>2030</v>
      </c>
      <c r="C458" t="s">
        <v>78</v>
      </c>
      <c r="D458" t="s">
        <v>45</v>
      </c>
      <c r="E458">
        <v>1.0601391509451501E-4</v>
      </c>
      <c r="F458">
        <v>1.0601391509451501E-4</v>
      </c>
      <c r="G458">
        <v>0</v>
      </c>
      <c r="H458">
        <v>0</v>
      </c>
      <c r="I458" t="s">
        <v>79</v>
      </c>
    </row>
    <row r="459" spans="1:9" x14ac:dyDescent="0.35">
      <c r="A459" t="s">
        <v>22</v>
      </c>
      <c r="B459">
        <v>2030</v>
      </c>
      <c r="C459" t="s">
        <v>78</v>
      </c>
      <c r="D459" t="s">
        <v>46</v>
      </c>
      <c r="E459">
        <v>1.95527779930733E-3</v>
      </c>
      <c r="F459">
        <v>1.95527779930733E-3</v>
      </c>
      <c r="G459">
        <v>0</v>
      </c>
      <c r="H459">
        <v>0</v>
      </c>
      <c r="I459" t="s">
        <v>79</v>
      </c>
    </row>
    <row r="460" spans="1:9" x14ac:dyDescent="0.35">
      <c r="A460" t="s">
        <v>22</v>
      </c>
      <c r="B460">
        <v>2030</v>
      </c>
      <c r="C460" t="s">
        <v>78</v>
      </c>
      <c r="D460" t="s">
        <v>47</v>
      </c>
      <c r="E460" s="1">
        <v>6.5668700775256402E-6</v>
      </c>
      <c r="F460" s="1">
        <v>6.5668700775256402E-6</v>
      </c>
      <c r="G460">
        <v>0</v>
      </c>
      <c r="H460">
        <v>0</v>
      </c>
      <c r="I460" t="s">
        <v>79</v>
      </c>
    </row>
    <row r="461" spans="1:9" x14ac:dyDescent="0.35">
      <c r="A461" t="s">
        <v>22</v>
      </c>
      <c r="B461">
        <v>2030</v>
      </c>
      <c r="C461" t="s">
        <v>78</v>
      </c>
      <c r="D461" t="s">
        <v>48</v>
      </c>
      <c r="E461">
        <v>46.972601767903498</v>
      </c>
      <c r="F461">
        <v>46.972601767903498</v>
      </c>
      <c r="G461">
        <v>0</v>
      </c>
      <c r="H461">
        <v>0</v>
      </c>
      <c r="I461" t="s">
        <v>79</v>
      </c>
    </row>
    <row r="462" spans="1:9" x14ac:dyDescent="0.35">
      <c r="A462" t="s">
        <v>22</v>
      </c>
      <c r="B462">
        <v>2030</v>
      </c>
      <c r="C462" t="s">
        <v>78</v>
      </c>
      <c r="D462" t="s">
        <v>49</v>
      </c>
      <c r="E462">
        <v>2.6794152319589498E-4</v>
      </c>
      <c r="F462">
        <v>2.6794152319589498E-4</v>
      </c>
      <c r="G462">
        <v>0</v>
      </c>
      <c r="H462">
        <v>0</v>
      </c>
      <c r="I462" t="s">
        <v>79</v>
      </c>
    </row>
    <row r="463" spans="1:9" x14ac:dyDescent="0.35">
      <c r="A463" t="s">
        <v>22</v>
      </c>
      <c r="B463">
        <v>2030</v>
      </c>
      <c r="C463" t="s">
        <v>78</v>
      </c>
      <c r="D463" t="s">
        <v>50</v>
      </c>
      <c r="E463">
        <v>1.4605599456125099E-3</v>
      </c>
      <c r="F463">
        <v>1.4605599456125099E-3</v>
      </c>
      <c r="G463">
        <v>0</v>
      </c>
      <c r="H463">
        <v>0</v>
      </c>
      <c r="I463" t="s">
        <v>79</v>
      </c>
    </row>
    <row r="464" spans="1:9" x14ac:dyDescent="0.35">
      <c r="A464" t="s">
        <v>22</v>
      </c>
      <c r="B464">
        <v>2030</v>
      </c>
      <c r="C464" t="s">
        <v>78</v>
      </c>
      <c r="D464" t="s">
        <v>51</v>
      </c>
      <c r="E464">
        <v>2.29434898278476E-2</v>
      </c>
      <c r="F464">
        <v>2.29434898278476E-2</v>
      </c>
      <c r="G464">
        <v>0</v>
      </c>
      <c r="H464">
        <v>0</v>
      </c>
      <c r="I464" t="s">
        <v>79</v>
      </c>
    </row>
    <row r="465" spans="1:9" x14ac:dyDescent="0.35">
      <c r="A465" t="s">
        <v>22</v>
      </c>
      <c r="B465">
        <v>2030</v>
      </c>
      <c r="C465" t="s">
        <v>78</v>
      </c>
      <c r="D465" t="s">
        <v>52</v>
      </c>
      <c r="E465">
        <v>1.1095635932290601E-3</v>
      </c>
      <c r="F465">
        <v>1.1095635932290601E-3</v>
      </c>
      <c r="G465">
        <v>0</v>
      </c>
      <c r="H465">
        <v>0</v>
      </c>
      <c r="I465" t="s">
        <v>79</v>
      </c>
    </row>
    <row r="466" spans="1:9" x14ac:dyDescent="0.35">
      <c r="A466" t="s">
        <v>22</v>
      </c>
      <c r="B466">
        <v>2030</v>
      </c>
      <c r="C466" t="s">
        <v>78</v>
      </c>
      <c r="D466" t="s">
        <v>53</v>
      </c>
      <c r="E466">
        <v>4.9388628239752097E-3</v>
      </c>
      <c r="F466">
        <v>4.9388628239752097E-3</v>
      </c>
      <c r="G466">
        <v>0</v>
      </c>
      <c r="H466">
        <v>0</v>
      </c>
      <c r="I466" t="s">
        <v>79</v>
      </c>
    </row>
    <row r="467" spans="1:9" x14ac:dyDescent="0.35">
      <c r="A467" t="s">
        <v>22</v>
      </c>
      <c r="B467">
        <v>2030</v>
      </c>
      <c r="C467" t="s">
        <v>78</v>
      </c>
      <c r="D467" t="s">
        <v>54</v>
      </c>
      <c r="E467">
        <v>1.97558250678322E-3</v>
      </c>
      <c r="F467">
        <v>1.97558250678322E-3</v>
      </c>
      <c r="G467">
        <v>0</v>
      </c>
      <c r="H467">
        <v>0</v>
      </c>
      <c r="I467" t="s">
        <v>79</v>
      </c>
    </row>
    <row r="468" spans="1:9" x14ac:dyDescent="0.35">
      <c r="A468" t="s">
        <v>22</v>
      </c>
      <c r="B468">
        <v>2030</v>
      </c>
      <c r="C468" t="s">
        <v>78</v>
      </c>
      <c r="D468" t="s">
        <v>55</v>
      </c>
      <c r="E468">
        <v>1.80893550060137E-3</v>
      </c>
      <c r="F468">
        <v>1.80893550060137E-3</v>
      </c>
      <c r="G468">
        <v>0</v>
      </c>
      <c r="H468">
        <v>0</v>
      </c>
      <c r="I468" t="s">
        <v>79</v>
      </c>
    </row>
    <row r="469" spans="1:9" x14ac:dyDescent="0.35">
      <c r="A469" t="s">
        <v>22</v>
      </c>
      <c r="B469">
        <v>2030</v>
      </c>
      <c r="C469" t="s">
        <v>78</v>
      </c>
      <c r="D469" t="s">
        <v>56</v>
      </c>
      <c r="E469" s="1">
        <v>1.71744775594932E-9</v>
      </c>
      <c r="F469" s="1">
        <v>1.71744775594932E-9</v>
      </c>
      <c r="G469">
        <v>0</v>
      </c>
      <c r="H469">
        <v>0</v>
      </c>
      <c r="I469" t="s">
        <v>79</v>
      </c>
    </row>
    <row r="470" spans="1:9" x14ac:dyDescent="0.35">
      <c r="A470" t="s">
        <v>24</v>
      </c>
      <c r="B470">
        <v>2035</v>
      </c>
      <c r="C470" t="s">
        <v>78</v>
      </c>
      <c r="D470" t="s">
        <v>38</v>
      </c>
      <c r="E470" s="1">
        <v>2.02433738625477E-5</v>
      </c>
      <c r="F470" s="1">
        <v>2.02433738625477E-5</v>
      </c>
      <c r="G470">
        <v>0</v>
      </c>
      <c r="H470">
        <v>0</v>
      </c>
      <c r="I470" t="s">
        <v>79</v>
      </c>
    </row>
    <row r="471" spans="1:9" x14ac:dyDescent="0.35">
      <c r="A471" t="s">
        <v>24</v>
      </c>
      <c r="B471">
        <v>2035</v>
      </c>
      <c r="C471" t="s">
        <v>78</v>
      </c>
      <c r="D471" t="s">
        <v>40</v>
      </c>
      <c r="E471" s="1">
        <v>7.78009459080619E-5</v>
      </c>
      <c r="F471" s="1">
        <v>7.78009459080619E-5</v>
      </c>
      <c r="G471">
        <v>0</v>
      </c>
      <c r="H471">
        <v>0</v>
      </c>
      <c r="I471" t="s">
        <v>79</v>
      </c>
    </row>
    <row r="472" spans="1:9" x14ac:dyDescent="0.35">
      <c r="A472" t="s">
        <v>24</v>
      </c>
      <c r="B472">
        <v>2035</v>
      </c>
      <c r="C472" t="s">
        <v>78</v>
      </c>
      <c r="D472" t="s">
        <v>41</v>
      </c>
      <c r="E472">
        <v>3.1057896664225397E-4</v>
      </c>
      <c r="F472">
        <v>3.1057896664225397E-4</v>
      </c>
      <c r="G472">
        <v>0</v>
      </c>
      <c r="H472">
        <v>0</v>
      </c>
      <c r="I472" t="s">
        <v>79</v>
      </c>
    </row>
    <row r="473" spans="1:9" x14ac:dyDescent="0.35">
      <c r="A473" t="s">
        <v>24</v>
      </c>
      <c r="B473">
        <v>2035</v>
      </c>
      <c r="C473" t="s">
        <v>78</v>
      </c>
      <c r="D473" t="s">
        <v>42</v>
      </c>
      <c r="E473">
        <v>1.4032920507515201E-2</v>
      </c>
      <c r="F473">
        <v>1.4032920507515201E-2</v>
      </c>
      <c r="G473">
        <v>0</v>
      </c>
      <c r="H473">
        <v>0</v>
      </c>
      <c r="I473" t="s">
        <v>79</v>
      </c>
    </row>
    <row r="474" spans="1:9" x14ac:dyDescent="0.35">
      <c r="A474" t="s">
        <v>24</v>
      </c>
      <c r="B474">
        <v>2035</v>
      </c>
      <c r="C474" t="s">
        <v>78</v>
      </c>
      <c r="D474" t="s">
        <v>43</v>
      </c>
      <c r="E474">
        <v>1.0600548191987101E-4</v>
      </c>
      <c r="F474">
        <v>1.0600548191987101E-4</v>
      </c>
      <c r="G474">
        <v>0</v>
      </c>
      <c r="H474">
        <v>0</v>
      </c>
      <c r="I474" t="s">
        <v>79</v>
      </c>
    </row>
    <row r="475" spans="1:9" x14ac:dyDescent="0.35">
      <c r="A475" t="s">
        <v>24</v>
      </c>
      <c r="B475">
        <v>2035</v>
      </c>
      <c r="C475" t="s">
        <v>78</v>
      </c>
      <c r="D475" t="s">
        <v>136</v>
      </c>
      <c r="E475">
        <v>1.65728516449913E-2</v>
      </c>
      <c r="F475">
        <v>1.65728516449913E-2</v>
      </c>
      <c r="G475">
        <v>0</v>
      </c>
      <c r="H475">
        <v>0</v>
      </c>
      <c r="I475" t="s">
        <v>79</v>
      </c>
    </row>
    <row r="476" spans="1:9" x14ac:dyDescent="0.35">
      <c r="A476" t="s">
        <v>24</v>
      </c>
      <c r="B476">
        <v>2035</v>
      </c>
      <c r="C476" t="s">
        <v>78</v>
      </c>
      <c r="D476" t="s">
        <v>45</v>
      </c>
      <c r="E476">
        <v>1.0497983804093799E-4</v>
      </c>
      <c r="F476">
        <v>1.0497983804093799E-4</v>
      </c>
      <c r="G476">
        <v>0</v>
      </c>
      <c r="H476">
        <v>0</v>
      </c>
      <c r="I476" t="s">
        <v>79</v>
      </c>
    </row>
    <row r="477" spans="1:9" x14ac:dyDescent="0.35">
      <c r="A477" t="s">
        <v>24</v>
      </c>
      <c r="B477">
        <v>2035</v>
      </c>
      <c r="C477" t="s">
        <v>78</v>
      </c>
      <c r="D477" t="s">
        <v>46</v>
      </c>
      <c r="E477">
        <v>2.34089276481609E-3</v>
      </c>
      <c r="F477">
        <v>2.34089276481609E-3</v>
      </c>
      <c r="G477">
        <v>0</v>
      </c>
      <c r="H477">
        <v>0</v>
      </c>
      <c r="I477" t="s">
        <v>79</v>
      </c>
    </row>
    <row r="478" spans="1:9" x14ac:dyDescent="0.35">
      <c r="A478" t="s">
        <v>24</v>
      </c>
      <c r="B478">
        <v>2035</v>
      </c>
      <c r="C478" t="s">
        <v>78</v>
      </c>
      <c r="D478" t="s">
        <v>47</v>
      </c>
      <c r="E478" s="1">
        <v>7.0983992789012403E-6</v>
      </c>
      <c r="F478" s="1">
        <v>7.0983992789012403E-6</v>
      </c>
      <c r="G478">
        <v>0</v>
      </c>
      <c r="H478">
        <v>0</v>
      </c>
      <c r="I478" t="s">
        <v>79</v>
      </c>
    </row>
    <row r="479" spans="1:9" x14ac:dyDescent="0.35">
      <c r="A479" t="s">
        <v>24</v>
      </c>
      <c r="B479">
        <v>2035</v>
      </c>
      <c r="C479" t="s">
        <v>78</v>
      </c>
      <c r="D479" t="s">
        <v>48</v>
      </c>
      <c r="E479">
        <v>46.972599466940103</v>
      </c>
      <c r="F479">
        <v>46.972599466940103</v>
      </c>
      <c r="G479">
        <v>0</v>
      </c>
      <c r="H479">
        <v>0</v>
      </c>
      <c r="I479" t="s">
        <v>79</v>
      </c>
    </row>
    <row r="480" spans="1:9" x14ac:dyDescent="0.35">
      <c r="A480" t="s">
        <v>24</v>
      </c>
      <c r="B480">
        <v>2035</v>
      </c>
      <c r="C480" t="s">
        <v>78</v>
      </c>
      <c r="D480" t="s">
        <v>49</v>
      </c>
      <c r="E480">
        <v>2.67559719468915E-4</v>
      </c>
      <c r="F480">
        <v>2.67559719468915E-4</v>
      </c>
      <c r="G480">
        <v>0</v>
      </c>
      <c r="H480">
        <v>0</v>
      </c>
      <c r="I480" t="s">
        <v>79</v>
      </c>
    </row>
    <row r="481" spans="1:9" x14ac:dyDescent="0.35">
      <c r="A481" t="s">
        <v>24</v>
      </c>
      <c r="B481">
        <v>2035</v>
      </c>
      <c r="C481" t="s">
        <v>78</v>
      </c>
      <c r="D481" t="s">
        <v>50</v>
      </c>
      <c r="E481">
        <v>1.47724309863764E-3</v>
      </c>
      <c r="F481">
        <v>1.47724309863764E-3</v>
      </c>
      <c r="G481">
        <v>0</v>
      </c>
      <c r="H481">
        <v>0</v>
      </c>
      <c r="I481" t="s">
        <v>79</v>
      </c>
    </row>
    <row r="482" spans="1:9" x14ac:dyDescent="0.35">
      <c r="A482" t="s">
        <v>24</v>
      </c>
      <c r="B482">
        <v>2035</v>
      </c>
      <c r="C482" t="s">
        <v>78</v>
      </c>
      <c r="D482" t="s">
        <v>51</v>
      </c>
      <c r="E482">
        <v>2.29483636507039E-2</v>
      </c>
      <c r="F482">
        <v>2.29483636507039E-2</v>
      </c>
      <c r="G482">
        <v>0</v>
      </c>
      <c r="H482">
        <v>0</v>
      </c>
      <c r="I482" t="s">
        <v>79</v>
      </c>
    </row>
    <row r="483" spans="1:9" x14ac:dyDescent="0.35">
      <c r="A483" t="s">
        <v>24</v>
      </c>
      <c r="B483">
        <v>2035</v>
      </c>
      <c r="C483" t="s">
        <v>78</v>
      </c>
      <c r="D483" t="s">
        <v>52</v>
      </c>
      <c r="E483">
        <v>9.8536418990558894E-4</v>
      </c>
      <c r="F483">
        <v>9.8536418990558894E-4</v>
      </c>
      <c r="G483">
        <v>0</v>
      </c>
      <c r="H483">
        <v>0</v>
      </c>
      <c r="I483" t="s">
        <v>79</v>
      </c>
    </row>
    <row r="484" spans="1:9" x14ac:dyDescent="0.35">
      <c r="A484" t="s">
        <v>24</v>
      </c>
      <c r="B484">
        <v>2035</v>
      </c>
      <c r="C484" t="s">
        <v>78</v>
      </c>
      <c r="D484" t="s">
        <v>53</v>
      </c>
      <c r="E484">
        <v>4.99913993337062E-3</v>
      </c>
      <c r="F484">
        <v>4.99913993337062E-3</v>
      </c>
      <c r="G484">
        <v>0</v>
      </c>
      <c r="H484">
        <v>0</v>
      </c>
      <c r="I484" t="s">
        <v>79</v>
      </c>
    </row>
    <row r="485" spans="1:9" x14ac:dyDescent="0.35">
      <c r="A485" t="s">
        <v>24</v>
      </c>
      <c r="B485">
        <v>2035</v>
      </c>
      <c r="C485" t="s">
        <v>78</v>
      </c>
      <c r="D485" t="s">
        <v>54</v>
      </c>
      <c r="E485">
        <v>1.9893369784558601E-3</v>
      </c>
      <c r="F485">
        <v>1.9893369784558601E-3</v>
      </c>
      <c r="G485">
        <v>0</v>
      </c>
      <c r="H485">
        <v>0</v>
      </c>
      <c r="I485" t="s">
        <v>79</v>
      </c>
    </row>
    <row r="486" spans="1:9" x14ac:dyDescent="0.35">
      <c r="A486" t="s">
        <v>24</v>
      </c>
      <c r="B486">
        <v>2035</v>
      </c>
      <c r="C486" t="s">
        <v>78</v>
      </c>
      <c r="D486" t="s">
        <v>55</v>
      </c>
      <c r="E486">
        <v>1.82021649593039E-3</v>
      </c>
      <c r="F486">
        <v>1.82021649593039E-3</v>
      </c>
      <c r="G486">
        <v>0</v>
      </c>
      <c r="H486">
        <v>0</v>
      </c>
      <c r="I486" t="s">
        <v>79</v>
      </c>
    </row>
    <row r="487" spans="1:9" x14ac:dyDescent="0.35">
      <c r="A487" t="s">
        <v>24</v>
      </c>
      <c r="B487">
        <v>2035</v>
      </c>
      <c r="C487" t="s">
        <v>78</v>
      </c>
      <c r="D487" t="s">
        <v>56</v>
      </c>
      <c r="E487" s="1">
        <v>1.68597984500102E-9</v>
      </c>
      <c r="F487" s="1">
        <v>1.68597984500102E-9</v>
      </c>
      <c r="G487">
        <v>0</v>
      </c>
      <c r="H487">
        <v>0</v>
      </c>
      <c r="I487" t="s">
        <v>79</v>
      </c>
    </row>
    <row r="488" spans="1:9" x14ac:dyDescent="0.35">
      <c r="A488" t="s">
        <v>26</v>
      </c>
      <c r="B488">
        <v>2040</v>
      </c>
      <c r="C488" t="s">
        <v>78</v>
      </c>
      <c r="D488" t="s">
        <v>38</v>
      </c>
      <c r="E488" s="1">
        <v>1.72546258074304E-5</v>
      </c>
      <c r="F488" s="1">
        <v>1.7254616344289501E-5</v>
      </c>
      <c r="G488" s="1">
        <v>-9.4631409133761496E-12</v>
      </c>
      <c r="H488" s="1">
        <v>-5.4844080764133302E-5</v>
      </c>
      <c r="I488" t="s">
        <v>79</v>
      </c>
    </row>
    <row r="489" spans="1:9" x14ac:dyDescent="0.35">
      <c r="A489" t="s">
        <v>26</v>
      </c>
      <c r="B489">
        <v>2040</v>
      </c>
      <c r="C489" t="s">
        <v>78</v>
      </c>
      <c r="D489" t="s">
        <v>40</v>
      </c>
      <c r="E489" s="1">
        <v>7.7734295496692502E-5</v>
      </c>
      <c r="F489" s="1">
        <v>7.7734295496692502E-5</v>
      </c>
      <c r="G489">
        <v>0</v>
      </c>
      <c r="H489">
        <v>0</v>
      </c>
      <c r="I489" t="s">
        <v>79</v>
      </c>
    </row>
    <row r="490" spans="1:9" x14ac:dyDescent="0.35">
      <c r="A490" t="s">
        <v>26</v>
      </c>
      <c r="B490">
        <v>2040</v>
      </c>
      <c r="C490" t="s">
        <v>78</v>
      </c>
      <c r="D490" t="s">
        <v>41</v>
      </c>
      <c r="E490">
        <v>3.1056368873745501E-4</v>
      </c>
      <c r="F490">
        <v>3.1056368873745501E-4</v>
      </c>
      <c r="G490">
        <v>0</v>
      </c>
      <c r="H490">
        <v>0</v>
      </c>
      <c r="I490" t="s">
        <v>79</v>
      </c>
    </row>
    <row r="491" spans="1:9" x14ac:dyDescent="0.35">
      <c r="A491" t="s">
        <v>26</v>
      </c>
      <c r="B491">
        <v>2040</v>
      </c>
      <c r="C491" t="s">
        <v>78</v>
      </c>
      <c r="D491" t="s">
        <v>42</v>
      </c>
      <c r="E491">
        <v>1.44071554947857E-2</v>
      </c>
      <c r="F491">
        <v>1.44071554605996E-2</v>
      </c>
      <c r="G491" s="1">
        <v>-3.4186087988219401E-11</v>
      </c>
      <c r="H491" s="1">
        <v>-2.3728547943132801E-7</v>
      </c>
      <c r="I491" t="s">
        <v>79</v>
      </c>
    </row>
    <row r="492" spans="1:9" x14ac:dyDescent="0.35">
      <c r="A492" t="s">
        <v>26</v>
      </c>
      <c r="B492">
        <v>2040</v>
      </c>
      <c r="C492" t="s">
        <v>78</v>
      </c>
      <c r="D492" t="s">
        <v>43</v>
      </c>
      <c r="E492">
        <v>1.0567533195431899E-4</v>
      </c>
      <c r="F492">
        <v>1.0567533195431899E-4</v>
      </c>
      <c r="G492">
        <v>0</v>
      </c>
      <c r="H492">
        <v>0</v>
      </c>
      <c r="I492" t="s">
        <v>79</v>
      </c>
    </row>
    <row r="493" spans="1:9" x14ac:dyDescent="0.35">
      <c r="A493" t="s">
        <v>26</v>
      </c>
      <c r="B493">
        <v>2040</v>
      </c>
      <c r="C493" t="s">
        <v>78</v>
      </c>
      <c r="D493" t="s">
        <v>136</v>
      </c>
      <c r="E493">
        <v>1.6968689032416901E-2</v>
      </c>
      <c r="F493">
        <v>1.6968689032416901E-2</v>
      </c>
      <c r="G493">
        <v>0</v>
      </c>
      <c r="H493">
        <v>0</v>
      </c>
      <c r="I493" t="s">
        <v>79</v>
      </c>
    </row>
    <row r="494" spans="1:9" x14ac:dyDescent="0.35">
      <c r="A494" t="s">
        <v>26</v>
      </c>
      <c r="B494">
        <v>2040</v>
      </c>
      <c r="C494" t="s">
        <v>78</v>
      </c>
      <c r="D494" t="s">
        <v>45</v>
      </c>
      <c r="E494">
        <v>1.04349296899783E-4</v>
      </c>
      <c r="F494">
        <v>1.0424327573525499E-4</v>
      </c>
      <c r="G494" s="1">
        <v>-1.06021164527923E-7</v>
      </c>
      <c r="H494">
        <v>-0.10160218389372</v>
      </c>
      <c r="I494" t="s">
        <v>79</v>
      </c>
    </row>
    <row r="495" spans="1:9" x14ac:dyDescent="0.35">
      <c r="A495" t="s">
        <v>26</v>
      </c>
      <c r="B495">
        <v>2040</v>
      </c>
      <c r="C495" t="s">
        <v>78</v>
      </c>
      <c r="D495" t="s">
        <v>46</v>
      </c>
      <c r="E495">
        <v>2.6059715635955299E-3</v>
      </c>
      <c r="F495">
        <v>2.6059715635955299E-3</v>
      </c>
      <c r="G495">
        <v>0</v>
      </c>
      <c r="H495">
        <v>0</v>
      </c>
      <c r="I495" t="s">
        <v>79</v>
      </c>
    </row>
    <row r="496" spans="1:9" x14ac:dyDescent="0.35">
      <c r="A496" t="s">
        <v>26</v>
      </c>
      <c r="B496">
        <v>2040</v>
      </c>
      <c r="C496" t="s">
        <v>78</v>
      </c>
      <c r="D496" t="s">
        <v>47</v>
      </c>
      <c r="E496" s="1">
        <v>7.7297336506829802E-6</v>
      </c>
      <c r="F496" s="1">
        <v>7.7297336506829802E-6</v>
      </c>
      <c r="G496">
        <v>0</v>
      </c>
      <c r="H496">
        <v>0</v>
      </c>
      <c r="I496" t="s">
        <v>79</v>
      </c>
    </row>
    <row r="497" spans="1:9" x14ac:dyDescent="0.35">
      <c r="A497" t="s">
        <v>26</v>
      </c>
      <c r="B497">
        <v>2040</v>
      </c>
      <c r="C497" t="s">
        <v>78</v>
      </c>
      <c r="D497" t="s">
        <v>48</v>
      </c>
      <c r="E497">
        <v>46.9725991274506</v>
      </c>
      <c r="F497">
        <v>46.9725991274506</v>
      </c>
      <c r="G497">
        <v>0</v>
      </c>
      <c r="H497">
        <v>0</v>
      </c>
      <c r="I497" t="s">
        <v>79</v>
      </c>
    </row>
    <row r="498" spans="1:9" x14ac:dyDescent="0.35">
      <c r="A498" t="s">
        <v>26</v>
      </c>
      <c r="B498">
        <v>2040</v>
      </c>
      <c r="C498" t="s">
        <v>78</v>
      </c>
      <c r="D498" t="s">
        <v>49</v>
      </c>
      <c r="E498">
        <v>2.66870278457677E-4</v>
      </c>
      <c r="F498">
        <v>2.66870278457677E-4</v>
      </c>
      <c r="G498">
        <v>0</v>
      </c>
      <c r="H498">
        <v>0</v>
      </c>
      <c r="I498" t="s">
        <v>79</v>
      </c>
    </row>
    <row r="499" spans="1:9" x14ac:dyDescent="0.35">
      <c r="A499" t="s">
        <v>26</v>
      </c>
      <c r="B499">
        <v>2040</v>
      </c>
      <c r="C499" t="s">
        <v>78</v>
      </c>
      <c r="D499" t="s">
        <v>50</v>
      </c>
      <c r="E499">
        <v>1.47174602923471E-3</v>
      </c>
      <c r="F499">
        <v>1.47174602923471E-3</v>
      </c>
      <c r="G499">
        <v>0</v>
      </c>
      <c r="H499">
        <v>0</v>
      </c>
      <c r="I499" t="s">
        <v>79</v>
      </c>
    </row>
    <row r="500" spans="1:9" x14ac:dyDescent="0.35">
      <c r="A500" t="s">
        <v>26</v>
      </c>
      <c r="B500">
        <v>2040</v>
      </c>
      <c r="C500" t="s">
        <v>78</v>
      </c>
      <c r="D500" t="s">
        <v>51</v>
      </c>
      <c r="E500">
        <v>2.2956813821091899E-2</v>
      </c>
      <c r="F500">
        <v>2.2956813821091899E-2</v>
      </c>
      <c r="G500">
        <v>0</v>
      </c>
      <c r="H500">
        <v>0</v>
      </c>
      <c r="I500" t="s">
        <v>79</v>
      </c>
    </row>
    <row r="501" spans="1:9" x14ac:dyDescent="0.35">
      <c r="A501" t="s">
        <v>26</v>
      </c>
      <c r="B501">
        <v>2040</v>
      </c>
      <c r="C501" t="s">
        <v>78</v>
      </c>
      <c r="D501" t="s">
        <v>52</v>
      </c>
      <c r="E501">
        <v>8.8727746564222899E-4</v>
      </c>
      <c r="F501">
        <v>8.8727746564222899E-4</v>
      </c>
      <c r="G501">
        <v>0</v>
      </c>
      <c r="H501">
        <v>0</v>
      </c>
      <c r="I501" t="s">
        <v>79</v>
      </c>
    </row>
    <row r="502" spans="1:9" x14ac:dyDescent="0.35">
      <c r="A502" t="s">
        <v>26</v>
      </c>
      <c r="B502">
        <v>2040</v>
      </c>
      <c r="C502" t="s">
        <v>78</v>
      </c>
      <c r="D502" t="s">
        <v>53</v>
      </c>
      <c r="E502">
        <v>5.1123019024989702E-3</v>
      </c>
      <c r="F502">
        <v>5.1123019024989702E-3</v>
      </c>
      <c r="G502">
        <v>0</v>
      </c>
      <c r="H502">
        <v>0</v>
      </c>
      <c r="I502" t="s">
        <v>79</v>
      </c>
    </row>
    <row r="503" spans="1:9" x14ac:dyDescent="0.35">
      <c r="A503" t="s">
        <v>26</v>
      </c>
      <c r="B503">
        <v>2040</v>
      </c>
      <c r="C503" t="s">
        <v>78</v>
      </c>
      <c r="D503" t="s">
        <v>54</v>
      </c>
      <c r="E503">
        <v>2.0030792567053402E-3</v>
      </c>
      <c r="F503">
        <v>2.0030792543539902E-3</v>
      </c>
      <c r="G503" s="1">
        <v>-2.3513469817049099E-12</v>
      </c>
      <c r="H503" s="1">
        <v>-1.1738661732099401E-7</v>
      </c>
      <c r="I503" t="s">
        <v>79</v>
      </c>
    </row>
    <row r="504" spans="1:9" x14ac:dyDescent="0.35">
      <c r="A504" t="s">
        <v>26</v>
      </c>
      <c r="B504">
        <v>2040</v>
      </c>
      <c r="C504" t="s">
        <v>78</v>
      </c>
      <c r="D504" t="s">
        <v>55</v>
      </c>
      <c r="E504">
        <v>1.83337086962143E-3</v>
      </c>
      <c r="F504">
        <v>1.8333700182113001E-3</v>
      </c>
      <c r="G504" s="1">
        <v>-8.5141012686265595E-10</v>
      </c>
      <c r="H504" s="1">
        <v>-4.6439601554182999E-5</v>
      </c>
      <c r="I504" t="s">
        <v>79</v>
      </c>
    </row>
    <row r="505" spans="1:9" x14ac:dyDescent="0.35">
      <c r="A505" t="s">
        <v>26</v>
      </c>
      <c r="B505">
        <v>2040</v>
      </c>
      <c r="C505" t="s">
        <v>78</v>
      </c>
      <c r="D505" t="s">
        <v>56</v>
      </c>
      <c r="E505" s="1">
        <v>1.65497458565069E-9</v>
      </c>
      <c r="F505" s="1">
        <v>1.65497458565069E-9</v>
      </c>
      <c r="G505">
        <v>0</v>
      </c>
      <c r="H505">
        <v>0</v>
      </c>
      <c r="I505" t="s">
        <v>79</v>
      </c>
    </row>
    <row r="506" spans="1:9" x14ac:dyDescent="0.35">
      <c r="A506" t="s">
        <v>20</v>
      </c>
      <c r="B506">
        <v>2025</v>
      </c>
      <c r="C506" t="s">
        <v>37</v>
      </c>
      <c r="D506" t="s">
        <v>38</v>
      </c>
      <c r="E506">
        <v>1.8420347206599501E-3</v>
      </c>
      <c r="F506">
        <v>1.8420347206599501E-3</v>
      </c>
      <c r="G506">
        <v>0</v>
      </c>
      <c r="H506">
        <v>0</v>
      </c>
      <c r="I506" t="s">
        <v>39</v>
      </c>
    </row>
    <row r="507" spans="1:9" x14ac:dyDescent="0.35">
      <c r="A507" t="s">
        <v>20</v>
      </c>
      <c r="B507">
        <v>2025</v>
      </c>
      <c r="C507" t="s">
        <v>37</v>
      </c>
      <c r="D507" t="s">
        <v>40</v>
      </c>
      <c r="E507">
        <v>7.7109638501860497E-4</v>
      </c>
      <c r="F507">
        <v>7.7109638501860497E-4</v>
      </c>
      <c r="G507">
        <v>0</v>
      </c>
      <c r="H507">
        <v>0</v>
      </c>
      <c r="I507" t="s">
        <v>39</v>
      </c>
    </row>
    <row r="508" spans="1:9" x14ac:dyDescent="0.35">
      <c r="A508" t="s">
        <v>20</v>
      </c>
      <c r="B508">
        <v>2025</v>
      </c>
      <c r="C508" t="s">
        <v>37</v>
      </c>
      <c r="D508" t="s">
        <v>41</v>
      </c>
      <c r="E508">
        <v>0.613649939122624</v>
      </c>
      <c r="F508">
        <v>0.613649939122624</v>
      </c>
      <c r="G508">
        <v>0</v>
      </c>
      <c r="H508">
        <v>0</v>
      </c>
      <c r="I508" t="s">
        <v>39</v>
      </c>
    </row>
    <row r="509" spans="1:9" x14ac:dyDescent="0.35">
      <c r="A509" t="s">
        <v>20</v>
      </c>
      <c r="B509">
        <v>2025</v>
      </c>
      <c r="C509" t="s">
        <v>37</v>
      </c>
      <c r="D509" t="s">
        <v>42</v>
      </c>
      <c r="E509">
        <v>12.2088476392045</v>
      </c>
      <c r="F509">
        <v>12.2088476392045</v>
      </c>
      <c r="G509">
        <v>0</v>
      </c>
      <c r="H509">
        <v>0</v>
      </c>
      <c r="I509" t="s">
        <v>39</v>
      </c>
    </row>
    <row r="510" spans="1:9" x14ac:dyDescent="0.35">
      <c r="A510" t="s">
        <v>20</v>
      </c>
      <c r="B510">
        <v>2025</v>
      </c>
      <c r="C510" t="s">
        <v>37</v>
      </c>
      <c r="D510" t="s">
        <v>43</v>
      </c>
      <c r="E510">
        <v>7.3252225819110299E-3</v>
      </c>
      <c r="F510">
        <v>7.3252225819110299E-3</v>
      </c>
      <c r="G510">
        <v>0</v>
      </c>
      <c r="H510">
        <v>0</v>
      </c>
      <c r="I510" t="s">
        <v>39</v>
      </c>
    </row>
    <row r="511" spans="1:9" x14ac:dyDescent="0.35">
      <c r="A511" t="s">
        <v>20</v>
      </c>
      <c r="B511">
        <v>2025</v>
      </c>
      <c r="C511" t="s">
        <v>37</v>
      </c>
      <c r="D511" t="s">
        <v>136</v>
      </c>
      <c r="E511">
        <v>8.8659130289732797</v>
      </c>
      <c r="F511">
        <v>8.8659130289732797</v>
      </c>
      <c r="G511">
        <v>0</v>
      </c>
      <c r="H511">
        <v>0</v>
      </c>
      <c r="I511" t="s">
        <v>39</v>
      </c>
    </row>
    <row r="512" spans="1:9" x14ac:dyDescent="0.35">
      <c r="A512" t="s">
        <v>20</v>
      </c>
      <c r="B512">
        <v>2025</v>
      </c>
      <c r="C512" t="s">
        <v>37</v>
      </c>
      <c r="D512" t="s">
        <v>45</v>
      </c>
      <c r="E512">
        <v>1.4799295409929401</v>
      </c>
      <c r="F512">
        <v>1.4799295409929401</v>
      </c>
      <c r="G512">
        <v>0</v>
      </c>
      <c r="H512">
        <v>0</v>
      </c>
      <c r="I512" t="s">
        <v>39</v>
      </c>
    </row>
    <row r="513" spans="1:9" x14ac:dyDescent="0.35">
      <c r="A513" t="s">
        <v>20</v>
      </c>
      <c r="B513">
        <v>2025</v>
      </c>
      <c r="C513" t="s">
        <v>37</v>
      </c>
      <c r="D513" t="s">
        <v>46</v>
      </c>
      <c r="E513">
        <v>0.15447079739584901</v>
      </c>
      <c r="F513">
        <v>0.15447079739584901</v>
      </c>
      <c r="G513">
        <v>0</v>
      </c>
      <c r="H513">
        <v>0</v>
      </c>
      <c r="I513" t="s">
        <v>39</v>
      </c>
    </row>
    <row r="514" spans="1:9" x14ac:dyDescent="0.35">
      <c r="A514" t="s">
        <v>20</v>
      </c>
      <c r="B514">
        <v>2025</v>
      </c>
      <c r="C514" t="s">
        <v>37</v>
      </c>
      <c r="D514" t="s">
        <v>47</v>
      </c>
      <c r="E514">
        <v>5.6568675916511598E-3</v>
      </c>
      <c r="F514">
        <v>5.6568675916511598E-3</v>
      </c>
      <c r="G514">
        <v>0</v>
      </c>
      <c r="H514">
        <v>0</v>
      </c>
      <c r="I514" t="s">
        <v>39</v>
      </c>
    </row>
    <row r="515" spans="1:9" x14ac:dyDescent="0.35">
      <c r="A515" t="s">
        <v>20</v>
      </c>
      <c r="B515">
        <v>2025</v>
      </c>
      <c r="C515" t="s">
        <v>37</v>
      </c>
      <c r="D515" t="s">
        <v>48</v>
      </c>
      <c r="E515">
        <v>57.867028582863597</v>
      </c>
      <c r="F515">
        <v>57.867028582863597</v>
      </c>
      <c r="G515">
        <v>0</v>
      </c>
      <c r="H515">
        <v>0</v>
      </c>
      <c r="I515" t="s">
        <v>39</v>
      </c>
    </row>
    <row r="516" spans="1:9" x14ac:dyDescent="0.35">
      <c r="A516" t="s">
        <v>20</v>
      </c>
      <c r="B516">
        <v>2025</v>
      </c>
      <c r="C516" t="s">
        <v>37</v>
      </c>
      <c r="D516" t="s">
        <v>49</v>
      </c>
      <c r="E516">
        <v>7.3187218325401897</v>
      </c>
      <c r="F516">
        <v>7.3187218325401897</v>
      </c>
      <c r="G516">
        <v>0</v>
      </c>
      <c r="H516">
        <v>0</v>
      </c>
      <c r="I516" t="s">
        <v>39</v>
      </c>
    </row>
    <row r="517" spans="1:9" x14ac:dyDescent="0.35">
      <c r="A517" t="s">
        <v>20</v>
      </c>
      <c r="B517">
        <v>2025</v>
      </c>
      <c r="C517" t="s">
        <v>37</v>
      </c>
      <c r="D517" t="s">
        <v>50</v>
      </c>
      <c r="E517">
        <v>0.27028450917550101</v>
      </c>
      <c r="F517">
        <v>0.27028450917550101</v>
      </c>
      <c r="G517">
        <v>0</v>
      </c>
      <c r="H517">
        <v>0</v>
      </c>
      <c r="I517" t="s">
        <v>39</v>
      </c>
    </row>
    <row r="518" spans="1:9" x14ac:dyDescent="0.35">
      <c r="A518" t="s">
        <v>20</v>
      </c>
      <c r="B518">
        <v>2025</v>
      </c>
      <c r="C518" t="s">
        <v>37</v>
      </c>
      <c r="D518" t="s">
        <v>51</v>
      </c>
      <c r="E518">
        <v>0.19622979943049301</v>
      </c>
      <c r="F518">
        <v>0.19622979943049301</v>
      </c>
      <c r="G518">
        <v>0</v>
      </c>
      <c r="H518">
        <v>0</v>
      </c>
      <c r="I518" t="s">
        <v>39</v>
      </c>
    </row>
    <row r="519" spans="1:9" x14ac:dyDescent="0.35">
      <c r="A519" t="s">
        <v>20</v>
      </c>
      <c r="B519">
        <v>2025</v>
      </c>
      <c r="C519" t="s">
        <v>37</v>
      </c>
      <c r="D519" t="s">
        <v>52</v>
      </c>
      <c r="E519">
        <v>1.446300159905</v>
      </c>
      <c r="F519">
        <v>1.446300159905</v>
      </c>
      <c r="G519">
        <v>0</v>
      </c>
      <c r="H519">
        <v>0</v>
      </c>
      <c r="I519" t="s">
        <v>39</v>
      </c>
    </row>
    <row r="520" spans="1:9" x14ac:dyDescent="0.35">
      <c r="A520" t="s">
        <v>20</v>
      </c>
      <c r="B520">
        <v>2025</v>
      </c>
      <c r="C520" t="s">
        <v>37</v>
      </c>
      <c r="D520" t="s">
        <v>53</v>
      </c>
      <c r="E520">
        <v>2.8684018342642701</v>
      </c>
      <c r="F520">
        <v>2.8684018342642701</v>
      </c>
      <c r="G520">
        <v>0</v>
      </c>
      <c r="H520">
        <v>0</v>
      </c>
      <c r="I520" t="s">
        <v>39</v>
      </c>
    </row>
    <row r="521" spans="1:9" x14ac:dyDescent="0.35">
      <c r="A521" t="s">
        <v>20</v>
      </c>
      <c r="B521">
        <v>2025</v>
      </c>
      <c r="C521" t="s">
        <v>37</v>
      </c>
      <c r="D521" t="s">
        <v>54</v>
      </c>
      <c r="E521">
        <v>1.56807568612008</v>
      </c>
      <c r="F521">
        <v>1.56807568612008</v>
      </c>
      <c r="G521">
        <v>0</v>
      </c>
      <c r="H521">
        <v>0</v>
      </c>
      <c r="I521" t="s">
        <v>39</v>
      </c>
    </row>
    <row r="522" spans="1:9" x14ac:dyDescent="0.35">
      <c r="A522" t="s">
        <v>20</v>
      </c>
      <c r="B522">
        <v>2025</v>
      </c>
      <c r="C522" t="s">
        <v>37</v>
      </c>
      <c r="D522" t="s">
        <v>55</v>
      </c>
      <c r="E522">
        <v>1.48689189912742</v>
      </c>
      <c r="F522">
        <v>1.48689189912742</v>
      </c>
      <c r="G522">
        <v>0</v>
      </c>
      <c r="H522">
        <v>0</v>
      </c>
      <c r="I522" t="s">
        <v>39</v>
      </c>
    </row>
    <row r="523" spans="1:9" x14ac:dyDescent="0.35">
      <c r="A523" t="s">
        <v>20</v>
      </c>
      <c r="B523">
        <v>2025</v>
      </c>
      <c r="C523" t="s">
        <v>37</v>
      </c>
      <c r="D523" t="s">
        <v>56</v>
      </c>
      <c r="E523" s="1">
        <v>5.9067868073521896E-7</v>
      </c>
      <c r="F523" s="1">
        <v>5.9067868073521896E-7</v>
      </c>
      <c r="G523">
        <v>0</v>
      </c>
      <c r="H523">
        <v>0</v>
      </c>
      <c r="I523" t="s">
        <v>39</v>
      </c>
    </row>
    <row r="524" spans="1:9" x14ac:dyDescent="0.35">
      <c r="A524" t="s">
        <v>22</v>
      </c>
      <c r="B524">
        <v>2030</v>
      </c>
      <c r="C524" t="s">
        <v>37</v>
      </c>
      <c r="D524" t="s">
        <v>38</v>
      </c>
      <c r="E524">
        <v>2.49766190522515E-3</v>
      </c>
      <c r="F524">
        <v>2.49766190522515E-3</v>
      </c>
      <c r="G524">
        <v>0</v>
      </c>
      <c r="H524">
        <v>0</v>
      </c>
      <c r="I524" t="s">
        <v>39</v>
      </c>
    </row>
    <row r="525" spans="1:9" x14ac:dyDescent="0.35">
      <c r="A525" t="s">
        <v>22</v>
      </c>
      <c r="B525">
        <v>2030</v>
      </c>
      <c r="C525" t="s">
        <v>37</v>
      </c>
      <c r="D525" t="s">
        <v>40</v>
      </c>
      <c r="E525">
        <v>8.0172569787733902E-4</v>
      </c>
      <c r="F525">
        <v>8.0172569787733902E-4</v>
      </c>
      <c r="G525">
        <v>0</v>
      </c>
      <c r="H525">
        <v>0</v>
      </c>
      <c r="I525" t="s">
        <v>39</v>
      </c>
    </row>
    <row r="526" spans="1:9" x14ac:dyDescent="0.35">
      <c r="A526" t="s">
        <v>22</v>
      </c>
      <c r="B526">
        <v>2030</v>
      </c>
      <c r="C526" t="s">
        <v>37</v>
      </c>
      <c r="D526" t="s">
        <v>41</v>
      </c>
      <c r="E526">
        <v>0.61365820186231601</v>
      </c>
      <c r="F526">
        <v>0.61365820186231601</v>
      </c>
      <c r="G526">
        <v>0</v>
      </c>
      <c r="H526">
        <v>0</v>
      </c>
      <c r="I526" t="s">
        <v>39</v>
      </c>
    </row>
    <row r="527" spans="1:9" x14ac:dyDescent="0.35">
      <c r="A527" t="s">
        <v>22</v>
      </c>
      <c r="B527">
        <v>2030</v>
      </c>
      <c r="C527" t="s">
        <v>37</v>
      </c>
      <c r="D527" t="s">
        <v>42</v>
      </c>
      <c r="E527">
        <v>12.0417220365064</v>
      </c>
      <c r="F527">
        <v>12.0417220365064</v>
      </c>
      <c r="G527">
        <v>0</v>
      </c>
      <c r="H527">
        <v>0</v>
      </c>
      <c r="I527" t="s">
        <v>39</v>
      </c>
    </row>
    <row r="528" spans="1:9" x14ac:dyDescent="0.35">
      <c r="A528" t="s">
        <v>22</v>
      </c>
      <c r="B528">
        <v>2030</v>
      </c>
      <c r="C528" t="s">
        <v>37</v>
      </c>
      <c r="D528" t="s">
        <v>43</v>
      </c>
      <c r="E528">
        <v>7.2430780692666601E-3</v>
      </c>
      <c r="F528">
        <v>7.2430780692666601E-3</v>
      </c>
      <c r="G528">
        <v>0</v>
      </c>
      <c r="H528">
        <v>0</v>
      </c>
      <c r="I528" t="s">
        <v>39</v>
      </c>
    </row>
    <row r="529" spans="1:9" x14ac:dyDescent="0.35">
      <c r="A529" t="s">
        <v>22</v>
      </c>
      <c r="B529">
        <v>2030</v>
      </c>
      <c r="C529" t="s">
        <v>37</v>
      </c>
      <c r="D529" t="s">
        <v>136</v>
      </c>
      <c r="E529">
        <v>8.9951843471226507</v>
      </c>
      <c r="F529">
        <v>8.9951843471226507</v>
      </c>
      <c r="G529">
        <v>0</v>
      </c>
      <c r="H529">
        <v>0</v>
      </c>
      <c r="I529" t="s">
        <v>39</v>
      </c>
    </row>
    <row r="530" spans="1:9" x14ac:dyDescent="0.35">
      <c r="A530" t="s">
        <v>22</v>
      </c>
      <c r="B530">
        <v>2030</v>
      </c>
      <c r="C530" t="s">
        <v>37</v>
      </c>
      <c r="D530" t="s">
        <v>45</v>
      </c>
      <c r="E530">
        <v>1.4783871169134899</v>
      </c>
      <c r="F530">
        <v>1.4783871169134899</v>
      </c>
      <c r="G530">
        <v>0</v>
      </c>
      <c r="H530">
        <v>0</v>
      </c>
      <c r="I530" t="s">
        <v>39</v>
      </c>
    </row>
    <row r="531" spans="1:9" x14ac:dyDescent="0.35">
      <c r="A531" t="s">
        <v>22</v>
      </c>
      <c r="B531">
        <v>2030</v>
      </c>
      <c r="C531" t="s">
        <v>37</v>
      </c>
      <c r="D531" t="s">
        <v>46</v>
      </c>
      <c r="E531">
        <v>0.18637461660006099</v>
      </c>
      <c r="F531">
        <v>0.18637461660006099</v>
      </c>
      <c r="G531">
        <v>0</v>
      </c>
      <c r="H531">
        <v>0</v>
      </c>
      <c r="I531" t="s">
        <v>39</v>
      </c>
    </row>
    <row r="532" spans="1:9" x14ac:dyDescent="0.35">
      <c r="A532" t="s">
        <v>22</v>
      </c>
      <c r="B532">
        <v>2030</v>
      </c>
      <c r="C532" t="s">
        <v>37</v>
      </c>
      <c r="D532" t="s">
        <v>47</v>
      </c>
      <c r="E532">
        <v>5.4436322214220104E-3</v>
      </c>
      <c r="F532">
        <v>5.4436322214220104E-3</v>
      </c>
      <c r="G532">
        <v>0</v>
      </c>
      <c r="H532">
        <v>0</v>
      </c>
      <c r="I532" t="s">
        <v>39</v>
      </c>
    </row>
    <row r="533" spans="1:9" x14ac:dyDescent="0.35">
      <c r="A533" t="s">
        <v>22</v>
      </c>
      <c r="B533">
        <v>2030</v>
      </c>
      <c r="C533" t="s">
        <v>37</v>
      </c>
      <c r="D533" t="s">
        <v>48</v>
      </c>
      <c r="E533">
        <v>57.874074528115202</v>
      </c>
      <c r="F533">
        <v>57.874074528115202</v>
      </c>
      <c r="G533">
        <v>0</v>
      </c>
      <c r="H533">
        <v>0</v>
      </c>
      <c r="I533" t="s">
        <v>39</v>
      </c>
    </row>
    <row r="534" spans="1:9" x14ac:dyDescent="0.35">
      <c r="A534" t="s">
        <v>22</v>
      </c>
      <c r="B534">
        <v>2030</v>
      </c>
      <c r="C534" t="s">
        <v>37</v>
      </c>
      <c r="D534" t="s">
        <v>49</v>
      </c>
      <c r="E534">
        <v>7.3150973416434297</v>
      </c>
      <c r="F534">
        <v>7.3150973416434297</v>
      </c>
      <c r="G534">
        <v>0</v>
      </c>
      <c r="H534">
        <v>0</v>
      </c>
      <c r="I534" t="s">
        <v>39</v>
      </c>
    </row>
    <row r="535" spans="1:9" x14ac:dyDescent="0.35">
      <c r="A535" t="s">
        <v>22</v>
      </c>
      <c r="B535">
        <v>2030</v>
      </c>
      <c r="C535" t="s">
        <v>37</v>
      </c>
      <c r="D535" t="s">
        <v>50</v>
      </c>
      <c r="E535">
        <v>0.272165443793774</v>
      </c>
      <c r="F535">
        <v>0.272165443793774</v>
      </c>
      <c r="G535">
        <v>0</v>
      </c>
      <c r="H535">
        <v>0</v>
      </c>
      <c r="I535" t="s">
        <v>39</v>
      </c>
    </row>
    <row r="536" spans="1:9" x14ac:dyDescent="0.35">
      <c r="A536" t="s">
        <v>22</v>
      </c>
      <c r="B536">
        <v>2030</v>
      </c>
      <c r="C536" t="s">
        <v>37</v>
      </c>
      <c r="D536" t="s">
        <v>51</v>
      </c>
      <c r="E536">
        <v>0.194402048006661</v>
      </c>
      <c r="F536">
        <v>0.194402048006661</v>
      </c>
      <c r="G536">
        <v>0</v>
      </c>
      <c r="H536">
        <v>0</v>
      </c>
      <c r="I536" t="s">
        <v>39</v>
      </c>
    </row>
    <row r="537" spans="1:9" x14ac:dyDescent="0.35">
      <c r="A537" t="s">
        <v>22</v>
      </c>
      <c r="B537">
        <v>2030</v>
      </c>
      <c r="C537" t="s">
        <v>37</v>
      </c>
      <c r="D537" t="s">
        <v>52</v>
      </c>
      <c r="E537">
        <v>1.1987384252348301</v>
      </c>
      <c r="F537">
        <v>1.1987384252348301</v>
      </c>
      <c r="G537">
        <v>0</v>
      </c>
      <c r="H537">
        <v>0</v>
      </c>
      <c r="I537" t="s">
        <v>39</v>
      </c>
    </row>
    <row r="538" spans="1:9" x14ac:dyDescent="0.35">
      <c r="A538" t="s">
        <v>22</v>
      </c>
      <c r="B538">
        <v>2030</v>
      </c>
      <c r="C538" t="s">
        <v>37</v>
      </c>
      <c r="D538" t="s">
        <v>53</v>
      </c>
      <c r="E538">
        <v>3.0282614638189398</v>
      </c>
      <c r="F538">
        <v>3.0282614638189398</v>
      </c>
      <c r="G538">
        <v>0</v>
      </c>
      <c r="H538">
        <v>0</v>
      </c>
      <c r="I538" t="s">
        <v>39</v>
      </c>
    </row>
    <row r="539" spans="1:9" x14ac:dyDescent="0.35">
      <c r="A539" t="s">
        <v>22</v>
      </c>
      <c r="B539">
        <v>2030</v>
      </c>
      <c r="C539" t="s">
        <v>37</v>
      </c>
      <c r="D539" t="s">
        <v>54</v>
      </c>
      <c r="E539">
        <v>1.56648099325371</v>
      </c>
      <c r="F539">
        <v>1.56648099325371</v>
      </c>
      <c r="G539">
        <v>0</v>
      </c>
      <c r="H539">
        <v>0</v>
      </c>
      <c r="I539" t="s">
        <v>39</v>
      </c>
    </row>
    <row r="540" spans="1:9" x14ac:dyDescent="0.35">
      <c r="A540" t="s">
        <v>22</v>
      </c>
      <c r="B540">
        <v>2030</v>
      </c>
      <c r="C540" t="s">
        <v>37</v>
      </c>
      <c r="D540" t="s">
        <v>55</v>
      </c>
      <c r="E540">
        <v>1.4848478419020199</v>
      </c>
      <c r="F540">
        <v>1.4848478419020199</v>
      </c>
      <c r="G540">
        <v>0</v>
      </c>
      <c r="H540">
        <v>0</v>
      </c>
      <c r="I540" t="s">
        <v>39</v>
      </c>
    </row>
    <row r="541" spans="1:9" x14ac:dyDescent="0.35">
      <c r="A541" t="s">
        <v>22</v>
      </c>
      <c r="B541">
        <v>2030</v>
      </c>
      <c r="C541" t="s">
        <v>37</v>
      </c>
      <c r="D541" t="s">
        <v>56</v>
      </c>
      <c r="E541" s="1">
        <v>6.2896445324673005E-7</v>
      </c>
      <c r="F541" s="1">
        <v>6.2896445324673005E-7</v>
      </c>
      <c r="G541">
        <v>0</v>
      </c>
      <c r="H541">
        <v>0</v>
      </c>
      <c r="I541" t="s">
        <v>39</v>
      </c>
    </row>
    <row r="542" spans="1:9" x14ac:dyDescent="0.35">
      <c r="A542" t="s">
        <v>24</v>
      </c>
      <c r="B542">
        <v>2035</v>
      </c>
      <c r="C542" t="s">
        <v>37</v>
      </c>
      <c r="D542" t="s">
        <v>38</v>
      </c>
      <c r="E542">
        <v>3.03500074043866E-3</v>
      </c>
      <c r="F542">
        <v>3.03500074043866E-3</v>
      </c>
      <c r="G542">
        <v>0</v>
      </c>
      <c r="H542">
        <v>0</v>
      </c>
      <c r="I542" t="s">
        <v>39</v>
      </c>
    </row>
    <row r="543" spans="1:9" x14ac:dyDescent="0.35">
      <c r="A543" t="s">
        <v>24</v>
      </c>
      <c r="B543">
        <v>2035</v>
      </c>
      <c r="C543" t="s">
        <v>37</v>
      </c>
      <c r="D543" t="s">
        <v>40</v>
      </c>
      <c r="E543">
        <v>8.5184845821447395E-4</v>
      </c>
      <c r="F543">
        <v>8.5184845821447395E-4</v>
      </c>
      <c r="G543">
        <v>0</v>
      </c>
      <c r="H543">
        <v>0</v>
      </c>
      <c r="I543" t="s">
        <v>39</v>
      </c>
    </row>
    <row r="544" spans="1:9" x14ac:dyDescent="0.35">
      <c r="A544" t="s">
        <v>24</v>
      </c>
      <c r="B544">
        <v>2035</v>
      </c>
      <c r="C544" t="s">
        <v>37</v>
      </c>
      <c r="D544" t="s">
        <v>41</v>
      </c>
      <c r="E544">
        <v>0.61376506621579796</v>
      </c>
      <c r="F544">
        <v>0.61376506621579796</v>
      </c>
      <c r="G544">
        <v>0</v>
      </c>
      <c r="H544">
        <v>0</v>
      </c>
      <c r="I544" t="s">
        <v>39</v>
      </c>
    </row>
    <row r="545" spans="1:9" x14ac:dyDescent="0.35">
      <c r="A545" t="s">
        <v>24</v>
      </c>
      <c r="B545">
        <v>2035</v>
      </c>
      <c r="C545" t="s">
        <v>37</v>
      </c>
      <c r="D545" t="s">
        <v>42</v>
      </c>
      <c r="E545">
        <v>11.7915561544472</v>
      </c>
      <c r="F545">
        <v>11.7915561544472</v>
      </c>
      <c r="G545">
        <v>0</v>
      </c>
      <c r="H545">
        <v>0</v>
      </c>
      <c r="I545" t="s">
        <v>39</v>
      </c>
    </row>
    <row r="546" spans="1:9" x14ac:dyDescent="0.35">
      <c r="A546" t="s">
        <v>24</v>
      </c>
      <c r="B546">
        <v>2035</v>
      </c>
      <c r="C546" t="s">
        <v>37</v>
      </c>
      <c r="D546" t="s">
        <v>43</v>
      </c>
      <c r="E546">
        <v>7.1000914945701004E-3</v>
      </c>
      <c r="F546">
        <v>7.1000914945701004E-3</v>
      </c>
      <c r="G546">
        <v>0</v>
      </c>
      <c r="H546">
        <v>0</v>
      </c>
      <c r="I546" t="s">
        <v>39</v>
      </c>
    </row>
    <row r="547" spans="1:9" x14ac:dyDescent="0.35">
      <c r="A547" t="s">
        <v>24</v>
      </c>
      <c r="B547">
        <v>2035</v>
      </c>
      <c r="C547" t="s">
        <v>37</v>
      </c>
      <c r="D547" t="s">
        <v>136</v>
      </c>
      <c r="E547">
        <v>9.1859256722471105</v>
      </c>
      <c r="F547">
        <v>9.1859256722471105</v>
      </c>
      <c r="G547">
        <v>0</v>
      </c>
      <c r="H547">
        <v>0</v>
      </c>
      <c r="I547" t="s">
        <v>39</v>
      </c>
    </row>
    <row r="548" spans="1:9" x14ac:dyDescent="0.35">
      <c r="A548" t="s">
        <v>24</v>
      </c>
      <c r="B548">
        <v>2035</v>
      </c>
      <c r="C548" t="s">
        <v>37</v>
      </c>
      <c r="D548" t="s">
        <v>45</v>
      </c>
      <c r="E548">
        <v>1.47627055534739</v>
      </c>
      <c r="F548">
        <v>1.47627055534739</v>
      </c>
      <c r="G548">
        <v>0</v>
      </c>
      <c r="H548">
        <v>0</v>
      </c>
      <c r="I548" t="s">
        <v>39</v>
      </c>
    </row>
    <row r="549" spans="1:9" x14ac:dyDescent="0.35">
      <c r="A549" t="s">
        <v>24</v>
      </c>
      <c r="B549">
        <v>2035</v>
      </c>
      <c r="C549" t="s">
        <v>37</v>
      </c>
      <c r="D549" t="s">
        <v>46</v>
      </c>
      <c r="E549">
        <v>0.216970433000441</v>
      </c>
      <c r="F549">
        <v>0.216970433000441</v>
      </c>
      <c r="G549">
        <v>0</v>
      </c>
      <c r="H549">
        <v>0</v>
      </c>
      <c r="I549" t="s">
        <v>39</v>
      </c>
    </row>
    <row r="550" spans="1:9" x14ac:dyDescent="0.35">
      <c r="A550" t="s">
        <v>24</v>
      </c>
      <c r="B550">
        <v>2035</v>
      </c>
      <c r="C550" t="s">
        <v>37</v>
      </c>
      <c r="D550" t="s">
        <v>47</v>
      </c>
      <c r="E550">
        <v>5.1308468160832102E-3</v>
      </c>
      <c r="F550">
        <v>5.1308468160832102E-3</v>
      </c>
      <c r="G550">
        <v>0</v>
      </c>
      <c r="H550">
        <v>0</v>
      </c>
      <c r="I550" t="s">
        <v>39</v>
      </c>
    </row>
    <row r="551" spans="1:9" x14ac:dyDescent="0.35">
      <c r="A551" t="s">
        <v>24</v>
      </c>
      <c r="B551">
        <v>2035</v>
      </c>
      <c r="C551" t="s">
        <v>37</v>
      </c>
      <c r="D551" t="s">
        <v>48</v>
      </c>
      <c r="E551">
        <v>57.882825213599098</v>
      </c>
      <c r="F551">
        <v>57.882825213599098</v>
      </c>
      <c r="G551">
        <v>0</v>
      </c>
      <c r="H551">
        <v>0</v>
      </c>
      <c r="I551" t="s">
        <v>39</v>
      </c>
    </row>
    <row r="552" spans="1:9" x14ac:dyDescent="0.35">
      <c r="A552" t="s">
        <v>24</v>
      </c>
      <c r="B552">
        <v>2035</v>
      </c>
      <c r="C552" t="s">
        <v>37</v>
      </c>
      <c r="D552" t="s">
        <v>49</v>
      </c>
      <c r="E552">
        <v>7.3100927286942499</v>
      </c>
      <c r="F552">
        <v>7.3100927286942499</v>
      </c>
      <c r="G552">
        <v>0</v>
      </c>
      <c r="H552">
        <v>0</v>
      </c>
      <c r="I552" t="s">
        <v>39</v>
      </c>
    </row>
    <row r="553" spans="1:9" x14ac:dyDescent="0.35">
      <c r="A553" t="s">
        <v>24</v>
      </c>
      <c r="B553">
        <v>2035</v>
      </c>
      <c r="C553" t="s">
        <v>37</v>
      </c>
      <c r="D553" t="s">
        <v>50</v>
      </c>
      <c r="E553">
        <v>0.27378832227622002</v>
      </c>
      <c r="F553">
        <v>0.27378832227622002</v>
      </c>
      <c r="G553">
        <v>0</v>
      </c>
      <c r="H553">
        <v>0</v>
      </c>
      <c r="I553" t="s">
        <v>39</v>
      </c>
    </row>
    <row r="554" spans="1:9" x14ac:dyDescent="0.35">
      <c r="A554" t="s">
        <v>24</v>
      </c>
      <c r="B554">
        <v>2035</v>
      </c>
      <c r="C554" t="s">
        <v>37</v>
      </c>
      <c r="D554" t="s">
        <v>51</v>
      </c>
      <c r="E554">
        <v>0.192111054261173</v>
      </c>
      <c r="F554">
        <v>0.192111054261173</v>
      </c>
      <c r="G554">
        <v>0</v>
      </c>
      <c r="H554">
        <v>0</v>
      </c>
      <c r="I554" t="s">
        <v>39</v>
      </c>
    </row>
    <row r="555" spans="1:9" x14ac:dyDescent="0.35">
      <c r="A555" t="s">
        <v>24</v>
      </c>
      <c r="B555">
        <v>2035</v>
      </c>
      <c r="C555" t="s">
        <v>37</v>
      </c>
      <c r="D555" t="s">
        <v>52</v>
      </c>
      <c r="E555">
        <v>0.96476318891021595</v>
      </c>
      <c r="F555">
        <v>0.96476318891021595</v>
      </c>
      <c r="G555">
        <v>0</v>
      </c>
      <c r="H555">
        <v>0</v>
      </c>
      <c r="I555" t="s">
        <v>39</v>
      </c>
    </row>
    <row r="556" spans="1:9" x14ac:dyDescent="0.35">
      <c r="A556" t="s">
        <v>24</v>
      </c>
      <c r="B556">
        <v>2035</v>
      </c>
      <c r="C556" t="s">
        <v>37</v>
      </c>
      <c r="D556" t="s">
        <v>53</v>
      </c>
      <c r="E556">
        <v>3.2494780453146199</v>
      </c>
      <c r="F556">
        <v>3.2494780453146199</v>
      </c>
      <c r="G556">
        <v>0</v>
      </c>
      <c r="H556">
        <v>0</v>
      </c>
      <c r="I556" t="s">
        <v>39</v>
      </c>
    </row>
    <row r="557" spans="1:9" x14ac:dyDescent="0.35">
      <c r="A557" t="s">
        <v>24</v>
      </c>
      <c r="B557">
        <v>2035</v>
      </c>
      <c r="C557" t="s">
        <v>37</v>
      </c>
      <c r="D557" t="s">
        <v>54</v>
      </c>
      <c r="E557">
        <v>1.5625959191051599</v>
      </c>
      <c r="F557">
        <v>1.5625959191051599</v>
      </c>
      <c r="G557">
        <v>0</v>
      </c>
      <c r="H557">
        <v>0</v>
      </c>
      <c r="I557" t="s">
        <v>39</v>
      </c>
    </row>
    <row r="558" spans="1:9" x14ac:dyDescent="0.35">
      <c r="A558" t="s">
        <v>24</v>
      </c>
      <c r="B558">
        <v>2035</v>
      </c>
      <c r="C558" t="s">
        <v>37</v>
      </c>
      <c r="D558" t="s">
        <v>55</v>
      </c>
      <c r="E558">
        <v>1.4807666998050599</v>
      </c>
      <c r="F558">
        <v>1.4807666998050599</v>
      </c>
      <c r="G558">
        <v>0</v>
      </c>
      <c r="H558">
        <v>0</v>
      </c>
      <c r="I558" t="s">
        <v>39</v>
      </c>
    </row>
    <row r="559" spans="1:9" x14ac:dyDescent="0.35">
      <c r="A559" t="s">
        <v>24</v>
      </c>
      <c r="B559">
        <v>2035</v>
      </c>
      <c r="C559" t="s">
        <v>37</v>
      </c>
      <c r="D559" t="s">
        <v>56</v>
      </c>
      <c r="E559" s="1">
        <v>6.9005136366728402E-7</v>
      </c>
      <c r="F559" s="1">
        <v>6.9005136366728402E-7</v>
      </c>
      <c r="G559">
        <v>0</v>
      </c>
      <c r="H559">
        <v>0</v>
      </c>
      <c r="I559" t="s">
        <v>39</v>
      </c>
    </row>
    <row r="560" spans="1:9" x14ac:dyDescent="0.35">
      <c r="A560" t="s">
        <v>26</v>
      </c>
      <c r="B560">
        <v>2040</v>
      </c>
      <c r="C560" t="s">
        <v>37</v>
      </c>
      <c r="D560" t="s">
        <v>38</v>
      </c>
      <c r="E560">
        <v>2.8204244210942799E-3</v>
      </c>
      <c r="F560">
        <v>1.9452091350661599E-3</v>
      </c>
      <c r="G560">
        <v>-8.7521528602811898E-4</v>
      </c>
      <c r="H560">
        <v>-31.031332712987499</v>
      </c>
      <c r="I560" t="s">
        <v>39</v>
      </c>
    </row>
    <row r="561" spans="1:9" x14ac:dyDescent="0.35">
      <c r="A561" t="s">
        <v>26</v>
      </c>
      <c r="B561">
        <v>2040</v>
      </c>
      <c r="C561" t="s">
        <v>37</v>
      </c>
      <c r="D561" t="s">
        <v>40</v>
      </c>
      <c r="E561">
        <v>8.97562001115031E-4</v>
      </c>
      <c r="F561">
        <v>8.97562001115031E-4</v>
      </c>
      <c r="G561">
        <v>0</v>
      </c>
      <c r="H561">
        <v>0</v>
      </c>
      <c r="I561" t="s">
        <v>39</v>
      </c>
    </row>
    <row r="562" spans="1:9" x14ac:dyDescent="0.35">
      <c r="A562" t="s">
        <v>26</v>
      </c>
      <c r="B562">
        <v>2040</v>
      </c>
      <c r="C562" t="s">
        <v>37</v>
      </c>
      <c r="D562" t="s">
        <v>41</v>
      </c>
      <c r="E562">
        <v>0.61374803121507004</v>
      </c>
      <c r="F562">
        <v>4.2748264642816801E-2</v>
      </c>
      <c r="G562">
        <v>-0.57099976657225304</v>
      </c>
      <c r="H562">
        <v>-93.034883621836499</v>
      </c>
      <c r="I562" t="s">
        <v>39</v>
      </c>
    </row>
    <row r="563" spans="1:9" x14ac:dyDescent="0.35">
      <c r="A563" t="s">
        <v>26</v>
      </c>
      <c r="B563">
        <v>2040</v>
      </c>
      <c r="C563" t="s">
        <v>37</v>
      </c>
      <c r="D563" t="s">
        <v>42</v>
      </c>
      <c r="E563">
        <v>11.5304897586099</v>
      </c>
      <c r="F563">
        <v>10.1720588591026</v>
      </c>
      <c r="G563">
        <v>-1.35843089950728</v>
      </c>
      <c r="H563">
        <v>-11.7812072856049</v>
      </c>
      <c r="I563" t="s">
        <v>39</v>
      </c>
    </row>
    <row r="564" spans="1:9" x14ac:dyDescent="0.35">
      <c r="A564" t="s">
        <v>26</v>
      </c>
      <c r="B564">
        <v>2040</v>
      </c>
      <c r="C564" t="s">
        <v>37</v>
      </c>
      <c r="D564" t="s">
        <v>43</v>
      </c>
      <c r="E564">
        <v>6.7815987490155499E-3</v>
      </c>
      <c r="F564">
        <v>6.49817582730288E-3</v>
      </c>
      <c r="G564">
        <v>-2.83422921712669E-4</v>
      </c>
      <c r="H564">
        <v>-4.1792935884596796</v>
      </c>
      <c r="I564" t="s">
        <v>39</v>
      </c>
    </row>
    <row r="565" spans="1:9" x14ac:dyDescent="0.35">
      <c r="A565" t="s">
        <v>26</v>
      </c>
      <c r="B565">
        <v>2040</v>
      </c>
      <c r="C565" t="s">
        <v>37</v>
      </c>
      <c r="D565" t="s">
        <v>136</v>
      </c>
      <c r="E565">
        <v>9.3138156210055296</v>
      </c>
      <c r="F565">
        <v>9.2091555346244203</v>
      </c>
      <c r="G565">
        <v>-0.10466008638110701</v>
      </c>
      <c r="H565">
        <v>-1.12370794784756</v>
      </c>
      <c r="I565" t="s">
        <v>39</v>
      </c>
    </row>
    <row r="566" spans="1:9" x14ac:dyDescent="0.35">
      <c r="A566" t="s">
        <v>26</v>
      </c>
      <c r="B566">
        <v>2040</v>
      </c>
      <c r="C566" t="s">
        <v>37</v>
      </c>
      <c r="D566" t="s">
        <v>45</v>
      </c>
      <c r="E566">
        <v>1.47404497160548</v>
      </c>
      <c r="F566">
        <v>6.1231865443036902E-2</v>
      </c>
      <c r="G566">
        <v>-1.41281310616244</v>
      </c>
      <c r="H566">
        <v>-95.845997468018496</v>
      </c>
      <c r="I566" t="s">
        <v>39</v>
      </c>
    </row>
    <row r="567" spans="1:9" x14ac:dyDescent="0.35">
      <c r="A567" t="s">
        <v>26</v>
      </c>
      <c r="B567">
        <v>2040</v>
      </c>
      <c r="C567" t="s">
        <v>37</v>
      </c>
      <c r="D567" t="s">
        <v>46</v>
      </c>
      <c r="E567">
        <v>0.21767758334491699</v>
      </c>
      <c r="F567">
        <v>0.21767758334491699</v>
      </c>
      <c r="G567">
        <v>0</v>
      </c>
      <c r="H567">
        <v>0</v>
      </c>
      <c r="I567" t="s">
        <v>39</v>
      </c>
    </row>
    <row r="568" spans="1:9" x14ac:dyDescent="0.35">
      <c r="A568" t="s">
        <v>26</v>
      </c>
      <c r="B568">
        <v>2040</v>
      </c>
      <c r="C568" t="s">
        <v>37</v>
      </c>
      <c r="D568" t="s">
        <v>47</v>
      </c>
      <c r="E568">
        <v>4.7888099942794199E-3</v>
      </c>
      <c r="F568">
        <v>4.7888099942794199E-3</v>
      </c>
      <c r="G568">
        <v>0</v>
      </c>
      <c r="H568">
        <v>0</v>
      </c>
      <c r="I568" t="s">
        <v>39</v>
      </c>
    </row>
    <row r="569" spans="1:9" x14ac:dyDescent="0.35">
      <c r="A569" t="s">
        <v>26</v>
      </c>
      <c r="B569">
        <v>2040</v>
      </c>
      <c r="C569" t="s">
        <v>37</v>
      </c>
      <c r="D569" t="s">
        <v>48</v>
      </c>
      <c r="E569">
        <v>57.891911581317302</v>
      </c>
      <c r="F569">
        <v>57.891911581317302</v>
      </c>
      <c r="G569">
        <v>0</v>
      </c>
      <c r="H569">
        <v>0</v>
      </c>
      <c r="I569" t="s">
        <v>39</v>
      </c>
    </row>
    <row r="570" spans="1:9" x14ac:dyDescent="0.35">
      <c r="A570" t="s">
        <v>26</v>
      </c>
      <c r="B570">
        <v>2040</v>
      </c>
      <c r="C570" t="s">
        <v>37</v>
      </c>
      <c r="D570" t="s">
        <v>49</v>
      </c>
      <c r="E570">
        <v>7.3046945772347103</v>
      </c>
      <c r="F570">
        <v>0.26246171862092899</v>
      </c>
      <c r="G570">
        <v>-7.0422328586137803</v>
      </c>
      <c r="H570">
        <v>-96.406944659412602</v>
      </c>
      <c r="I570" t="s">
        <v>39</v>
      </c>
    </row>
    <row r="571" spans="1:9" x14ac:dyDescent="0.35">
      <c r="A571" t="s">
        <v>26</v>
      </c>
      <c r="B571">
        <v>2040</v>
      </c>
      <c r="C571" t="s">
        <v>37</v>
      </c>
      <c r="D571" t="s">
        <v>50</v>
      </c>
      <c r="E571">
        <v>0.27270529757702699</v>
      </c>
      <c r="F571">
        <v>0.27270529757702699</v>
      </c>
      <c r="G571">
        <v>0</v>
      </c>
      <c r="H571">
        <v>0</v>
      </c>
      <c r="I571" t="s">
        <v>39</v>
      </c>
    </row>
    <row r="572" spans="1:9" x14ac:dyDescent="0.35">
      <c r="A572" t="s">
        <v>26</v>
      </c>
      <c r="B572">
        <v>2040</v>
      </c>
      <c r="C572" t="s">
        <v>37</v>
      </c>
      <c r="D572" t="s">
        <v>51</v>
      </c>
      <c r="E572">
        <v>0.189867422411999</v>
      </c>
      <c r="F572">
        <v>0.189867422411999</v>
      </c>
      <c r="G572">
        <v>0</v>
      </c>
      <c r="H572">
        <v>0</v>
      </c>
      <c r="I572" t="s">
        <v>39</v>
      </c>
    </row>
    <row r="573" spans="1:9" x14ac:dyDescent="0.35">
      <c r="A573" t="s">
        <v>26</v>
      </c>
      <c r="B573">
        <v>2040</v>
      </c>
      <c r="C573" t="s">
        <v>37</v>
      </c>
      <c r="D573" t="s">
        <v>52</v>
      </c>
      <c r="E573">
        <v>0.79419568722447997</v>
      </c>
      <c r="F573">
        <v>0.79419568722447997</v>
      </c>
      <c r="G573">
        <v>0</v>
      </c>
      <c r="H573">
        <v>0</v>
      </c>
      <c r="I573" t="s">
        <v>39</v>
      </c>
    </row>
    <row r="574" spans="1:9" x14ac:dyDescent="0.35">
      <c r="A574" t="s">
        <v>26</v>
      </c>
      <c r="B574">
        <v>2040</v>
      </c>
      <c r="C574" t="s">
        <v>37</v>
      </c>
      <c r="D574" t="s">
        <v>53</v>
      </c>
      <c r="E574">
        <v>3.4420598503061601</v>
      </c>
      <c r="F574">
        <v>3.4420598503061601</v>
      </c>
      <c r="G574">
        <v>0</v>
      </c>
      <c r="H574">
        <v>0</v>
      </c>
      <c r="I574" t="s">
        <v>39</v>
      </c>
    </row>
    <row r="575" spans="1:9" x14ac:dyDescent="0.35">
      <c r="A575" t="s">
        <v>26</v>
      </c>
      <c r="B575">
        <v>2040</v>
      </c>
      <c r="C575" t="s">
        <v>37</v>
      </c>
      <c r="D575" t="s">
        <v>54</v>
      </c>
      <c r="E575">
        <v>1.55800842543301</v>
      </c>
      <c r="F575">
        <v>1.55770766878617</v>
      </c>
      <c r="G575">
        <v>-3.0075664684114901E-4</v>
      </c>
      <c r="H575">
        <v>-1.9303916585531902E-2</v>
      </c>
      <c r="I575" t="s">
        <v>39</v>
      </c>
    </row>
    <row r="576" spans="1:9" x14ac:dyDescent="0.35">
      <c r="A576" t="s">
        <v>26</v>
      </c>
      <c r="B576">
        <v>2040</v>
      </c>
      <c r="C576" t="s">
        <v>37</v>
      </c>
      <c r="D576" t="s">
        <v>55</v>
      </c>
      <c r="E576">
        <v>1.4762019925660099</v>
      </c>
      <c r="F576">
        <v>1.44412985546801</v>
      </c>
      <c r="G576">
        <v>-3.2072137098000102E-2</v>
      </c>
      <c r="H576">
        <v>-2.17261169267565</v>
      </c>
      <c r="I576" t="s">
        <v>39</v>
      </c>
    </row>
    <row r="577" spans="1:9" x14ac:dyDescent="0.35">
      <c r="A577" t="s">
        <v>26</v>
      </c>
      <c r="B577">
        <v>2040</v>
      </c>
      <c r="C577" t="s">
        <v>37</v>
      </c>
      <c r="D577" t="s">
        <v>56</v>
      </c>
      <c r="E577" s="1">
        <v>7.48387406709274E-7</v>
      </c>
      <c r="F577" s="1">
        <v>7.48387406709274E-7</v>
      </c>
      <c r="G577">
        <v>0</v>
      </c>
      <c r="H577">
        <v>0</v>
      </c>
      <c r="I577" t="s">
        <v>39</v>
      </c>
    </row>
    <row r="578" spans="1:9" x14ac:dyDescent="0.35">
      <c r="A578" t="s">
        <v>20</v>
      </c>
      <c r="B578">
        <v>2025</v>
      </c>
      <c r="C578" t="s">
        <v>125</v>
      </c>
      <c r="D578" t="s">
        <v>38</v>
      </c>
      <c r="E578">
        <v>5.5582762996905398E-4</v>
      </c>
      <c r="F578">
        <v>5.5582762996905398E-4</v>
      </c>
      <c r="G578">
        <v>0</v>
      </c>
      <c r="H578">
        <v>0</v>
      </c>
      <c r="I578" t="s">
        <v>126</v>
      </c>
    </row>
    <row r="579" spans="1:9" x14ac:dyDescent="0.35">
      <c r="A579" t="s">
        <v>20</v>
      </c>
      <c r="B579">
        <v>2025</v>
      </c>
      <c r="C579" t="s">
        <v>125</v>
      </c>
      <c r="D579" t="s">
        <v>40</v>
      </c>
      <c r="E579">
        <v>1.27346357311467E-2</v>
      </c>
      <c r="F579">
        <v>1.27346357311467E-2</v>
      </c>
      <c r="G579">
        <v>0</v>
      </c>
      <c r="H579">
        <v>0</v>
      </c>
      <c r="I579" t="s">
        <v>126</v>
      </c>
    </row>
    <row r="580" spans="1:9" x14ac:dyDescent="0.35">
      <c r="A580" t="s">
        <v>20</v>
      </c>
      <c r="B580">
        <v>2025</v>
      </c>
      <c r="C580" t="s">
        <v>125</v>
      </c>
      <c r="D580" t="s">
        <v>41</v>
      </c>
      <c r="E580">
        <v>0.16770681524030001</v>
      </c>
      <c r="F580">
        <v>0.16770681524030001</v>
      </c>
      <c r="G580">
        <v>0</v>
      </c>
      <c r="H580">
        <v>0</v>
      </c>
      <c r="I580" t="s">
        <v>126</v>
      </c>
    </row>
    <row r="581" spans="1:9" x14ac:dyDescent="0.35">
      <c r="A581" t="s">
        <v>20</v>
      </c>
      <c r="B581">
        <v>2025</v>
      </c>
      <c r="C581" t="s">
        <v>125</v>
      </c>
      <c r="D581" t="s">
        <v>42</v>
      </c>
      <c r="E581">
        <v>43.189406710225398</v>
      </c>
      <c r="F581">
        <v>43.189406710225398</v>
      </c>
      <c r="G581">
        <v>0</v>
      </c>
      <c r="H581">
        <v>0</v>
      </c>
      <c r="I581" t="s">
        <v>126</v>
      </c>
    </row>
    <row r="582" spans="1:9" x14ac:dyDescent="0.35">
      <c r="A582" t="s">
        <v>20</v>
      </c>
      <c r="B582">
        <v>2025</v>
      </c>
      <c r="C582" t="s">
        <v>125</v>
      </c>
      <c r="D582" t="s">
        <v>43</v>
      </c>
      <c r="E582">
        <v>5.4836055207974202E-2</v>
      </c>
      <c r="F582">
        <v>5.4836055207974202E-2</v>
      </c>
      <c r="G582">
        <v>0</v>
      </c>
      <c r="H582">
        <v>0</v>
      </c>
      <c r="I582" t="s">
        <v>126</v>
      </c>
    </row>
    <row r="583" spans="1:9" x14ac:dyDescent="0.35">
      <c r="A583" t="s">
        <v>20</v>
      </c>
      <c r="B583">
        <v>2025</v>
      </c>
      <c r="C583" t="s">
        <v>125</v>
      </c>
      <c r="D583" t="s">
        <v>136</v>
      </c>
      <c r="E583">
        <v>4.6606567206117804</v>
      </c>
      <c r="F583">
        <v>4.6606567206117804</v>
      </c>
      <c r="G583">
        <v>0</v>
      </c>
      <c r="H583">
        <v>0</v>
      </c>
      <c r="I583" t="s">
        <v>126</v>
      </c>
    </row>
    <row r="584" spans="1:9" x14ac:dyDescent="0.35">
      <c r="A584" t="s">
        <v>20</v>
      </c>
      <c r="B584">
        <v>2025</v>
      </c>
      <c r="C584" t="s">
        <v>125</v>
      </c>
      <c r="D584" t="s">
        <v>45</v>
      </c>
      <c r="E584">
        <v>5.2594714121802499E-2</v>
      </c>
      <c r="F584">
        <v>5.2594714121802499E-2</v>
      </c>
      <c r="G584">
        <v>0</v>
      </c>
      <c r="H584">
        <v>0</v>
      </c>
      <c r="I584" t="s">
        <v>126</v>
      </c>
    </row>
    <row r="585" spans="1:9" x14ac:dyDescent="0.35">
      <c r="A585" t="s">
        <v>20</v>
      </c>
      <c r="B585">
        <v>2025</v>
      </c>
      <c r="C585" t="s">
        <v>125</v>
      </c>
      <c r="D585" t="s">
        <v>46</v>
      </c>
      <c r="E585">
        <v>8.4091469361672305E-2</v>
      </c>
      <c r="F585">
        <v>8.4091469361672305E-2</v>
      </c>
      <c r="G585">
        <v>0</v>
      </c>
      <c r="H585">
        <v>0</v>
      </c>
      <c r="I585" t="s">
        <v>126</v>
      </c>
    </row>
    <row r="586" spans="1:9" x14ac:dyDescent="0.35">
      <c r="A586" t="s">
        <v>20</v>
      </c>
      <c r="B586">
        <v>2025</v>
      </c>
      <c r="C586" t="s">
        <v>125</v>
      </c>
      <c r="D586" t="s">
        <v>47</v>
      </c>
      <c r="E586">
        <v>9.8586296907050893E-3</v>
      </c>
      <c r="F586">
        <v>9.8586296907050893E-3</v>
      </c>
      <c r="G586">
        <v>0</v>
      </c>
      <c r="H586">
        <v>0</v>
      </c>
      <c r="I586" t="s">
        <v>126</v>
      </c>
    </row>
    <row r="587" spans="1:9" x14ac:dyDescent="0.35">
      <c r="A587" t="s">
        <v>20</v>
      </c>
      <c r="B587">
        <v>2025</v>
      </c>
      <c r="C587" t="s">
        <v>125</v>
      </c>
      <c r="D587" t="s">
        <v>48</v>
      </c>
      <c r="E587">
        <v>19.604813788718999</v>
      </c>
      <c r="F587">
        <v>19.604813788718999</v>
      </c>
      <c r="G587">
        <v>0</v>
      </c>
      <c r="H587">
        <v>0</v>
      </c>
      <c r="I587" t="s">
        <v>126</v>
      </c>
    </row>
    <row r="588" spans="1:9" x14ac:dyDescent="0.35">
      <c r="A588" t="s">
        <v>20</v>
      </c>
      <c r="B588">
        <v>2025</v>
      </c>
      <c r="C588" t="s">
        <v>125</v>
      </c>
      <c r="D588" t="s">
        <v>49</v>
      </c>
      <c r="E588">
        <v>0.190319454614332</v>
      </c>
      <c r="F588">
        <v>0.190319454614332</v>
      </c>
      <c r="G588">
        <v>0</v>
      </c>
      <c r="H588">
        <v>0</v>
      </c>
      <c r="I588" t="s">
        <v>126</v>
      </c>
    </row>
    <row r="589" spans="1:9" x14ac:dyDescent="0.35">
      <c r="A589" t="s">
        <v>20</v>
      </c>
      <c r="B589">
        <v>2025</v>
      </c>
      <c r="C589" t="s">
        <v>125</v>
      </c>
      <c r="D589" t="s">
        <v>50</v>
      </c>
      <c r="E589">
        <v>8.0764510484594501E-2</v>
      </c>
      <c r="F589">
        <v>8.0764510484594501E-2</v>
      </c>
      <c r="G589">
        <v>0</v>
      </c>
      <c r="H589">
        <v>0</v>
      </c>
      <c r="I589" t="s">
        <v>126</v>
      </c>
    </row>
    <row r="590" spans="1:9" x14ac:dyDescent="0.35">
      <c r="A590" t="s">
        <v>20</v>
      </c>
      <c r="B590">
        <v>2025</v>
      </c>
      <c r="C590" t="s">
        <v>125</v>
      </c>
      <c r="D590" t="s">
        <v>51</v>
      </c>
      <c r="E590">
        <v>0.32593521344492998</v>
      </c>
      <c r="F590">
        <v>0.32593521344492998</v>
      </c>
      <c r="G590">
        <v>0</v>
      </c>
      <c r="H590">
        <v>0</v>
      </c>
      <c r="I590" t="s">
        <v>126</v>
      </c>
    </row>
    <row r="591" spans="1:9" x14ac:dyDescent="0.35">
      <c r="A591" t="s">
        <v>20</v>
      </c>
      <c r="B591">
        <v>2025</v>
      </c>
      <c r="C591" t="s">
        <v>125</v>
      </c>
      <c r="D591" t="s">
        <v>52</v>
      </c>
      <c r="E591">
        <v>0.19835693519068101</v>
      </c>
      <c r="F591">
        <v>0.19835693519068101</v>
      </c>
      <c r="G591">
        <v>0</v>
      </c>
      <c r="H591">
        <v>0</v>
      </c>
      <c r="I591" t="s">
        <v>126</v>
      </c>
    </row>
    <row r="592" spans="1:9" x14ac:dyDescent="0.35">
      <c r="A592" t="s">
        <v>20</v>
      </c>
      <c r="B592">
        <v>2025</v>
      </c>
      <c r="C592" t="s">
        <v>125</v>
      </c>
      <c r="D592" t="s">
        <v>53</v>
      </c>
      <c r="E592">
        <v>1.45485051250224</v>
      </c>
      <c r="F592">
        <v>1.45485051250224</v>
      </c>
      <c r="G592">
        <v>0</v>
      </c>
      <c r="H592">
        <v>0</v>
      </c>
      <c r="I592" t="s">
        <v>126</v>
      </c>
    </row>
    <row r="593" spans="1:9" x14ac:dyDescent="0.35">
      <c r="A593" t="s">
        <v>20</v>
      </c>
      <c r="B593">
        <v>2025</v>
      </c>
      <c r="C593" t="s">
        <v>125</v>
      </c>
      <c r="D593" t="s">
        <v>54</v>
      </c>
      <c r="E593">
        <v>3.4545864912686999</v>
      </c>
      <c r="F593">
        <v>3.4545864912686999</v>
      </c>
      <c r="G593">
        <v>0</v>
      </c>
      <c r="H593">
        <v>0</v>
      </c>
      <c r="I593" t="s">
        <v>126</v>
      </c>
    </row>
    <row r="594" spans="1:9" x14ac:dyDescent="0.35">
      <c r="A594" t="s">
        <v>20</v>
      </c>
      <c r="B594">
        <v>2025</v>
      </c>
      <c r="C594" t="s">
        <v>125</v>
      </c>
      <c r="D594" t="s">
        <v>55</v>
      </c>
      <c r="E594">
        <v>2.9900800959131399</v>
      </c>
      <c r="F594">
        <v>2.9900800959131399</v>
      </c>
      <c r="G594">
        <v>0</v>
      </c>
      <c r="H594">
        <v>0</v>
      </c>
      <c r="I594" t="s">
        <v>126</v>
      </c>
    </row>
    <row r="595" spans="1:9" x14ac:dyDescent="0.35">
      <c r="A595" t="s">
        <v>20</v>
      </c>
      <c r="B595">
        <v>2025</v>
      </c>
      <c r="C595" t="s">
        <v>125</v>
      </c>
      <c r="D595" t="s">
        <v>56</v>
      </c>
      <c r="E595" s="1">
        <v>3.46795204802608E-7</v>
      </c>
      <c r="F595" s="1">
        <v>3.46795204802608E-7</v>
      </c>
      <c r="G595">
        <v>0</v>
      </c>
      <c r="H595">
        <v>0</v>
      </c>
      <c r="I595" t="s">
        <v>126</v>
      </c>
    </row>
    <row r="596" spans="1:9" x14ac:dyDescent="0.35">
      <c r="A596" t="s">
        <v>22</v>
      </c>
      <c r="B596">
        <v>2030</v>
      </c>
      <c r="C596" t="s">
        <v>125</v>
      </c>
      <c r="D596" t="s">
        <v>38</v>
      </c>
      <c r="E596">
        <v>1.13798643999027E-3</v>
      </c>
      <c r="F596">
        <v>1.13798643999027E-3</v>
      </c>
      <c r="G596">
        <v>0</v>
      </c>
      <c r="H596">
        <v>0</v>
      </c>
      <c r="I596" t="s">
        <v>126</v>
      </c>
    </row>
    <row r="597" spans="1:9" x14ac:dyDescent="0.35">
      <c r="A597" t="s">
        <v>22</v>
      </c>
      <c r="B597">
        <v>2030</v>
      </c>
      <c r="C597" t="s">
        <v>125</v>
      </c>
      <c r="D597" t="s">
        <v>40</v>
      </c>
      <c r="E597">
        <v>1.29313724397166E-2</v>
      </c>
      <c r="F597">
        <v>1.29313724397166E-2</v>
      </c>
      <c r="G597">
        <v>0</v>
      </c>
      <c r="H597">
        <v>0</v>
      </c>
      <c r="I597" t="s">
        <v>126</v>
      </c>
    </row>
    <row r="598" spans="1:9" x14ac:dyDescent="0.35">
      <c r="A598" t="s">
        <v>22</v>
      </c>
      <c r="B598">
        <v>2030</v>
      </c>
      <c r="C598" t="s">
        <v>125</v>
      </c>
      <c r="D598" t="s">
        <v>41</v>
      </c>
      <c r="E598">
        <v>0.166576636871031</v>
      </c>
      <c r="F598">
        <v>0.166576636871031</v>
      </c>
      <c r="G598">
        <v>0</v>
      </c>
      <c r="H598">
        <v>0</v>
      </c>
      <c r="I598" t="s">
        <v>126</v>
      </c>
    </row>
    <row r="599" spans="1:9" x14ac:dyDescent="0.35">
      <c r="A599" t="s">
        <v>22</v>
      </c>
      <c r="B599">
        <v>2030</v>
      </c>
      <c r="C599" t="s">
        <v>125</v>
      </c>
      <c r="D599" t="s">
        <v>42</v>
      </c>
      <c r="E599">
        <v>42.8749299458281</v>
      </c>
      <c r="F599">
        <v>42.8749299458281</v>
      </c>
      <c r="G599">
        <v>0</v>
      </c>
      <c r="H599">
        <v>0</v>
      </c>
      <c r="I599" t="s">
        <v>126</v>
      </c>
    </row>
    <row r="600" spans="1:9" x14ac:dyDescent="0.35">
      <c r="A600" t="s">
        <v>22</v>
      </c>
      <c r="B600">
        <v>2030</v>
      </c>
      <c r="C600" t="s">
        <v>125</v>
      </c>
      <c r="D600" t="s">
        <v>43</v>
      </c>
      <c r="E600">
        <v>5.4356459488174802E-2</v>
      </c>
      <c r="F600">
        <v>5.4356459488174802E-2</v>
      </c>
      <c r="G600">
        <v>0</v>
      </c>
      <c r="H600">
        <v>0</v>
      </c>
      <c r="I600" t="s">
        <v>126</v>
      </c>
    </row>
    <row r="601" spans="1:9" x14ac:dyDescent="0.35">
      <c r="A601" t="s">
        <v>22</v>
      </c>
      <c r="B601">
        <v>2030</v>
      </c>
      <c r="C601" t="s">
        <v>125</v>
      </c>
      <c r="D601" t="s">
        <v>136</v>
      </c>
      <c r="E601">
        <v>4.2022590101613497</v>
      </c>
      <c r="F601">
        <v>4.2022590101613497</v>
      </c>
      <c r="G601">
        <v>0</v>
      </c>
      <c r="H601">
        <v>0</v>
      </c>
      <c r="I601" t="s">
        <v>126</v>
      </c>
    </row>
    <row r="602" spans="1:9" x14ac:dyDescent="0.35">
      <c r="A602" t="s">
        <v>22</v>
      </c>
      <c r="B602">
        <v>2030</v>
      </c>
      <c r="C602" t="s">
        <v>125</v>
      </c>
      <c r="D602" t="s">
        <v>45</v>
      </c>
      <c r="E602">
        <v>5.0982071554517998E-2</v>
      </c>
      <c r="F602">
        <v>5.0982071554517998E-2</v>
      </c>
      <c r="G602">
        <v>0</v>
      </c>
      <c r="H602">
        <v>0</v>
      </c>
      <c r="I602" t="s">
        <v>126</v>
      </c>
    </row>
    <row r="603" spans="1:9" x14ac:dyDescent="0.35">
      <c r="A603" t="s">
        <v>22</v>
      </c>
      <c r="B603">
        <v>2030</v>
      </c>
      <c r="C603" t="s">
        <v>125</v>
      </c>
      <c r="D603" t="s">
        <v>46</v>
      </c>
      <c r="E603">
        <v>0.107292344102769</v>
      </c>
      <c r="F603">
        <v>0.107292344102769</v>
      </c>
      <c r="G603">
        <v>0</v>
      </c>
      <c r="H603">
        <v>0</v>
      </c>
      <c r="I603" t="s">
        <v>126</v>
      </c>
    </row>
    <row r="604" spans="1:9" x14ac:dyDescent="0.35">
      <c r="A604" t="s">
        <v>22</v>
      </c>
      <c r="B604">
        <v>2030</v>
      </c>
      <c r="C604" t="s">
        <v>125</v>
      </c>
      <c r="D604" t="s">
        <v>47</v>
      </c>
      <c r="E604">
        <v>9.4439383197956802E-3</v>
      </c>
      <c r="F604">
        <v>9.4439383197956802E-3</v>
      </c>
      <c r="G604">
        <v>0</v>
      </c>
      <c r="H604">
        <v>0</v>
      </c>
      <c r="I604" t="s">
        <v>126</v>
      </c>
    </row>
    <row r="605" spans="1:9" x14ac:dyDescent="0.35">
      <c r="A605" t="s">
        <v>22</v>
      </c>
      <c r="B605">
        <v>2030</v>
      </c>
      <c r="C605" t="s">
        <v>125</v>
      </c>
      <c r="D605" t="s">
        <v>48</v>
      </c>
      <c r="E605">
        <v>19.6043870015524</v>
      </c>
      <c r="F605">
        <v>19.6043870015524</v>
      </c>
      <c r="G605">
        <v>0</v>
      </c>
      <c r="H605">
        <v>0</v>
      </c>
      <c r="I605" t="s">
        <v>126</v>
      </c>
    </row>
    <row r="606" spans="1:9" x14ac:dyDescent="0.35">
      <c r="A606" t="s">
        <v>22</v>
      </c>
      <c r="B606">
        <v>2030</v>
      </c>
      <c r="C606" t="s">
        <v>125</v>
      </c>
      <c r="D606" t="s">
        <v>49</v>
      </c>
      <c r="E606">
        <v>0.18403731495952799</v>
      </c>
      <c r="F606">
        <v>0.18403731495952799</v>
      </c>
      <c r="G606">
        <v>0</v>
      </c>
      <c r="H606">
        <v>0</v>
      </c>
      <c r="I606" t="s">
        <v>126</v>
      </c>
    </row>
    <row r="607" spans="1:9" x14ac:dyDescent="0.35">
      <c r="A607" t="s">
        <v>22</v>
      </c>
      <c r="B607">
        <v>2030</v>
      </c>
      <c r="C607" t="s">
        <v>125</v>
      </c>
      <c r="D607" t="s">
        <v>50</v>
      </c>
      <c r="E607">
        <v>8.2654831388670302E-2</v>
      </c>
      <c r="F607">
        <v>8.2654831388670302E-2</v>
      </c>
      <c r="G607">
        <v>0</v>
      </c>
      <c r="H607">
        <v>0</v>
      </c>
      <c r="I607" t="s">
        <v>126</v>
      </c>
    </row>
    <row r="608" spans="1:9" x14ac:dyDescent="0.35">
      <c r="A608" t="s">
        <v>22</v>
      </c>
      <c r="B608">
        <v>2030</v>
      </c>
      <c r="C608" t="s">
        <v>125</v>
      </c>
      <c r="D608" t="s">
        <v>51</v>
      </c>
      <c r="E608">
        <v>0.31981642139505501</v>
      </c>
      <c r="F608">
        <v>0.31981642139505501</v>
      </c>
      <c r="G608">
        <v>0</v>
      </c>
      <c r="H608">
        <v>0</v>
      </c>
      <c r="I608" t="s">
        <v>126</v>
      </c>
    </row>
    <row r="609" spans="1:9" x14ac:dyDescent="0.35">
      <c r="A609" t="s">
        <v>22</v>
      </c>
      <c r="B609">
        <v>2030</v>
      </c>
      <c r="C609" t="s">
        <v>125</v>
      </c>
      <c r="D609" t="s">
        <v>52</v>
      </c>
      <c r="E609">
        <v>0.193858072221405</v>
      </c>
      <c r="F609">
        <v>0.193858072221405</v>
      </c>
      <c r="G609">
        <v>0</v>
      </c>
      <c r="H609">
        <v>0</v>
      </c>
      <c r="I609" t="s">
        <v>126</v>
      </c>
    </row>
    <row r="610" spans="1:9" x14ac:dyDescent="0.35">
      <c r="A610" t="s">
        <v>22</v>
      </c>
      <c r="B610">
        <v>2030</v>
      </c>
      <c r="C610" t="s">
        <v>125</v>
      </c>
      <c r="D610" t="s">
        <v>53</v>
      </c>
      <c r="E610">
        <v>1.4237178716229899</v>
      </c>
      <c r="F610">
        <v>1.4237178716229899</v>
      </c>
      <c r="G610">
        <v>0</v>
      </c>
      <c r="H610">
        <v>0</v>
      </c>
      <c r="I610" t="s">
        <v>126</v>
      </c>
    </row>
    <row r="611" spans="1:9" x14ac:dyDescent="0.35">
      <c r="A611" t="s">
        <v>22</v>
      </c>
      <c r="B611">
        <v>2030</v>
      </c>
      <c r="C611" t="s">
        <v>125</v>
      </c>
      <c r="D611" t="s">
        <v>54</v>
      </c>
      <c r="E611">
        <v>3.44858572504699</v>
      </c>
      <c r="F611">
        <v>3.44858572504699</v>
      </c>
      <c r="G611">
        <v>0</v>
      </c>
      <c r="H611">
        <v>0</v>
      </c>
      <c r="I611" t="s">
        <v>126</v>
      </c>
    </row>
    <row r="612" spans="1:9" x14ac:dyDescent="0.35">
      <c r="A612" t="s">
        <v>22</v>
      </c>
      <c r="B612">
        <v>2030</v>
      </c>
      <c r="C612" t="s">
        <v>125</v>
      </c>
      <c r="D612" t="s">
        <v>55</v>
      </c>
      <c r="E612">
        <v>2.98367746768138</v>
      </c>
      <c r="F612">
        <v>2.98367746768138</v>
      </c>
      <c r="G612">
        <v>0</v>
      </c>
      <c r="H612">
        <v>0</v>
      </c>
      <c r="I612" t="s">
        <v>126</v>
      </c>
    </row>
    <row r="613" spans="1:9" x14ac:dyDescent="0.35">
      <c r="A613" t="s">
        <v>22</v>
      </c>
      <c r="B613">
        <v>2030</v>
      </c>
      <c r="C613" t="s">
        <v>125</v>
      </c>
      <c r="D613" t="s">
        <v>56</v>
      </c>
      <c r="E613" s="1">
        <v>3.8363742741917601E-7</v>
      </c>
      <c r="F613" s="1">
        <v>3.8363742741917601E-7</v>
      </c>
      <c r="G613">
        <v>0</v>
      </c>
      <c r="H613">
        <v>0</v>
      </c>
      <c r="I613" t="s">
        <v>126</v>
      </c>
    </row>
    <row r="614" spans="1:9" x14ac:dyDescent="0.35">
      <c r="A614" t="s">
        <v>24</v>
      </c>
      <c r="B614">
        <v>2035</v>
      </c>
      <c r="C614" t="s">
        <v>125</v>
      </c>
      <c r="D614" t="s">
        <v>38</v>
      </c>
      <c r="E614">
        <v>1.5603047919640399E-3</v>
      </c>
      <c r="F614">
        <v>1.5603047919640399E-3</v>
      </c>
      <c r="G614">
        <v>0</v>
      </c>
      <c r="H614">
        <v>0</v>
      </c>
      <c r="I614" t="s">
        <v>126</v>
      </c>
    </row>
    <row r="615" spans="1:9" x14ac:dyDescent="0.35">
      <c r="A615" t="s">
        <v>24</v>
      </c>
      <c r="B615">
        <v>2035</v>
      </c>
      <c r="C615" t="s">
        <v>125</v>
      </c>
      <c r="D615" t="s">
        <v>40</v>
      </c>
      <c r="E615">
        <v>1.3027750494736499E-2</v>
      </c>
      <c r="F615">
        <v>1.3027750494736499E-2</v>
      </c>
      <c r="G615">
        <v>0</v>
      </c>
      <c r="H615">
        <v>0</v>
      </c>
      <c r="I615" t="s">
        <v>126</v>
      </c>
    </row>
    <row r="616" spans="1:9" x14ac:dyDescent="0.35">
      <c r="A616" t="s">
        <v>24</v>
      </c>
      <c r="B616">
        <v>2035</v>
      </c>
      <c r="C616" t="s">
        <v>125</v>
      </c>
      <c r="D616" t="s">
        <v>41</v>
      </c>
      <c r="E616">
        <v>0.16587297851822499</v>
      </c>
      <c r="F616">
        <v>0.16587297851822499</v>
      </c>
      <c r="G616">
        <v>0</v>
      </c>
      <c r="H616">
        <v>0</v>
      </c>
      <c r="I616" t="s">
        <v>126</v>
      </c>
    </row>
    <row r="617" spans="1:9" x14ac:dyDescent="0.35">
      <c r="A617" t="s">
        <v>24</v>
      </c>
      <c r="B617">
        <v>2035</v>
      </c>
      <c r="C617" t="s">
        <v>125</v>
      </c>
      <c r="D617" t="s">
        <v>42</v>
      </c>
      <c r="E617">
        <v>42.730329609742299</v>
      </c>
      <c r="F617">
        <v>42.730329609742299</v>
      </c>
      <c r="G617">
        <v>0</v>
      </c>
      <c r="H617">
        <v>0</v>
      </c>
      <c r="I617" t="s">
        <v>126</v>
      </c>
    </row>
    <row r="618" spans="1:9" x14ac:dyDescent="0.35">
      <c r="A618" t="s">
        <v>24</v>
      </c>
      <c r="B618">
        <v>2035</v>
      </c>
      <c r="C618" t="s">
        <v>125</v>
      </c>
      <c r="D618" t="s">
        <v>43</v>
      </c>
      <c r="E618">
        <v>5.4091944230208799E-2</v>
      </c>
      <c r="F618">
        <v>5.4091944230208799E-2</v>
      </c>
      <c r="G618">
        <v>0</v>
      </c>
      <c r="H618">
        <v>0</v>
      </c>
      <c r="I618" t="s">
        <v>126</v>
      </c>
    </row>
    <row r="619" spans="1:9" x14ac:dyDescent="0.35">
      <c r="A619" t="s">
        <v>24</v>
      </c>
      <c r="B619">
        <v>2035</v>
      </c>
      <c r="C619" t="s">
        <v>125</v>
      </c>
      <c r="D619" t="s">
        <v>136</v>
      </c>
      <c r="E619">
        <v>3.9848396388879102</v>
      </c>
      <c r="F619">
        <v>3.9848396388879102</v>
      </c>
      <c r="G619">
        <v>0</v>
      </c>
      <c r="H619">
        <v>0</v>
      </c>
      <c r="I619" t="s">
        <v>126</v>
      </c>
    </row>
    <row r="620" spans="1:9" x14ac:dyDescent="0.35">
      <c r="A620" t="s">
        <v>24</v>
      </c>
      <c r="B620">
        <v>2035</v>
      </c>
      <c r="C620" t="s">
        <v>125</v>
      </c>
      <c r="D620" t="s">
        <v>45</v>
      </c>
      <c r="E620">
        <v>5.0115998668544597E-2</v>
      </c>
      <c r="F620">
        <v>5.0115998668544597E-2</v>
      </c>
      <c r="G620">
        <v>0</v>
      </c>
      <c r="H620">
        <v>0</v>
      </c>
      <c r="I620" t="s">
        <v>126</v>
      </c>
    </row>
    <row r="621" spans="1:9" x14ac:dyDescent="0.35">
      <c r="A621" t="s">
        <v>24</v>
      </c>
      <c r="B621">
        <v>2035</v>
      </c>
      <c r="C621" t="s">
        <v>125</v>
      </c>
      <c r="D621" t="s">
        <v>46</v>
      </c>
      <c r="E621">
        <v>0.134104588886508</v>
      </c>
      <c r="F621">
        <v>0.134104588886508</v>
      </c>
      <c r="G621">
        <v>0</v>
      </c>
      <c r="H621">
        <v>0</v>
      </c>
      <c r="I621" t="s">
        <v>126</v>
      </c>
    </row>
    <row r="622" spans="1:9" x14ac:dyDescent="0.35">
      <c r="A622" t="s">
        <v>24</v>
      </c>
      <c r="B622">
        <v>2035</v>
      </c>
      <c r="C622" t="s">
        <v>125</v>
      </c>
      <c r="D622" t="s">
        <v>47</v>
      </c>
      <c r="E622">
        <v>9.2538161479483096E-3</v>
      </c>
      <c r="F622">
        <v>9.2538161479483096E-3</v>
      </c>
      <c r="G622">
        <v>0</v>
      </c>
      <c r="H622">
        <v>0</v>
      </c>
      <c r="I622" t="s">
        <v>126</v>
      </c>
    </row>
    <row r="623" spans="1:9" x14ac:dyDescent="0.35">
      <c r="A623" t="s">
        <v>24</v>
      </c>
      <c r="B623">
        <v>2035</v>
      </c>
      <c r="C623" t="s">
        <v>125</v>
      </c>
      <c r="D623" t="s">
        <v>48</v>
      </c>
      <c r="E623">
        <v>19.605638216444401</v>
      </c>
      <c r="F623">
        <v>19.605638216444401</v>
      </c>
      <c r="G623">
        <v>0</v>
      </c>
      <c r="H623">
        <v>0</v>
      </c>
      <c r="I623" t="s">
        <v>126</v>
      </c>
    </row>
    <row r="624" spans="1:9" x14ac:dyDescent="0.35">
      <c r="A624" t="s">
        <v>24</v>
      </c>
      <c r="B624">
        <v>2035</v>
      </c>
      <c r="C624" t="s">
        <v>125</v>
      </c>
      <c r="D624" t="s">
        <v>49</v>
      </c>
      <c r="E624">
        <v>0.18060630512652201</v>
      </c>
      <c r="F624">
        <v>0.18060630512652201</v>
      </c>
      <c r="G624">
        <v>0</v>
      </c>
      <c r="H624">
        <v>0</v>
      </c>
      <c r="I624" t="s">
        <v>126</v>
      </c>
    </row>
    <row r="625" spans="1:9" x14ac:dyDescent="0.35">
      <c r="A625" t="s">
        <v>24</v>
      </c>
      <c r="B625">
        <v>2035</v>
      </c>
      <c r="C625" t="s">
        <v>125</v>
      </c>
      <c r="D625" t="s">
        <v>50</v>
      </c>
      <c r="E625">
        <v>8.4108248346477898E-2</v>
      </c>
      <c r="F625">
        <v>8.4108248346477898E-2</v>
      </c>
      <c r="G625">
        <v>0</v>
      </c>
      <c r="H625">
        <v>0</v>
      </c>
      <c r="I625" t="s">
        <v>126</v>
      </c>
    </row>
    <row r="626" spans="1:9" x14ac:dyDescent="0.35">
      <c r="A626" t="s">
        <v>24</v>
      </c>
      <c r="B626">
        <v>2035</v>
      </c>
      <c r="C626" t="s">
        <v>125</v>
      </c>
      <c r="D626" t="s">
        <v>51</v>
      </c>
      <c r="E626">
        <v>0.31744967519846301</v>
      </c>
      <c r="F626">
        <v>0.31744967519846301</v>
      </c>
      <c r="G626">
        <v>0</v>
      </c>
      <c r="H626">
        <v>0</v>
      </c>
      <c r="I626" t="s">
        <v>126</v>
      </c>
    </row>
    <row r="627" spans="1:9" x14ac:dyDescent="0.35">
      <c r="A627" t="s">
        <v>24</v>
      </c>
      <c r="B627">
        <v>2035</v>
      </c>
      <c r="C627" t="s">
        <v>125</v>
      </c>
      <c r="D627" t="s">
        <v>52</v>
      </c>
      <c r="E627">
        <v>0.18794540971437401</v>
      </c>
      <c r="F627">
        <v>0.18794540971437401</v>
      </c>
      <c r="G627">
        <v>0</v>
      </c>
      <c r="H627">
        <v>0</v>
      </c>
      <c r="I627" t="s">
        <v>126</v>
      </c>
    </row>
    <row r="628" spans="1:9" x14ac:dyDescent="0.35">
      <c r="A628" t="s">
        <v>24</v>
      </c>
      <c r="B628">
        <v>2035</v>
      </c>
      <c r="C628" t="s">
        <v>125</v>
      </c>
      <c r="D628" t="s">
        <v>53</v>
      </c>
      <c r="E628">
        <v>1.4131528135225899</v>
      </c>
      <c r="F628">
        <v>1.4131528135225899</v>
      </c>
      <c r="G628">
        <v>0</v>
      </c>
      <c r="H628">
        <v>0</v>
      </c>
      <c r="I628" t="s">
        <v>126</v>
      </c>
    </row>
    <row r="629" spans="1:9" x14ac:dyDescent="0.35">
      <c r="A629" t="s">
        <v>24</v>
      </c>
      <c r="B629">
        <v>2035</v>
      </c>
      <c r="C629" t="s">
        <v>125</v>
      </c>
      <c r="D629" t="s">
        <v>54</v>
      </c>
      <c r="E629">
        <v>3.4467372159105998</v>
      </c>
      <c r="F629">
        <v>3.4467372159105998</v>
      </c>
      <c r="G629">
        <v>0</v>
      </c>
      <c r="H629">
        <v>0</v>
      </c>
      <c r="I629" t="s">
        <v>126</v>
      </c>
    </row>
    <row r="630" spans="1:9" x14ac:dyDescent="0.35">
      <c r="A630" t="s">
        <v>24</v>
      </c>
      <c r="B630">
        <v>2035</v>
      </c>
      <c r="C630" t="s">
        <v>125</v>
      </c>
      <c r="D630" t="s">
        <v>55</v>
      </c>
      <c r="E630">
        <v>2.9815081663704501</v>
      </c>
      <c r="F630">
        <v>2.9815081663704501</v>
      </c>
      <c r="G630">
        <v>0</v>
      </c>
      <c r="H630">
        <v>0</v>
      </c>
      <c r="I630" t="s">
        <v>126</v>
      </c>
    </row>
    <row r="631" spans="1:9" x14ac:dyDescent="0.35">
      <c r="A631" t="s">
        <v>24</v>
      </c>
      <c r="B631">
        <v>2035</v>
      </c>
      <c r="C631" t="s">
        <v>125</v>
      </c>
      <c r="D631" t="s">
        <v>56</v>
      </c>
      <c r="E631" s="1">
        <v>4.05943603914435E-7</v>
      </c>
      <c r="F631" s="1">
        <v>4.05943603914435E-7</v>
      </c>
      <c r="G631">
        <v>0</v>
      </c>
      <c r="H631">
        <v>0</v>
      </c>
      <c r="I631" t="s">
        <v>126</v>
      </c>
    </row>
    <row r="632" spans="1:9" x14ac:dyDescent="0.35">
      <c r="A632" t="s">
        <v>26</v>
      </c>
      <c r="B632">
        <v>2040</v>
      </c>
      <c r="C632" t="s">
        <v>125</v>
      </c>
      <c r="D632" t="s">
        <v>38</v>
      </c>
      <c r="E632">
        <v>1.3450596816969799E-3</v>
      </c>
      <c r="F632">
        <v>1.29434312126496E-3</v>
      </c>
      <c r="G632" s="1">
        <v>-5.07165604320283E-5</v>
      </c>
      <c r="H632">
        <v>-3.7705806755014799</v>
      </c>
      <c r="I632" t="s">
        <v>126</v>
      </c>
    </row>
    <row r="633" spans="1:9" x14ac:dyDescent="0.35">
      <c r="A633" t="s">
        <v>26</v>
      </c>
      <c r="B633">
        <v>2040</v>
      </c>
      <c r="C633" t="s">
        <v>125</v>
      </c>
      <c r="D633" t="s">
        <v>40</v>
      </c>
      <c r="E633">
        <v>1.3037112829466201E-2</v>
      </c>
      <c r="F633">
        <v>1.3037112829466201E-2</v>
      </c>
      <c r="G633">
        <v>0</v>
      </c>
      <c r="H633">
        <v>0</v>
      </c>
      <c r="I633" t="s">
        <v>126</v>
      </c>
    </row>
    <row r="634" spans="1:9" x14ac:dyDescent="0.35">
      <c r="A634" t="s">
        <v>26</v>
      </c>
      <c r="B634">
        <v>2040</v>
      </c>
      <c r="C634" t="s">
        <v>125</v>
      </c>
      <c r="D634" t="s">
        <v>41</v>
      </c>
      <c r="E634">
        <v>0.16545403147756699</v>
      </c>
      <c r="F634">
        <v>0.16202013689650299</v>
      </c>
      <c r="G634">
        <v>-3.4338945810638202E-3</v>
      </c>
      <c r="H634">
        <v>-2.07543723800371</v>
      </c>
      <c r="I634" t="s">
        <v>126</v>
      </c>
    </row>
    <row r="635" spans="1:9" x14ac:dyDescent="0.35">
      <c r="A635" t="s">
        <v>26</v>
      </c>
      <c r="B635">
        <v>2040</v>
      </c>
      <c r="C635" t="s">
        <v>125</v>
      </c>
      <c r="D635" t="s">
        <v>42</v>
      </c>
      <c r="E635">
        <v>42.7158529570412</v>
      </c>
      <c r="F635">
        <v>42.692115421136698</v>
      </c>
      <c r="G635">
        <v>-2.37375359045017E-2</v>
      </c>
      <c r="H635">
        <v>-5.5570787567731102E-2</v>
      </c>
      <c r="I635" t="s">
        <v>126</v>
      </c>
    </row>
    <row r="636" spans="1:9" x14ac:dyDescent="0.35">
      <c r="A636" t="s">
        <v>26</v>
      </c>
      <c r="B636">
        <v>2040</v>
      </c>
      <c r="C636" t="s">
        <v>125</v>
      </c>
      <c r="D636" t="s">
        <v>43</v>
      </c>
      <c r="E636">
        <v>5.3903111092405601E-2</v>
      </c>
      <c r="F636">
        <v>5.3903066273716903E-2</v>
      </c>
      <c r="G636" s="1">
        <v>-4.4818688670067402E-8</v>
      </c>
      <c r="H636" s="1">
        <v>-8.3146756767406505E-5</v>
      </c>
      <c r="I636" t="s">
        <v>126</v>
      </c>
    </row>
    <row r="637" spans="1:9" x14ac:dyDescent="0.35">
      <c r="A637" t="s">
        <v>26</v>
      </c>
      <c r="B637">
        <v>2040</v>
      </c>
      <c r="C637" t="s">
        <v>125</v>
      </c>
      <c r="D637" t="s">
        <v>136</v>
      </c>
      <c r="E637">
        <v>3.89860400075173</v>
      </c>
      <c r="F637">
        <v>3.89819931753361</v>
      </c>
      <c r="G637">
        <v>-4.0468321812348003E-4</v>
      </c>
      <c r="H637">
        <v>-1.0380208352668001E-2</v>
      </c>
      <c r="I637" t="s">
        <v>126</v>
      </c>
    </row>
    <row r="638" spans="1:9" x14ac:dyDescent="0.35">
      <c r="A638" t="s">
        <v>26</v>
      </c>
      <c r="B638">
        <v>2040</v>
      </c>
      <c r="C638" t="s">
        <v>125</v>
      </c>
      <c r="D638" t="s">
        <v>45</v>
      </c>
      <c r="E638">
        <v>4.9818858791426099E-2</v>
      </c>
      <c r="F638">
        <v>4.1333091765905099E-2</v>
      </c>
      <c r="G638">
        <v>-8.4857670255210002E-3</v>
      </c>
      <c r="H638">
        <v>-17.033242493666599</v>
      </c>
      <c r="I638" t="s">
        <v>126</v>
      </c>
    </row>
    <row r="639" spans="1:9" x14ac:dyDescent="0.35">
      <c r="A639" t="s">
        <v>26</v>
      </c>
      <c r="B639">
        <v>2040</v>
      </c>
      <c r="C639" t="s">
        <v>125</v>
      </c>
      <c r="D639" t="s">
        <v>46</v>
      </c>
      <c r="E639">
        <v>0.15028625062047599</v>
      </c>
      <c r="F639">
        <v>0.15028625062047599</v>
      </c>
      <c r="G639">
        <v>0</v>
      </c>
      <c r="H639">
        <v>0</v>
      </c>
      <c r="I639" t="s">
        <v>126</v>
      </c>
    </row>
    <row r="640" spans="1:9" x14ac:dyDescent="0.35">
      <c r="A640" t="s">
        <v>26</v>
      </c>
      <c r="B640">
        <v>2040</v>
      </c>
      <c r="C640" t="s">
        <v>125</v>
      </c>
      <c r="D640" t="s">
        <v>47</v>
      </c>
      <c r="E640">
        <v>9.2397173149271396E-3</v>
      </c>
      <c r="F640">
        <v>9.2397173149271396E-3</v>
      </c>
      <c r="G640">
        <v>0</v>
      </c>
      <c r="H640">
        <v>0</v>
      </c>
      <c r="I640" t="s">
        <v>126</v>
      </c>
    </row>
    <row r="641" spans="1:9" x14ac:dyDescent="0.35">
      <c r="A641" t="s">
        <v>26</v>
      </c>
      <c r="B641">
        <v>2040</v>
      </c>
      <c r="C641" t="s">
        <v>125</v>
      </c>
      <c r="D641" t="s">
        <v>48</v>
      </c>
      <c r="E641">
        <v>19.6087034787848</v>
      </c>
      <c r="F641">
        <v>19.6087034787848</v>
      </c>
      <c r="G641">
        <v>0</v>
      </c>
      <c r="H641">
        <v>0</v>
      </c>
      <c r="I641" t="s">
        <v>126</v>
      </c>
    </row>
    <row r="642" spans="1:9" x14ac:dyDescent="0.35">
      <c r="A642" t="s">
        <v>26</v>
      </c>
      <c r="B642">
        <v>2040</v>
      </c>
      <c r="C642" t="s">
        <v>125</v>
      </c>
      <c r="D642" t="s">
        <v>49</v>
      </c>
      <c r="E642">
        <v>0.17925429860440101</v>
      </c>
      <c r="F642">
        <v>0.136904286677653</v>
      </c>
      <c r="G642">
        <v>-4.2350011926748102E-2</v>
      </c>
      <c r="H642">
        <v>-23.625660448015701</v>
      </c>
      <c r="I642" t="s">
        <v>126</v>
      </c>
    </row>
    <row r="643" spans="1:9" x14ac:dyDescent="0.35">
      <c r="A643" t="s">
        <v>26</v>
      </c>
      <c r="B643">
        <v>2040</v>
      </c>
      <c r="C643" t="s">
        <v>125</v>
      </c>
      <c r="D643" t="s">
        <v>50</v>
      </c>
      <c r="E643">
        <v>8.3615649286587795E-2</v>
      </c>
      <c r="F643">
        <v>8.3615649286587795E-2</v>
      </c>
      <c r="G643">
        <v>0</v>
      </c>
      <c r="H643">
        <v>0</v>
      </c>
      <c r="I643" t="s">
        <v>126</v>
      </c>
    </row>
    <row r="644" spans="1:9" x14ac:dyDescent="0.35">
      <c r="A644" t="s">
        <v>26</v>
      </c>
      <c r="B644">
        <v>2040</v>
      </c>
      <c r="C644" t="s">
        <v>125</v>
      </c>
      <c r="D644" t="s">
        <v>51</v>
      </c>
      <c r="E644">
        <v>0.31882235714825402</v>
      </c>
      <c r="F644">
        <v>0.31882235714825402</v>
      </c>
      <c r="G644">
        <v>0</v>
      </c>
      <c r="H644">
        <v>0</v>
      </c>
      <c r="I644" t="s">
        <v>126</v>
      </c>
    </row>
    <row r="645" spans="1:9" x14ac:dyDescent="0.35">
      <c r="A645" t="s">
        <v>26</v>
      </c>
      <c r="B645">
        <v>2040</v>
      </c>
      <c r="C645" t="s">
        <v>125</v>
      </c>
      <c r="D645" t="s">
        <v>52</v>
      </c>
      <c r="E645">
        <v>0.17997718557523501</v>
      </c>
      <c r="F645">
        <v>0.17997718557523501</v>
      </c>
      <c r="G645">
        <v>0</v>
      </c>
      <c r="H645">
        <v>0</v>
      </c>
      <c r="I645" t="s">
        <v>126</v>
      </c>
    </row>
    <row r="646" spans="1:9" x14ac:dyDescent="0.35">
      <c r="A646" t="s">
        <v>26</v>
      </c>
      <c r="B646">
        <v>2040</v>
      </c>
      <c r="C646" t="s">
        <v>125</v>
      </c>
      <c r="D646" t="s">
        <v>53</v>
      </c>
      <c r="E646">
        <v>1.4034035575808701</v>
      </c>
      <c r="F646">
        <v>1.4034035575808701</v>
      </c>
      <c r="G646">
        <v>0</v>
      </c>
      <c r="H646">
        <v>0</v>
      </c>
      <c r="I646" t="s">
        <v>126</v>
      </c>
    </row>
    <row r="647" spans="1:9" x14ac:dyDescent="0.35">
      <c r="A647" t="s">
        <v>26</v>
      </c>
      <c r="B647">
        <v>2040</v>
      </c>
      <c r="C647" t="s">
        <v>125</v>
      </c>
      <c r="D647" t="s">
        <v>54</v>
      </c>
      <c r="E647">
        <v>3.4482188705070702</v>
      </c>
      <c r="F647">
        <v>3.4456220412195302</v>
      </c>
      <c r="G647">
        <v>-2.5968292875355702E-3</v>
      </c>
      <c r="H647">
        <v>-7.5309294016875999E-2</v>
      </c>
      <c r="I647" t="s">
        <v>126</v>
      </c>
    </row>
    <row r="648" spans="1:9" x14ac:dyDescent="0.35">
      <c r="A648" t="s">
        <v>26</v>
      </c>
      <c r="B648">
        <v>2040</v>
      </c>
      <c r="C648" t="s">
        <v>125</v>
      </c>
      <c r="D648" t="s">
        <v>55</v>
      </c>
      <c r="E648">
        <v>2.9827458904745798</v>
      </c>
      <c r="F648">
        <v>2.9822940011541701</v>
      </c>
      <c r="G648">
        <v>-4.5188932041595399E-4</v>
      </c>
      <c r="H648">
        <v>-1.5150111240084601E-2</v>
      </c>
      <c r="I648" t="s">
        <v>126</v>
      </c>
    </row>
    <row r="649" spans="1:9" x14ac:dyDescent="0.35">
      <c r="A649" t="s">
        <v>26</v>
      </c>
      <c r="B649">
        <v>2040</v>
      </c>
      <c r="C649" t="s">
        <v>125</v>
      </c>
      <c r="D649" t="s">
        <v>56</v>
      </c>
      <c r="E649" s="1">
        <v>4.1002277457861601E-7</v>
      </c>
      <c r="F649" s="1">
        <v>4.1002277457861601E-7</v>
      </c>
      <c r="G649">
        <v>0</v>
      </c>
      <c r="H649">
        <v>0</v>
      </c>
      <c r="I649" t="s">
        <v>126</v>
      </c>
    </row>
    <row r="650" spans="1:9" x14ac:dyDescent="0.35">
      <c r="A650" t="s">
        <v>20</v>
      </c>
      <c r="B650">
        <v>2025</v>
      </c>
      <c r="C650" t="s">
        <v>85</v>
      </c>
      <c r="D650" t="s">
        <v>38</v>
      </c>
      <c r="E650">
        <v>1.9367851030201101E-4</v>
      </c>
      <c r="F650">
        <v>1.9367851030201101E-4</v>
      </c>
      <c r="G650">
        <v>0</v>
      </c>
      <c r="H650">
        <v>0</v>
      </c>
      <c r="I650" t="s">
        <v>86</v>
      </c>
    </row>
    <row r="651" spans="1:9" x14ac:dyDescent="0.35">
      <c r="A651" t="s">
        <v>20</v>
      </c>
      <c r="B651">
        <v>2025</v>
      </c>
      <c r="C651" t="s">
        <v>85</v>
      </c>
      <c r="D651" t="s">
        <v>40</v>
      </c>
      <c r="E651">
        <v>2.7620715175064498E-4</v>
      </c>
      <c r="F651">
        <v>2.7620715175064498E-4</v>
      </c>
      <c r="G651">
        <v>0</v>
      </c>
      <c r="H651">
        <v>0</v>
      </c>
      <c r="I651" t="s">
        <v>86</v>
      </c>
    </row>
    <row r="652" spans="1:9" x14ac:dyDescent="0.35">
      <c r="A652" t="s">
        <v>20</v>
      </c>
      <c r="B652">
        <v>2025</v>
      </c>
      <c r="C652" t="s">
        <v>85</v>
      </c>
      <c r="D652" t="s">
        <v>41</v>
      </c>
      <c r="E652">
        <v>4.1546250191921898E-3</v>
      </c>
      <c r="F652">
        <v>4.1546250191921898E-3</v>
      </c>
      <c r="G652">
        <v>0</v>
      </c>
      <c r="H652">
        <v>0</v>
      </c>
      <c r="I652" t="s">
        <v>86</v>
      </c>
    </row>
    <row r="653" spans="1:9" x14ac:dyDescent="0.35">
      <c r="A653" t="s">
        <v>20</v>
      </c>
      <c r="B653">
        <v>2025</v>
      </c>
      <c r="C653" t="s">
        <v>85</v>
      </c>
      <c r="D653" t="s">
        <v>42</v>
      </c>
      <c r="E653">
        <v>1.8865318272249401</v>
      </c>
      <c r="F653">
        <v>1.8865318272249401</v>
      </c>
      <c r="G653">
        <v>0</v>
      </c>
      <c r="H653">
        <v>0</v>
      </c>
      <c r="I653" t="s">
        <v>86</v>
      </c>
    </row>
    <row r="654" spans="1:9" x14ac:dyDescent="0.35">
      <c r="A654" t="s">
        <v>20</v>
      </c>
      <c r="B654">
        <v>2025</v>
      </c>
      <c r="C654" t="s">
        <v>85</v>
      </c>
      <c r="D654" t="s">
        <v>43</v>
      </c>
      <c r="E654">
        <v>7.2324182564182705E-4</v>
      </c>
      <c r="F654">
        <v>7.2324182564182705E-4</v>
      </c>
      <c r="G654">
        <v>0</v>
      </c>
      <c r="H654">
        <v>0</v>
      </c>
      <c r="I654" t="s">
        <v>86</v>
      </c>
    </row>
    <row r="655" spans="1:9" x14ac:dyDescent="0.35">
      <c r="A655" t="s">
        <v>20</v>
      </c>
      <c r="B655">
        <v>2025</v>
      </c>
      <c r="C655" t="s">
        <v>85</v>
      </c>
      <c r="D655" t="s">
        <v>136</v>
      </c>
      <c r="E655">
        <v>0.64185862461227405</v>
      </c>
      <c r="F655">
        <v>0.64185862461227405</v>
      </c>
      <c r="G655">
        <v>0</v>
      </c>
      <c r="H655">
        <v>0</v>
      </c>
      <c r="I655" t="s">
        <v>86</v>
      </c>
    </row>
    <row r="656" spans="1:9" x14ac:dyDescent="0.35">
      <c r="A656" t="s">
        <v>20</v>
      </c>
      <c r="B656">
        <v>2025</v>
      </c>
      <c r="C656" t="s">
        <v>85</v>
      </c>
      <c r="D656" t="s">
        <v>45</v>
      </c>
      <c r="E656">
        <v>5.6479473053969997E-3</v>
      </c>
      <c r="F656">
        <v>5.6479473053969997E-3</v>
      </c>
      <c r="G656">
        <v>0</v>
      </c>
      <c r="H656">
        <v>0</v>
      </c>
      <c r="I656" t="s">
        <v>86</v>
      </c>
    </row>
    <row r="657" spans="1:9" x14ac:dyDescent="0.35">
      <c r="A657" t="s">
        <v>20</v>
      </c>
      <c r="B657">
        <v>2025</v>
      </c>
      <c r="C657" t="s">
        <v>85</v>
      </c>
      <c r="D657" t="s">
        <v>46</v>
      </c>
      <c r="E657">
        <v>2.08697378501683E-2</v>
      </c>
      <c r="F657">
        <v>2.08697378501683E-2</v>
      </c>
      <c r="G657">
        <v>0</v>
      </c>
      <c r="H657">
        <v>0</v>
      </c>
      <c r="I657" t="s">
        <v>86</v>
      </c>
    </row>
    <row r="658" spans="1:9" x14ac:dyDescent="0.35">
      <c r="A658" t="s">
        <v>20</v>
      </c>
      <c r="B658">
        <v>2025</v>
      </c>
      <c r="C658" t="s">
        <v>85</v>
      </c>
      <c r="D658" t="s">
        <v>47</v>
      </c>
      <c r="E658">
        <v>3.0384044257887599E-4</v>
      </c>
      <c r="F658">
        <v>3.0384044257887599E-4</v>
      </c>
      <c r="G658">
        <v>0</v>
      </c>
      <c r="H658">
        <v>0</v>
      </c>
      <c r="I658" t="s">
        <v>86</v>
      </c>
    </row>
    <row r="659" spans="1:9" x14ac:dyDescent="0.35">
      <c r="A659" t="s">
        <v>20</v>
      </c>
      <c r="B659">
        <v>2025</v>
      </c>
      <c r="C659" t="s">
        <v>85</v>
      </c>
      <c r="D659" t="s">
        <v>48</v>
      </c>
      <c r="E659">
        <v>42.685545248489802</v>
      </c>
      <c r="F659">
        <v>42.685545248489802</v>
      </c>
      <c r="G659">
        <v>0</v>
      </c>
      <c r="H659">
        <v>0</v>
      </c>
      <c r="I659" t="s">
        <v>86</v>
      </c>
    </row>
    <row r="660" spans="1:9" x14ac:dyDescent="0.35">
      <c r="A660" t="s">
        <v>20</v>
      </c>
      <c r="B660">
        <v>2025</v>
      </c>
      <c r="C660" t="s">
        <v>85</v>
      </c>
      <c r="D660" t="s">
        <v>49</v>
      </c>
      <c r="E660">
        <v>2.3819667733585501E-2</v>
      </c>
      <c r="F660">
        <v>2.3819667733585501E-2</v>
      </c>
      <c r="G660">
        <v>0</v>
      </c>
      <c r="H660">
        <v>0</v>
      </c>
      <c r="I660" t="s">
        <v>86</v>
      </c>
    </row>
    <row r="661" spans="1:9" x14ac:dyDescent="0.35">
      <c r="A661" t="s">
        <v>20</v>
      </c>
      <c r="B661">
        <v>2025</v>
      </c>
      <c r="C661" t="s">
        <v>85</v>
      </c>
      <c r="D661" t="s">
        <v>50</v>
      </c>
      <c r="E661">
        <v>5.5194506298637596E-3</v>
      </c>
      <c r="F661">
        <v>5.5194506298637596E-3</v>
      </c>
      <c r="G661">
        <v>0</v>
      </c>
      <c r="H661">
        <v>0</v>
      </c>
      <c r="I661" t="s">
        <v>86</v>
      </c>
    </row>
    <row r="662" spans="1:9" x14ac:dyDescent="0.35">
      <c r="A662" t="s">
        <v>20</v>
      </c>
      <c r="B662">
        <v>2025</v>
      </c>
      <c r="C662" t="s">
        <v>85</v>
      </c>
      <c r="D662" t="s">
        <v>51</v>
      </c>
      <c r="E662">
        <v>3.6456976951889701E-2</v>
      </c>
      <c r="F662">
        <v>3.6456976951889701E-2</v>
      </c>
      <c r="G662">
        <v>0</v>
      </c>
      <c r="H662">
        <v>0</v>
      </c>
      <c r="I662" t="s">
        <v>86</v>
      </c>
    </row>
    <row r="663" spans="1:9" x14ac:dyDescent="0.35">
      <c r="A663" t="s">
        <v>20</v>
      </c>
      <c r="B663">
        <v>2025</v>
      </c>
      <c r="C663" t="s">
        <v>85</v>
      </c>
      <c r="D663" t="s">
        <v>52</v>
      </c>
      <c r="E663">
        <v>9.7034753361623094E-2</v>
      </c>
      <c r="F663">
        <v>9.7034753361623094E-2</v>
      </c>
      <c r="G663">
        <v>0</v>
      </c>
      <c r="H663">
        <v>0</v>
      </c>
      <c r="I663" t="s">
        <v>86</v>
      </c>
    </row>
    <row r="664" spans="1:9" x14ac:dyDescent="0.35">
      <c r="A664" t="s">
        <v>20</v>
      </c>
      <c r="B664">
        <v>2025</v>
      </c>
      <c r="C664" t="s">
        <v>85</v>
      </c>
      <c r="D664" t="s">
        <v>53</v>
      </c>
      <c r="E664">
        <v>0.27067011196011098</v>
      </c>
      <c r="F664">
        <v>0.27067011196011098</v>
      </c>
      <c r="G664">
        <v>0</v>
      </c>
      <c r="H664">
        <v>0</v>
      </c>
      <c r="I664" t="s">
        <v>86</v>
      </c>
    </row>
    <row r="665" spans="1:9" x14ac:dyDescent="0.35">
      <c r="A665" t="s">
        <v>20</v>
      </c>
      <c r="B665">
        <v>2025</v>
      </c>
      <c r="C665" t="s">
        <v>85</v>
      </c>
      <c r="D665" t="s">
        <v>54</v>
      </c>
      <c r="E665">
        <v>4.91146586763333E-2</v>
      </c>
      <c r="F665">
        <v>4.91146586763333E-2</v>
      </c>
      <c r="G665">
        <v>0</v>
      </c>
      <c r="H665">
        <v>0</v>
      </c>
      <c r="I665" t="s">
        <v>86</v>
      </c>
    </row>
    <row r="666" spans="1:9" x14ac:dyDescent="0.35">
      <c r="A666" t="s">
        <v>20</v>
      </c>
      <c r="B666">
        <v>2025</v>
      </c>
      <c r="C666" t="s">
        <v>85</v>
      </c>
      <c r="D666" t="s">
        <v>55</v>
      </c>
      <c r="E666">
        <v>4.5572011472650803E-2</v>
      </c>
      <c r="F666">
        <v>4.5572011472650803E-2</v>
      </c>
      <c r="G666">
        <v>0</v>
      </c>
      <c r="H666">
        <v>0</v>
      </c>
      <c r="I666" t="s">
        <v>86</v>
      </c>
    </row>
    <row r="667" spans="1:9" x14ac:dyDescent="0.35">
      <c r="A667" t="s">
        <v>20</v>
      </c>
      <c r="B667">
        <v>2025</v>
      </c>
      <c r="C667" t="s">
        <v>85</v>
      </c>
      <c r="D667" t="s">
        <v>56</v>
      </c>
      <c r="E667" s="1">
        <v>5.40747510803265E-8</v>
      </c>
      <c r="F667" s="1">
        <v>5.40747510803265E-8</v>
      </c>
      <c r="G667">
        <v>0</v>
      </c>
      <c r="H667">
        <v>0</v>
      </c>
      <c r="I667" t="s">
        <v>86</v>
      </c>
    </row>
    <row r="668" spans="1:9" x14ac:dyDescent="0.35">
      <c r="A668" t="s">
        <v>22</v>
      </c>
      <c r="B668">
        <v>2030</v>
      </c>
      <c r="C668" t="s">
        <v>85</v>
      </c>
      <c r="D668" t="s">
        <v>38</v>
      </c>
      <c r="E668">
        <v>3.5882301677173898E-4</v>
      </c>
      <c r="F668">
        <v>3.5882301677173898E-4</v>
      </c>
      <c r="G668">
        <v>0</v>
      </c>
      <c r="H668">
        <v>0</v>
      </c>
      <c r="I668" t="s">
        <v>86</v>
      </c>
    </row>
    <row r="669" spans="1:9" x14ac:dyDescent="0.35">
      <c r="A669" t="s">
        <v>22</v>
      </c>
      <c r="B669">
        <v>2030</v>
      </c>
      <c r="C669" t="s">
        <v>85</v>
      </c>
      <c r="D669" t="s">
        <v>40</v>
      </c>
      <c r="E669">
        <v>2.7141653818297298E-4</v>
      </c>
      <c r="F669">
        <v>2.7141653818297298E-4</v>
      </c>
      <c r="G669">
        <v>0</v>
      </c>
      <c r="H669">
        <v>0</v>
      </c>
      <c r="I669" t="s">
        <v>86</v>
      </c>
    </row>
    <row r="670" spans="1:9" x14ac:dyDescent="0.35">
      <c r="A670" t="s">
        <v>22</v>
      </c>
      <c r="B670">
        <v>2030</v>
      </c>
      <c r="C670" t="s">
        <v>85</v>
      </c>
      <c r="D670" t="s">
        <v>41</v>
      </c>
      <c r="E670">
        <v>4.0214775837962803E-3</v>
      </c>
      <c r="F670">
        <v>4.0214775837962803E-3</v>
      </c>
      <c r="G670">
        <v>0</v>
      </c>
      <c r="H670">
        <v>0</v>
      </c>
      <c r="I670" t="s">
        <v>86</v>
      </c>
    </row>
    <row r="671" spans="1:9" x14ac:dyDescent="0.35">
      <c r="A671" t="s">
        <v>22</v>
      </c>
      <c r="B671">
        <v>2030</v>
      </c>
      <c r="C671" t="s">
        <v>85</v>
      </c>
      <c r="D671" t="s">
        <v>42</v>
      </c>
      <c r="E671">
        <v>1.8887892208722801</v>
      </c>
      <c r="F671">
        <v>1.8887892208722801</v>
      </c>
      <c r="G671">
        <v>0</v>
      </c>
      <c r="H671">
        <v>0</v>
      </c>
      <c r="I671" t="s">
        <v>86</v>
      </c>
    </row>
    <row r="672" spans="1:9" x14ac:dyDescent="0.35">
      <c r="A672" t="s">
        <v>22</v>
      </c>
      <c r="B672">
        <v>2030</v>
      </c>
      <c r="C672" t="s">
        <v>85</v>
      </c>
      <c r="D672" t="s">
        <v>43</v>
      </c>
      <c r="E672">
        <v>7.1557809720364999E-4</v>
      </c>
      <c r="F672">
        <v>7.1557809720364999E-4</v>
      </c>
      <c r="G672">
        <v>0</v>
      </c>
      <c r="H672">
        <v>0</v>
      </c>
      <c r="I672" t="s">
        <v>86</v>
      </c>
    </row>
    <row r="673" spans="1:9" x14ac:dyDescent="0.35">
      <c r="A673" t="s">
        <v>22</v>
      </c>
      <c r="B673">
        <v>2030</v>
      </c>
      <c r="C673" t="s">
        <v>85</v>
      </c>
      <c r="D673" t="s">
        <v>136</v>
      </c>
      <c r="E673">
        <v>0.62131556898141904</v>
      </c>
      <c r="F673">
        <v>0.62131556898141904</v>
      </c>
      <c r="G673">
        <v>0</v>
      </c>
      <c r="H673">
        <v>0</v>
      </c>
      <c r="I673" t="s">
        <v>86</v>
      </c>
    </row>
    <row r="674" spans="1:9" x14ac:dyDescent="0.35">
      <c r="A674" t="s">
        <v>22</v>
      </c>
      <c r="B674">
        <v>2030</v>
      </c>
      <c r="C674" t="s">
        <v>85</v>
      </c>
      <c r="D674" t="s">
        <v>45</v>
      </c>
      <c r="E674">
        <v>5.4475982888146299E-3</v>
      </c>
      <c r="F674">
        <v>5.4475982888146299E-3</v>
      </c>
      <c r="G674">
        <v>0</v>
      </c>
      <c r="H674">
        <v>0</v>
      </c>
      <c r="I674" t="s">
        <v>86</v>
      </c>
    </row>
    <row r="675" spans="1:9" x14ac:dyDescent="0.35">
      <c r="A675" t="s">
        <v>22</v>
      </c>
      <c r="B675">
        <v>2030</v>
      </c>
      <c r="C675" t="s">
        <v>85</v>
      </c>
      <c r="D675" t="s">
        <v>46</v>
      </c>
      <c r="E675">
        <v>2.9411995862077E-2</v>
      </c>
      <c r="F675">
        <v>2.9411995862077E-2</v>
      </c>
      <c r="G675">
        <v>0</v>
      </c>
      <c r="H675">
        <v>0</v>
      </c>
      <c r="I675" t="s">
        <v>86</v>
      </c>
    </row>
    <row r="676" spans="1:9" x14ac:dyDescent="0.35">
      <c r="A676" t="s">
        <v>22</v>
      </c>
      <c r="B676">
        <v>2030</v>
      </c>
      <c r="C676" t="s">
        <v>85</v>
      </c>
      <c r="D676" t="s">
        <v>47</v>
      </c>
      <c r="E676">
        <v>3.1796066316901699E-4</v>
      </c>
      <c r="F676">
        <v>3.1796066316901699E-4</v>
      </c>
      <c r="G676">
        <v>0</v>
      </c>
      <c r="H676">
        <v>0</v>
      </c>
      <c r="I676" t="s">
        <v>86</v>
      </c>
    </row>
    <row r="677" spans="1:9" x14ac:dyDescent="0.35">
      <c r="A677" t="s">
        <v>22</v>
      </c>
      <c r="B677">
        <v>2030</v>
      </c>
      <c r="C677" t="s">
        <v>85</v>
      </c>
      <c r="D677" t="s">
        <v>48</v>
      </c>
      <c r="E677">
        <v>42.685677589557599</v>
      </c>
      <c r="F677">
        <v>42.685677589557599</v>
      </c>
      <c r="G677">
        <v>0</v>
      </c>
      <c r="H677">
        <v>0</v>
      </c>
      <c r="I677" t="s">
        <v>86</v>
      </c>
    </row>
    <row r="678" spans="1:9" x14ac:dyDescent="0.35">
      <c r="A678" t="s">
        <v>22</v>
      </c>
      <c r="B678">
        <v>2030</v>
      </c>
      <c r="C678" t="s">
        <v>85</v>
      </c>
      <c r="D678" t="s">
        <v>49</v>
      </c>
      <c r="E678">
        <v>2.36028083608982E-2</v>
      </c>
      <c r="F678">
        <v>2.36028083608982E-2</v>
      </c>
      <c r="G678">
        <v>0</v>
      </c>
      <c r="H678">
        <v>0</v>
      </c>
      <c r="I678" t="s">
        <v>86</v>
      </c>
    </row>
    <row r="679" spans="1:9" x14ac:dyDescent="0.35">
      <c r="A679" t="s">
        <v>22</v>
      </c>
      <c r="B679">
        <v>2030</v>
      </c>
      <c r="C679" t="s">
        <v>85</v>
      </c>
      <c r="D679" t="s">
        <v>50</v>
      </c>
      <c r="E679">
        <v>6.0206040014692498E-3</v>
      </c>
      <c r="F679">
        <v>6.0206040014692498E-3</v>
      </c>
      <c r="G679">
        <v>0</v>
      </c>
      <c r="H679">
        <v>0</v>
      </c>
      <c r="I679" t="s">
        <v>86</v>
      </c>
    </row>
    <row r="680" spans="1:9" x14ac:dyDescent="0.35">
      <c r="A680" t="s">
        <v>22</v>
      </c>
      <c r="B680">
        <v>2030</v>
      </c>
      <c r="C680" t="s">
        <v>85</v>
      </c>
      <c r="D680" t="s">
        <v>51</v>
      </c>
      <c r="E680">
        <v>3.6374365435761197E-2</v>
      </c>
      <c r="F680">
        <v>3.6374365435761197E-2</v>
      </c>
      <c r="G680">
        <v>0</v>
      </c>
      <c r="H680">
        <v>0</v>
      </c>
      <c r="I680" t="s">
        <v>86</v>
      </c>
    </row>
    <row r="681" spans="1:9" x14ac:dyDescent="0.35">
      <c r="A681" t="s">
        <v>22</v>
      </c>
      <c r="B681">
        <v>2030</v>
      </c>
      <c r="C681" t="s">
        <v>85</v>
      </c>
      <c r="D681" t="s">
        <v>52</v>
      </c>
      <c r="E681">
        <v>8.2021392213995806E-2</v>
      </c>
      <c r="F681">
        <v>8.2021392213995806E-2</v>
      </c>
      <c r="G681">
        <v>0</v>
      </c>
      <c r="H681">
        <v>0</v>
      </c>
      <c r="I681" t="s">
        <v>86</v>
      </c>
    </row>
    <row r="682" spans="1:9" x14ac:dyDescent="0.35">
      <c r="A682" t="s">
        <v>22</v>
      </c>
      <c r="B682">
        <v>2030</v>
      </c>
      <c r="C682" t="s">
        <v>85</v>
      </c>
      <c r="D682" t="s">
        <v>53</v>
      </c>
      <c r="E682">
        <v>0.26639661853284202</v>
      </c>
      <c r="F682">
        <v>0.26639661853284202</v>
      </c>
      <c r="G682">
        <v>0</v>
      </c>
      <c r="H682">
        <v>0</v>
      </c>
      <c r="I682" t="s">
        <v>86</v>
      </c>
    </row>
    <row r="683" spans="1:9" x14ac:dyDescent="0.35">
      <c r="A683" t="s">
        <v>22</v>
      </c>
      <c r="B683">
        <v>2030</v>
      </c>
      <c r="C683" t="s">
        <v>85</v>
      </c>
      <c r="D683" t="s">
        <v>54</v>
      </c>
      <c r="E683">
        <v>4.9753054774753697E-2</v>
      </c>
      <c r="F683">
        <v>4.9753054774753697E-2</v>
      </c>
      <c r="G683">
        <v>0</v>
      </c>
      <c r="H683">
        <v>0</v>
      </c>
      <c r="I683" t="s">
        <v>86</v>
      </c>
    </row>
    <row r="684" spans="1:9" x14ac:dyDescent="0.35">
      <c r="A684" t="s">
        <v>22</v>
      </c>
      <c r="B684">
        <v>2030</v>
      </c>
      <c r="C684" t="s">
        <v>85</v>
      </c>
      <c r="D684" t="s">
        <v>55</v>
      </c>
      <c r="E684">
        <v>4.6050917284416598E-2</v>
      </c>
      <c r="F684">
        <v>4.6050917284416598E-2</v>
      </c>
      <c r="G684">
        <v>0</v>
      </c>
      <c r="H684">
        <v>0</v>
      </c>
      <c r="I684" t="s">
        <v>86</v>
      </c>
    </row>
    <row r="685" spans="1:9" x14ac:dyDescent="0.35">
      <c r="A685" t="s">
        <v>22</v>
      </c>
      <c r="B685">
        <v>2030</v>
      </c>
      <c r="C685" t="s">
        <v>85</v>
      </c>
      <c r="D685" t="s">
        <v>56</v>
      </c>
      <c r="E685" s="1">
        <v>5.1299830274673702E-8</v>
      </c>
      <c r="F685" s="1">
        <v>5.1299830274673702E-8</v>
      </c>
      <c r="G685">
        <v>0</v>
      </c>
      <c r="H685">
        <v>0</v>
      </c>
      <c r="I685" t="s">
        <v>86</v>
      </c>
    </row>
    <row r="686" spans="1:9" x14ac:dyDescent="0.35">
      <c r="A686" t="s">
        <v>24</v>
      </c>
      <c r="B686">
        <v>2035</v>
      </c>
      <c r="C686" t="s">
        <v>85</v>
      </c>
      <c r="D686" t="s">
        <v>38</v>
      </c>
      <c r="E686">
        <v>4.9472152338570603E-4</v>
      </c>
      <c r="F686">
        <v>4.9472152338570603E-4</v>
      </c>
      <c r="G686">
        <v>0</v>
      </c>
      <c r="H686">
        <v>0</v>
      </c>
      <c r="I686" t="s">
        <v>86</v>
      </c>
    </row>
    <row r="687" spans="1:9" x14ac:dyDescent="0.35">
      <c r="A687" t="s">
        <v>24</v>
      </c>
      <c r="B687">
        <v>2035</v>
      </c>
      <c r="C687" t="s">
        <v>85</v>
      </c>
      <c r="D687" t="s">
        <v>40</v>
      </c>
      <c r="E687">
        <v>2.6950941447882601E-4</v>
      </c>
      <c r="F687">
        <v>2.6950941447882601E-4</v>
      </c>
      <c r="G687">
        <v>0</v>
      </c>
      <c r="H687">
        <v>0</v>
      </c>
      <c r="I687" t="s">
        <v>86</v>
      </c>
    </row>
    <row r="688" spans="1:9" x14ac:dyDescent="0.35">
      <c r="A688" t="s">
        <v>24</v>
      </c>
      <c r="B688">
        <v>2035</v>
      </c>
      <c r="C688" t="s">
        <v>85</v>
      </c>
      <c r="D688" t="s">
        <v>41</v>
      </c>
      <c r="E688">
        <v>3.9682739283418899E-3</v>
      </c>
      <c r="F688">
        <v>3.9682739283418899E-3</v>
      </c>
      <c r="G688">
        <v>0</v>
      </c>
      <c r="H688">
        <v>0</v>
      </c>
      <c r="I688" t="s">
        <v>86</v>
      </c>
    </row>
    <row r="689" spans="1:9" x14ac:dyDescent="0.35">
      <c r="A689" t="s">
        <v>24</v>
      </c>
      <c r="B689">
        <v>2035</v>
      </c>
      <c r="C689" t="s">
        <v>85</v>
      </c>
      <c r="D689" t="s">
        <v>42</v>
      </c>
      <c r="E689">
        <v>1.9081932556982899</v>
      </c>
      <c r="F689">
        <v>1.9081932556982899</v>
      </c>
      <c r="G689">
        <v>0</v>
      </c>
      <c r="H689">
        <v>0</v>
      </c>
      <c r="I689" t="s">
        <v>86</v>
      </c>
    </row>
    <row r="690" spans="1:9" x14ac:dyDescent="0.35">
      <c r="A690" t="s">
        <v>24</v>
      </c>
      <c r="B690">
        <v>2035</v>
      </c>
      <c r="C690" t="s">
        <v>85</v>
      </c>
      <c r="D690" t="s">
        <v>43</v>
      </c>
      <c r="E690">
        <v>7.3083054496454801E-4</v>
      </c>
      <c r="F690">
        <v>7.3083054496454801E-4</v>
      </c>
      <c r="G690">
        <v>0</v>
      </c>
      <c r="H690">
        <v>0</v>
      </c>
      <c r="I690" t="s">
        <v>86</v>
      </c>
    </row>
    <row r="691" spans="1:9" x14ac:dyDescent="0.35">
      <c r="A691" t="s">
        <v>24</v>
      </c>
      <c r="B691">
        <v>2035</v>
      </c>
      <c r="C691" t="s">
        <v>85</v>
      </c>
      <c r="D691" t="s">
        <v>136</v>
      </c>
      <c r="E691">
        <v>0.63091563259705596</v>
      </c>
      <c r="F691">
        <v>0.63091563259705596</v>
      </c>
      <c r="G691">
        <v>0</v>
      </c>
      <c r="H691">
        <v>0</v>
      </c>
      <c r="I691" t="s">
        <v>86</v>
      </c>
    </row>
    <row r="692" spans="1:9" x14ac:dyDescent="0.35">
      <c r="A692" t="s">
        <v>24</v>
      </c>
      <c r="B692">
        <v>2035</v>
      </c>
      <c r="C692" t="s">
        <v>85</v>
      </c>
      <c r="D692" t="s">
        <v>45</v>
      </c>
      <c r="E692">
        <v>5.3274181886360603E-3</v>
      </c>
      <c r="F692">
        <v>5.3274181886360603E-3</v>
      </c>
      <c r="G692">
        <v>0</v>
      </c>
      <c r="H692">
        <v>0</v>
      </c>
      <c r="I692" t="s">
        <v>86</v>
      </c>
    </row>
    <row r="693" spans="1:9" x14ac:dyDescent="0.35">
      <c r="A693" t="s">
        <v>24</v>
      </c>
      <c r="B693">
        <v>2035</v>
      </c>
      <c r="C693" t="s">
        <v>85</v>
      </c>
      <c r="D693" t="s">
        <v>46</v>
      </c>
      <c r="E693">
        <v>3.79820543726581E-2</v>
      </c>
      <c r="F693">
        <v>3.79820543726581E-2</v>
      </c>
      <c r="G693">
        <v>0</v>
      </c>
      <c r="H693">
        <v>0</v>
      </c>
      <c r="I693" t="s">
        <v>86</v>
      </c>
    </row>
    <row r="694" spans="1:9" x14ac:dyDescent="0.35">
      <c r="A694" t="s">
        <v>24</v>
      </c>
      <c r="B694">
        <v>2035</v>
      </c>
      <c r="C694" t="s">
        <v>85</v>
      </c>
      <c r="D694" t="s">
        <v>47</v>
      </c>
      <c r="E694">
        <v>3.5675362031027099E-4</v>
      </c>
      <c r="F694">
        <v>3.5675362031027099E-4</v>
      </c>
      <c r="G694">
        <v>0</v>
      </c>
      <c r="H694">
        <v>0</v>
      </c>
      <c r="I694" t="s">
        <v>86</v>
      </c>
    </row>
    <row r="695" spans="1:9" x14ac:dyDescent="0.35">
      <c r="A695" t="s">
        <v>24</v>
      </c>
      <c r="B695">
        <v>2035</v>
      </c>
      <c r="C695" t="s">
        <v>85</v>
      </c>
      <c r="D695" t="s">
        <v>48</v>
      </c>
      <c r="E695">
        <v>42.685871319519897</v>
      </c>
      <c r="F695">
        <v>42.685871319519897</v>
      </c>
      <c r="G695">
        <v>0</v>
      </c>
      <c r="H695">
        <v>0</v>
      </c>
      <c r="I695" t="s">
        <v>86</v>
      </c>
    </row>
    <row r="696" spans="1:9" x14ac:dyDescent="0.35">
      <c r="A696" t="s">
        <v>24</v>
      </c>
      <c r="B696">
        <v>2035</v>
      </c>
      <c r="C696" t="s">
        <v>85</v>
      </c>
      <c r="D696" t="s">
        <v>49</v>
      </c>
      <c r="E696">
        <v>2.34808079430542E-2</v>
      </c>
      <c r="F696">
        <v>2.34808079430542E-2</v>
      </c>
      <c r="G696">
        <v>0</v>
      </c>
      <c r="H696">
        <v>0</v>
      </c>
      <c r="I696" t="s">
        <v>86</v>
      </c>
    </row>
    <row r="697" spans="1:9" x14ac:dyDescent="0.35">
      <c r="A697" t="s">
        <v>24</v>
      </c>
      <c r="B697">
        <v>2035</v>
      </c>
      <c r="C697" t="s">
        <v>85</v>
      </c>
      <c r="D697" t="s">
        <v>50</v>
      </c>
      <c r="E697">
        <v>6.4928679042979102E-3</v>
      </c>
      <c r="F697">
        <v>6.4928679042979102E-3</v>
      </c>
      <c r="G697">
        <v>0</v>
      </c>
      <c r="H697">
        <v>0</v>
      </c>
      <c r="I697" t="s">
        <v>86</v>
      </c>
    </row>
    <row r="698" spans="1:9" x14ac:dyDescent="0.35">
      <c r="A698" t="s">
        <v>24</v>
      </c>
      <c r="B698">
        <v>2035</v>
      </c>
      <c r="C698" t="s">
        <v>85</v>
      </c>
      <c r="D698" t="s">
        <v>51</v>
      </c>
      <c r="E698">
        <v>3.6426798022768499E-2</v>
      </c>
      <c r="F698">
        <v>3.6426798022768499E-2</v>
      </c>
      <c r="G698">
        <v>0</v>
      </c>
      <c r="H698">
        <v>0</v>
      </c>
      <c r="I698" t="s">
        <v>86</v>
      </c>
    </row>
    <row r="699" spans="1:9" x14ac:dyDescent="0.35">
      <c r="A699" t="s">
        <v>24</v>
      </c>
      <c r="B699">
        <v>2035</v>
      </c>
      <c r="C699" t="s">
        <v>85</v>
      </c>
      <c r="D699" t="s">
        <v>52</v>
      </c>
      <c r="E699">
        <v>6.8176353752974705E-2</v>
      </c>
      <c r="F699">
        <v>6.8176353752974705E-2</v>
      </c>
      <c r="G699">
        <v>0</v>
      </c>
      <c r="H699">
        <v>0</v>
      </c>
      <c r="I699" t="s">
        <v>86</v>
      </c>
    </row>
    <row r="700" spans="1:9" x14ac:dyDescent="0.35">
      <c r="A700" t="s">
        <v>24</v>
      </c>
      <c r="B700">
        <v>2035</v>
      </c>
      <c r="C700" t="s">
        <v>85</v>
      </c>
      <c r="D700" t="s">
        <v>53</v>
      </c>
      <c r="E700">
        <v>0.27134690574614101</v>
      </c>
      <c r="F700">
        <v>0.27134690574614101</v>
      </c>
      <c r="G700">
        <v>0</v>
      </c>
      <c r="H700">
        <v>0</v>
      </c>
      <c r="I700" t="s">
        <v>86</v>
      </c>
    </row>
    <row r="701" spans="1:9" x14ac:dyDescent="0.35">
      <c r="A701" t="s">
        <v>24</v>
      </c>
      <c r="B701">
        <v>2035</v>
      </c>
      <c r="C701" t="s">
        <v>85</v>
      </c>
      <c r="D701" t="s">
        <v>54</v>
      </c>
      <c r="E701">
        <v>5.0565971190948099E-2</v>
      </c>
      <c r="F701">
        <v>5.0565971190948099E-2</v>
      </c>
      <c r="G701">
        <v>0</v>
      </c>
      <c r="H701">
        <v>0</v>
      </c>
      <c r="I701" t="s">
        <v>86</v>
      </c>
    </row>
    <row r="702" spans="1:9" x14ac:dyDescent="0.35">
      <c r="A702" t="s">
        <v>24</v>
      </c>
      <c r="B702">
        <v>2035</v>
      </c>
      <c r="C702" t="s">
        <v>85</v>
      </c>
      <c r="D702" t="s">
        <v>55</v>
      </c>
      <c r="E702">
        <v>4.6746784507400399E-2</v>
      </c>
      <c r="F702">
        <v>4.6746784507400399E-2</v>
      </c>
      <c r="G702">
        <v>0</v>
      </c>
      <c r="H702">
        <v>0</v>
      </c>
      <c r="I702" t="s">
        <v>86</v>
      </c>
    </row>
    <row r="703" spans="1:9" x14ac:dyDescent="0.35">
      <c r="A703" t="s">
        <v>24</v>
      </c>
      <c r="B703">
        <v>2035</v>
      </c>
      <c r="C703" t="s">
        <v>85</v>
      </c>
      <c r="D703" t="s">
        <v>56</v>
      </c>
      <c r="E703" s="1">
        <v>5.1307173015721603E-8</v>
      </c>
      <c r="F703" s="1">
        <v>5.1307173015721603E-8</v>
      </c>
      <c r="G703">
        <v>0</v>
      </c>
      <c r="H703">
        <v>0</v>
      </c>
      <c r="I703" t="s">
        <v>86</v>
      </c>
    </row>
    <row r="704" spans="1:9" x14ac:dyDescent="0.35">
      <c r="A704" t="s">
        <v>26</v>
      </c>
      <c r="B704">
        <v>2040</v>
      </c>
      <c r="C704" t="s">
        <v>85</v>
      </c>
      <c r="D704" t="s">
        <v>38</v>
      </c>
      <c r="E704">
        <v>4.3856514546036698E-4</v>
      </c>
      <c r="F704">
        <v>4.3856281675570298E-4</v>
      </c>
      <c r="G704" s="1">
        <v>-2.3287046648640099E-9</v>
      </c>
      <c r="H704">
        <v>-5.3098261204034705E-4</v>
      </c>
      <c r="I704" t="s">
        <v>86</v>
      </c>
    </row>
    <row r="705" spans="1:9" x14ac:dyDescent="0.35">
      <c r="A705" t="s">
        <v>26</v>
      </c>
      <c r="B705">
        <v>2040</v>
      </c>
      <c r="C705" t="s">
        <v>85</v>
      </c>
      <c r="D705" t="s">
        <v>40</v>
      </c>
      <c r="E705">
        <v>2.6887246010687098E-4</v>
      </c>
      <c r="F705">
        <v>2.6887246010687098E-4</v>
      </c>
      <c r="G705">
        <v>0</v>
      </c>
      <c r="H705">
        <v>0</v>
      </c>
      <c r="I705" t="s">
        <v>86</v>
      </c>
    </row>
    <row r="706" spans="1:9" x14ac:dyDescent="0.35">
      <c r="A706" t="s">
        <v>26</v>
      </c>
      <c r="B706">
        <v>2040</v>
      </c>
      <c r="C706" t="s">
        <v>85</v>
      </c>
      <c r="D706" t="s">
        <v>41</v>
      </c>
      <c r="E706">
        <v>3.9406754393846001E-3</v>
      </c>
      <c r="F706">
        <v>3.87042780014252E-3</v>
      </c>
      <c r="G706" s="1">
        <v>-7.0247639242074401E-5</v>
      </c>
      <c r="H706">
        <v>-1.78262940763892</v>
      </c>
      <c r="I706" t="s">
        <v>86</v>
      </c>
    </row>
    <row r="707" spans="1:9" x14ac:dyDescent="0.35">
      <c r="A707" t="s">
        <v>26</v>
      </c>
      <c r="B707">
        <v>2040</v>
      </c>
      <c r="C707" t="s">
        <v>85</v>
      </c>
      <c r="D707" t="s">
        <v>42</v>
      </c>
      <c r="E707">
        <v>1.9266254097687101</v>
      </c>
      <c r="F707">
        <v>0.57391408108712505</v>
      </c>
      <c r="G707">
        <v>-1.3527113286815899</v>
      </c>
      <c r="H707">
        <v>-70.211434035014506</v>
      </c>
      <c r="I707" t="s">
        <v>86</v>
      </c>
    </row>
    <row r="708" spans="1:9" x14ac:dyDescent="0.35">
      <c r="A708" t="s">
        <v>26</v>
      </c>
      <c r="B708">
        <v>2040</v>
      </c>
      <c r="C708" t="s">
        <v>85</v>
      </c>
      <c r="D708" t="s">
        <v>43</v>
      </c>
      <c r="E708">
        <v>7.1196773881978496E-4</v>
      </c>
      <c r="F708">
        <v>7.1196773881978496E-4</v>
      </c>
      <c r="G708">
        <v>0</v>
      </c>
      <c r="H708">
        <v>0</v>
      </c>
      <c r="I708" t="s">
        <v>86</v>
      </c>
    </row>
    <row r="709" spans="1:9" x14ac:dyDescent="0.35">
      <c r="A709" t="s">
        <v>26</v>
      </c>
      <c r="B709">
        <v>2040</v>
      </c>
      <c r="C709" t="s">
        <v>85</v>
      </c>
      <c r="D709" t="s">
        <v>136</v>
      </c>
      <c r="E709">
        <v>0.64384703355630102</v>
      </c>
      <c r="F709">
        <v>0.64384703355630102</v>
      </c>
      <c r="G709">
        <v>0</v>
      </c>
      <c r="H709">
        <v>0</v>
      </c>
      <c r="I709" t="s">
        <v>86</v>
      </c>
    </row>
    <row r="710" spans="1:9" x14ac:dyDescent="0.35">
      <c r="A710" t="s">
        <v>26</v>
      </c>
      <c r="B710">
        <v>2040</v>
      </c>
      <c r="C710" t="s">
        <v>85</v>
      </c>
      <c r="D710" t="s">
        <v>45</v>
      </c>
      <c r="E710">
        <v>5.2507690188653804E-3</v>
      </c>
      <c r="F710">
        <v>5.0774914984067802E-3</v>
      </c>
      <c r="G710">
        <v>-1.73277520458593E-4</v>
      </c>
      <c r="H710">
        <v>-3.3000408099466498</v>
      </c>
      <c r="I710" t="s">
        <v>86</v>
      </c>
    </row>
    <row r="711" spans="1:9" x14ac:dyDescent="0.35">
      <c r="A711" t="s">
        <v>26</v>
      </c>
      <c r="B711">
        <v>2040</v>
      </c>
      <c r="C711" t="s">
        <v>85</v>
      </c>
      <c r="D711" t="s">
        <v>46</v>
      </c>
      <c r="E711">
        <v>3.8928651844387499E-2</v>
      </c>
      <c r="F711">
        <v>3.8928651844387499E-2</v>
      </c>
      <c r="G711">
        <v>0</v>
      </c>
      <c r="H711">
        <v>0</v>
      </c>
      <c r="I711" t="s">
        <v>86</v>
      </c>
    </row>
    <row r="712" spans="1:9" x14ac:dyDescent="0.35">
      <c r="A712" t="s">
        <v>26</v>
      </c>
      <c r="B712">
        <v>2040</v>
      </c>
      <c r="C712" t="s">
        <v>85</v>
      </c>
      <c r="D712" t="s">
        <v>47</v>
      </c>
      <c r="E712">
        <v>3.9184575887079703E-4</v>
      </c>
      <c r="F712">
        <v>3.9184575887079703E-4</v>
      </c>
      <c r="G712">
        <v>0</v>
      </c>
      <c r="H712">
        <v>0</v>
      </c>
      <c r="I712" t="s">
        <v>86</v>
      </c>
    </row>
    <row r="713" spans="1:9" x14ac:dyDescent="0.35">
      <c r="A713" t="s">
        <v>26</v>
      </c>
      <c r="B713">
        <v>2040</v>
      </c>
      <c r="C713" t="s">
        <v>85</v>
      </c>
      <c r="D713" t="s">
        <v>48</v>
      </c>
      <c r="E713">
        <v>42.686363454432097</v>
      </c>
      <c r="F713">
        <v>42.686363454432097</v>
      </c>
      <c r="G713">
        <v>0</v>
      </c>
      <c r="H713">
        <v>0</v>
      </c>
      <c r="I713" t="s">
        <v>86</v>
      </c>
    </row>
    <row r="714" spans="1:9" x14ac:dyDescent="0.35">
      <c r="A714" t="s">
        <v>26</v>
      </c>
      <c r="B714">
        <v>2040</v>
      </c>
      <c r="C714" t="s">
        <v>85</v>
      </c>
      <c r="D714" t="s">
        <v>49</v>
      </c>
      <c r="E714">
        <v>2.3384537071045701E-2</v>
      </c>
      <c r="F714">
        <v>2.2518149481662902E-2</v>
      </c>
      <c r="G714">
        <v>-8.6638758938278795E-4</v>
      </c>
      <c r="H714">
        <v>-3.7049593359516702</v>
      </c>
      <c r="I714" t="s">
        <v>86</v>
      </c>
    </row>
    <row r="715" spans="1:9" x14ac:dyDescent="0.35">
      <c r="A715" t="s">
        <v>26</v>
      </c>
      <c r="B715">
        <v>2040</v>
      </c>
      <c r="C715" t="s">
        <v>85</v>
      </c>
      <c r="D715" t="s">
        <v>50</v>
      </c>
      <c r="E715">
        <v>6.2807216769359001E-3</v>
      </c>
      <c r="F715">
        <v>6.2807216769359001E-3</v>
      </c>
      <c r="G715">
        <v>0</v>
      </c>
      <c r="H715">
        <v>0</v>
      </c>
      <c r="I715" t="s">
        <v>86</v>
      </c>
    </row>
    <row r="716" spans="1:9" x14ac:dyDescent="0.35">
      <c r="A716" t="s">
        <v>26</v>
      </c>
      <c r="B716">
        <v>2040</v>
      </c>
      <c r="C716" t="s">
        <v>85</v>
      </c>
      <c r="D716" t="s">
        <v>51</v>
      </c>
      <c r="E716">
        <v>3.6554689087178197E-2</v>
      </c>
      <c r="F716">
        <v>3.6554689087178197E-2</v>
      </c>
      <c r="G716">
        <v>0</v>
      </c>
      <c r="H716">
        <v>0</v>
      </c>
      <c r="I716" t="s">
        <v>86</v>
      </c>
    </row>
    <row r="717" spans="1:9" x14ac:dyDescent="0.35">
      <c r="A717" t="s">
        <v>26</v>
      </c>
      <c r="B717">
        <v>2040</v>
      </c>
      <c r="C717" t="s">
        <v>85</v>
      </c>
      <c r="D717" t="s">
        <v>52</v>
      </c>
      <c r="E717">
        <v>5.77012111702302E-2</v>
      </c>
      <c r="F717">
        <v>5.77012111702302E-2</v>
      </c>
      <c r="G717">
        <v>0</v>
      </c>
      <c r="H717">
        <v>0</v>
      </c>
      <c r="I717" t="s">
        <v>86</v>
      </c>
    </row>
    <row r="718" spans="1:9" x14ac:dyDescent="0.35">
      <c r="A718" t="s">
        <v>26</v>
      </c>
      <c r="B718">
        <v>2040</v>
      </c>
      <c r="C718" t="s">
        <v>85</v>
      </c>
      <c r="D718" t="s">
        <v>53</v>
      </c>
      <c r="E718">
        <v>0.276776283090792</v>
      </c>
      <c r="F718">
        <v>0.276776283090792</v>
      </c>
      <c r="G718">
        <v>0</v>
      </c>
      <c r="H718">
        <v>0</v>
      </c>
      <c r="I718" t="s">
        <v>86</v>
      </c>
    </row>
    <row r="719" spans="1:9" x14ac:dyDescent="0.35">
      <c r="A719" t="s">
        <v>26</v>
      </c>
      <c r="B719">
        <v>2040</v>
      </c>
      <c r="C719" t="s">
        <v>85</v>
      </c>
      <c r="D719" t="s">
        <v>54</v>
      </c>
      <c r="E719">
        <v>5.126570994001E-2</v>
      </c>
      <c r="F719">
        <v>4.4015629954262003E-2</v>
      </c>
      <c r="G719">
        <v>-7.2500799857480097E-3</v>
      </c>
      <c r="H719">
        <v>-14.142162459530701</v>
      </c>
      <c r="I719" t="s">
        <v>86</v>
      </c>
    </row>
    <row r="720" spans="1:9" x14ac:dyDescent="0.35">
      <c r="A720" t="s">
        <v>26</v>
      </c>
      <c r="B720">
        <v>2040</v>
      </c>
      <c r="C720" t="s">
        <v>85</v>
      </c>
      <c r="D720" t="s">
        <v>55</v>
      </c>
      <c r="E720">
        <v>4.7387496267356902E-2</v>
      </c>
      <c r="F720">
        <v>4.0239438141638099E-2</v>
      </c>
      <c r="G720">
        <v>-7.1480581257187901E-3</v>
      </c>
      <c r="H720">
        <v>-15.084270511761</v>
      </c>
      <c r="I720" t="s">
        <v>86</v>
      </c>
    </row>
    <row r="721" spans="1:9" x14ac:dyDescent="0.35">
      <c r="A721" t="s">
        <v>26</v>
      </c>
      <c r="B721">
        <v>2040</v>
      </c>
      <c r="C721" t="s">
        <v>85</v>
      </c>
      <c r="D721" t="s">
        <v>56</v>
      </c>
      <c r="E721" s="1">
        <v>5.2240969045543398E-8</v>
      </c>
      <c r="F721" s="1">
        <v>5.2240969045543398E-8</v>
      </c>
      <c r="G721">
        <v>0</v>
      </c>
      <c r="H721">
        <v>0</v>
      </c>
      <c r="I721" t="s">
        <v>86</v>
      </c>
    </row>
    <row r="722" spans="1:9" x14ac:dyDescent="0.35">
      <c r="A722" t="s">
        <v>20</v>
      </c>
      <c r="B722">
        <v>2025</v>
      </c>
      <c r="C722" t="s">
        <v>72</v>
      </c>
      <c r="D722" t="s">
        <v>38</v>
      </c>
      <c r="E722">
        <v>2.04613991993121E-3</v>
      </c>
      <c r="F722">
        <v>2.04613991993121E-3</v>
      </c>
      <c r="G722">
        <v>0</v>
      </c>
      <c r="H722">
        <v>0</v>
      </c>
      <c r="I722" t="s">
        <v>73</v>
      </c>
    </row>
    <row r="723" spans="1:9" x14ac:dyDescent="0.35">
      <c r="A723" t="s">
        <v>20</v>
      </c>
      <c r="B723">
        <v>2025</v>
      </c>
      <c r="C723" t="s">
        <v>72</v>
      </c>
      <c r="D723" t="s">
        <v>40</v>
      </c>
      <c r="E723">
        <v>1.30268941970996E-3</v>
      </c>
      <c r="F723">
        <v>1.30268941970996E-3</v>
      </c>
      <c r="G723">
        <v>0</v>
      </c>
      <c r="H723">
        <v>0</v>
      </c>
      <c r="I723" t="s">
        <v>73</v>
      </c>
    </row>
    <row r="724" spans="1:9" x14ac:dyDescent="0.35">
      <c r="A724" t="s">
        <v>20</v>
      </c>
      <c r="B724">
        <v>2025</v>
      </c>
      <c r="C724" t="s">
        <v>72</v>
      </c>
      <c r="D724" t="s">
        <v>41</v>
      </c>
      <c r="E724">
        <v>3.5674070117984201E-2</v>
      </c>
      <c r="F724">
        <v>3.5674070117984201E-2</v>
      </c>
      <c r="G724">
        <v>0</v>
      </c>
      <c r="H724">
        <v>0</v>
      </c>
      <c r="I724" t="s">
        <v>73</v>
      </c>
    </row>
    <row r="725" spans="1:9" x14ac:dyDescent="0.35">
      <c r="A725" t="s">
        <v>20</v>
      </c>
      <c r="B725">
        <v>2025</v>
      </c>
      <c r="C725" t="s">
        <v>72</v>
      </c>
      <c r="D725" t="s">
        <v>42</v>
      </c>
      <c r="E725">
        <v>5.7257296984386699</v>
      </c>
      <c r="F725">
        <v>5.7257296984386699</v>
      </c>
      <c r="G725">
        <v>0</v>
      </c>
      <c r="H725">
        <v>0</v>
      </c>
      <c r="I725" t="s">
        <v>73</v>
      </c>
    </row>
    <row r="726" spans="1:9" x14ac:dyDescent="0.35">
      <c r="A726" t="s">
        <v>20</v>
      </c>
      <c r="B726">
        <v>2025</v>
      </c>
      <c r="C726" t="s">
        <v>72</v>
      </c>
      <c r="D726" t="s">
        <v>43</v>
      </c>
      <c r="E726">
        <v>3.9569751805430403E-2</v>
      </c>
      <c r="F726">
        <v>3.9569751805430403E-2</v>
      </c>
      <c r="G726">
        <v>0</v>
      </c>
      <c r="H726">
        <v>0</v>
      </c>
      <c r="I726" t="s">
        <v>73</v>
      </c>
    </row>
    <row r="727" spans="1:9" x14ac:dyDescent="0.35">
      <c r="A727" t="s">
        <v>20</v>
      </c>
      <c r="B727">
        <v>2025</v>
      </c>
      <c r="C727" t="s">
        <v>72</v>
      </c>
      <c r="D727" t="s">
        <v>136</v>
      </c>
      <c r="E727">
        <v>8.7176494780282692</v>
      </c>
      <c r="F727">
        <v>8.7176494780282692</v>
      </c>
      <c r="G727">
        <v>0</v>
      </c>
      <c r="H727">
        <v>0</v>
      </c>
      <c r="I727" t="s">
        <v>73</v>
      </c>
    </row>
    <row r="728" spans="1:9" x14ac:dyDescent="0.35">
      <c r="A728" t="s">
        <v>20</v>
      </c>
      <c r="B728">
        <v>2025</v>
      </c>
      <c r="C728" t="s">
        <v>72</v>
      </c>
      <c r="D728" t="s">
        <v>45</v>
      </c>
      <c r="E728">
        <v>3.3884462474258401E-2</v>
      </c>
      <c r="F728">
        <v>3.3884462474258401E-2</v>
      </c>
      <c r="G728">
        <v>0</v>
      </c>
      <c r="H728">
        <v>0</v>
      </c>
      <c r="I728" t="s">
        <v>73</v>
      </c>
    </row>
    <row r="729" spans="1:9" x14ac:dyDescent="0.35">
      <c r="A729" t="s">
        <v>20</v>
      </c>
      <c r="B729">
        <v>2025</v>
      </c>
      <c r="C729" t="s">
        <v>72</v>
      </c>
      <c r="D729" t="s">
        <v>46</v>
      </c>
      <c r="E729">
        <v>0.182042385415914</v>
      </c>
      <c r="F729">
        <v>0.182042385415914</v>
      </c>
      <c r="G729">
        <v>0</v>
      </c>
      <c r="H729">
        <v>0</v>
      </c>
      <c r="I729" t="s">
        <v>73</v>
      </c>
    </row>
    <row r="730" spans="1:9" x14ac:dyDescent="0.35">
      <c r="A730" t="s">
        <v>20</v>
      </c>
      <c r="B730">
        <v>2025</v>
      </c>
      <c r="C730" t="s">
        <v>72</v>
      </c>
      <c r="D730" t="s">
        <v>47</v>
      </c>
      <c r="E730">
        <v>6.0270646359573297E-3</v>
      </c>
      <c r="F730">
        <v>6.0270646359573297E-3</v>
      </c>
      <c r="G730">
        <v>0</v>
      </c>
      <c r="H730">
        <v>0</v>
      </c>
      <c r="I730" t="s">
        <v>73</v>
      </c>
    </row>
    <row r="731" spans="1:9" x14ac:dyDescent="0.35">
      <c r="A731" t="s">
        <v>20</v>
      </c>
      <c r="B731">
        <v>2025</v>
      </c>
      <c r="C731" t="s">
        <v>72</v>
      </c>
      <c r="D731" t="s">
        <v>48</v>
      </c>
      <c r="E731">
        <v>1.17954209069973</v>
      </c>
      <c r="F731">
        <v>1.17954209069973</v>
      </c>
      <c r="G731">
        <v>0</v>
      </c>
      <c r="H731">
        <v>0</v>
      </c>
      <c r="I731" t="s">
        <v>73</v>
      </c>
    </row>
    <row r="732" spans="1:9" x14ac:dyDescent="0.35">
      <c r="A732" t="s">
        <v>20</v>
      </c>
      <c r="B732">
        <v>2025</v>
      </c>
      <c r="C732" t="s">
        <v>72</v>
      </c>
      <c r="D732" t="s">
        <v>49</v>
      </c>
      <c r="E732">
        <v>6.1585128900729799E-2</v>
      </c>
      <c r="F732">
        <v>6.1585128900729799E-2</v>
      </c>
      <c r="G732">
        <v>0</v>
      </c>
      <c r="H732">
        <v>0</v>
      </c>
      <c r="I732" t="s">
        <v>73</v>
      </c>
    </row>
    <row r="733" spans="1:9" x14ac:dyDescent="0.35">
      <c r="A733" t="s">
        <v>20</v>
      </c>
      <c r="B733">
        <v>2025</v>
      </c>
      <c r="C733" t="s">
        <v>72</v>
      </c>
      <c r="D733" t="s">
        <v>50</v>
      </c>
      <c r="E733">
        <v>0.13557551249232699</v>
      </c>
      <c r="F733">
        <v>0.13557551249232699</v>
      </c>
      <c r="G733">
        <v>0</v>
      </c>
      <c r="H733">
        <v>0</v>
      </c>
      <c r="I733" t="s">
        <v>73</v>
      </c>
    </row>
    <row r="734" spans="1:9" x14ac:dyDescent="0.35">
      <c r="A734" t="s">
        <v>20</v>
      </c>
      <c r="B734">
        <v>2025</v>
      </c>
      <c r="C734" t="s">
        <v>72</v>
      </c>
      <c r="D734" t="s">
        <v>51</v>
      </c>
      <c r="E734">
        <v>0.22977879002155399</v>
      </c>
      <c r="F734">
        <v>0.22977879002155399</v>
      </c>
      <c r="G734">
        <v>0</v>
      </c>
      <c r="H734">
        <v>0</v>
      </c>
      <c r="I734" t="s">
        <v>73</v>
      </c>
    </row>
    <row r="735" spans="1:9" x14ac:dyDescent="0.35">
      <c r="A735" t="s">
        <v>20</v>
      </c>
      <c r="B735">
        <v>2025</v>
      </c>
      <c r="C735" t="s">
        <v>72</v>
      </c>
      <c r="D735" t="s">
        <v>52</v>
      </c>
      <c r="E735">
        <v>0.60423205815022996</v>
      </c>
      <c r="F735">
        <v>0.60423205815022996</v>
      </c>
      <c r="G735">
        <v>0</v>
      </c>
      <c r="H735">
        <v>0</v>
      </c>
      <c r="I735" t="s">
        <v>73</v>
      </c>
    </row>
    <row r="736" spans="1:9" x14ac:dyDescent="0.35">
      <c r="A736" t="s">
        <v>20</v>
      </c>
      <c r="B736">
        <v>2025</v>
      </c>
      <c r="C736" t="s">
        <v>72</v>
      </c>
      <c r="D736" t="s">
        <v>53</v>
      </c>
      <c r="E736">
        <v>2.73654051624088</v>
      </c>
      <c r="F736">
        <v>2.73654051624088</v>
      </c>
      <c r="G736">
        <v>0</v>
      </c>
      <c r="H736">
        <v>0</v>
      </c>
      <c r="I736" t="s">
        <v>73</v>
      </c>
    </row>
    <row r="737" spans="1:9" x14ac:dyDescent="0.35">
      <c r="A737" t="s">
        <v>20</v>
      </c>
      <c r="B737">
        <v>2025</v>
      </c>
      <c r="C737" t="s">
        <v>72</v>
      </c>
      <c r="D737" t="s">
        <v>54</v>
      </c>
      <c r="E737">
        <v>0.880206764700737</v>
      </c>
      <c r="F737">
        <v>0.880206764700737</v>
      </c>
      <c r="G737">
        <v>0</v>
      </c>
      <c r="H737">
        <v>0</v>
      </c>
      <c r="I737" t="s">
        <v>73</v>
      </c>
    </row>
    <row r="738" spans="1:9" x14ac:dyDescent="0.35">
      <c r="A738" t="s">
        <v>20</v>
      </c>
      <c r="B738">
        <v>2025</v>
      </c>
      <c r="C738" t="s">
        <v>72</v>
      </c>
      <c r="D738" t="s">
        <v>55</v>
      </c>
      <c r="E738">
        <v>0.53118728820368899</v>
      </c>
      <c r="F738">
        <v>0.53118728820368899</v>
      </c>
      <c r="G738">
        <v>0</v>
      </c>
      <c r="H738">
        <v>0</v>
      </c>
      <c r="I738" t="s">
        <v>73</v>
      </c>
    </row>
    <row r="739" spans="1:9" x14ac:dyDescent="0.35">
      <c r="A739" t="s">
        <v>20</v>
      </c>
      <c r="B739">
        <v>2025</v>
      </c>
      <c r="C739" t="s">
        <v>72</v>
      </c>
      <c r="D739" t="s">
        <v>56</v>
      </c>
      <c r="E739" s="1">
        <v>1.02593044695288E-6</v>
      </c>
      <c r="F739" s="1">
        <v>1.02593044695288E-6</v>
      </c>
      <c r="G739">
        <v>0</v>
      </c>
      <c r="H739">
        <v>0</v>
      </c>
      <c r="I739" t="s">
        <v>73</v>
      </c>
    </row>
    <row r="740" spans="1:9" x14ac:dyDescent="0.35">
      <c r="A740" t="s">
        <v>22</v>
      </c>
      <c r="B740">
        <v>2030</v>
      </c>
      <c r="C740" t="s">
        <v>72</v>
      </c>
      <c r="D740" t="s">
        <v>38</v>
      </c>
      <c r="E740">
        <v>3.0974991584684099E-3</v>
      </c>
      <c r="F740">
        <v>3.0974991584684099E-3</v>
      </c>
      <c r="G740">
        <v>0</v>
      </c>
      <c r="H740">
        <v>0</v>
      </c>
      <c r="I740" t="s">
        <v>73</v>
      </c>
    </row>
    <row r="741" spans="1:9" x14ac:dyDescent="0.35">
      <c r="A741" t="s">
        <v>22</v>
      </c>
      <c r="B741">
        <v>2030</v>
      </c>
      <c r="C741" t="s">
        <v>72</v>
      </c>
      <c r="D741" t="s">
        <v>40</v>
      </c>
      <c r="E741">
        <v>1.26314288583347E-3</v>
      </c>
      <c r="F741">
        <v>1.26314288583347E-3</v>
      </c>
      <c r="G741">
        <v>0</v>
      </c>
      <c r="H741">
        <v>0</v>
      </c>
      <c r="I741" t="s">
        <v>73</v>
      </c>
    </row>
    <row r="742" spans="1:9" x14ac:dyDescent="0.35">
      <c r="A742" t="s">
        <v>22</v>
      </c>
      <c r="B742">
        <v>2030</v>
      </c>
      <c r="C742" t="s">
        <v>72</v>
      </c>
      <c r="D742" t="s">
        <v>41</v>
      </c>
      <c r="E742">
        <v>3.4717185566992902E-2</v>
      </c>
      <c r="F742">
        <v>3.4717185566992902E-2</v>
      </c>
      <c r="G742">
        <v>0</v>
      </c>
      <c r="H742">
        <v>0</v>
      </c>
      <c r="I742" t="s">
        <v>73</v>
      </c>
    </row>
    <row r="743" spans="1:9" x14ac:dyDescent="0.35">
      <c r="A743" t="s">
        <v>22</v>
      </c>
      <c r="B743">
        <v>2030</v>
      </c>
      <c r="C743" t="s">
        <v>72</v>
      </c>
      <c r="D743" t="s">
        <v>42</v>
      </c>
      <c r="E743">
        <v>6.0780063386613801</v>
      </c>
      <c r="F743">
        <v>6.0780063386613801</v>
      </c>
      <c r="G743">
        <v>0</v>
      </c>
      <c r="H743">
        <v>0</v>
      </c>
      <c r="I743" t="s">
        <v>73</v>
      </c>
    </row>
    <row r="744" spans="1:9" x14ac:dyDescent="0.35">
      <c r="A744" t="s">
        <v>22</v>
      </c>
      <c r="B744">
        <v>2030</v>
      </c>
      <c r="C744" t="s">
        <v>72</v>
      </c>
      <c r="D744" t="s">
        <v>43</v>
      </c>
      <c r="E744">
        <v>3.9625210736912497E-2</v>
      </c>
      <c r="F744">
        <v>3.9625210736912497E-2</v>
      </c>
      <c r="G744">
        <v>0</v>
      </c>
      <c r="H744">
        <v>0</v>
      </c>
      <c r="I744" t="s">
        <v>73</v>
      </c>
    </row>
    <row r="745" spans="1:9" x14ac:dyDescent="0.35">
      <c r="A745" t="s">
        <v>22</v>
      </c>
      <c r="B745">
        <v>2030</v>
      </c>
      <c r="C745" t="s">
        <v>72</v>
      </c>
      <c r="D745" t="s">
        <v>136</v>
      </c>
      <c r="E745">
        <v>8.5696094285774507</v>
      </c>
      <c r="F745">
        <v>8.5696094285774507</v>
      </c>
      <c r="G745">
        <v>0</v>
      </c>
      <c r="H745">
        <v>0</v>
      </c>
      <c r="I745" t="s">
        <v>73</v>
      </c>
    </row>
    <row r="746" spans="1:9" x14ac:dyDescent="0.35">
      <c r="A746" t="s">
        <v>22</v>
      </c>
      <c r="B746">
        <v>2030</v>
      </c>
      <c r="C746" t="s">
        <v>72</v>
      </c>
      <c r="D746" t="s">
        <v>45</v>
      </c>
      <c r="E746">
        <v>3.2603623001418197E-2</v>
      </c>
      <c r="F746">
        <v>3.2603623001418197E-2</v>
      </c>
      <c r="G746">
        <v>0</v>
      </c>
      <c r="H746">
        <v>0</v>
      </c>
      <c r="I746" t="s">
        <v>73</v>
      </c>
    </row>
    <row r="747" spans="1:9" x14ac:dyDescent="0.35">
      <c r="A747" t="s">
        <v>22</v>
      </c>
      <c r="B747">
        <v>2030</v>
      </c>
      <c r="C747" t="s">
        <v>72</v>
      </c>
      <c r="D747" t="s">
        <v>46</v>
      </c>
      <c r="E747">
        <v>0.239787762570873</v>
      </c>
      <c r="F747">
        <v>0.239787762570873</v>
      </c>
      <c r="G747">
        <v>0</v>
      </c>
      <c r="H747">
        <v>0</v>
      </c>
      <c r="I747" t="s">
        <v>73</v>
      </c>
    </row>
    <row r="748" spans="1:9" x14ac:dyDescent="0.35">
      <c r="A748" t="s">
        <v>22</v>
      </c>
      <c r="B748">
        <v>2030</v>
      </c>
      <c r="C748" t="s">
        <v>72</v>
      </c>
      <c r="D748" t="s">
        <v>47</v>
      </c>
      <c r="E748">
        <v>6.73314739692736E-3</v>
      </c>
      <c r="F748">
        <v>6.73314739692736E-3</v>
      </c>
      <c r="G748">
        <v>0</v>
      </c>
      <c r="H748">
        <v>0</v>
      </c>
      <c r="I748" t="s">
        <v>73</v>
      </c>
    </row>
    <row r="749" spans="1:9" x14ac:dyDescent="0.35">
      <c r="A749" t="s">
        <v>22</v>
      </c>
      <c r="B749">
        <v>2030</v>
      </c>
      <c r="C749" t="s">
        <v>72</v>
      </c>
      <c r="D749" t="s">
        <v>48</v>
      </c>
      <c r="E749">
        <v>1.18100156383437</v>
      </c>
      <c r="F749">
        <v>1.18100156383437</v>
      </c>
      <c r="G749">
        <v>0</v>
      </c>
      <c r="H749">
        <v>0</v>
      </c>
      <c r="I749" t="s">
        <v>73</v>
      </c>
    </row>
    <row r="750" spans="1:9" x14ac:dyDescent="0.35">
      <c r="A750" t="s">
        <v>22</v>
      </c>
      <c r="B750">
        <v>2030</v>
      </c>
      <c r="C750" t="s">
        <v>72</v>
      </c>
      <c r="D750" t="s">
        <v>49</v>
      </c>
      <c r="E750">
        <v>6.0286275086764401E-2</v>
      </c>
      <c r="F750">
        <v>6.0286275086764401E-2</v>
      </c>
      <c r="G750">
        <v>0</v>
      </c>
      <c r="H750">
        <v>0</v>
      </c>
      <c r="I750" t="s">
        <v>73</v>
      </c>
    </row>
    <row r="751" spans="1:9" x14ac:dyDescent="0.35">
      <c r="A751" t="s">
        <v>22</v>
      </c>
      <c r="B751">
        <v>2030</v>
      </c>
      <c r="C751" t="s">
        <v>72</v>
      </c>
      <c r="D751" t="s">
        <v>50</v>
      </c>
      <c r="E751">
        <v>0.13884808796136699</v>
      </c>
      <c r="F751">
        <v>0.13884808796136699</v>
      </c>
      <c r="G751">
        <v>0</v>
      </c>
      <c r="H751">
        <v>0</v>
      </c>
      <c r="I751" t="s">
        <v>73</v>
      </c>
    </row>
    <row r="752" spans="1:9" x14ac:dyDescent="0.35">
      <c r="A752" t="s">
        <v>22</v>
      </c>
      <c r="B752">
        <v>2030</v>
      </c>
      <c r="C752" t="s">
        <v>72</v>
      </c>
      <c r="D752" t="s">
        <v>51</v>
      </c>
      <c r="E752">
        <v>0.22738300896792801</v>
      </c>
      <c r="F752">
        <v>0.22738300896792801</v>
      </c>
      <c r="G752">
        <v>0</v>
      </c>
      <c r="H752">
        <v>0</v>
      </c>
      <c r="I752" t="s">
        <v>73</v>
      </c>
    </row>
    <row r="753" spans="1:9" x14ac:dyDescent="0.35">
      <c r="A753" t="s">
        <v>22</v>
      </c>
      <c r="B753">
        <v>2030</v>
      </c>
      <c r="C753" t="s">
        <v>72</v>
      </c>
      <c r="D753" t="s">
        <v>52</v>
      </c>
      <c r="E753">
        <v>0.53629991501683105</v>
      </c>
      <c r="F753">
        <v>0.53629991501683105</v>
      </c>
      <c r="G753">
        <v>0</v>
      </c>
      <c r="H753">
        <v>0</v>
      </c>
      <c r="I753" t="s">
        <v>73</v>
      </c>
    </row>
    <row r="754" spans="1:9" x14ac:dyDescent="0.35">
      <c r="A754" t="s">
        <v>22</v>
      </c>
      <c r="B754">
        <v>2030</v>
      </c>
      <c r="C754" t="s">
        <v>72</v>
      </c>
      <c r="D754" t="s">
        <v>53</v>
      </c>
      <c r="E754">
        <v>2.7188100117665401</v>
      </c>
      <c r="F754">
        <v>2.7188100117665401</v>
      </c>
      <c r="G754">
        <v>0</v>
      </c>
      <c r="H754">
        <v>0</v>
      </c>
      <c r="I754" t="s">
        <v>73</v>
      </c>
    </row>
    <row r="755" spans="1:9" x14ac:dyDescent="0.35">
      <c r="A755" t="s">
        <v>22</v>
      </c>
      <c r="B755">
        <v>2030</v>
      </c>
      <c r="C755" t="s">
        <v>72</v>
      </c>
      <c r="D755" t="s">
        <v>54</v>
      </c>
      <c r="E755">
        <v>0.89520384252261698</v>
      </c>
      <c r="F755">
        <v>0.89520384252261698</v>
      </c>
      <c r="G755">
        <v>0</v>
      </c>
      <c r="H755">
        <v>0</v>
      </c>
      <c r="I755" t="s">
        <v>73</v>
      </c>
    </row>
    <row r="756" spans="1:9" x14ac:dyDescent="0.35">
      <c r="A756" t="s">
        <v>22</v>
      </c>
      <c r="B756">
        <v>2030</v>
      </c>
      <c r="C756" t="s">
        <v>72</v>
      </c>
      <c r="D756" t="s">
        <v>55</v>
      </c>
      <c r="E756">
        <v>0.54426988762209005</v>
      </c>
      <c r="F756">
        <v>0.54426988762209005</v>
      </c>
      <c r="G756">
        <v>0</v>
      </c>
      <c r="H756">
        <v>0</v>
      </c>
      <c r="I756" t="s">
        <v>73</v>
      </c>
    </row>
    <row r="757" spans="1:9" x14ac:dyDescent="0.35">
      <c r="A757" t="s">
        <v>22</v>
      </c>
      <c r="B757">
        <v>2030</v>
      </c>
      <c r="C757" t="s">
        <v>72</v>
      </c>
      <c r="D757" t="s">
        <v>56</v>
      </c>
      <c r="E757" s="1">
        <v>1.0050282483504699E-6</v>
      </c>
      <c r="F757" s="1">
        <v>1.0050282483504699E-6</v>
      </c>
      <c r="G757">
        <v>0</v>
      </c>
      <c r="H757">
        <v>0</v>
      </c>
      <c r="I757" t="s">
        <v>73</v>
      </c>
    </row>
    <row r="758" spans="1:9" x14ac:dyDescent="0.35">
      <c r="A758" t="s">
        <v>24</v>
      </c>
      <c r="B758">
        <v>2035</v>
      </c>
      <c r="C758" t="s">
        <v>72</v>
      </c>
      <c r="D758" t="s">
        <v>38</v>
      </c>
      <c r="E758">
        <v>3.9538338581821897E-3</v>
      </c>
      <c r="F758">
        <v>3.9538338581821897E-3</v>
      </c>
      <c r="G758">
        <v>0</v>
      </c>
      <c r="H758">
        <v>0</v>
      </c>
      <c r="I758" t="s">
        <v>73</v>
      </c>
    </row>
    <row r="759" spans="1:9" x14ac:dyDescent="0.35">
      <c r="A759" t="s">
        <v>24</v>
      </c>
      <c r="B759">
        <v>2035</v>
      </c>
      <c r="C759" t="s">
        <v>72</v>
      </c>
      <c r="D759" t="s">
        <v>40</v>
      </c>
      <c r="E759">
        <v>1.24209817171035E-3</v>
      </c>
      <c r="F759">
        <v>1.24209817171035E-3</v>
      </c>
      <c r="G759">
        <v>0</v>
      </c>
      <c r="H759">
        <v>0</v>
      </c>
      <c r="I759" t="s">
        <v>73</v>
      </c>
    </row>
    <row r="760" spans="1:9" x14ac:dyDescent="0.35">
      <c r="A760" t="s">
        <v>24</v>
      </c>
      <c r="B760">
        <v>2035</v>
      </c>
      <c r="C760" t="s">
        <v>72</v>
      </c>
      <c r="D760" t="s">
        <v>41</v>
      </c>
      <c r="E760">
        <v>3.4298003587193503E-2</v>
      </c>
      <c r="F760">
        <v>3.4298003587193503E-2</v>
      </c>
      <c r="G760">
        <v>0</v>
      </c>
      <c r="H760">
        <v>0</v>
      </c>
      <c r="I760" t="s">
        <v>73</v>
      </c>
    </row>
    <row r="761" spans="1:9" x14ac:dyDescent="0.35">
      <c r="A761" t="s">
        <v>24</v>
      </c>
      <c r="B761">
        <v>2035</v>
      </c>
      <c r="C761" t="s">
        <v>72</v>
      </c>
      <c r="D761" t="s">
        <v>42</v>
      </c>
      <c r="E761">
        <v>6.6032582293515603</v>
      </c>
      <c r="F761">
        <v>6.6032582293515603</v>
      </c>
      <c r="G761">
        <v>0</v>
      </c>
      <c r="H761">
        <v>0</v>
      </c>
      <c r="I761" t="s">
        <v>73</v>
      </c>
    </row>
    <row r="762" spans="1:9" x14ac:dyDescent="0.35">
      <c r="A762" t="s">
        <v>24</v>
      </c>
      <c r="B762">
        <v>2035</v>
      </c>
      <c r="C762" t="s">
        <v>72</v>
      </c>
      <c r="D762" t="s">
        <v>43</v>
      </c>
      <c r="E762">
        <v>3.9854414519607799E-2</v>
      </c>
      <c r="F762">
        <v>3.9854414519607799E-2</v>
      </c>
      <c r="G762">
        <v>0</v>
      </c>
      <c r="H762">
        <v>0</v>
      </c>
      <c r="I762" t="s">
        <v>73</v>
      </c>
    </row>
    <row r="763" spans="1:9" x14ac:dyDescent="0.35">
      <c r="A763" t="s">
        <v>24</v>
      </c>
      <c r="B763">
        <v>2035</v>
      </c>
      <c r="C763" t="s">
        <v>72</v>
      </c>
      <c r="D763" t="s">
        <v>136</v>
      </c>
      <c r="E763">
        <v>8.7829059707752304</v>
      </c>
      <c r="F763">
        <v>8.7829059707752304</v>
      </c>
      <c r="G763">
        <v>0</v>
      </c>
      <c r="H763">
        <v>0</v>
      </c>
      <c r="I763" t="s">
        <v>73</v>
      </c>
    </row>
    <row r="764" spans="1:9" x14ac:dyDescent="0.35">
      <c r="A764" t="s">
        <v>24</v>
      </c>
      <c r="B764">
        <v>2035</v>
      </c>
      <c r="C764" t="s">
        <v>72</v>
      </c>
      <c r="D764" t="s">
        <v>45</v>
      </c>
      <c r="E764">
        <v>3.1920759971134499E-2</v>
      </c>
      <c r="F764">
        <v>3.1920759971134499E-2</v>
      </c>
      <c r="G764">
        <v>0</v>
      </c>
      <c r="H764">
        <v>0</v>
      </c>
      <c r="I764" t="s">
        <v>73</v>
      </c>
    </row>
    <row r="765" spans="1:9" x14ac:dyDescent="0.35">
      <c r="A765" t="s">
        <v>24</v>
      </c>
      <c r="B765">
        <v>2035</v>
      </c>
      <c r="C765" t="s">
        <v>72</v>
      </c>
      <c r="D765" t="s">
        <v>46</v>
      </c>
      <c r="E765">
        <v>0.29525813182071797</v>
      </c>
      <c r="F765">
        <v>0.29525813182071797</v>
      </c>
      <c r="G765">
        <v>0</v>
      </c>
      <c r="H765">
        <v>0</v>
      </c>
      <c r="I765" t="s">
        <v>73</v>
      </c>
    </row>
    <row r="766" spans="1:9" x14ac:dyDescent="0.35">
      <c r="A766" t="s">
        <v>24</v>
      </c>
      <c r="B766">
        <v>2035</v>
      </c>
      <c r="C766" t="s">
        <v>72</v>
      </c>
      <c r="D766" t="s">
        <v>47</v>
      </c>
      <c r="E766">
        <v>7.6963908606705296E-3</v>
      </c>
      <c r="F766">
        <v>7.6963908606705296E-3</v>
      </c>
      <c r="G766">
        <v>0</v>
      </c>
      <c r="H766">
        <v>0</v>
      </c>
      <c r="I766" t="s">
        <v>73</v>
      </c>
    </row>
    <row r="767" spans="1:9" x14ac:dyDescent="0.35">
      <c r="A767" t="s">
        <v>24</v>
      </c>
      <c r="B767">
        <v>2035</v>
      </c>
      <c r="C767" t="s">
        <v>72</v>
      </c>
      <c r="D767" t="s">
        <v>48</v>
      </c>
      <c r="E767">
        <v>1.18121347403358</v>
      </c>
      <c r="F767">
        <v>1.18121347403358</v>
      </c>
      <c r="G767">
        <v>0</v>
      </c>
      <c r="H767">
        <v>0</v>
      </c>
      <c r="I767" t="s">
        <v>73</v>
      </c>
    </row>
    <row r="768" spans="1:9" x14ac:dyDescent="0.35">
      <c r="A768" t="s">
        <v>24</v>
      </c>
      <c r="B768">
        <v>2035</v>
      </c>
      <c r="C768" t="s">
        <v>72</v>
      </c>
      <c r="D768" t="s">
        <v>49</v>
      </c>
      <c r="E768">
        <v>5.97840352583991E-2</v>
      </c>
      <c r="F768">
        <v>5.97840352583991E-2</v>
      </c>
      <c r="G768">
        <v>0</v>
      </c>
      <c r="H768">
        <v>0</v>
      </c>
      <c r="I768" t="s">
        <v>73</v>
      </c>
    </row>
    <row r="769" spans="1:9" x14ac:dyDescent="0.35">
      <c r="A769" t="s">
        <v>24</v>
      </c>
      <c r="B769">
        <v>2035</v>
      </c>
      <c r="C769" t="s">
        <v>72</v>
      </c>
      <c r="D769" t="s">
        <v>50</v>
      </c>
      <c r="E769">
        <v>0.14230381346225501</v>
      </c>
      <c r="F769">
        <v>0.14230381346225501</v>
      </c>
      <c r="G769">
        <v>0</v>
      </c>
      <c r="H769">
        <v>0</v>
      </c>
      <c r="I769" t="s">
        <v>73</v>
      </c>
    </row>
    <row r="770" spans="1:9" x14ac:dyDescent="0.35">
      <c r="A770" t="s">
        <v>24</v>
      </c>
      <c r="B770">
        <v>2035</v>
      </c>
      <c r="C770" t="s">
        <v>72</v>
      </c>
      <c r="D770" t="s">
        <v>51</v>
      </c>
      <c r="E770">
        <v>0.22651608173269999</v>
      </c>
      <c r="F770">
        <v>0.22651608173269999</v>
      </c>
      <c r="G770">
        <v>0</v>
      </c>
      <c r="H770">
        <v>0</v>
      </c>
      <c r="I770" t="s">
        <v>73</v>
      </c>
    </row>
    <row r="771" spans="1:9" x14ac:dyDescent="0.35">
      <c r="A771" t="s">
        <v>24</v>
      </c>
      <c r="B771">
        <v>2035</v>
      </c>
      <c r="C771" t="s">
        <v>72</v>
      </c>
      <c r="D771" t="s">
        <v>52</v>
      </c>
      <c r="E771">
        <v>0.47198367369293498</v>
      </c>
      <c r="F771">
        <v>0.47198367369293498</v>
      </c>
      <c r="G771">
        <v>0</v>
      </c>
      <c r="H771">
        <v>0</v>
      </c>
      <c r="I771" t="s">
        <v>73</v>
      </c>
    </row>
    <row r="772" spans="1:9" x14ac:dyDescent="0.35">
      <c r="A772" t="s">
        <v>24</v>
      </c>
      <c r="B772">
        <v>2035</v>
      </c>
      <c r="C772" t="s">
        <v>72</v>
      </c>
      <c r="D772" t="s">
        <v>53</v>
      </c>
      <c r="E772">
        <v>2.7822004473426301</v>
      </c>
      <c r="F772">
        <v>2.7822004473426301</v>
      </c>
      <c r="G772">
        <v>0</v>
      </c>
      <c r="H772">
        <v>0</v>
      </c>
      <c r="I772" t="s">
        <v>73</v>
      </c>
    </row>
    <row r="773" spans="1:9" x14ac:dyDescent="0.35">
      <c r="A773" t="s">
        <v>24</v>
      </c>
      <c r="B773">
        <v>2035</v>
      </c>
      <c r="C773" t="s">
        <v>72</v>
      </c>
      <c r="D773" t="s">
        <v>54</v>
      </c>
      <c r="E773">
        <v>0.91020995113937497</v>
      </c>
      <c r="F773">
        <v>0.91020995113937497</v>
      </c>
      <c r="G773">
        <v>0</v>
      </c>
      <c r="H773">
        <v>0</v>
      </c>
      <c r="I773" t="s">
        <v>73</v>
      </c>
    </row>
    <row r="774" spans="1:9" x14ac:dyDescent="0.35">
      <c r="A774" t="s">
        <v>24</v>
      </c>
      <c r="B774">
        <v>2035</v>
      </c>
      <c r="C774" t="s">
        <v>72</v>
      </c>
      <c r="D774" t="s">
        <v>55</v>
      </c>
      <c r="E774">
        <v>0.55798382557118797</v>
      </c>
      <c r="F774">
        <v>0.55798382557118797</v>
      </c>
      <c r="G774">
        <v>0</v>
      </c>
      <c r="H774">
        <v>0</v>
      </c>
      <c r="I774" t="s">
        <v>73</v>
      </c>
    </row>
    <row r="775" spans="1:9" x14ac:dyDescent="0.35">
      <c r="A775" t="s">
        <v>24</v>
      </c>
      <c r="B775">
        <v>2035</v>
      </c>
      <c r="C775" t="s">
        <v>72</v>
      </c>
      <c r="D775" t="s">
        <v>56</v>
      </c>
      <c r="E775" s="1">
        <v>1.0002019246205299E-6</v>
      </c>
      <c r="F775" s="1">
        <v>1.0002019246205299E-6</v>
      </c>
      <c r="G775">
        <v>0</v>
      </c>
      <c r="H775">
        <v>0</v>
      </c>
      <c r="I775" t="s">
        <v>73</v>
      </c>
    </row>
    <row r="776" spans="1:9" x14ac:dyDescent="0.35">
      <c r="A776" t="s">
        <v>26</v>
      </c>
      <c r="B776">
        <v>2040</v>
      </c>
      <c r="C776" t="s">
        <v>72</v>
      </c>
      <c r="D776" t="s">
        <v>38</v>
      </c>
      <c r="E776">
        <v>3.5719292198015599E-3</v>
      </c>
      <c r="F776">
        <v>3.5719292198015599E-3</v>
      </c>
      <c r="G776">
        <v>0</v>
      </c>
      <c r="H776">
        <v>0</v>
      </c>
      <c r="I776" t="s">
        <v>73</v>
      </c>
    </row>
    <row r="777" spans="1:9" x14ac:dyDescent="0.35">
      <c r="A777" t="s">
        <v>26</v>
      </c>
      <c r="B777">
        <v>2040</v>
      </c>
      <c r="C777" t="s">
        <v>72</v>
      </c>
      <c r="D777" t="s">
        <v>40</v>
      </c>
      <c r="E777">
        <v>1.22809213221974E-3</v>
      </c>
      <c r="F777">
        <v>1.22809213221974E-3</v>
      </c>
      <c r="G777">
        <v>0</v>
      </c>
      <c r="H777">
        <v>0</v>
      </c>
      <c r="I777" t="s">
        <v>73</v>
      </c>
    </row>
    <row r="778" spans="1:9" x14ac:dyDescent="0.35">
      <c r="A778" t="s">
        <v>26</v>
      </c>
      <c r="B778">
        <v>2040</v>
      </c>
      <c r="C778" t="s">
        <v>72</v>
      </c>
      <c r="D778" t="s">
        <v>41</v>
      </c>
      <c r="E778">
        <v>3.4024331051255199E-2</v>
      </c>
      <c r="F778">
        <v>3.2813707755629702E-2</v>
      </c>
      <c r="G778">
        <v>-1.2106232956255499E-3</v>
      </c>
      <c r="H778">
        <v>-3.55811049981213</v>
      </c>
      <c r="I778" t="s">
        <v>73</v>
      </c>
    </row>
    <row r="779" spans="1:9" x14ac:dyDescent="0.35">
      <c r="A779" t="s">
        <v>26</v>
      </c>
      <c r="B779">
        <v>2040</v>
      </c>
      <c r="C779" t="s">
        <v>72</v>
      </c>
      <c r="D779" t="s">
        <v>42</v>
      </c>
      <c r="E779">
        <v>7.0359627371499602</v>
      </c>
      <c r="F779">
        <v>7.0359627371499602</v>
      </c>
      <c r="G779">
        <v>0</v>
      </c>
      <c r="H779">
        <v>0</v>
      </c>
      <c r="I779" t="s">
        <v>73</v>
      </c>
    </row>
    <row r="780" spans="1:9" x14ac:dyDescent="0.35">
      <c r="A780" t="s">
        <v>26</v>
      </c>
      <c r="B780">
        <v>2040</v>
      </c>
      <c r="C780" t="s">
        <v>72</v>
      </c>
      <c r="D780" t="s">
        <v>43</v>
      </c>
      <c r="E780">
        <v>3.9823370240870702E-2</v>
      </c>
      <c r="F780">
        <v>1.3548236986882701E-2</v>
      </c>
      <c r="G780">
        <v>-2.6275133253988E-2</v>
      </c>
      <c r="H780">
        <v>-65.979180303082003</v>
      </c>
      <c r="I780" t="s">
        <v>73</v>
      </c>
    </row>
    <row r="781" spans="1:9" x14ac:dyDescent="0.35">
      <c r="A781" t="s">
        <v>26</v>
      </c>
      <c r="B781">
        <v>2040</v>
      </c>
      <c r="C781" t="s">
        <v>72</v>
      </c>
      <c r="D781" t="s">
        <v>136</v>
      </c>
      <c r="E781">
        <v>8.9892804646088695</v>
      </c>
      <c r="F781">
        <v>8.9892804646088695</v>
      </c>
      <c r="G781">
        <v>0</v>
      </c>
      <c r="H781">
        <v>0</v>
      </c>
      <c r="I781" t="s">
        <v>73</v>
      </c>
    </row>
    <row r="782" spans="1:9" x14ac:dyDescent="0.35">
      <c r="A782" t="s">
        <v>26</v>
      </c>
      <c r="B782">
        <v>2040</v>
      </c>
      <c r="C782" t="s">
        <v>72</v>
      </c>
      <c r="D782" t="s">
        <v>45</v>
      </c>
      <c r="E782">
        <v>3.1486425029493899E-2</v>
      </c>
      <c r="F782">
        <v>3.0732251185223401E-2</v>
      </c>
      <c r="G782">
        <v>-7.5417384427052103E-4</v>
      </c>
      <c r="H782">
        <v>-2.3952349101686599</v>
      </c>
      <c r="I782" t="s">
        <v>73</v>
      </c>
    </row>
    <row r="783" spans="1:9" x14ac:dyDescent="0.35">
      <c r="A783" t="s">
        <v>26</v>
      </c>
      <c r="B783">
        <v>2040</v>
      </c>
      <c r="C783" t="s">
        <v>72</v>
      </c>
      <c r="D783" t="s">
        <v>46</v>
      </c>
      <c r="E783">
        <v>0.296069233678116</v>
      </c>
      <c r="F783">
        <v>0.296069233678116</v>
      </c>
      <c r="G783">
        <v>0</v>
      </c>
      <c r="H783">
        <v>0</v>
      </c>
      <c r="I783" t="s">
        <v>73</v>
      </c>
    </row>
    <row r="784" spans="1:9" x14ac:dyDescent="0.35">
      <c r="A784" t="s">
        <v>26</v>
      </c>
      <c r="B784">
        <v>2040</v>
      </c>
      <c r="C784" t="s">
        <v>72</v>
      </c>
      <c r="D784" t="s">
        <v>47</v>
      </c>
      <c r="E784">
        <v>8.4820321446588704E-3</v>
      </c>
      <c r="F784">
        <v>5.8256418018680098E-3</v>
      </c>
      <c r="G784">
        <v>-2.6563903427908602E-3</v>
      </c>
      <c r="H784">
        <v>-31.3178528150661</v>
      </c>
      <c r="I784" t="s">
        <v>73</v>
      </c>
    </row>
    <row r="785" spans="1:9" x14ac:dyDescent="0.35">
      <c r="A785" t="s">
        <v>26</v>
      </c>
      <c r="B785">
        <v>2040</v>
      </c>
      <c r="C785" t="s">
        <v>72</v>
      </c>
      <c r="D785" t="s">
        <v>48</v>
      </c>
      <c r="E785">
        <v>1.18368565801436</v>
      </c>
      <c r="F785">
        <v>1.18368565801436</v>
      </c>
      <c r="G785">
        <v>0</v>
      </c>
      <c r="H785">
        <v>0</v>
      </c>
      <c r="I785" t="s">
        <v>73</v>
      </c>
    </row>
    <row r="786" spans="1:9" x14ac:dyDescent="0.35">
      <c r="A786" t="s">
        <v>26</v>
      </c>
      <c r="B786">
        <v>2040</v>
      </c>
      <c r="C786" t="s">
        <v>72</v>
      </c>
      <c r="D786" t="s">
        <v>49</v>
      </c>
      <c r="E786">
        <v>5.9283545012742501E-2</v>
      </c>
      <c r="F786">
        <v>5.8525821821386E-2</v>
      </c>
      <c r="G786">
        <v>-7.5772319135652901E-4</v>
      </c>
      <c r="H786">
        <v>-1.2781340778350201</v>
      </c>
      <c r="I786" t="s">
        <v>73</v>
      </c>
    </row>
    <row r="787" spans="1:9" x14ac:dyDescent="0.35">
      <c r="A787" t="s">
        <v>26</v>
      </c>
      <c r="B787">
        <v>2040</v>
      </c>
      <c r="C787" t="s">
        <v>72</v>
      </c>
      <c r="D787" t="s">
        <v>50</v>
      </c>
      <c r="E787">
        <v>0.14121916671287199</v>
      </c>
      <c r="F787">
        <v>0.14121916671287199</v>
      </c>
      <c r="G787">
        <v>0</v>
      </c>
      <c r="H787">
        <v>0</v>
      </c>
      <c r="I787" t="s">
        <v>73</v>
      </c>
    </row>
    <row r="788" spans="1:9" x14ac:dyDescent="0.35">
      <c r="A788" t="s">
        <v>26</v>
      </c>
      <c r="B788">
        <v>2040</v>
      </c>
      <c r="C788" t="s">
        <v>72</v>
      </c>
      <c r="D788" t="s">
        <v>51</v>
      </c>
      <c r="E788">
        <v>0.226182226396309</v>
      </c>
      <c r="F788">
        <v>0.226182226396309</v>
      </c>
      <c r="G788">
        <v>0</v>
      </c>
      <c r="H788">
        <v>0</v>
      </c>
      <c r="I788" t="s">
        <v>73</v>
      </c>
    </row>
    <row r="789" spans="1:9" x14ac:dyDescent="0.35">
      <c r="A789" t="s">
        <v>26</v>
      </c>
      <c r="B789">
        <v>2040</v>
      </c>
      <c r="C789" t="s">
        <v>72</v>
      </c>
      <c r="D789" t="s">
        <v>52</v>
      </c>
      <c r="E789">
        <v>0.42393560836114302</v>
      </c>
      <c r="F789">
        <v>0.42393560836114302</v>
      </c>
      <c r="G789">
        <v>0</v>
      </c>
      <c r="H789">
        <v>0</v>
      </c>
      <c r="I789" t="s">
        <v>73</v>
      </c>
    </row>
    <row r="790" spans="1:9" x14ac:dyDescent="0.35">
      <c r="A790" t="s">
        <v>26</v>
      </c>
      <c r="B790">
        <v>2040</v>
      </c>
      <c r="C790" t="s">
        <v>72</v>
      </c>
      <c r="D790" t="s">
        <v>53</v>
      </c>
      <c r="E790">
        <v>2.8390666059516998</v>
      </c>
      <c r="F790">
        <v>2.8390666059516998</v>
      </c>
      <c r="G790">
        <v>0</v>
      </c>
      <c r="H790">
        <v>0</v>
      </c>
      <c r="I790" t="s">
        <v>73</v>
      </c>
    </row>
    <row r="791" spans="1:9" x14ac:dyDescent="0.35">
      <c r="A791" t="s">
        <v>26</v>
      </c>
      <c r="B791">
        <v>2040</v>
      </c>
      <c r="C791" t="s">
        <v>72</v>
      </c>
      <c r="D791" t="s">
        <v>54</v>
      </c>
      <c r="E791">
        <v>0.92205898184820001</v>
      </c>
      <c r="F791">
        <v>0.63027459099605798</v>
      </c>
      <c r="G791">
        <v>-0.29178439085214197</v>
      </c>
      <c r="H791">
        <v>-31.644872681277</v>
      </c>
      <c r="I791" t="s">
        <v>73</v>
      </c>
    </row>
    <row r="792" spans="1:9" x14ac:dyDescent="0.35">
      <c r="A792" t="s">
        <v>26</v>
      </c>
      <c r="B792">
        <v>2040</v>
      </c>
      <c r="C792" t="s">
        <v>72</v>
      </c>
      <c r="D792" t="s">
        <v>55</v>
      </c>
      <c r="E792">
        <v>0.56904972405785703</v>
      </c>
      <c r="F792">
        <v>0.55122917641990399</v>
      </c>
      <c r="G792">
        <v>-1.7820547637952999E-2</v>
      </c>
      <c r="H792">
        <v>-3.1316327703097402</v>
      </c>
      <c r="I792" t="s">
        <v>73</v>
      </c>
    </row>
    <row r="793" spans="1:9" x14ac:dyDescent="0.35">
      <c r="A793" t="s">
        <v>26</v>
      </c>
      <c r="B793">
        <v>2040</v>
      </c>
      <c r="C793" t="s">
        <v>72</v>
      </c>
      <c r="D793" t="s">
        <v>56</v>
      </c>
      <c r="E793" s="1">
        <v>1.0018417864743201E-6</v>
      </c>
      <c r="F793" s="1">
        <v>1.0018417864743201E-6</v>
      </c>
      <c r="G793">
        <v>0</v>
      </c>
      <c r="H793">
        <v>0</v>
      </c>
      <c r="I793" t="s">
        <v>73</v>
      </c>
    </row>
    <row r="794" spans="1:9" x14ac:dyDescent="0.35">
      <c r="A794" t="s">
        <v>20</v>
      </c>
      <c r="B794">
        <v>2025</v>
      </c>
      <c r="C794" t="s">
        <v>61</v>
      </c>
      <c r="D794" t="s">
        <v>38</v>
      </c>
      <c r="E794">
        <v>3.2326177853609201E-3</v>
      </c>
      <c r="F794">
        <v>3.2326177853609201E-3</v>
      </c>
      <c r="G794">
        <v>0</v>
      </c>
      <c r="H794">
        <v>0</v>
      </c>
      <c r="I794" t="s">
        <v>62</v>
      </c>
    </row>
    <row r="795" spans="1:9" x14ac:dyDescent="0.35">
      <c r="A795" t="s">
        <v>20</v>
      </c>
      <c r="B795">
        <v>2025</v>
      </c>
      <c r="C795" t="s">
        <v>61</v>
      </c>
      <c r="D795" t="s">
        <v>40</v>
      </c>
      <c r="E795">
        <v>4.3097104974414401E-3</v>
      </c>
      <c r="F795">
        <v>4.3097104974414401E-3</v>
      </c>
      <c r="G795">
        <v>0</v>
      </c>
      <c r="H795">
        <v>0</v>
      </c>
      <c r="I795" t="s">
        <v>62</v>
      </c>
    </row>
    <row r="796" spans="1:9" x14ac:dyDescent="0.35">
      <c r="A796" t="s">
        <v>20</v>
      </c>
      <c r="B796">
        <v>2025</v>
      </c>
      <c r="C796" t="s">
        <v>61</v>
      </c>
      <c r="D796" t="s">
        <v>41</v>
      </c>
      <c r="E796">
        <v>0.14698549152392501</v>
      </c>
      <c r="F796">
        <v>0.14698549152392501</v>
      </c>
      <c r="G796">
        <v>0</v>
      </c>
      <c r="H796">
        <v>0</v>
      </c>
      <c r="I796" t="s">
        <v>62</v>
      </c>
    </row>
    <row r="797" spans="1:9" x14ac:dyDescent="0.35">
      <c r="A797" t="s">
        <v>20</v>
      </c>
      <c r="B797">
        <v>2025</v>
      </c>
      <c r="C797" t="s">
        <v>61</v>
      </c>
      <c r="D797" t="s">
        <v>42</v>
      </c>
      <c r="E797">
        <v>17.344356224369999</v>
      </c>
      <c r="F797">
        <v>17.344356224369999</v>
      </c>
      <c r="G797">
        <v>0</v>
      </c>
      <c r="H797">
        <v>0</v>
      </c>
      <c r="I797" t="s">
        <v>62</v>
      </c>
    </row>
    <row r="798" spans="1:9" x14ac:dyDescent="0.35">
      <c r="A798" t="s">
        <v>20</v>
      </c>
      <c r="B798">
        <v>2025</v>
      </c>
      <c r="C798" t="s">
        <v>61</v>
      </c>
      <c r="D798" t="s">
        <v>43</v>
      </c>
      <c r="E798">
        <v>1.3687179135445E-2</v>
      </c>
      <c r="F798">
        <v>1.3687179135445E-2</v>
      </c>
      <c r="G798">
        <v>0</v>
      </c>
      <c r="H798">
        <v>0</v>
      </c>
      <c r="I798" t="s">
        <v>62</v>
      </c>
    </row>
    <row r="799" spans="1:9" x14ac:dyDescent="0.35">
      <c r="A799" t="s">
        <v>20</v>
      </c>
      <c r="B799">
        <v>2025</v>
      </c>
      <c r="C799" t="s">
        <v>61</v>
      </c>
      <c r="D799" t="s">
        <v>136</v>
      </c>
      <c r="E799">
        <v>9.8573122593949201</v>
      </c>
      <c r="F799">
        <v>9.8573122593949201</v>
      </c>
      <c r="G799">
        <v>0</v>
      </c>
      <c r="H799">
        <v>0</v>
      </c>
      <c r="I799" t="s">
        <v>62</v>
      </c>
    </row>
    <row r="800" spans="1:9" x14ac:dyDescent="0.35">
      <c r="A800" t="s">
        <v>20</v>
      </c>
      <c r="B800">
        <v>2025</v>
      </c>
      <c r="C800" t="s">
        <v>61</v>
      </c>
      <c r="D800" t="s">
        <v>45</v>
      </c>
      <c r="E800">
        <v>0.28518392915499502</v>
      </c>
      <c r="F800">
        <v>0.28518392915499502</v>
      </c>
      <c r="G800">
        <v>0</v>
      </c>
      <c r="H800">
        <v>0</v>
      </c>
      <c r="I800" t="s">
        <v>62</v>
      </c>
    </row>
    <row r="801" spans="1:9" x14ac:dyDescent="0.35">
      <c r="A801" t="s">
        <v>20</v>
      </c>
      <c r="B801">
        <v>2025</v>
      </c>
      <c r="C801" t="s">
        <v>61</v>
      </c>
      <c r="D801" t="s">
        <v>46</v>
      </c>
      <c r="E801">
        <v>0.24320828169787201</v>
      </c>
      <c r="F801">
        <v>0.24320828169787201</v>
      </c>
      <c r="G801">
        <v>0</v>
      </c>
      <c r="H801">
        <v>0</v>
      </c>
      <c r="I801" t="s">
        <v>62</v>
      </c>
    </row>
    <row r="802" spans="1:9" x14ac:dyDescent="0.35">
      <c r="A802" t="s">
        <v>20</v>
      </c>
      <c r="B802">
        <v>2025</v>
      </c>
      <c r="C802" t="s">
        <v>61</v>
      </c>
      <c r="D802" t="s">
        <v>47</v>
      </c>
      <c r="E802">
        <v>1.1628254201992099E-2</v>
      </c>
      <c r="F802">
        <v>1.1628254201992099E-2</v>
      </c>
      <c r="G802">
        <v>0</v>
      </c>
      <c r="H802">
        <v>0</v>
      </c>
      <c r="I802" t="s">
        <v>62</v>
      </c>
    </row>
    <row r="803" spans="1:9" x14ac:dyDescent="0.35">
      <c r="A803" t="s">
        <v>20</v>
      </c>
      <c r="B803">
        <v>2025</v>
      </c>
      <c r="C803" t="s">
        <v>61</v>
      </c>
      <c r="D803" t="s">
        <v>48</v>
      </c>
      <c r="E803">
        <v>28.633379625298701</v>
      </c>
      <c r="F803">
        <v>28.633379625298701</v>
      </c>
      <c r="G803">
        <v>0</v>
      </c>
      <c r="H803">
        <v>0</v>
      </c>
      <c r="I803" t="s">
        <v>62</v>
      </c>
    </row>
    <row r="804" spans="1:9" x14ac:dyDescent="0.35">
      <c r="A804" t="s">
        <v>20</v>
      </c>
      <c r="B804">
        <v>2025</v>
      </c>
      <c r="C804" t="s">
        <v>61</v>
      </c>
      <c r="D804" t="s">
        <v>49</v>
      </c>
      <c r="E804">
        <v>1.3681811390924501</v>
      </c>
      <c r="F804">
        <v>1.3681811390924501</v>
      </c>
      <c r="G804">
        <v>0</v>
      </c>
      <c r="H804">
        <v>0</v>
      </c>
      <c r="I804" t="s">
        <v>62</v>
      </c>
    </row>
    <row r="805" spans="1:9" x14ac:dyDescent="0.35">
      <c r="A805" t="s">
        <v>20</v>
      </c>
      <c r="B805">
        <v>2025</v>
      </c>
      <c r="C805" t="s">
        <v>61</v>
      </c>
      <c r="D805" t="s">
        <v>50</v>
      </c>
      <c r="E805">
        <v>0.109635180618241</v>
      </c>
      <c r="F805">
        <v>0.109635180618241</v>
      </c>
      <c r="G805">
        <v>0</v>
      </c>
      <c r="H805">
        <v>0</v>
      </c>
      <c r="I805" t="s">
        <v>62</v>
      </c>
    </row>
    <row r="806" spans="1:9" x14ac:dyDescent="0.35">
      <c r="A806" t="s">
        <v>20</v>
      </c>
      <c r="B806">
        <v>2025</v>
      </c>
      <c r="C806" t="s">
        <v>61</v>
      </c>
      <c r="D806" t="s">
        <v>51</v>
      </c>
      <c r="E806">
        <v>0.56202463632370603</v>
      </c>
      <c r="F806">
        <v>0.56202463632370603</v>
      </c>
      <c r="G806">
        <v>0</v>
      </c>
      <c r="H806">
        <v>0</v>
      </c>
      <c r="I806" t="s">
        <v>62</v>
      </c>
    </row>
    <row r="807" spans="1:9" x14ac:dyDescent="0.35">
      <c r="A807" t="s">
        <v>20</v>
      </c>
      <c r="B807">
        <v>2025</v>
      </c>
      <c r="C807" t="s">
        <v>61</v>
      </c>
      <c r="D807" t="s">
        <v>52</v>
      </c>
      <c r="E807">
        <v>0.60898122802730204</v>
      </c>
      <c r="F807">
        <v>0.60898122802730204</v>
      </c>
      <c r="G807">
        <v>0</v>
      </c>
      <c r="H807">
        <v>0</v>
      </c>
      <c r="I807" t="s">
        <v>62</v>
      </c>
    </row>
    <row r="808" spans="1:9" x14ac:dyDescent="0.35">
      <c r="A808" t="s">
        <v>20</v>
      </c>
      <c r="B808">
        <v>2025</v>
      </c>
      <c r="C808" t="s">
        <v>61</v>
      </c>
      <c r="D808" t="s">
        <v>53</v>
      </c>
      <c r="E808">
        <v>2.4440045117755198</v>
      </c>
      <c r="F808">
        <v>2.4440045117755198</v>
      </c>
      <c r="G808">
        <v>0</v>
      </c>
      <c r="H808">
        <v>0</v>
      </c>
      <c r="I808" t="s">
        <v>62</v>
      </c>
    </row>
    <row r="809" spans="1:9" x14ac:dyDescent="0.35">
      <c r="A809" t="s">
        <v>20</v>
      </c>
      <c r="B809">
        <v>2025</v>
      </c>
      <c r="C809" t="s">
        <v>61</v>
      </c>
      <c r="D809" t="s">
        <v>54</v>
      </c>
      <c r="E809">
        <v>7.0736379235821296</v>
      </c>
      <c r="F809">
        <v>7.0736379235821296</v>
      </c>
      <c r="G809">
        <v>0</v>
      </c>
      <c r="H809">
        <v>0</v>
      </c>
      <c r="I809" t="s">
        <v>62</v>
      </c>
    </row>
    <row r="810" spans="1:9" x14ac:dyDescent="0.35">
      <c r="A810" t="s">
        <v>20</v>
      </c>
      <c r="B810">
        <v>2025</v>
      </c>
      <c r="C810" t="s">
        <v>61</v>
      </c>
      <c r="D810" t="s">
        <v>55</v>
      </c>
      <c r="E810">
        <v>6.5268029892468098</v>
      </c>
      <c r="F810">
        <v>6.5268029892468098</v>
      </c>
      <c r="G810">
        <v>0</v>
      </c>
      <c r="H810">
        <v>0</v>
      </c>
      <c r="I810" t="s">
        <v>62</v>
      </c>
    </row>
    <row r="811" spans="1:9" x14ac:dyDescent="0.35">
      <c r="A811" t="s">
        <v>20</v>
      </c>
      <c r="B811">
        <v>2025</v>
      </c>
      <c r="C811" t="s">
        <v>61</v>
      </c>
      <c r="D811" t="s">
        <v>56</v>
      </c>
      <c r="E811" s="1">
        <v>6.0883437155411303E-7</v>
      </c>
      <c r="F811" s="1">
        <v>6.0883437155411303E-7</v>
      </c>
      <c r="G811">
        <v>0</v>
      </c>
      <c r="H811">
        <v>0</v>
      </c>
      <c r="I811" t="s">
        <v>62</v>
      </c>
    </row>
    <row r="812" spans="1:9" x14ac:dyDescent="0.35">
      <c r="A812" t="s">
        <v>22</v>
      </c>
      <c r="B812">
        <v>2030</v>
      </c>
      <c r="C812" t="s">
        <v>61</v>
      </c>
      <c r="D812" t="s">
        <v>38</v>
      </c>
      <c r="E812">
        <v>4.4117189954187798E-3</v>
      </c>
      <c r="F812">
        <v>4.4117189954187798E-3</v>
      </c>
      <c r="G812">
        <v>0</v>
      </c>
      <c r="H812">
        <v>0</v>
      </c>
      <c r="I812" t="s">
        <v>62</v>
      </c>
    </row>
    <row r="813" spans="1:9" x14ac:dyDescent="0.35">
      <c r="A813" t="s">
        <v>22</v>
      </c>
      <c r="B813">
        <v>2030</v>
      </c>
      <c r="C813" t="s">
        <v>61</v>
      </c>
      <c r="D813" t="s">
        <v>40</v>
      </c>
      <c r="E813">
        <v>4.2691671624838102E-3</v>
      </c>
      <c r="F813">
        <v>4.2691671624838102E-3</v>
      </c>
      <c r="G813">
        <v>0</v>
      </c>
      <c r="H813">
        <v>0</v>
      </c>
      <c r="I813" t="s">
        <v>62</v>
      </c>
    </row>
    <row r="814" spans="1:9" x14ac:dyDescent="0.35">
      <c r="A814" t="s">
        <v>22</v>
      </c>
      <c r="B814">
        <v>2030</v>
      </c>
      <c r="C814" t="s">
        <v>61</v>
      </c>
      <c r="D814" t="s">
        <v>41</v>
      </c>
      <c r="E814">
        <v>0.14819971462116199</v>
      </c>
      <c r="F814">
        <v>0.14819971462116199</v>
      </c>
      <c r="G814">
        <v>0</v>
      </c>
      <c r="H814">
        <v>0</v>
      </c>
      <c r="I814" t="s">
        <v>62</v>
      </c>
    </row>
    <row r="815" spans="1:9" x14ac:dyDescent="0.35">
      <c r="A815" t="s">
        <v>22</v>
      </c>
      <c r="B815">
        <v>2030</v>
      </c>
      <c r="C815" t="s">
        <v>61</v>
      </c>
      <c r="D815" t="s">
        <v>42</v>
      </c>
      <c r="E815">
        <v>17.358025644628899</v>
      </c>
      <c r="F815">
        <v>17.358025644628899</v>
      </c>
      <c r="G815">
        <v>0</v>
      </c>
      <c r="H815">
        <v>0</v>
      </c>
      <c r="I815" t="s">
        <v>62</v>
      </c>
    </row>
    <row r="816" spans="1:9" x14ac:dyDescent="0.35">
      <c r="A816" t="s">
        <v>22</v>
      </c>
      <c r="B816">
        <v>2030</v>
      </c>
      <c r="C816" t="s">
        <v>61</v>
      </c>
      <c r="D816" t="s">
        <v>43</v>
      </c>
      <c r="E816">
        <v>1.4433633499686601E-2</v>
      </c>
      <c r="F816">
        <v>1.4433633499686601E-2</v>
      </c>
      <c r="G816">
        <v>0</v>
      </c>
      <c r="H816">
        <v>0</v>
      </c>
      <c r="I816" t="s">
        <v>62</v>
      </c>
    </row>
    <row r="817" spans="1:9" x14ac:dyDescent="0.35">
      <c r="A817" t="s">
        <v>22</v>
      </c>
      <c r="B817">
        <v>2030</v>
      </c>
      <c r="C817" t="s">
        <v>61</v>
      </c>
      <c r="D817" t="s">
        <v>136</v>
      </c>
      <c r="E817">
        <v>9.7013301834314607</v>
      </c>
      <c r="F817">
        <v>9.7013301834314607</v>
      </c>
      <c r="G817">
        <v>0</v>
      </c>
      <c r="H817">
        <v>0</v>
      </c>
      <c r="I817" t="s">
        <v>62</v>
      </c>
    </row>
    <row r="818" spans="1:9" x14ac:dyDescent="0.35">
      <c r="A818" t="s">
        <v>22</v>
      </c>
      <c r="B818">
        <v>2030</v>
      </c>
      <c r="C818" t="s">
        <v>61</v>
      </c>
      <c r="D818" t="s">
        <v>45</v>
      </c>
      <c r="E818">
        <v>0.28432329318057198</v>
      </c>
      <c r="F818">
        <v>0.28432329318057198</v>
      </c>
      <c r="G818">
        <v>0</v>
      </c>
      <c r="H818">
        <v>0</v>
      </c>
      <c r="I818" t="s">
        <v>62</v>
      </c>
    </row>
    <row r="819" spans="1:9" x14ac:dyDescent="0.35">
      <c r="A819" t="s">
        <v>22</v>
      </c>
      <c r="B819">
        <v>2030</v>
      </c>
      <c r="C819" t="s">
        <v>61</v>
      </c>
      <c r="D819" t="s">
        <v>46</v>
      </c>
      <c r="E819">
        <v>0.33581597089597998</v>
      </c>
      <c r="F819">
        <v>0.33581597089597998</v>
      </c>
      <c r="G819">
        <v>0</v>
      </c>
      <c r="H819">
        <v>0</v>
      </c>
      <c r="I819" t="s">
        <v>62</v>
      </c>
    </row>
    <row r="820" spans="1:9" x14ac:dyDescent="0.35">
      <c r="A820" t="s">
        <v>22</v>
      </c>
      <c r="B820">
        <v>2030</v>
      </c>
      <c r="C820" t="s">
        <v>61</v>
      </c>
      <c r="D820" t="s">
        <v>47</v>
      </c>
      <c r="E820">
        <v>1.17172340291548E-2</v>
      </c>
      <c r="F820">
        <v>1.17172340291548E-2</v>
      </c>
      <c r="G820">
        <v>0</v>
      </c>
      <c r="H820">
        <v>0</v>
      </c>
      <c r="I820" t="s">
        <v>62</v>
      </c>
    </row>
    <row r="821" spans="1:9" x14ac:dyDescent="0.35">
      <c r="A821" t="s">
        <v>22</v>
      </c>
      <c r="B821">
        <v>2030</v>
      </c>
      <c r="C821" t="s">
        <v>61</v>
      </c>
      <c r="D821" t="s">
        <v>48</v>
      </c>
      <c r="E821">
        <v>28.633860721833798</v>
      </c>
      <c r="F821">
        <v>28.633860721833798</v>
      </c>
      <c r="G821">
        <v>0</v>
      </c>
      <c r="H821">
        <v>0</v>
      </c>
      <c r="I821" t="s">
        <v>62</v>
      </c>
    </row>
    <row r="822" spans="1:9" x14ac:dyDescent="0.35">
      <c r="A822" t="s">
        <v>22</v>
      </c>
      <c r="B822">
        <v>2030</v>
      </c>
      <c r="C822" t="s">
        <v>61</v>
      </c>
      <c r="D822" t="s">
        <v>49</v>
      </c>
      <c r="E822">
        <v>1.3679507299107501</v>
      </c>
      <c r="F822">
        <v>1.3679507299107501</v>
      </c>
      <c r="G822">
        <v>0</v>
      </c>
      <c r="H822">
        <v>0</v>
      </c>
      <c r="I822" t="s">
        <v>62</v>
      </c>
    </row>
    <row r="823" spans="1:9" x14ac:dyDescent="0.35">
      <c r="A823" t="s">
        <v>22</v>
      </c>
      <c r="B823">
        <v>2030</v>
      </c>
      <c r="C823" t="s">
        <v>61</v>
      </c>
      <c r="D823" t="s">
        <v>50</v>
      </c>
      <c r="E823">
        <v>0.11310799153727399</v>
      </c>
      <c r="F823">
        <v>0.11310799153727399</v>
      </c>
      <c r="G823">
        <v>0</v>
      </c>
      <c r="H823">
        <v>0</v>
      </c>
      <c r="I823" t="s">
        <v>62</v>
      </c>
    </row>
    <row r="824" spans="1:9" x14ac:dyDescent="0.35">
      <c r="A824" t="s">
        <v>22</v>
      </c>
      <c r="B824">
        <v>2030</v>
      </c>
      <c r="C824" t="s">
        <v>61</v>
      </c>
      <c r="D824" t="s">
        <v>51</v>
      </c>
      <c r="E824">
        <v>0.56194256929769404</v>
      </c>
      <c r="F824">
        <v>0.56194256929769404</v>
      </c>
      <c r="G824">
        <v>0</v>
      </c>
      <c r="H824">
        <v>0</v>
      </c>
      <c r="I824" t="s">
        <v>62</v>
      </c>
    </row>
    <row r="825" spans="1:9" x14ac:dyDescent="0.35">
      <c r="A825" t="s">
        <v>22</v>
      </c>
      <c r="B825">
        <v>2030</v>
      </c>
      <c r="C825" t="s">
        <v>61</v>
      </c>
      <c r="D825" t="s">
        <v>52</v>
      </c>
      <c r="E825">
        <v>0.51880480350929004</v>
      </c>
      <c r="F825">
        <v>0.51880480350929004</v>
      </c>
      <c r="G825">
        <v>0</v>
      </c>
      <c r="H825">
        <v>0</v>
      </c>
      <c r="I825" t="s">
        <v>62</v>
      </c>
    </row>
    <row r="826" spans="1:9" x14ac:dyDescent="0.35">
      <c r="A826" t="s">
        <v>22</v>
      </c>
      <c r="B826">
        <v>2030</v>
      </c>
      <c r="C826" t="s">
        <v>61</v>
      </c>
      <c r="D826" t="s">
        <v>53</v>
      </c>
      <c r="E826">
        <v>2.40622204277066</v>
      </c>
      <c r="F826">
        <v>2.40622204277066</v>
      </c>
      <c r="G826">
        <v>0</v>
      </c>
      <c r="H826">
        <v>0</v>
      </c>
      <c r="I826" t="s">
        <v>62</v>
      </c>
    </row>
    <row r="827" spans="1:9" x14ac:dyDescent="0.35">
      <c r="A827" t="s">
        <v>22</v>
      </c>
      <c r="B827">
        <v>2030</v>
      </c>
      <c r="C827" t="s">
        <v>61</v>
      </c>
      <c r="D827" t="s">
        <v>54</v>
      </c>
      <c r="E827">
        <v>7.0776607035050496</v>
      </c>
      <c r="F827">
        <v>7.0776607035050496</v>
      </c>
      <c r="G827">
        <v>0</v>
      </c>
      <c r="H827">
        <v>0</v>
      </c>
      <c r="I827" t="s">
        <v>62</v>
      </c>
    </row>
    <row r="828" spans="1:9" x14ac:dyDescent="0.35">
      <c r="A828" t="s">
        <v>22</v>
      </c>
      <c r="B828">
        <v>2030</v>
      </c>
      <c r="C828" t="s">
        <v>61</v>
      </c>
      <c r="D828" t="s">
        <v>55</v>
      </c>
      <c r="E828">
        <v>6.5297904684762296</v>
      </c>
      <c r="F828">
        <v>6.5297904684762296</v>
      </c>
      <c r="G828">
        <v>0</v>
      </c>
      <c r="H828">
        <v>0</v>
      </c>
      <c r="I828" t="s">
        <v>62</v>
      </c>
    </row>
    <row r="829" spans="1:9" x14ac:dyDescent="0.35">
      <c r="A829" t="s">
        <v>22</v>
      </c>
      <c r="B829">
        <v>2030</v>
      </c>
      <c r="C829" t="s">
        <v>61</v>
      </c>
      <c r="D829" t="s">
        <v>56</v>
      </c>
      <c r="E829" s="1">
        <v>5.8755602451767099E-7</v>
      </c>
      <c r="F829" s="1">
        <v>5.8755602451767099E-7</v>
      </c>
      <c r="G829">
        <v>0</v>
      </c>
      <c r="H829">
        <v>0</v>
      </c>
      <c r="I829" t="s">
        <v>62</v>
      </c>
    </row>
    <row r="830" spans="1:9" x14ac:dyDescent="0.35">
      <c r="A830" t="s">
        <v>24</v>
      </c>
      <c r="B830">
        <v>2035</v>
      </c>
      <c r="C830" t="s">
        <v>61</v>
      </c>
      <c r="D830" t="s">
        <v>38</v>
      </c>
      <c r="E830">
        <v>5.3604958689978397E-3</v>
      </c>
      <c r="F830">
        <v>5.3604958689978397E-3</v>
      </c>
      <c r="G830">
        <v>0</v>
      </c>
      <c r="H830">
        <v>0</v>
      </c>
      <c r="I830" t="s">
        <v>62</v>
      </c>
    </row>
    <row r="831" spans="1:9" x14ac:dyDescent="0.35">
      <c r="A831" t="s">
        <v>24</v>
      </c>
      <c r="B831">
        <v>2035</v>
      </c>
      <c r="C831" t="s">
        <v>61</v>
      </c>
      <c r="D831" t="s">
        <v>40</v>
      </c>
      <c r="E831">
        <v>4.26240755262968E-3</v>
      </c>
      <c r="F831">
        <v>4.26240755262968E-3</v>
      </c>
      <c r="G831">
        <v>0</v>
      </c>
      <c r="H831">
        <v>0</v>
      </c>
      <c r="I831" t="s">
        <v>62</v>
      </c>
    </row>
    <row r="832" spans="1:9" x14ac:dyDescent="0.35">
      <c r="A832" t="s">
        <v>24</v>
      </c>
      <c r="B832">
        <v>2035</v>
      </c>
      <c r="C832" t="s">
        <v>61</v>
      </c>
      <c r="D832" t="s">
        <v>41</v>
      </c>
      <c r="E832">
        <v>0.14786807965667501</v>
      </c>
      <c r="F832">
        <v>0.14786807965667501</v>
      </c>
      <c r="G832">
        <v>0</v>
      </c>
      <c r="H832">
        <v>0</v>
      </c>
      <c r="I832" t="s">
        <v>62</v>
      </c>
    </row>
    <row r="833" spans="1:9" x14ac:dyDescent="0.35">
      <c r="A833" t="s">
        <v>24</v>
      </c>
      <c r="B833">
        <v>2035</v>
      </c>
      <c r="C833" t="s">
        <v>61</v>
      </c>
      <c r="D833" t="s">
        <v>42</v>
      </c>
      <c r="E833">
        <v>17.482085934051501</v>
      </c>
      <c r="F833">
        <v>17.482085934051501</v>
      </c>
      <c r="G833">
        <v>0</v>
      </c>
      <c r="H833">
        <v>0</v>
      </c>
      <c r="I833" t="s">
        <v>62</v>
      </c>
    </row>
    <row r="834" spans="1:9" x14ac:dyDescent="0.35">
      <c r="A834" t="s">
        <v>24</v>
      </c>
      <c r="B834">
        <v>2035</v>
      </c>
      <c r="C834" t="s">
        <v>61</v>
      </c>
      <c r="D834" t="s">
        <v>43</v>
      </c>
      <c r="E834">
        <v>1.45570067109815E-2</v>
      </c>
      <c r="F834">
        <v>1.45570067109815E-2</v>
      </c>
      <c r="G834">
        <v>0</v>
      </c>
      <c r="H834">
        <v>0</v>
      </c>
      <c r="I834" t="s">
        <v>62</v>
      </c>
    </row>
    <row r="835" spans="1:9" x14ac:dyDescent="0.35">
      <c r="A835" t="s">
        <v>24</v>
      </c>
      <c r="B835">
        <v>2035</v>
      </c>
      <c r="C835" t="s">
        <v>61</v>
      </c>
      <c r="D835" t="s">
        <v>136</v>
      </c>
      <c r="E835">
        <v>9.73260748360088</v>
      </c>
      <c r="F835">
        <v>9.73260748360088</v>
      </c>
      <c r="G835">
        <v>0</v>
      </c>
      <c r="H835">
        <v>0</v>
      </c>
      <c r="I835" t="s">
        <v>62</v>
      </c>
    </row>
    <row r="836" spans="1:9" x14ac:dyDescent="0.35">
      <c r="A836" t="s">
        <v>24</v>
      </c>
      <c r="B836">
        <v>2035</v>
      </c>
      <c r="C836" t="s">
        <v>61</v>
      </c>
      <c r="D836" t="s">
        <v>45</v>
      </c>
      <c r="E836">
        <v>0.28350170591000901</v>
      </c>
      <c r="F836">
        <v>0.28350170591000901</v>
      </c>
      <c r="G836">
        <v>0</v>
      </c>
      <c r="H836">
        <v>0</v>
      </c>
      <c r="I836" t="s">
        <v>62</v>
      </c>
    </row>
    <row r="837" spans="1:9" x14ac:dyDescent="0.35">
      <c r="A837" t="s">
        <v>24</v>
      </c>
      <c r="B837">
        <v>2035</v>
      </c>
      <c r="C837" t="s">
        <v>61</v>
      </c>
      <c r="D837" t="s">
        <v>46</v>
      </c>
      <c r="E837">
        <v>0.42588005356122899</v>
      </c>
      <c r="F837">
        <v>0.42588005356122899</v>
      </c>
      <c r="G837">
        <v>0</v>
      </c>
      <c r="H837">
        <v>0</v>
      </c>
      <c r="I837" t="s">
        <v>62</v>
      </c>
    </row>
    <row r="838" spans="1:9" x14ac:dyDescent="0.35">
      <c r="A838" t="s">
        <v>24</v>
      </c>
      <c r="B838">
        <v>2035</v>
      </c>
      <c r="C838" t="s">
        <v>61</v>
      </c>
      <c r="D838" t="s">
        <v>47</v>
      </c>
      <c r="E838">
        <v>1.19640736683891E-2</v>
      </c>
      <c r="F838">
        <v>1.19640736683891E-2</v>
      </c>
      <c r="G838">
        <v>0</v>
      </c>
      <c r="H838">
        <v>0</v>
      </c>
      <c r="I838" t="s">
        <v>62</v>
      </c>
    </row>
    <row r="839" spans="1:9" x14ac:dyDescent="0.35">
      <c r="A839" t="s">
        <v>24</v>
      </c>
      <c r="B839">
        <v>2035</v>
      </c>
      <c r="C839" t="s">
        <v>61</v>
      </c>
      <c r="D839" t="s">
        <v>48</v>
      </c>
      <c r="E839">
        <v>28.635106164335301</v>
      </c>
      <c r="F839">
        <v>28.635106164335301</v>
      </c>
      <c r="G839">
        <v>0</v>
      </c>
      <c r="H839">
        <v>0</v>
      </c>
      <c r="I839" t="s">
        <v>62</v>
      </c>
    </row>
    <row r="840" spans="1:9" x14ac:dyDescent="0.35">
      <c r="A840" t="s">
        <v>24</v>
      </c>
      <c r="B840">
        <v>2035</v>
      </c>
      <c r="C840" t="s">
        <v>61</v>
      </c>
      <c r="D840" t="s">
        <v>49</v>
      </c>
      <c r="E840">
        <v>1.3671479002392499</v>
      </c>
      <c r="F840">
        <v>1.3671479002392499</v>
      </c>
      <c r="G840">
        <v>0</v>
      </c>
      <c r="H840">
        <v>0</v>
      </c>
      <c r="I840" t="s">
        <v>62</v>
      </c>
    </row>
    <row r="841" spans="1:9" x14ac:dyDescent="0.35">
      <c r="A841" t="s">
        <v>24</v>
      </c>
      <c r="B841">
        <v>2035</v>
      </c>
      <c r="C841" t="s">
        <v>61</v>
      </c>
      <c r="D841" t="s">
        <v>50</v>
      </c>
      <c r="E841">
        <v>0.116319170754406</v>
      </c>
      <c r="F841">
        <v>0.116319170754406</v>
      </c>
      <c r="G841">
        <v>0</v>
      </c>
      <c r="H841">
        <v>0</v>
      </c>
      <c r="I841" t="s">
        <v>62</v>
      </c>
    </row>
    <row r="842" spans="1:9" x14ac:dyDescent="0.35">
      <c r="A842" t="s">
        <v>24</v>
      </c>
      <c r="B842">
        <v>2035</v>
      </c>
      <c r="C842" t="s">
        <v>61</v>
      </c>
      <c r="D842" t="s">
        <v>51</v>
      </c>
      <c r="E842">
        <v>0.56362963857728998</v>
      </c>
      <c r="F842">
        <v>0.56362963857728998</v>
      </c>
      <c r="G842">
        <v>0</v>
      </c>
      <c r="H842">
        <v>0</v>
      </c>
      <c r="I842" t="s">
        <v>62</v>
      </c>
    </row>
    <row r="843" spans="1:9" x14ac:dyDescent="0.35">
      <c r="A843" t="s">
        <v>24</v>
      </c>
      <c r="B843">
        <v>2035</v>
      </c>
      <c r="C843" t="s">
        <v>61</v>
      </c>
      <c r="D843" t="s">
        <v>52</v>
      </c>
      <c r="E843">
        <v>0.43677518732125697</v>
      </c>
      <c r="F843">
        <v>0.43677518732125697</v>
      </c>
      <c r="G843">
        <v>0</v>
      </c>
      <c r="H843">
        <v>0</v>
      </c>
      <c r="I843" t="s">
        <v>62</v>
      </c>
    </row>
    <row r="844" spans="1:9" x14ac:dyDescent="0.35">
      <c r="A844" t="s">
        <v>24</v>
      </c>
      <c r="B844">
        <v>2035</v>
      </c>
      <c r="C844" t="s">
        <v>61</v>
      </c>
      <c r="D844" t="s">
        <v>53</v>
      </c>
      <c r="E844">
        <v>2.4281465184642901</v>
      </c>
      <c r="F844">
        <v>2.4281465184642901</v>
      </c>
      <c r="G844">
        <v>0</v>
      </c>
      <c r="H844">
        <v>0</v>
      </c>
      <c r="I844" t="s">
        <v>62</v>
      </c>
    </row>
    <row r="845" spans="1:9" x14ac:dyDescent="0.35">
      <c r="A845" t="s">
        <v>24</v>
      </c>
      <c r="B845">
        <v>2035</v>
      </c>
      <c r="C845" t="s">
        <v>61</v>
      </c>
      <c r="D845" t="s">
        <v>54</v>
      </c>
      <c r="E845">
        <v>7.0828551471340599</v>
      </c>
      <c r="F845">
        <v>7.0828551471340599</v>
      </c>
      <c r="G845">
        <v>0</v>
      </c>
      <c r="H845">
        <v>0</v>
      </c>
      <c r="I845" t="s">
        <v>62</v>
      </c>
    </row>
    <row r="846" spans="1:9" x14ac:dyDescent="0.35">
      <c r="A846" t="s">
        <v>24</v>
      </c>
      <c r="B846">
        <v>2035</v>
      </c>
      <c r="C846" t="s">
        <v>61</v>
      </c>
      <c r="D846" t="s">
        <v>55</v>
      </c>
      <c r="E846">
        <v>6.53424213869702</v>
      </c>
      <c r="F846">
        <v>6.53424213869702</v>
      </c>
      <c r="G846">
        <v>0</v>
      </c>
      <c r="H846">
        <v>0</v>
      </c>
      <c r="I846" t="s">
        <v>62</v>
      </c>
    </row>
    <row r="847" spans="1:9" x14ac:dyDescent="0.35">
      <c r="A847" t="s">
        <v>24</v>
      </c>
      <c r="B847">
        <v>2035</v>
      </c>
      <c r="C847" t="s">
        <v>61</v>
      </c>
      <c r="D847" t="s">
        <v>56</v>
      </c>
      <c r="E847" s="1">
        <v>5.8484666019165302E-7</v>
      </c>
      <c r="F847" s="1">
        <v>5.8484666019165302E-7</v>
      </c>
      <c r="G847">
        <v>0</v>
      </c>
      <c r="H847">
        <v>0</v>
      </c>
      <c r="I847" t="s">
        <v>62</v>
      </c>
    </row>
    <row r="848" spans="1:9" x14ac:dyDescent="0.35">
      <c r="A848" t="s">
        <v>26</v>
      </c>
      <c r="B848">
        <v>2040</v>
      </c>
      <c r="C848" t="s">
        <v>61</v>
      </c>
      <c r="D848" t="s">
        <v>38</v>
      </c>
      <c r="E848">
        <v>4.9629740670580798E-3</v>
      </c>
      <c r="F848">
        <v>4.40300347091847E-3</v>
      </c>
      <c r="G848">
        <v>-5.5997059613960797E-4</v>
      </c>
      <c r="H848">
        <v>-11.282964379290799</v>
      </c>
      <c r="I848" t="s">
        <v>62</v>
      </c>
    </row>
    <row r="849" spans="1:9" x14ac:dyDescent="0.35">
      <c r="A849" t="s">
        <v>26</v>
      </c>
      <c r="B849">
        <v>2040</v>
      </c>
      <c r="C849" t="s">
        <v>61</v>
      </c>
      <c r="D849" t="s">
        <v>40</v>
      </c>
      <c r="E849">
        <v>4.2881129691640296E-3</v>
      </c>
      <c r="F849">
        <v>4.2881129691640296E-3</v>
      </c>
      <c r="G849">
        <v>0</v>
      </c>
      <c r="H849">
        <v>0</v>
      </c>
      <c r="I849" t="s">
        <v>62</v>
      </c>
    </row>
    <row r="850" spans="1:9" x14ac:dyDescent="0.35">
      <c r="A850" t="s">
        <v>26</v>
      </c>
      <c r="B850">
        <v>2040</v>
      </c>
      <c r="C850" t="s">
        <v>61</v>
      </c>
      <c r="D850" t="s">
        <v>41</v>
      </c>
      <c r="E850">
        <v>0.147697764532606</v>
      </c>
      <c r="F850">
        <v>4.3864956974508103E-2</v>
      </c>
      <c r="G850">
        <v>-0.103832807558098</v>
      </c>
      <c r="H850">
        <v>-70.3008660196584</v>
      </c>
      <c r="I850" t="s">
        <v>62</v>
      </c>
    </row>
    <row r="851" spans="1:9" x14ac:dyDescent="0.35">
      <c r="A851" t="s">
        <v>26</v>
      </c>
      <c r="B851">
        <v>2040</v>
      </c>
      <c r="C851" t="s">
        <v>61</v>
      </c>
      <c r="D851" t="s">
        <v>42</v>
      </c>
      <c r="E851">
        <v>17.602079962108501</v>
      </c>
      <c r="F851">
        <v>16.730013166844699</v>
      </c>
      <c r="G851">
        <v>-0.87206679526376896</v>
      </c>
      <c r="H851">
        <v>-4.9543394709093498</v>
      </c>
      <c r="I851" t="s">
        <v>62</v>
      </c>
    </row>
    <row r="852" spans="1:9" x14ac:dyDescent="0.35">
      <c r="A852" t="s">
        <v>26</v>
      </c>
      <c r="B852">
        <v>2040</v>
      </c>
      <c r="C852" t="s">
        <v>61</v>
      </c>
      <c r="D852" t="s">
        <v>43</v>
      </c>
      <c r="E852">
        <v>1.4441274487111E-2</v>
      </c>
      <c r="F852">
        <v>1.4441274487111E-2</v>
      </c>
      <c r="G852">
        <v>0</v>
      </c>
      <c r="H852">
        <v>0</v>
      </c>
      <c r="I852" t="s">
        <v>62</v>
      </c>
    </row>
    <row r="853" spans="1:9" x14ac:dyDescent="0.35">
      <c r="A853" t="s">
        <v>26</v>
      </c>
      <c r="B853">
        <v>2040</v>
      </c>
      <c r="C853" t="s">
        <v>61</v>
      </c>
      <c r="D853" t="s">
        <v>136</v>
      </c>
      <c r="E853">
        <v>9.7846248782298204</v>
      </c>
      <c r="F853">
        <v>9.4091920378843508</v>
      </c>
      <c r="G853">
        <v>-0.37543284034546898</v>
      </c>
      <c r="H853">
        <v>-3.8369671297341599</v>
      </c>
      <c r="I853" t="s">
        <v>62</v>
      </c>
    </row>
    <row r="854" spans="1:9" x14ac:dyDescent="0.35">
      <c r="A854" t="s">
        <v>26</v>
      </c>
      <c r="B854">
        <v>2040</v>
      </c>
      <c r="C854" t="s">
        <v>61</v>
      </c>
      <c r="D854" t="s">
        <v>45</v>
      </c>
      <c r="E854">
        <v>0.28299686160225401</v>
      </c>
      <c r="F854">
        <v>2.66267571456127E-2</v>
      </c>
      <c r="G854">
        <v>-0.25637010445664199</v>
      </c>
      <c r="H854">
        <v>-90.591147550238205</v>
      </c>
      <c r="I854" t="s">
        <v>62</v>
      </c>
    </row>
    <row r="855" spans="1:9" x14ac:dyDescent="0.35">
      <c r="A855" t="s">
        <v>26</v>
      </c>
      <c r="B855">
        <v>2040</v>
      </c>
      <c r="C855" t="s">
        <v>61</v>
      </c>
      <c r="D855" t="s">
        <v>46</v>
      </c>
      <c r="E855">
        <v>0.47150786519135501</v>
      </c>
      <c r="F855">
        <v>0.47150786519135501</v>
      </c>
      <c r="G855">
        <v>0</v>
      </c>
      <c r="H855">
        <v>0</v>
      </c>
      <c r="I855" t="s">
        <v>62</v>
      </c>
    </row>
    <row r="856" spans="1:9" x14ac:dyDescent="0.35">
      <c r="A856" t="s">
        <v>26</v>
      </c>
      <c r="B856">
        <v>2040</v>
      </c>
      <c r="C856" t="s">
        <v>61</v>
      </c>
      <c r="D856" t="s">
        <v>47</v>
      </c>
      <c r="E856">
        <v>1.21893406570077E-2</v>
      </c>
      <c r="F856">
        <v>1.21893406570077E-2</v>
      </c>
      <c r="G856">
        <v>0</v>
      </c>
      <c r="H856">
        <v>0</v>
      </c>
      <c r="I856" t="s">
        <v>62</v>
      </c>
    </row>
    <row r="857" spans="1:9" x14ac:dyDescent="0.35">
      <c r="A857" t="s">
        <v>26</v>
      </c>
      <c r="B857">
        <v>2040</v>
      </c>
      <c r="C857" t="s">
        <v>61</v>
      </c>
      <c r="D857" t="s">
        <v>48</v>
      </c>
      <c r="E857">
        <v>28.6388433625415</v>
      </c>
      <c r="F857">
        <v>28.6388433625415</v>
      </c>
      <c r="G857">
        <v>0</v>
      </c>
      <c r="H857">
        <v>0</v>
      </c>
      <c r="I857" t="s">
        <v>62</v>
      </c>
    </row>
    <row r="858" spans="1:9" x14ac:dyDescent="0.35">
      <c r="A858" t="s">
        <v>26</v>
      </c>
      <c r="B858">
        <v>2040</v>
      </c>
      <c r="C858" t="s">
        <v>61</v>
      </c>
      <c r="D858" t="s">
        <v>49</v>
      </c>
      <c r="E858">
        <v>1.36651451028004</v>
      </c>
      <c r="F858">
        <v>8.5909826482669704E-2</v>
      </c>
      <c r="G858">
        <v>-1.2806046837973699</v>
      </c>
      <c r="H858">
        <v>-93.713215202884001</v>
      </c>
      <c r="I858" t="s">
        <v>62</v>
      </c>
    </row>
    <row r="859" spans="1:9" x14ac:dyDescent="0.35">
      <c r="A859" t="s">
        <v>26</v>
      </c>
      <c r="B859">
        <v>2040</v>
      </c>
      <c r="C859" t="s">
        <v>61</v>
      </c>
      <c r="D859" t="s">
        <v>50</v>
      </c>
      <c r="E859">
        <v>0.11492620693427399</v>
      </c>
      <c r="F859">
        <v>0.11492620693427399</v>
      </c>
      <c r="G859">
        <v>0</v>
      </c>
      <c r="H859">
        <v>0</v>
      </c>
      <c r="I859" t="s">
        <v>62</v>
      </c>
    </row>
    <row r="860" spans="1:9" x14ac:dyDescent="0.35">
      <c r="A860" t="s">
        <v>26</v>
      </c>
      <c r="B860">
        <v>2040</v>
      </c>
      <c r="C860" t="s">
        <v>61</v>
      </c>
      <c r="D860" t="s">
        <v>51</v>
      </c>
      <c r="E860">
        <v>0.56755394555512095</v>
      </c>
      <c r="F860">
        <v>0.56755394555512095</v>
      </c>
      <c r="G860">
        <v>0</v>
      </c>
      <c r="H860">
        <v>0</v>
      </c>
      <c r="I860" t="s">
        <v>62</v>
      </c>
    </row>
    <row r="861" spans="1:9" x14ac:dyDescent="0.35">
      <c r="A861" t="s">
        <v>26</v>
      </c>
      <c r="B861">
        <v>2040</v>
      </c>
      <c r="C861" t="s">
        <v>61</v>
      </c>
      <c r="D861" t="s">
        <v>52</v>
      </c>
      <c r="E861">
        <v>0.37558063195911401</v>
      </c>
      <c r="F861">
        <v>0.37558063195911401</v>
      </c>
      <c r="G861">
        <v>0</v>
      </c>
      <c r="H861">
        <v>0</v>
      </c>
      <c r="I861" t="s">
        <v>62</v>
      </c>
    </row>
    <row r="862" spans="1:9" x14ac:dyDescent="0.35">
      <c r="A862" t="s">
        <v>26</v>
      </c>
      <c r="B862">
        <v>2040</v>
      </c>
      <c r="C862" t="s">
        <v>61</v>
      </c>
      <c r="D862" t="s">
        <v>53</v>
      </c>
      <c r="E862">
        <v>2.45380747418467</v>
      </c>
      <c r="F862">
        <v>2.45380747418467</v>
      </c>
      <c r="G862">
        <v>0</v>
      </c>
      <c r="H862">
        <v>0</v>
      </c>
      <c r="I862" t="s">
        <v>62</v>
      </c>
    </row>
    <row r="863" spans="1:9" x14ac:dyDescent="0.35">
      <c r="A863" t="s">
        <v>26</v>
      </c>
      <c r="B863">
        <v>2040</v>
      </c>
      <c r="C863" t="s">
        <v>61</v>
      </c>
      <c r="D863" t="s">
        <v>54</v>
      </c>
      <c r="E863">
        <v>7.0874230789061103</v>
      </c>
      <c r="F863">
        <v>7.0872321802917702</v>
      </c>
      <c r="G863">
        <v>-1.90898614333967E-4</v>
      </c>
      <c r="H863">
        <v>-2.69348410852074E-3</v>
      </c>
      <c r="I863" t="s">
        <v>62</v>
      </c>
    </row>
    <row r="864" spans="1:9" x14ac:dyDescent="0.35">
      <c r="A864" t="s">
        <v>26</v>
      </c>
      <c r="B864">
        <v>2040</v>
      </c>
      <c r="C864" t="s">
        <v>61</v>
      </c>
      <c r="D864" t="s">
        <v>55</v>
      </c>
      <c r="E864">
        <v>6.5384647955521897</v>
      </c>
      <c r="F864">
        <v>6.5179802376821403</v>
      </c>
      <c r="G864">
        <v>-2.0484557870049401E-2</v>
      </c>
      <c r="H864">
        <v>-0.31329308194767802</v>
      </c>
      <c r="I864" t="s">
        <v>62</v>
      </c>
    </row>
    <row r="865" spans="1:9" x14ac:dyDescent="0.35">
      <c r="A865" t="s">
        <v>26</v>
      </c>
      <c r="B865">
        <v>2040</v>
      </c>
      <c r="C865" t="s">
        <v>61</v>
      </c>
      <c r="D865" t="s">
        <v>56</v>
      </c>
      <c r="E865" s="1">
        <v>5.8802620981715303E-7</v>
      </c>
      <c r="F865" s="1">
        <v>5.8802620981715303E-7</v>
      </c>
      <c r="G865">
        <v>0</v>
      </c>
      <c r="H865">
        <v>0</v>
      </c>
      <c r="I865" t="s">
        <v>62</v>
      </c>
    </row>
    <row r="866" spans="1:9" x14ac:dyDescent="0.35">
      <c r="A866" t="s">
        <v>20</v>
      </c>
      <c r="B866">
        <v>2025</v>
      </c>
      <c r="C866" t="s">
        <v>127</v>
      </c>
      <c r="D866" t="s">
        <v>38</v>
      </c>
      <c r="E866">
        <v>4.0100366920960097E-3</v>
      </c>
      <c r="F866">
        <v>4.0100366920960097E-3</v>
      </c>
      <c r="G866">
        <v>0</v>
      </c>
      <c r="H866">
        <v>0</v>
      </c>
      <c r="I866" t="s">
        <v>128</v>
      </c>
    </row>
    <row r="867" spans="1:9" x14ac:dyDescent="0.35">
      <c r="A867" t="s">
        <v>20</v>
      </c>
      <c r="B867">
        <v>2025</v>
      </c>
      <c r="C867" t="s">
        <v>127</v>
      </c>
      <c r="D867" t="s">
        <v>40</v>
      </c>
      <c r="E867">
        <v>5.6575964071438799E-2</v>
      </c>
      <c r="F867">
        <v>5.6575964071438799E-2</v>
      </c>
      <c r="G867">
        <v>0</v>
      </c>
      <c r="H867">
        <v>0</v>
      </c>
      <c r="I867" t="s">
        <v>128</v>
      </c>
    </row>
    <row r="868" spans="1:9" x14ac:dyDescent="0.35">
      <c r="A868" t="s">
        <v>20</v>
      </c>
      <c r="B868">
        <v>2025</v>
      </c>
      <c r="C868" t="s">
        <v>127</v>
      </c>
      <c r="D868" t="s">
        <v>41</v>
      </c>
      <c r="E868">
        <v>0.76459262052295296</v>
      </c>
      <c r="F868">
        <v>0.76459262052295296</v>
      </c>
      <c r="G868">
        <v>0</v>
      </c>
      <c r="H868">
        <v>0</v>
      </c>
      <c r="I868" t="s">
        <v>128</v>
      </c>
    </row>
    <row r="869" spans="1:9" x14ac:dyDescent="0.35">
      <c r="A869" t="s">
        <v>20</v>
      </c>
      <c r="B869">
        <v>2025</v>
      </c>
      <c r="C869" t="s">
        <v>127</v>
      </c>
      <c r="D869" t="s">
        <v>42</v>
      </c>
      <c r="E869">
        <v>179.34227127653199</v>
      </c>
      <c r="F869">
        <v>179.34227127653199</v>
      </c>
      <c r="G869">
        <v>0</v>
      </c>
      <c r="H869">
        <v>0</v>
      </c>
      <c r="I869" t="s">
        <v>128</v>
      </c>
    </row>
    <row r="870" spans="1:9" x14ac:dyDescent="0.35">
      <c r="A870" t="s">
        <v>20</v>
      </c>
      <c r="B870">
        <v>2025</v>
      </c>
      <c r="C870" t="s">
        <v>127</v>
      </c>
      <c r="D870" t="s">
        <v>43</v>
      </c>
      <c r="E870">
        <v>0.23651911619034499</v>
      </c>
      <c r="F870">
        <v>0.23651911619034499</v>
      </c>
      <c r="G870">
        <v>0</v>
      </c>
      <c r="H870">
        <v>0</v>
      </c>
      <c r="I870" t="s">
        <v>128</v>
      </c>
    </row>
    <row r="871" spans="1:9" x14ac:dyDescent="0.35">
      <c r="A871" t="s">
        <v>20</v>
      </c>
      <c r="B871">
        <v>2025</v>
      </c>
      <c r="C871" t="s">
        <v>127</v>
      </c>
      <c r="D871" t="s">
        <v>136</v>
      </c>
      <c r="E871">
        <v>30.653480747991701</v>
      </c>
      <c r="F871">
        <v>30.653480747991701</v>
      </c>
      <c r="G871">
        <v>0</v>
      </c>
      <c r="H871">
        <v>0</v>
      </c>
      <c r="I871" t="s">
        <v>128</v>
      </c>
    </row>
    <row r="872" spans="1:9" x14ac:dyDescent="0.35">
      <c r="A872" t="s">
        <v>20</v>
      </c>
      <c r="B872">
        <v>2025</v>
      </c>
      <c r="C872" t="s">
        <v>127</v>
      </c>
      <c r="D872" t="s">
        <v>45</v>
      </c>
      <c r="E872">
        <v>0.234393709625692</v>
      </c>
      <c r="F872">
        <v>0.234393709625692</v>
      </c>
      <c r="G872">
        <v>0</v>
      </c>
      <c r="H872">
        <v>0</v>
      </c>
      <c r="I872" t="s">
        <v>128</v>
      </c>
    </row>
    <row r="873" spans="1:9" x14ac:dyDescent="0.35">
      <c r="A873" t="s">
        <v>20</v>
      </c>
      <c r="B873">
        <v>2025</v>
      </c>
      <c r="C873" t="s">
        <v>127</v>
      </c>
      <c r="D873" t="s">
        <v>46</v>
      </c>
      <c r="E873">
        <v>0.43776238588726102</v>
      </c>
      <c r="F873">
        <v>0.43776238588726102</v>
      </c>
      <c r="G873">
        <v>0</v>
      </c>
      <c r="H873">
        <v>0</v>
      </c>
      <c r="I873" t="s">
        <v>128</v>
      </c>
    </row>
    <row r="874" spans="1:9" x14ac:dyDescent="0.35">
      <c r="A874" t="s">
        <v>20</v>
      </c>
      <c r="B874">
        <v>2025</v>
      </c>
      <c r="C874" t="s">
        <v>127</v>
      </c>
      <c r="D874" t="s">
        <v>47</v>
      </c>
      <c r="E874">
        <v>4.4710523422045602E-2</v>
      </c>
      <c r="F874">
        <v>4.4710523422045602E-2</v>
      </c>
      <c r="G874">
        <v>0</v>
      </c>
      <c r="H874">
        <v>0</v>
      </c>
      <c r="I874" t="s">
        <v>128</v>
      </c>
    </row>
    <row r="875" spans="1:9" x14ac:dyDescent="0.35">
      <c r="A875" t="s">
        <v>20</v>
      </c>
      <c r="B875">
        <v>2025</v>
      </c>
      <c r="C875" t="s">
        <v>127</v>
      </c>
      <c r="D875" t="s">
        <v>48</v>
      </c>
      <c r="E875">
        <v>79.719654766642805</v>
      </c>
      <c r="F875">
        <v>79.719654766642805</v>
      </c>
      <c r="G875">
        <v>0</v>
      </c>
      <c r="H875">
        <v>0</v>
      </c>
      <c r="I875" t="s">
        <v>128</v>
      </c>
    </row>
    <row r="876" spans="1:9" x14ac:dyDescent="0.35">
      <c r="A876" t="s">
        <v>20</v>
      </c>
      <c r="B876">
        <v>2025</v>
      </c>
      <c r="C876" t="s">
        <v>127</v>
      </c>
      <c r="D876" t="s">
        <v>49</v>
      </c>
      <c r="E876">
        <v>0.83576105132379597</v>
      </c>
      <c r="F876">
        <v>0.83576105132379597</v>
      </c>
      <c r="G876">
        <v>0</v>
      </c>
      <c r="H876">
        <v>0</v>
      </c>
      <c r="I876" t="s">
        <v>128</v>
      </c>
    </row>
    <row r="877" spans="1:9" x14ac:dyDescent="0.35">
      <c r="A877" t="s">
        <v>20</v>
      </c>
      <c r="B877">
        <v>2025</v>
      </c>
      <c r="C877" t="s">
        <v>127</v>
      </c>
      <c r="D877" t="s">
        <v>50</v>
      </c>
      <c r="E877">
        <v>0.49798762860749601</v>
      </c>
      <c r="F877">
        <v>0.49798762860749601</v>
      </c>
      <c r="G877">
        <v>0</v>
      </c>
      <c r="H877">
        <v>0</v>
      </c>
      <c r="I877" t="s">
        <v>128</v>
      </c>
    </row>
    <row r="878" spans="1:9" x14ac:dyDescent="0.35">
      <c r="A878" t="s">
        <v>20</v>
      </c>
      <c r="B878">
        <v>2025</v>
      </c>
      <c r="C878" t="s">
        <v>127</v>
      </c>
      <c r="D878" t="s">
        <v>51</v>
      </c>
      <c r="E878">
        <v>1.4529886538053001</v>
      </c>
      <c r="F878">
        <v>1.4529886538053001</v>
      </c>
      <c r="G878">
        <v>0</v>
      </c>
      <c r="H878">
        <v>0</v>
      </c>
      <c r="I878" t="s">
        <v>128</v>
      </c>
    </row>
    <row r="879" spans="1:9" x14ac:dyDescent="0.35">
      <c r="A879" t="s">
        <v>20</v>
      </c>
      <c r="B879">
        <v>2025</v>
      </c>
      <c r="C879" t="s">
        <v>127</v>
      </c>
      <c r="D879" t="s">
        <v>52</v>
      </c>
      <c r="E879">
        <v>1.6753932220593799</v>
      </c>
      <c r="F879">
        <v>1.6753932220593799</v>
      </c>
      <c r="G879">
        <v>0</v>
      </c>
      <c r="H879">
        <v>0</v>
      </c>
      <c r="I879" t="s">
        <v>128</v>
      </c>
    </row>
    <row r="880" spans="1:9" x14ac:dyDescent="0.35">
      <c r="A880" t="s">
        <v>20</v>
      </c>
      <c r="B880">
        <v>2025</v>
      </c>
      <c r="C880" t="s">
        <v>127</v>
      </c>
      <c r="D880" t="s">
        <v>53</v>
      </c>
      <c r="E880">
        <v>12.135890425149</v>
      </c>
      <c r="F880">
        <v>12.135890425149</v>
      </c>
      <c r="G880">
        <v>0</v>
      </c>
      <c r="H880">
        <v>0</v>
      </c>
      <c r="I880" t="s">
        <v>128</v>
      </c>
    </row>
    <row r="881" spans="1:9" x14ac:dyDescent="0.35">
      <c r="A881" t="s">
        <v>20</v>
      </c>
      <c r="B881">
        <v>2025</v>
      </c>
      <c r="C881" t="s">
        <v>127</v>
      </c>
      <c r="D881" t="s">
        <v>54</v>
      </c>
      <c r="E881">
        <v>14.220843406523899</v>
      </c>
      <c r="F881">
        <v>14.220843406523899</v>
      </c>
      <c r="G881">
        <v>0</v>
      </c>
      <c r="H881">
        <v>0</v>
      </c>
      <c r="I881" t="s">
        <v>128</v>
      </c>
    </row>
    <row r="882" spans="1:9" x14ac:dyDescent="0.35">
      <c r="A882" t="s">
        <v>20</v>
      </c>
      <c r="B882">
        <v>2025</v>
      </c>
      <c r="C882" t="s">
        <v>127</v>
      </c>
      <c r="D882" t="s">
        <v>55</v>
      </c>
      <c r="E882">
        <v>12.3213946209772</v>
      </c>
      <c r="F882">
        <v>12.3213946209772</v>
      </c>
      <c r="G882">
        <v>0</v>
      </c>
      <c r="H882">
        <v>0</v>
      </c>
      <c r="I882" t="s">
        <v>128</v>
      </c>
    </row>
    <row r="883" spans="1:9" x14ac:dyDescent="0.35">
      <c r="A883" t="s">
        <v>20</v>
      </c>
      <c r="B883">
        <v>2025</v>
      </c>
      <c r="C883" t="s">
        <v>127</v>
      </c>
      <c r="D883" t="s">
        <v>56</v>
      </c>
      <c r="E883" s="1">
        <v>3.2046802276900099E-6</v>
      </c>
      <c r="F883" s="1">
        <v>3.2046802276900099E-6</v>
      </c>
      <c r="G883">
        <v>0</v>
      </c>
      <c r="H883">
        <v>0</v>
      </c>
      <c r="I883" t="s">
        <v>128</v>
      </c>
    </row>
    <row r="884" spans="1:9" x14ac:dyDescent="0.35">
      <c r="A884" t="s">
        <v>22</v>
      </c>
      <c r="B884">
        <v>2030</v>
      </c>
      <c r="C884" t="s">
        <v>127</v>
      </c>
      <c r="D884" t="s">
        <v>38</v>
      </c>
      <c r="E884">
        <v>1.29297193138813E-2</v>
      </c>
      <c r="F884">
        <v>1.29297193138813E-2</v>
      </c>
      <c r="G884">
        <v>0</v>
      </c>
      <c r="H884">
        <v>0</v>
      </c>
      <c r="I884" t="s">
        <v>128</v>
      </c>
    </row>
    <row r="885" spans="1:9" x14ac:dyDescent="0.35">
      <c r="A885" t="s">
        <v>22</v>
      </c>
      <c r="B885">
        <v>2030</v>
      </c>
      <c r="C885" t="s">
        <v>127</v>
      </c>
      <c r="D885" t="s">
        <v>40</v>
      </c>
      <c r="E885">
        <v>5.7967201408551099E-2</v>
      </c>
      <c r="F885">
        <v>5.7967201408551099E-2</v>
      </c>
      <c r="G885">
        <v>0</v>
      </c>
      <c r="H885">
        <v>0</v>
      </c>
      <c r="I885" t="s">
        <v>128</v>
      </c>
    </row>
    <row r="886" spans="1:9" x14ac:dyDescent="0.35">
      <c r="A886" t="s">
        <v>22</v>
      </c>
      <c r="B886">
        <v>2030</v>
      </c>
      <c r="C886" t="s">
        <v>127</v>
      </c>
      <c r="D886" t="s">
        <v>41</v>
      </c>
      <c r="E886">
        <v>0.75562407858859004</v>
      </c>
      <c r="F886">
        <v>0.75562407858859004</v>
      </c>
      <c r="G886">
        <v>0</v>
      </c>
      <c r="H886">
        <v>0</v>
      </c>
      <c r="I886" t="s">
        <v>128</v>
      </c>
    </row>
    <row r="887" spans="1:9" x14ac:dyDescent="0.35">
      <c r="A887" t="s">
        <v>22</v>
      </c>
      <c r="B887">
        <v>2030</v>
      </c>
      <c r="C887" t="s">
        <v>127</v>
      </c>
      <c r="D887" t="s">
        <v>42</v>
      </c>
      <c r="E887">
        <v>177.152618921174</v>
      </c>
      <c r="F887">
        <v>177.152618921174</v>
      </c>
      <c r="G887">
        <v>0</v>
      </c>
      <c r="H887">
        <v>0</v>
      </c>
      <c r="I887" t="s">
        <v>128</v>
      </c>
    </row>
    <row r="888" spans="1:9" x14ac:dyDescent="0.35">
      <c r="A888" t="s">
        <v>22</v>
      </c>
      <c r="B888">
        <v>2030</v>
      </c>
      <c r="C888" t="s">
        <v>127</v>
      </c>
      <c r="D888" t="s">
        <v>43</v>
      </c>
      <c r="E888">
        <v>0.233444177651944</v>
      </c>
      <c r="F888">
        <v>0.233444177651944</v>
      </c>
      <c r="G888">
        <v>0</v>
      </c>
      <c r="H888">
        <v>0</v>
      </c>
      <c r="I888" t="s">
        <v>128</v>
      </c>
    </row>
    <row r="889" spans="1:9" x14ac:dyDescent="0.35">
      <c r="A889" t="s">
        <v>22</v>
      </c>
      <c r="B889">
        <v>2030</v>
      </c>
      <c r="C889" t="s">
        <v>127</v>
      </c>
      <c r="D889" t="s">
        <v>136</v>
      </c>
      <c r="E889">
        <v>27.414263949436702</v>
      </c>
      <c r="F889">
        <v>27.414263949436702</v>
      </c>
      <c r="G889">
        <v>0</v>
      </c>
      <c r="H889">
        <v>0</v>
      </c>
      <c r="I889" t="s">
        <v>128</v>
      </c>
    </row>
    <row r="890" spans="1:9" x14ac:dyDescent="0.35">
      <c r="A890" t="s">
        <v>22</v>
      </c>
      <c r="B890">
        <v>2030</v>
      </c>
      <c r="C890" t="s">
        <v>127</v>
      </c>
      <c r="D890" t="s">
        <v>45</v>
      </c>
      <c r="E890">
        <v>0.22273786760003</v>
      </c>
      <c r="F890">
        <v>0.22273786760003</v>
      </c>
      <c r="G890">
        <v>0</v>
      </c>
      <c r="H890">
        <v>0</v>
      </c>
      <c r="I890" t="s">
        <v>128</v>
      </c>
    </row>
    <row r="891" spans="1:9" x14ac:dyDescent="0.35">
      <c r="A891" t="s">
        <v>22</v>
      </c>
      <c r="B891">
        <v>2030</v>
      </c>
      <c r="C891" t="s">
        <v>127</v>
      </c>
      <c r="D891" t="s">
        <v>46</v>
      </c>
      <c r="E891">
        <v>0.74442261537664001</v>
      </c>
      <c r="F891">
        <v>0.74442261537664001</v>
      </c>
      <c r="G891">
        <v>0</v>
      </c>
      <c r="H891">
        <v>0</v>
      </c>
      <c r="I891" t="s">
        <v>128</v>
      </c>
    </row>
    <row r="892" spans="1:9" x14ac:dyDescent="0.35">
      <c r="A892" t="s">
        <v>22</v>
      </c>
      <c r="B892">
        <v>2030</v>
      </c>
      <c r="C892" t="s">
        <v>127</v>
      </c>
      <c r="D892" t="s">
        <v>47</v>
      </c>
      <c r="E892">
        <v>4.1828872259011697E-2</v>
      </c>
      <c r="F892">
        <v>4.1828872259011697E-2</v>
      </c>
      <c r="G892">
        <v>0</v>
      </c>
      <c r="H892">
        <v>0</v>
      </c>
      <c r="I892" t="s">
        <v>128</v>
      </c>
    </row>
    <row r="893" spans="1:9" x14ac:dyDescent="0.35">
      <c r="A893" t="s">
        <v>22</v>
      </c>
      <c r="B893">
        <v>2030</v>
      </c>
      <c r="C893" t="s">
        <v>127</v>
      </c>
      <c r="D893" t="s">
        <v>48</v>
      </c>
      <c r="E893">
        <v>79.720409798287506</v>
      </c>
      <c r="F893">
        <v>79.720409798287506</v>
      </c>
      <c r="G893">
        <v>0</v>
      </c>
      <c r="H893">
        <v>0</v>
      </c>
      <c r="I893" t="s">
        <v>128</v>
      </c>
    </row>
    <row r="894" spans="1:9" x14ac:dyDescent="0.35">
      <c r="A894" t="s">
        <v>22</v>
      </c>
      <c r="B894">
        <v>2030</v>
      </c>
      <c r="C894" t="s">
        <v>127</v>
      </c>
      <c r="D894" t="s">
        <v>49</v>
      </c>
      <c r="E894">
        <v>0.79098423360828196</v>
      </c>
      <c r="F894">
        <v>0.79098423360828196</v>
      </c>
      <c r="G894">
        <v>0</v>
      </c>
      <c r="H894">
        <v>0</v>
      </c>
      <c r="I894" t="s">
        <v>128</v>
      </c>
    </row>
    <row r="895" spans="1:9" x14ac:dyDescent="0.35">
      <c r="A895" t="s">
        <v>22</v>
      </c>
      <c r="B895">
        <v>2030</v>
      </c>
      <c r="C895" t="s">
        <v>127</v>
      </c>
      <c r="D895" t="s">
        <v>50</v>
      </c>
      <c r="E895">
        <v>0.521172353216378</v>
      </c>
      <c r="F895">
        <v>0.521172353216378</v>
      </c>
      <c r="G895">
        <v>0</v>
      </c>
      <c r="H895">
        <v>0</v>
      </c>
      <c r="I895" t="s">
        <v>128</v>
      </c>
    </row>
    <row r="896" spans="1:9" x14ac:dyDescent="0.35">
      <c r="A896" t="s">
        <v>22</v>
      </c>
      <c r="B896">
        <v>2030</v>
      </c>
      <c r="C896" t="s">
        <v>127</v>
      </c>
      <c r="D896" t="s">
        <v>51</v>
      </c>
      <c r="E896">
        <v>1.41091706318621</v>
      </c>
      <c r="F896">
        <v>1.41091706318621</v>
      </c>
      <c r="G896">
        <v>0</v>
      </c>
      <c r="H896">
        <v>0</v>
      </c>
      <c r="I896" t="s">
        <v>128</v>
      </c>
    </row>
    <row r="897" spans="1:9" x14ac:dyDescent="0.35">
      <c r="A897" t="s">
        <v>22</v>
      </c>
      <c r="B897">
        <v>2030</v>
      </c>
      <c r="C897" t="s">
        <v>127</v>
      </c>
      <c r="D897" t="s">
        <v>52</v>
      </c>
      <c r="E897">
        <v>1.6414145622858201</v>
      </c>
      <c r="F897">
        <v>1.6414145622858201</v>
      </c>
      <c r="G897">
        <v>0</v>
      </c>
      <c r="H897">
        <v>0</v>
      </c>
      <c r="I897" t="s">
        <v>128</v>
      </c>
    </row>
    <row r="898" spans="1:9" x14ac:dyDescent="0.35">
      <c r="A898" t="s">
        <v>22</v>
      </c>
      <c r="B898">
        <v>2030</v>
      </c>
      <c r="C898" t="s">
        <v>127</v>
      </c>
      <c r="D898" t="s">
        <v>53</v>
      </c>
      <c r="E898">
        <v>11.919493757330001</v>
      </c>
      <c r="F898">
        <v>11.919493757330001</v>
      </c>
      <c r="G898">
        <v>0</v>
      </c>
      <c r="H898">
        <v>0</v>
      </c>
      <c r="I898" t="s">
        <v>128</v>
      </c>
    </row>
    <row r="899" spans="1:9" x14ac:dyDescent="0.35">
      <c r="A899" t="s">
        <v>22</v>
      </c>
      <c r="B899">
        <v>2030</v>
      </c>
      <c r="C899" t="s">
        <v>127</v>
      </c>
      <c r="D899" t="s">
        <v>54</v>
      </c>
      <c r="E899">
        <v>14.181690003003499</v>
      </c>
      <c r="F899">
        <v>14.181690003003499</v>
      </c>
      <c r="G899">
        <v>0</v>
      </c>
      <c r="H899">
        <v>0</v>
      </c>
      <c r="I899" t="s">
        <v>128</v>
      </c>
    </row>
    <row r="900" spans="1:9" x14ac:dyDescent="0.35">
      <c r="A900" t="s">
        <v>22</v>
      </c>
      <c r="B900">
        <v>2030</v>
      </c>
      <c r="C900" t="s">
        <v>127</v>
      </c>
      <c r="D900" t="s">
        <v>55</v>
      </c>
      <c r="E900">
        <v>12.278250955015499</v>
      </c>
      <c r="F900">
        <v>12.278250955015499</v>
      </c>
      <c r="G900">
        <v>0</v>
      </c>
      <c r="H900">
        <v>0</v>
      </c>
      <c r="I900" t="s">
        <v>128</v>
      </c>
    </row>
    <row r="901" spans="1:9" x14ac:dyDescent="0.35">
      <c r="A901" t="s">
        <v>22</v>
      </c>
      <c r="B901">
        <v>2030</v>
      </c>
      <c r="C901" t="s">
        <v>127</v>
      </c>
      <c r="D901" t="s">
        <v>56</v>
      </c>
      <c r="E901" s="1">
        <v>3.4580009918042701E-6</v>
      </c>
      <c r="F901" s="1">
        <v>3.4580009918042701E-6</v>
      </c>
      <c r="G901">
        <v>0</v>
      </c>
      <c r="H901">
        <v>0</v>
      </c>
      <c r="I901" t="s">
        <v>128</v>
      </c>
    </row>
    <row r="902" spans="1:9" x14ac:dyDescent="0.35">
      <c r="A902" t="s">
        <v>24</v>
      </c>
      <c r="B902">
        <v>2035</v>
      </c>
      <c r="C902" t="s">
        <v>127</v>
      </c>
      <c r="D902" t="s">
        <v>38</v>
      </c>
      <c r="E902">
        <v>1.92874210895571E-2</v>
      </c>
      <c r="F902">
        <v>1.92874210895571E-2</v>
      </c>
      <c r="G902">
        <v>0</v>
      </c>
      <c r="H902">
        <v>0</v>
      </c>
      <c r="I902" t="s">
        <v>128</v>
      </c>
    </row>
    <row r="903" spans="1:9" x14ac:dyDescent="0.35">
      <c r="A903" t="s">
        <v>24</v>
      </c>
      <c r="B903">
        <v>2035</v>
      </c>
      <c r="C903" t="s">
        <v>127</v>
      </c>
      <c r="D903" t="s">
        <v>40</v>
      </c>
      <c r="E903">
        <v>5.8634429046104899E-2</v>
      </c>
      <c r="F903">
        <v>5.8634429046104899E-2</v>
      </c>
      <c r="G903">
        <v>0</v>
      </c>
      <c r="H903">
        <v>0</v>
      </c>
      <c r="I903" t="s">
        <v>128</v>
      </c>
    </row>
    <row r="904" spans="1:9" x14ac:dyDescent="0.35">
      <c r="A904" t="s">
        <v>24</v>
      </c>
      <c r="B904">
        <v>2035</v>
      </c>
      <c r="C904" t="s">
        <v>127</v>
      </c>
      <c r="D904" t="s">
        <v>41</v>
      </c>
      <c r="E904">
        <v>0.74964162259076195</v>
      </c>
      <c r="F904">
        <v>0.74964162259076195</v>
      </c>
      <c r="G904">
        <v>0</v>
      </c>
      <c r="H904">
        <v>0</v>
      </c>
      <c r="I904" t="s">
        <v>128</v>
      </c>
    </row>
    <row r="905" spans="1:9" x14ac:dyDescent="0.35">
      <c r="A905" t="s">
        <v>24</v>
      </c>
      <c r="B905">
        <v>2035</v>
      </c>
      <c r="C905" t="s">
        <v>127</v>
      </c>
      <c r="D905" t="s">
        <v>42</v>
      </c>
      <c r="E905">
        <v>176.22125649821999</v>
      </c>
      <c r="F905">
        <v>176.22125649821999</v>
      </c>
      <c r="G905">
        <v>0</v>
      </c>
      <c r="H905">
        <v>0</v>
      </c>
      <c r="I905" t="s">
        <v>128</v>
      </c>
    </row>
    <row r="906" spans="1:9" x14ac:dyDescent="0.35">
      <c r="A906" t="s">
        <v>24</v>
      </c>
      <c r="B906">
        <v>2035</v>
      </c>
      <c r="C906" t="s">
        <v>127</v>
      </c>
      <c r="D906" t="s">
        <v>43</v>
      </c>
      <c r="E906">
        <v>0.23171800763842501</v>
      </c>
      <c r="F906">
        <v>0.23171800763842501</v>
      </c>
      <c r="G906">
        <v>0</v>
      </c>
      <c r="H906">
        <v>0</v>
      </c>
      <c r="I906" t="s">
        <v>128</v>
      </c>
    </row>
    <row r="907" spans="1:9" x14ac:dyDescent="0.35">
      <c r="A907" t="s">
        <v>24</v>
      </c>
      <c r="B907">
        <v>2035</v>
      </c>
      <c r="C907" t="s">
        <v>127</v>
      </c>
      <c r="D907" t="s">
        <v>136</v>
      </c>
      <c r="E907">
        <v>25.957558906848298</v>
      </c>
      <c r="F907">
        <v>25.957558906848298</v>
      </c>
      <c r="G907">
        <v>0</v>
      </c>
      <c r="H907">
        <v>0</v>
      </c>
      <c r="I907" t="s">
        <v>128</v>
      </c>
    </row>
    <row r="908" spans="1:9" x14ac:dyDescent="0.35">
      <c r="A908" t="s">
        <v>24</v>
      </c>
      <c r="B908">
        <v>2035</v>
      </c>
      <c r="C908" t="s">
        <v>127</v>
      </c>
      <c r="D908" t="s">
        <v>45</v>
      </c>
      <c r="E908">
        <v>0.216377611598323</v>
      </c>
      <c r="F908">
        <v>0.216377611598323</v>
      </c>
      <c r="G908">
        <v>0</v>
      </c>
      <c r="H908">
        <v>0</v>
      </c>
      <c r="I908" t="s">
        <v>128</v>
      </c>
    </row>
    <row r="909" spans="1:9" x14ac:dyDescent="0.35">
      <c r="A909" t="s">
        <v>24</v>
      </c>
      <c r="B909">
        <v>2035</v>
      </c>
      <c r="C909" t="s">
        <v>127</v>
      </c>
      <c r="D909" t="s">
        <v>46</v>
      </c>
      <c r="E909">
        <v>1.1199506680203699</v>
      </c>
      <c r="F909">
        <v>1.1199506680203699</v>
      </c>
      <c r="G909">
        <v>0</v>
      </c>
      <c r="H909">
        <v>0</v>
      </c>
      <c r="I909" t="s">
        <v>128</v>
      </c>
    </row>
    <row r="910" spans="1:9" x14ac:dyDescent="0.35">
      <c r="A910" t="s">
        <v>24</v>
      </c>
      <c r="B910">
        <v>2035</v>
      </c>
      <c r="C910" t="s">
        <v>127</v>
      </c>
      <c r="D910" t="s">
        <v>47</v>
      </c>
      <c r="E910">
        <v>4.0618761017265602E-2</v>
      </c>
      <c r="F910">
        <v>4.0618761017265602E-2</v>
      </c>
      <c r="G910">
        <v>0</v>
      </c>
      <c r="H910">
        <v>0</v>
      </c>
      <c r="I910" t="s">
        <v>128</v>
      </c>
    </row>
    <row r="911" spans="1:9" x14ac:dyDescent="0.35">
      <c r="A911" t="s">
        <v>24</v>
      </c>
      <c r="B911">
        <v>2035</v>
      </c>
      <c r="C911" t="s">
        <v>127</v>
      </c>
      <c r="D911" t="s">
        <v>48</v>
      </c>
      <c r="E911">
        <v>79.735878113467805</v>
      </c>
      <c r="F911">
        <v>79.735878113467805</v>
      </c>
      <c r="G911">
        <v>0</v>
      </c>
      <c r="H911">
        <v>0</v>
      </c>
      <c r="I911" t="s">
        <v>128</v>
      </c>
    </row>
    <row r="912" spans="1:9" x14ac:dyDescent="0.35">
      <c r="A912" t="s">
        <v>24</v>
      </c>
      <c r="B912">
        <v>2035</v>
      </c>
      <c r="C912" t="s">
        <v>127</v>
      </c>
      <c r="D912" t="s">
        <v>49</v>
      </c>
      <c r="E912">
        <v>0.76653079880900199</v>
      </c>
      <c r="F912">
        <v>0.76653079880900199</v>
      </c>
      <c r="G912">
        <v>0</v>
      </c>
      <c r="H912">
        <v>0</v>
      </c>
      <c r="I912" t="s">
        <v>128</v>
      </c>
    </row>
    <row r="913" spans="1:9" x14ac:dyDescent="0.35">
      <c r="A913" t="s">
        <v>24</v>
      </c>
      <c r="B913">
        <v>2035</v>
      </c>
      <c r="C913" t="s">
        <v>127</v>
      </c>
      <c r="D913" t="s">
        <v>50</v>
      </c>
      <c r="E913">
        <v>0.53890888776713697</v>
      </c>
      <c r="F913">
        <v>0.53890888776713697</v>
      </c>
      <c r="G913">
        <v>0</v>
      </c>
      <c r="H913">
        <v>0</v>
      </c>
      <c r="I913" t="s">
        <v>128</v>
      </c>
    </row>
    <row r="914" spans="1:9" x14ac:dyDescent="0.35">
      <c r="A914" t="s">
        <v>24</v>
      </c>
      <c r="B914">
        <v>2035</v>
      </c>
      <c r="C914" t="s">
        <v>127</v>
      </c>
      <c r="D914" t="s">
        <v>51</v>
      </c>
      <c r="E914">
        <v>1.3969922316816199</v>
      </c>
      <c r="F914">
        <v>1.3969922316816199</v>
      </c>
      <c r="G914">
        <v>0</v>
      </c>
      <c r="H914">
        <v>0</v>
      </c>
      <c r="I914" t="s">
        <v>128</v>
      </c>
    </row>
    <row r="915" spans="1:9" x14ac:dyDescent="0.35">
      <c r="A915" t="s">
        <v>24</v>
      </c>
      <c r="B915">
        <v>2035</v>
      </c>
      <c r="C915" t="s">
        <v>127</v>
      </c>
      <c r="D915" t="s">
        <v>52</v>
      </c>
      <c r="E915">
        <v>1.594989155178</v>
      </c>
      <c r="F915">
        <v>1.594989155178</v>
      </c>
      <c r="G915">
        <v>0</v>
      </c>
      <c r="H915">
        <v>0</v>
      </c>
      <c r="I915" t="s">
        <v>128</v>
      </c>
    </row>
    <row r="916" spans="1:9" x14ac:dyDescent="0.35">
      <c r="A916" t="s">
        <v>24</v>
      </c>
      <c r="B916">
        <v>2035</v>
      </c>
      <c r="C916" t="s">
        <v>127</v>
      </c>
      <c r="D916" t="s">
        <v>53</v>
      </c>
      <c r="E916">
        <v>11.865151508142599</v>
      </c>
      <c r="F916">
        <v>11.865151508142599</v>
      </c>
      <c r="G916">
        <v>0</v>
      </c>
      <c r="H916">
        <v>0</v>
      </c>
      <c r="I916" t="s">
        <v>128</v>
      </c>
    </row>
    <row r="917" spans="1:9" x14ac:dyDescent="0.35">
      <c r="A917" t="s">
        <v>24</v>
      </c>
      <c r="B917">
        <v>2035</v>
      </c>
      <c r="C917" t="s">
        <v>127</v>
      </c>
      <c r="D917" t="s">
        <v>54</v>
      </c>
      <c r="E917">
        <v>14.173573791448099</v>
      </c>
      <c r="F917">
        <v>14.173573791448099</v>
      </c>
      <c r="G917">
        <v>0</v>
      </c>
      <c r="H917">
        <v>0</v>
      </c>
      <c r="I917" t="s">
        <v>128</v>
      </c>
    </row>
    <row r="918" spans="1:9" x14ac:dyDescent="0.35">
      <c r="A918" t="s">
        <v>24</v>
      </c>
      <c r="B918">
        <v>2035</v>
      </c>
      <c r="C918" t="s">
        <v>127</v>
      </c>
      <c r="D918" t="s">
        <v>55</v>
      </c>
      <c r="E918">
        <v>12.2668727596033</v>
      </c>
      <c r="F918">
        <v>12.2668727596033</v>
      </c>
      <c r="G918">
        <v>0</v>
      </c>
      <c r="H918">
        <v>0</v>
      </c>
      <c r="I918" t="s">
        <v>128</v>
      </c>
    </row>
    <row r="919" spans="1:9" x14ac:dyDescent="0.35">
      <c r="A919" t="s">
        <v>24</v>
      </c>
      <c r="B919">
        <v>2035</v>
      </c>
      <c r="C919" t="s">
        <v>127</v>
      </c>
      <c r="D919" t="s">
        <v>56</v>
      </c>
      <c r="E919" s="1">
        <v>3.6015570688990298E-6</v>
      </c>
      <c r="F919" s="1">
        <v>3.6015570688990298E-6</v>
      </c>
      <c r="G919">
        <v>0</v>
      </c>
      <c r="H919">
        <v>0</v>
      </c>
      <c r="I919" t="s">
        <v>128</v>
      </c>
    </row>
    <row r="920" spans="1:9" x14ac:dyDescent="0.35">
      <c r="A920" t="s">
        <v>26</v>
      </c>
      <c r="B920">
        <v>2040</v>
      </c>
      <c r="C920" t="s">
        <v>127</v>
      </c>
      <c r="D920" t="s">
        <v>38</v>
      </c>
      <c r="E920">
        <v>1.6238080237924401E-2</v>
      </c>
      <c r="F920">
        <v>1.6125375472022599E-2</v>
      </c>
      <c r="G920">
        <v>-1.12704765901833E-4</v>
      </c>
      <c r="H920">
        <v>-0.69407691211309497</v>
      </c>
      <c r="I920" t="s">
        <v>128</v>
      </c>
    </row>
    <row r="921" spans="1:9" x14ac:dyDescent="0.35">
      <c r="A921" t="s">
        <v>26</v>
      </c>
      <c r="B921">
        <v>2040</v>
      </c>
      <c r="C921" t="s">
        <v>127</v>
      </c>
      <c r="D921" t="s">
        <v>40</v>
      </c>
      <c r="E921">
        <v>5.8672651180937001E-2</v>
      </c>
      <c r="F921">
        <v>5.8672651180937001E-2</v>
      </c>
      <c r="G921">
        <v>0</v>
      </c>
      <c r="H921">
        <v>0</v>
      </c>
      <c r="I921" t="s">
        <v>128</v>
      </c>
    </row>
    <row r="922" spans="1:9" x14ac:dyDescent="0.35">
      <c r="A922" t="s">
        <v>26</v>
      </c>
      <c r="B922">
        <v>2040</v>
      </c>
      <c r="C922" t="s">
        <v>127</v>
      </c>
      <c r="D922" t="s">
        <v>41</v>
      </c>
      <c r="E922">
        <v>0.74593012895593602</v>
      </c>
      <c r="F922">
        <v>0.74591849388480302</v>
      </c>
      <c r="G922" s="1">
        <v>-1.1635071133331199E-5</v>
      </c>
      <c r="H922">
        <v>-1.55980710279348E-3</v>
      </c>
      <c r="I922" t="s">
        <v>128</v>
      </c>
    </row>
    <row r="923" spans="1:9" x14ac:dyDescent="0.35">
      <c r="A923" t="s">
        <v>26</v>
      </c>
      <c r="B923">
        <v>2040</v>
      </c>
      <c r="C923" t="s">
        <v>127</v>
      </c>
      <c r="D923" t="s">
        <v>42</v>
      </c>
      <c r="E923">
        <v>176.26172908164301</v>
      </c>
      <c r="F923">
        <v>176.18023596475001</v>
      </c>
      <c r="G923">
        <v>-8.1493116892886505E-2</v>
      </c>
      <c r="H923">
        <v>-4.6234152653262299E-2</v>
      </c>
      <c r="I923" t="s">
        <v>128</v>
      </c>
    </row>
    <row r="924" spans="1:9" x14ac:dyDescent="0.35">
      <c r="A924" t="s">
        <v>26</v>
      </c>
      <c r="B924">
        <v>2040</v>
      </c>
      <c r="C924" t="s">
        <v>127</v>
      </c>
      <c r="D924" t="s">
        <v>43</v>
      </c>
      <c r="E924">
        <v>0.22996501761485799</v>
      </c>
      <c r="F924">
        <v>0.22996500697962899</v>
      </c>
      <c r="G924" s="1">
        <v>-1.0635229030775399E-8</v>
      </c>
      <c r="H924" s="1">
        <v>-4.6247160290210204E-6</v>
      </c>
      <c r="I924" t="s">
        <v>128</v>
      </c>
    </row>
    <row r="925" spans="1:9" x14ac:dyDescent="0.35">
      <c r="A925" t="s">
        <v>26</v>
      </c>
      <c r="B925">
        <v>2040</v>
      </c>
      <c r="C925" t="s">
        <v>127</v>
      </c>
      <c r="D925" t="s">
        <v>136</v>
      </c>
      <c r="E925">
        <v>25.5232441698728</v>
      </c>
      <c r="F925">
        <v>25.523152825455</v>
      </c>
      <c r="G925" s="1">
        <v>-9.1344417828764695E-5</v>
      </c>
      <c r="H925">
        <v>-3.5788717617874698E-4</v>
      </c>
      <c r="I925" t="s">
        <v>128</v>
      </c>
    </row>
    <row r="926" spans="1:9" x14ac:dyDescent="0.35">
      <c r="A926" t="s">
        <v>26</v>
      </c>
      <c r="B926">
        <v>2040</v>
      </c>
      <c r="C926" t="s">
        <v>127</v>
      </c>
      <c r="D926" t="s">
        <v>45</v>
      </c>
      <c r="E926">
        <v>0.214114757305985</v>
      </c>
      <c r="F926">
        <v>0.214082213848346</v>
      </c>
      <c r="G926" s="1">
        <v>-3.2543457639283501E-5</v>
      </c>
      <c r="H926">
        <v>-1.51990727069673E-2</v>
      </c>
      <c r="I926" t="s">
        <v>128</v>
      </c>
    </row>
    <row r="927" spans="1:9" x14ac:dyDescent="0.35">
      <c r="A927" t="s">
        <v>26</v>
      </c>
      <c r="B927">
        <v>2040</v>
      </c>
      <c r="C927" t="s">
        <v>127</v>
      </c>
      <c r="D927" t="s">
        <v>46</v>
      </c>
      <c r="E927">
        <v>1.4019421445131801</v>
      </c>
      <c r="F927">
        <v>1.4019421445131801</v>
      </c>
      <c r="G927">
        <v>0</v>
      </c>
      <c r="H927">
        <v>0</v>
      </c>
      <c r="I927" t="s">
        <v>128</v>
      </c>
    </row>
    <row r="928" spans="1:9" x14ac:dyDescent="0.35">
      <c r="A928" t="s">
        <v>26</v>
      </c>
      <c r="B928">
        <v>2040</v>
      </c>
      <c r="C928" t="s">
        <v>127</v>
      </c>
      <c r="D928" t="s">
        <v>47</v>
      </c>
      <c r="E928">
        <v>4.0736912059174499E-2</v>
      </c>
      <c r="F928">
        <v>4.0736912059174499E-2</v>
      </c>
      <c r="G928">
        <v>0</v>
      </c>
      <c r="H928">
        <v>0</v>
      </c>
      <c r="I928" t="s">
        <v>128</v>
      </c>
    </row>
    <row r="929" spans="1:9" x14ac:dyDescent="0.35">
      <c r="A929" t="s">
        <v>26</v>
      </c>
      <c r="B929">
        <v>2040</v>
      </c>
      <c r="C929" t="s">
        <v>127</v>
      </c>
      <c r="D929" t="s">
        <v>48</v>
      </c>
      <c r="E929">
        <v>79.766555832103194</v>
      </c>
      <c r="F929">
        <v>79.766555832103194</v>
      </c>
      <c r="G929">
        <v>0</v>
      </c>
      <c r="H929">
        <v>0</v>
      </c>
      <c r="I929" t="s">
        <v>128</v>
      </c>
    </row>
    <row r="930" spans="1:9" x14ac:dyDescent="0.35">
      <c r="A930" t="s">
        <v>26</v>
      </c>
      <c r="B930">
        <v>2040</v>
      </c>
      <c r="C930" t="s">
        <v>127</v>
      </c>
      <c r="D930" t="s">
        <v>49</v>
      </c>
      <c r="E930">
        <v>0.75667232968829501</v>
      </c>
      <c r="F930">
        <v>0.75652915235324703</v>
      </c>
      <c r="G930">
        <v>-1.4317733504765E-4</v>
      </c>
      <c r="H930">
        <v>-1.8921973148751301E-2</v>
      </c>
      <c r="I930" t="s">
        <v>128</v>
      </c>
    </row>
    <row r="931" spans="1:9" x14ac:dyDescent="0.35">
      <c r="A931" t="s">
        <v>26</v>
      </c>
      <c r="B931">
        <v>2040</v>
      </c>
      <c r="C931" t="s">
        <v>127</v>
      </c>
      <c r="D931" t="s">
        <v>50</v>
      </c>
      <c r="E931">
        <v>0.53311106298195199</v>
      </c>
      <c r="F931">
        <v>0.53311106298195199</v>
      </c>
      <c r="G931">
        <v>0</v>
      </c>
      <c r="H931">
        <v>0</v>
      </c>
      <c r="I931" t="s">
        <v>128</v>
      </c>
    </row>
    <row r="932" spans="1:9" x14ac:dyDescent="0.35">
      <c r="A932" t="s">
        <v>26</v>
      </c>
      <c r="B932">
        <v>2040</v>
      </c>
      <c r="C932" t="s">
        <v>127</v>
      </c>
      <c r="D932" t="s">
        <v>51</v>
      </c>
      <c r="E932">
        <v>1.4113694660713301</v>
      </c>
      <c r="F932">
        <v>1.4113694660713301</v>
      </c>
      <c r="G932">
        <v>0</v>
      </c>
      <c r="H932">
        <v>0</v>
      </c>
      <c r="I932" t="s">
        <v>128</v>
      </c>
    </row>
    <row r="933" spans="1:9" x14ac:dyDescent="0.35">
      <c r="A933" t="s">
        <v>26</v>
      </c>
      <c r="B933">
        <v>2040</v>
      </c>
      <c r="C933" t="s">
        <v>127</v>
      </c>
      <c r="D933" t="s">
        <v>52</v>
      </c>
      <c r="E933">
        <v>1.5317161854966499</v>
      </c>
      <c r="F933">
        <v>1.5317161854966499</v>
      </c>
      <c r="G933">
        <v>0</v>
      </c>
      <c r="H933">
        <v>0</v>
      </c>
      <c r="I933" t="s">
        <v>128</v>
      </c>
    </row>
    <row r="934" spans="1:9" x14ac:dyDescent="0.35">
      <c r="A934" t="s">
        <v>26</v>
      </c>
      <c r="B934">
        <v>2040</v>
      </c>
      <c r="C934" t="s">
        <v>127</v>
      </c>
      <c r="D934" t="s">
        <v>53</v>
      </c>
      <c r="E934">
        <v>11.8389203515351</v>
      </c>
      <c r="F934">
        <v>11.8389203515351</v>
      </c>
      <c r="G934">
        <v>0</v>
      </c>
      <c r="H934">
        <v>0</v>
      </c>
      <c r="I934" t="s">
        <v>128</v>
      </c>
    </row>
    <row r="935" spans="1:9" x14ac:dyDescent="0.35">
      <c r="A935" t="s">
        <v>26</v>
      </c>
      <c r="B935">
        <v>2040</v>
      </c>
      <c r="C935" t="s">
        <v>127</v>
      </c>
      <c r="D935" t="s">
        <v>54</v>
      </c>
      <c r="E935">
        <v>14.189997366227599</v>
      </c>
      <c r="F935">
        <v>14.184138952701201</v>
      </c>
      <c r="G935">
        <v>-5.8584135263845998E-3</v>
      </c>
      <c r="H935">
        <v>-4.1285515248422097E-2</v>
      </c>
      <c r="I935" t="s">
        <v>128</v>
      </c>
    </row>
    <row r="936" spans="1:9" x14ac:dyDescent="0.35">
      <c r="A936" t="s">
        <v>26</v>
      </c>
      <c r="B936">
        <v>2040</v>
      </c>
      <c r="C936" t="s">
        <v>127</v>
      </c>
      <c r="D936" t="s">
        <v>55</v>
      </c>
      <c r="E936">
        <v>12.281361371152199</v>
      </c>
      <c r="F936">
        <v>12.2803778095828</v>
      </c>
      <c r="G936">
        <v>-9.8356156940404495E-4</v>
      </c>
      <c r="H936">
        <v>-8.0085711972806197E-3</v>
      </c>
      <c r="I936" t="s">
        <v>128</v>
      </c>
    </row>
    <row r="937" spans="1:9" x14ac:dyDescent="0.35">
      <c r="A937" t="s">
        <v>26</v>
      </c>
      <c r="B937">
        <v>2040</v>
      </c>
      <c r="C937" t="s">
        <v>127</v>
      </c>
      <c r="D937" t="s">
        <v>56</v>
      </c>
      <c r="E937" s="1">
        <v>3.60819419865629E-6</v>
      </c>
      <c r="F937" s="1">
        <v>3.60819419865629E-6</v>
      </c>
      <c r="G937">
        <v>0</v>
      </c>
      <c r="H937">
        <v>0</v>
      </c>
      <c r="I937" t="s">
        <v>128</v>
      </c>
    </row>
    <row r="938" spans="1:9" x14ac:dyDescent="0.35">
      <c r="A938" t="s">
        <v>20</v>
      </c>
      <c r="B938">
        <v>2025</v>
      </c>
      <c r="C938" t="s">
        <v>74</v>
      </c>
      <c r="D938" t="s">
        <v>38</v>
      </c>
      <c r="E938" s="1">
        <v>1.29443500936704E-6</v>
      </c>
      <c r="F938" s="1">
        <v>1.29443500936704E-6</v>
      </c>
      <c r="G938">
        <v>0</v>
      </c>
      <c r="H938">
        <v>0</v>
      </c>
      <c r="I938" t="s">
        <v>75</v>
      </c>
    </row>
    <row r="939" spans="1:9" x14ac:dyDescent="0.35">
      <c r="A939" t="s">
        <v>20</v>
      </c>
      <c r="B939">
        <v>2025</v>
      </c>
      <c r="C939" t="s">
        <v>74</v>
      </c>
      <c r="D939" t="s">
        <v>40</v>
      </c>
      <c r="E939">
        <v>1.40926270642336E-4</v>
      </c>
      <c r="F939">
        <v>1.40926270642336E-4</v>
      </c>
      <c r="G939">
        <v>0</v>
      </c>
      <c r="H939">
        <v>0</v>
      </c>
      <c r="I939" t="s">
        <v>75</v>
      </c>
    </row>
    <row r="940" spans="1:9" x14ac:dyDescent="0.35">
      <c r="A940" t="s">
        <v>20</v>
      </c>
      <c r="B940">
        <v>2025</v>
      </c>
      <c r="C940" t="s">
        <v>74</v>
      </c>
      <c r="D940" t="s">
        <v>41</v>
      </c>
      <c r="E940">
        <v>1.5458254147771101E-4</v>
      </c>
      <c r="F940">
        <v>1.5458254147771101E-4</v>
      </c>
      <c r="G940">
        <v>0</v>
      </c>
      <c r="H940">
        <v>0</v>
      </c>
      <c r="I940" t="s">
        <v>75</v>
      </c>
    </row>
    <row r="941" spans="1:9" x14ac:dyDescent="0.35">
      <c r="A941" t="s">
        <v>20</v>
      </c>
      <c r="B941">
        <v>2025</v>
      </c>
      <c r="C941" t="s">
        <v>74</v>
      </c>
      <c r="D941" t="s">
        <v>42</v>
      </c>
      <c r="E941">
        <v>2.4895632313142002E-3</v>
      </c>
      <c r="F941">
        <v>2.4895632313142002E-3</v>
      </c>
      <c r="G941">
        <v>0</v>
      </c>
      <c r="H941">
        <v>0</v>
      </c>
      <c r="I941" t="s">
        <v>75</v>
      </c>
    </row>
    <row r="942" spans="1:9" x14ac:dyDescent="0.35">
      <c r="A942" t="s">
        <v>20</v>
      </c>
      <c r="B942">
        <v>2025</v>
      </c>
      <c r="C942" t="s">
        <v>74</v>
      </c>
      <c r="D942" t="s">
        <v>43</v>
      </c>
      <c r="E942" s="1">
        <v>5.14041824586809E-5</v>
      </c>
      <c r="F942" s="1">
        <v>5.14041824586809E-5</v>
      </c>
      <c r="G942">
        <v>0</v>
      </c>
      <c r="H942">
        <v>0</v>
      </c>
      <c r="I942" t="s">
        <v>75</v>
      </c>
    </row>
    <row r="943" spans="1:9" x14ac:dyDescent="0.35">
      <c r="A943" t="s">
        <v>20</v>
      </c>
      <c r="B943">
        <v>2025</v>
      </c>
      <c r="C943" t="s">
        <v>74</v>
      </c>
      <c r="D943" t="s">
        <v>136</v>
      </c>
      <c r="E943">
        <v>1.5053333854665001E-2</v>
      </c>
      <c r="F943">
        <v>1.5053333854665001E-2</v>
      </c>
      <c r="G943">
        <v>0</v>
      </c>
      <c r="H943">
        <v>0</v>
      </c>
      <c r="I943" t="s">
        <v>75</v>
      </c>
    </row>
    <row r="944" spans="1:9" x14ac:dyDescent="0.35">
      <c r="A944" t="s">
        <v>20</v>
      </c>
      <c r="B944">
        <v>2025</v>
      </c>
      <c r="C944" t="s">
        <v>74</v>
      </c>
      <c r="D944" t="s">
        <v>45</v>
      </c>
      <c r="E944" s="1">
        <v>5.2151099060301299E-5</v>
      </c>
      <c r="F944" s="1">
        <v>5.2151099060301299E-5</v>
      </c>
      <c r="G944">
        <v>0</v>
      </c>
      <c r="H944">
        <v>0</v>
      </c>
      <c r="I944" t="s">
        <v>75</v>
      </c>
    </row>
    <row r="945" spans="1:9" x14ac:dyDescent="0.35">
      <c r="A945" t="s">
        <v>20</v>
      </c>
      <c r="B945">
        <v>2025</v>
      </c>
      <c r="C945" t="s">
        <v>74</v>
      </c>
      <c r="D945" t="s">
        <v>46</v>
      </c>
      <c r="E945" s="1">
        <v>6.80978711657232E-5</v>
      </c>
      <c r="F945" s="1">
        <v>6.80978711657232E-5</v>
      </c>
      <c r="G945">
        <v>0</v>
      </c>
      <c r="H945">
        <v>0</v>
      </c>
      <c r="I945" t="s">
        <v>75</v>
      </c>
    </row>
    <row r="946" spans="1:9" x14ac:dyDescent="0.35">
      <c r="A946" t="s">
        <v>20</v>
      </c>
      <c r="B946">
        <v>2025</v>
      </c>
      <c r="C946" t="s">
        <v>74</v>
      </c>
      <c r="D946" t="s">
        <v>47</v>
      </c>
      <c r="E946" s="1">
        <v>2.9048704775668102E-6</v>
      </c>
      <c r="F946" s="1">
        <v>2.9048704775668102E-6</v>
      </c>
      <c r="G946">
        <v>0</v>
      </c>
      <c r="H946">
        <v>0</v>
      </c>
      <c r="I946" t="s">
        <v>75</v>
      </c>
    </row>
    <row r="947" spans="1:9" x14ac:dyDescent="0.35">
      <c r="A947" t="s">
        <v>20</v>
      </c>
      <c r="B947">
        <v>2025</v>
      </c>
      <c r="C947" t="s">
        <v>74</v>
      </c>
      <c r="D947" t="s">
        <v>48</v>
      </c>
      <c r="E947">
        <v>5.0216937633092303E-4</v>
      </c>
      <c r="F947">
        <v>5.0216937633092303E-4</v>
      </c>
      <c r="G947">
        <v>0</v>
      </c>
      <c r="H947">
        <v>0</v>
      </c>
      <c r="I947" t="s">
        <v>75</v>
      </c>
    </row>
    <row r="948" spans="1:9" x14ac:dyDescent="0.35">
      <c r="A948" t="s">
        <v>20</v>
      </c>
      <c r="B948">
        <v>2025</v>
      </c>
      <c r="C948" t="s">
        <v>74</v>
      </c>
      <c r="D948" t="s">
        <v>49</v>
      </c>
      <c r="E948" s="1">
        <v>9.7412610184137696E-5</v>
      </c>
      <c r="F948" s="1">
        <v>9.7412610184137696E-5</v>
      </c>
      <c r="G948">
        <v>0</v>
      </c>
      <c r="H948">
        <v>0</v>
      </c>
      <c r="I948" t="s">
        <v>75</v>
      </c>
    </row>
    <row r="949" spans="1:9" x14ac:dyDescent="0.35">
      <c r="A949" t="s">
        <v>20</v>
      </c>
      <c r="B949">
        <v>2025</v>
      </c>
      <c r="C949" t="s">
        <v>74</v>
      </c>
      <c r="D949" t="s">
        <v>50</v>
      </c>
      <c r="E949" s="1">
        <v>2.1244972643021E-5</v>
      </c>
      <c r="F949" s="1">
        <v>2.1244972643021E-5</v>
      </c>
      <c r="G949">
        <v>0</v>
      </c>
      <c r="H949">
        <v>0</v>
      </c>
      <c r="I949" t="s">
        <v>75</v>
      </c>
    </row>
    <row r="950" spans="1:9" x14ac:dyDescent="0.35">
      <c r="A950" t="s">
        <v>20</v>
      </c>
      <c r="B950">
        <v>2025</v>
      </c>
      <c r="C950" t="s">
        <v>74</v>
      </c>
      <c r="D950" t="s">
        <v>51</v>
      </c>
      <c r="E950">
        <v>1.7162436124536599E-2</v>
      </c>
      <c r="F950">
        <v>1.7162436124536599E-2</v>
      </c>
      <c r="G950">
        <v>0</v>
      </c>
      <c r="H950">
        <v>0</v>
      </c>
      <c r="I950" t="s">
        <v>75</v>
      </c>
    </row>
    <row r="951" spans="1:9" x14ac:dyDescent="0.35">
      <c r="A951" t="s">
        <v>20</v>
      </c>
      <c r="B951">
        <v>2025</v>
      </c>
      <c r="C951" t="s">
        <v>74</v>
      </c>
      <c r="D951" t="s">
        <v>52</v>
      </c>
      <c r="E951">
        <v>1.3865641561728399E-3</v>
      </c>
      <c r="F951">
        <v>1.3865641561728399E-3</v>
      </c>
      <c r="G951">
        <v>0</v>
      </c>
      <c r="H951">
        <v>0</v>
      </c>
      <c r="I951" t="s">
        <v>75</v>
      </c>
    </row>
    <row r="952" spans="1:9" x14ac:dyDescent="0.35">
      <c r="A952" t="s">
        <v>20</v>
      </c>
      <c r="B952">
        <v>2025</v>
      </c>
      <c r="C952" t="s">
        <v>74</v>
      </c>
      <c r="D952" t="s">
        <v>53</v>
      </c>
      <c r="E952">
        <v>4.9087888819433203E-3</v>
      </c>
      <c r="F952">
        <v>4.9087888819433203E-3</v>
      </c>
      <c r="G952">
        <v>0</v>
      </c>
      <c r="H952">
        <v>0</v>
      </c>
      <c r="I952" t="s">
        <v>75</v>
      </c>
    </row>
    <row r="953" spans="1:9" x14ac:dyDescent="0.35">
      <c r="A953" t="s">
        <v>20</v>
      </c>
      <c r="B953">
        <v>2025</v>
      </c>
      <c r="C953" t="s">
        <v>74</v>
      </c>
      <c r="D953" t="s">
        <v>54</v>
      </c>
      <c r="E953">
        <v>2.32609395243807E-4</v>
      </c>
      <c r="F953">
        <v>2.32609395243807E-4</v>
      </c>
      <c r="G953">
        <v>0</v>
      </c>
      <c r="H953">
        <v>0</v>
      </c>
      <c r="I953" t="s">
        <v>75</v>
      </c>
    </row>
    <row r="954" spans="1:9" x14ac:dyDescent="0.35">
      <c r="A954" t="s">
        <v>20</v>
      </c>
      <c r="B954">
        <v>2025</v>
      </c>
      <c r="C954" t="s">
        <v>74</v>
      </c>
      <c r="D954" t="s">
        <v>55</v>
      </c>
      <c r="E954">
        <v>2.0834816554086001E-4</v>
      </c>
      <c r="F954">
        <v>2.0834816554086001E-4</v>
      </c>
      <c r="G954">
        <v>0</v>
      </c>
      <c r="H954">
        <v>0</v>
      </c>
      <c r="I954" t="s">
        <v>75</v>
      </c>
    </row>
    <row r="955" spans="1:9" x14ac:dyDescent="0.35">
      <c r="A955" t="s">
        <v>20</v>
      </c>
      <c r="B955">
        <v>2025</v>
      </c>
      <c r="C955" t="s">
        <v>74</v>
      </c>
      <c r="D955" t="s">
        <v>56</v>
      </c>
      <c r="E955" s="1">
        <v>1.8678981026187098E-9</v>
      </c>
      <c r="F955" s="1">
        <v>1.8678981026187098E-9</v>
      </c>
      <c r="G955">
        <v>0</v>
      </c>
      <c r="H955">
        <v>0</v>
      </c>
      <c r="I955" t="s">
        <v>75</v>
      </c>
    </row>
    <row r="956" spans="1:9" x14ac:dyDescent="0.35">
      <c r="A956" t="s">
        <v>22</v>
      </c>
      <c r="B956">
        <v>2030</v>
      </c>
      <c r="C956" t="s">
        <v>74</v>
      </c>
      <c r="D956" t="s">
        <v>38</v>
      </c>
      <c r="E956" s="1">
        <v>1.2840035308485899E-5</v>
      </c>
      <c r="F956" s="1">
        <v>1.2840035308485899E-5</v>
      </c>
      <c r="G956">
        <v>0</v>
      </c>
      <c r="H956">
        <v>0</v>
      </c>
      <c r="I956" t="s">
        <v>75</v>
      </c>
    </row>
    <row r="957" spans="1:9" x14ac:dyDescent="0.35">
      <c r="A957" t="s">
        <v>22</v>
      </c>
      <c r="B957">
        <v>2030</v>
      </c>
      <c r="C957" t="s">
        <v>74</v>
      </c>
      <c r="D957" t="s">
        <v>40</v>
      </c>
      <c r="E957">
        <v>1.4085037297805101E-4</v>
      </c>
      <c r="F957">
        <v>1.4085037297805101E-4</v>
      </c>
      <c r="G957">
        <v>0</v>
      </c>
      <c r="H957">
        <v>0</v>
      </c>
      <c r="I957" t="s">
        <v>75</v>
      </c>
    </row>
    <row r="958" spans="1:9" x14ac:dyDescent="0.35">
      <c r="A958" t="s">
        <v>22</v>
      </c>
      <c r="B958">
        <v>2030</v>
      </c>
      <c r="C958" t="s">
        <v>74</v>
      </c>
      <c r="D958" t="s">
        <v>41</v>
      </c>
      <c r="E958">
        <v>1.5372709883742399E-4</v>
      </c>
      <c r="F958">
        <v>1.5372709883742399E-4</v>
      </c>
      <c r="G958">
        <v>0</v>
      </c>
      <c r="H958">
        <v>0</v>
      </c>
      <c r="I958" t="s">
        <v>75</v>
      </c>
    </row>
    <row r="959" spans="1:9" x14ac:dyDescent="0.35">
      <c r="A959" t="s">
        <v>22</v>
      </c>
      <c r="B959">
        <v>2030</v>
      </c>
      <c r="C959" t="s">
        <v>74</v>
      </c>
      <c r="D959" t="s">
        <v>42</v>
      </c>
      <c r="E959">
        <v>2.66086725828468E-3</v>
      </c>
      <c r="F959">
        <v>2.66086725828468E-3</v>
      </c>
      <c r="G959">
        <v>0</v>
      </c>
      <c r="H959">
        <v>0</v>
      </c>
      <c r="I959" t="s">
        <v>75</v>
      </c>
    </row>
    <row r="960" spans="1:9" x14ac:dyDescent="0.35">
      <c r="A960" t="s">
        <v>22</v>
      </c>
      <c r="B960">
        <v>2030</v>
      </c>
      <c r="C960" t="s">
        <v>74</v>
      </c>
      <c r="D960" t="s">
        <v>43</v>
      </c>
      <c r="E960" s="1">
        <v>5.2712062453569402E-5</v>
      </c>
      <c r="F960" s="1">
        <v>5.2712062453569402E-5</v>
      </c>
      <c r="G960">
        <v>0</v>
      </c>
      <c r="H960">
        <v>0</v>
      </c>
      <c r="I960" t="s">
        <v>75</v>
      </c>
    </row>
    <row r="961" spans="1:9" x14ac:dyDescent="0.35">
      <c r="A961" t="s">
        <v>22</v>
      </c>
      <c r="B961">
        <v>2030</v>
      </c>
      <c r="C961" t="s">
        <v>74</v>
      </c>
      <c r="D961" t="s">
        <v>136</v>
      </c>
      <c r="E961">
        <v>1.49617088300727E-2</v>
      </c>
      <c r="F961">
        <v>1.49617088300727E-2</v>
      </c>
      <c r="G961">
        <v>0</v>
      </c>
      <c r="H961">
        <v>0</v>
      </c>
      <c r="I961" t="s">
        <v>75</v>
      </c>
    </row>
    <row r="962" spans="1:9" x14ac:dyDescent="0.35">
      <c r="A962" t="s">
        <v>22</v>
      </c>
      <c r="B962">
        <v>2030</v>
      </c>
      <c r="C962" t="s">
        <v>74</v>
      </c>
      <c r="D962" t="s">
        <v>45</v>
      </c>
      <c r="E962" s="1">
        <v>4.9996706053740898E-5</v>
      </c>
      <c r="F962" s="1">
        <v>4.9996706053740898E-5</v>
      </c>
      <c r="G962">
        <v>0</v>
      </c>
      <c r="H962">
        <v>0</v>
      </c>
      <c r="I962" t="s">
        <v>75</v>
      </c>
    </row>
    <row r="963" spans="1:9" x14ac:dyDescent="0.35">
      <c r="A963" t="s">
        <v>22</v>
      </c>
      <c r="B963">
        <v>2030</v>
      </c>
      <c r="C963" t="s">
        <v>74</v>
      </c>
      <c r="D963" t="s">
        <v>46</v>
      </c>
      <c r="E963">
        <v>4.1165888889861999E-4</v>
      </c>
      <c r="F963">
        <v>4.1165888889861999E-4</v>
      </c>
      <c r="G963">
        <v>0</v>
      </c>
      <c r="H963">
        <v>0</v>
      </c>
      <c r="I963" t="s">
        <v>75</v>
      </c>
    </row>
    <row r="964" spans="1:9" x14ac:dyDescent="0.35">
      <c r="A964" t="s">
        <v>22</v>
      </c>
      <c r="B964">
        <v>2030</v>
      </c>
      <c r="C964" t="s">
        <v>74</v>
      </c>
      <c r="D964" t="s">
        <v>47</v>
      </c>
      <c r="E964" s="1">
        <v>3.2389708463720501E-6</v>
      </c>
      <c r="F964" s="1">
        <v>3.2389708463720501E-6</v>
      </c>
      <c r="G964">
        <v>0</v>
      </c>
      <c r="H964">
        <v>0</v>
      </c>
      <c r="I964" t="s">
        <v>75</v>
      </c>
    </row>
    <row r="965" spans="1:9" x14ac:dyDescent="0.35">
      <c r="A965" t="s">
        <v>22</v>
      </c>
      <c r="B965">
        <v>2030</v>
      </c>
      <c r="C965" t="s">
        <v>74</v>
      </c>
      <c r="D965" t="s">
        <v>48</v>
      </c>
      <c r="E965">
        <v>5.10352214948935E-4</v>
      </c>
      <c r="F965">
        <v>5.10352214948935E-4</v>
      </c>
      <c r="G965">
        <v>0</v>
      </c>
      <c r="H965">
        <v>0</v>
      </c>
      <c r="I965" t="s">
        <v>75</v>
      </c>
    </row>
    <row r="966" spans="1:9" x14ac:dyDescent="0.35">
      <c r="A966" t="s">
        <v>22</v>
      </c>
      <c r="B966">
        <v>2030</v>
      </c>
      <c r="C966" t="s">
        <v>74</v>
      </c>
      <c r="D966" t="s">
        <v>49</v>
      </c>
      <c r="E966" s="1">
        <v>9.6113941117974397E-5</v>
      </c>
      <c r="F966" s="1">
        <v>9.6113941117974397E-5</v>
      </c>
      <c r="G966">
        <v>0</v>
      </c>
      <c r="H966">
        <v>0</v>
      </c>
      <c r="I966" t="s">
        <v>75</v>
      </c>
    </row>
    <row r="967" spans="1:9" x14ac:dyDescent="0.35">
      <c r="A967" t="s">
        <v>22</v>
      </c>
      <c r="B967">
        <v>2030</v>
      </c>
      <c r="C967" t="s">
        <v>74</v>
      </c>
      <c r="D967" t="s">
        <v>50</v>
      </c>
      <c r="E967" s="1">
        <v>4.31363682739191E-5</v>
      </c>
      <c r="F967" s="1">
        <v>4.31363682739191E-5</v>
      </c>
      <c r="G967">
        <v>0</v>
      </c>
      <c r="H967">
        <v>0</v>
      </c>
      <c r="I967" t="s">
        <v>75</v>
      </c>
    </row>
    <row r="968" spans="1:9" x14ac:dyDescent="0.35">
      <c r="A968" t="s">
        <v>22</v>
      </c>
      <c r="B968">
        <v>2030</v>
      </c>
      <c r="C968" t="s">
        <v>74</v>
      </c>
      <c r="D968" t="s">
        <v>51</v>
      </c>
      <c r="E968">
        <v>1.7167136360276499E-2</v>
      </c>
      <c r="F968">
        <v>1.7167136360276499E-2</v>
      </c>
      <c r="G968">
        <v>0</v>
      </c>
      <c r="H968">
        <v>0</v>
      </c>
      <c r="I968" t="s">
        <v>75</v>
      </c>
    </row>
    <row r="969" spans="1:9" x14ac:dyDescent="0.35">
      <c r="A969" t="s">
        <v>22</v>
      </c>
      <c r="B969">
        <v>2030</v>
      </c>
      <c r="C969" t="s">
        <v>74</v>
      </c>
      <c r="D969" t="s">
        <v>52</v>
      </c>
      <c r="E969">
        <v>1.2301331391726201E-3</v>
      </c>
      <c r="F969">
        <v>1.2301331391726201E-3</v>
      </c>
      <c r="G969">
        <v>0</v>
      </c>
      <c r="H969">
        <v>0</v>
      </c>
      <c r="I969" t="s">
        <v>75</v>
      </c>
    </row>
    <row r="970" spans="1:9" x14ac:dyDescent="0.35">
      <c r="A970" t="s">
        <v>22</v>
      </c>
      <c r="B970">
        <v>2030</v>
      </c>
      <c r="C970" t="s">
        <v>74</v>
      </c>
      <c r="D970" t="s">
        <v>53</v>
      </c>
      <c r="E970">
        <v>4.8834452854050201E-3</v>
      </c>
      <c r="F970">
        <v>4.8834452854050201E-3</v>
      </c>
      <c r="G970">
        <v>0</v>
      </c>
      <c r="H970">
        <v>0</v>
      </c>
      <c r="I970" t="s">
        <v>75</v>
      </c>
    </row>
    <row r="971" spans="1:9" x14ac:dyDescent="0.35">
      <c r="A971" t="s">
        <v>22</v>
      </c>
      <c r="B971">
        <v>2030</v>
      </c>
      <c r="C971" t="s">
        <v>74</v>
      </c>
      <c r="D971" t="s">
        <v>54</v>
      </c>
      <c r="E971">
        <v>2.4626341281360999E-4</v>
      </c>
      <c r="F971">
        <v>2.4626341281360999E-4</v>
      </c>
      <c r="G971">
        <v>0</v>
      </c>
      <c r="H971">
        <v>0</v>
      </c>
      <c r="I971" t="s">
        <v>75</v>
      </c>
    </row>
    <row r="972" spans="1:9" x14ac:dyDescent="0.35">
      <c r="A972" t="s">
        <v>22</v>
      </c>
      <c r="B972">
        <v>2030</v>
      </c>
      <c r="C972" t="s">
        <v>74</v>
      </c>
      <c r="D972" t="s">
        <v>55</v>
      </c>
      <c r="E972">
        <v>2.1855285821207701E-4</v>
      </c>
      <c r="F972">
        <v>2.1855285821207701E-4</v>
      </c>
      <c r="G972">
        <v>0</v>
      </c>
      <c r="H972">
        <v>0</v>
      </c>
      <c r="I972" t="s">
        <v>75</v>
      </c>
    </row>
    <row r="973" spans="1:9" x14ac:dyDescent="0.35">
      <c r="A973" t="s">
        <v>22</v>
      </c>
      <c r="B973">
        <v>2030</v>
      </c>
      <c r="C973" t="s">
        <v>74</v>
      </c>
      <c r="D973" t="s">
        <v>56</v>
      </c>
      <c r="E973" s="1">
        <v>1.83723474556169E-9</v>
      </c>
      <c r="F973" s="1">
        <v>1.83723474556169E-9</v>
      </c>
      <c r="G973">
        <v>0</v>
      </c>
      <c r="H973">
        <v>0</v>
      </c>
      <c r="I973" t="s">
        <v>75</v>
      </c>
    </row>
    <row r="974" spans="1:9" x14ac:dyDescent="0.35">
      <c r="A974" t="s">
        <v>24</v>
      </c>
      <c r="B974">
        <v>2035</v>
      </c>
      <c r="C974" t="s">
        <v>74</v>
      </c>
      <c r="D974" t="s">
        <v>38</v>
      </c>
      <c r="E974" s="1">
        <v>2.1031180341570401E-5</v>
      </c>
      <c r="F974" s="1">
        <v>2.1031180341570401E-5</v>
      </c>
      <c r="G974">
        <v>0</v>
      </c>
      <c r="H974">
        <v>0</v>
      </c>
      <c r="I974" t="s">
        <v>75</v>
      </c>
    </row>
    <row r="975" spans="1:9" x14ac:dyDescent="0.35">
      <c r="A975" t="s">
        <v>24</v>
      </c>
      <c r="B975">
        <v>2035</v>
      </c>
      <c r="C975" t="s">
        <v>74</v>
      </c>
      <c r="D975" t="s">
        <v>40</v>
      </c>
      <c r="E975">
        <v>1.4078560166608801E-4</v>
      </c>
      <c r="F975">
        <v>1.4078560166608801E-4</v>
      </c>
      <c r="G975">
        <v>0</v>
      </c>
      <c r="H975">
        <v>0</v>
      </c>
      <c r="I975" t="s">
        <v>75</v>
      </c>
    </row>
    <row r="976" spans="1:9" x14ac:dyDescent="0.35">
      <c r="A976" t="s">
        <v>24</v>
      </c>
      <c r="B976">
        <v>2035</v>
      </c>
      <c r="C976" t="s">
        <v>74</v>
      </c>
      <c r="D976" t="s">
        <v>41</v>
      </c>
      <c r="E976">
        <v>1.5349128879963E-4</v>
      </c>
      <c r="F976">
        <v>1.5349128879963E-4</v>
      </c>
      <c r="G976">
        <v>0</v>
      </c>
      <c r="H976">
        <v>0</v>
      </c>
      <c r="I976" t="s">
        <v>75</v>
      </c>
    </row>
    <row r="977" spans="1:9" x14ac:dyDescent="0.35">
      <c r="A977" t="s">
        <v>24</v>
      </c>
      <c r="B977">
        <v>2035</v>
      </c>
      <c r="C977" t="s">
        <v>74</v>
      </c>
      <c r="D977" t="s">
        <v>42</v>
      </c>
      <c r="E977">
        <v>3.0656447559084098E-3</v>
      </c>
      <c r="F977">
        <v>3.0656447559084098E-3</v>
      </c>
      <c r="G977">
        <v>0</v>
      </c>
      <c r="H977">
        <v>0</v>
      </c>
      <c r="I977" t="s">
        <v>75</v>
      </c>
    </row>
    <row r="978" spans="1:9" x14ac:dyDescent="0.35">
      <c r="A978" t="s">
        <v>24</v>
      </c>
      <c r="B978">
        <v>2035</v>
      </c>
      <c r="C978" t="s">
        <v>74</v>
      </c>
      <c r="D978" t="s">
        <v>43</v>
      </c>
      <c r="E978" s="1">
        <v>5.3871120112145802E-5</v>
      </c>
      <c r="F978" s="1">
        <v>5.3871120112145802E-5</v>
      </c>
      <c r="G978">
        <v>0</v>
      </c>
      <c r="H978">
        <v>0</v>
      </c>
      <c r="I978" t="s">
        <v>75</v>
      </c>
    </row>
    <row r="979" spans="1:9" x14ac:dyDescent="0.35">
      <c r="A979" t="s">
        <v>24</v>
      </c>
      <c r="B979">
        <v>2035</v>
      </c>
      <c r="C979" t="s">
        <v>74</v>
      </c>
      <c r="D979" t="s">
        <v>136</v>
      </c>
      <c r="E979">
        <v>1.52697369547951E-2</v>
      </c>
      <c r="F979">
        <v>1.52697369547951E-2</v>
      </c>
      <c r="G979">
        <v>0</v>
      </c>
      <c r="H979">
        <v>0</v>
      </c>
      <c r="I979" t="s">
        <v>75</v>
      </c>
    </row>
    <row r="980" spans="1:9" x14ac:dyDescent="0.35">
      <c r="A980" t="s">
        <v>24</v>
      </c>
      <c r="B980">
        <v>2035</v>
      </c>
      <c r="C980" t="s">
        <v>74</v>
      </c>
      <c r="D980" t="s">
        <v>45</v>
      </c>
      <c r="E980" s="1">
        <v>4.8738440255874603E-5</v>
      </c>
      <c r="F980" s="1">
        <v>4.8738440255874603E-5</v>
      </c>
      <c r="G980">
        <v>0</v>
      </c>
      <c r="H980">
        <v>0</v>
      </c>
      <c r="I980" t="s">
        <v>75</v>
      </c>
    </row>
    <row r="981" spans="1:9" x14ac:dyDescent="0.35">
      <c r="A981" t="s">
        <v>24</v>
      </c>
      <c r="B981">
        <v>2035</v>
      </c>
      <c r="C981" t="s">
        <v>74</v>
      </c>
      <c r="D981" t="s">
        <v>46</v>
      </c>
      <c r="E981">
        <v>8.4661438121256497E-4</v>
      </c>
      <c r="F981">
        <v>8.4661438121256497E-4</v>
      </c>
      <c r="G981">
        <v>0</v>
      </c>
      <c r="H981">
        <v>0</v>
      </c>
      <c r="I981" t="s">
        <v>75</v>
      </c>
    </row>
    <row r="982" spans="1:9" x14ac:dyDescent="0.35">
      <c r="A982" t="s">
        <v>24</v>
      </c>
      <c r="B982">
        <v>2035</v>
      </c>
      <c r="C982" t="s">
        <v>74</v>
      </c>
      <c r="D982" t="s">
        <v>47</v>
      </c>
      <c r="E982" s="1">
        <v>3.9498131020177303E-6</v>
      </c>
      <c r="F982" s="1">
        <v>3.9498131020177303E-6</v>
      </c>
      <c r="G982">
        <v>0</v>
      </c>
      <c r="H982">
        <v>0</v>
      </c>
      <c r="I982" t="s">
        <v>75</v>
      </c>
    </row>
    <row r="983" spans="1:9" x14ac:dyDescent="0.35">
      <c r="A983" t="s">
        <v>24</v>
      </c>
      <c r="B983">
        <v>2035</v>
      </c>
      <c r="C983" t="s">
        <v>74</v>
      </c>
      <c r="D983" t="s">
        <v>48</v>
      </c>
      <c r="E983">
        <v>5.1589901900056002E-4</v>
      </c>
      <c r="F983">
        <v>5.1589901900056002E-4</v>
      </c>
      <c r="G983">
        <v>0</v>
      </c>
      <c r="H983">
        <v>0</v>
      </c>
      <c r="I983" t="s">
        <v>75</v>
      </c>
    </row>
    <row r="984" spans="1:9" x14ac:dyDescent="0.35">
      <c r="A984" t="s">
        <v>24</v>
      </c>
      <c r="B984">
        <v>2035</v>
      </c>
      <c r="C984" t="s">
        <v>74</v>
      </c>
      <c r="D984" t="s">
        <v>49</v>
      </c>
      <c r="E984" s="1">
        <v>9.5539080352190201E-5</v>
      </c>
      <c r="F984" s="1">
        <v>9.5539080352190201E-5</v>
      </c>
      <c r="G984">
        <v>0</v>
      </c>
      <c r="H984">
        <v>0</v>
      </c>
      <c r="I984" t="s">
        <v>75</v>
      </c>
    </row>
    <row r="985" spans="1:9" x14ac:dyDescent="0.35">
      <c r="A985" t="s">
        <v>24</v>
      </c>
      <c r="B985">
        <v>2035</v>
      </c>
      <c r="C985" t="s">
        <v>74</v>
      </c>
      <c r="D985" t="s">
        <v>50</v>
      </c>
      <c r="E985" s="1">
        <v>6.0494887401583003E-5</v>
      </c>
      <c r="F985" s="1">
        <v>6.0494887401583003E-5</v>
      </c>
      <c r="G985">
        <v>0</v>
      </c>
      <c r="H985">
        <v>0</v>
      </c>
      <c r="I985" t="s">
        <v>75</v>
      </c>
    </row>
    <row r="986" spans="1:9" x14ac:dyDescent="0.35">
      <c r="A986" t="s">
        <v>24</v>
      </c>
      <c r="B986">
        <v>2035</v>
      </c>
      <c r="C986" t="s">
        <v>74</v>
      </c>
      <c r="D986" t="s">
        <v>51</v>
      </c>
      <c r="E986">
        <v>1.71752724420433E-2</v>
      </c>
      <c r="F986">
        <v>1.71752724420433E-2</v>
      </c>
      <c r="G986">
        <v>0</v>
      </c>
      <c r="H986">
        <v>0</v>
      </c>
      <c r="I986" t="s">
        <v>75</v>
      </c>
    </row>
    <row r="987" spans="1:9" x14ac:dyDescent="0.35">
      <c r="A987" t="s">
        <v>24</v>
      </c>
      <c r="B987">
        <v>2035</v>
      </c>
      <c r="C987" t="s">
        <v>74</v>
      </c>
      <c r="D987" t="s">
        <v>52</v>
      </c>
      <c r="E987">
        <v>1.08245185047978E-3</v>
      </c>
      <c r="F987">
        <v>1.08245185047978E-3</v>
      </c>
      <c r="G987">
        <v>0</v>
      </c>
      <c r="H987">
        <v>0</v>
      </c>
      <c r="I987" t="s">
        <v>75</v>
      </c>
    </row>
    <row r="988" spans="1:9" x14ac:dyDescent="0.35">
      <c r="A988" t="s">
        <v>24</v>
      </c>
      <c r="B988">
        <v>2035</v>
      </c>
      <c r="C988" t="s">
        <v>74</v>
      </c>
      <c r="D988" t="s">
        <v>53</v>
      </c>
      <c r="E988">
        <v>4.9801004487607797E-3</v>
      </c>
      <c r="F988">
        <v>4.9801004487607797E-3</v>
      </c>
      <c r="G988">
        <v>0</v>
      </c>
      <c r="H988">
        <v>0</v>
      </c>
      <c r="I988" t="s">
        <v>75</v>
      </c>
    </row>
    <row r="989" spans="1:9" x14ac:dyDescent="0.35">
      <c r="A989" t="s">
        <v>24</v>
      </c>
      <c r="B989">
        <v>2035</v>
      </c>
      <c r="C989" t="s">
        <v>74</v>
      </c>
      <c r="D989" t="s">
        <v>54</v>
      </c>
      <c r="E989">
        <v>2.6343878891248699E-4</v>
      </c>
      <c r="F989">
        <v>2.6343878891248699E-4</v>
      </c>
      <c r="G989">
        <v>0</v>
      </c>
      <c r="H989">
        <v>0</v>
      </c>
      <c r="I989" t="s">
        <v>75</v>
      </c>
    </row>
    <row r="990" spans="1:9" x14ac:dyDescent="0.35">
      <c r="A990" t="s">
        <v>24</v>
      </c>
      <c r="B990">
        <v>2035</v>
      </c>
      <c r="C990" t="s">
        <v>74</v>
      </c>
      <c r="D990" t="s">
        <v>55</v>
      </c>
      <c r="E990">
        <v>2.3286736211093501E-4</v>
      </c>
      <c r="F990">
        <v>2.3286736211093501E-4</v>
      </c>
      <c r="G990">
        <v>0</v>
      </c>
      <c r="H990">
        <v>0</v>
      </c>
      <c r="I990" t="s">
        <v>75</v>
      </c>
    </row>
    <row r="991" spans="1:9" x14ac:dyDescent="0.35">
      <c r="A991" t="s">
        <v>24</v>
      </c>
      <c r="B991">
        <v>2035</v>
      </c>
      <c r="C991" t="s">
        <v>74</v>
      </c>
      <c r="D991" t="s">
        <v>56</v>
      </c>
      <c r="E991" s="1">
        <v>1.8088349859070501E-9</v>
      </c>
      <c r="F991" s="1">
        <v>1.8088349859070501E-9</v>
      </c>
      <c r="G991">
        <v>0</v>
      </c>
      <c r="H991">
        <v>0</v>
      </c>
      <c r="I991" t="s">
        <v>75</v>
      </c>
    </row>
    <row r="992" spans="1:9" x14ac:dyDescent="0.35">
      <c r="A992" t="s">
        <v>26</v>
      </c>
      <c r="B992">
        <v>2040</v>
      </c>
      <c r="C992" t="s">
        <v>74</v>
      </c>
      <c r="D992" t="s">
        <v>38</v>
      </c>
      <c r="E992" s="1">
        <v>1.74833443775555E-5</v>
      </c>
      <c r="F992" s="1">
        <v>1.74833443775555E-5</v>
      </c>
      <c r="G992">
        <v>0</v>
      </c>
      <c r="H992">
        <v>0</v>
      </c>
      <c r="I992" t="s">
        <v>75</v>
      </c>
    </row>
    <row r="993" spans="1:9" x14ac:dyDescent="0.35">
      <c r="A993" t="s">
        <v>26</v>
      </c>
      <c r="B993">
        <v>2040</v>
      </c>
      <c r="C993" t="s">
        <v>74</v>
      </c>
      <c r="D993" t="s">
        <v>40</v>
      </c>
      <c r="E993">
        <v>1.40720451757162E-4</v>
      </c>
      <c r="F993">
        <v>1.40720451757162E-4</v>
      </c>
      <c r="G993">
        <v>0</v>
      </c>
      <c r="H993">
        <v>0</v>
      </c>
      <c r="I993" t="s">
        <v>75</v>
      </c>
    </row>
    <row r="994" spans="1:9" x14ac:dyDescent="0.35">
      <c r="A994" t="s">
        <v>26</v>
      </c>
      <c r="B994">
        <v>2040</v>
      </c>
      <c r="C994" t="s">
        <v>74</v>
      </c>
      <c r="D994" t="s">
        <v>41</v>
      </c>
      <c r="E994">
        <v>1.5353483145527801E-4</v>
      </c>
      <c r="F994">
        <v>1.5353483145527801E-4</v>
      </c>
      <c r="G994">
        <v>0</v>
      </c>
      <c r="H994">
        <v>0</v>
      </c>
      <c r="I994" t="s">
        <v>75</v>
      </c>
    </row>
    <row r="995" spans="1:9" x14ac:dyDescent="0.35">
      <c r="A995" t="s">
        <v>26</v>
      </c>
      <c r="B995">
        <v>2040</v>
      </c>
      <c r="C995" t="s">
        <v>74</v>
      </c>
      <c r="D995" t="s">
        <v>42</v>
      </c>
      <c r="E995">
        <v>3.5434246482192199E-3</v>
      </c>
      <c r="F995">
        <v>3.5434246482192199E-3</v>
      </c>
      <c r="G995">
        <v>0</v>
      </c>
      <c r="H995">
        <v>0</v>
      </c>
      <c r="I995" t="s">
        <v>75</v>
      </c>
    </row>
    <row r="996" spans="1:9" x14ac:dyDescent="0.35">
      <c r="A996" t="s">
        <v>26</v>
      </c>
      <c r="B996">
        <v>2040</v>
      </c>
      <c r="C996" t="s">
        <v>74</v>
      </c>
      <c r="D996" t="s">
        <v>43</v>
      </c>
      <c r="E996" s="1">
        <v>5.3560414848028097E-5</v>
      </c>
      <c r="F996" s="1">
        <v>5.3560414848028097E-5</v>
      </c>
      <c r="G996">
        <v>0</v>
      </c>
      <c r="H996">
        <v>0</v>
      </c>
      <c r="I996" t="s">
        <v>75</v>
      </c>
    </row>
    <row r="997" spans="1:9" x14ac:dyDescent="0.35">
      <c r="A997" t="s">
        <v>26</v>
      </c>
      <c r="B997">
        <v>2040</v>
      </c>
      <c r="C997" t="s">
        <v>74</v>
      </c>
      <c r="D997" t="s">
        <v>136</v>
      </c>
      <c r="E997">
        <v>1.5799854479031199E-2</v>
      </c>
      <c r="F997">
        <v>1.5799854479031199E-2</v>
      </c>
      <c r="G997">
        <v>0</v>
      </c>
      <c r="H997">
        <v>0</v>
      </c>
      <c r="I997" t="s">
        <v>75</v>
      </c>
    </row>
    <row r="998" spans="1:9" x14ac:dyDescent="0.35">
      <c r="A998" t="s">
        <v>26</v>
      </c>
      <c r="B998">
        <v>2040</v>
      </c>
      <c r="C998" t="s">
        <v>74</v>
      </c>
      <c r="D998" t="s">
        <v>45</v>
      </c>
      <c r="E998" s="1">
        <v>4.7988779311362697E-5</v>
      </c>
      <c r="F998" s="1">
        <v>4.7988779311362697E-5</v>
      </c>
      <c r="G998">
        <v>0</v>
      </c>
      <c r="H998">
        <v>0</v>
      </c>
      <c r="I998" t="s">
        <v>75</v>
      </c>
    </row>
    <row r="999" spans="1:9" x14ac:dyDescent="0.35">
      <c r="A999" t="s">
        <v>26</v>
      </c>
      <c r="B999">
        <v>2040</v>
      </c>
      <c r="C999" t="s">
        <v>74</v>
      </c>
      <c r="D999" t="s">
        <v>46</v>
      </c>
      <c r="E999">
        <v>1.2157195749170301E-3</v>
      </c>
      <c r="F999">
        <v>1.2157195749170301E-3</v>
      </c>
      <c r="G999">
        <v>0</v>
      </c>
      <c r="H999">
        <v>0</v>
      </c>
      <c r="I999" t="s">
        <v>75</v>
      </c>
    </row>
    <row r="1000" spans="1:9" x14ac:dyDescent="0.35">
      <c r="A1000" t="s">
        <v>26</v>
      </c>
      <c r="B1000">
        <v>2040</v>
      </c>
      <c r="C1000" t="s">
        <v>74</v>
      </c>
      <c r="D1000" t="s">
        <v>47</v>
      </c>
      <c r="E1000" s="1">
        <v>4.7670910686845998E-6</v>
      </c>
      <c r="F1000" s="1">
        <v>4.7670910686845998E-6</v>
      </c>
      <c r="G1000">
        <v>0</v>
      </c>
      <c r="H1000">
        <v>0</v>
      </c>
      <c r="I1000" t="s">
        <v>75</v>
      </c>
    </row>
    <row r="1001" spans="1:9" x14ac:dyDescent="0.35">
      <c r="A1001" t="s">
        <v>26</v>
      </c>
      <c r="B1001">
        <v>2040</v>
      </c>
      <c r="C1001" t="s">
        <v>74</v>
      </c>
      <c r="D1001" t="s">
        <v>48</v>
      </c>
      <c r="E1001">
        <v>5.2209297398832601E-4</v>
      </c>
      <c r="F1001">
        <v>5.2209297398832601E-4</v>
      </c>
      <c r="G1001">
        <v>0</v>
      </c>
      <c r="H1001">
        <v>0</v>
      </c>
      <c r="I1001" t="s">
        <v>75</v>
      </c>
    </row>
    <row r="1002" spans="1:9" x14ac:dyDescent="0.35">
      <c r="A1002" t="s">
        <v>26</v>
      </c>
      <c r="B1002">
        <v>2040</v>
      </c>
      <c r="C1002" t="s">
        <v>74</v>
      </c>
      <c r="D1002" t="s">
        <v>49</v>
      </c>
      <c r="E1002" s="1">
        <v>9.4753721906800999E-5</v>
      </c>
      <c r="F1002" s="1">
        <v>9.4753721906800999E-5</v>
      </c>
      <c r="G1002">
        <v>0</v>
      </c>
      <c r="H1002">
        <v>0</v>
      </c>
      <c r="I1002" t="s">
        <v>75</v>
      </c>
    </row>
    <row r="1003" spans="1:9" x14ac:dyDescent="0.35">
      <c r="A1003" t="s">
        <v>26</v>
      </c>
      <c r="B1003">
        <v>2040</v>
      </c>
      <c r="C1003" t="s">
        <v>74</v>
      </c>
      <c r="D1003" t="s">
        <v>50</v>
      </c>
      <c r="E1003" s="1">
        <v>5.4970307774387502E-5</v>
      </c>
      <c r="F1003" s="1">
        <v>5.4970307774387502E-5</v>
      </c>
      <c r="G1003">
        <v>0</v>
      </c>
      <c r="H1003">
        <v>0</v>
      </c>
      <c r="I1003" t="s">
        <v>75</v>
      </c>
    </row>
    <row r="1004" spans="1:9" x14ac:dyDescent="0.35">
      <c r="A1004" t="s">
        <v>26</v>
      </c>
      <c r="B1004">
        <v>2040</v>
      </c>
      <c r="C1004" t="s">
        <v>74</v>
      </c>
      <c r="D1004" t="s">
        <v>51</v>
      </c>
      <c r="E1004">
        <v>1.7187578156542802E-2</v>
      </c>
      <c r="F1004">
        <v>1.7187578156542802E-2</v>
      </c>
      <c r="G1004">
        <v>0</v>
      </c>
      <c r="H1004">
        <v>0</v>
      </c>
      <c r="I1004" t="s">
        <v>75</v>
      </c>
    </row>
    <row r="1005" spans="1:9" x14ac:dyDescent="0.35">
      <c r="A1005" t="s">
        <v>26</v>
      </c>
      <c r="B1005">
        <v>2040</v>
      </c>
      <c r="C1005" t="s">
        <v>74</v>
      </c>
      <c r="D1005" t="s">
        <v>52</v>
      </c>
      <c r="E1005">
        <v>9.6707354627566505E-4</v>
      </c>
      <c r="F1005">
        <v>9.6707354627566505E-4</v>
      </c>
      <c r="G1005">
        <v>0</v>
      </c>
      <c r="H1005">
        <v>0</v>
      </c>
      <c r="I1005" t="s">
        <v>75</v>
      </c>
    </row>
    <row r="1006" spans="1:9" x14ac:dyDescent="0.35">
      <c r="A1006" t="s">
        <v>26</v>
      </c>
      <c r="B1006">
        <v>2040</v>
      </c>
      <c r="C1006" t="s">
        <v>74</v>
      </c>
      <c r="D1006" t="s">
        <v>53</v>
      </c>
      <c r="E1006">
        <v>5.1300943795266696E-3</v>
      </c>
      <c r="F1006">
        <v>5.1300943795266696E-3</v>
      </c>
      <c r="G1006">
        <v>0</v>
      </c>
      <c r="H1006">
        <v>0</v>
      </c>
      <c r="I1006" t="s">
        <v>75</v>
      </c>
    </row>
    <row r="1007" spans="1:9" x14ac:dyDescent="0.35">
      <c r="A1007" t="s">
        <v>26</v>
      </c>
      <c r="B1007">
        <v>2040</v>
      </c>
      <c r="C1007" t="s">
        <v>74</v>
      </c>
      <c r="D1007" t="s">
        <v>54</v>
      </c>
      <c r="E1007">
        <v>2.7999201820313698E-4</v>
      </c>
      <c r="F1007">
        <v>2.7999201820313698E-4</v>
      </c>
      <c r="G1007">
        <v>0</v>
      </c>
      <c r="H1007">
        <v>0</v>
      </c>
      <c r="I1007" t="s">
        <v>75</v>
      </c>
    </row>
    <row r="1008" spans="1:9" x14ac:dyDescent="0.35">
      <c r="A1008" t="s">
        <v>26</v>
      </c>
      <c r="B1008">
        <v>2040</v>
      </c>
      <c r="C1008" t="s">
        <v>74</v>
      </c>
      <c r="D1008" t="s">
        <v>55</v>
      </c>
      <c r="E1008">
        <v>2.4883446582346403E-4</v>
      </c>
      <c r="F1008">
        <v>2.4883446582346403E-4</v>
      </c>
      <c r="G1008">
        <v>0</v>
      </c>
      <c r="H1008">
        <v>0</v>
      </c>
      <c r="I1008" t="s">
        <v>75</v>
      </c>
    </row>
    <row r="1009" spans="1:9" x14ac:dyDescent="0.35">
      <c r="A1009" t="s">
        <v>26</v>
      </c>
      <c r="B1009">
        <v>2040</v>
      </c>
      <c r="C1009" t="s">
        <v>74</v>
      </c>
      <c r="D1009" t="s">
        <v>56</v>
      </c>
      <c r="E1009" s="1">
        <v>1.7678684310730901E-9</v>
      </c>
      <c r="F1009" s="1">
        <v>1.7678684310730901E-9</v>
      </c>
      <c r="G1009">
        <v>0</v>
      </c>
      <c r="H1009">
        <v>0</v>
      </c>
      <c r="I1009" t="s">
        <v>75</v>
      </c>
    </row>
    <row r="1010" spans="1:9" x14ac:dyDescent="0.35">
      <c r="A1010" t="s">
        <v>20</v>
      </c>
      <c r="B1010">
        <v>2025</v>
      </c>
      <c r="C1010" t="s">
        <v>67</v>
      </c>
      <c r="D1010" t="s">
        <v>38</v>
      </c>
      <c r="E1010">
        <v>2.3174139606031301E-2</v>
      </c>
      <c r="F1010">
        <v>2.3174139606031301E-2</v>
      </c>
      <c r="G1010">
        <v>0</v>
      </c>
      <c r="H1010">
        <v>0</v>
      </c>
      <c r="I1010" t="s">
        <v>68</v>
      </c>
    </row>
    <row r="1011" spans="1:9" x14ac:dyDescent="0.35">
      <c r="A1011" t="s">
        <v>20</v>
      </c>
      <c r="B1011">
        <v>2025</v>
      </c>
      <c r="C1011" t="s">
        <v>67</v>
      </c>
      <c r="D1011" t="s">
        <v>40</v>
      </c>
      <c r="E1011">
        <v>7.1642924183196299E-3</v>
      </c>
      <c r="F1011">
        <v>7.1642924183196299E-3</v>
      </c>
      <c r="G1011">
        <v>0</v>
      </c>
      <c r="H1011">
        <v>0</v>
      </c>
      <c r="I1011" t="s">
        <v>68</v>
      </c>
    </row>
    <row r="1012" spans="1:9" x14ac:dyDescent="0.35">
      <c r="A1012" t="s">
        <v>20</v>
      </c>
      <c r="B1012">
        <v>2025</v>
      </c>
      <c r="C1012" t="s">
        <v>67</v>
      </c>
      <c r="D1012" t="s">
        <v>41</v>
      </c>
      <c r="E1012">
        <v>6.6427726567737197E-2</v>
      </c>
      <c r="F1012">
        <v>6.6427726567737197E-2</v>
      </c>
      <c r="G1012">
        <v>0</v>
      </c>
      <c r="H1012">
        <v>0</v>
      </c>
      <c r="I1012" t="s">
        <v>68</v>
      </c>
    </row>
    <row r="1013" spans="1:9" x14ac:dyDescent="0.35">
      <c r="A1013" t="s">
        <v>20</v>
      </c>
      <c r="B1013">
        <v>2025</v>
      </c>
      <c r="C1013" t="s">
        <v>67</v>
      </c>
      <c r="D1013" t="s">
        <v>42</v>
      </c>
      <c r="E1013">
        <v>30.804652513624799</v>
      </c>
      <c r="F1013">
        <v>30.804652513624799</v>
      </c>
      <c r="G1013">
        <v>0</v>
      </c>
      <c r="H1013">
        <v>0</v>
      </c>
      <c r="I1013" t="s">
        <v>68</v>
      </c>
    </row>
    <row r="1014" spans="1:9" x14ac:dyDescent="0.35">
      <c r="A1014" t="s">
        <v>20</v>
      </c>
      <c r="B1014">
        <v>2025</v>
      </c>
      <c r="C1014" t="s">
        <v>67</v>
      </c>
      <c r="D1014" t="s">
        <v>43</v>
      </c>
      <c r="E1014">
        <v>2.8410001271621101E-2</v>
      </c>
      <c r="F1014">
        <v>2.8410001271621101E-2</v>
      </c>
      <c r="G1014">
        <v>0</v>
      </c>
      <c r="H1014">
        <v>0</v>
      </c>
      <c r="I1014" t="s">
        <v>68</v>
      </c>
    </row>
    <row r="1015" spans="1:9" x14ac:dyDescent="0.35">
      <c r="A1015" t="s">
        <v>20</v>
      </c>
      <c r="B1015">
        <v>2025</v>
      </c>
      <c r="C1015" t="s">
        <v>67</v>
      </c>
      <c r="D1015" t="s">
        <v>136</v>
      </c>
      <c r="E1015">
        <v>21.7882735508189</v>
      </c>
      <c r="F1015">
        <v>21.7882735508189</v>
      </c>
      <c r="G1015">
        <v>0</v>
      </c>
      <c r="H1015">
        <v>0</v>
      </c>
      <c r="I1015" t="s">
        <v>68</v>
      </c>
    </row>
    <row r="1016" spans="1:9" x14ac:dyDescent="0.35">
      <c r="A1016" t="s">
        <v>20</v>
      </c>
      <c r="B1016">
        <v>2025</v>
      </c>
      <c r="C1016" t="s">
        <v>67</v>
      </c>
      <c r="D1016" t="s">
        <v>45</v>
      </c>
      <c r="E1016">
        <v>6.0434410589928197E-2</v>
      </c>
      <c r="F1016">
        <v>6.0434410589928197E-2</v>
      </c>
      <c r="G1016">
        <v>0</v>
      </c>
      <c r="H1016">
        <v>0</v>
      </c>
      <c r="I1016" t="s">
        <v>68</v>
      </c>
    </row>
    <row r="1017" spans="1:9" x14ac:dyDescent="0.35">
      <c r="A1017" t="s">
        <v>20</v>
      </c>
      <c r="B1017">
        <v>2025</v>
      </c>
      <c r="C1017" t="s">
        <v>67</v>
      </c>
      <c r="D1017" t="s">
        <v>46</v>
      </c>
      <c r="E1017">
        <v>0.20123795564727701</v>
      </c>
      <c r="F1017">
        <v>0.20123795564727701</v>
      </c>
      <c r="G1017">
        <v>0</v>
      </c>
      <c r="H1017">
        <v>0</v>
      </c>
      <c r="I1017" t="s">
        <v>68</v>
      </c>
    </row>
    <row r="1018" spans="1:9" x14ac:dyDescent="0.35">
      <c r="A1018" t="s">
        <v>20</v>
      </c>
      <c r="B1018">
        <v>2025</v>
      </c>
      <c r="C1018" t="s">
        <v>67</v>
      </c>
      <c r="D1018" t="s">
        <v>47</v>
      </c>
      <c r="E1018">
        <v>7.2925264097627304E-3</v>
      </c>
      <c r="F1018">
        <v>7.2925264097627304E-3</v>
      </c>
      <c r="G1018">
        <v>0</v>
      </c>
      <c r="H1018">
        <v>0</v>
      </c>
      <c r="I1018" t="s">
        <v>68</v>
      </c>
    </row>
    <row r="1019" spans="1:9" x14ac:dyDescent="0.35">
      <c r="A1019" t="s">
        <v>20</v>
      </c>
      <c r="B1019">
        <v>2025</v>
      </c>
      <c r="C1019" t="s">
        <v>67</v>
      </c>
      <c r="D1019" t="s">
        <v>48</v>
      </c>
      <c r="E1019">
        <v>108.59157803424399</v>
      </c>
      <c r="F1019">
        <v>108.59157803424399</v>
      </c>
      <c r="G1019">
        <v>0</v>
      </c>
      <c r="H1019">
        <v>0</v>
      </c>
      <c r="I1019" t="s">
        <v>68</v>
      </c>
    </row>
    <row r="1020" spans="1:9" x14ac:dyDescent="0.35">
      <c r="A1020" t="s">
        <v>20</v>
      </c>
      <c r="B1020">
        <v>2025</v>
      </c>
      <c r="C1020" t="s">
        <v>67</v>
      </c>
      <c r="D1020" t="s">
        <v>49</v>
      </c>
      <c r="E1020">
        <v>0.15604324335851</v>
      </c>
      <c r="F1020">
        <v>0.15604324335851</v>
      </c>
      <c r="G1020">
        <v>0</v>
      </c>
      <c r="H1020">
        <v>0</v>
      </c>
      <c r="I1020" t="s">
        <v>68</v>
      </c>
    </row>
    <row r="1021" spans="1:9" x14ac:dyDescent="0.35">
      <c r="A1021" t="s">
        <v>20</v>
      </c>
      <c r="B1021">
        <v>2025</v>
      </c>
      <c r="C1021" t="s">
        <v>67</v>
      </c>
      <c r="D1021" t="s">
        <v>50</v>
      </c>
      <c r="E1021">
        <v>0.39249739206685602</v>
      </c>
      <c r="F1021">
        <v>0.39249739206685602</v>
      </c>
      <c r="G1021">
        <v>0</v>
      </c>
      <c r="H1021">
        <v>0</v>
      </c>
      <c r="I1021" t="s">
        <v>68</v>
      </c>
    </row>
    <row r="1022" spans="1:9" x14ac:dyDescent="0.35">
      <c r="A1022" t="s">
        <v>20</v>
      </c>
      <c r="B1022">
        <v>2025</v>
      </c>
      <c r="C1022" t="s">
        <v>67</v>
      </c>
      <c r="D1022" t="s">
        <v>51</v>
      </c>
      <c r="E1022">
        <v>0.62627727618210904</v>
      </c>
      <c r="F1022">
        <v>0.62627727618210904</v>
      </c>
      <c r="G1022">
        <v>0</v>
      </c>
      <c r="H1022">
        <v>0</v>
      </c>
      <c r="I1022" t="s">
        <v>68</v>
      </c>
    </row>
    <row r="1023" spans="1:9" x14ac:dyDescent="0.35">
      <c r="A1023" t="s">
        <v>20</v>
      </c>
      <c r="B1023">
        <v>2025</v>
      </c>
      <c r="C1023" t="s">
        <v>67</v>
      </c>
      <c r="D1023" t="s">
        <v>52</v>
      </c>
      <c r="E1023">
        <v>11.131660535525199</v>
      </c>
      <c r="F1023">
        <v>11.131660535525199</v>
      </c>
      <c r="G1023">
        <v>0</v>
      </c>
      <c r="H1023">
        <v>0</v>
      </c>
      <c r="I1023" t="s">
        <v>68</v>
      </c>
    </row>
    <row r="1024" spans="1:9" x14ac:dyDescent="0.35">
      <c r="A1024" t="s">
        <v>20</v>
      </c>
      <c r="B1024">
        <v>2025</v>
      </c>
      <c r="C1024" t="s">
        <v>67</v>
      </c>
      <c r="D1024" t="s">
        <v>53</v>
      </c>
      <c r="E1024">
        <v>7.7461773069058504</v>
      </c>
      <c r="F1024">
        <v>7.7461773069058504</v>
      </c>
      <c r="G1024">
        <v>0</v>
      </c>
      <c r="H1024">
        <v>0</v>
      </c>
      <c r="I1024" t="s">
        <v>68</v>
      </c>
    </row>
    <row r="1025" spans="1:9" x14ac:dyDescent="0.35">
      <c r="A1025" t="s">
        <v>20</v>
      </c>
      <c r="B1025">
        <v>2025</v>
      </c>
      <c r="C1025" t="s">
        <v>67</v>
      </c>
      <c r="D1025" t="s">
        <v>54</v>
      </c>
      <c r="E1025">
        <v>2.83986733719847</v>
      </c>
      <c r="F1025">
        <v>2.83986733719847</v>
      </c>
      <c r="G1025">
        <v>0</v>
      </c>
      <c r="H1025">
        <v>0</v>
      </c>
      <c r="I1025" t="s">
        <v>68</v>
      </c>
    </row>
    <row r="1026" spans="1:9" x14ac:dyDescent="0.35">
      <c r="A1026" t="s">
        <v>20</v>
      </c>
      <c r="B1026">
        <v>2025</v>
      </c>
      <c r="C1026" t="s">
        <v>67</v>
      </c>
      <c r="D1026" t="s">
        <v>55</v>
      </c>
      <c r="E1026">
        <v>2.6336659966937899</v>
      </c>
      <c r="F1026">
        <v>2.6336659966937899</v>
      </c>
      <c r="G1026">
        <v>0</v>
      </c>
      <c r="H1026">
        <v>0</v>
      </c>
      <c r="I1026" t="s">
        <v>68</v>
      </c>
    </row>
    <row r="1027" spans="1:9" x14ac:dyDescent="0.35">
      <c r="A1027" t="s">
        <v>20</v>
      </c>
      <c r="B1027">
        <v>2025</v>
      </c>
      <c r="C1027" t="s">
        <v>67</v>
      </c>
      <c r="D1027" t="s">
        <v>56</v>
      </c>
      <c r="E1027" s="1">
        <v>2.4615245755908499E-6</v>
      </c>
      <c r="F1027" s="1">
        <v>2.4615245755908499E-6</v>
      </c>
      <c r="G1027">
        <v>0</v>
      </c>
      <c r="H1027">
        <v>0</v>
      </c>
      <c r="I1027" t="s">
        <v>68</v>
      </c>
    </row>
    <row r="1028" spans="1:9" x14ac:dyDescent="0.35">
      <c r="A1028" t="s">
        <v>22</v>
      </c>
      <c r="B1028">
        <v>2030</v>
      </c>
      <c r="C1028" t="s">
        <v>67</v>
      </c>
      <c r="D1028" t="s">
        <v>38</v>
      </c>
      <c r="E1028">
        <v>2.8290808425806401E-2</v>
      </c>
      <c r="F1028">
        <v>2.8290808425806401E-2</v>
      </c>
      <c r="G1028">
        <v>0</v>
      </c>
      <c r="H1028">
        <v>0</v>
      </c>
      <c r="I1028" t="s">
        <v>68</v>
      </c>
    </row>
    <row r="1029" spans="1:9" x14ac:dyDescent="0.35">
      <c r="A1029" t="s">
        <v>22</v>
      </c>
      <c r="B1029">
        <v>2030</v>
      </c>
      <c r="C1029" t="s">
        <v>67</v>
      </c>
      <c r="D1029" t="s">
        <v>40</v>
      </c>
      <c r="E1029">
        <v>6.9669033260481997E-3</v>
      </c>
      <c r="F1029">
        <v>6.9669033260481997E-3</v>
      </c>
      <c r="G1029">
        <v>0</v>
      </c>
      <c r="H1029">
        <v>0</v>
      </c>
      <c r="I1029" t="s">
        <v>68</v>
      </c>
    </row>
    <row r="1030" spans="1:9" x14ac:dyDescent="0.35">
      <c r="A1030" t="s">
        <v>22</v>
      </c>
      <c r="B1030">
        <v>2030</v>
      </c>
      <c r="C1030" t="s">
        <v>67</v>
      </c>
      <c r="D1030" t="s">
        <v>41</v>
      </c>
      <c r="E1030">
        <v>6.47582809452832E-2</v>
      </c>
      <c r="F1030">
        <v>6.47582809452832E-2</v>
      </c>
      <c r="G1030">
        <v>0</v>
      </c>
      <c r="H1030">
        <v>0</v>
      </c>
      <c r="I1030" t="s">
        <v>68</v>
      </c>
    </row>
    <row r="1031" spans="1:9" x14ac:dyDescent="0.35">
      <c r="A1031" t="s">
        <v>22</v>
      </c>
      <c r="B1031">
        <v>2030</v>
      </c>
      <c r="C1031" t="s">
        <v>67</v>
      </c>
      <c r="D1031" t="s">
        <v>42</v>
      </c>
      <c r="E1031">
        <v>30.7727548095869</v>
      </c>
      <c r="F1031">
        <v>30.7727548095869</v>
      </c>
      <c r="G1031">
        <v>0</v>
      </c>
      <c r="H1031">
        <v>0</v>
      </c>
      <c r="I1031" t="s">
        <v>68</v>
      </c>
    </row>
    <row r="1032" spans="1:9" x14ac:dyDescent="0.35">
      <c r="A1032" t="s">
        <v>22</v>
      </c>
      <c r="B1032">
        <v>2030</v>
      </c>
      <c r="C1032" t="s">
        <v>67</v>
      </c>
      <c r="D1032" t="s">
        <v>43</v>
      </c>
      <c r="E1032">
        <v>2.8979424263821801E-2</v>
      </c>
      <c r="F1032">
        <v>2.8979424263821801E-2</v>
      </c>
      <c r="G1032">
        <v>0</v>
      </c>
      <c r="H1032">
        <v>0</v>
      </c>
      <c r="I1032" t="s">
        <v>68</v>
      </c>
    </row>
    <row r="1033" spans="1:9" x14ac:dyDescent="0.35">
      <c r="A1033" t="s">
        <v>22</v>
      </c>
      <c r="B1033">
        <v>2030</v>
      </c>
      <c r="C1033" t="s">
        <v>67</v>
      </c>
      <c r="D1033" t="s">
        <v>136</v>
      </c>
      <c r="E1033">
        <v>21.395244203786699</v>
      </c>
      <c r="F1033">
        <v>21.395244203786699</v>
      </c>
      <c r="G1033">
        <v>0</v>
      </c>
      <c r="H1033">
        <v>0</v>
      </c>
      <c r="I1033" t="s">
        <v>68</v>
      </c>
    </row>
    <row r="1034" spans="1:9" x14ac:dyDescent="0.35">
      <c r="A1034" t="s">
        <v>22</v>
      </c>
      <c r="B1034">
        <v>2030</v>
      </c>
      <c r="C1034" t="s">
        <v>67</v>
      </c>
      <c r="D1034" t="s">
        <v>45</v>
      </c>
      <c r="E1034">
        <v>5.89018120316371E-2</v>
      </c>
      <c r="F1034">
        <v>5.89018120316371E-2</v>
      </c>
      <c r="G1034">
        <v>0</v>
      </c>
      <c r="H1034">
        <v>0</v>
      </c>
      <c r="I1034" t="s">
        <v>68</v>
      </c>
    </row>
    <row r="1035" spans="1:9" x14ac:dyDescent="0.35">
      <c r="A1035" t="s">
        <v>22</v>
      </c>
      <c r="B1035">
        <v>2030</v>
      </c>
      <c r="C1035" t="s">
        <v>67</v>
      </c>
      <c r="D1035" t="s">
        <v>46</v>
      </c>
      <c r="E1035">
        <v>0.467496756199896</v>
      </c>
      <c r="F1035">
        <v>0.467496756199896</v>
      </c>
      <c r="G1035">
        <v>0</v>
      </c>
      <c r="H1035">
        <v>0</v>
      </c>
      <c r="I1035" t="s">
        <v>68</v>
      </c>
    </row>
    <row r="1036" spans="1:9" x14ac:dyDescent="0.35">
      <c r="A1036" t="s">
        <v>22</v>
      </c>
      <c r="B1036">
        <v>2030</v>
      </c>
      <c r="C1036" t="s">
        <v>67</v>
      </c>
      <c r="D1036" t="s">
        <v>47</v>
      </c>
      <c r="E1036">
        <v>7.3249501880784402E-3</v>
      </c>
      <c r="F1036">
        <v>7.3249501880784402E-3</v>
      </c>
      <c r="G1036">
        <v>0</v>
      </c>
      <c r="H1036">
        <v>0</v>
      </c>
      <c r="I1036" t="s">
        <v>68</v>
      </c>
    </row>
    <row r="1037" spans="1:9" x14ac:dyDescent="0.35">
      <c r="A1037" t="s">
        <v>22</v>
      </c>
      <c r="B1037">
        <v>2030</v>
      </c>
      <c r="C1037" t="s">
        <v>67</v>
      </c>
      <c r="D1037" t="s">
        <v>48</v>
      </c>
      <c r="E1037">
        <v>108.58675938863</v>
      </c>
      <c r="F1037">
        <v>108.58675938863</v>
      </c>
      <c r="G1037">
        <v>0</v>
      </c>
      <c r="H1037">
        <v>0</v>
      </c>
      <c r="I1037" t="s">
        <v>68</v>
      </c>
    </row>
    <row r="1038" spans="1:9" x14ac:dyDescent="0.35">
      <c r="A1038" t="s">
        <v>22</v>
      </c>
      <c r="B1038">
        <v>2030</v>
      </c>
      <c r="C1038" t="s">
        <v>67</v>
      </c>
      <c r="D1038" t="s">
        <v>49</v>
      </c>
      <c r="E1038">
        <v>0.15470901466894499</v>
      </c>
      <c r="F1038">
        <v>0.15470901466894499</v>
      </c>
      <c r="G1038">
        <v>0</v>
      </c>
      <c r="H1038">
        <v>0</v>
      </c>
      <c r="I1038" t="s">
        <v>68</v>
      </c>
    </row>
    <row r="1039" spans="1:9" x14ac:dyDescent="0.35">
      <c r="A1039" t="s">
        <v>22</v>
      </c>
      <c r="B1039">
        <v>2030</v>
      </c>
      <c r="C1039" t="s">
        <v>67</v>
      </c>
      <c r="D1039" t="s">
        <v>50</v>
      </c>
      <c r="E1039">
        <v>0.40846473155600299</v>
      </c>
      <c r="F1039">
        <v>0.40846473155600299</v>
      </c>
      <c r="G1039">
        <v>0</v>
      </c>
      <c r="H1039">
        <v>0</v>
      </c>
      <c r="I1039" t="s">
        <v>68</v>
      </c>
    </row>
    <row r="1040" spans="1:9" x14ac:dyDescent="0.35">
      <c r="A1040" t="s">
        <v>22</v>
      </c>
      <c r="B1040">
        <v>2030</v>
      </c>
      <c r="C1040" t="s">
        <v>67</v>
      </c>
      <c r="D1040" t="s">
        <v>51</v>
      </c>
      <c r="E1040">
        <v>0.62316658971886096</v>
      </c>
      <c r="F1040">
        <v>0.62316658971886096</v>
      </c>
      <c r="G1040">
        <v>0</v>
      </c>
      <c r="H1040">
        <v>0</v>
      </c>
      <c r="I1040" t="s">
        <v>68</v>
      </c>
    </row>
    <row r="1041" spans="1:9" x14ac:dyDescent="0.35">
      <c r="A1041" t="s">
        <v>22</v>
      </c>
      <c r="B1041">
        <v>2030</v>
      </c>
      <c r="C1041" t="s">
        <v>67</v>
      </c>
      <c r="D1041" t="s">
        <v>52</v>
      </c>
      <c r="E1041">
        <v>11.0116436954864</v>
      </c>
      <c r="F1041">
        <v>11.0116436954864</v>
      </c>
      <c r="G1041">
        <v>0</v>
      </c>
      <c r="H1041">
        <v>0</v>
      </c>
      <c r="I1041" t="s">
        <v>68</v>
      </c>
    </row>
    <row r="1042" spans="1:9" x14ac:dyDescent="0.35">
      <c r="A1042" t="s">
        <v>22</v>
      </c>
      <c r="B1042">
        <v>2030</v>
      </c>
      <c r="C1042" t="s">
        <v>67</v>
      </c>
      <c r="D1042" t="s">
        <v>53</v>
      </c>
      <c r="E1042">
        <v>7.6037191602414396</v>
      </c>
      <c r="F1042">
        <v>7.6037191602414396</v>
      </c>
      <c r="G1042">
        <v>0</v>
      </c>
      <c r="H1042">
        <v>0</v>
      </c>
      <c r="I1042" t="s">
        <v>68</v>
      </c>
    </row>
    <row r="1043" spans="1:9" x14ac:dyDescent="0.35">
      <c r="A1043" t="s">
        <v>22</v>
      </c>
      <c r="B1043">
        <v>2030</v>
      </c>
      <c r="C1043" t="s">
        <v>67</v>
      </c>
      <c r="D1043" t="s">
        <v>54</v>
      </c>
      <c r="E1043">
        <v>2.8464248193353701</v>
      </c>
      <c r="F1043">
        <v>2.8464248193353701</v>
      </c>
      <c r="G1043">
        <v>0</v>
      </c>
      <c r="H1043">
        <v>0</v>
      </c>
      <c r="I1043" t="s">
        <v>68</v>
      </c>
    </row>
    <row r="1044" spans="1:9" x14ac:dyDescent="0.35">
      <c r="A1044" t="s">
        <v>22</v>
      </c>
      <c r="B1044">
        <v>2030</v>
      </c>
      <c r="C1044" t="s">
        <v>67</v>
      </c>
      <c r="D1044" t="s">
        <v>55</v>
      </c>
      <c r="E1044">
        <v>2.6376936124043802</v>
      </c>
      <c r="F1044">
        <v>2.6376936124043802</v>
      </c>
      <c r="G1044">
        <v>0</v>
      </c>
      <c r="H1044">
        <v>0</v>
      </c>
      <c r="I1044" t="s">
        <v>68</v>
      </c>
    </row>
    <row r="1045" spans="1:9" x14ac:dyDescent="0.35">
      <c r="A1045" t="s">
        <v>22</v>
      </c>
      <c r="B1045">
        <v>2030</v>
      </c>
      <c r="C1045" t="s">
        <v>67</v>
      </c>
      <c r="D1045" t="s">
        <v>56</v>
      </c>
      <c r="E1045" s="1">
        <v>2.3788732695762701E-6</v>
      </c>
      <c r="F1045" s="1">
        <v>2.3788732695762701E-6</v>
      </c>
      <c r="G1045">
        <v>0</v>
      </c>
      <c r="H1045">
        <v>0</v>
      </c>
      <c r="I1045" t="s">
        <v>68</v>
      </c>
    </row>
    <row r="1046" spans="1:9" x14ac:dyDescent="0.35">
      <c r="A1046" t="s">
        <v>24</v>
      </c>
      <c r="B1046">
        <v>2035</v>
      </c>
      <c r="C1046" t="s">
        <v>67</v>
      </c>
      <c r="D1046" t="s">
        <v>38</v>
      </c>
      <c r="E1046">
        <v>3.2378585985499399E-2</v>
      </c>
      <c r="F1046">
        <v>3.2378585985499399E-2</v>
      </c>
      <c r="G1046">
        <v>0</v>
      </c>
      <c r="H1046">
        <v>0</v>
      </c>
      <c r="I1046" t="s">
        <v>68</v>
      </c>
    </row>
    <row r="1047" spans="1:9" x14ac:dyDescent="0.35">
      <c r="A1047" t="s">
        <v>24</v>
      </c>
      <c r="B1047">
        <v>2035</v>
      </c>
      <c r="C1047" t="s">
        <v>67</v>
      </c>
      <c r="D1047" t="s">
        <v>40</v>
      </c>
      <c r="E1047">
        <v>6.8074410812583898E-3</v>
      </c>
      <c r="F1047">
        <v>6.8074410812583898E-3</v>
      </c>
      <c r="G1047">
        <v>0</v>
      </c>
      <c r="H1047">
        <v>0</v>
      </c>
      <c r="I1047" t="s">
        <v>68</v>
      </c>
    </row>
    <row r="1048" spans="1:9" x14ac:dyDescent="0.35">
      <c r="A1048" t="s">
        <v>24</v>
      </c>
      <c r="B1048">
        <v>2035</v>
      </c>
      <c r="C1048" t="s">
        <v>67</v>
      </c>
      <c r="D1048" t="s">
        <v>41</v>
      </c>
      <c r="E1048">
        <v>6.4075858744751801E-2</v>
      </c>
      <c r="F1048">
        <v>6.4075858744751801E-2</v>
      </c>
      <c r="G1048">
        <v>0</v>
      </c>
      <c r="H1048">
        <v>0</v>
      </c>
      <c r="I1048" t="s">
        <v>68</v>
      </c>
    </row>
    <row r="1049" spans="1:9" x14ac:dyDescent="0.35">
      <c r="A1049" t="s">
        <v>24</v>
      </c>
      <c r="B1049">
        <v>2035</v>
      </c>
      <c r="C1049" t="s">
        <v>67</v>
      </c>
      <c r="D1049" t="s">
        <v>42</v>
      </c>
      <c r="E1049">
        <v>30.896767566268402</v>
      </c>
      <c r="F1049">
        <v>30.896767566268402</v>
      </c>
      <c r="G1049">
        <v>0</v>
      </c>
      <c r="H1049">
        <v>0</v>
      </c>
      <c r="I1049" t="s">
        <v>68</v>
      </c>
    </row>
    <row r="1050" spans="1:9" x14ac:dyDescent="0.35">
      <c r="A1050" t="s">
        <v>24</v>
      </c>
      <c r="B1050">
        <v>2035</v>
      </c>
      <c r="C1050" t="s">
        <v>67</v>
      </c>
      <c r="D1050" t="s">
        <v>43</v>
      </c>
      <c r="E1050">
        <v>2.9654237166294499E-2</v>
      </c>
      <c r="F1050">
        <v>2.9654237166294499E-2</v>
      </c>
      <c r="G1050">
        <v>0</v>
      </c>
      <c r="H1050">
        <v>0</v>
      </c>
      <c r="I1050" t="s">
        <v>68</v>
      </c>
    </row>
    <row r="1051" spans="1:9" x14ac:dyDescent="0.35">
      <c r="A1051" t="s">
        <v>24</v>
      </c>
      <c r="B1051">
        <v>2035</v>
      </c>
      <c r="C1051" t="s">
        <v>67</v>
      </c>
      <c r="D1051" t="s">
        <v>136</v>
      </c>
      <c r="E1051">
        <v>21.350692856423102</v>
      </c>
      <c r="F1051">
        <v>21.350692856423102</v>
      </c>
      <c r="G1051">
        <v>0</v>
      </c>
      <c r="H1051">
        <v>0</v>
      </c>
      <c r="I1051" t="s">
        <v>68</v>
      </c>
    </row>
    <row r="1052" spans="1:9" x14ac:dyDescent="0.35">
      <c r="A1052" t="s">
        <v>24</v>
      </c>
      <c r="B1052">
        <v>2035</v>
      </c>
      <c r="C1052" t="s">
        <v>67</v>
      </c>
      <c r="D1052" t="s">
        <v>45</v>
      </c>
      <c r="E1052">
        <v>5.8040115487495103E-2</v>
      </c>
      <c r="F1052">
        <v>5.8040115487495103E-2</v>
      </c>
      <c r="G1052">
        <v>0</v>
      </c>
      <c r="H1052">
        <v>0</v>
      </c>
      <c r="I1052" t="s">
        <v>68</v>
      </c>
    </row>
    <row r="1053" spans="1:9" x14ac:dyDescent="0.35">
      <c r="A1053" t="s">
        <v>24</v>
      </c>
      <c r="B1053">
        <v>2035</v>
      </c>
      <c r="C1053" t="s">
        <v>67</v>
      </c>
      <c r="D1053" t="s">
        <v>46</v>
      </c>
      <c r="E1053">
        <v>0.728900044627801</v>
      </c>
      <c r="F1053">
        <v>0.728900044627801</v>
      </c>
      <c r="G1053">
        <v>0</v>
      </c>
      <c r="H1053">
        <v>0</v>
      </c>
      <c r="I1053" t="s">
        <v>68</v>
      </c>
    </row>
    <row r="1054" spans="1:9" x14ac:dyDescent="0.35">
      <c r="A1054" t="s">
        <v>24</v>
      </c>
      <c r="B1054">
        <v>2035</v>
      </c>
      <c r="C1054" t="s">
        <v>67</v>
      </c>
      <c r="D1054" t="s">
        <v>47</v>
      </c>
      <c r="E1054">
        <v>7.5384497421051603E-3</v>
      </c>
      <c r="F1054">
        <v>7.5384497421051603E-3</v>
      </c>
      <c r="G1054">
        <v>0</v>
      </c>
      <c r="H1054">
        <v>0</v>
      </c>
      <c r="I1054" t="s">
        <v>68</v>
      </c>
    </row>
    <row r="1055" spans="1:9" x14ac:dyDescent="0.35">
      <c r="A1055" t="s">
        <v>24</v>
      </c>
      <c r="B1055">
        <v>2035</v>
      </c>
      <c r="C1055" t="s">
        <v>67</v>
      </c>
      <c r="D1055" t="s">
        <v>48</v>
      </c>
      <c r="E1055">
        <v>108.58558634620501</v>
      </c>
      <c r="F1055">
        <v>108.58558634620501</v>
      </c>
      <c r="G1055">
        <v>0</v>
      </c>
      <c r="H1055">
        <v>0</v>
      </c>
      <c r="I1055" t="s">
        <v>68</v>
      </c>
    </row>
    <row r="1056" spans="1:9" x14ac:dyDescent="0.35">
      <c r="A1056" t="s">
        <v>24</v>
      </c>
      <c r="B1056">
        <v>2035</v>
      </c>
      <c r="C1056" t="s">
        <v>67</v>
      </c>
      <c r="D1056" t="s">
        <v>49</v>
      </c>
      <c r="E1056">
        <v>0.154312400834765</v>
      </c>
      <c r="F1056">
        <v>0.154312400834765</v>
      </c>
      <c r="G1056">
        <v>0</v>
      </c>
      <c r="H1056">
        <v>0</v>
      </c>
      <c r="I1056" t="s">
        <v>68</v>
      </c>
    </row>
    <row r="1057" spans="1:9" x14ac:dyDescent="0.35">
      <c r="A1057" t="s">
        <v>24</v>
      </c>
      <c r="B1057">
        <v>2035</v>
      </c>
      <c r="C1057" t="s">
        <v>67</v>
      </c>
      <c r="D1057" t="s">
        <v>50</v>
      </c>
      <c r="E1057">
        <v>0.42215623588428303</v>
      </c>
      <c r="F1057">
        <v>0.42215623588428303</v>
      </c>
      <c r="G1057">
        <v>0</v>
      </c>
      <c r="H1057">
        <v>0</v>
      </c>
      <c r="I1057" t="s">
        <v>68</v>
      </c>
    </row>
    <row r="1058" spans="1:9" x14ac:dyDescent="0.35">
      <c r="A1058" t="s">
        <v>24</v>
      </c>
      <c r="B1058">
        <v>2035</v>
      </c>
      <c r="C1058" t="s">
        <v>67</v>
      </c>
      <c r="D1058" t="s">
        <v>51</v>
      </c>
      <c r="E1058">
        <v>0.62313857320473998</v>
      </c>
      <c r="F1058">
        <v>0.62313857320473998</v>
      </c>
      <c r="G1058">
        <v>0</v>
      </c>
      <c r="H1058">
        <v>0</v>
      </c>
      <c r="I1058" t="s">
        <v>68</v>
      </c>
    </row>
    <row r="1059" spans="1:9" x14ac:dyDescent="0.35">
      <c r="A1059" t="s">
        <v>24</v>
      </c>
      <c r="B1059">
        <v>2035</v>
      </c>
      <c r="C1059" t="s">
        <v>67</v>
      </c>
      <c r="D1059" t="s">
        <v>52</v>
      </c>
      <c r="E1059">
        <v>10.910397628328299</v>
      </c>
      <c r="F1059">
        <v>10.910397628328299</v>
      </c>
      <c r="G1059">
        <v>0</v>
      </c>
      <c r="H1059">
        <v>0</v>
      </c>
      <c r="I1059" t="s">
        <v>68</v>
      </c>
    </row>
    <row r="1060" spans="1:9" x14ac:dyDescent="0.35">
      <c r="A1060" t="s">
        <v>24</v>
      </c>
      <c r="B1060">
        <v>2035</v>
      </c>
      <c r="C1060" t="s">
        <v>67</v>
      </c>
      <c r="D1060" t="s">
        <v>53</v>
      </c>
      <c r="E1060">
        <v>7.5702190945290502</v>
      </c>
      <c r="F1060">
        <v>7.5702190945290502</v>
      </c>
      <c r="G1060">
        <v>0</v>
      </c>
      <c r="H1060">
        <v>0</v>
      </c>
      <c r="I1060" t="s">
        <v>68</v>
      </c>
    </row>
    <row r="1061" spans="1:9" x14ac:dyDescent="0.35">
      <c r="A1061" t="s">
        <v>24</v>
      </c>
      <c r="B1061">
        <v>2035</v>
      </c>
      <c r="C1061" t="s">
        <v>67</v>
      </c>
      <c r="D1061" t="s">
        <v>54</v>
      </c>
      <c r="E1061">
        <v>2.85486218592172</v>
      </c>
      <c r="F1061">
        <v>2.85486218592172</v>
      </c>
      <c r="G1061">
        <v>0</v>
      </c>
      <c r="H1061">
        <v>0</v>
      </c>
      <c r="I1061" t="s">
        <v>68</v>
      </c>
    </row>
    <row r="1062" spans="1:9" x14ac:dyDescent="0.35">
      <c r="A1062" t="s">
        <v>24</v>
      </c>
      <c r="B1062">
        <v>2035</v>
      </c>
      <c r="C1062" t="s">
        <v>67</v>
      </c>
      <c r="D1062" t="s">
        <v>55</v>
      </c>
      <c r="E1062">
        <v>2.6445732331685101</v>
      </c>
      <c r="F1062">
        <v>2.6445732331685101</v>
      </c>
      <c r="G1062">
        <v>0</v>
      </c>
      <c r="H1062">
        <v>0</v>
      </c>
      <c r="I1062" t="s">
        <v>68</v>
      </c>
    </row>
    <row r="1063" spans="1:9" x14ac:dyDescent="0.35">
      <c r="A1063" t="s">
        <v>24</v>
      </c>
      <c r="B1063">
        <v>2035</v>
      </c>
      <c r="C1063" t="s">
        <v>67</v>
      </c>
      <c r="D1063" t="s">
        <v>56</v>
      </c>
      <c r="E1063" s="1">
        <v>2.3435342757121099E-6</v>
      </c>
      <c r="F1063" s="1">
        <v>2.3435342757121099E-6</v>
      </c>
      <c r="G1063">
        <v>0</v>
      </c>
      <c r="H1063">
        <v>0</v>
      </c>
      <c r="I1063" t="s">
        <v>68</v>
      </c>
    </row>
    <row r="1064" spans="1:9" x14ac:dyDescent="0.35">
      <c r="A1064" t="s">
        <v>26</v>
      </c>
      <c r="B1064">
        <v>2040</v>
      </c>
      <c r="C1064" t="s">
        <v>67</v>
      </c>
      <c r="D1064" t="s">
        <v>38</v>
      </c>
      <c r="E1064">
        <v>3.0805848000032401E-2</v>
      </c>
      <c r="F1064">
        <v>1.5140716129412099E-2</v>
      </c>
      <c r="G1064">
        <v>-1.56651318706202E-2</v>
      </c>
      <c r="H1064">
        <v>-50.851162644845097</v>
      </c>
      <c r="I1064" t="s">
        <v>68</v>
      </c>
    </row>
    <row r="1065" spans="1:9" x14ac:dyDescent="0.35">
      <c r="A1065" t="s">
        <v>26</v>
      </c>
      <c r="B1065">
        <v>2040</v>
      </c>
      <c r="C1065" t="s">
        <v>67</v>
      </c>
      <c r="D1065" t="s">
        <v>40</v>
      </c>
      <c r="E1065">
        <v>6.7029880279215904E-3</v>
      </c>
      <c r="F1065">
        <v>6.7029880279215904E-3</v>
      </c>
      <c r="G1065">
        <v>0</v>
      </c>
      <c r="H1065">
        <v>0</v>
      </c>
      <c r="I1065" t="s">
        <v>68</v>
      </c>
    </row>
    <row r="1066" spans="1:9" x14ac:dyDescent="0.35">
      <c r="A1066" t="s">
        <v>26</v>
      </c>
      <c r="B1066">
        <v>2040</v>
      </c>
      <c r="C1066" t="s">
        <v>67</v>
      </c>
      <c r="D1066" t="s">
        <v>41</v>
      </c>
      <c r="E1066">
        <v>6.3851338891862897E-2</v>
      </c>
      <c r="F1066">
        <v>5.6527767729278103E-2</v>
      </c>
      <c r="G1066">
        <v>-7.3235711625847903E-3</v>
      </c>
      <c r="H1066">
        <v>-11.4697221541239</v>
      </c>
      <c r="I1066" t="s">
        <v>68</v>
      </c>
    </row>
    <row r="1067" spans="1:9" x14ac:dyDescent="0.35">
      <c r="A1067" t="s">
        <v>26</v>
      </c>
      <c r="B1067">
        <v>2040</v>
      </c>
      <c r="C1067" t="s">
        <v>67</v>
      </c>
      <c r="D1067" t="s">
        <v>42</v>
      </c>
      <c r="E1067">
        <v>31.087899070877501</v>
      </c>
      <c r="F1067">
        <v>25.300792580959602</v>
      </c>
      <c r="G1067">
        <v>-5.7871064899178899</v>
      </c>
      <c r="H1067">
        <v>-18.615302618950899</v>
      </c>
      <c r="I1067" t="s">
        <v>68</v>
      </c>
    </row>
    <row r="1068" spans="1:9" x14ac:dyDescent="0.35">
      <c r="A1068" t="s">
        <v>26</v>
      </c>
      <c r="B1068">
        <v>2040</v>
      </c>
      <c r="C1068" t="s">
        <v>67</v>
      </c>
      <c r="D1068" t="s">
        <v>43</v>
      </c>
      <c r="E1068">
        <v>2.9330916607179999E-2</v>
      </c>
      <c r="F1068">
        <v>2.7119649679050901E-2</v>
      </c>
      <c r="G1068">
        <v>-2.21126692812911E-3</v>
      </c>
      <c r="H1068">
        <v>-7.5390311109057002</v>
      </c>
      <c r="I1068" t="s">
        <v>68</v>
      </c>
    </row>
    <row r="1069" spans="1:9" x14ac:dyDescent="0.35">
      <c r="A1069" t="s">
        <v>26</v>
      </c>
      <c r="B1069">
        <v>2040</v>
      </c>
      <c r="C1069" t="s">
        <v>67</v>
      </c>
      <c r="D1069" t="s">
        <v>136</v>
      </c>
      <c r="E1069">
        <v>21.488696195129499</v>
      </c>
      <c r="F1069">
        <v>20.884769389137599</v>
      </c>
      <c r="G1069">
        <v>-0.60392680599188897</v>
      </c>
      <c r="H1069">
        <v>-2.8104395004140299</v>
      </c>
      <c r="I1069" t="s">
        <v>68</v>
      </c>
    </row>
    <row r="1070" spans="1:9" x14ac:dyDescent="0.35">
      <c r="A1070" t="s">
        <v>26</v>
      </c>
      <c r="B1070">
        <v>2040</v>
      </c>
      <c r="C1070" t="s">
        <v>67</v>
      </c>
      <c r="D1070" t="s">
        <v>45</v>
      </c>
      <c r="E1070">
        <v>5.75639974125755E-2</v>
      </c>
      <c r="F1070">
        <v>3.3399268023766998E-2</v>
      </c>
      <c r="G1070">
        <v>-2.4164729388808402E-2</v>
      </c>
      <c r="H1070">
        <v>-41.978893883296202</v>
      </c>
      <c r="I1070" t="s">
        <v>68</v>
      </c>
    </row>
    <row r="1071" spans="1:9" x14ac:dyDescent="0.35">
      <c r="A1071" t="s">
        <v>26</v>
      </c>
      <c r="B1071">
        <v>2040</v>
      </c>
      <c r="C1071" t="s">
        <v>67</v>
      </c>
      <c r="D1071" t="s">
        <v>46</v>
      </c>
      <c r="E1071">
        <v>0.78931281358887595</v>
      </c>
      <c r="F1071">
        <v>0.78931281358887595</v>
      </c>
      <c r="G1071">
        <v>0</v>
      </c>
      <c r="H1071">
        <v>0</v>
      </c>
      <c r="I1071" t="s">
        <v>68</v>
      </c>
    </row>
    <row r="1072" spans="1:9" x14ac:dyDescent="0.35">
      <c r="A1072" t="s">
        <v>26</v>
      </c>
      <c r="B1072">
        <v>2040</v>
      </c>
      <c r="C1072" t="s">
        <v>67</v>
      </c>
      <c r="D1072" t="s">
        <v>47</v>
      </c>
      <c r="E1072">
        <v>7.8425228021045505E-3</v>
      </c>
      <c r="F1072">
        <v>7.8425228021045505E-3</v>
      </c>
      <c r="G1072">
        <v>0</v>
      </c>
      <c r="H1072">
        <v>0</v>
      </c>
      <c r="I1072" t="s">
        <v>68</v>
      </c>
    </row>
    <row r="1073" spans="1:9" x14ac:dyDescent="0.35">
      <c r="A1073" t="s">
        <v>26</v>
      </c>
      <c r="B1073">
        <v>2040</v>
      </c>
      <c r="C1073" t="s">
        <v>67</v>
      </c>
      <c r="D1073" t="s">
        <v>48</v>
      </c>
      <c r="E1073">
        <v>108.59112752960699</v>
      </c>
      <c r="F1073">
        <v>108.59112752960699</v>
      </c>
      <c r="G1073">
        <v>0</v>
      </c>
      <c r="H1073">
        <v>0</v>
      </c>
      <c r="I1073" t="s">
        <v>68</v>
      </c>
    </row>
    <row r="1074" spans="1:9" x14ac:dyDescent="0.35">
      <c r="A1074" t="s">
        <v>26</v>
      </c>
      <c r="B1074">
        <v>2040</v>
      </c>
      <c r="C1074" t="s">
        <v>67</v>
      </c>
      <c r="D1074" t="s">
        <v>49</v>
      </c>
      <c r="E1074">
        <v>0.153753316753693</v>
      </c>
      <c r="F1074">
        <v>8.2481593004348305E-2</v>
      </c>
      <c r="G1074">
        <v>-7.1271723749344706E-2</v>
      </c>
      <c r="H1074">
        <v>-46.354592703531203</v>
      </c>
      <c r="I1074" t="s">
        <v>68</v>
      </c>
    </row>
    <row r="1075" spans="1:9" x14ac:dyDescent="0.35">
      <c r="A1075" t="s">
        <v>26</v>
      </c>
      <c r="B1075">
        <v>2040</v>
      </c>
      <c r="C1075" t="s">
        <v>67</v>
      </c>
      <c r="D1075" t="s">
        <v>50</v>
      </c>
      <c r="E1075">
        <v>0.41760253455169999</v>
      </c>
      <c r="F1075">
        <v>0.41760253455169999</v>
      </c>
      <c r="G1075">
        <v>0</v>
      </c>
      <c r="H1075">
        <v>0</v>
      </c>
      <c r="I1075" t="s">
        <v>68</v>
      </c>
    </row>
    <row r="1076" spans="1:9" x14ac:dyDescent="0.35">
      <c r="A1076" t="s">
        <v>26</v>
      </c>
      <c r="B1076">
        <v>2040</v>
      </c>
      <c r="C1076" t="s">
        <v>67</v>
      </c>
      <c r="D1076" t="s">
        <v>51</v>
      </c>
      <c r="E1076">
        <v>0.62523459446159302</v>
      </c>
      <c r="F1076">
        <v>0.62523459446159302</v>
      </c>
      <c r="G1076">
        <v>0</v>
      </c>
      <c r="H1076">
        <v>0</v>
      </c>
      <c r="I1076" t="s">
        <v>68</v>
      </c>
    </row>
    <row r="1077" spans="1:9" x14ac:dyDescent="0.35">
      <c r="A1077" t="s">
        <v>26</v>
      </c>
      <c r="B1077">
        <v>2040</v>
      </c>
      <c r="C1077" t="s">
        <v>67</v>
      </c>
      <c r="D1077" t="s">
        <v>52</v>
      </c>
      <c r="E1077">
        <v>10.8329015709975</v>
      </c>
      <c r="F1077">
        <v>10.8329015709975</v>
      </c>
      <c r="G1077">
        <v>0</v>
      </c>
      <c r="H1077">
        <v>0</v>
      </c>
      <c r="I1077" t="s">
        <v>68</v>
      </c>
    </row>
    <row r="1078" spans="1:9" x14ac:dyDescent="0.35">
      <c r="A1078" t="s">
        <v>26</v>
      </c>
      <c r="B1078">
        <v>2040</v>
      </c>
      <c r="C1078" t="s">
        <v>67</v>
      </c>
      <c r="D1078" t="s">
        <v>53</v>
      </c>
      <c r="E1078">
        <v>7.5857124621576704</v>
      </c>
      <c r="F1078">
        <v>7.5857124621576704</v>
      </c>
      <c r="G1078">
        <v>0</v>
      </c>
      <c r="H1078">
        <v>0</v>
      </c>
      <c r="I1078" t="s">
        <v>68</v>
      </c>
    </row>
    <row r="1079" spans="1:9" x14ac:dyDescent="0.35">
      <c r="A1079" t="s">
        <v>26</v>
      </c>
      <c r="B1079">
        <v>2040</v>
      </c>
      <c r="C1079" t="s">
        <v>67</v>
      </c>
      <c r="D1079" t="s">
        <v>54</v>
      </c>
      <c r="E1079">
        <v>2.86402893039106</v>
      </c>
      <c r="F1079">
        <v>2.8606196069655199</v>
      </c>
      <c r="G1079">
        <v>-3.4093234255392298E-3</v>
      </c>
      <c r="H1079">
        <v>-0.11903941993608599</v>
      </c>
      <c r="I1079" t="s">
        <v>68</v>
      </c>
    </row>
    <row r="1080" spans="1:9" x14ac:dyDescent="0.35">
      <c r="A1080" t="s">
        <v>26</v>
      </c>
      <c r="B1080">
        <v>2040</v>
      </c>
      <c r="C1080" t="s">
        <v>67</v>
      </c>
      <c r="D1080" t="s">
        <v>55</v>
      </c>
      <c r="E1080">
        <v>2.65333352838178</v>
      </c>
      <c r="F1080">
        <v>2.4988116796422899</v>
      </c>
      <c r="G1080">
        <v>-0.15452184873948199</v>
      </c>
      <c r="H1080">
        <v>-5.8236873384599397</v>
      </c>
      <c r="I1080" t="s">
        <v>68</v>
      </c>
    </row>
    <row r="1081" spans="1:9" x14ac:dyDescent="0.35">
      <c r="A1081" t="s">
        <v>26</v>
      </c>
      <c r="B1081">
        <v>2040</v>
      </c>
      <c r="C1081" t="s">
        <v>67</v>
      </c>
      <c r="D1081" t="s">
        <v>56</v>
      </c>
      <c r="E1081" s="1">
        <v>2.32928283895935E-6</v>
      </c>
      <c r="F1081" s="1">
        <v>2.32928283895935E-6</v>
      </c>
      <c r="G1081">
        <v>0</v>
      </c>
      <c r="H1081">
        <v>0</v>
      </c>
      <c r="I1081" t="s">
        <v>68</v>
      </c>
    </row>
    <row r="1082" spans="1:9" x14ac:dyDescent="0.35">
      <c r="A1082" t="s">
        <v>20</v>
      </c>
      <c r="B1082">
        <v>2025</v>
      </c>
      <c r="C1082" t="s">
        <v>80</v>
      </c>
      <c r="D1082" t="s">
        <v>38</v>
      </c>
      <c r="E1082">
        <v>2.8615467852215898E-4</v>
      </c>
      <c r="F1082">
        <v>2.8615467852215898E-4</v>
      </c>
      <c r="G1082">
        <v>0</v>
      </c>
      <c r="H1082">
        <v>0</v>
      </c>
      <c r="I1082" t="s">
        <v>81</v>
      </c>
    </row>
    <row r="1083" spans="1:9" x14ac:dyDescent="0.35">
      <c r="A1083" t="s">
        <v>20</v>
      </c>
      <c r="B1083">
        <v>2025</v>
      </c>
      <c r="C1083" t="s">
        <v>80</v>
      </c>
      <c r="D1083" t="s">
        <v>40</v>
      </c>
      <c r="E1083">
        <v>4.6255868878559801E-4</v>
      </c>
      <c r="F1083">
        <v>4.6255868878559801E-4</v>
      </c>
      <c r="G1083">
        <v>0</v>
      </c>
      <c r="H1083">
        <v>0</v>
      </c>
      <c r="I1083" t="s">
        <v>81</v>
      </c>
    </row>
    <row r="1084" spans="1:9" x14ac:dyDescent="0.35">
      <c r="A1084" t="s">
        <v>20</v>
      </c>
      <c r="B1084">
        <v>2025</v>
      </c>
      <c r="C1084" t="s">
        <v>80</v>
      </c>
      <c r="D1084" t="s">
        <v>41</v>
      </c>
      <c r="E1084">
        <v>4.2411932179180298E-3</v>
      </c>
      <c r="F1084">
        <v>4.2411932179180298E-3</v>
      </c>
      <c r="G1084">
        <v>0</v>
      </c>
      <c r="H1084">
        <v>0</v>
      </c>
      <c r="I1084" t="s">
        <v>81</v>
      </c>
    </row>
    <row r="1085" spans="1:9" x14ac:dyDescent="0.35">
      <c r="A1085" t="s">
        <v>20</v>
      </c>
      <c r="B1085">
        <v>2025</v>
      </c>
      <c r="C1085" t="s">
        <v>80</v>
      </c>
      <c r="D1085" t="s">
        <v>42</v>
      </c>
      <c r="E1085">
        <v>0.68034068131887004</v>
      </c>
      <c r="F1085">
        <v>0.68034068131887004</v>
      </c>
      <c r="G1085">
        <v>0</v>
      </c>
      <c r="H1085">
        <v>0</v>
      </c>
      <c r="I1085" t="s">
        <v>81</v>
      </c>
    </row>
    <row r="1086" spans="1:9" x14ac:dyDescent="0.35">
      <c r="A1086" t="s">
        <v>20</v>
      </c>
      <c r="B1086">
        <v>2025</v>
      </c>
      <c r="C1086" t="s">
        <v>80</v>
      </c>
      <c r="D1086" t="s">
        <v>43</v>
      </c>
      <c r="E1086">
        <v>1.2972929831009999E-3</v>
      </c>
      <c r="F1086">
        <v>1.2972929831009999E-3</v>
      </c>
      <c r="G1086">
        <v>0</v>
      </c>
      <c r="H1086">
        <v>0</v>
      </c>
      <c r="I1086" t="s">
        <v>81</v>
      </c>
    </row>
    <row r="1087" spans="1:9" x14ac:dyDescent="0.35">
      <c r="A1087" t="s">
        <v>20</v>
      </c>
      <c r="B1087">
        <v>2025</v>
      </c>
      <c r="C1087" t="s">
        <v>80</v>
      </c>
      <c r="D1087" t="s">
        <v>136</v>
      </c>
      <c r="E1087">
        <v>1.75637949750523</v>
      </c>
      <c r="F1087">
        <v>1.75637949750523</v>
      </c>
      <c r="G1087">
        <v>0</v>
      </c>
      <c r="H1087">
        <v>0</v>
      </c>
      <c r="I1087" t="s">
        <v>81</v>
      </c>
    </row>
    <row r="1088" spans="1:9" x14ac:dyDescent="0.35">
      <c r="A1088" t="s">
        <v>20</v>
      </c>
      <c r="B1088">
        <v>2025</v>
      </c>
      <c r="C1088" t="s">
        <v>80</v>
      </c>
      <c r="D1088" t="s">
        <v>45</v>
      </c>
      <c r="E1088">
        <v>1.7700603149039199E-3</v>
      </c>
      <c r="F1088">
        <v>1.7700603149039199E-3</v>
      </c>
      <c r="G1088">
        <v>0</v>
      </c>
      <c r="H1088">
        <v>0</v>
      </c>
      <c r="I1088" t="s">
        <v>81</v>
      </c>
    </row>
    <row r="1089" spans="1:9" x14ac:dyDescent="0.35">
      <c r="A1089" t="s">
        <v>20</v>
      </c>
      <c r="B1089">
        <v>2025</v>
      </c>
      <c r="C1089" t="s">
        <v>80</v>
      </c>
      <c r="D1089" t="s">
        <v>46</v>
      </c>
      <c r="E1089">
        <v>2.0623292377336101E-2</v>
      </c>
      <c r="F1089">
        <v>2.0623292377336101E-2</v>
      </c>
      <c r="G1089">
        <v>0</v>
      </c>
      <c r="H1089">
        <v>0</v>
      </c>
      <c r="I1089" t="s">
        <v>81</v>
      </c>
    </row>
    <row r="1090" spans="1:9" x14ac:dyDescent="0.35">
      <c r="A1090" t="s">
        <v>20</v>
      </c>
      <c r="B1090">
        <v>2025</v>
      </c>
      <c r="C1090" t="s">
        <v>80</v>
      </c>
      <c r="D1090" t="s">
        <v>47</v>
      </c>
      <c r="E1090">
        <v>6.4105380095556505E-4</v>
      </c>
      <c r="F1090">
        <v>6.4105380095556505E-4</v>
      </c>
      <c r="G1090">
        <v>0</v>
      </c>
      <c r="H1090">
        <v>0</v>
      </c>
      <c r="I1090" t="s">
        <v>81</v>
      </c>
    </row>
    <row r="1091" spans="1:9" x14ac:dyDescent="0.35">
      <c r="A1091" t="s">
        <v>20</v>
      </c>
      <c r="B1091">
        <v>2025</v>
      </c>
      <c r="C1091" t="s">
        <v>80</v>
      </c>
      <c r="D1091" t="s">
        <v>48</v>
      </c>
      <c r="E1091">
        <v>80.557206641138393</v>
      </c>
      <c r="F1091">
        <v>80.557206641138393</v>
      </c>
      <c r="G1091">
        <v>0</v>
      </c>
      <c r="H1091">
        <v>0</v>
      </c>
      <c r="I1091" t="s">
        <v>81</v>
      </c>
    </row>
    <row r="1092" spans="1:9" x14ac:dyDescent="0.35">
      <c r="A1092" t="s">
        <v>20</v>
      </c>
      <c r="B1092">
        <v>2025</v>
      </c>
      <c r="C1092" t="s">
        <v>80</v>
      </c>
      <c r="D1092" t="s">
        <v>49</v>
      </c>
      <c r="E1092">
        <v>4.4367241655228398E-3</v>
      </c>
      <c r="F1092">
        <v>4.4367241655228398E-3</v>
      </c>
      <c r="G1092">
        <v>0</v>
      </c>
      <c r="H1092">
        <v>0</v>
      </c>
      <c r="I1092" t="s">
        <v>81</v>
      </c>
    </row>
    <row r="1093" spans="1:9" x14ac:dyDescent="0.35">
      <c r="A1093" t="s">
        <v>20</v>
      </c>
      <c r="B1093">
        <v>2025</v>
      </c>
      <c r="C1093" t="s">
        <v>80</v>
      </c>
      <c r="D1093" t="s">
        <v>50</v>
      </c>
      <c r="E1093">
        <v>7.6161458174394698E-3</v>
      </c>
      <c r="F1093">
        <v>7.6161458174394698E-3</v>
      </c>
      <c r="G1093">
        <v>0</v>
      </c>
      <c r="H1093">
        <v>0</v>
      </c>
      <c r="I1093" t="s">
        <v>81</v>
      </c>
    </row>
    <row r="1094" spans="1:9" x14ac:dyDescent="0.35">
      <c r="A1094" t="s">
        <v>20</v>
      </c>
      <c r="B1094">
        <v>2025</v>
      </c>
      <c r="C1094" t="s">
        <v>80</v>
      </c>
      <c r="D1094" t="s">
        <v>51</v>
      </c>
      <c r="E1094">
        <v>5.7817956228283597E-2</v>
      </c>
      <c r="F1094">
        <v>5.7817956228283597E-2</v>
      </c>
      <c r="G1094">
        <v>0</v>
      </c>
      <c r="H1094">
        <v>0</v>
      </c>
      <c r="I1094" t="s">
        <v>81</v>
      </c>
    </row>
    <row r="1095" spans="1:9" x14ac:dyDescent="0.35">
      <c r="A1095" t="s">
        <v>20</v>
      </c>
      <c r="B1095">
        <v>2025</v>
      </c>
      <c r="C1095" t="s">
        <v>80</v>
      </c>
      <c r="D1095" t="s">
        <v>52</v>
      </c>
      <c r="E1095">
        <v>0.450796591836574</v>
      </c>
      <c r="F1095">
        <v>0.450796591836574</v>
      </c>
      <c r="G1095">
        <v>0</v>
      </c>
      <c r="H1095">
        <v>0</v>
      </c>
      <c r="I1095" t="s">
        <v>81</v>
      </c>
    </row>
    <row r="1096" spans="1:9" x14ac:dyDescent="0.35">
      <c r="A1096" t="s">
        <v>20</v>
      </c>
      <c r="B1096">
        <v>2025</v>
      </c>
      <c r="C1096" t="s">
        <v>80</v>
      </c>
      <c r="D1096" t="s">
        <v>53</v>
      </c>
      <c r="E1096">
        <v>0.46585771735680498</v>
      </c>
      <c r="F1096">
        <v>0.46585771735680498</v>
      </c>
      <c r="G1096">
        <v>0</v>
      </c>
      <c r="H1096">
        <v>0</v>
      </c>
      <c r="I1096" t="s">
        <v>81</v>
      </c>
    </row>
    <row r="1097" spans="1:9" x14ac:dyDescent="0.35">
      <c r="A1097" t="s">
        <v>20</v>
      </c>
      <c r="B1097">
        <v>2025</v>
      </c>
      <c r="C1097" t="s">
        <v>80</v>
      </c>
      <c r="D1097" t="s">
        <v>54</v>
      </c>
      <c r="E1097">
        <v>4.8395786936606101E-2</v>
      </c>
      <c r="F1097">
        <v>4.8395786936606101E-2</v>
      </c>
      <c r="G1097">
        <v>0</v>
      </c>
      <c r="H1097">
        <v>0</v>
      </c>
      <c r="I1097" t="s">
        <v>81</v>
      </c>
    </row>
    <row r="1098" spans="1:9" x14ac:dyDescent="0.35">
      <c r="A1098" t="s">
        <v>20</v>
      </c>
      <c r="B1098">
        <v>2025</v>
      </c>
      <c r="C1098" t="s">
        <v>80</v>
      </c>
      <c r="D1098" t="s">
        <v>55</v>
      </c>
      <c r="E1098">
        <v>4.5130697568740698E-2</v>
      </c>
      <c r="F1098">
        <v>4.5130697568740698E-2</v>
      </c>
      <c r="G1098">
        <v>0</v>
      </c>
      <c r="H1098">
        <v>0</v>
      </c>
      <c r="I1098" t="s">
        <v>81</v>
      </c>
    </row>
    <row r="1099" spans="1:9" x14ac:dyDescent="0.35">
      <c r="A1099" t="s">
        <v>20</v>
      </c>
      <c r="B1099">
        <v>2025</v>
      </c>
      <c r="C1099" t="s">
        <v>80</v>
      </c>
      <c r="D1099" t="s">
        <v>56</v>
      </c>
      <c r="E1099" s="1">
        <v>1.1476995467938101E-7</v>
      </c>
      <c r="F1099" s="1">
        <v>1.1476995467938101E-7</v>
      </c>
      <c r="G1099">
        <v>0</v>
      </c>
      <c r="H1099">
        <v>0</v>
      </c>
      <c r="I1099" t="s">
        <v>81</v>
      </c>
    </row>
    <row r="1100" spans="1:9" x14ac:dyDescent="0.35">
      <c r="A1100" t="s">
        <v>22</v>
      </c>
      <c r="B1100">
        <v>2030</v>
      </c>
      <c r="C1100" t="s">
        <v>80</v>
      </c>
      <c r="D1100" t="s">
        <v>38</v>
      </c>
      <c r="E1100">
        <v>6.0600795621705604E-4</v>
      </c>
      <c r="F1100">
        <v>6.0600795621705604E-4</v>
      </c>
      <c r="G1100">
        <v>0</v>
      </c>
      <c r="H1100">
        <v>0</v>
      </c>
      <c r="I1100" t="s">
        <v>81</v>
      </c>
    </row>
    <row r="1101" spans="1:9" x14ac:dyDescent="0.35">
      <c r="A1101" t="s">
        <v>22</v>
      </c>
      <c r="B1101">
        <v>2030</v>
      </c>
      <c r="C1101" t="s">
        <v>80</v>
      </c>
      <c r="D1101" t="s">
        <v>40</v>
      </c>
      <c r="E1101">
        <v>4.80755938023146E-4</v>
      </c>
      <c r="F1101">
        <v>4.80755938023146E-4</v>
      </c>
      <c r="G1101">
        <v>0</v>
      </c>
      <c r="H1101">
        <v>0</v>
      </c>
      <c r="I1101" t="s">
        <v>81</v>
      </c>
    </row>
    <row r="1102" spans="1:9" x14ac:dyDescent="0.35">
      <c r="A1102" t="s">
        <v>22</v>
      </c>
      <c r="B1102">
        <v>2030</v>
      </c>
      <c r="C1102" t="s">
        <v>80</v>
      </c>
      <c r="D1102" t="s">
        <v>41</v>
      </c>
      <c r="E1102">
        <v>4.0789081618323297E-3</v>
      </c>
      <c r="F1102">
        <v>4.0789081618323297E-3</v>
      </c>
      <c r="G1102">
        <v>0</v>
      </c>
      <c r="H1102">
        <v>0</v>
      </c>
      <c r="I1102" t="s">
        <v>81</v>
      </c>
    </row>
    <row r="1103" spans="1:9" x14ac:dyDescent="0.35">
      <c r="A1103" t="s">
        <v>22</v>
      </c>
      <c r="B1103">
        <v>2030</v>
      </c>
      <c r="C1103" t="s">
        <v>80</v>
      </c>
      <c r="D1103" t="s">
        <v>42</v>
      </c>
      <c r="E1103">
        <v>0.59907513523108002</v>
      </c>
      <c r="F1103">
        <v>0.59907513523108002</v>
      </c>
      <c r="G1103">
        <v>0</v>
      </c>
      <c r="H1103">
        <v>0</v>
      </c>
      <c r="I1103" t="s">
        <v>81</v>
      </c>
    </row>
    <row r="1104" spans="1:9" x14ac:dyDescent="0.35">
      <c r="A1104" t="s">
        <v>22</v>
      </c>
      <c r="B1104">
        <v>2030</v>
      </c>
      <c r="C1104" t="s">
        <v>80</v>
      </c>
      <c r="D1104" t="s">
        <v>43</v>
      </c>
      <c r="E1104">
        <v>1.2429655421106001E-3</v>
      </c>
      <c r="F1104">
        <v>1.2429655421106001E-3</v>
      </c>
      <c r="G1104">
        <v>0</v>
      </c>
      <c r="H1104">
        <v>0</v>
      </c>
      <c r="I1104" t="s">
        <v>81</v>
      </c>
    </row>
    <row r="1105" spans="1:9" x14ac:dyDescent="0.35">
      <c r="A1105" t="s">
        <v>22</v>
      </c>
      <c r="B1105">
        <v>2030</v>
      </c>
      <c r="C1105" t="s">
        <v>80</v>
      </c>
      <c r="D1105" t="s">
        <v>136</v>
      </c>
      <c r="E1105">
        <v>1.7439232945862</v>
      </c>
      <c r="F1105">
        <v>1.7439232945862</v>
      </c>
      <c r="G1105">
        <v>0</v>
      </c>
      <c r="H1105">
        <v>0</v>
      </c>
      <c r="I1105" t="s">
        <v>81</v>
      </c>
    </row>
    <row r="1106" spans="1:9" x14ac:dyDescent="0.35">
      <c r="A1106" t="s">
        <v>22</v>
      </c>
      <c r="B1106">
        <v>2030</v>
      </c>
      <c r="C1106" t="s">
        <v>80</v>
      </c>
      <c r="D1106" t="s">
        <v>45</v>
      </c>
      <c r="E1106">
        <v>1.57506384891259E-3</v>
      </c>
      <c r="F1106">
        <v>1.57506384891259E-3</v>
      </c>
      <c r="G1106">
        <v>0</v>
      </c>
      <c r="H1106">
        <v>0</v>
      </c>
      <c r="I1106" t="s">
        <v>81</v>
      </c>
    </row>
    <row r="1107" spans="1:9" x14ac:dyDescent="0.35">
      <c r="A1107" t="s">
        <v>22</v>
      </c>
      <c r="B1107">
        <v>2030</v>
      </c>
      <c r="C1107" t="s">
        <v>80</v>
      </c>
      <c r="D1107" t="s">
        <v>46</v>
      </c>
      <c r="E1107">
        <v>3.57318143799513E-2</v>
      </c>
      <c r="F1107">
        <v>3.57318143799513E-2</v>
      </c>
      <c r="G1107">
        <v>0</v>
      </c>
      <c r="H1107">
        <v>0</v>
      </c>
      <c r="I1107" t="s">
        <v>81</v>
      </c>
    </row>
    <row r="1108" spans="1:9" x14ac:dyDescent="0.35">
      <c r="A1108" t="s">
        <v>22</v>
      </c>
      <c r="B1108">
        <v>2030</v>
      </c>
      <c r="C1108" t="s">
        <v>80</v>
      </c>
      <c r="D1108" t="s">
        <v>47</v>
      </c>
      <c r="E1108">
        <v>5.2693663731181995E-4</v>
      </c>
      <c r="F1108">
        <v>5.2693663731181995E-4</v>
      </c>
      <c r="G1108">
        <v>0</v>
      </c>
      <c r="H1108">
        <v>0</v>
      </c>
      <c r="I1108" t="s">
        <v>81</v>
      </c>
    </row>
    <row r="1109" spans="1:9" x14ac:dyDescent="0.35">
      <c r="A1109" t="s">
        <v>22</v>
      </c>
      <c r="B1109">
        <v>2030</v>
      </c>
      <c r="C1109" t="s">
        <v>80</v>
      </c>
      <c r="D1109" t="s">
        <v>48</v>
      </c>
      <c r="E1109">
        <v>80.558296951976502</v>
      </c>
      <c r="F1109">
        <v>80.558296951976502</v>
      </c>
      <c r="G1109">
        <v>0</v>
      </c>
      <c r="H1109">
        <v>0</v>
      </c>
      <c r="I1109" t="s">
        <v>81</v>
      </c>
    </row>
    <row r="1110" spans="1:9" x14ac:dyDescent="0.35">
      <c r="A1110" t="s">
        <v>22</v>
      </c>
      <c r="B1110">
        <v>2030</v>
      </c>
      <c r="C1110" t="s">
        <v>80</v>
      </c>
      <c r="D1110" t="s">
        <v>49</v>
      </c>
      <c r="E1110">
        <v>3.9108323979138099E-3</v>
      </c>
      <c r="F1110">
        <v>3.9108323979138099E-3</v>
      </c>
      <c r="G1110">
        <v>0</v>
      </c>
      <c r="H1110">
        <v>0</v>
      </c>
      <c r="I1110" t="s">
        <v>81</v>
      </c>
    </row>
    <row r="1111" spans="1:9" x14ac:dyDescent="0.35">
      <c r="A1111" t="s">
        <v>22</v>
      </c>
      <c r="B1111">
        <v>2030</v>
      </c>
      <c r="C1111" t="s">
        <v>80</v>
      </c>
      <c r="D1111" t="s">
        <v>50</v>
      </c>
      <c r="E1111">
        <v>8.3825276347462702E-3</v>
      </c>
      <c r="F1111">
        <v>8.3825276347462702E-3</v>
      </c>
      <c r="G1111">
        <v>0</v>
      </c>
      <c r="H1111">
        <v>0</v>
      </c>
      <c r="I1111" t="s">
        <v>81</v>
      </c>
    </row>
    <row r="1112" spans="1:9" x14ac:dyDescent="0.35">
      <c r="A1112" t="s">
        <v>22</v>
      </c>
      <c r="B1112">
        <v>2030</v>
      </c>
      <c r="C1112" t="s">
        <v>80</v>
      </c>
      <c r="D1112" t="s">
        <v>51</v>
      </c>
      <c r="E1112">
        <v>5.7546860582601701E-2</v>
      </c>
      <c r="F1112">
        <v>5.7546860582601701E-2</v>
      </c>
      <c r="G1112">
        <v>0</v>
      </c>
      <c r="H1112">
        <v>0</v>
      </c>
      <c r="I1112" t="s">
        <v>81</v>
      </c>
    </row>
    <row r="1113" spans="1:9" x14ac:dyDescent="0.35">
      <c r="A1113" t="s">
        <v>22</v>
      </c>
      <c r="B1113">
        <v>2030</v>
      </c>
      <c r="C1113" t="s">
        <v>80</v>
      </c>
      <c r="D1113" t="s">
        <v>52</v>
      </c>
      <c r="E1113">
        <v>0.36134091152009301</v>
      </c>
      <c r="F1113">
        <v>0.36134091152009301</v>
      </c>
      <c r="G1113">
        <v>0</v>
      </c>
      <c r="H1113">
        <v>0</v>
      </c>
      <c r="I1113" t="s">
        <v>81</v>
      </c>
    </row>
    <row r="1114" spans="1:9" x14ac:dyDescent="0.35">
      <c r="A1114" t="s">
        <v>22</v>
      </c>
      <c r="B1114">
        <v>2030</v>
      </c>
      <c r="C1114" t="s">
        <v>80</v>
      </c>
      <c r="D1114" t="s">
        <v>53</v>
      </c>
      <c r="E1114">
        <v>0.47917004721795697</v>
      </c>
      <c r="F1114">
        <v>0.47917004721795697</v>
      </c>
      <c r="G1114">
        <v>0</v>
      </c>
      <c r="H1114">
        <v>0</v>
      </c>
      <c r="I1114" t="s">
        <v>81</v>
      </c>
    </row>
    <row r="1115" spans="1:9" x14ac:dyDescent="0.35">
      <c r="A1115" t="s">
        <v>22</v>
      </c>
      <c r="B1115">
        <v>2030</v>
      </c>
      <c r="C1115" t="s">
        <v>80</v>
      </c>
      <c r="D1115" t="s">
        <v>54</v>
      </c>
      <c r="E1115">
        <v>4.7518002270174199E-2</v>
      </c>
      <c r="F1115">
        <v>4.7518002270174199E-2</v>
      </c>
      <c r="G1115">
        <v>0</v>
      </c>
      <c r="H1115">
        <v>0</v>
      </c>
      <c r="I1115" t="s">
        <v>81</v>
      </c>
    </row>
    <row r="1116" spans="1:9" x14ac:dyDescent="0.35">
      <c r="A1116" t="s">
        <v>22</v>
      </c>
      <c r="B1116">
        <v>2030</v>
      </c>
      <c r="C1116" t="s">
        <v>80</v>
      </c>
      <c r="D1116" t="s">
        <v>55</v>
      </c>
      <c r="E1116">
        <v>4.4017827052864299E-2</v>
      </c>
      <c r="F1116">
        <v>4.4017827052864299E-2</v>
      </c>
      <c r="G1116">
        <v>0</v>
      </c>
      <c r="H1116">
        <v>0</v>
      </c>
      <c r="I1116" t="s">
        <v>81</v>
      </c>
    </row>
    <row r="1117" spans="1:9" x14ac:dyDescent="0.35">
      <c r="A1117" t="s">
        <v>22</v>
      </c>
      <c r="B1117">
        <v>2030</v>
      </c>
      <c r="C1117" t="s">
        <v>80</v>
      </c>
      <c r="D1117" t="s">
        <v>56</v>
      </c>
      <c r="E1117" s="1">
        <v>1.15179658081415E-7</v>
      </c>
      <c r="F1117" s="1">
        <v>1.15179658081415E-7</v>
      </c>
      <c r="G1117">
        <v>0</v>
      </c>
      <c r="H1117">
        <v>0</v>
      </c>
      <c r="I1117" t="s">
        <v>81</v>
      </c>
    </row>
    <row r="1118" spans="1:9" x14ac:dyDescent="0.35">
      <c r="A1118" t="s">
        <v>24</v>
      </c>
      <c r="B1118">
        <v>2035</v>
      </c>
      <c r="C1118" t="s">
        <v>80</v>
      </c>
      <c r="D1118" t="s">
        <v>38</v>
      </c>
      <c r="E1118">
        <v>8.6665951225490395E-4</v>
      </c>
      <c r="F1118">
        <v>8.6665951225490395E-4</v>
      </c>
      <c r="G1118">
        <v>0</v>
      </c>
      <c r="H1118">
        <v>0</v>
      </c>
      <c r="I1118" t="s">
        <v>81</v>
      </c>
    </row>
    <row r="1119" spans="1:9" x14ac:dyDescent="0.35">
      <c r="A1119" t="s">
        <v>24</v>
      </c>
      <c r="B1119">
        <v>2035</v>
      </c>
      <c r="C1119" t="s">
        <v>80</v>
      </c>
      <c r="D1119" t="s">
        <v>40</v>
      </c>
      <c r="E1119">
        <v>5.0136427415636202E-4</v>
      </c>
      <c r="F1119">
        <v>5.0136427415636202E-4</v>
      </c>
      <c r="G1119">
        <v>0</v>
      </c>
      <c r="H1119">
        <v>0</v>
      </c>
      <c r="I1119" t="s">
        <v>81</v>
      </c>
    </row>
    <row r="1120" spans="1:9" x14ac:dyDescent="0.35">
      <c r="A1120" t="s">
        <v>24</v>
      </c>
      <c r="B1120">
        <v>2035</v>
      </c>
      <c r="C1120" t="s">
        <v>80</v>
      </c>
      <c r="D1120" t="s">
        <v>41</v>
      </c>
      <c r="E1120">
        <v>4.0702191448964203E-3</v>
      </c>
      <c r="F1120">
        <v>4.0702191448964203E-3</v>
      </c>
      <c r="G1120">
        <v>0</v>
      </c>
      <c r="H1120">
        <v>0</v>
      </c>
      <c r="I1120" t="s">
        <v>81</v>
      </c>
    </row>
    <row r="1121" spans="1:9" x14ac:dyDescent="0.35">
      <c r="A1121" t="s">
        <v>24</v>
      </c>
      <c r="B1121">
        <v>2035</v>
      </c>
      <c r="C1121" t="s">
        <v>80</v>
      </c>
      <c r="D1121" t="s">
        <v>42</v>
      </c>
      <c r="E1121">
        <v>0.55366971280752697</v>
      </c>
      <c r="F1121">
        <v>0.55366971280752697</v>
      </c>
      <c r="G1121">
        <v>0</v>
      </c>
      <c r="H1121">
        <v>0</v>
      </c>
      <c r="I1121" t="s">
        <v>81</v>
      </c>
    </row>
    <row r="1122" spans="1:9" x14ac:dyDescent="0.35">
      <c r="A1122" t="s">
        <v>24</v>
      </c>
      <c r="B1122">
        <v>2035</v>
      </c>
      <c r="C1122" t="s">
        <v>80</v>
      </c>
      <c r="D1122" t="s">
        <v>43</v>
      </c>
      <c r="E1122">
        <v>1.24039583420991E-3</v>
      </c>
      <c r="F1122">
        <v>1.24039583420991E-3</v>
      </c>
      <c r="G1122">
        <v>0</v>
      </c>
      <c r="H1122">
        <v>0</v>
      </c>
      <c r="I1122" t="s">
        <v>81</v>
      </c>
    </row>
    <row r="1123" spans="1:9" x14ac:dyDescent="0.35">
      <c r="A1123" t="s">
        <v>24</v>
      </c>
      <c r="B1123">
        <v>2035</v>
      </c>
      <c r="C1123" t="s">
        <v>80</v>
      </c>
      <c r="D1123" t="s">
        <v>136</v>
      </c>
      <c r="E1123">
        <v>1.7738543121402801</v>
      </c>
      <c r="F1123">
        <v>1.7738543121402801</v>
      </c>
      <c r="G1123">
        <v>0</v>
      </c>
      <c r="H1123">
        <v>0</v>
      </c>
      <c r="I1123" t="s">
        <v>81</v>
      </c>
    </row>
    <row r="1124" spans="1:9" x14ac:dyDescent="0.35">
      <c r="A1124" t="s">
        <v>24</v>
      </c>
      <c r="B1124">
        <v>2035</v>
      </c>
      <c r="C1124" t="s">
        <v>80</v>
      </c>
      <c r="D1124" t="s">
        <v>45</v>
      </c>
      <c r="E1124">
        <v>1.4544810990402099E-3</v>
      </c>
      <c r="F1124">
        <v>1.4544810990402099E-3</v>
      </c>
      <c r="G1124">
        <v>0</v>
      </c>
      <c r="H1124">
        <v>0</v>
      </c>
      <c r="I1124" t="s">
        <v>81</v>
      </c>
    </row>
    <row r="1125" spans="1:9" x14ac:dyDescent="0.35">
      <c r="A1125" t="s">
        <v>24</v>
      </c>
      <c r="B1125">
        <v>2035</v>
      </c>
      <c r="C1125" t="s">
        <v>80</v>
      </c>
      <c r="D1125" t="s">
        <v>46</v>
      </c>
      <c r="E1125">
        <v>5.2332330837739499E-2</v>
      </c>
      <c r="F1125">
        <v>5.2332330837739499E-2</v>
      </c>
      <c r="G1125">
        <v>0</v>
      </c>
      <c r="H1125">
        <v>0</v>
      </c>
      <c r="I1125" t="s">
        <v>81</v>
      </c>
    </row>
    <row r="1126" spans="1:9" x14ac:dyDescent="0.35">
      <c r="A1126" t="s">
        <v>24</v>
      </c>
      <c r="B1126">
        <v>2035</v>
      </c>
      <c r="C1126" t="s">
        <v>80</v>
      </c>
      <c r="D1126" t="s">
        <v>47</v>
      </c>
      <c r="E1126">
        <v>4.6543465022137102E-4</v>
      </c>
      <c r="F1126">
        <v>4.6543465022137102E-4</v>
      </c>
      <c r="G1126">
        <v>0</v>
      </c>
      <c r="H1126">
        <v>0</v>
      </c>
      <c r="I1126" t="s">
        <v>81</v>
      </c>
    </row>
    <row r="1127" spans="1:9" x14ac:dyDescent="0.35">
      <c r="A1127" t="s">
        <v>24</v>
      </c>
      <c r="B1127">
        <v>2035</v>
      </c>
      <c r="C1127" t="s">
        <v>80</v>
      </c>
      <c r="D1127" t="s">
        <v>48</v>
      </c>
      <c r="E1127">
        <v>80.559573162547196</v>
      </c>
      <c r="F1127">
        <v>80.559573162547196</v>
      </c>
      <c r="G1127">
        <v>0</v>
      </c>
      <c r="H1127">
        <v>0</v>
      </c>
      <c r="I1127" t="s">
        <v>81</v>
      </c>
    </row>
    <row r="1128" spans="1:9" x14ac:dyDescent="0.35">
      <c r="A1128" t="s">
        <v>24</v>
      </c>
      <c r="B1128">
        <v>2035</v>
      </c>
      <c r="C1128" t="s">
        <v>80</v>
      </c>
      <c r="D1128" t="s">
        <v>49</v>
      </c>
      <c r="E1128">
        <v>3.5904703587844099E-3</v>
      </c>
      <c r="F1128">
        <v>3.5904703587844099E-3</v>
      </c>
      <c r="G1128">
        <v>0</v>
      </c>
      <c r="H1128">
        <v>0</v>
      </c>
      <c r="I1128" t="s">
        <v>81</v>
      </c>
    </row>
    <row r="1129" spans="1:9" x14ac:dyDescent="0.35">
      <c r="A1129" t="s">
        <v>24</v>
      </c>
      <c r="B1129">
        <v>2035</v>
      </c>
      <c r="C1129" t="s">
        <v>80</v>
      </c>
      <c r="D1129" t="s">
        <v>50</v>
      </c>
      <c r="E1129">
        <v>9.0582231937693294E-3</v>
      </c>
      <c r="F1129">
        <v>9.0582231937693294E-3</v>
      </c>
      <c r="G1129">
        <v>0</v>
      </c>
      <c r="H1129">
        <v>0</v>
      </c>
      <c r="I1129" t="s">
        <v>81</v>
      </c>
    </row>
    <row r="1130" spans="1:9" x14ac:dyDescent="0.35">
      <c r="A1130" t="s">
        <v>24</v>
      </c>
      <c r="B1130">
        <v>2035</v>
      </c>
      <c r="C1130" t="s">
        <v>80</v>
      </c>
      <c r="D1130" t="s">
        <v>51</v>
      </c>
      <c r="E1130">
        <v>5.7494852199043101E-2</v>
      </c>
      <c r="F1130">
        <v>5.7494852199043101E-2</v>
      </c>
      <c r="G1130">
        <v>0</v>
      </c>
      <c r="H1130">
        <v>0</v>
      </c>
      <c r="I1130" t="s">
        <v>81</v>
      </c>
    </row>
    <row r="1131" spans="1:9" x14ac:dyDescent="0.35">
      <c r="A1131" t="s">
        <v>24</v>
      </c>
      <c r="B1131">
        <v>2035</v>
      </c>
      <c r="C1131" t="s">
        <v>80</v>
      </c>
      <c r="D1131" t="s">
        <v>52</v>
      </c>
      <c r="E1131">
        <v>0.27866346450933299</v>
      </c>
      <c r="F1131">
        <v>0.27866346450933299</v>
      </c>
      <c r="G1131">
        <v>0</v>
      </c>
      <c r="H1131">
        <v>0</v>
      </c>
      <c r="I1131" t="s">
        <v>81</v>
      </c>
    </row>
    <row r="1132" spans="1:9" x14ac:dyDescent="0.35">
      <c r="A1132" t="s">
        <v>24</v>
      </c>
      <c r="B1132">
        <v>2035</v>
      </c>
      <c r="C1132" t="s">
        <v>80</v>
      </c>
      <c r="D1132" t="s">
        <v>53</v>
      </c>
      <c r="E1132">
        <v>0.50311771754959</v>
      </c>
      <c r="F1132">
        <v>0.50311771754959</v>
      </c>
      <c r="G1132">
        <v>0</v>
      </c>
      <c r="H1132">
        <v>0</v>
      </c>
      <c r="I1132" t="s">
        <v>81</v>
      </c>
    </row>
    <row r="1133" spans="1:9" x14ac:dyDescent="0.35">
      <c r="A1133" t="s">
        <v>24</v>
      </c>
      <c r="B1133">
        <v>2035</v>
      </c>
      <c r="C1133" t="s">
        <v>80</v>
      </c>
      <c r="D1133" t="s">
        <v>54</v>
      </c>
      <c r="E1133">
        <v>4.7290751995373602E-2</v>
      </c>
      <c r="F1133">
        <v>4.7290751995373602E-2</v>
      </c>
      <c r="G1133">
        <v>0</v>
      </c>
      <c r="H1133">
        <v>0</v>
      </c>
      <c r="I1133" t="s">
        <v>81</v>
      </c>
    </row>
    <row r="1134" spans="1:9" x14ac:dyDescent="0.35">
      <c r="A1134" t="s">
        <v>24</v>
      </c>
      <c r="B1134">
        <v>2035</v>
      </c>
      <c r="C1134" t="s">
        <v>80</v>
      </c>
      <c r="D1134" t="s">
        <v>55</v>
      </c>
      <c r="E1134">
        <v>4.3609132417793101E-2</v>
      </c>
      <c r="F1134">
        <v>4.3609132417793101E-2</v>
      </c>
      <c r="G1134">
        <v>0</v>
      </c>
      <c r="H1134">
        <v>0</v>
      </c>
      <c r="I1134" t="s">
        <v>81</v>
      </c>
    </row>
    <row r="1135" spans="1:9" x14ac:dyDescent="0.35">
      <c r="A1135" t="s">
        <v>24</v>
      </c>
      <c r="B1135">
        <v>2035</v>
      </c>
      <c r="C1135" t="s">
        <v>80</v>
      </c>
      <c r="D1135" t="s">
        <v>56</v>
      </c>
      <c r="E1135" s="1">
        <v>1.19029994421971E-7</v>
      </c>
      <c r="F1135" s="1">
        <v>1.19029994421971E-7</v>
      </c>
      <c r="G1135">
        <v>0</v>
      </c>
      <c r="H1135">
        <v>0</v>
      </c>
      <c r="I1135" t="s">
        <v>81</v>
      </c>
    </row>
    <row r="1136" spans="1:9" x14ac:dyDescent="0.35">
      <c r="A1136" t="s">
        <v>26</v>
      </c>
      <c r="B1136">
        <v>2040</v>
      </c>
      <c r="C1136" t="s">
        <v>80</v>
      </c>
      <c r="D1136" t="s">
        <v>38</v>
      </c>
      <c r="E1136">
        <v>7.5867674798178004E-4</v>
      </c>
      <c r="F1136">
        <v>7.5867674798178004E-4</v>
      </c>
      <c r="G1136">
        <v>0</v>
      </c>
      <c r="H1136">
        <v>0</v>
      </c>
      <c r="I1136" t="s">
        <v>81</v>
      </c>
    </row>
    <row r="1137" spans="1:9" x14ac:dyDescent="0.35">
      <c r="A1137" t="s">
        <v>26</v>
      </c>
      <c r="B1137">
        <v>2040</v>
      </c>
      <c r="C1137" t="s">
        <v>80</v>
      </c>
      <c r="D1137" t="s">
        <v>40</v>
      </c>
      <c r="E1137">
        <v>5.2013661133303404E-4</v>
      </c>
      <c r="F1137">
        <v>5.2013661133303404E-4</v>
      </c>
      <c r="G1137">
        <v>0</v>
      </c>
      <c r="H1137">
        <v>0</v>
      </c>
      <c r="I1137" t="s">
        <v>81</v>
      </c>
    </row>
    <row r="1138" spans="1:9" x14ac:dyDescent="0.35">
      <c r="A1138" t="s">
        <v>26</v>
      </c>
      <c r="B1138">
        <v>2040</v>
      </c>
      <c r="C1138" t="s">
        <v>80</v>
      </c>
      <c r="D1138" t="s">
        <v>41</v>
      </c>
      <c r="E1138">
        <v>4.0911811036454197E-3</v>
      </c>
      <c r="F1138">
        <v>4.0911811036454197E-3</v>
      </c>
      <c r="G1138">
        <v>0</v>
      </c>
      <c r="H1138">
        <v>0</v>
      </c>
      <c r="I1138" t="s">
        <v>81</v>
      </c>
    </row>
    <row r="1139" spans="1:9" x14ac:dyDescent="0.35">
      <c r="A1139" t="s">
        <v>26</v>
      </c>
      <c r="B1139">
        <v>2040</v>
      </c>
      <c r="C1139" t="s">
        <v>80</v>
      </c>
      <c r="D1139" t="s">
        <v>42</v>
      </c>
      <c r="E1139">
        <v>0.53020439576753098</v>
      </c>
      <c r="F1139">
        <v>0.53020439576753098</v>
      </c>
      <c r="G1139">
        <v>0</v>
      </c>
      <c r="H1139">
        <v>0</v>
      </c>
      <c r="I1139" t="s">
        <v>81</v>
      </c>
    </row>
    <row r="1140" spans="1:9" x14ac:dyDescent="0.35">
      <c r="A1140" t="s">
        <v>26</v>
      </c>
      <c r="B1140">
        <v>2040</v>
      </c>
      <c r="C1140" t="s">
        <v>80</v>
      </c>
      <c r="D1140" t="s">
        <v>43</v>
      </c>
      <c r="E1140">
        <v>1.18054665675729E-3</v>
      </c>
      <c r="F1140">
        <v>1.18054665675729E-3</v>
      </c>
      <c r="G1140">
        <v>0</v>
      </c>
      <c r="H1140">
        <v>0</v>
      </c>
      <c r="I1140" t="s">
        <v>81</v>
      </c>
    </row>
    <row r="1141" spans="1:9" x14ac:dyDescent="0.35">
      <c r="A1141" t="s">
        <v>26</v>
      </c>
      <c r="B1141">
        <v>2040</v>
      </c>
      <c r="C1141" t="s">
        <v>80</v>
      </c>
      <c r="D1141" t="s">
        <v>136</v>
      </c>
      <c r="E1141">
        <v>1.8206100195302499</v>
      </c>
      <c r="F1141">
        <v>1.5809666205336299</v>
      </c>
      <c r="G1141">
        <v>-0.23964339899661999</v>
      </c>
      <c r="H1141">
        <v>-13.1628078735088</v>
      </c>
      <c r="I1141" t="s">
        <v>81</v>
      </c>
    </row>
    <row r="1142" spans="1:9" x14ac:dyDescent="0.35">
      <c r="A1142" t="s">
        <v>26</v>
      </c>
      <c r="B1142">
        <v>2040</v>
      </c>
      <c r="C1142" t="s">
        <v>80</v>
      </c>
      <c r="D1142" t="s">
        <v>45</v>
      </c>
      <c r="E1142">
        <v>1.3758665550432699E-3</v>
      </c>
      <c r="F1142">
        <v>1.3758665550432699E-3</v>
      </c>
      <c r="G1142">
        <v>0</v>
      </c>
      <c r="H1142">
        <v>0</v>
      </c>
      <c r="I1142" t="s">
        <v>81</v>
      </c>
    </row>
    <row r="1143" spans="1:9" x14ac:dyDescent="0.35">
      <c r="A1143" t="s">
        <v>26</v>
      </c>
      <c r="B1143">
        <v>2040</v>
      </c>
      <c r="C1143" t="s">
        <v>80</v>
      </c>
      <c r="D1143" t="s">
        <v>46</v>
      </c>
      <c r="E1143">
        <v>5.4373609497448003E-2</v>
      </c>
      <c r="F1143">
        <v>5.4373609497448003E-2</v>
      </c>
      <c r="G1143">
        <v>0</v>
      </c>
      <c r="H1143">
        <v>0</v>
      </c>
      <c r="I1143" t="s">
        <v>81</v>
      </c>
    </row>
    <row r="1144" spans="1:9" x14ac:dyDescent="0.35">
      <c r="A1144" t="s">
        <v>26</v>
      </c>
      <c r="B1144">
        <v>2040</v>
      </c>
      <c r="C1144" t="s">
        <v>80</v>
      </c>
      <c r="D1144" t="s">
        <v>47</v>
      </c>
      <c r="E1144">
        <v>4.3838020174440502E-4</v>
      </c>
      <c r="F1144">
        <v>4.3838020174440502E-4</v>
      </c>
      <c r="G1144">
        <v>0</v>
      </c>
      <c r="H1144">
        <v>0</v>
      </c>
      <c r="I1144" t="s">
        <v>81</v>
      </c>
    </row>
    <row r="1145" spans="1:9" x14ac:dyDescent="0.35">
      <c r="A1145" t="s">
        <v>26</v>
      </c>
      <c r="B1145">
        <v>2040</v>
      </c>
      <c r="C1145" t="s">
        <v>80</v>
      </c>
      <c r="D1145" t="s">
        <v>48</v>
      </c>
      <c r="E1145">
        <v>80.561117926953898</v>
      </c>
      <c r="F1145">
        <v>80.561117926953898</v>
      </c>
      <c r="G1145">
        <v>0</v>
      </c>
      <c r="H1145">
        <v>0</v>
      </c>
      <c r="I1145" t="s">
        <v>81</v>
      </c>
    </row>
    <row r="1146" spans="1:9" x14ac:dyDescent="0.35">
      <c r="A1146" t="s">
        <v>26</v>
      </c>
      <c r="B1146">
        <v>2040</v>
      </c>
      <c r="C1146" t="s">
        <v>80</v>
      </c>
      <c r="D1146" t="s">
        <v>49</v>
      </c>
      <c r="E1146">
        <v>3.3379469951473699E-3</v>
      </c>
      <c r="F1146">
        <v>3.3379469951473699E-3</v>
      </c>
      <c r="G1146">
        <v>0</v>
      </c>
      <c r="H1146">
        <v>0</v>
      </c>
      <c r="I1146" t="s">
        <v>81</v>
      </c>
    </row>
    <row r="1147" spans="1:9" x14ac:dyDescent="0.35">
      <c r="A1147" t="s">
        <v>26</v>
      </c>
      <c r="B1147">
        <v>2040</v>
      </c>
      <c r="C1147" t="s">
        <v>80</v>
      </c>
      <c r="D1147" t="s">
        <v>50</v>
      </c>
      <c r="E1147">
        <v>8.4699169941488198E-3</v>
      </c>
      <c r="F1147">
        <v>8.4699169941488198E-3</v>
      </c>
      <c r="G1147">
        <v>0</v>
      </c>
      <c r="H1147">
        <v>0</v>
      </c>
      <c r="I1147" t="s">
        <v>81</v>
      </c>
    </row>
    <row r="1148" spans="1:9" x14ac:dyDescent="0.35">
      <c r="A1148" t="s">
        <v>26</v>
      </c>
      <c r="B1148">
        <v>2040</v>
      </c>
      <c r="C1148" t="s">
        <v>80</v>
      </c>
      <c r="D1148" t="s">
        <v>51</v>
      </c>
      <c r="E1148">
        <v>5.7568616937681498E-2</v>
      </c>
      <c r="F1148">
        <v>5.7568616937681498E-2</v>
      </c>
      <c r="G1148">
        <v>0</v>
      </c>
      <c r="H1148">
        <v>0</v>
      </c>
      <c r="I1148" t="s">
        <v>81</v>
      </c>
    </row>
    <row r="1149" spans="1:9" x14ac:dyDescent="0.35">
      <c r="A1149" t="s">
        <v>26</v>
      </c>
      <c r="B1149">
        <v>2040</v>
      </c>
      <c r="C1149" t="s">
        <v>80</v>
      </c>
      <c r="D1149" t="s">
        <v>52</v>
      </c>
      <c r="E1149">
        <v>0.21231084076628501</v>
      </c>
      <c r="F1149">
        <v>0.21231084076628501</v>
      </c>
      <c r="G1149">
        <v>0</v>
      </c>
      <c r="H1149">
        <v>0</v>
      </c>
      <c r="I1149" t="s">
        <v>81</v>
      </c>
    </row>
    <row r="1150" spans="1:9" x14ac:dyDescent="0.35">
      <c r="A1150" t="s">
        <v>26</v>
      </c>
      <c r="B1150">
        <v>2040</v>
      </c>
      <c r="C1150" t="s">
        <v>80</v>
      </c>
      <c r="D1150" t="s">
        <v>53</v>
      </c>
      <c r="E1150">
        <v>0.52875280208792996</v>
      </c>
      <c r="F1150">
        <v>0.52875280208792996</v>
      </c>
      <c r="G1150">
        <v>0</v>
      </c>
      <c r="H1150">
        <v>0</v>
      </c>
      <c r="I1150" t="s">
        <v>81</v>
      </c>
    </row>
    <row r="1151" spans="1:9" x14ac:dyDescent="0.35">
      <c r="A1151" t="s">
        <v>26</v>
      </c>
      <c r="B1151">
        <v>2040</v>
      </c>
      <c r="C1151" t="s">
        <v>80</v>
      </c>
      <c r="D1151" t="s">
        <v>54</v>
      </c>
      <c r="E1151">
        <v>4.7376400492088799E-2</v>
      </c>
      <c r="F1151">
        <v>4.7376400492088799E-2</v>
      </c>
      <c r="G1151">
        <v>0</v>
      </c>
      <c r="H1151">
        <v>0</v>
      </c>
      <c r="I1151" t="s">
        <v>81</v>
      </c>
    </row>
    <row r="1152" spans="1:9" x14ac:dyDescent="0.35">
      <c r="A1152" t="s">
        <v>26</v>
      </c>
      <c r="B1152">
        <v>2040</v>
      </c>
      <c r="C1152" t="s">
        <v>80</v>
      </c>
      <c r="D1152" t="s">
        <v>55</v>
      </c>
      <c r="E1152">
        <v>4.3598394549128602E-2</v>
      </c>
      <c r="F1152">
        <v>4.3598394549128602E-2</v>
      </c>
      <c r="G1152">
        <v>0</v>
      </c>
      <c r="H1152">
        <v>0</v>
      </c>
      <c r="I1152" t="s">
        <v>81</v>
      </c>
    </row>
    <row r="1153" spans="1:9" x14ac:dyDescent="0.35">
      <c r="A1153" t="s">
        <v>26</v>
      </c>
      <c r="B1153">
        <v>2040</v>
      </c>
      <c r="C1153" t="s">
        <v>80</v>
      </c>
      <c r="D1153" t="s">
        <v>56</v>
      </c>
      <c r="E1153" s="1">
        <v>1.2410664238886E-7</v>
      </c>
      <c r="F1153" s="1">
        <v>1.2410664238886E-7</v>
      </c>
      <c r="G1153">
        <v>0</v>
      </c>
      <c r="H1153">
        <v>0</v>
      </c>
      <c r="I1153" t="s">
        <v>81</v>
      </c>
    </row>
    <row r="1154" spans="1:9" x14ac:dyDescent="0.35">
      <c r="A1154" t="s">
        <v>20</v>
      </c>
      <c r="B1154">
        <v>2025</v>
      </c>
      <c r="C1154" t="s">
        <v>57</v>
      </c>
      <c r="D1154" t="s">
        <v>38</v>
      </c>
      <c r="E1154">
        <v>3.47275864172268E-4</v>
      </c>
      <c r="F1154">
        <v>3.47275864172268E-4</v>
      </c>
      <c r="G1154">
        <v>0</v>
      </c>
      <c r="H1154">
        <v>0</v>
      </c>
      <c r="I1154" t="s">
        <v>58</v>
      </c>
    </row>
    <row r="1155" spans="1:9" x14ac:dyDescent="0.35">
      <c r="A1155" t="s">
        <v>20</v>
      </c>
      <c r="B1155">
        <v>2025</v>
      </c>
      <c r="C1155" t="s">
        <v>57</v>
      </c>
      <c r="D1155" t="s">
        <v>40</v>
      </c>
      <c r="E1155">
        <v>6.0685350925321498E-4</v>
      </c>
      <c r="F1155">
        <v>6.0685350925321498E-4</v>
      </c>
      <c r="G1155">
        <v>0</v>
      </c>
      <c r="H1155">
        <v>0</v>
      </c>
      <c r="I1155" t="s">
        <v>58</v>
      </c>
    </row>
    <row r="1156" spans="1:9" x14ac:dyDescent="0.35">
      <c r="A1156" t="s">
        <v>20</v>
      </c>
      <c r="B1156">
        <v>2025</v>
      </c>
      <c r="C1156" t="s">
        <v>57</v>
      </c>
      <c r="D1156" t="s">
        <v>41</v>
      </c>
      <c r="E1156">
        <v>3.3813994932241501E-3</v>
      </c>
      <c r="F1156">
        <v>3.3813994932241501E-3</v>
      </c>
      <c r="G1156">
        <v>0</v>
      </c>
      <c r="H1156">
        <v>0</v>
      </c>
      <c r="I1156" t="s">
        <v>58</v>
      </c>
    </row>
    <row r="1157" spans="1:9" x14ac:dyDescent="0.35">
      <c r="A1157" t="s">
        <v>20</v>
      </c>
      <c r="B1157">
        <v>2025</v>
      </c>
      <c r="C1157" t="s">
        <v>57</v>
      </c>
      <c r="D1157" t="s">
        <v>42</v>
      </c>
      <c r="E1157">
        <v>2.4840303846015299</v>
      </c>
      <c r="F1157">
        <v>2.4840303846015299</v>
      </c>
      <c r="G1157">
        <v>0</v>
      </c>
      <c r="H1157">
        <v>0</v>
      </c>
      <c r="I1157" t="s">
        <v>58</v>
      </c>
    </row>
    <row r="1158" spans="1:9" x14ac:dyDescent="0.35">
      <c r="A1158" t="s">
        <v>20</v>
      </c>
      <c r="B1158">
        <v>2025</v>
      </c>
      <c r="C1158" t="s">
        <v>57</v>
      </c>
      <c r="D1158" t="s">
        <v>43</v>
      </c>
      <c r="E1158">
        <v>1.24892407303865E-3</v>
      </c>
      <c r="F1158">
        <v>1.24892407303865E-3</v>
      </c>
      <c r="G1158">
        <v>0</v>
      </c>
      <c r="H1158">
        <v>0</v>
      </c>
      <c r="I1158" t="s">
        <v>58</v>
      </c>
    </row>
    <row r="1159" spans="1:9" x14ac:dyDescent="0.35">
      <c r="A1159" t="s">
        <v>20</v>
      </c>
      <c r="B1159">
        <v>2025</v>
      </c>
      <c r="C1159" t="s">
        <v>57</v>
      </c>
      <c r="D1159" t="s">
        <v>136</v>
      </c>
      <c r="E1159">
        <v>0.485960391141807</v>
      </c>
      <c r="F1159">
        <v>0.485960391141807</v>
      </c>
      <c r="G1159">
        <v>0</v>
      </c>
      <c r="H1159">
        <v>0</v>
      </c>
      <c r="I1159" t="s">
        <v>58</v>
      </c>
    </row>
    <row r="1160" spans="1:9" x14ac:dyDescent="0.35">
      <c r="A1160" t="s">
        <v>20</v>
      </c>
      <c r="B1160">
        <v>2025</v>
      </c>
      <c r="C1160" t="s">
        <v>57</v>
      </c>
      <c r="D1160" t="s">
        <v>45</v>
      </c>
      <c r="E1160">
        <v>1.25015455175064E-3</v>
      </c>
      <c r="F1160">
        <v>1.25015455175064E-3</v>
      </c>
      <c r="G1160">
        <v>0</v>
      </c>
      <c r="H1160">
        <v>0</v>
      </c>
      <c r="I1160" t="s">
        <v>58</v>
      </c>
    </row>
    <row r="1161" spans="1:9" x14ac:dyDescent="0.35">
      <c r="A1161" t="s">
        <v>20</v>
      </c>
      <c r="B1161">
        <v>2025</v>
      </c>
      <c r="C1161" t="s">
        <v>57</v>
      </c>
      <c r="D1161" t="s">
        <v>46</v>
      </c>
      <c r="E1161">
        <v>1.29354295053755E-2</v>
      </c>
      <c r="F1161">
        <v>1.29354295053755E-2</v>
      </c>
      <c r="G1161">
        <v>0</v>
      </c>
      <c r="H1161">
        <v>0</v>
      </c>
      <c r="I1161" t="s">
        <v>58</v>
      </c>
    </row>
    <row r="1162" spans="1:9" x14ac:dyDescent="0.35">
      <c r="A1162" t="s">
        <v>20</v>
      </c>
      <c r="B1162">
        <v>2025</v>
      </c>
      <c r="C1162" t="s">
        <v>57</v>
      </c>
      <c r="D1162" t="s">
        <v>47</v>
      </c>
      <c r="E1162">
        <v>1.6752236058723399E-3</v>
      </c>
      <c r="F1162">
        <v>1.6752236058723399E-3</v>
      </c>
      <c r="G1162">
        <v>0</v>
      </c>
      <c r="H1162">
        <v>0</v>
      </c>
      <c r="I1162" t="s">
        <v>58</v>
      </c>
    </row>
    <row r="1163" spans="1:9" x14ac:dyDescent="0.35">
      <c r="A1163" t="s">
        <v>20</v>
      </c>
      <c r="B1163">
        <v>2025</v>
      </c>
      <c r="C1163" t="s">
        <v>57</v>
      </c>
      <c r="D1163" t="s">
        <v>48</v>
      </c>
      <c r="E1163">
        <v>5.0230935558964003</v>
      </c>
      <c r="F1163">
        <v>5.0230935558964003</v>
      </c>
      <c r="G1163">
        <v>0</v>
      </c>
      <c r="H1163">
        <v>0</v>
      </c>
      <c r="I1163" t="s">
        <v>58</v>
      </c>
    </row>
    <row r="1164" spans="1:9" x14ac:dyDescent="0.35">
      <c r="A1164" t="s">
        <v>20</v>
      </c>
      <c r="B1164">
        <v>2025</v>
      </c>
      <c r="C1164" t="s">
        <v>57</v>
      </c>
      <c r="D1164" t="s">
        <v>49</v>
      </c>
      <c r="E1164">
        <v>2.7822598641952501E-3</v>
      </c>
      <c r="F1164">
        <v>2.7822598641952501E-3</v>
      </c>
      <c r="G1164">
        <v>0</v>
      </c>
      <c r="H1164">
        <v>0</v>
      </c>
      <c r="I1164" t="s">
        <v>58</v>
      </c>
    </row>
    <row r="1165" spans="1:9" x14ac:dyDescent="0.35">
      <c r="A1165" t="s">
        <v>20</v>
      </c>
      <c r="B1165">
        <v>2025</v>
      </c>
      <c r="C1165" t="s">
        <v>57</v>
      </c>
      <c r="D1165" t="s">
        <v>50</v>
      </c>
      <c r="E1165">
        <v>1.4937125277109701E-2</v>
      </c>
      <c r="F1165">
        <v>1.4937125277109701E-2</v>
      </c>
      <c r="G1165">
        <v>0</v>
      </c>
      <c r="H1165">
        <v>0</v>
      </c>
      <c r="I1165" t="s">
        <v>58</v>
      </c>
    </row>
    <row r="1166" spans="1:9" x14ac:dyDescent="0.35">
      <c r="A1166" t="s">
        <v>20</v>
      </c>
      <c r="B1166">
        <v>2025</v>
      </c>
      <c r="C1166" t="s">
        <v>57</v>
      </c>
      <c r="D1166" t="s">
        <v>51</v>
      </c>
      <c r="E1166">
        <v>6.4303908299614507E-2</v>
      </c>
      <c r="F1166">
        <v>6.4303908299614507E-2</v>
      </c>
      <c r="G1166">
        <v>0</v>
      </c>
      <c r="H1166">
        <v>0</v>
      </c>
      <c r="I1166" t="s">
        <v>58</v>
      </c>
    </row>
    <row r="1167" spans="1:9" x14ac:dyDescent="0.35">
      <c r="A1167" t="s">
        <v>20</v>
      </c>
      <c r="B1167">
        <v>2025</v>
      </c>
      <c r="C1167" t="s">
        <v>57</v>
      </c>
      <c r="D1167" t="s">
        <v>52</v>
      </c>
      <c r="E1167">
        <v>2.5939127110804799E-2</v>
      </c>
      <c r="F1167">
        <v>2.5939127110804799E-2</v>
      </c>
      <c r="G1167">
        <v>0</v>
      </c>
      <c r="H1167">
        <v>0</v>
      </c>
      <c r="I1167" t="s">
        <v>58</v>
      </c>
    </row>
    <row r="1168" spans="1:9" x14ac:dyDescent="0.35">
      <c r="A1168" t="s">
        <v>20</v>
      </c>
      <c r="B1168">
        <v>2025</v>
      </c>
      <c r="C1168" t="s">
        <v>57</v>
      </c>
      <c r="D1168" t="s">
        <v>53</v>
      </c>
      <c r="E1168">
        <v>0.125595419928479</v>
      </c>
      <c r="F1168">
        <v>0.125595419928479</v>
      </c>
      <c r="G1168">
        <v>0</v>
      </c>
      <c r="H1168">
        <v>0</v>
      </c>
      <c r="I1168" t="s">
        <v>58</v>
      </c>
    </row>
    <row r="1169" spans="1:9" x14ac:dyDescent="0.35">
      <c r="A1169" t="s">
        <v>20</v>
      </c>
      <c r="B1169">
        <v>2025</v>
      </c>
      <c r="C1169" t="s">
        <v>57</v>
      </c>
      <c r="D1169" t="s">
        <v>54</v>
      </c>
      <c r="E1169">
        <v>1.10534035183591</v>
      </c>
      <c r="F1169">
        <v>1.10534035183591</v>
      </c>
      <c r="G1169">
        <v>0</v>
      </c>
      <c r="H1169">
        <v>0</v>
      </c>
      <c r="I1169" t="s">
        <v>58</v>
      </c>
    </row>
    <row r="1170" spans="1:9" x14ac:dyDescent="0.35">
      <c r="A1170" t="s">
        <v>20</v>
      </c>
      <c r="B1170">
        <v>2025</v>
      </c>
      <c r="C1170" t="s">
        <v>57</v>
      </c>
      <c r="D1170" t="s">
        <v>55</v>
      </c>
      <c r="E1170">
        <v>1.0094231058751399</v>
      </c>
      <c r="F1170">
        <v>1.0094231058751399</v>
      </c>
      <c r="G1170">
        <v>0</v>
      </c>
      <c r="H1170">
        <v>0</v>
      </c>
      <c r="I1170" t="s">
        <v>58</v>
      </c>
    </row>
    <row r="1171" spans="1:9" x14ac:dyDescent="0.35">
      <c r="A1171" t="s">
        <v>20</v>
      </c>
      <c r="B1171">
        <v>2025</v>
      </c>
      <c r="C1171" t="s">
        <v>57</v>
      </c>
      <c r="D1171" t="s">
        <v>56</v>
      </c>
      <c r="E1171" s="1">
        <v>5.7378129381074297E-8</v>
      </c>
      <c r="F1171" s="1">
        <v>5.7378129381074297E-8</v>
      </c>
      <c r="G1171">
        <v>0</v>
      </c>
      <c r="H1171">
        <v>0</v>
      </c>
      <c r="I1171" t="s">
        <v>58</v>
      </c>
    </row>
    <row r="1172" spans="1:9" x14ac:dyDescent="0.35">
      <c r="A1172" t="s">
        <v>22</v>
      </c>
      <c r="B1172">
        <v>2030</v>
      </c>
      <c r="C1172" t="s">
        <v>57</v>
      </c>
      <c r="D1172" t="s">
        <v>38</v>
      </c>
      <c r="E1172">
        <v>4.5919101464999402E-4</v>
      </c>
      <c r="F1172">
        <v>4.5919101464999402E-4</v>
      </c>
      <c r="G1172">
        <v>0</v>
      </c>
      <c r="H1172">
        <v>0</v>
      </c>
      <c r="I1172" t="s">
        <v>58</v>
      </c>
    </row>
    <row r="1173" spans="1:9" x14ac:dyDescent="0.35">
      <c r="A1173" t="s">
        <v>22</v>
      </c>
      <c r="B1173">
        <v>2030</v>
      </c>
      <c r="C1173" t="s">
        <v>57</v>
      </c>
      <c r="D1173" t="s">
        <v>40</v>
      </c>
      <c r="E1173">
        <v>6.0427286367222303E-4</v>
      </c>
      <c r="F1173">
        <v>6.0427286367222303E-4</v>
      </c>
      <c r="G1173">
        <v>0</v>
      </c>
      <c r="H1173">
        <v>0</v>
      </c>
      <c r="I1173" t="s">
        <v>58</v>
      </c>
    </row>
    <row r="1174" spans="1:9" x14ac:dyDescent="0.35">
      <c r="A1174" t="s">
        <v>22</v>
      </c>
      <c r="B1174">
        <v>2030</v>
      </c>
      <c r="C1174" t="s">
        <v>57</v>
      </c>
      <c r="D1174" t="s">
        <v>41</v>
      </c>
      <c r="E1174">
        <v>3.70313659595391E-3</v>
      </c>
      <c r="F1174">
        <v>3.70313659595391E-3</v>
      </c>
      <c r="G1174">
        <v>0</v>
      </c>
      <c r="H1174">
        <v>0</v>
      </c>
      <c r="I1174" t="s">
        <v>58</v>
      </c>
    </row>
    <row r="1175" spans="1:9" x14ac:dyDescent="0.35">
      <c r="A1175" t="s">
        <v>22</v>
      </c>
      <c r="B1175">
        <v>2030</v>
      </c>
      <c r="C1175" t="s">
        <v>57</v>
      </c>
      <c r="D1175" t="s">
        <v>42</v>
      </c>
      <c r="E1175">
        <v>2.4806392196850702</v>
      </c>
      <c r="F1175">
        <v>2.4806392196850702</v>
      </c>
      <c r="G1175">
        <v>0</v>
      </c>
      <c r="H1175">
        <v>0</v>
      </c>
      <c r="I1175" t="s">
        <v>58</v>
      </c>
    </row>
    <row r="1176" spans="1:9" x14ac:dyDescent="0.35">
      <c r="A1176" t="s">
        <v>22</v>
      </c>
      <c r="B1176">
        <v>2030</v>
      </c>
      <c r="C1176" t="s">
        <v>57</v>
      </c>
      <c r="D1176" t="s">
        <v>43</v>
      </c>
      <c r="E1176">
        <v>1.3938811606762399E-3</v>
      </c>
      <c r="F1176">
        <v>1.3938811606762399E-3</v>
      </c>
      <c r="G1176">
        <v>0</v>
      </c>
      <c r="H1176">
        <v>0</v>
      </c>
      <c r="I1176" t="s">
        <v>58</v>
      </c>
    </row>
    <row r="1177" spans="1:9" x14ac:dyDescent="0.35">
      <c r="A1177" t="s">
        <v>22</v>
      </c>
      <c r="B1177">
        <v>2030</v>
      </c>
      <c r="C1177" t="s">
        <v>57</v>
      </c>
      <c r="D1177" t="s">
        <v>136</v>
      </c>
      <c r="E1177">
        <v>0.47623851215708901</v>
      </c>
      <c r="F1177">
        <v>0.47623851215708901</v>
      </c>
      <c r="G1177">
        <v>0</v>
      </c>
      <c r="H1177">
        <v>0</v>
      </c>
      <c r="I1177" t="s">
        <v>58</v>
      </c>
    </row>
    <row r="1178" spans="1:9" x14ac:dyDescent="0.35">
      <c r="A1178" t="s">
        <v>22</v>
      </c>
      <c r="B1178">
        <v>2030</v>
      </c>
      <c r="C1178" t="s">
        <v>57</v>
      </c>
      <c r="D1178" t="s">
        <v>45</v>
      </c>
      <c r="E1178">
        <v>1.31777712472588E-3</v>
      </c>
      <c r="F1178">
        <v>1.31777712472588E-3</v>
      </c>
      <c r="G1178">
        <v>0</v>
      </c>
      <c r="H1178">
        <v>0</v>
      </c>
      <c r="I1178" t="s">
        <v>58</v>
      </c>
    </row>
    <row r="1179" spans="1:9" x14ac:dyDescent="0.35">
      <c r="A1179" t="s">
        <v>22</v>
      </c>
      <c r="B1179">
        <v>2030</v>
      </c>
      <c r="C1179" t="s">
        <v>57</v>
      </c>
      <c r="D1179" t="s">
        <v>46</v>
      </c>
      <c r="E1179">
        <v>1.9368558238526699E-2</v>
      </c>
      <c r="F1179">
        <v>1.9368558238526699E-2</v>
      </c>
      <c r="G1179">
        <v>0</v>
      </c>
      <c r="H1179">
        <v>0</v>
      </c>
      <c r="I1179" t="s">
        <v>58</v>
      </c>
    </row>
    <row r="1180" spans="1:9" x14ac:dyDescent="0.35">
      <c r="A1180" t="s">
        <v>22</v>
      </c>
      <c r="B1180">
        <v>2030</v>
      </c>
      <c r="C1180" t="s">
        <v>57</v>
      </c>
      <c r="D1180" t="s">
        <v>47</v>
      </c>
      <c r="E1180">
        <v>1.67214390338024E-3</v>
      </c>
      <c r="F1180">
        <v>1.67214390338024E-3</v>
      </c>
      <c r="G1180">
        <v>0</v>
      </c>
      <c r="H1180">
        <v>0</v>
      </c>
      <c r="I1180" t="s">
        <v>58</v>
      </c>
    </row>
    <row r="1181" spans="1:9" x14ac:dyDescent="0.35">
      <c r="A1181" t="s">
        <v>22</v>
      </c>
      <c r="B1181">
        <v>2030</v>
      </c>
      <c r="C1181" t="s">
        <v>57</v>
      </c>
      <c r="D1181" t="s">
        <v>48</v>
      </c>
      <c r="E1181">
        <v>5.0230865275542902</v>
      </c>
      <c r="F1181">
        <v>5.0230865275542902</v>
      </c>
      <c r="G1181">
        <v>0</v>
      </c>
      <c r="H1181">
        <v>0</v>
      </c>
      <c r="I1181" t="s">
        <v>58</v>
      </c>
    </row>
    <row r="1182" spans="1:9" x14ac:dyDescent="0.35">
      <c r="A1182" t="s">
        <v>22</v>
      </c>
      <c r="B1182">
        <v>2030</v>
      </c>
      <c r="C1182" t="s">
        <v>57</v>
      </c>
      <c r="D1182" t="s">
        <v>49</v>
      </c>
      <c r="E1182">
        <v>2.9668463473378499E-3</v>
      </c>
      <c r="F1182">
        <v>2.9668463473378499E-3</v>
      </c>
      <c r="G1182">
        <v>0</v>
      </c>
      <c r="H1182">
        <v>0</v>
      </c>
      <c r="I1182" t="s">
        <v>58</v>
      </c>
    </row>
    <row r="1183" spans="1:9" x14ac:dyDescent="0.35">
      <c r="A1183" t="s">
        <v>22</v>
      </c>
      <c r="B1183">
        <v>2030</v>
      </c>
      <c r="C1183" t="s">
        <v>57</v>
      </c>
      <c r="D1183" t="s">
        <v>50</v>
      </c>
      <c r="E1183">
        <v>1.53411663513629E-2</v>
      </c>
      <c r="F1183">
        <v>1.53411663513629E-2</v>
      </c>
      <c r="G1183">
        <v>0</v>
      </c>
      <c r="H1183">
        <v>0</v>
      </c>
      <c r="I1183" t="s">
        <v>58</v>
      </c>
    </row>
    <row r="1184" spans="1:9" x14ac:dyDescent="0.35">
      <c r="A1184" t="s">
        <v>22</v>
      </c>
      <c r="B1184">
        <v>2030</v>
      </c>
      <c r="C1184" t="s">
        <v>57</v>
      </c>
      <c r="D1184" t="s">
        <v>51</v>
      </c>
      <c r="E1184">
        <v>6.4248294477113901E-2</v>
      </c>
      <c r="F1184">
        <v>6.4248294477113901E-2</v>
      </c>
      <c r="G1184">
        <v>0</v>
      </c>
      <c r="H1184">
        <v>0</v>
      </c>
      <c r="I1184" t="s">
        <v>58</v>
      </c>
    </row>
    <row r="1185" spans="1:9" x14ac:dyDescent="0.35">
      <c r="A1185" t="s">
        <v>22</v>
      </c>
      <c r="B1185">
        <v>2030</v>
      </c>
      <c r="C1185" t="s">
        <v>57</v>
      </c>
      <c r="D1185" t="s">
        <v>52</v>
      </c>
      <c r="E1185">
        <v>2.37462341995868E-2</v>
      </c>
      <c r="F1185">
        <v>2.37462341995868E-2</v>
      </c>
      <c r="G1185">
        <v>0</v>
      </c>
      <c r="H1185">
        <v>0</v>
      </c>
      <c r="I1185" t="s">
        <v>58</v>
      </c>
    </row>
    <row r="1186" spans="1:9" x14ac:dyDescent="0.35">
      <c r="A1186" t="s">
        <v>22</v>
      </c>
      <c r="B1186">
        <v>2030</v>
      </c>
      <c r="C1186" t="s">
        <v>57</v>
      </c>
      <c r="D1186" t="s">
        <v>53</v>
      </c>
      <c r="E1186">
        <v>0.12297013763282499</v>
      </c>
      <c r="F1186">
        <v>0.12297013763282499</v>
      </c>
      <c r="G1186">
        <v>0</v>
      </c>
      <c r="H1186">
        <v>0</v>
      </c>
      <c r="I1186" t="s">
        <v>58</v>
      </c>
    </row>
    <row r="1187" spans="1:9" x14ac:dyDescent="0.35">
      <c r="A1187" t="s">
        <v>22</v>
      </c>
      <c r="B1187">
        <v>2030</v>
      </c>
      <c r="C1187" t="s">
        <v>57</v>
      </c>
      <c r="D1187" t="s">
        <v>54</v>
      </c>
      <c r="E1187">
        <v>1.1054519102200799</v>
      </c>
      <c r="F1187">
        <v>1.1054519102200799</v>
      </c>
      <c r="G1187">
        <v>0</v>
      </c>
      <c r="H1187">
        <v>0</v>
      </c>
      <c r="I1187" t="s">
        <v>58</v>
      </c>
    </row>
    <row r="1188" spans="1:9" x14ac:dyDescent="0.35">
      <c r="A1188" t="s">
        <v>22</v>
      </c>
      <c r="B1188">
        <v>2030</v>
      </c>
      <c r="C1188" t="s">
        <v>57</v>
      </c>
      <c r="D1188" t="s">
        <v>55</v>
      </c>
      <c r="E1188">
        <v>1.0094719382435</v>
      </c>
      <c r="F1188">
        <v>1.0094719382435</v>
      </c>
      <c r="G1188">
        <v>0</v>
      </c>
      <c r="H1188">
        <v>0</v>
      </c>
      <c r="I1188" t="s">
        <v>58</v>
      </c>
    </row>
    <row r="1189" spans="1:9" x14ac:dyDescent="0.35">
      <c r="A1189" t="s">
        <v>22</v>
      </c>
      <c r="B1189">
        <v>2030</v>
      </c>
      <c r="C1189" t="s">
        <v>57</v>
      </c>
      <c r="D1189" t="s">
        <v>56</v>
      </c>
      <c r="E1189" s="1">
        <v>5.5306793332333897E-8</v>
      </c>
      <c r="F1189" s="1">
        <v>5.5306793332333897E-8</v>
      </c>
      <c r="G1189">
        <v>0</v>
      </c>
      <c r="H1189">
        <v>0</v>
      </c>
      <c r="I1189" t="s">
        <v>58</v>
      </c>
    </row>
    <row r="1190" spans="1:9" x14ac:dyDescent="0.35">
      <c r="A1190" t="s">
        <v>24</v>
      </c>
      <c r="B1190">
        <v>2035</v>
      </c>
      <c r="C1190" t="s">
        <v>57</v>
      </c>
      <c r="D1190" t="s">
        <v>38</v>
      </c>
      <c r="E1190">
        <v>5.5114369618035298E-4</v>
      </c>
      <c r="F1190">
        <v>5.5114369618035298E-4</v>
      </c>
      <c r="G1190">
        <v>0</v>
      </c>
      <c r="H1190">
        <v>0</v>
      </c>
      <c r="I1190" t="s">
        <v>58</v>
      </c>
    </row>
    <row r="1191" spans="1:9" x14ac:dyDescent="0.35">
      <c r="A1191" t="s">
        <v>24</v>
      </c>
      <c r="B1191">
        <v>2035</v>
      </c>
      <c r="C1191" t="s">
        <v>57</v>
      </c>
      <c r="D1191" t="s">
        <v>40</v>
      </c>
      <c r="E1191">
        <v>6.0463861981859403E-4</v>
      </c>
      <c r="F1191">
        <v>6.0463861981859403E-4</v>
      </c>
      <c r="G1191">
        <v>0</v>
      </c>
      <c r="H1191">
        <v>0</v>
      </c>
      <c r="I1191" t="s">
        <v>58</v>
      </c>
    </row>
    <row r="1192" spans="1:9" x14ac:dyDescent="0.35">
      <c r="A1192" t="s">
        <v>24</v>
      </c>
      <c r="B1192">
        <v>2035</v>
      </c>
      <c r="C1192" t="s">
        <v>57</v>
      </c>
      <c r="D1192" t="s">
        <v>41</v>
      </c>
      <c r="E1192">
        <v>3.6947514998065499E-3</v>
      </c>
      <c r="F1192">
        <v>3.6947514998065499E-3</v>
      </c>
      <c r="G1192">
        <v>0</v>
      </c>
      <c r="H1192">
        <v>0</v>
      </c>
      <c r="I1192" t="s">
        <v>58</v>
      </c>
    </row>
    <row r="1193" spans="1:9" x14ac:dyDescent="0.35">
      <c r="A1193" t="s">
        <v>24</v>
      </c>
      <c r="B1193">
        <v>2035</v>
      </c>
      <c r="C1193" t="s">
        <v>57</v>
      </c>
      <c r="D1193" t="s">
        <v>42</v>
      </c>
      <c r="E1193">
        <v>2.4815312247597099</v>
      </c>
      <c r="F1193">
        <v>2.4815312247597099</v>
      </c>
      <c r="G1193">
        <v>0</v>
      </c>
      <c r="H1193">
        <v>0</v>
      </c>
      <c r="I1193" t="s">
        <v>58</v>
      </c>
    </row>
    <row r="1194" spans="1:9" x14ac:dyDescent="0.35">
      <c r="A1194" t="s">
        <v>24</v>
      </c>
      <c r="B1194">
        <v>2035</v>
      </c>
      <c r="C1194" t="s">
        <v>57</v>
      </c>
      <c r="D1194" t="s">
        <v>43</v>
      </c>
      <c r="E1194">
        <v>1.4118993990413699E-3</v>
      </c>
      <c r="F1194">
        <v>1.4118993990413699E-3</v>
      </c>
      <c r="G1194">
        <v>0</v>
      </c>
      <c r="H1194">
        <v>0</v>
      </c>
      <c r="I1194" t="s">
        <v>58</v>
      </c>
    </row>
    <row r="1195" spans="1:9" x14ac:dyDescent="0.35">
      <c r="A1195" t="s">
        <v>24</v>
      </c>
      <c r="B1195">
        <v>2035</v>
      </c>
      <c r="C1195" t="s">
        <v>57</v>
      </c>
      <c r="D1195" t="s">
        <v>136</v>
      </c>
      <c r="E1195">
        <v>0.47215810077912201</v>
      </c>
      <c r="F1195">
        <v>0.47215810077912201</v>
      </c>
      <c r="G1195">
        <v>0</v>
      </c>
      <c r="H1195">
        <v>0</v>
      </c>
      <c r="I1195" t="s">
        <v>58</v>
      </c>
    </row>
    <row r="1196" spans="1:9" x14ac:dyDescent="0.35">
      <c r="A1196" t="s">
        <v>24</v>
      </c>
      <c r="B1196">
        <v>2035</v>
      </c>
      <c r="C1196" t="s">
        <v>57</v>
      </c>
      <c r="D1196" t="s">
        <v>45</v>
      </c>
      <c r="E1196">
        <v>1.3102105950261601E-3</v>
      </c>
      <c r="F1196">
        <v>1.3102105950261601E-3</v>
      </c>
      <c r="G1196">
        <v>0</v>
      </c>
      <c r="H1196">
        <v>0</v>
      </c>
      <c r="I1196" t="s">
        <v>58</v>
      </c>
    </row>
    <row r="1197" spans="1:9" x14ac:dyDescent="0.35">
      <c r="A1197" t="s">
        <v>24</v>
      </c>
      <c r="B1197">
        <v>2035</v>
      </c>
      <c r="C1197" t="s">
        <v>57</v>
      </c>
      <c r="D1197" t="s">
        <v>46</v>
      </c>
      <c r="E1197">
        <v>2.91442056889917E-2</v>
      </c>
      <c r="F1197">
        <v>2.91442056889917E-2</v>
      </c>
      <c r="G1197">
        <v>0</v>
      </c>
      <c r="H1197">
        <v>0</v>
      </c>
      <c r="I1197" t="s">
        <v>58</v>
      </c>
    </row>
    <row r="1198" spans="1:9" x14ac:dyDescent="0.35">
      <c r="A1198" t="s">
        <v>24</v>
      </c>
      <c r="B1198">
        <v>2035</v>
      </c>
      <c r="C1198" t="s">
        <v>57</v>
      </c>
      <c r="D1198" t="s">
        <v>47</v>
      </c>
      <c r="E1198">
        <v>1.6735517484434E-3</v>
      </c>
      <c r="F1198">
        <v>1.6735517484434E-3</v>
      </c>
      <c r="G1198">
        <v>0</v>
      </c>
      <c r="H1198">
        <v>0</v>
      </c>
      <c r="I1198" t="s">
        <v>58</v>
      </c>
    </row>
    <row r="1199" spans="1:9" x14ac:dyDescent="0.35">
      <c r="A1199" t="s">
        <v>24</v>
      </c>
      <c r="B1199">
        <v>2035</v>
      </c>
      <c r="C1199" t="s">
        <v>57</v>
      </c>
      <c r="D1199" t="s">
        <v>48</v>
      </c>
      <c r="E1199">
        <v>5.0232643212001804</v>
      </c>
      <c r="F1199">
        <v>5.0232643212001804</v>
      </c>
      <c r="G1199">
        <v>0</v>
      </c>
      <c r="H1199">
        <v>0</v>
      </c>
      <c r="I1199" t="s">
        <v>58</v>
      </c>
    </row>
    <row r="1200" spans="1:9" x14ac:dyDescent="0.35">
      <c r="A1200" t="s">
        <v>24</v>
      </c>
      <c r="B1200">
        <v>2035</v>
      </c>
      <c r="C1200" t="s">
        <v>57</v>
      </c>
      <c r="D1200" t="s">
        <v>49</v>
      </c>
      <c r="E1200">
        <v>2.9722348786043501E-3</v>
      </c>
      <c r="F1200">
        <v>2.9722348786043501E-3</v>
      </c>
      <c r="G1200">
        <v>0</v>
      </c>
      <c r="H1200">
        <v>0</v>
      </c>
      <c r="I1200" t="s">
        <v>58</v>
      </c>
    </row>
    <row r="1201" spans="1:9" x14ac:dyDescent="0.35">
      <c r="A1201" t="s">
        <v>24</v>
      </c>
      <c r="B1201">
        <v>2035</v>
      </c>
      <c r="C1201" t="s">
        <v>57</v>
      </c>
      <c r="D1201" t="s">
        <v>50</v>
      </c>
      <c r="E1201">
        <v>1.5684656726073099E-2</v>
      </c>
      <c r="F1201">
        <v>1.5684656726073099E-2</v>
      </c>
      <c r="G1201">
        <v>0</v>
      </c>
      <c r="H1201">
        <v>0</v>
      </c>
      <c r="I1201" t="s">
        <v>58</v>
      </c>
    </row>
    <row r="1202" spans="1:9" x14ac:dyDescent="0.35">
      <c r="A1202" t="s">
        <v>24</v>
      </c>
      <c r="B1202">
        <v>2035</v>
      </c>
      <c r="C1202" t="s">
        <v>57</v>
      </c>
      <c r="D1202" t="s">
        <v>51</v>
      </c>
      <c r="E1202">
        <v>6.4444317801598303E-2</v>
      </c>
      <c r="F1202">
        <v>6.4444317801598303E-2</v>
      </c>
      <c r="G1202">
        <v>0</v>
      </c>
      <c r="H1202">
        <v>0</v>
      </c>
      <c r="I1202" t="s">
        <v>58</v>
      </c>
    </row>
    <row r="1203" spans="1:9" x14ac:dyDescent="0.35">
      <c r="A1203" t="s">
        <v>24</v>
      </c>
      <c r="B1203">
        <v>2035</v>
      </c>
      <c r="C1203" t="s">
        <v>57</v>
      </c>
      <c r="D1203" t="s">
        <v>52</v>
      </c>
      <c r="E1203">
        <v>2.17685762586434E-2</v>
      </c>
      <c r="F1203">
        <v>2.17685762586434E-2</v>
      </c>
      <c r="G1203">
        <v>0</v>
      </c>
      <c r="H1203">
        <v>0</v>
      </c>
      <c r="I1203" t="s">
        <v>58</v>
      </c>
    </row>
    <row r="1204" spans="1:9" x14ac:dyDescent="0.35">
      <c r="A1204" t="s">
        <v>24</v>
      </c>
      <c r="B1204">
        <v>2035</v>
      </c>
      <c r="C1204" t="s">
        <v>57</v>
      </c>
      <c r="D1204" t="s">
        <v>53</v>
      </c>
      <c r="E1204">
        <v>0.12204251857605</v>
      </c>
      <c r="F1204">
        <v>0.12204251857605</v>
      </c>
      <c r="G1204">
        <v>0</v>
      </c>
      <c r="H1204">
        <v>0</v>
      </c>
      <c r="I1204" t="s">
        <v>58</v>
      </c>
    </row>
    <row r="1205" spans="1:9" x14ac:dyDescent="0.35">
      <c r="A1205" t="s">
        <v>24</v>
      </c>
      <c r="B1205">
        <v>2035</v>
      </c>
      <c r="C1205" t="s">
        <v>57</v>
      </c>
      <c r="D1205" t="s">
        <v>54</v>
      </c>
      <c r="E1205">
        <v>1.10563338490216</v>
      </c>
      <c r="F1205">
        <v>1.10563338490216</v>
      </c>
      <c r="G1205">
        <v>0</v>
      </c>
      <c r="H1205">
        <v>0</v>
      </c>
      <c r="I1205" t="s">
        <v>58</v>
      </c>
    </row>
    <row r="1206" spans="1:9" x14ac:dyDescent="0.35">
      <c r="A1206" t="s">
        <v>24</v>
      </c>
      <c r="B1206">
        <v>2035</v>
      </c>
      <c r="C1206" t="s">
        <v>57</v>
      </c>
      <c r="D1206" t="s">
        <v>55</v>
      </c>
      <c r="E1206">
        <v>1.0096121609908499</v>
      </c>
      <c r="F1206">
        <v>1.0096121609908499</v>
      </c>
      <c r="G1206">
        <v>0</v>
      </c>
      <c r="H1206">
        <v>0</v>
      </c>
      <c r="I1206" t="s">
        <v>58</v>
      </c>
    </row>
    <row r="1207" spans="1:9" x14ac:dyDescent="0.35">
      <c r="A1207" t="s">
        <v>24</v>
      </c>
      <c r="B1207">
        <v>2035</v>
      </c>
      <c r="C1207" t="s">
        <v>57</v>
      </c>
      <c r="D1207" t="s">
        <v>56</v>
      </c>
      <c r="E1207" s="1">
        <v>5.4298080334908999E-8</v>
      </c>
      <c r="F1207" s="1">
        <v>5.4298080334908999E-8</v>
      </c>
      <c r="G1207">
        <v>0</v>
      </c>
      <c r="H1207">
        <v>0</v>
      </c>
      <c r="I1207" t="s">
        <v>58</v>
      </c>
    </row>
    <row r="1208" spans="1:9" x14ac:dyDescent="0.35">
      <c r="A1208" t="s">
        <v>26</v>
      </c>
      <c r="B1208">
        <v>2040</v>
      </c>
      <c r="C1208" t="s">
        <v>57</v>
      </c>
      <c r="D1208" t="s">
        <v>38</v>
      </c>
      <c r="E1208">
        <v>5.1498769411412897E-4</v>
      </c>
      <c r="F1208">
        <v>5.1498769411412897E-4</v>
      </c>
      <c r="G1208">
        <v>0</v>
      </c>
      <c r="H1208">
        <v>0</v>
      </c>
      <c r="I1208" t="s">
        <v>58</v>
      </c>
    </row>
    <row r="1209" spans="1:9" x14ac:dyDescent="0.35">
      <c r="A1209" t="s">
        <v>26</v>
      </c>
      <c r="B1209">
        <v>2040</v>
      </c>
      <c r="C1209" t="s">
        <v>57</v>
      </c>
      <c r="D1209" t="s">
        <v>40</v>
      </c>
      <c r="E1209">
        <v>6.0946007229634798E-4</v>
      </c>
      <c r="F1209">
        <v>6.0946007229634798E-4</v>
      </c>
      <c r="G1209">
        <v>0</v>
      </c>
      <c r="H1209">
        <v>0</v>
      </c>
      <c r="I1209" t="s">
        <v>58</v>
      </c>
    </row>
    <row r="1210" spans="1:9" x14ac:dyDescent="0.35">
      <c r="A1210" t="s">
        <v>26</v>
      </c>
      <c r="B1210">
        <v>2040</v>
      </c>
      <c r="C1210" t="s">
        <v>57</v>
      </c>
      <c r="D1210" t="s">
        <v>41</v>
      </c>
      <c r="E1210">
        <v>3.6920256922244499E-3</v>
      </c>
      <c r="F1210">
        <v>3.6920256922244499E-3</v>
      </c>
      <c r="G1210">
        <v>0</v>
      </c>
      <c r="H1210">
        <v>0</v>
      </c>
      <c r="I1210" t="s">
        <v>58</v>
      </c>
    </row>
    <row r="1211" spans="1:9" x14ac:dyDescent="0.35">
      <c r="A1211" t="s">
        <v>26</v>
      </c>
      <c r="B1211">
        <v>2040</v>
      </c>
      <c r="C1211" t="s">
        <v>57</v>
      </c>
      <c r="D1211" t="s">
        <v>42</v>
      </c>
      <c r="E1211">
        <v>2.48485668968575</v>
      </c>
      <c r="F1211">
        <v>2.48485668968575</v>
      </c>
      <c r="G1211">
        <v>0</v>
      </c>
      <c r="H1211">
        <v>0</v>
      </c>
      <c r="I1211" t="s">
        <v>58</v>
      </c>
    </row>
    <row r="1212" spans="1:9" x14ac:dyDescent="0.35">
      <c r="A1212" t="s">
        <v>26</v>
      </c>
      <c r="B1212">
        <v>2040</v>
      </c>
      <c r="C1212" t="s">
        <v>57</v>
      </c>
      <c r="D1212" t="s">
        <v>43</v>
      </c>
      <c r="E1212">
        <v>1.40418618928857E-3</v>
      </c>
      <c r="F1212">
        <v>1.40418618928857E-3</v>
      </c>
      <c r="G1212">
        <v>0</v>
      </c>
      <c r="H1212">
        <v>0</v>
      </c>
      <c r="I1212" t="s">
        <v>58</v>
      </c>
    </row>
    <row r="1213" spans="1:9" x14ac:dyDescent="0.35">
      <c r="A1213" t="s">
        <v>26</v>
      </c>
      <c r="B1213">
        <v>2040</v>
      </c>
      <c r="C1213" t="s">
        <v>57</v>
      </c>
      <c r="D1213" t="s">
        <v>136</v>
      </c>
      <c r="E1213">
        <v>0.47144092142511901</v>
      </c>
      <c r="F1213">
        <v>0.47144092142511901</v>
      </c>
      <c r="G1213">
        <v>0</v>
      </c>
      <c r="H1213">
        <v>0</v>
      </c>
      <c r="I1213" t="s">
        <v>58</v>
      </c>
    </row>
    <row r="1214" spans="1:9" x14ac:dyDescent="0.35">
      <c r="A1214" t="s">
        <v>26</v>
      </c>
      <c r="B1214">
        <v>2040</v>
      </c>
      <c r="C1214" t="s">
        <v>57</v>
      </c>
      <c r="D1214" t="s">
        <v>45</v>
      </c>
      <c r="E1214">
        <v>1.30749233584472E-3</v>
      </c>
      <c r="F1214">
        <v>1.30749233584472E-3</v>
      </c>
      <c r="G1214">
        <v>0</v>
      </c>
      <c r="H1214">
        <v>0</v>
      </c>
      <c r="I1214" t="s">
        <v>58</v>
      </c>
    </row>
    <row r="1215" spans="1:9" x14ac:dyDescent="0.35">
      <c r="A1215" t="s">
        <v>26</v>
      </c>
      <c r="B1215">
        <v>2040</v>
      </c>
      <c r="C1215" t="s">
        <v>57</v>
      </c>
      <c r="D1215" t="s">
        <v>46</v>
      </c>
      <c r="E1215">
        <v>3.9914409174939103E-2</v>
      </c>
      <c r="F1215">
        <v>3.9914409174939103E-2</v>
      </c>
      <c r="G1215">
        <v>0</v>
      </c>
      <c r="H1215">
        <v>0</v>
      </c>
      <c r="I1215" t="s">
        <v>58</v>
      </c>
    </row>
    <row r="1216" spans="1:9" x14ac:dyDescent="0.35">
      <c r="A1216" t="s">
        <v>26</v>
      </c>
      <c r="B1216">
        <v>2040</v>
      </c>
      <c r="C1216" t="s">
        <v>57</v>
      </c>
      <c r="D1216" t="s">
        <v>47</v>
      </c>
      <c r="E1216">
        <v>1.6784296766369201E-3</v>
      </c>
      <c r="F1216">
        <v>1.6784296766369201E-3</v>
      </c>
      <c r="G1216">
        <v>0</v>
      </c>
      <c r="H1216">
        <v>0</v>
      </c>
      <c r="I1216" t="s">
        <v>58</v>
      </c>
    </row>
    <row r="1217" spans="1:9" x14ac:dyDescent="0.35">
      <c r="A1217" t="s">
        <v>26</v>
      </c>
      <c r="B1217">
        <v>2040</v>
      </c>
      <c r="C1217" t="s">
        <v>57</v>
      </c>
      <c r="D1217" t="s">
        <v>48</v>
      </c>
      <c r="E1217">
        <v>5.0237138064036397</v>
      </c>
      <c r="F1217">
        <v>5.0237138064036397</v>
      </c>
      <c r="G1217">
        <v>0</v>
      </c>
      <c r="H1217">
        <v>0</v>
      </c>
      <c r="I1217" t="s">
        <v>58</v>
      </c>
    </row>
    <row r="1218" spans="1:9" x14ac:dyDescent="0.35">
      <c r="A1218" t="s">
        <v>26</v>
      </c>
      <c r="B1218">
        <v>2040</v>
      </c>
      <c r="C1218" t="s">
        <v>57</v>
      </c>
      <c r="D1218" t="s">
        <v>49</v>
      </c>
      <c r="E1218">
        <v>2.96675718084414E-3</v>
      </c>
      <c r="F1218">
        <v>2.96675718084414E-3</v>
      </c>
      <c r="G1218">
        <v>0</v>
      </c>
      <c r="H1218">
        <v>0</v>
      </c>
      <c r="I1218" t="s">
        <v>58</v>
      </c>
    </row>
    <row r="1219" spans="1:9" x14ac:dyDescent="0.35">
      <c r="A1219" t="s">
        <v>26</v>
      </c>
      <c r="B1219">
        <v>2040</v>
      </c>
      <c r="C1219" t="s">
        <v>57</v>
      </c>
      <c r="D1219" t="s">
        <v>50</v>
      </c>
      <c r="E1219">
        <v>1.55725394851059E-2</v>
      </c>
      <c r="F1219">
        <v>1.55725394851059E-2</v>
      </c>
      <c r="G1219">
        <v>0</v>
      </c>
      <c r="H1219">
        <v>0</v>
      </c>
      <c r="I1219" t="s">
        <v>58</v>
      </c>
    </row>
    <row r="1220" spans="1:9" x14ac:dyDescent="0.35">
      <c r="A1220" t="s">
        <v>26</v>
      </c>
      <c r="B1220">
        <v>2040</v>
      </c>
      <c r="C1220" t="s">
        <v>57</v>
      </c>
      <c r="D1220" t="s">
        <v>51</v>
      </c>
      <c r="E1220">
        <v>6.5007273582275302E-2</v>
      </c>
      <c r="F1220">
        <v>6.5007273582275302E-2</v>
      </c>
      <c r="G1220">
        <v>0</v>
      </c>
      <c r="H1220">
        <v>0</v>
      </c>
      <c r="I1220" t="s">
        <v>58</v>
      </c>
    </row>
    <row r="1221" spans="1:9" x14ac:dyDescent="0.35">
      <c r="A1221" t="s">
        <v>26</v>
      </c>
      <c r="B1221">
        <v>2040</v>
      </c>
      <c r="C1221" t="s">
        <v>57</v>
      </c>
      <c r="D1221" t="s">
        <v>52</v>
      </c>
      <c r="E1221">
        <v>2.01203742791515E-2</v>
      </c>
      <c r="F1221">
        <v>2.01203742791515E-2</v>
      </c>
      <c r="G1221">
        <v>0</v>
      </c>
      <c r="H1221">
        <v>0</v>
      </c>
      <c r="I1221" t="s">
        <v>58</v>
      </c>
    </row>
    <row r="1222" spans="1:9" x14ac:dyDescent="0.35">
      <c r="A1222" t="s">
        <v>26</v>
      </c>
      <c r="B1222">
        <v>2040</v>
      </c>
      <c r="C1222" t="s">
        <v>57</v>
      </c>
      <c r="D1222" t="s">
        <v>53</v>
      </c>
      <c r="E1222">
        <v>0.122057138311212</v>
      </c>
      <c r="F1222">
        <v>0.122057138311212</v>
      </c>
      <c r="G1222">
        <v>0</v>
      </c>
      <c r="H1222">
        <v>0</v>
      </c>
      <c r="I1222" t="s">
        <v>58</v>
      </c>
    </row>
    <row r="1223" spans="1:9" x14ac:dyDescent="0.35">
      <c r="A1223" t="s">
        <v>26</v>
      </c>
      <c r="B1223">
        <v>2040</v>
      </c>
      <c r="C1223" t="s">
        <v>57</v>
      </c>
      <c r="D1223" t="s">
        <v>54</v>
      </c>
      <c r="E1223">
        <v>1.1058673103259</v>
      </c>
      <c r="F1223">
        <v>1.1058673103259</v>
      </c>
      <c r="G1223">
        <v>0</v>
      </c>
      <c r="H1223">
        <v>0</v>
      </c>
      <c r="I1223" t="s">
        <v>58</v>
      </c>
    </row>
    <row r="1224" spans="1:9" x14ac:dyDescent="0.35">
      <c r="A1224" t="s">
        <v>26</v>
      </c>
      <c r="B1224">
        <v>2040</v>
      </c>
      <c r="C1224" t="s">
        <v>57</v>
      </c>
      <c r="D1224" t="s">
        <v>55</v>
      </c>
      <c r="E1224">
        <v>1.0098278960238301</v>
      </c>
      <c r="F1224">
        <v>1.0098278960238301</v>
      </c>
      <c r="G1224">
        <v>0</v>
      </c>
      <c r="H1224">
        <v>0</v>
      </c>
      <c r="I1224" t="s">
        <v>58</v>
      </c>
    </row>
    <row r="1225" spans="1:9" x14ac:dyDescent="0.35">
      <c r="A1225" t="s">
        <v>26</v>
      </c>
      <c r="B1225">
        <v>2040</v>
      </c>
      <c r="C1225" t="s">
        <v>57</v>
      </c>
      <c r="D1225" t="s">
        <v>56</v>
      </c>
      <c r="E1225" s="1">
        <v>5.3734727269001001E-8</v>
      </c>
      <c r="F1225" s="1">
        <v>5.3734727269001001E-8</v>
      </c>
      <c r="G1225">
        <v>0</v>
      </c>
      <c r="H1225">
        <v>0</v>
      </c>
      <c r="I1225" t="s">
        <v>58</v>
      </c>
    </row>
    <row r="1226" spans="1:9" x14ac:dyDescent="0.35">
      <c r="A1226" t="s">
        <v>20</v>
      </c>
      <c r="B1226">
        <v>2025</v>
      </c>
      <c r="C1226" t="s">
        <v>59</v>
      </c>
      <c r="D1226" t="s">
        <v>38</v>
      </c>
      <c r="E1226">
        <v>4.3882226163675297E-3</v>
      </c>
      <c r="F1226">
        <v>4.3882226163675297E-3</v>
      </c>
      <c r="G1226">
        <v>0</v>
      </c>
      <c r="H1226">
        <v>0</v>
      </c>
      <c r="I1226" t="s">
        <v>60</v>
      </c>
    </row>
    <row r="1227" spans="1:9" x14ac:dyDescent="0.35">
      <c r="A1227" t="s">
        <v>20</v>
      </c>
      <c r="B1227">
        <v>2025</v>
      </c>
      <c r="C1227" t="s">
        <v>59</v>
      </c>
      <c r="D1227" t="s">
        <v>40</v>
      </c>
      <c r="E1227">
        <v>4.61116346481176E-3</v>
      </c>
      <c r="F1227">
        <v>4.61116346481176E-3</v>
      </c>
      <c r="G1227">
        <v>0</v>
      </c>
      <c r="H1227">
        <v>0</v>
      </c>
      <c r="I1227" t="s">
        <v>60</v>
      </c>
    </row>
    <row r="1228" spans="1:9" x14ac:dyDescent="0.35">
      <c r="A1228" t="s">
        <v>20</v>
      </c>
      <c r="B1228">
        <v>2025</v>
      </c>
      <c r="C1228" t="s">
        <v>59</v>
      </c>
      <c r="D1228" t="s">
        <v>41</v>
      </c>
      <c r="E1228">
        <v>2.9637013865681901E-2</v>
      </c>
      <c r="F1228">
        <v>2.9637013865681901E-2</v>
      </c>
      <c r="G1228">
        <v>0</v>
      </c>
      <c r="H1228">
        <v>0</v>
      </c>
      <c r="I1228" t="s">
        <v>60</v>
      </c>
    </row>
    <row r="1229" spans="1:9" x14ac:dyDescent="0.35">
      <c r="A1229" t="s">
        <v>20</v>
      </c>
      <c r="B1229">
        <v>2025</v>
      </c>
      <c r="C1229" t="s">
        <v>59</v>
      </c>
      <c r="D1229" t="s">
        <v>42</v>
      </c>
      <c r="E1229">
        <v>18.053310492308899</v>
      </c>
      <c r="F1229">
        <v>18.053310492308899</v>
      </c>
      <c r="G1229">
        <v>0</v>
      </c>
      <c r="H1229">
        <v>0</v>
      </c>
      <c r="I1229" t="s">
        <v>60</v>
      </c>
    </row>
    <row r="1230" spans="1:9" x14ac:dyDescent="0.35">
      <c r="A1230" t="s">
        <v>20</v>
      </c>
      <c r="B1230">
        <v>2025</v>
      </c>
      <c r="C1230" t="s">
        <v>59</v>
      </c>
      <c r="D1230" t="s">
        <v>43</v>
      </c>
      <c r="E1230">
        <v>1.0744372931433301E-2</v>
      </c>
      <c r="F1230">
        <v>1.0744372931433301E-2</v>
      </c>
      <c r="G1230">
        <v>0</v>
      </c>
      <c r="H1230">
        <v>0</v>
      </c>
      <c r="I1230" t="s">
        <v>60</v>
      </c>
    </row>
    <row r="1231" spans="1:9" x14ac:dyDescent="0.35">
      <c r="A1231" t="s">
        <v>20</v>
      </c>
      <c r="B1231">
        <v>2025</v>
      </c>
      <c r="C1231" t="s">
        <v>59</v>
      </c>
      <c r="D1231" t="s">
        <v>136</v>
      </c>
      <c r="E1231">
        <v>5.5461061714404698</v>
      </c>
      <c r="F1231">
        <v>5.5461061714404698</v>
      </c>
      <c r="G1231">
        <v>0</v>
      </c>
      <c r="H1231">
        <v>0</v>
      </c>
      <c r="I1231" t="s">
        <v>60</v>
      </c>
    </row>
    <row r="1232" spans="1:9" x14ac:dyDescent="0.35">
      <c r="A1232" t="s">
        <v>20</v>
      </c>
      <c r="B1232">
        <v>2025</v>
      </c>
      <c r="C1232" t="s">
        <v>59</v>
      </c>
      <c r="D1232" t="s">
        <v>45</v>
      </c>
      <c r="E1232">
        <v>1.41218064912634E-2</v>
      </c>
      <c r="F1232">
        <v>1.41218064912634E-2</v>
      </c>
      <c r="G1232">
        <v>0</v>
      </c>
      <c r="H1232">
        <v>0</v>
      </c>
      <c r="I1232" t="s">
        <v>60</v>
      </c>
    </row>
    <row r="1233" spans="1:9" x14ac:dyDescent="0.35">
      <c r="A1233" t="s">
        <v>20</v>
      </c>
      <c r="B1233">
        <v>2025</v>
      </c>
      <c r="C1233" t="s">
        <v>59</v>
      </c>
      <c r="D1233" t="s">
        <v>46</v>
      </c>
      <c r="E1233">
        <v>0.11352296887986101</v>
      </c>
      <c r="F1233">
        <v>0.11352296887986101</v>
      </c>
      <c r="G1233">
        <v>0</v>
      </c>
      <c r="H1233">
        <v>0</v>
      </c>
      <c r="I1233" t="s">
        <v>60</v>
      </c>
    </row>
    <row r="1234" spans="1:9" x14ac:dyDescent="0.35">
      <c r="A1234" t="s">
        <v>20</v>
      </c>
      <c r="B1234">
        <v>2025</v>
      </c>
      <c r="C1234" t="s">
        <v>59</v>
      </c>
      <c r="D1234" t="s">
        <v>47</v>
      </c>
      <c r="E1234">
        <v>1.1595299894512899E-2</v>
      </c>
      <c r="F1234">
        <v>1.1595299894512899E-2</v>
      </c>
      <c r="G1234">
        <v>0</v>
      </c>
      <c r="H1234">
        <v>0</v>
      </c>
      <c r="I1234" t="s">
        <v>60</v>
      </c>
    </row>
    <row r="1235" spans="1:9" x14ac:dyDescent="0.35">
      <c r="A1235" t="s">
        <v>20</v>
      </c>
      <c r="B1235">
        <v>2025</v>
      </c>
      <c r="C1235" t="s">
        <v>59</v>
      </c>
      <c r="D1235" t="s">
        <v>48</v>
      </c>
      <c r="E1235">
        <v>36.093543534481398</v>
      </c>
      <c r="F1235">
        <v>36.093543534481398</v>
      </c>
      <c r="G1235">
        <v>0</v>
      </c>
      <c r="H1235">
        <v>0</v>
      </c>
      <c r="I1235" t="s">
        <v>60</v>
      </c>
    </row>
    <row r="1236" spans="1:9" x14ac:dyDescent="0.35">
      <c r="A1236" t="s">
        <v>20</v>
      </c>
      <c r="B1236">
        <v>2025</v>
      </c>
      <c r="C1236" t="s">
        <v>59</v>
      </c>
      <c r="D1236" t="s">
        <v>49</v>
      </c>
      <c r="E1236">
        <v>2.9482082941080699E-2</v>
      </c>
      <c r="F1236">
        <v>2.9482082941080699E-2</v>
      </c>
      <c r="G1236">
        <v>0</v>
      </c>
      <c r="H1236">
        <v>0</v>
      </c>
      <c r="I1236" t="s">
        <v>60</v>
      </c>
    </row>
    <row r="1237" spans="1:9" x14ac:dyDescent="0.35">
      <c r="A1237" t="s">
        <v>20</v>
      </c>
      <c r="B1237">
        <v>2025</v>
      </c>
      <c r="C1237" t="s">
        <v>59</v>
      </c>
      <c r="D1237" t="s">
        <v>50</v>
      </c>
      <c r="E1237">
        <v>0.11453586179290801</v>
      </c>
      <c r="F1237">
        <v>0.11453586179290801</v>
      </c>
      <c r="G1237">
        <v>0</v>
      </c>
      <c r="H1237">
        <v>0</v>
      </c>
      <c r="I1237" t="s">
        <v>60</v>
      </c>
    </row>
    <row r="1238" spans="1:9" x14ac:dyDescent="0.35">
      <c r="A1238" t="s">
        <v>20</v>
      </c>
      <c r="B1238">
        <v>2025</v>
      </c>
      <c r="C1238" t="s">
        <v>59</v>
      </c>
      <c r="D1238" t="s">
        <v>51</v>
      </c>
      <c r="E1238">
        <v>0.48658459232891799</v>
      </c>
      <c r="F1238">
        <v>0.48658459232891799</v>
      </c>
      <c r="G1238">
        <v>0</v>
      </c>
      <c r="H1238">
        <v>0</v>
      </c>
      <c r="I1238" t="s">
        <v>60</v>
      </c>
    </row>
    <row r="1239" spans="1:9" x14ac:dyDescent="0.35">
      <c r="A1239" t="s">
        <v>20</v>
      </c>
      <c r="B1239">
        <v>2025</v>
      </c>
      <c r="C1239" t="s">
        <v>59</v>
      </c>
      <c r="D1239" t="s">
        <v>52</v>
      </c>
      <c r="E1239">
        <v>0.76079849977359204</v>
      </c>
      <c r="F1239">
        <v>0.76079849977359204</v>
      </c>
      <c r="G1239">
        <v>0</v>
      </c>
      <c r="H1239">
        <v>0</v>
      </c>
      <c r="I1239" t="s">
        <v>60</v>
      </c>
    </row>
    <row r="1240" spans="1:9" x14ac:dyDescent="0.35">
      <c r="A1240" t="s">
        <v>20</v>
      </c>
      <c r="B1240">
        <v>2025</v>
      </c>
      <c r="C1240" t="s">
        <v>59</v>
      </c>
      <c r="D1240" t="s">
        <v>53</v>
      </c>
      <c r="E1240">
        <v>1.64609566733756</v>
      </c>
      <c r="F1240">
        <v>1.64609566733756</v>
      </c>
      <c r="G1240">
        <v>0</v>
      </c>
      <c r="H1240">
        <v>0</v>
      </c>
      <c r="I1240" t="s">
        <v>60</v>
      </c>
    </row>
    <row r="1241" spans="1:9" x14ac:dyDescent="0.35">
      <c r="A1241" t="s">
        <v>20</v>
      </c>
      <c r="B1241">
        <v>2025</v>
      </c>
      <c r="C1241" t="s">
        <v>59</v>
      </c>
      <c r="D1241" t="s">
        <v>54</v>
      </c>
      <c r="E1241">
        <v>7.2234554038426202</v>
      </c>
      <c r="F1241">
        <v>7.2234554038426202</v>
      </c>
      <c r="G1241">
        <v>0</v>
      </c>
      <c r="H1241">
        <v>0</v>
      </c>
      <c r="I1241" t="s">
        <v>60</v>
      </c>
    </row>
    <row r="1242" spans="1:9" x14ac:dyDescent="0.35">
      <c r="A1242" t="s">
        <v>20</v>
      </c>
      <c r="B1242">
        <v>2025</v>
      </c>
      <c r="C1242" t="s">
        <v>59</v>
      </c>
      <c r="D1242" t="s">
        <v>55</v>
      </c>
      <c r="E1242">
        <v>6.6070361221431497</v>
      </c>
      <c r="F1242">
        <v>6.6070361221431497</v>
      </c>
      <c r="G1242">
        <v>0</v>
      </c>
      <c r="H1242">
        <v>0</v>
      </c>
      <c r="I1242" t="s">
        <v>60</v>
      </c>
    </row>
    <row r="1243" spans="1:9" x14ac:dyDescent="0.35">
      <c r="A1243" t="s">
        <v>20</v>
      </c>
      <c r="B1243">
        <v>2025</v>
      </c>
      <c r="C1243" t="s">
        <v>59</v>
      </c>
      <c r="D1243" t="s">
        <v>56</v>
      </c>
      <c r="E1243" s="1">
        <v>7.1701805702875702E-7</v>
      </c>
      <c r="F1243" s="1">
        <v>7.1701805702875702E-7</v>
      </c>
      <c r="G1243">
        <v>0</v>
      </c>
      <c r="H1243">
        <v>0</v>
      </c>
      <c r="I1243" t="s">
        <v>60</v>
      </c>
    </row>
    <row r="1244" spans="1:9" x14ac:dyDescent="0.35">
      <c r="A1244" t="s">
        <v>22</v>
      </c>
      <c r="B1244">
        <v>2030</v>
      </c>
      <c r="C1244" t="s">
        <v>59</v>
      </c>
      <c r="D1244" t="s">
        <v>38</v>
      </c>
      <c r="E1244">
        <v>6.6050587952712304E-3</v>
      </c>
      <c r="F1244">
        <v>6.6050587952712304E-3</v>
      </c>
      <c r="G1244">
        <v>0</v>
      </c>
      <c r="H1244">
        <v>0</v>
      </c>
      <c r="I1244" t="s">
        <v>60</v>
      </c>
    </row>
    <row r="1245" spans="1:9" x14ac:dyDescent="0.35">
      <c r="A1245" t="s">
        <v>22</v>
      </c>
      <c r="B1245">
        <v>2030</v>
      </c>
      <c r="C1245" t="s">
        <v>59</v>
      </c>
      <c r="D1245" t="s">
        <v>40</v>
      </c>
      <c r="E1245">
        <v>4.5516975362416903E-3</v>
      </c>
      <c r="F1245">
        <v>4.5516975362416903E-3</v>
      </c>
      <c r="G1245">
        <v>0</v>
      </c>
      <c r="H1245">
        <v>0</v>
      </c>
      <c r="I1245" t="s">
        <v>60</v>
      </c>
    </row>
    <row r="1246" spans="1:9" x14ac:dyDescent="0.35">
      <c r="A1246" t="s">
        <v>22</v>
      </c>
      <c r="B1246">
        <v>2030</v>
      </c>
      <c r="C1246" t="s">
        <v>59</v>
      </c>
      <c r="D1246" t="s">
        <v>41</v>
      </c>
      <c r="E1246">
        <v>3.1153520163347301E-2</v>
      </c>
      <c r="F1246">
        <v>3.1153520163347301E-2</v>
      </c>
      <c r="G1246">
        <v>0</v>
      </c>
      <c r="H1246">
        <v>0</v>
      </c>
      <c r="I1246" t="s">
        <v>60</v>
      </c>
    </row>
    <row r="1247" spans="1:9" x14ac:dyDescent="0.35">
      <c r="A1247" t="s">
        <v>22</v>
      </c>
      <c r="B1247">
        <v>2030</v>
      </c>
      <c r="C1247" t="s">
        <v>59</v>
      </c>
      <c r="D1247" t="s">
        <v>42</v>
      </c>
      <c r="E1247">
        <v>18.028702263140101</v>
      </c>
      <c r="F1247">
        <v>18.028702263140101</v>
      </c>
      <c r="G1247">
        <v>0</v>
      </c>
      <c r="H1247">
        <v>0</v>
      </c>
      <c r="I1247" t="s">
        <v>60</v>
      </c>
    </row>
    <row r="1248" spans="1:9" x14ac:dyDescent="0.35">
      <c r="A1248" t="s">
        <v>22</v>
      </c>
      <c r="B1248">
        <v>2030</v>
      </c>
      <c r="C1248" t="s">
        <v>59</v>
      </c>
      <c r="D1248" t="s">
        <v>43</v>
      </c>
      <c r="E1248">
        <v>1.1864829215899099E-2</v>
      </c>
      <c r="F1248">
        <v>1.1864829215899099E-2</v>
      </c>
      <c r="G1248">
        <v>0</v>
      </c>
      <c r="H1248">
        <v>0</v>
      </c>
      <c r="I1248" t="s">
        <v>60</v>
      </c>
    </row>
    <row r="1249" spans="1:9" x14ac:dyDescent="0.35">
      <c r="A1249" t="s">
        <v>22</v>
      </c>
      <c r="B1249">
        <v>2030</v>
      </c>
      <c r="C1249" t="s">
        <v>59</v>
      </c>
      <c r="D1249" t="s">
        <v>136</v>
      </c>
      <c r="E1249">
        <v>5.3723511020174497</v>
      </c>
      <c r="F1249">
        <v>5.3723511020174497</v>
      </c>
      <c r="G1249">
        <v>0</v>
      </c>
      <c r="H1249">
        <v>0</v>
      </c>
      <c r="I1249" t="s">
        <v>60</v>
      </c>
    </row>
    <row r="1250" spans="1:9" x14ac:dyDescent="0.35">
      <c r="A1250" t="s">
        <v>22</v>
      </c>
      <c r="B1250">
        <v>2030</v>
      </c>
      <c r="C1250" t="s">
        <v>59</v>
      </c>
      <c r="D1250" t="s">
        <v>45</v>
      </c>
      <c r="E1250">
        <v>1.39706046666782E-2</v>
      </c>
      <c r="F1250">
        <v>1.39706046666782E-2</v>
      </c>
      <c r="G1250">
        <v>0</v>
      </c>
      <c r="H1250">
        <v>0</v>
      </c>
      <c r="I1250" t="s">
        <v>60</v>
      </c>
    </row>
    <row r="1251" spans="1:9" x14ac:dyDescent="0.35">
      <c r="A1251" t="s">
        <v>22</v>
      </c>
      <c r="B1251">
        <v>2030</v>
      </c>
      <c r="C1251" t="s">
        <v>59</v>
      </c>
      <c r="D1251" t="s">
        <v>46</v>
      </c>
      <c r="E1251">
        <v>0.23869904522718199</v>
      </c>
      <c r="F1251">
        <v>0.23869904522718199</v>
      </c>
      <c r="G1251">
        <v>0</v>
      </c>
      <c r="H1251">
        <v>0</v>
      </c>
      <c r="I1251" t="s">
        <v>60</v>
      </c>
    </row>
    <row r="1252" spans="1:9" x14ac:dyDescent="0.35">
      <c r="A1252" t="s">
        <v>22</v>
      </c>
      <c r="B1252">
        <v>2030</v>
      </c>
      <c r="C1252" t="s">
        <v>59</v>
      </c>
      <c r="D1252" t="s">
        <v>47</v>
      </c>
      <c r="E1252">
        <v>1.1624054937076E-2</v>
      </c>
      <c r="F1252">
        <v>1.1624054937076E-2</v>
      </c>
      <c r="G1252">
        <v>0</v>
      </c>
      <c r="H1252">
        <v>0</v>
      </c>
      <c r="I1252" t="s">
        <v>60</v>
      </c>
    </row>
    <row r="1253" spans="1:9" x14ac:dyDescent="0.35">
      <c r="A1253" t="s">
        <v>22</v>
      </c>
      <c r="B1253">
        <v>2030</v>
      </c>
      <c r="C1253" t="s">
        <v>59</v>
      </c>
      <c r="D1253" t="s">
        <v>48</v>
      </c>
      <c r="E1253">
        <v>36.093528015767902</v>
      </c>
      <c r="F1253">
        <v>36.093528015767902</v>
      </c>
      <c r="G1253">
        <v>0</v>
      </c>
      <c r="H1253">
        <v>0</v>
      </c>
      <c r="I1253" t="s">
        <v>60</v>
      </c>
    </row>
    <row r="1254" spans="1:9" x14ac:dyDescent="0.35">
      <c r="A1254" t="s">
        <v>22</v>
      </c>
      <c r="B1254">
        <v>2030</v>
      </c>
      <c r="C1254" t="s">
        <v>59</v>
      </c>
      <c r="D1254" t="s">
        <v>49</v>
      </c>
      <c r="E1254">
        <v>3.0185742072780401E-2</v>
      </c>
      <c r="F1254">
        <v>3.0185742072780401E-2</v>
      </c>
      <c r="G1254">
        <v>0</v>
      </c>
      <c r="H1254">
        <v>0</v>
      </c>
      <c r="I1254" t="s">
        <v>60</v>
      </c>
    </row>
    <row r="1255" spans="1:9" x14ac:dyDescent="0.35">
      <c r="A1255" t="s">
        <v>22</v>
      </c>
      <c r="B1255">
        <v>2030</v>
      </c>
      <c r="C1255" t="s">
        <v>59</v>
      </c>
      <c r="D1255" t="s">
        <v>50</v>
      </c>
      <c r="E1255">
        <v>0.12287981180707</v>
      </c>
      <c r="F1255">
        <v>0.12287981180707</v>
      </c>
      <c r="G1255">
        <v>0</v>
      </c>
      <c r="H1255">
        <v>0</v>
      </c>
      <c r="I1255" t="s">
        <v>60</v>
      </c>
    </row>
    <row r="1256" spans="1:9" x14ac:dyDescent="0.35">
      <c r="A1256" t="s">
        <v>22</v>
      </c>
      <c r="B1256">
        <v>2030</v>
      </c>
      <c r="C1256" t="s">
        <v>59</v>
      </c>
      <c r="D1256" t="s">
        <v>51</v>
      </c>
      <c r="E1256">
        <v>0.48509706938385</v>
      </c>
      <c r="F1256">
        <v>0.48509706938385</v>
      </c>
      <c r="G1256">
        <v>0</v>
      </c>
      <c r="H1256">
        <v>0</v>
      </c>
      <c r="I1256" t="s">
        <v>60</v>
      </c>
    </row>
    <row r="1257" spans="1:9" x14ac:dyDescent="0.35">
      <c r="A1257" t="s">
        <v>22</v>
      </c>
      <c r="B1257">
        <v>2030</v>
      </c>
      <c r="C1257" t="s">
        <v>59</v>
      </c>
      <c r="D1257" t="s">
        <v>52</v>
      </c>
      <c r="E1257">
        <v>0.70646097399285301</v>
      </c>
      <c r="F1257">
        <v>0.70646097399285301</v>
      </c>
      <c r="G1257">
        <v>0</v>
      </c>
      <c r="H1257">
        <v>0</v>
      </c>
      <c r="I1257" t="s">
        <v>60</v>
      </c>
    </row>
    <row r="1258" spans="1:9" x14ac:dyDescent="0.35">
      <c r="A1258" t="s">
        <v>22</v>
      </c>
      <c r="B1258">
        <v>2030</v>
      </c>
      <c r="C1258" t="s">
        <v>59</v>
      </c>
      <c r="D1258" t="s">
        <v>53</v>
      </c>
      <c r="E1258">
        <v>1.5932828888391599</v>
      </c>
      <c r="F1258">
        <v>1.5932828888391599</v>
      </c>
      <c r="G1258">
        <v>0</v>
      </c>
      <c r="H1258">
        <v>0</v>
      </c>
      <c r="I1258" t="s">
        <v>60</v>
      </c>
    </row>
    <row r="1259" spans="1:9" x14ac:dyDescent="0.35">
      <c r="A1259" t="s">
        <v>22</v>
      </c>
      <c r="B1259">
        <v>2030</v>
      </c>
      <c r="C1259" t="s">
        <v>59</v>
      </c>
      <c r="D1259" t="s">
        <v>54</v>
      </c>
      <c r="E1259">
        <v>7.2276312916903196</v>
      </c>
      <c r="F1259">
        <v>7.2276312916903196</v>
      </c>
      <c r="G1259">
        <v>0</v>
      </c>
      <c r="H1259">
        <v>0</v>
      </c>
      <c r="I1259" t="s">
        <v>60</v>
      </c>
    </row>
    <row r="1260" spans="1:9" x14ac:dyDescent="0.35">
      <c r="A1260" t="s">
        <v>22</v>
      </c>
      <c r="B1260">
        <v>2030</v>
      </c>
      <c r="C1260" t="s">
        <v>59</v>
      </c>
      <c r="D1260" t="s">
        <v>55</v>
      </c>
      <c r="E1260">
        <v>6.6097033669693097</v>
      </c>
      <c r="F1260">
        <v>6.6097033669693097</v>
      </c>
      <c r="G1260">
        <v>0</v>
      </c>
      <c r="H1260">
        <v>0</v>
      </c>
      <c r="I1260" t="s">
        <v>60</v>
      </c>
    </row>
    <row r="1261" spans="1:9" x14ac:dyDescent="0.35">
      <c r="A1261" t="s">
        <v>22</v>
      </c>
      <c r="B1261">
        <v>2030</v>
      </c>
      <c r="C1261" t="s">
        <v>59</v>
      </c>
      <c r="D1261" t="s">
        <v>56</v>
      </c>
      <c r="E1261" s="1">
        <v>6.6903038531182996E-7</v>
      </c>
      <c r="F1261" s="1">
        <v>6.6903038531182996E-7</v>
      </c>
      <c r="G1261">
        <v>0</v>
      </c>
      <c r="H1261">
        <v>0</v>
      </c>
      <c r="I1261" t="s">
        <v>60</v>
      </c>
    </row>
    <row r="1262" spans="1:9" x14ac:dyDescent="0.35">
      <c r="A1262" t="s">
        <v>24</v>
      </c>
      <c r="B1262">
        <v>2035</v>
      </c>
      <c r="C1262" t="s">
        <v>59</v>
      </c>
      <c r="D1262" t="s">
        <v>38</v>
      </c>
      <c r="E1262">
        <v>8.4176672013349402E-3</v>
      </c>
      <c r="F1262">
        <v>8.4176672013349402E-3</v>
      </c>
      <c r="G1262">
        <v>0</v>
      </c>
      <c r="H1262">
        <v>0</v>
      </c>
      <c r="I1262" t="s">
        <v>60</v>
      </c>
    </row>
    <row r="1263" spans="1:9" x14ac:dyDescent="0.35">
      <c r="A1263" t="s">
        <v>24</v>
      </c>
      <c r="B1263">
        <v>2035</v>
      </c>
      <c r="C1263" t="s">
        <v>59</v>
      </c>
      <c r="D1263" t="s">
        <v>40</v>
      </c>
      <c r="E1263">
        <v>4.5287251152438196E-3</v>
      </c>
      <c r="F1263">
        <v>4.5287251152438196E-3</v>
      </c>
      <c r="G1263">
        <v>0</v>
      </c>
      <c r="H1263">
        <v>0</v>
      </c>
      <c r="I1263" t="s">
        <v>60</v>
      </c>
    </row>
    <row r="1264" spans="1:9" x14ac:dyDescent="0.35">
      <c r="A1264" t="s">
        <v>24</v>
      </c>
      <c r="B1264">
        <v>2035</v>
      </c>
      <c r="C1264" t="s">
        <v>59</v>
      </c>
      <c r="D1264" t="s">
        <v>41</v>
      </c>
      <c r="E1264">
        <v>3.0859008204486799E-2</v>
      </c>
      <c r="F1264">
        <v>3.0859008204486799E-2</v>
      </c>
      <c r="G1264">
        <v>0</v>
      </c>
      <c r="H1264">
        <v>0</v>
      </c>
      <c r="I1264" t="s">
        <v>60</v>
      </c>
    </row>
    <row r="1265" spans="1:9" x14ac:dyDescent="0.35">
      <c r="A1265" t="s">
        <v>24</v>
      </c>
      <c r="B1265">
        <v>2035</v>
      </c>
      <c r="C1265" t="s">
        <v>59</v>
      </c>
      <c r="D1265" t="s">
        <v>42</v>
      </c>
      <c r="E1265">
        <v>18.101580110774599</v>
      </c>
      <c r="F1265">
        <v>18.101580110774599</v>
      </c>
      <c r="G1265">
        <v>0</v>
      </c>
      <c r="H1265">
        <v>0</v>
      </c>
      <c r="I1265" t="s">
        <v>60</v>
      </c>
    </row>
    <row r="1266" spans="1:9" x14ac:dyDescent="0.35">
      <c r="A1266" t="s">
        <v>24</v>
      </c>
      <c r="B1266">
        <v>2035</v>
      </c>
      <c r="C1266" t="s">
        <v>59</v>
      </c>
      <c r="D1266" t="s">
        <v>43</v>
      </c>
      <c r="E1266">
        <v>1.22007611415248E-2</v>
      </c>
      <c r="F1266">
        <v>1.22007611415248E-2</v>
      </c>
      <c r="G1266">
        <v>0</v>
      </c>
      <c r="H1266">
        <v>0</v>
      </c>
      <c r="I1266" t="s">
        <v>60</v>
      </c>
    </row>
    <row r="1267" spans="1:9" x14ac:dyDescent="0.35">
      <c r="A1267" t="s">
        <v>24</v>
      </c>
      <c r="B1267">
        <v>2035</v>
      </c>
      <c r="C1267" t="s">
        <v>59</v>
      </c>
      <c r="D1267" t="s">
        <v>136</v>
      </c>
      <c r="E1267">
        <v>5.3500308576123796</v>
      </c>
      <c r="F1267">
        <v>5.3500308576123796</v>
      </c>
      <c r="G1267">
        <v>0</v>
      </c>
      <c r="H1267">
        <v>0</v>
      </c>
      <c r="I1267" t="s">
        <v>60</v>
      </c>
    </row>
    <row r="1268" spans="1:9" x14ac:dyDescent="0.35">
      <c r="A1268" t="s">
        <v>24</v>
      </c>
      <c r="B1268">
        <v>2035</v>
      </c>
      <c r="C1268" t="s">
        <v>59</v>
      </c>
      <c r="D1268" t="s">
        <v>45</v>
      </c>
      <c r="E1268">
        <v>1.359802002759E-2</v>
      </c>
      <c r="F1268">
        <v>1.359802002759E-2</v>
      </c>
      <c r="G1268">
        <v>0</v>
      </c>
      <c r="H1268">
        <v>0</v>
      </c>
      <c r="I1268" t="s">
        <v>60</v>
      </c>
    </row>
    <row r="1269" spans="1:9" x14ac:dyDescent="0.35">
      <c r="A1269" t="s">
        <v>24</v>
      </c>
      <c r="B1269">
        <v>2035</v>
      </c>
      <c r="C1269" t="s">
        <v>59</v>
      </c>
      <c r="D1269" t="s">
        <v>46</v>
      </c>
      <c r="E1269">
        <v>0.38146449091008899</v>
      </c>
      <c r="F1269">
        <v>0.38146449091008899</v>
      </c>
      <c r="G1269">
        <v>0</v>
      </c>
      <c r="H1269">
        <v>0</v>
      </c>
      <c r="I1269" t="s">
        <v>60</v>
      </c>
    </row>
    <row r="1270" spans="1:9" x14ac:dyDescent="0.35">
      <c r="A1270" t="s">
        <v>24</v>
      </c>
      <c r="B1270">
        <v>2035</v>
      </c>
      <c r="C1270" t="s">
        <v>59</v>
      </c>
      <c r="D1270" t="s">
        <v>47</v>
      </c>
      <c r="E1270">
        <v>1.1754464859503501E-2</v>
      </c>
      <c r="F1270">
        <v>1.1754464859503501E-2</v>
      </c>
      <c r="G1270">
        <v>0</v>
      </c>
      <c r="H1270">
        <v>0</v>
      </c>
      <c r="I1270" t="s">
        <v>60</v>
      </c>
    </row>
    <row r="1271" spans="1:9" x14ac:dyDescent="0.35">
      <c r="A1271" t="s">
        <v>24</v>
      </c>
      <c r="B1271">
        <v>2035</v>
      </c>
      <c r="C1271" t="s">
        <v>59</v>
      </c>
      <c r="D1271" t="s">
        <v>48</v>
      </c>
      <c r="E1271">
        <v>36.098742629859203</v>
      </c>
      <c r="F1271">
        <v>36.098742629859203</v>
      </c>
      <c r="G1271">
        <v>0</v>
      </c>
      <c r="H1271">
        <v>0</v>
      </c>
      <c r="I1271" t="s">
        <v>60</v>
      </c>
    </row>
    <row r="1272" spans="1:9" x14ac:dyDescent="0.35">
      <c r="A1272" t="s">
        <v>24</v>
      </c>
      <c r="B1272">
        <v>2035</v>
      </c>
      <c r="C1272" t="s">
        <v>59</v>
      </c>
      <c r="D1272" t="s">
        <v>49</v>
      </c>
      <c r="E1272">
        <v>3.00493455530189E-2</v>
      </c>
      <c r="F1272">
        <v>3.00493455530189E-2</v>
      </c>
      <c r="G1272">
        <v>0</v>
      </c>
      <c r="H1272">
        <v>0</v>
      </c>
      <c r="I1272" t="s">
        <v>60</v>
      </c>
    </row>
    <row r="1273" spans="1:9" x14ac:dyDescent="0.35">
      <c r="A1273" t="s">
        <v>24</v>
      </c>
      <c r="B1273">
        <v>2035</v>
      </c>
      <c r="C1273" t="s">
        <v>59</v>
      </c>
      <c r="D1273" t="s">
        <v>50</v>
      </c>
      <c r="E1273">
        <v>0.12989841948969499</v>
      </c>
      <c r="F1273">
        <v>0.12989841948969499</v>
      </c>
      <c r="G1273">
        <v>0</v>
      </c>
      <c r="H1273">
        <v>0</v>
      </c>
      <c r="I1273" t="s">
        <v>60</v>
      </c>
    </row>
    <row r="1274" spans="1:9" x14ac:dyDescent="0.35">
      <c r="A1274" t="s">
        <v>24</v>
      </c>
      <c r="B1274">
        <v>2035</v>
      </c>
      <c r="C1274" t="s">
        <v>59</v>
      </c>
      <c r="D1274" t="s">
        <v>51</v>
      </c>
      <c r="E1274">
        <v>0.48635989463816898</v>
      </c>
      <c r="F1274">
        <v>0.48635989463816898</v>
      </c>
      <c r="G1274">
        <v>0</v>
      </c>
      <c r="H1274">
        <v>0</v>
      </c>
      <c r="I1274" t="s">
        <v>60</v>
      </c>
    </row>
    <row r="1275" spans="1:9" x14ac:dyDescent="0.35">
      <c r="A1275" t="s">
        <v>24</v>
      </c>
      <c r="B1275">
        <v>2035</v>
      </c>
      <c r="C1275" t="s">
        <v>59</v>
      </c>
      <c r="D1275" t="s">
        <v>52</v>
      </c>
      <c r="E1275">
        <v>0.65885725201481504</v>
      </c>
      <c r="F1275">
        <v>0.65885725201481504</v>
      </c>
      <c r="G1275">
        <v>0</v>
      </c>
      <c r="H1275">
        <v>0</v>
      </c>
      <c r="I1275" t="s">
        <v>60</v>
      </c>
    </row>
    <row r="1276" spans="1:9" x14ac:dyDescent="0.35">
      <c r="A1276" t="s">
        <v>24</v>
      </c>
      <c r="B1276">
        <v>2035</v>
      </c>
      <c r="C1276" t="s">
        <v>59</v>
      </c>
      <c r="D1276" t="s">
        <v>53</v>
      </c>
      <c r="E1276">
        <v>1.5895023292418899</v>
      </c>
      <c r="F1276">
        <v>1.5895023292418899</v>
      </c>
      <c r="G1276">
        <v>0</v>
      </c>
      <c r="H1276">
        <v>0</v>
      </c>
      <c r="I1276" t="s">
        <v>60</v>
      </c>
    </row>
    <row r="1277" spans="1:9" x14ac:dyDescent="0.35">
      <c r="A1277" t="s">
        <v>24</v>
      </c>
      <c r="B1277">
        <v>2035</v>
      </c>
      <c r="C1277" t="s">
        <v>59</v>
      </c>
      <c r="D1277" t="s">
        <v>54</v>
      </c>
      <c r="E1277">
        <v>7.2331877141054699</v>
      </c>
      <c r="F1277">
        <v>7.2331877141054699</v>
      </c>
      <c r="G1277">
        <v>0</v>
      </c>
      <c r="H1277">
        <v>0</v>
      </c>
      <c r="I1277" t="s">
        <v>60</v>
      </c>
    </row>
    <row r="1278" spans="1:9" x14ac:dyDescent="0.35">
      <c r="A1278" t="s">
        <v>24</v>
      </c>
      <c r="B1278">
        <v>2035</v>
      </c>
      <c r="C1278" t="s">
        <v>59</v>
      </c>
      <c r="D1278" t="s">
        <v>55</v>
      </c>
      <c r="E1278">
        <v>6.6142552364999698</v>
      </c>
      <c r="F1278">
        <v>6.6142552364999698</v>
      </c>
      <c r="G1278">
        <v>0</v>
      </c>
      <c r="H1278">
        <v>0</v>
      </c>
      <c r="I1278" t="s">
        <v>60</v>
      </c>
    </row>
    <row r="1279" spans="1:9" x14ac:dyDescent="0.35">
      <c r="A1279" t="s">
        <v>24</v>
      </c>
      <c r="B1279">
        <v>2035</v>
      </c>
      <c r="C1279" t="s">
        <v>59</v>
      </c>
      <c r="D1279" t="s">
        <v>56</v>
      </c>
      <c r="E1279" s="1">
        <v>6.51271516049889E-7</v>
      </c>
      <c r="F1279" s="1">
        <v>6.51271516049889E-7</v>
      </c>
      <c r="G1279">
        <v>0</v>
      </c>
      <c r="H1279">
        <v>0</v>
      </c>
      <c r="I1279" t="s">
        <v>60</v>
      </c>
    </row>
    <row r="1280" spans="1:9" x14ac:dyDescent="0.35">
      <c r="A1280" t="s">
        <v>26</v>
      </c>
      <c r="B1280">
        <v>2040</v>
      </c>
      <c r="C1280" t="s">
        <v>59</v>
      </c>
      <c r="D1280" t="s">
        <v>38</v>
      </c>
      <c r="E1280">
        <v>7.6383738074172498E-3</v>
      </c>
      <c r="F1280">
        <v>7.6383738074172498E-3</v>
      </c>
      <c r="G1280">
        <v>0</v>
      </c>
      <c r="H1280">
        <v>0</v>
      </c>
      <c r="I1280" t="s">
        <v>60</v>
      </c>
    </row>
    <row r="1281" spans="1:9" x14ac:dyDescent="0.35">
      <c r="A1281" t="s">
        <v>26</v>
      </c>
      <c r="B1281">
        <v>2040</v>
      </c>
      <c r="C1281" t="s">
        <v>59</v>
      </c>
      <c r="D1281" t="s">
        <v>40</v>
      </c>
      <c r="E1281">
        <v>4.54587194230297E-3</v>
      </c>
      <c r="F1281">
        <v>4.54587194230297E-3</v>
      </c>
      <c r="G1281">
        <v>0</v>
      </c>
      <c r="H1281">
        <v>0</v>
      </c>
      <c r="I1281" t="s">
        <v>60</v>
      </c>
    </row>
    <row r="1282" spans="1:9" x14ac:dyDescent="0.35">
      <c r="A1282" t="s">
        <v>26</v>
      </c>
      <c r="B1282">
        <v>2040</v>
      </c>
      <c r="C1282" t="s">
        <v>59</v>
      </c>
      <c r="D1282" t="s">
        <v>41</v>
      </c>
      <c r="E1282">
        <v>3.0733410468820801E-2</v>
      </c>
      <c r="F1282">
        <v>3.0733410468820801E-2</v>
      </c>
      <c r="G1282">
        <v>0</v>
      </c>
      <c r="H1282">
        <v>0</v>
      </c>
      <c r="I1282" t="s">
        <v>60</v>
      </c>
    </row>
    <row r="1283" spans="1:9" x14ac:dyDescent="0.35">
      <c r="A1283" t="s">
        <v>26</v>
      </c>
      <c r="B1283">
        <v>2040</v>
      </c>
      <c r="C1283" t="s">
        <v>59</v>
      </c>
      <c r="D1283" t="s">
        <v>42</v>
      </c>
      <c r="E1283">
        <v>18.197934526597798</v>
      </c>
      <c r="F1283">
        <v>18.197934526597798</v>
      </c>
      <c r="G1283">
        <v>0</v>
      </c>
      <c r="H1283">
        <v>0</v>
      </c>
      <c r="I1283" t="s">
        <v>60</v>
      </c>
    </row>
    <row r="1284" spans="1:9" x14ac:dyDescent="0.35">
      <c r="A1284" t="s">
        <v>26</v>
      </c>
      <c r="B1284">
        <v>2040</v>
      </c>
      <c r="C1284" t="s">
        <v>59</v>
      </c>
      <c r="D1284" t="s">
        <v>43</v>
      </c>
      <c r="E1284">
        <v>1.20051459606703E-2</v>
      </c>
      <c r="F1284">
        <v>1.20051459606703E-2</v>
      </c>
      <c r="G1284">
        <v>0</v>
      </c>
      <c r="H1284">
        <v>0</v>
      </c>
      <c r="I1284" t="s">
        <v>60</v>
      </c>
    </row>
    <row r="1285" spans="1:9" x14ac:dyDescent="0.35">
      <c r="A1285" t="s">
        <v>26</v>
      </c>
      <c r="B1285">
        <v>2040</v>
      </c>
      <c r="C1285" t="s">
        <v>59</v>
      </c>
      <c r="D1285" t="s">
        <v>136</v>
      </c>
      <c r="E1285">
        <v>5.3931653337071204</v>
      </c>
      <c r="F1285">
        <v>5.3931653337071204</v>
      </c>
      <c r="G1285">
        <v>0</v>
      </c>
      <c r="H1285">
        <v>0</v>
      </c>
      <c r="I1285" t="s">
        <v>60</v>
      </c>
    </row>
    <row r="1286" spans="1:9" x14ac:dyDescent="0.35">
      <c r="A1286" t="s">
        <v>26</v>
      </c>
      <c r="B1286">
        <v>2040</v>
      </c>
      <c r="C1286" t="s">
        <v>59</v>
      </c>
      <c r="D1286" t="s">
        <v>45</v>
      </c>
      <c r="E1286">
        <v>1.3373785667950401E-2</v>
      </c>
      <c r="F1286">
        <v>1.3373785667950401E-2</v>
      </c>
      <c r="G1286">
        <v>0</v>
      </c>
      <c r="H1286">
        <v>0</v>
      </c>
      <c r="I1286" t="s">
        <v>60</v>
      </c>
    </row>
    <row r="1287" spans="1:9" x14ac:dyDescent="0.35">
      <c r="A1287" t="s">
        <v>26</v>
      </c>
      <c r="B1287">
        <v>2040</v>
      </c>
      <c r="C1287" t="s">
        <v>59</v>
      </c>
      <c r="D1287" t="s">
        <v>46</v>
      </c>
      <c r="E1287">
        <v>0.45379557742042198</v>
      </c>
      <c r="F1287">
        <v>0.45379557742042198</v>
      </c>
      <c r="G1287">
        <v>0</v>
      </c>
      <c r="H1287">
        <v>0</v>
      </c>
      <c r="I1287" t="s">
        <v>60</v>
      </c>
    </row>
    <row r="1288" spans="1:9" x14ac:dyDescent="0.35">
      <c r="A1288" t="s">
        <v>26</v>
      </c>
      <c r="B1288">
        <v>2040</v>
      </c>
      <c r="C1288" t="s">
        <v>59</v>
      </c>
      <c r="D1288" t="s">
        <v>47</v>
      </c>
      <c r="E1288">
        <v>1.19103121885801E-2</v>
      </c>
      <c r="F1288">
        <v>1.19103121885801E-2</v>
      </c>
      <c r="G1288">
        <v>0</v>
      </c>
      <c r="H1288">
        <v>0</v>
      </c>
      <c r="I1288" t="s">
        <v>60</v>
      </c>
    </row>
    <row r="1289" spans="1:9" x14ac:dyDescent="0.35">
      <c r="A1289" t="s">
        <v>26</v>
      </c>
      <c r="B1289">
        <v>2040</v>
      </c>
      <c r="C1289" t="s">
        <v>59</v>
      </c>
      <c r="D1289" t="s">
        <v>48</v>
      </c>
      <c r="E1289">
        <v>36.110117686175997</v>
      </c>
      <c r="F1289">
        <v>36.110117686175997</v>
      </c>
      <c r="G1289">
        <v>0</v>
      </c>
      <c r="H1289">
        <v>0</v>
      </c>
      <c r="I1289" t="s">
        <v>60</v>
      </c>
    </row>
    <row r="1290" spans="1:9" x14ac:dyDescent="0.35">
      <c r="A1290" t="s">
        <v>26</v>
      </c>
      <c r="B1290">
        <v>2040</v>
      </c>
      <c r="C1290" t="s">
        <v>59</v>
      </c>
      <c r="D1290" t="s">
        <v>49</v>
      </c>
      <c r="E1290">
        <v>2.9769223761270999E-2</v>
      </c>
      <c r="F1290">
        <v>2.9769223761270999E-2</v>
      </c>
      <c r="G1290">
        <v>0</v>
      </c>
      <c r="H1290">
        <v>0</v>
      </c>
      <c r="I1290" t="s">
        <v>60</v>
      </c>
    </row>
    <row r="1291" spans="1:9" x14ac:dyDescent="0.35">
      <c r="A1291" t="s">
        <v>26</v>
      </c>
      <c r="B1291">
        <v>2040</v>
      </c>
      <c r="C1291" t="s">
        <v>59</v>
      </c>
      <c r="D1291" t="s">
        <v>50</v>
      </c>
      <c r="E1291">
        <v>0.12729744266325399</v>
      </c>
      <c r="F1291">
        <v>0.12729744266325399</v>
      </c>
      <c r="G1291">
        <v>0</v>
      </c>
      <c r="H1291">
        <v>0</v>
      </c>
      <c r="I1291" t="s">
        <v>60</v>
      </c>
    </row>
    <row r="1292" spans="1:9" x14ac:dyDescent="0.35">
      <c r="A1292" t="s">
        <v>26</v>
      </c>
      <c r="B1292">
        <v>2040</v>
      </c>
      <c r="C1292" t="s">
        <v>59</v>
      </c>
      <c r="D1292" t="s">
        <v>51</v>
      </c>
      <c r="E1292">
        <v>0.49054795603613399</v>
      </c>
      <c r="F1292">
        <v>0.49054795603613399</v>
      </c>
      <c r="G1292">
        <v>0</v>
      </c>
      <c r="H1292">
        <v>0</v>
      </c>
      <c r="I1292" t="s">
        <v>60</v>
      </c>
    </row>
    <row r="1293" spans="1:9" x14ac:dyDescent="0.35">
      <c r="A1293" t="s">
        <v>26</v>
      </c>
      <c r="B1293">
        <v>2040</v>
      </c>
      <c r="C1293" t="s">
        <v>59</v>
      </c>
      <c r="D1293" t="s">
        <v>52</v>
      </c>
      <c r="E1293">
        <v>0.62270856698612698</v>
      </c>
      <c r="F1293">
        <v>0.62270856698612698</v>
      </c>
      <c r="G1293">
        <v>0</v>
      </c>
      <c r="H1293">
        <v>0</v>
      </c>
      <c r="I1293" t="s">
        <v>60</v>
      </c>
    </row>
    <row r="1294" spans="1:9" x14ac:dyDescent="0.35">
      <c r="A1294" t="s">
        <v>26</v>
      </c>
      <c r="B1294">
        <v>2040</v>
      </c>
      <c r="C1294" t="s">
        <v>59</v>
      </c>
      <c r="D1294" t="s">
        <v>53</v>
      </c>
      <c r="E1294">
        <v>1.6057749946502899</v>
      </c>
      <c r="F1294">
        <v>1.6057749946502899</v>
      </c>
      <c r="G1294">
        <v>0</v>
      </c>
      <c r="H1294">
        <v>0</v>
      </c>
      <c r="I1294" t="s">
        <v>60</v>
      </c>
    </row>
    <row r="1295" spans="1:9" x14ac:dyDescent="0.35">
      <c r="A1295" t="s">
        <v>26</v>
      </c>
      <c r="B1295">
        <v>2040</v>
      </c>
      <c r="C1295" t="s">
        <v>59</v>
      </c>
      <c r="D1295" t="s">
        <v>54</v>
      </c>
      <c r="E1295">
        <v>7.2390956796795303</v>
      </c>
      <c r="F1295">
        <v>7.2390956796795303</v>
      </c>
      <c r="G1295">
        <v>0</v>
      </c>
      <c r="H1295">
        <v>0</v>
      </c>
      <c r="I1295" t="s">
        <v>60</v>
      </c>
    </row>
    <row r="1296" spans="1:9" x14ac:dyDescent="0.35">
      <c r="A1296" t="s">
        <v>26</v>
      </c>
      <c r="B1296">
        <v>2040</v>
      </c>
      <c r="C1296" t="s">
        <v>59</v>
      </c>
      <c r="D1296" t="s">
        <v>55</v>
      </c>
      <c r="E1296">
        <v>6.6196558752675001</v>
      </c>
      <c r="F1296">
        <v>6.6196558752675001</v>
      </c>
      <c r="G1296">
        <v>0</v>
      </c>
      <c r="H1296">
        <v>0</v>
      </c>
      <c r="I1296" t="s">
        <v>60</v>
      </c>
    </row>
    <row r="1297" spans="1:9" x14ac:dyDescent="0.35">
      <c r="A1297" t="s">
        <v>26</v>
      </c>
      <c r="B1297">
        <v>2040</v>
      </c>
      <c r="C1297" t="s">
        <v>59</v>
      </c>
      <c r="D1297" t="s">
        <v>56</v>
      </c>
      <c r="E1297" s="1">
        <v>6.4863399261019902E-7</v>
      </c>
      <c r="F1297" s="1">
        <v>6.4863399261019902E-7</v>
      </c>
      <c r="G1297">
        <v>0</v>
      </c>
      <c r="H1297">
        <v>0</v>
      </c>
      <c r="I1297" t="s">
        <v>60</v>
      </c>
    </row>
    <row r="1298" spans="1:9" x14ac:dyDescent="0.35">
      <c r="A1298" t="s">
        <v>20</v>
      </c>
      <c r="B1298">
        <v>2025</v>
      </c>
      <c r="C1298" t="s">
        <v>63</v>
      </c>
      <c r="D1298" t="s">
        <v>38</v>
      </c>
      <c r="E1298">
        <v>4.0769644307737298E-3</v>
      </c>
      <c r="F1298">
        <v>4.0769644307737298E-3</v>
      </c>
      <c r="G1298">
        <v>0</v>
      </c>
      <c r="H1298">
        <v>0</v>
      </c>
      <c r="I1298" t="s">
        <v>64</v>
      </c>
    </row>
    <row r="1299" spans="1:9" x14ac:dyDescent="0.35">
      <c r="A1299" t="s">
        <v>20</v>
      </c>
      <c r="B1299">
        <v>2025</v>
      </c>
      <c r="C1299" t="s">
        <v>63</v>
      </c>
      <c r="D1299" t="s">
        <v>40</v>
      </c>
      <c r="E1299">
        <v>5.6123025312941101E-4</v>
      </c>
      <c r="F1299">
        <v>5.6123025312941101E-4</v>
      </c>
      <c r="G1299">
        <v>0</v>
      </c>
      <c r="H1299">
        <v>0</v>
      </c>
      <c r="I1299" t="s">
        <v>64</v>
      </c>
    </row>
    <row r="1300" spans="1:9" x14ac:dyDescent="0.35">
      <c r="A1300" t="s">
        <v>20</v>
      </c>
      <c r="B1300">
        <v>2025</v>
      </c>
      <c r="C1300" t="s">
        <v>63</v>
      </c>
      <c r="D1300" t="s">
        <v>41</v>
      </c>
      <c r="E1300">
        <v>4.9305466660536099E-3</v>
      </c>
      <c r="F1300">
        <v>4.9305466660536099E-3</v>
      </c>
      <c r="G1300">
        <v>0</v>
      </c>
      <c r="H1300">
        <v>0</v>
      </c>
      <c r="I1300" t="s">
        <v>64</v>
      </c>
    </row>
    <row r="1301" spans="1:9" x14ac:dyDescent="0.35">
      <c r="A1301" t="s">
        <v>20</v>
      </c>
      <c r="B1301">
        <v>2025</v>
      </c>
      <c r="C1301" t="s">
        <v>63</v>
      </c>
      <c r="D1301" t="s">
        <v>42</v>
      </c>
      <c r="E1301">
        <v>3.2327913279908902</v>
      </c>
      <c r="F1301">
        <v>3.2327913279908902</v>
      </c>
      <c r="G1301">
        <v>0</v>
      </c>
      <c r="H1301">
        <v>0</v>
      </c>
      <c r="I1301" t="s">
        <v>64</v>
      </c>
    </row>
    <row r="1302" spans="1:9" x14ac:dyDescent="0.35">
      <c r="A1302" t="s">
        <v>20</v>
      </c>
      <c r="B1302">
        <v>2025</v>
      </c>
      <c r="C1302" t="s">
        <v>63</v>
      </c>
      <c r="D1302" t="s">
        <v>43</v>
      </c>
      <c r="E1302">
        <v>1.5634021519750701E-3</v>
      </c>
      <c r="F1302">
        <v>1.5634021519750701E-3</v>
      </c>
      <c r="G1302">
        <v>0</v>
      </c>
      <c r="H1302">
        <v>0</v>
      </c>
      <c r="I1302" t="s">
        <v>64</v>
      </c>
    </row>
    <row r="1303" spans="1:9" x14ac:dyDescent="0.35">
      <c r="A1303" t="s">
        <v>20</v>
      </c>
      <c r="B1303">
        <v>2025</v>
      </c>
      <c r="C1303" t="s">
        <v>63</v>
      </c>
      <c r="D1303" t="s">
        <v>136</v>
      </c>
      <c r="E1303">
        <v>0.89411399410523895</v>
      </c>
      <c r="F1303">
        <v>0.89411399410523895</v>
      </c>
      <c r="G1303">
        <v>0</v>
      </c>
      <c r="H1303">
        <v>0</v>
      </c>
      <c r="I1303" t="s">
        <v>64</v>
      </c>
    </row>
    <row r="1304" spans="1:9" x14ac:dyDescent="0.35">
      <c r="A1304" t="s">
        <v>20</v>
      </c>
      <c r="B1304">
        <v>2025</v>
      </c>
      <c r="C1304" t="s">
        <v>63</v>
      </c>
      <c r="D1304" t="s">
        <v>45</v>
      </c>
      <c r="E1304">
        <v>1.90603197069147E-3</v>
      </c>
      <c r="F1304">
        <v>1.90603197069147E-3</v>
      </c>
      <c r="G1304">
        <v>0</v>
      </c>
      <c r="H1304">
        <v>0</v>
      </c>
      <c r="I1304" t="s">
        <v>64</v>
      </c>
    </row>
    <row r="1305" spans="1:9" x14ac:dyDescent="0.35">
      <c r="A1305" t="s">
        <v>20</v>
      </c>
      <c r="B1305">
        <v>2025</v>
      </c>
      <c r="C1305" t="s">
        <v>63</v>
      </c>
      <c r="D1305" t="s">
        <v>46</v>
      </c>
      <c r="E1305">
        <v>1.44559231948823E-2</v>
      </c>
      <c r="F1305">
        <v>1.44559231948823E-2</v>
      </c>
      <c r="G1305">
        <v>0</v>
      </c>
      <c r="H1305">
        <v>0</v>
      </c>
      <c r="I1305" t="s">
        <v>64</v>
      </c>
    </row>
    <row r="1306" spans="1:9" x14ac:dyDescent="0.35">
      <c r="A1306" t="s">
        <v>20</v>
      </c>
      <c r="B1306">
        <v>2025</v>
      </c>
      <c r="C1306" t="s">
        <v>63</v>
      </c>
      <c r="D1306" t="s">
        <v>47</v>
      </c>
      <c r="E1306">
        <v>2.2779259073544699E-3</v>
      </c>
      <c r="F1306">
        <v>2.2779259073544699E-3</v>
      </c>
      <c r="G1306">
        <v>0</v>
      </c>
      <c r="H1306">
        <v>0</v>
      </c>
      <c r="I1306" t="s">
        <v>64</v>
      </c>
    </row>
    <row r="1307" spans="1:9" x14ac:dyDescent="0.35">
      <c r="A1307" t="s">
        <v>20</v>
      </c>
      <c r="B1307">
        <v>2025</v>
      </c>
      <c r="C1307" t="s">
        <v>63</v>
      </c>
      <c r="D1307" t="s">
        <v>48</v>
      </c>
      <c r="E1307">
        <v>1.02606645500731</v>
      </c>
      <c r="F1307">
        <v>1.02606645500731</v>
      </c>
      <c r="G1307">
        <v>0</v>
      </c>
      <c r="H1307">
        <v>0</v>
      </c>
      <c r="I1307" t="s">
        <v>64</v>
      </c>
    </row>
    <row r="1308" spans="1:9" x14ac:dyDescent="0.35">
      <c r="A1308" t="s">
        <v>20</v>
      </c>
      <c r="B1308">
        <v>2025</v>
      </c>
      <c r="C1308" t="s">
        <v>63</v>
      </c>
      <c r="D1308" t="s">
        <v>49</v>
      </c>
      <c r="E1308">
        <v>4.8997304575894799E-3</v>
      </c>
      <c r="F1308">
        <v>4.8997304575894799E-3</v>
      </c>
      <c r="G1308">
        <v>0</v>
      </c>
      <c r="H1308">
        <v>0</v>
      </c>
      <c r="I1308" t="s">
        <v>64</v>
      </c>
    </row>
    <row r="1309" spans="1:9" x14ac:dyDescent="0.35">
      <c r="A1309" t="s">
        <v>20</v>
      </c>
      <c r="B1309">
        <v>2025</v>
      </c>
      <c r="C1309" t="s">
        <v>63</v>
      </c>
      <c r="D1309" t="s">
        <v>50</v>
      </c>
      <c r="E1309">
        <v>1.0889685470785199E-3</v>
      </c>
      <c r="F1309">
        <v>1.0889685470785199E-3</v>
      </c>
      <c r="G1309">
        <v>0</v>
      </c>
      <c r="H1309">
        <v>0</v>
      </c>
      <c r="I1309" t="s">
        <v>64</v>
      </c>
    </row>
    <row r="1310" spans="1:9" x14ac:dyDescent="0.35">
      <c r="A1310" t="s">
        <v>20</v>
      </c>
      <c r="B1310">
        <v>2025</v>
      </c>
      <c r="C1310" t="s">
        <v>63</v>
      </c>
      <c r="D1310" t="s">
        <v>51</v>
      </c>
      <c r="E1310">
        <v>5.4701231667890003E-2</v>
      </c>
      <c r="F1310">
        <v>5.4701231667890003E-2</v>
      </c>
      <c r="G1310">
        <v>0</v>
      </c>
      <c r="H1310">
        <v>0</v>
      </c>
      <c r="I1310" t="s">
        <v>64</v>
      </c>
    </row>
    <row r="1311" spans="1:9" x14ac:dyDescent="0.35">
      <c r="A1311" t="s">
        <v>20</v>
      </c>
      <c r="B1311">
        <v>2025</v>
      </c>
      <c r="C1311" t="s">
        <v>63</v>
      </c>
      <c r="D1311" t="s">
        <v>52</v>
      </c>
      <c r="E1311">
        <v>2.1865533996872601E-2</v>
      </c>
      <c r="F1311">
        <v>2.1865533996872601E-2</v>
      </c>
      <c r="G1311">
        <v>0</v>
      </c>
      <c r="H1311">
        <v>0</v>
      </c>
      <c r="I1311" t="s">
        <v>64</v>
      </c>
    </row>
    <row r="1312" spans="1:9" x14ac:dyDescent="0.35">
      <c r="A1312" t="s">
        <v>20</v>
      </c>
      <c r="B1312">
        <v>2025</v>
      </c>
      <c r="C1312" t="s">
        <v>63</v>
      </c>
      <c r="D1312" t="s">
        <v>53</v>
      </c>
      <c r="E1312">
        <v>0.25148753318042</v>
      </c>
      <c r="F1312">
        <v>0.25148753318042</v>
      </c>
      <c r="G1312">
        <v>0</v>
      </c>
      <c r="H1312">
        <v>0</v>
      </c>
      <c r="I1312" t="s">
        <v>64</v>
      </c>
    </row>
    <row r="1313" spans="1:9" x14ac:dyDescent="0.35">
      <c r="A1313" t="s">
        <v>20</v>
      </c>
      <c r="B1313">
        <v>2025</v>
      </c>
      <c r="C1313" t="s">
        <v>63</v>
      </c>
      <c r="D1313" t="s">
        <v>54</v>
      </c>
      <c r="E1313">
        <v>1.5006200139563599</v>
      </c>
      <c r="F1313">
        <v>1.5006200139563599</v>
      </c>
      <c r="G1313">
        <v>0</v>
      </c>
      <c r="H1313">
        <v>0</v>
      </c>
      <c r="I1313" t="s">
        <v>64</v>
      </c>
    </row>
    <row r="1314" spans="1:9" x14ac:dyDescent="0.35">
      <c r="A1314" t="s">
        <v>20</v>
      </c>
      <c r="B1314">
        <v>2025</v>
      </c>
      <c r="C1314" t="s">
        <v>63</v>
      </c>
      <c r="D1314" t="s">
        <v>55</v>
      </c>
      <c r="E1314">
        <v>1.6166625897104001</v>
      </c>
      <c r="F1314">
        <v>1.6166625897104001</v>
      </c>
      <c r="G1314">
        <v>0</v>
      </c>
      <c r="H1314">
        <v>0</v>
      </c>
      <c r="I1314" t="s">
        <v>64</v>
      </c>
    </row>
    <row r="1315" spans="1:9" x14ac:dyDescent="0.35">
      <c r="A1315" t="s">
        <v>20</v>
      </c>
      <c r="B1315">
        <v>2025</v>
      </c>
      <c r="C1315" t="s">
        <v>63</v>
      </c>
      <c r="D1315" t="s">
        <v>56</v>
      </c>
      <c r="E1315" s="1">
        <v>6.0629531918548204E-8</v>
      </c>
      <c r="F1315" s="1">
        <v>6.0629531918548204E-8</v>
      </c>
      <c r="G1315">
        <v>0</v>
      </c>
      <c r="H1315">
        <v>0</v>
      </c>
      <c r="I1315" t="s">
        <v>64</v>
      </c>
    </row>
    <row r="1316" spans="1:9" x14ac:dyDescent="0.35">
      <c r="A1316" t="s">
        <v>22</v>
      </c>
      <c r="B1316">
        <v>2030</v>
      </c>
      <c r="C1316" t="s">
        <v>63</v>
      </c>
      <c r="D1316" t="s">
        <v>38</v>
      </c>
      <c r="E1316">
        <v>4.0915635855199497E-3</v>
      </c>
      <c r="F1316">
        <v>4.0915635855199497E-3</v>
      </c>
      <c r="G1316">
        <v>0</v>
      </c>
      <c r="H1316">
        <v>0</v>
      </c>
      <c r="I1316" t="s">
        <v>64</v>
      </c>
    </row>
    <row r="1317" spans="1:9" x14ac:dyDescent="0.35">
      <c r="A1317" t="s">
        <v>22</v>
      </c>
      <c r="B1317">
        <v>2030</v>
      </c>
      <c r="C1317" t="s">
        <v>63</v>
      </c>
      <c r="D1317" t="s">
        <v>40</v>
      </c>
      <c r="E1317">
        <v>5.6097273901874905E-4</v>
      </c>
      <c r="F1317">
        <v>5.6097273901874905E-4</v>
      </c>
      <c r="G1317">
        <v>0</v>
      </c>
      <c r="H1317">
        <v>0</v>
      </c>
      <c r="I1317" t="s">
        <v>64</v>
      </c>
    </row>
    <row r="1318" spans="1:9" x14ac:dyDescent="0.35">
      <c r="A1318" t="s">
        <v>22</v>
      </c>
      <c r="B1318">
        <v>2030</v>
      </c>
      <c r="C1318" t="s">
        <v>63</v>
      </c>
      <c r="D1318" t="s">
        <v>41</v>
      </c>
      <c r="E1318">
        <v>4.9227612441989704E-3</v>
      </c>
      <c r="F1318">
        <v>4.9227612441989704E-3</v>
      </c>
      <c r="G1318">
        <v>0</v>
      </c>
      <c r="H1318">
        <v>0</v>
      </c>
      <c r="I1318" t="s">
        <v>64</v>
      </c>
    </row>
    <row r="1319" spans="1:9" x14ac:dyDescent="0.35">
      <c r="A1319" t="s">
        <v>22</v>
      </c>
      <c r="B1319">
        <v>2030</v>
      </c>
      <c r="C1319" t="s">
        <v>63</v>
      </c>
      <c r="D1319" t="s">
        <v>42</v>
      </c>
      <c r="E1319">
        <v>3.2337420592110102</v>
      </c>
      <c r="F1319">
        <v>3.2337420592110102</v>
      </c>
      <c r="G1319">
        <v>0</v>
      </c>
      <c r="H1319">
        <v>0</v>
      </c>
      <c r="I1319" t="s">
        <v>64</v>
      </c>
    </row>
    <row r="1320" spans="1:9" x14ac:dyDescent="0.35">
      <c r="A1320" t="s">
        <v>22</v>
      </c>
      <c r="B1320">
        <v>2030</v>
      </c>
      <c r="C1320" t="s">
        <v>63</v>
      </c>
      <c r="D1320" t="s">
        <v>43</v>
      </c>
      <c r="E1320">
        <v>1.56413162900843E-3</v>
      </c>
      <c r="F1320">
        <v>1.56413162900843E-3</v>
      </c>
      <c r="G1320">
        <v>0</v>
      </c>
      <c r="H1320">
        <v>0</v>
      </c>
      <c r="I1320" t="s">
        <v>64</v>
      </c>
    </row>
    <row r="1321" spans="1:9" x14ac:dyDescent="0.35">
      <c r="A1321" t="s">
        <v>22</v>
      </c>
      <c r="B1321">
        <v>2030</v>
      </c>
      <c r="C1321" t="s">
        <v>63</v>
      </c>
      <c r="D1321" t="s">
        <v>136</v>
      </c>
      <c r="E1321">
        <v>0.89336070801836698</v>
      </c>
      <c r="F1321">
        <v>0.89336070801836698</v>
      </c>
      <c r="G1321">
        <v>0</v>
      </c>
      <c r="H1321">
        <v>0</v>
      </c>
      <c r="I1321" t="s">
        <v>64</v>
      </c>
    </row>
    <row r="1322" spans="1:9" x14ac:dyDescent="0.35">
      <c r="A1322" t="s">
        <v>22</v>
      </c>
      <c r="B1322">
        <v>2030</v>
      </c>
      <c r="C1322" t="s">
        <v>63</v>
      </c>
      <c r="D1322" t="s">
        <v>45</v>
      </c>
      <c r="E1322">
        <v>1.87955001327774E-3</v>
      </c>
      <c r="F1322">
        <v>1.87955001327774E-3</v>
      </c>
      <c r="G1322">
        <v>0</v>
      </c>
      <c r="H1322">
        <v>0</v>
      </c>
      <c r="I1322" t="s">
        <v>64</v>
      </c>
    </row>
    <row r="1323" spans="1:9" x14ac:dyDescent="0.35">
      <c r="A1323" t="s">
        <v>22</v>
      </c>
      <c r="B1323">
        <v>2030</v>
      </c>
      <c r="C1323" t="s">
        <v>63</v>
      </c>
      <c r="D1323" t="s">
        <v>46</v>
      </c>
      <c r="E1323">
        <v>1.52112773168186E-2</v>
      </c>
      <c r="F1323">
        <v>1.52112773168186E-2</v>
      </c>
      <c r="G1323">
        <v>0</v>
      </c>
      <c r="H1323">
        <v>0</v>
      </c>
      <c r="I1323" t="s">
        <v>64</v>
      </c>
    </row>
    <row r="1324" spans="1:9" x14ac:dyDescent="0.35">
      <c r="A1324" t="s">
        <v>22</v>
      </c>
      <c r="B1324">
        <v>2030</v>
      </c>
      <c r="C1324" t="s">
        <v>63</v>
      </c>
      <c r="D1324" t="s">
        <v>47</v>
      </c>
      <c r="E1324">
        <v>2.27994751229907E-3</v>
      </c>
      <c r="F1324">
        <v>2.27994751229907E-3</v>
      </c>
      <c r="G1324">
        <v>0</v>
      </c>
      <c r="H1324">
        <v>0</v>
      </c>
      <c r="I1324" t="s">
        <v>64</v>
      </c>
    </row>
    <row r="1325" spans="1:9" x14ac:dyDescent="0.35">
      <c r="A1325" t="s">
        <v>22</v>
      </c>
      <c r="B1325">
        <v>2030</v>
      </c>
      <c r="C1325" t="s">
        <v>63</v>
      </c>
      <c r="D1325" t="s">
        <v>48</v>
      </c>
      <c r="E1325">
        <v>1.02606683812023</v>
      </c>
      <c r="F1325">
        <v>1.02606683812023</v>
      </c>
      <c r="G1325">
        <v>0</v>
      </c>
      <c r="H1325">
        <v>0</v>
      </c>
      <c r="I1325" t="s">
        <v>64</v>
      </c>
    </row>
    <row r="1326" spans="1:9" x14ac:dyDescent="0.35">
      <c r="A1326" t="s">
        <v>22</v>
      </c>
      <c r="B1326">
        <v>2030</v>
      </c>
      <c r="C1326" t="s">
        <v>63</v>
      </c>
      <c r="D1326" t="s">
        <v>49</v>
      </c>
      <c r="E1326">
        <v>4.89180806752191E-3</v>
      </c>
      <c r="F1326">
        <v>4.89180806752191E-3</v>
      </c>
      <c r="G1326">
        <v>0</v>
      </c>
      <c r="H1326">
        <v>0</v>
      </c>
      <c r="I1326" t="s">
        <v>64</v>
      </c>
    </row>
    <row r="1327" spans="1:9" x14ac:dyDescent="0.35">
      <c r="A1327" t="s">
        <v>22</v>
      </c>
      <c r="B1327">
        <v>2030</v>
      </c>
      <c r="C1327" t="s">
        <v>63</v>
      </c>
      <c r="D1327" t="s">
        <v>50</v>
      </c>
      <c r="E1327">
        <v>1.13738601187795E-3</v>
      </c>
      <c r="F1327">
        <v>1.13738601187795E-3</v>
      </c>
      <c r="G1327">
        <v>0</v>
      </c>
      <c r="H1327">
        <v>0</v>
      </c>
      <c r="I1327" t="s">
        <v>64</v>
      </c>
    </row>
    <row r="1328" spans="1:9" x14ac:dyDescent="0.35">
      <c r="A1328" t="s">
        <v>22</v>
      </c>
      <c r="B1328">
        <v>2030</v>
      </c>
      <c r="C1328" t="s">
        <v>63</v>
      </c>
      <c r="D1328" t="s">
        <v>51</v>
      </c>
      <c r="E1328">
        <v>5.46948683371907E-2</v>
      </c>
      <c r="F1328">
        <v>5.46948683371907E-2</v>
      </c>
      <c r="G1328">
        <v>0</v>
      </c>
      <c r="H1328">
        <v>0</v>
      </c>
      <c r="I1328" t="s">
        <v>64</v>
      </c>
    </row>
    <row r="1329" spans="1:9" x14ac:dyDescent="0.35">
      <c r="A1329" t="s">
        <v>22</v>
      </c>
      <c r="B1329">
        <v>2030</v>
      </c>
      <c r="C1329" t="s">
        <v>63</v>
      </c>
      <c r="D1329" t="s">
        <v>52</v>
      </c>
      <c r="E1329">
        <v>2.1538509969161599E-2</v>
      </c>
      <c r="F1329">
        <v>2.1538509969161599E-2</v>
      </c>
      <c r="G1329">
        <v>0</v>
      </c>
      <c r="H1329">
        <v>0</v>
      </c>
      <c r="I1329" t="s">
        <v>64</v>
      </c>
    </row>
    <row r="1330" spans="1:9" x14ac:dyDescent="0.35">
      <c r="A1330" t="s">
        <v>22</v>
      </c>
      <c r="B1330">
        <v>2030</v>
      </c>
      <c r="C1330" t="s">
        <v>63</v>
      </c>
      <c r="D1330" t="s">
        <v>53</v>
      </c>
      <c r="E1330">
        <v>0.25133883679444402</v>
      </c>
      <c r="F1330">
        <v>0.25133883679444402</v>
      </c>
      <c r="G1330">
        <v>0</v>
      </c>
      <c r="H1330">
        <v>0</v>
      </c>
      <c r="I1330" t="s">
        <v>64</v>
      </c>
    </row>
    <row r="1331" spans="1:9" x14ac:dyDescent="0.35">
      <c r="A1331" t="s">
        <v>22</v>
      </c>
      <c r="B1331">
        <v>2030</v>
      </c>
      <c r="C1331" t="s">
        <v>63</v>
      </c>
      <c r="D1331" t="s">
        <v>54</v>
      </c>
      <c r="E1331">
        <v>1.50067542651223</v>
      </c>
      <c r="F1331">
        <v>1.50067542651223</v>
      </c>
      <c r="G1331">
        <v>0</v>
      </c>
      <c r="H1331">
        <v>0</v>
      </c>
      <c r="I1331" t="s">
        <v>64</v>
      </c>
    </row>
    <row r="1332" spans="1:9" x14ac:dyDescent="0.35">
      <c r="A1332" t="s">
        <v>22</v>
      </c>
      <c r="B1332">
        <v>2030</v>
      </c>
      <c r="C1332" t="s">
        <v>63</v>
      </c>
      <c r="D1332" t="s">
        <v>55</v>
      </c>
      <c r="E1332">
        <v>1.6167078405658599</v>
      </c>
      <c r="F1332">
        <v>1.6167078405658599</v>
      </c>
      <c r="G1332">
        <v>0</v>
      </c>
      <c r="H1332">
        <v>0</v>
      </c>
      <c r="I1332" t="s">
        <v>64</v>
      </c>
    </row>
    <row r="1333" spans="1:9" x14ac:dyDescent="0.35">
      <c r="A1333" t="s">
        <v>22</v>
      </c>
      <c r="B1333">
        <v>2030</v>
      </c>
      <c r="C1333" t="s">
        <v>63</v>
      </c>
      <c r="D1333" t="s">
        <v>56</v>
      </c>
      <c r="E1333" s="1">
        <v>6.0437421234954901E-8</v>
      </c>
      <c r="F1333" s="1">
        <v>6.0437421234954901E-8</v>
      </c>
      <c r="G1333">
        <v>0</v>
      </c>
      <c r="H1333">
        <v>0</v>
      </c>
      <c r="I1333" t="s">
        <v>64</v>
      </c>
    </row>
    <row r="1334" spans="1:9" x14ac:dyDescent="0.35">
      <c r="A1334" t="s">
        <v>24</v>
      </c>
      <c r="B1334">
        <v>2035</v>
      </c>
      <c r="C1334" t="s">
        <v>63</v>
      </c>
      <c r="D1334" t="s">
        <v>38</v>
      </c>
      <c r="E1334">
        <v>4.10408042869895E-3</v>
      </c>
      <c r="F1334">
        <v>4.10408042869895E-3</v>
      </c>
      <c r="G1334">
        <v>0</v>
      </c>
      <c r="H1334">
        <v>0</v>
      </c>
      <c r="I1334" t="s">
        <v>64</v>
      </c>
    </row>
    <row r="1335" spans="1:9" x14ac:dyDescent="0.35">
      <c r="A1335" t="s">
        <v>24</v>
      </c>
      <c r="B1335">
        <v>2035</v>
      </c>
      <c r="C1335" t="s">
        <v>63</v>
      </c>
      <c r="D1335" t="s">
        <v>40</v>
      </c>
      <c r="E1335">
        <v>5.6077629249886402E-4</v>
      </c>
      <c r="F1335">
        <v>5.6077629249886402E-4</v>
      </c>
      <c r="G1335">
        <v>0</v>
      </c>
      <c r="H1335">
        <v>0</v>
      </c>
      <c r="I1335" t="s">
        <v>64</v>
      </c>
    </row>
    <row r="1336" spans="1:9" x14ac:dyDescent="0.35">
      <c r="A1336" t="s">
        <v>24</v>
      </c>
      <c r="B1336">
        <v>2035</v>
      </c>
      <c r="C1336" t="s">
        <v>63</v>
      </c>
      <c r="D1336" t="s">
        <v>41</v>
      </c>
      <c r="E1336">
        <v>4.9209677220098903E-3</v>
      </c>
      <c r="F1336">
        <v>4.9209677220098903E-3</v>
      </c>
      <c r="G1336">
        <v>0</v>
      </c>
      <c r="H1336">
        <v>0</v>
      </c>
      <c r="I1336" t="s">
        <v>64</v>
      </c>
    </row>
    <row r="1337" spans="1:9" x14ac:dyDescent="0.35">
      <c r="A1337" t="s">
        <v>24</v>
      </c>
      <c r="B1337">
        <v>2035</v>
      </c>
      <c r="C1337" t="s">
        <v>63</v>
      </c>
      <c r="D1337" t="s">
        <v>42</v>
      </c>
      <c r="E1337">
        <v>3.2355053941346301</v>
      </c>
      <c r="F1337">
        <v>3.2355053941346301</v>
      </c>
      <c r="G1337">
        <v>0</v>
      </c>
      <c r="H1337">
        <v>0</v>
      </c>
      <c r="I1337" t="s">
        <v>64</v>
      </c>
    </row>
    <row r="1338" spans="1:9" x14ac:dyDescent="0.35">
      <c r="A1338" t="s">
        <v>24</v>
      </c>
      <c r="B1338">
        <v>2035</v>
      </c>
      <c r="C1338" t="s">
        <v>63</v>
      </c>
      <c r="D1338" t="s">
        <v>43</v>
      </c>
      <c r="E1338">
        <v>1.5668635874607601E-3</v>
      </c>
      <c r="F1338">
        <v>1.5668635874607601E-3</v>
      </c>
      <c r="G1338">
        <v>0</v>
      </c>
      <c r="H1338">
        <v>0</v>
      </c>
      <c r="I1338" t="s">
        <v>64</v>
      </c>
    </row>
    <row r="1339" spans="1:9" x14ac:dyDescent="0.35">
      <c r="A1339" t="s">
        <v>24</v>
      </c>
      <c r="B1339">
        <v>2035</v>
      </c>
      <c r="C1339" t="s">
        <v>63</v>
      </c>
      <c r="D1339" t="s">
        <v>136</v>
      </c>
      <c r="E1339">
        <v>0.89416372572201297</v>
      </c>
      <c r="F1339">
        <v>0.89416372572201297</v>
      </c>
      <c r="G1339">
        <v>0</v>
      </c>
      <c r="H1339">
        <v>0</v>
      </c>
      <c r="I1339" t="s">
        <v>64</v>
      </c>
    </row>
    <row r="1340" spans="1:9" x14ac:dyDescent="0.35">
      <c r="A1340" t="s">
        <v>24</v>
      </c>
      <c r="B1340">
        <v>2035</v>
      </c>
      <c r="C1340" t="s">
        <v>63</v>
      </c>
      <c r="D1340" t="s">
        <v>45</v>
      </c>
      <c r="E1340">
        <v>1.86764759017727E-3</v>
      </c>
      <c r="F1340">
        <v>1.86764759017727E-3</v>
      </c>
      <c r="G1340">
        <v>0</v>
      </c>
      <c r="H1340">
        <v>0</v>
      </c>
      <c r="I1340" t="s">
        <v>64</v>
      </c>
    </row>
    <row r="1341" spans="1:9" x14ac:dyDescent="0.35">
      <c r="A1341" t="s">
        <v>24</v>
      </c>
      <c r="B1341">
        <v>2035</v>
      </c>
      <c r="C1341" t="s">
        <v>63</v>
      </c>
      <c r="D1341" t="s">
        <v>46</v>
      </c>
      <c r="E1341">
        <v>1.61171057218981E-2</v>
      </c>
      <c r="F1341">
        <v>1.61171057218981E-2</v>
      </c>
      <c r="G1341">
        <v>0</v>
      </c>
      <c r="H1341">
        <v>0</v>
      </c>
      <c r="I1341" t="s">
        <v>64</v>
      </c>
    </row>
    <row r="1342" spans="1:9" x14ac:dyDescent="0.35">
      <c r="A1342" t="s">
        <v>24</v>
      </c>
      <c r="B1342">
        <v>2035</v>
      </c>
      <c r="C1342" t="s">
        <v>63</v>
      </c>
      <c r="D1342" t="s">
        <v>47</v>
      </c>
      <c r="E1342">
        <v>2.2830966075741599E-3</v>
      </c>
      <c r="F1342">
        <v>2.2830966075741599E-3</v>
      </c>
      <c r="G1342">
        <v>0</v>
      </c>
      <c r="H1342">
        <v>0</v>
      </c>
      <c r="I1342" t="s">
        <v>64</v>
      </c>
    </row>
    <row r="1343" spans="1:9" x14ac:dyDescent="0.35">
      <c r="A1343" t="s">
        <v>24</v>
      </c>
      <c r="B1343">
        <v>2035</v>
      </c>
      <c r="C1343" t="s">
        <v>63</v>
      </c>
      <c r="D1343" t="s">
        <v>48</v>
      </c>
      <c r="E1343">
        <v>1.0260450056503001</v>
      </c>
      <c r="F1343">
        <v>1.0260450056503001</v>
      </c>
      <c r="G1343">
        <v>0</v>
      </c>
      <c r="H1343">
        <v>0</v>
      </c>
      <c r="I1343" t="s">
        <v>64</v>
      </c>
    </row>
    <row r="1344" spans="1:9" x14ac:dyDescent="0.35">
      <c r="A1344" t="s">
        <v>24</v>
      </c>
      <c r="B1344">
        <v>2035</v>
      </c>
      <c r="C1344" t="s">
        <v>63</v>
      </c>
      <c r="D1344" t="s">
        <v>49</v>
      </c>
      <c r="E1344">
        <v>4.8887757818075099E-3</v>
      </c>
      <c r="F1344">
        <v>4.8887757818075099E-3</v>
      </c>
      <c r="G1344">
        <v>0</v>
      </c>
      <c r="H1344">
        <v>0</v>
      </c>
      <c r="I1344" t="s">
        <v>64</v>
      </c>
    </row>
    <row r="1345" spans="1:9" x14ac:dyDescent="0.35">
      <c r="A1345" t="s">
        <v>24</v>
      </c>
      <c r="B1345">
        <v>2035</v>
      </c>
      <c r="C1345" t="s">
        <v>63</v>
      </c>
      <c r="D1345" t="s">
        <v>50</v>
      </c>
      <c r="E1345">
        <v>1.1838488078714201E-3</v>
      </c>
      <c r="F1345">
        <v>1.1838488078714201E-3</v>
      </c>
      <c r="G1345">
        <v>0</v>
      </c>
      <c r="H1345">
        <v>0</v>
      </c>
      <c r="I1345" t="s">
        <v>64</v>
      </c>
    </row>
    <row r="1346" spans="1:9" x14ac:dyDescent="0.35">
      <c r="A1346" t="s">
        <v>24</v>
      </c>
      <c r="B1346">
        <v>2035</v>
      </c>
      <c r="C1346" t="s">
        <v>63</v>
      </c>
      <c r="D1346" t="s">
        <v>51</v>
      </c>
      <c r="E1346">
        <v>5.4700227086073097E-2</v>
      </c>
      <c r="F1346">
        <v>5.4700227086073097E-2</v>
      </c>
      <c r="G1346">
        <v>0</v>
      </c>
      <c r="H1346">
        <v>0</v>
      </c>
      <c r="I1346" t="s">
        <v>64</v>
      </c>
    </row>
    <row r="1347" spans="1:9" x14ac:dyDescent="0.35">
      <c r="A1347" t="s">
        <v>24</v>
      </c>
      <c r="B1347">
        <v>2035</v>
      </c>
      <c r="C1347" t="s">
        <v>63</v>
      </c>
      <c r="D1347" t="s">
        <v>52</v>
      </c>
      <c r="E1347">
        <v>2.12316373128799E-2</v>
      </c>
      <c r="F1347">
        <v>2.12316373128799E-2</v>
      </c>
      <c r="G1347">
        <v>0</v>
      </c>
      <c r="H1347">
        <v>0</v>
      </c>
      <c r="I1347" t="s">
        <v>64</v>
      </c>
    </row>
    <row r="1348" spans="1:9" x14ac:dyDescent="0.35">
      <c r="A1348" t="s">
        <v>24</v>
      </c>
      <c r="B1348">
        <v>2035</v>
      </c>
      <c r="C1348" t="s">
        <v>63</v>
      </c>
      <c r="D1348" t="s">
        <v>53</v>
      </c>
      <c r="E1348">
        <v>0.25157204163267899</v>
      </c>
      <c r="F1348">
        <v>0.25157204163267899</v>
      </c>
      <c r="G1348">
        <v>0</v>
      </c>
      <c r="H1348">
        <v>0</v>
      </c>
      <c r="I1348" t="s">
        <v>64</v>
      </c>
    </row>
    <row r="1349" spans="1:9" x14ac:dyDescent="0.35">
      <c r="A1349" t="s">
        <v>24</v>
      </c>
      <c r="B1349">
        <v>2035</v>
      </c>
      <c r="C1349" t="s">
        <v>63</v>
      </c>
      <c r="D1349" t="s">
        <v>54</v>
      </c>
      <c r="E1349">
        <v>1.50073660522334</v>
      </c>
      <c r="F1349">
        <v>1.50073660522334</v>
      </c>
      <c r="G1349">
        <v>0</v>
      </c>
      <c r="H1349">
        <v>0</v>
      </c>
      <c r="I1349" t="s">
        <v>64</v>
      </c>
    </row>
    <row r="1350" spans="1:9" x14ac:dyDescent="0.35">
      <c r="A1350" t="s">
        <v>24</v>
      </c>
      <c r="B1350">
        <v>2035</v>
      </c>
      <c r="C1350" t="s">
        <v>63</v>
      </c>
      <c r="D1350" t="s">
        <v>55</v>
      </c>
      <c r="E1350">
        <v>1.61676152238638</v>
      </c>
      <c r="F1350">
        <v>1.61676152238638</v>
      </c>
      <c r="G1350">
        <v>0</v>
      </c>
      <c r="H1350">
        <v>0</v>
      </c>
      <c r="I1350" t="s">
        <v>64</v>
      </c>
    </row>
    <row r="1351" spans="1:9" x14ac:dyDescent="0.35">
      <c r="A1351" t="s">
        <v>24</v>
      </c>
      <c r="B1351">
        <v>2035</v>
      </c>
      <c r="C1351" t="s">
        <v>63</v>
      </c>
      <c r="D1351" t="s">
        <v>56</v>
      </c>
      <c r="E1351" s="1">
        <v>6.0340868835939405E-8</v>
      </c>
      <c r="F1351" s="1">
        <v>6.0340868835939405E-8</v>
      </c>
      <c r="G1351">
        <v>0</v>
      </c>
      <c r="H1351">
        <v>0</v>
      </c>
      <c r="I1351" t="s">
        <v>64</v>
      </c>
    </row>
    <row r="1352" spans="1:9" x14ac:dyDescent="0.35">
      <c r="A1352" t="s">
        <v>26</v>
      </c>
      <c r="B1352">
        <v>2040</v>
      </c>
      <c r="C1352" t="s">
        <v>63</v>
      </c>
      <c r="D1352" t="s">
        <v>38</v>
      </c>
      <c r="E1352">
        <v>4.1000823217024699E-3</v>
      </c>
      <c r="F1352">
        <v>4.6229603462287201E-4</v>
      </c>
      <c r="G1352">
        <v>-3.6377862870796002E-3</v>
      </c>
      <c r="H1352">
        <v>-88.724713350854998</v>
      </c>
      <c r="I1352" t="s">
        <v>64</v>
      </c>
    </row>
    <row r="1353" spans="1:9" x14ac:dyDescent="0.35">
      <c r="A1353" t="s">
        <v>26</v>
      </c>
      <c r="B1353">
        <v>2040</v>
      </c>
      <c r="C1353" t="s">
        <v>63</v>
      </c>
      <c r="D1353" t="s">
        <v>40</v>
      </c>
      <c r="E1353">
        <v>5.6058762372240595E-4</v>
      </c>
      <c r="F1353">
        <v>5.6058762372240595E-4</v>
      </c>
      <c r="G1353">
        <v>0</v>
      </c>
      <c r="H1353">
        <v>0</v>
      </c>
      <c r="I1353" t="s">
        <v>64</v>
      </c>
    </row>
    <row r="1354" spans="1:9" x14ac:dyDescent="0.35">
      <c r="A1354" t="s">
        <v>26</v>
      </c>
      <c r="B1354">
        <v>2040</v>
      </c>
      <c r="C1354" t="s">
        <v>63</v>
      </c>
      <c r="D1354" t="s">
        <v>41</v>
      </c>
      <c r="E1354">
        <v>4.9222477075292802E-3</v>
      </c>
      <c r="F1354">
        <v>1.4433353991551599E-3</v>
      </c>
      <c r="G1354">
        <v>-3.4789123083741199E-3</v>
      </c>
      <c r="H1354">
        <v>-70.677310754853394</v>
      </c>
      <c r="I1354" t="s">
        <v>64</v>
      </c>
    </row>
    <row r="1355" spans="1:9" x14ac:dyDescent="0.35">
      <c r="A1355" t="s">
        <v>26</v>
      </c>
      <c r="B1355">
        <v>2040</v>
      </c>
      <c r="C1355" t="s">
        <v>63</v>
      </c>
      <c r="D1355" t="s">
        <v>42</v>
      </c>
      <c r="E1355">
        <v>3.2372638535917599</v>
      </c>
      <c r="F1355">
        <v>3.1855401488573301</v>
      </c>
      <c r="G1355">
        <v>-5.17237047344258E-2</v>
      </c>
      <c r="H1355">
        <v>-1.5977599316483899</v>
      </c>
      <c r="I1355" t="s">
        <v>64</v>
      </c>
    </row>
    <row r="1356" spans="1:9" x14ac:dyDescent="0.35">
      <c r="A1356" t="s">
        <v>26</v>
      </c>
      <c r="B1356">
        <v>2040</v>
      </c>
      <c r="C1356" t="s">
        <v>63</v>
      </c>
      <c r="D1356" t="s">
        <v>43</v>
      </c>
      <c r="E1356">
        <v>1.56704890117678E-3</v>
      </c>
      <c r="F1356">
        <v>3.4514220494335102E-4</v>
      </c>
      <c r="G1356">
        <v>-1.2219066962334301E-3</v>
      </c>
      <c r="H1356">
        <v>-77.975020135991599</v>
      </c>
      <c r="I1356" t="s">
        <v>64</v>
      </c>
    </row>
    <row r="1357" spans="1:9" x14ac:dyDescent="0.35">
      <c r="A1357" t="s">
        <v>26</v>
      </c>
      <c r="B1357">
        <v>2040</v>
      </c>
      <c r="C1357" t="s">
        <v>63</v>
      </c>
      <c r="D1357" t="s">
        <v>136</v>
      </c>
      <c r="E1357">
        <v>0.89551618488909701</v>
      </c>
      <c r="F1357">
        <v>0.58291222618807903</v>
      </c>
      <c r="G1357">
        <v>-0.31260395870101698</v>
      </c>
      <c r="H1357">
        <v>-34.907683856069099</v>
      </c>
      <c r="I1357" t="s">
        <v>64</v>
      </c>
    </row>
    <row r="1358" spans="1:9" x14ac:dyDescent="0.35">
      <c r="A1358" t="s">
        <v>26</v>
      </c>
      <c r="B1358">
        <v>2040</v>
      </c>
      <c r="C1358" t="s">
        <v>63</v>
      </c>
      <c r="D1358" t="s">
        <v>45</v>
      </c>
      <c r="E1358">
        <v>1.8618691579612801E-3</v>
      </c>
      <c r="F1358">
        <v>4.5007550916560202E-4</v>
      </c>
      <c r="G1358">
        <v>-1.4117936487956801E-3</v>
      </c>
      <c r="H1358">
        <v>-75.826684316612898</v>
      </c>
      <c r="I1358" t="s">
        <v>64</v>
      </c>
    </row>
    <row r="1359" spans="1:9" x14ac:dyDescent="0.35">
      <c r="A1359" t="s">
        <v>26</v>
      </c>
      <c r="B1359">
        <v>2040</v>
      </c>
      <c r="C1359" t="s">
        <v>63</v>
      </c>
      <c r="D1359" t="s">
        <v>46</v>
      </c>
      <c r="E1359">
        <v>1.6590160670668298E-2</v>
      </c>
      <c r="F1359">
        <v>1.6590160670668298E-2</v>
      </c>
      <c r="G1359">
        <v>0</v>
      </c>
      <c r="H1359">
        <v>0</v>
      </c>
      <c r="I1359" t="s">
        <v>64</v>
      </c>
    </row>
    <row r="1360" spans="1:9" x14ac:dyDescent="0.35">
      <c r="A1360" t="s">
        <v>26</v>
      </c>
      <c r="B1360">
        <v>2040</v>
      </c>
      <c r="C1360" t="s">
        <v>63</v>
      </c>
      <c r="D1360" t="s">
        <v>47</v>
      </c>
      <c r="E1360">
        <v>2.2861056187700999E-3</v>
      </c>
      <c r="F1360">
        <v>2.2861056187700999E-3</v>
      </c>
      <c r="G1360">
        <v>0</v>
      </c>
      <c r="H1360">
        <v>0</v>
      </c>
      <c r="I1360" t="s">
        <v>64</v>
      </c>
    </row>
    <row r="1361" spans="1:9" x14ac:dyDescent="0.35">
      <c r="A1361" t="s">
        <v>26</v>
      </c>
      <c r="B1361">
        <v>2040</v>
      </c>
      <c r="C1361" t="s">
        <v>63</v>
      </c>
      <c r="D1361" t="s">
        <v>48</v>
      </c>
      <c r="E1361">
        <v>1.02603820391805</v>
      </c>
      <c r="F1361">
        <v>1.02603820391805</v>
      </c>
      <c r="G1361">
        <v>0</v>
      </c>
      <c r="H1361">
        <v>0</v>
      </c>
      <c r="I1361" t="s">
        <v>64</v>
      </c>
    </row>
    <row r="1362" spans="1:9" x14ac:dyDescent="0.35">
      <c r="A1362" t="s">
        <v>26</v>
      </c>
      <c r="B1362">
        <v>2040</v>
      </c>
      <c r="C1362" t="s">
        <v>63</v>
      </c>
      <c r="D1362" t="s">
        <v>49</v>
      </c>
      <c r="E1362">
        <v>4.8882642570306596E-3</v>
      </c>
      <c r="F1362">
        <v>9.2707365484204099E-4</v>
      </c>
      <c r="G1362">
        <v>-3.96119060218862E-3</v>
      </c>
      <c r="H1362">
        <v>-81.034706675101305</v>
      </c>
      <c r="I1362" t="s">
        <v>64</v>
      </c>
    </row>
    <row r="1363" spans="1:9" x14ac:dyDescent="0.35">
      <c r="A1363" t="s">
        <v>26</v>
      </c>
      <c r="B1363">
        <v>2040</v>
      </c>
      <c r="C1363" t="s">
        <v>63</v>
      </c>
      <c r="D1363" t="s">
        <v>50</v>
      </c>
      <c r="E1363">
        <v>1.17441604558497E-3</v>
      </c>
      <c r="F1363">
        <v>1.17441604558497E-3</v>
      </c>
      <c r="G1363">
        <v>0</v>
      </c>
      <c r="H1363">
        <v>0</v>
      </c>
      <c r="I1363" t="s">
        <v>64</v>
      </c>
    </row>
    <row r="1364" spans="1:9" x14ac:dyDescent="0.35">
      <c r="A1364" t="s">
        <v>26</v>
      </c>
      <c r="B1364">
        <v>2040</v>
      </c>
      <c r="C1364" t="s">
        <v>63</v>
      </c>
      <c r="D1364" t="s">
        <v>51</v>
      </c>
      <c r="E1364">
        <v>5.4715095754740997E-2</v>
      </c>
      <c r="F1364">
        <v>5.4715095754740997E-2</v>
      </c>
      <c r="G1364">
        <v>0</v>
      </c>
      <c r="H1364">
        <v>0</v>
      </c>
      <c r="I1364" t="s">
        <v>64</v>
      </c>
    </row>
    <row r="1365" spans="1:9" x14ac:dyDescent="0.35">
      <c r="A1365" t="s">
        <v>26</v>
      </c>
      <c r="B1365">
        <v>2040</v>
      </c>
      <c r="C1365" t="s">
        <v>63</v>
      </c>
      <c r="D1365" t="s">
        <v>52</v>
      </c>
      <c r="E1365">
        <v>2.0994946046157099E-2</v>
      </c>
      <c r="F1365">
        <v>2.0994946046157099E-2</v>
      </c>
      <c r="G1365">
        <v>0</v>
      </c>
      <c r="H1365">
        <v>0</v>
      </c>
      <c r="I1365" t="s">
        <v>64</v>
      </c>
    </row>
    <row r="1366" spans="1:9" x14ac:dyDescent="0.35">
      <c r="A1366" t="s">
        <v>26</v>
      </c>
      <c r="B1366">
        <v>2040</v>
      </c>
      <c r="C1366" t="s">
        <v>63</v>
      </c>
      <c r="D1366" t="s">
        <v>53</v>
      </c>
      <c r="E1366">
        <v>0.25191511911139802</v>
      </c>
      <c r="F1366">
        <v>0.25191511911139802</v>
      </c>
      <c r="G1366">
        <v>0</v>
      </c>
      <c r="H1366">
        <v>0</v>
      </c>
      <c r="I1366" t="s">
        <v>64</v>
      </c>
    </row>
    <row r="1367" spans="1:9" x14ac:dyDescent="0.35">
      <c r="A1367" t="s">
        <v>26</v>
      </c>
      <c r="B1367">
        <v>2040</v>
      </c>
      <c r="C1367" t="s">
        <v>63</v>
      </c>
      <c r="D1367" t="s">
        <v>54</v>
      </c>
      <c r="E1367">
        <v>1.50079430447645</v>
      </c>
      <c r="F1367">
        <v>1.4991015023615799</v>
      </c>
      <c r="G1367">
        <v>-1.69280211487854E-3</v>
      </c>
      <c r="H1367">
        <v>-0.112793745940358</v>
      </c>
      <c r="I1367" t="s">
        <v>64</v>
      </c>
    </row>
    <row r="1368" spans="1:9" x14ac:dyDescent="0.35">
      <c r="A1368" t="s">
        <v>26</v>
      </c>
      <c r="B1368">
        <v>2040</v>
      </c>
      <c r="C1368" t="s">
        <v>63</v>
      </c>
      <c r="D1368" t="s">
        <v>55</v>
      </c>
      <c r="E1368">
        <v>1.61681564316701</v>
      </c>
      <c r="F1368">
        <v>1.3930735347027099</v>
      </c>
      <c r="G1368">
        <v>-0.22374210846429801</v>
      </c>
      <c r="H1368">
        <v>-13.838442831121601</v>
      </c>
      <c r="I1368" t="s">
        <v>64</v>
      </c>
    </row>
    <row r="1369" spans="1:9" x14ac:dyDescent="0.35">
      <c r="A1369" t="s">
        <v>26</v>
      </c>
      <c r="B1369">
        <v>2040</v>
      </c>
      <c r="C1369" t="s">
        <v>63</v>
      </c>
      <c r="D1369" t="s">
        <v>56</v>
      </c>
      <c r="E1369" s="1">
        <v>6.0268980267000206E-8</v>
      </c>
      <c r="F1369" s="1">
        <v>6.0268980267000206E-8</v>
      </c>
      <c r="G1369">
        <v>0</v>
      </c>
      <c r="H1369">
        <v>0</v>
      </c>
      <c r="I1369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CB65-67E7-4420-A14D-FF70A9095595}">
  <sheetPr>
    <tabColor theme="9" tint="0.79998168889431442"/>
  </sheetPr>
  <dimension ref="A1:I1369"/>
  <sheetViews>
    <sheetView topLeftCell="A1318" workbookViewId="0">
      <selection activeCell="C1370" sqref="C1370"/>
    </sheetView>
  </sheetViews>
  <sheetFormatPr defaultRowHeight="14.5" x14ac:dyDescent="0.35"/>
  <cols>
    <col min="1" max="1" width="35.1796875" bestFit="1" customWidth="1"/>
    <col min="3" max="3" width="61.54296875" bestFit="1" customWidth="1"/>
  </cols>
  <sheetData>
    <row r="1" spans="1:9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x14ac:dyDescent="0.35">
      <c r="A2" t="s">
        <v>21</v>
      </c>
      <c r="B2">
        <v>2025</v>
      </c>
      <c r="C2" t="s">
        <v>69</v>
      </c>
      <c r="D2" t="s">
        <v>38</v>
      </c>
      <c r="E2" s="1">
        <v>2.4074594204388601E-6</v>
      </c>
      <c r="F2" s="1">
        <v>2.4074594204388601E-6</v>
      </c>
      <c r="G2">
        <v>0</v>
      </c>
      <c r="H2">
        <v>0</v>
      </c>
      <c r="I2" t="s">
        <v>71</v>
      </c>
    </row>
    <row r="3" spans="1:9" x14ac:dyDescent="0.35">
      <c r="A3" t="s">
        <v>21</v>
      </c>
      <c r="B3">
        <v>2025</v>
      </c>
      <c r="C3" t="s">
        <v>69</v>
      </c>
      <c r="D3" t="s">
        <v>40</v>
      </c>
      <c r="E3" s="1">
        <v>3.5403075475494703E-5</v>
      </c>
      <c r="F3" s="1">
        <v>3.5403075475494703E-5</v>
      </c>
      <c r="G3">
        <v>0</v>
      </c>
      <c r="H3">
        <v>0</v>
      </c>
      <c r="I3" t="s">
        <v>71</v>
      </c>
    </row>
    <row r="4" spans="1:9" x14ac:dyDescent="0.35">
      <c r="A4" t="s">
        <v>21</v>
      </c>
      <c r="B4">
        <v>2025</v>
      </c>
      <c r="C4" t="s">
        <v>69</v>
      </c>
      <c r="D4" t="s">
        <v>41</v>
      </c>
      <c r="E4">
        <v>2.1110878572311401E-4</v>
      </c>
      <c r="F4">
        <v>2.1110878572311401E-4</v>
      </c>
      <c r="G4">
        <v>0</v>
      </c>
      <c r="H4">
        <v>0</v>
      </c>
      <c r="I4" t="s">
        <v>71</v>
      </c>
    </row>
    <row r="5" spans="1:9" x14ac:dyDescent="0.35">
      <c r="A5" t="s">
        <v>21</v>
      </c>
      <c r="B5">
        <v>2025</v>
      </c>
      <c r="C5" t="s">
        <v>69</v>
      </c>
      <c r="D5" t="s">
        <v>42</v>
      </c>
      <c r="E5">
        <v>1.11010587111709E-2</v>
      </c>
      <c r="F5">
        <v>1.11010587111709E-2</v>
      </c>
      <c r="G5">
        <v>0</v>
      </c>
      <c r="H5">
        <v>0</v>
      </c>
      <c r="I5" t="s">
        <v>71</v>
      </c>
    </row>
    <row r="6" spans="1:9" x14ac:dyDescent="0.35">
      <c r="A6" t="s">
        <v>21</v>
      </c>
      <c r="B6">
        <v>2025</v>
      </c>
      <c r="C6" t="s">
        <v>69</v>
      </c>
      <c r="D6" t="s">
        <v>43</v>
      </c>
      <c r="E6" s="1">
        <v>7.1272729742905905E-5</v>
      </c>
      <c r="F6" s="1">
        <v>7.1272729742905905E-5</v>
      </c>
      <c r="G6">
        <v>0</v>
      </c>
      <c r="H6">
        <v>0</v>
      </c>
      <c r="I6" t="s">
        <v>71</v>
      </c>
    </row>
    <row r="7" spans="1:9" x14ac:dyDescent="0.35">
      <c r="A7" t="s">
        <v>21</v>
      </c>
      <c r="B7">
        <v>2025</v>
      </c>
      <c r="C7" t="s">
        <v>69</v>
      </c>
      <c r="D7" t="s">
        <v>136</v>
      </c>
      <c r="E7">
        <v>3.1362503053970203E-2</v>
      </c>
      <c r="F7">
        <v>3.1362503053970203E-2</v>
      </c>
      <c r="G7">
        <v>0</v>
      </c>
      <c r="H7">
        <v>0</v>
      </c>
      <c r="I7" t="s">
        <v>71</v>
      </c>
    </row>
    <row r="8" spans="1:9" x14ac:dyDescent="0.35">
      <c r="A8" t="s">
        <v>21</v>
      </c>
      <c r="B8">
        <v>2025</v>
      </c>
      <c r="C8" t="s">
        <v>69</v>
      </c>
      <c r="D8" t="s">
        <v>45</v>
      </c>
      <c r="E8">
        <v>1.5418529422923401E-3</v>
      </c>
      <c r="F8">
        <v>1.5418529422923401E-3</v>
      </c>
      <c r="G8">
        <v>0</v>
      </c>
      <c r="H8">
        <v>0</v>
      </c>
      <c r="I8" t="s">
        <v>71</v>
      </c>
    </row>
    <row r="9" spans="1:9" x14ac:dyDescent="0.35">
      <c r="A9" t="s">
        <v>21</v>
      </c>
      <c r="B9">
        <v>2025</v>
      </c>
      <c r="C9" t="s">
        <v>69</v>
      </c>
      <c r="D9" t="s">
        <v>46</v>
      </c>
      <c r="E9">
        <v>3.3452510973202399E-4</v>
      </c>
      <c r="F9">
        <v>3.3452510973202399E-4</v>
      </c>
      <c r="G9">
        <v>0</v>
      </c>
      <c r="H9">
        <v>0</v>
      </c>
      <c r="I9" t="s">
        <v>71</v>
      </c>
    </row>
    <row r="10" spans="1:9" x14ac:dyDescent="0.35">
      <c r="A10" t="s">
        <v>21</v>
      </c>
      <c r="B10">
        <v>2025</v>
      </c>
      <c r="C10" t="s">
        <v>69</v>
      </c>
      <c r="D10" t="s">
        <v>47</v>
      </c>
      <c r="E10" s="1">
        <v>1.2868755345056801E-5</v>
      </c>
      <c r="F10" s="1">
        <v>1.2868755345056801E-5</v>
      </c>
      <c r="G10">
        <v>0</v>
      </c>
      <c r="H10">
        <v>0</v>
      </c>
      <c r="I10" t="s">
        <v>71</v>
      </c>
    </row>
    <row r="11" spans="1:9" x14ac:dyDescent="0.35">
      <c r="A11" t="s">
        <v>21</v>
      </c>
      <c r="B11">
        <v>2025</v>
      </c>
      <c r="C11" t="s">
        <v>69</v>
      </c>
      <c r="D11" t="s">
        <v>48</v>
      </c>
      <c r="E11">
        <v>1.6126329674095901E-3</v>
      </c>
      <c r="F11">
        <v>1.6126329674095901E-3</v>
      </c>
      <c r="G11">
        <v>0</v>
      </c>
      <c r="H11">
        <v>0</v>
      </c>
      <c r="I11" t="s">
        <v>71</v>
      </c>
    </row>
    <row r="12" spans="1:9" x14ac:dyDescent="0.35">
      <c r="A12" t="s">
        <v>21</v>
      </c>
      <c r="B12">
        <v>2025</v>
      </c>
      <c r="C12" t="s">
        <v>69</v>
      </c>
      <c r="D12" t="s">
        <v>49</v>
      </c>
      <c r="E12">
        <v>2.06229719592386E-4</v>
      </c>
      <c r="F12">
        <v>2.06229719592386E-4</v>
      </c>
      <c r="G12">
        <v>0</v>
      </c>
      <c r="H12">
        <v>0</v>
      </c>
      <c r="I12" t="s">
        <v>71</v>
      </c>
    </row>
    <row r="13" spans="1:9" x14ac:dyDescent="0.35">
      <c r="A13" t="s">
        <v>21</v>
      </c>
      <c r="B13">
        <v>2025</v>
      </c>
      <c r="C13" t="s">
        <v>69</v>
      </c>
      <c r="D13" t="s">
        <v>50</v>
      </c>
      <c r="E13">
        <v>5.0762016698372098E-4</v>
      </c>
      <c r="F13">
        <v>5.0762016698372098E-4</v>
      </c>
      <c r="G13">
        <v>0</v>
      </c>
      <c r="H13">
        <v>0</v>
      </c>
      <c r="I13" t="s">
        <v>71</v>
      </c>
    </row>
    <row r="14" spans="1:9" x14ac:dyDescent="0.35">
      <c r="A14" t="s">
        <v>21</v>
      </c>
      <c r="B14">
        <v>2025</v>
      </c>
      <c r="C14" t="s">
        <v>69</v>
      </c>
      <c r="D14" t="s">
        <v>51</v>
      </c>
      <c r="E14">
        <v>9.5922515004071805E-3</v>
      </c>
      <c r="F14">
        <v>9.5922515004071805E-3</v>
      </c>
      <c r="G14">
        <v>0</v>
      </c>
      <c r="H14">
        <v>0</v>
      </c>
      <c r="I14" t="s">
        <v>71</v>
      </c>
    </row>
    <row r="15" spans="1:9" x14ac:dyDescent="0.35">
      <c r="A15" t="s">
        <v>21</v>
      </c>
      <c r="B15">
        <v>2025</v>
      </c>
      <c r="C15" t="s">
        <v>69</v>
      </c>
      <c r="D15" t="s">
        <v>52</v>
      </c>
      <c r="E15">
        <v>3.65484558426294E-3</v>
      </c>
      <c r="F15">
        <v>3.65484558426294E-3</v>
      </c>
      <c r="G15">
        <v>0</v>
      </c>
      <c r="H15">
        <v>0</v>
      </c>
      <c r="I15" t="s">
        <v>71</v>
      </c>
    </row>
    <row r="16" spans="1:9" x14ac:dyDescent="0.35">
      <c r="A16" t="s">
        <v>21</v>
      </c>
      <c r="B16">
        <v>2025</v>
      </c>
      <c r="C16" t="s">
        <v>69</v>
      </c>
      <c r="D16" t="s">
        <v>53</v>
      </c>
      <c r="E16">
        <v>8.2730363714030898E-3</v>
      </c>
      <c r="F16">
        <v>8.2730363714030898E-3</v>
      </c>
      <c r="G16">
        <v>0</v>
      </c>
      <c r="H16">
        <v>0</v>
      </c>
      <c r="I16" t="s">
        <v>71</v>
      </c>
    </row>
    <row r="17" spans="1:9" x14ac:dyDescent="0.35">
      <c r="A17" t="s">
        <v>21</v>
      </c>
      <c r="B17">
        <v>2025</v>
      </c>
      <c r="C17" t="s">
        <v>69</v>
      </c>
      <c r="D17" t="s">
        <v>54</v>
      </c>
      <c r="E17">
        <v>5.6590183763115503E-4</v>
      </c>
      <c r="F17">
        <v>5.6590183763115503E-4</v>
      </c>
      <c r="G17">
        <v>0</v>
      </c>
      <c r="H17">
        <v>0</v>
      </c>
      <c r="I17" t="s">
        <v>71</v>
      </c>
    </row>
    <row r="18" spans="1:9" x14ac:dyDescent="0.35">
      <c r="A18" t="s">
        <v>21</v>
      </c>
      <c r="B18">
        <v>2025</v>
      </c>
      <c r="C18" t="s">
        <v>69</v>
      </c>
      <c r="D18" t="s">
        <v>55</v>
      </c>
      <c r="E18">
        <v>5.1996550370499097E-4</v>
      </c>
      <c r="F18">
        <v>5.1996550370499097E-4</v>
      </c>
      <c r="G18">
        <v>0</v>
      </c>
      <c r="H18">
        <v>0</v>
      </c>
      <c r="I18" t="s">
        <v>71</v>
      </c>
    </row>
    <row r="19" spans="1:9" x14ac:dyDescent="0.35">
      <c r="A19" t="s">
        <v>21</v>
      </c>
      <c r="B19">
        <v>2025</v>
      </c>
      <c r="C19" t="s">
        <v>69</v>
      </c>
      <c r="D19" t="s">
        <v>56</v>
      </c>
      <c r="E19" s="1">
        <v>1.4697648048332299E-9</v>
      </c>
      <c r="F19" s="1">
        <v>1.4697648048332299E-9</v>
      </c>
      <c r="G19">
        <v>0</v>
      </c>
      <c r="H19">
        <v>0</v>
      </c>
      <c r="I19" t="s">
        <v>71</v>
      </c>
    </row>
    <row r="20" spans="1:9" x14ac:dyDescent="0.35">
      <c r="A20" t="s">
        <v>23</v>
      </c>
      <c r="B20">
        <v>2030</v>
      </c>
      <c r="C20" t="s">
        <v>69</v>
      </c>
      <c r="D20" t="s">
        <v>38</v>
      </c>
      <c r="E20" s="1">
        <v>7.38536167858461E-6</v>
      </c>
      <c r="F20" s="1">
        <v>7.38536167858461E-6</v>
      </c>
      <c r="G20">
        <v>0</v>
      </c>
      <c r="H20">
        <v>0</v>
      </c>
      <c r="I20" t="s">
        <v>71</v>
      </c>
    </row>
    <row r="21" spans="1:9" x14ac:dyDescent="0.35">
      <c r="A21" t="s">
        <v>23</v>
      </c>
      <c r="B21">
        <v>2030</v>
      </c>
      <c r="C21" t="s">
        <v>69</v>
      </c>
      <c r="D21" t="s">
        <v>40</v>
      </c>
      <c r="E21" s="1">
        <v>3.5338082464952801E-5</v>
      </c>
      <c r="F21" s="1">
        <v>3.5338082464952801E-5</v>
      </c>
      <c r="G21">
        <v>0</v>
      </c>
      <c r="H21">
        <v>0</v>
      </c>
      <c r="I21" t="s">
        <v>71</v>
      </c>
    </row>
    <row r="22" spans="1:9" x14ac:dyDescent="0.35">
      <c r="A22" t="s">
        <v>23</v>
      </c>
      <c r="B22">
        <v>2030</v>
      </c>
      <c r="C22" t="s">
        <v>69</v>
      </c>
      <c r="D22" t="s">
        <v>41</v>
      </c>
      <c r="E22">
        <v>2.0628960263122201E-4</v>
      </c>
      <c r="F22">
        <v>2.0628960263122201E-4</v>
      </c>
      <c r="G22">
        <v>0</v>
      </c>
      <c r="H22">
        <v>0</v>
      </c>
      <c r="I22" t="s">
        <v>71</v>
      </c>
    </row>
    <row r="23" spans="1:9" x14ac:dyDescent="0.35">
      <c r="A23" t="s">
        <v>23</v>
      </c>
      <c r="B23">
        <v>2030</v>
      </c>
      <c r="C23" t="s">
        <v>69</v>
      </c>
      <c r="D23" t="s">
        <v>42</v>
      </c>
      <c r="E23">
        <v>1.1731649549141699E-2</v>
      </c>
      <c r="F23">
        <v>1.1731649549141699E-2</v>
      </c>
      <c r="G23">
        <v>0</v>
      </c>
      <c r="H23">
        <v>0</v>
      </c>
      <c r="I23" t="s">
        <v>71</v>
      </c>
    </row>
    <row r="24" spans="1:9" x14ac:dyDescent="0.35">
      <c r="A24" t="s">
        <v>23</v>
      </c>
      <c r="B24">
        <v>2030</v>
      </c>
      <c r="C24" t="s">
        <v>69</v>
      </c>
      <c r="D24" t="s">
        <v>43</v>
      </c>
      <c r="E24" s="1">
        <v>7.0555366462568995E-5</v>
      </c>
      <c r="F24" s="1">
        <v>7.0555366462568995E-5</v>
      </c>
      <c r="G24">
        <v>0</v>
      </c>
      <c r="H24">
        <v>0</v>
      </c>
      <c r="I24" t="s">
        <v>71</v>
      </c>
    </row>
    <row r="25" spans="1:9" x14ac:dyDescent="0.35">
      <c r="A25" t="s">
        <v>23</v>
      </c>
      <c r="B25">
        <v>2030</v>
      </c>
      <c r="C25" t="s">
        <v>69</v>
      </c>
      <c r="D25" t="s">
        <v>136</v>
      </c>
      <c r="E25">
        <v>3.0366995219154199E-2</v>
      </c>
      <c r="F25">
        <v>3.0366995219154199E-2</v>
      </c>
      <c r="G25">
        <v>0</v>
      </c>
      <c r="H25">
        <v>0</v>
      </c>
      <c r="I25" t="s">
        <v>71</v>
      </c>
    </row>
    <row r="26" spans="1:9" x14ac:dyDescent="0.35">
      <c r="A26" t="s">
        <v>23</v>
      </c>
      <c r="B26">
        <v>2030</v>
      </c>
      <c r="C26" t="s">
        <v>69</v>
      </c>
      <c r="D26" t="s">
        <v>45</v>
      </c>
      <c r="E26">
        <v>1.5326677118945699E-3</v>
      </c>
      <c r="F26">
        <v>4.4631577586644702E-4</v>
      </c>
      <c r="G26">
        <v>-1.08635193602812E-3</v>
      </c>
      <c r="H26">
        <v>-70.879808297472096</v>
      </c>
      <c r="I26" t="s">
        <v>71</v>
      </c>
    </row>
    <row r="27" spans="1:9" x14ac:dyDescent="0.35">
      <c r="A27" t="s">
        <v>23</v>
      </c>
      <c r="B27">
        <v>2030</v>
      </c>
      <c r="C27" t="s">
        <v>69</v>
      </c>
      <c r="D27" t="s">
        <v>46</v>
      </c>
      <c r="E27">
        <v>4.5878718445153802E-4</v>
      </c>
      <c r="F27">
        <v>4.5878718445153802E-4</v>
      </c>
      <c r="G27">
        <v>0</v>
      </c>
      <c r="H27">
        <v>0</v>
      </c>
      <c r="I27" t="s">
        <v>71</v>
      </c>
    </row>
    <row r="28" spans="1:9" x14ac:dyDescent="0.35">
      <c r="A28" t="s">
        <v>23</v>
      </c>
      <c r="B28">
        <v>2030</v>
      </c>
      <c r="C28" t="s">
        <v>69</v>
      </c>
      <c r="D28" t="s">
        <v>47</v>
      </c>
      <c r="E28" s="1">
        <v>1.4360864263268501E-5</v>
      </c>
      <c r="F28" s="1">
        <v>1.4360864263268501E-5</v>
      </c>
      <c r="G28">
        <v>0</v>
      </c>
      <c r="H28">
        <v>0</v>
      </c>
      <c r="I28" t="s">
        <v>71</v>
      </c>
    </row>
    <row r="29" spans="1:9" x14ac:dyDescent="0.35">
      <c r="A29" t="s">
        <v>23</v>
      </c>
      <c r="B29">
        <v>2030</v>
      </c>
      <c r="C29" t="s">
        <v>69</v>
      </c>
      <c r="D29" t="s">
        <v>48</v>
      </c>
      <c r="E29">
        <v>1.62471117191179E-3</v>
      </c>
      <c r="F29">
        <v>1.62471117191179E-3</v>
      </c>
      <c r="G29">
        <v>0</v>
      </c>
      <c r="H29">
        <v>0</v>
      </c>
      <c r="I29" t="s">
        <v>71</v>
      </c>
    </row>
    <row r="30" spans="1:9" x14ac:dyDescent="0.35">
      <c r="A30" t="s">
        <v>23</v>
      </c>
      <c r="B30">
        <v>2030</v>
      </c>
      <c r="C30" t="s">
        <v>69</v>
      </c>
      <c r="D30" t="s">
        <v>49</v>
      </c>
      <c r="E30">
        <v>1.9510194436070399E-4</v>
      </c>
      <c r="F30">
        <v>1.9510194436070399E-4</v>
      </c>
      <c r="G30">
        <v>0</v>
      </c>
      <c r="H30">
        <v>0</v>
      </c>
      <c r="I30" t="s">
        <v>71</v>
      </c>
    </row>
    <row r="31" spans="1:9" x14ac:dyDescent="0.35">
      <c r="A31" t="s">
        <v>23</v>
      </c>
      <c r="B31">
        <v>2030</v>
      </c>
      <c r="C31" t="s">
        <v>69</v>
      </c>
      <c r="D31" t="s">
        <v>50</v>
      </c>
      <c r="E31">
        <v>5.1349037739983796E-4</v>
      </c>
      <c r="F31">
        <v>5.1349037739983796E-4</v>
      </c>
      <c r="G31">
        <v>0</v>
      </c>
      <c r="H31">
        <v>0</v>
      </c>
      <c r="I31" t="s">
        <v>71</v>
      </c>
    </row>
    <row r="32" spans="1:9" x14ac:dyDescent="0.35">
      <c r="A32" t="s">
        <v>23</v>
      </c>
      <c r="B32">
        <v>2030</v>
      </c>
      <c r="C32" t="s">
        <v>69</v>
      </c>
      <c r="D32" t="s">
        <v>51</v>
      </c>
      <c r="E32">
        <v>9.5853335613735203E-3</v>
      </c>
      <c r="F32">
        <v>9.5853335613735203E-3</v>
      </c>
      <c r="G32">
        <v>0</v>
      </c>
      <c r="H32">
        <v>0</v>
      </c>
      <c r="I32" t="s">
        <v>71</v>
      </c>
    </row>
    <row r="33" spans="1:9" x14ac:dyDescent="0.35">
      <c r="A33" t="s">
        <v>23</v>
      </c>
      <c r="B33">
        <v>2030</v>
      </c>
      <c r="C33" t="s">
        <v>69</v>
      </c>
      <c r="D33" t="s">
        <v>52</v>
      </c>
      <c r="E33">
        <v>3.11141059606025E-3</v>
      </c>
      <c r="F33">
        <v>3.11141059606025E-3</v>
      </c>
      <c r="G33">
        <v>0</v>
      </c>
      <c r="H33">
        <v>0</v>
      </c>
      <c r="I33" t="s">
        <v>71</v>
      </c>
    </row>
    <row r="34" spans="1:9" x14ac:dyDescent="0.35">
      <c r="A34" t="s">
        <v>23</v>
      </c>
      <c r="B34">
        <v>2030</v>
      </c>
      <c r="C34" t="s">
        <v>69</v>
      </c>
      <c r="D34" t="s">
        <v>53</v>
      </c>
      <c r="E34">
        <v>8.1387602572309103E-3</v>
      </c>
      <c r="F34">
        <v>8.1387602572309103E-3</v>
      </c>
      <c r="G34">
        <v>0</v>
      </c>
      <c r="H34">
        <v>0</v>
      </c>
      <c r="I34" t="s">
        <v>71</v>
      </c>
    </row>
    <row r="35" spans="1:9" x14ac:dyDescent="0.35">
      <c r="A35" t="s">
        <v>23</v>
      </c>
      <c r="B35">
        <v>2030</v>
      </c>
      <c r="C35" t="s">
        <v>69</v>
      </c>
      <c r="D35" t="s">
        <v>54</v>
      </c>
      <c r="E35">
        <v>6.0451929583982299E-4</v>
      </c>
      <c r="F35">
        <v>6.0451929583982299E-4</v>
      </c>
      <c r="G35">
        <v>0</v>
      </c>
      <c r="H35">
        <v>0</v>
      </c>
      <c r="I35" t="s">
        <v>71</v>
      </c>
    </row>
    <row r="36" spans="1:9" x14ac:dyDescent="0.35">
      <c r="A36" t="s">
        <v>23</v>
      </c>
      <c r="B36">
        <v>2030</v>
      </c>
      <c r="C36" t="s">
        <v>69</v>
      </c>
      <c r="D36" t="s">
        <v>55</v>
      </c>
      <c r="E36">
        <v>5.5254593400722496E-4</v>
      </c>
      <c r="F36">
        <v>5.5254593400722496E-4</v>
      </c>
      <c r="G36">
        <v>0</v>
      </c>
      <c r="H36">
        <v>0</v>
      </c>
      <c r="I36" t="s">
        <v>71</v>
      </c>
    </row>
    <row r="37" spans="1:9" x14ac:dyDescent="0.35">
      <c r="A37" t="s">
        <v>23</v>
      </c>
      <c r="B37">
        <v>2030</v>
      </c>
      <c r="C37" t="s">
        <v>69</v>
      </c>
      <c r="D37" t="s">
        <v>56</v>
      </c>
      <c r="E37" s="1">
        <v>1.46278593520296E-9</v>
      </c>
      <c r="F37" s="1">
        <v>1.46278593520296E-9</v>
      </c>
      <c r="G37">
        <v>0</v>
      </c>
      <c r="H37">
        <v>0</v>
      </c>
      <c r="I37" t="s">
        <v>71</v>
      </c>
    </row>
    <row r="38" spans="1:9" x14ac:dyDescent="0.35">
      <c r="A38" t="s">
        <v>25</v>
      </c>
      <c r="B38">
        <v>2035</v>
      </c>
      <c r="C38" t="s">
        <v>69</v>
      </c>
      <c r="D38" t="s">
        <v>38</v>
      </c>
      <c r="E38" s="1">
        <v>1.11044455524962E-5</v>
      </c>
      <c r="F38" s="1">
        <v>1.11044455524962E-5</v>
      </c>
      <c r="G38">
        <v>0</v>
      </c>
      <c r="H38">
        <v>0</v>
      </c>
      <c r="I38" t="s">
        <v>71</v>
      </c>
    </row>
    <row r="39" spans="1:9" x14ac:dyDescent="0.35">
      <c r="A39" t="s">
        <v>25</v>
      </c>
      <c r="B39">
        <v>2035</v>
      </c>
      <c r="C39" t="s">
        <v>69</v>
      </c>
      <c r="D39" t="s">
        <v>40</v>
      </c>
      <c r="E39" s="1">
        <v>3.5332243877542001E-5</v>
      </c>
      <c r="F39" s="1">
        <v>3.5332243877542001E-5</v>
      </c>
      <c r="G39">
        <v>0</v>
      </c>
      <c r="H39">
        <v>0</v>
      </c>
      <c r="I39" t="s">
        <v>71</v>
      </c>
    </row>
    <row r="40" spans="1:9" x14ac:dyDescent="0.35">
      <c r="A40" t="s">
        <v>25</v>
      </c>
      <c r="B40">
        <v>2035</v>
      </c>
      <c r="C40" t="s">
        <v>69</v>
      </c>
      <c r="D40" t="s">
        <v>41</v>
      </c>
      <c r="E40">
        <v>2.04873373574921E-4</v>
      </c>
      <c r="F40">
        <v>2.04873373574921E-4</v>
      </c>
      <c r="G40">
        <v>0</v>
      </c>
      <c r="H40">
        <v>0</v>
      </c>
      <c r="I40" t="s">
        <v>71</v>
      </c>
    </row>
    <row r="41" spans="1:9" x14ac:dyDescent="0.35">
      <c r="A41" t="s">
        <v>25</v>
      </c>
      <c r="B41">
        <v>2035</v>
      </c>
      <c r="C41" t="s">
        <v>69</v>
      </c>
      <c r="D41" t="s">
        <v>42</v>
      </c>
      <c r="E41">
        <v>1.32457779848951E-2</v>
      </c>
      <c r="F41">
        <v>1.32457779848951E-2</v>
      </c>
      <c r="G41">
        <v>0</v>
      </c>
      <c r="H41">
        <v>0</v>
      </c>
      <c r="I41" t="s">
        <v>71</v>
      </c>
    </row>
    <row r="42" spans="1:9" x14ac:dyDescent="0.35">
      <c r="A42" t="s">
        <v>25</v>
      </c>
      <c r="B42">
        <v>2035</v>
      </c>
      <c r="C42" t="s">
        <v>69</v>
      </c>
      <c r="D42" t="s">
        <v>43</v>
      </c>
      <c r="E42" s="1">
        <v>7.1021603871454397E-5</v>
      </c>
      <c r="F42" s="1">
        <v>7.1021603871454397E-5</v>
      </c>
      <c r="G42">
        <v>0</v>
      </c>
      <c r="H42">
        <v>0</v>
      </c>
      <c r="I42" t="s">
        <v>71</v>
      </c>
    </row>
    <row r="43" spans="1:9" x14ac:dyDescent="0.35">
      <c r="A43" t="s">
        <v>25</v>
      </c>
      <c r="B43">
        <v>2035</v>
      </c>
      <c r="C43" t="s">
        <v>69</v>
      </c>
      <c r="D43" t="s">
        <v>136</v>
      </c>
      <c r="E43">
        <v>3.1136044670536801E-2</v>
      </c>
      <c r="F43">
        <v>3.1136044670536801E-2</v>
      </c>
      <c r="G43">
        <v>0</v>
      </c>
      <c r="H43">
        <v>0</v>
      </c>
      <c r="I43" t="s">
        <v>71</v>
      </c>
    </row>
    <row r="44" spans="1:9" x14ac:dyDescent="0.35">
      <c r="A44" t="s">
        <v>25</v>
      </c>
      <c r="B44">
        <v>2035</v>
      </c>
      <c r="C44" t="s">
        <v>69</v>
      </c>
      <c r="D44" t="s">
        <v>45</v>
      </c>
      <c r="E44">
        <v>1.5269668148083001E-3</v>
      </c>
      <c r="F44">
        <v>1.2356037910855901E-3</v>
      </c>
      <c r="G44">
        <v>-2.9136302372270999E-4</v>
      </c>
      <c r="H44">
        <v>-19.081162792610399</v>
      </c>
      <c r="I44" t="s">
        <v>71</v>
      </c>
    </row>
    <row r="45" spans="1:9" x14ac:dyDescent="0.35">
      <c r="A45" t="s">
        <v>25</v>
      </c>
      <c r="B45">
        <v>2035</v>
      </c>
      <c r="C45" t="s">
        <v>69</v>
      </c>
      <c r="D45" t="s">
        <v>46</v>
      </c>
      <c r="E45">
        <v>6.5416077032202902E-4</v>
      </c>
      <c r="F45">
        <v>6.5416077032202902E-4</v>
      </c>
      <c r="G45">
        <v>0</v>
      </c>
      <c r="H45">
        <v>0</v>
      </c>
      <c r="I45" t="s">
        <v>71</v>
      </c>
    </row>
    <row r="46" spans="1:9" x14ac:dyDescent="0.35">
      <c r="A46" t="s">
        <v>25</v>
      </c>
      <c r="B46">
        <v>2035</v>
      </c>
      <c r="C46" t="s">
        <v>69</v>
      </c>
      <c r="D46" t="s">
        <v>47</v>
      </c>
      <c r="E46" s="1">
        <v>1.7272168587234501E-5</v>
      </c>
      <c r="F46" s="1">
        <v>1.7272168587234501E-5</v>
      </c>
      <c r="G46">
        <v>0</v>
      </c>
      <c r="H46">
        <v>0</v>
      </c>
      <c r="I46" t="s">
        <v>71</v>
      </c>
    </row>
    <row r="47" spans="1:9" x14ac:dyDescent="0.35">
      <c r="A47" t="s">
        <v>25</v>
      </c>
      <c r="B47">
        <v>2035</v>
      </c>
      <c r="C47" t="s">
        <v>69</v>
      </c>
      <c r="D47" t="s">
        <v>48</v>
      </c>
      <c r="E47">
        <v>1.61547764695327E-3</v>
      </c>
      <c r="F47">
        <v>1.61547764695327E-3</v>
      </c>
      <c r="G47">
        <v>0</v>
      </c>
      <c r="H47">
        <v>0</v>
      </c>
      <c r="I47" t="s">
        <v>71</v>
      </c>
    </row>
    <row r="48" spans="1:9" x14ac:dyDescent="0.35">
      <c r="A48" t="s">
        <v>25</v>
      </c>
      <c r="B48">
        <v>2035</v>
      </c>
      <c r="C48" t="s">
        <v>69</v>
      </c>
      <c r="D48" t="s">
        <v>49</v>
      </c>
      <c r="E48">
        <v>1.9108496247863499E-4</v>
      </c>
      <c r="F48">
        <v>1.9108496247863499E-4</v>
      </c>
      <c r="G48">
        <v>0</v>
      </c>
      <c r="H48">
        <v>0</v>
      </c>
      <c r="I48" t="s">
        <v>71</v>
      </c>
    </row>
    <row r="49" spans="1:9" x14ac:dyDescent="0.35">
      <c r="A49" t="s">
        <v>25</v>
      </c>
      <c r="B49">
        <v>2035</v>
      </c>
      <c r="C49" t="s">
        <v>69</v>
      </c>
      <c r="D49" t="s">
        <v>50</v>
      </c>
      <c r="E49">
        <v>5.2190552848881599E-4</v>
      </c>
      <c r="F49">
        <v>5.2190552848881599E-4</v>
      </c>
      <c r="G49">
        <v>0</v>
      </c>
      <c r="H49">
        <v>0</v>
      </c>
      <c r="I49" t="s">
        <v>71</v>
      </c>
    </row>
    <row r="50" spans="1:9" x14ac:dyDescent="0.35">
      <c r="A50" t="s">
        <v>25</v>
      </c>
      <c r="B50">
        <v>2035</v>
      </c>
      <c r="C50" t="s">
        <v>69</v>
      </c>
      <c r="D50" t="s">
        <v>51</v>
      </c>
      <c r="E50">
        <v>9.5839177220684805E-3</v>
      </c>
      <c r="F50">
        <v>9.5839177220684805E-3</v>
      </c>
      <c r="G50">
        <v>0</v>
      </c>
      <c r="H50">
        <v>0</v>
      </c>
      <c r="I50" t="s">
        <v>71</v>
      </c>
    </row>
    <row r="51" spans="1:9" x14ac:dyDescent="0.35">
      <c r="A51" t="s">
        <v>25</v>
      </c>
      <c r="B51">
        <v>2035</v>
      </c>
      <c r="C51" t="s">
        <v>69</v>
      </c>
      <c r="D51" t="s">
        <v>52</v>
      </c>
      <c r="E51">
        <v>2.5639915446570298E-3</v>
      </c>
      <c r="F51">
        <v>2.5639915446570298E-3</v>
      </c>
      <c r="G51">
        <v>0</v>
      </c>
      <c r="H51">
        <v>0</v>
      </c>
      <c r="I51" t="s">
        <v>71</v>
      </c>
    </row>
    <row r="52" spans="1:9" x14ac:dyDescent="0.35">
      <c r="A52" t="s">
        <v>25</v>
      </c>
      <c r="B52">
        <v>2035</v>
      </c>
      <c r="C52" t="s">
        <v>69</v>
      </c>
      <c r="D52" t="s">
        <v>53</v>
      </c>
      <c r="E52">
        <v>8.4445646783577605E-3</v>
      </c>
      <c r="F52">
        <v>8.4445646783577605E-3</v>
      </c>
      <c r="G52">
        <v>0</v>
      </c>
      <c r="H52">
        <v>0</v>
      </c>
      <c r="I52" t="s">
        <v>71</v>
      </c>
    </row>
    <row r="53" spans="1:9" x14ac:dyDescent="0.35">
      <c r="A53" t="s">
        <v>25</v>
      </c>
      <c r="B53">
        <v>2035</v>
      </c>
      <c r="C53" t="s">
        <v>69</v>
      </c>
      <c r="D53" t="s">
        <v>54</v>
      </c>
      <c r="E53">
        <v>6.4866641702483003E-4</v>
      </c>
      <c r="F53">
        <v>6.4866641702483003E-4</v>
      </c>
      <c r="G53">
        <v>0</v>
      </c>
      <c r="H53">
        <v>0</v>
      </c>
      <c r="I53" t="s">
        <v>71</v>
      </c>
    </row>
    <row r="54" spans="1:9" x14ac:dyDescent="0.35">
      <c r="A54" t="s">
        <v>25</v>
      </c>
      <c r="B54">
        <v>2035</v>
      </c>
      <c r="C54" t="s">
        <v>69</v>
      </c>
      <c r="D54" t="s">
        <v>55</v>
      </c>
      <c r="E54">
        <v>5.9199046904360899E-4</v>
      </c>
      <c r="F54">
        <v>5.9199046904360899E-4</v>
      </c>
      <c r="G54">
        <v>0</v>
      </c>
      <c r="H54">
        <v>0</v>
      </c>
      <c r="I54" t="s">
        <v>71</v>
      </c>
    </row>
    <row r="55" spans="1:9" x14ac:dyDescent="0.35">
      <c r="A55" t="s">
        <v>25</v>
      </c>
      <c r="B55">
        <v>2035</v>
      </c>
      <c r="C55" t="s">
        <v>69</v>
      </c>
      <c r="D55" t="s">
        <v>56</v>
      </c>
      <c r="E55" s="1">
        <v>1.49268211487621E-9</v>
      </c>
      <c r="F55" s="1">
        <v>1.49268211487621E-9</v>
      </c>
      <c r="G55">
        <v>0</v>
      </c>
      <c r="H55">
        <v>0</v>
      </c>
      <c r="I55" t="s">
        <v>71</v>
      </c>
    </row>
    <row r="56" spans="1:9" x14ac:dyDescent="0.35">
      <c r="A56" t="s">
        <v>27</v>
      </c>
      <c r="B56">
        <v>2040</v>
      </c>
      <c r="C56" t="s">
        <v>69</v>
      </c>
      <c r="D56" t="s">
        <v>38</v>
      </c>
      <c r="E56" s="1">
        <v>9.5795651257072295E-6</v>
      </c>
      <c r="F56" s="1">
        <v>9.5795651257072295E-6</v>
      </c>
      <c r="G56">
        <v>0</v>
      </c>
      <c r="H56">
        <v>0</v>
      </c>
      <c r="I56" t="s">
        <v>71</v>
      </c>
    </row>
    <row r="57" spans="1:9" x14ac:dyDescent="0.35">
      <c r="A57" t="s">
        <v>27</v>
      </c>
      <c r="B57">
        <v>2040</v>
      </c>
      <c r="C57" t="s">
        <v>69</v>
      </c>
      <c r="D57" t="s">
        <v>40</v>
      </c>
      <c r="E57" s="1">
        <v>3.5304113038216902E-5</v>
      </c>
      <c r="F57" s="1">
        <v>3.5304113038216902E-5</v>
      </c>
      <c r="G57">
        <v>0</v>
      </c>
      <c r="H57">
        <v>0</v>
      </c>
      <c r="I57" t="s">
        <v>71</v>
      </c>
    </row>
    <row r="58" spans="1:9" x14ac:dyDescent="0.35">
      <c r="A58" t="s">
        <v>27</v>
      </c>
      <c r="B58">
        <v>2040</v>
      </c>
      <c r="C58" t="s">
        <v>69</v>
      </c>
      <c r="D58" t="s">
        <v>41</v>
      </c>
      <c r="E58">
        <v>2.0414433670353901E-4</v>
      </c>
      <c r="F58">
        <v>2.0414433670353901E-4</v>
      </c>
      <c r="G58">
        <v>0</v>
      </c>
      <c r="H58">
        <v>0</v>
      </c>
      <c r="I58" t="s">
        <v>71</v>
      </c>
    </row>
    <row r="59" spans="1:9" x14ac:dyDescent="0.35">
      <c r="A59" t="s">
        <v>27</v>
      </c>
      <c r="B59">
        <v>2040</v>
      </c>
      <c r="C59" t="s">
        <v>69</v>
      </c>
      <c r="D59" t="s">
        <v>42</v>
      </c>
      <c r="E59">
        <v>1.4594303278413901E-2</v>
      </c>
      <c r="F59">
        <v>1.4594303278413901E-2</v>
      </c>
      <c r="G59">
        <v>0</v>
      </c>
      <c r="H59">
        <v>0</v>
      </c>
      <c r="I59" t="s">
        <v>71</v>
      </c>
    </row>
    <row r="60" spans="1:9" x14ac:dyDescent="0.35">
      <c r="A60" t="s">
        <v>27</v>
      </c>
      <c r="B60">
        <v>2040</v>
      </c>
      <c r="C60" t="s">
        <v>69</v>
      </c>
      <c r="D60" t="s">
        <v>43</v>
      </c>
      <c r="E60" s="1">
        <v>7.0897248041729702E-5</v>
      </c>
      <c r="F60" s="1">
        <v>7.0897248041729702E-5</v>
      </c>
      <c r="G60">
        <v>0</v>
      </c>
      <c r="H60">
        <v>0</v>
      </c>
      <c r="I60" t="s">
        <v>71</v>
      </c>
    </row>
    <row r="61" spans="1:9" x14ac:dyDescent="0.35">
      <c r="A61" t="s">
        <v>27</v>
      </c>
      <c r="B61">
        <v>2040</v>
      </c>
      <c r="C61" t="s">
        <v>69</v>
      </c>
      <c r="D61" t="s">
        <v>136</v>
      </c>
      <c r="E61">
        <v>3.1937090034329499E-2</v>
      </c>
      <c r="F61">
        <v>3.1937090034329499E-2</v>
      </c>
      <c r="G61">
        <v>0</v>
      </c>
      <c r="H61">
        <v>0</v>
      </c>
      <c r="I61" t="s">
        <v>71</v>
      </c>
    </row>
    <row r="62" spans="1:9" x14ac:dyDescent="0.35">
      <c r="A62" t="s">
        <v>27</v>
      </c>
      <c r="B62">
        <v>2040</v>
      </c>
      <c r="C62" t="s">
        <v>69</v>
      </c>
      <c r="D62" t="s">
        <v>45</v>
      </c>
      <c r="E62">
        <v>1.5240594577747E-3</v>
      </c>
      <c r="F62">
        <v>1.46344496072456E-4</v>
      </c>
      <c r="G62">
        <v>-1.3777149617022399E-3</v>
      </c>
      <c r="H62">
        <v>-90.397717403615204</v>
      </c>
      <c r="I62" t="s">
        <v>71</v>
      </c>
    </row>
    <row r="63" spans="1:9" x14ac:dyDescent="0.35">
      <c r="A63" t="s">
        <v>27</v>
      </c>
      <c r="B63">
        <v>2040</v>
      </c>
      <c r="C63" t="s">
        <v>69</v>
      </c>
      <c r="D63" t="s">
        <v>46</v>
      </c>
      <c r="E63">
        <v>7.7759021292673005E-4</v>
      </c>
      <c r="F63">
        <v>7.7759021292673005E-4</v>
      </c>
      <c r="G63">
        <v>0</v>
      </c>
      <c r="H63">
        <v>0</v>
      </c>
      <c r="I63" t="s">
        <v>71</v>
      </c>
    </row>
    <row r="64" spans="1:9" x14ac:dyDescent="0.35">
      <c r="A64" t="s">
        <v>27</v>
      </c>
      <c r="B64">
        <v>2040</v>
      </c>
      <c r="C64" t="s">
        <v>69</v>
      </c>
      <c r="D64" t="s">
        <v>47</v>
      </c>
      <c r="E64" s="1">
        <v>1.9813526257252099E-5</v>
      </c>
      <c r="F64" s="1">
        <v>1.9813526257252099E-5</v>
      </c>
      <c r="G64">
        <v>0</v>
      </c>
      <c r="H64">
        <v>0</v>
      </c>
      <c r="I64" t="s">
        <v>71</v>
      </c>
    </row>
    <row r="65" spans="1:9" x14ac:dyDescent="0.35">
      <c r="A65" t="s">
        <v>27</v>
      </c>
      <c r="B65">
        <v>2040</v>
      </c>
      <c r="C65" t="s">
        <v>69</v>
      </c>
      <c r="D65" t="s">
        <v>48</v>
      </c>
      <c r="E65">
        <v>1.6023680567811901E-3</v>
      </c>
      <c r="F65">
        <v>1.6023680567811901E-3</v>
      </c>
      <c r="G65">
        <v>0</v>
      </c>
      <c r="H65">
        <v>0</v>
      </c>
      <c r="I65" t="s">
        <v>71</v>
      </c>
    </row>
    <row r="66" spans="1:9" x14ac:dyDescent="0.35">
      <c r="A66" t="s">
        <v>27</v>
      </c>
      <c r="B66">
        <v>2040</v>
      </c>
      <c r="C66" t="s">
        <v>69</v>
      </c>
      <c r="D66" t="s">
        <v>49</v>
      </c>
      <c r="E66">
        <v>1.89007570167386E-4</v>
      </c>
      <c r="F66">
        <v>1.89007570167386E-4</v>
      </c>
      <c r="G66">
        <v>0</v>
      </c>
      <c r="H66">
        <v>0</v>
      </c>
      <c r="I66" t="s">
        <v>71</v>
      </c>
    </row>
    <row r="67" spans="1:9" x14ac:dyDescent="0.35">
      <c r="A67" t="s">
        <v>27</v>
      </c>
      <c r="B67">
        <v>2040</v>
      </c>
      <c r="C67" t="s">
        <v>69</v>
      </c>
      <c r="D67" t="s">
        <v>50</v>
      </c>
      <c r="E67">
        <v>5.1826204097110598E-4</v>
      </c>
      <c r="F67">
        <v>5.1826204097110598E-4</v>
      </c>
      <c r="G67">
        <v>0</v>
      </c>
      <c r="H67">
        <v>0</v>
      </c>
      <c r="I67" t="s">
        <v>71</v>
      </c>
    </row>
    <row r="68" spans="1:9" x14ac:dyDescent="0.35">
      <c r="A68" t="s">
        <v>27</v>
      </c>
      <c r="B68">
        <v>2040</v>
      </c>
      <c r="C68" t="s">
        <v>69</v>
      </c>
      <c r="D68" t="s">
        <v>51</v>
      </c>
      <c r="E68">
        <v>9.5855548144857094E-3</v>
      </c>
      <c r="F68">
        <v>9.5855548144857094E-3</v>
      </c>
      <c r="G68">
        <v>0</v>
      </c>
      <c r="H68">
        <v>0</v>
      </c>
      <c r="I68" t="s">
        <v>71</v>
      </c>
    </row>
    <row r="69" spans="1:9" x14ac:dyDescent="0.35">
      <c r="A69" t="s">
        <v>27</v>
      </c>
      <c r="B69">
        <v>2040</v>
      </c>
      <c r="C69" t="s">
        <v>69</v>
      </c>
      <c r="D69" t="s">
        <v>52</v>
      </c>
      <c r="E69">
        <v>2.1300876898582501E-3</v>
      </c>
      <c r="F69">
        <v>2.1300876898582501E-3</v>
      </c>
      <c r="G69">
        <v>0</v>
      </c>
      <c r="H69">
        <v>0</v>
      </c>
      <c r="I69" t="s">
        <v>71</v>
      </c>
    </row>
    <row r="70" spans="1:9" x14ac:dyDescent="0.35">
      <c r="A70" t="s">
        <v>27</v>
      </c>
      <c r="B70">
        <v>2040</v>
      </c>
      <c r="C70" t="s">
        <v>69</v>
      </c>
      <c r="D70" t="s">
        <v>53</v>
      </c>
      <c r="E70">
        <v>8.6999530877354403E-3</v>
      </c>
      <c r="F70">
        <v>8.6999530877354403E-3</v>
      </c>
      <c r="G70">
        <v>0</v>
      </c>
      <c r="H70">
        <v>0</v>
      </c>
      <c r="I70" t="s">
        <v>71</v>
      </c>
    </row>
    <row r="71" spans="1:9" x14ac:dyDescent="0.35">
      <c r="A71" t="s">
        <v>27</v>
      </c>
      <c r="B71">
        <v>2040</v>
      </c>
      <c r="C71" t="s">
        <v>69</v>
      </c>
      <c r="D71" t="s">
        <v>54</v>
      </c>
      <c r="E71">
        <v>6.8407473269451195E-4</v>
      </c>
      <c r="F71">
        <v>6.8407473269451195E-4</v>
      </c>
      <c r="G71">
        <v>0</v>
      </c>
      <c r="H71">
        <v>0</v>
      </c>
      <c r="I71" t="s">
        <v>71</v>
      </c>
    </row>
    <row r="72" spans="1:9" x14ac:dyDescent="0.35">
      <c r="A72" t="s">
        <v>27</v>
      </c>
      <c r="B72">
        <v>2040</v>
      </c>
      <c r="C72" t="s">
        <v>69</v>
      </c>
      <c r="D72" t="s">
        <v>55</v>
      </c>
      <c r="E72">
        <v>6.2490204969233801E-4</v>
      </c>
      <c r="F72">
        <v>6.2490204969233801E-4</v>
      </c>
      <c r="G72">
        <v>0</v>
      </c>
      <c r="H72">
        <v>0</v>
      </c>
      <c r="I72" t="s">
        <v>71</v>
      </c>
    </row>
    <row r="73" spans="1:9" x14ac:dyDescent="0.35">
      <c r="A73" t="s">
        <v>27</v>
      </c>
      <c r="B73">
        <v>2040</v>
      </c>
      <c r="C73" t="s">
        <v>69</v>
      </c>
      <c r="D73" t="s">
        <v>56</v>
      </c>
      <c r="E73" s="1">
        <v>1.5048017642291001E-9</v>
      </c>
      <c r="F73" s="1">
        <v>1.5048017642291001E-9</v>
      </c>
      <c r="G73">
        <v>0</v>
      </c>
      <c r="H73">
        <v>0</v>
      </c>
      <c r="I73" t="s">
        <v>71</v>
      </c>
    </row>
    <row r="74" spans="1:9" x14ac:dyDescent="0.35">
      <c r="A74" t="s">
        <v>21</v>
      </c>
      <c r="B74">
        <v>2025</v>
      </c>
      <c r="C74" t="s">
        <v>69</v>
      </c>
      <c r="D74" t="s">
        <v>38</v>
      </c>
      <c r="E74" s="1">
        <v>1.80349190788176E-6</v>
      </c>
      <c r="F74" s="1">
        <v>1.80349190788176E-6</v>
      </c>
      <c r="G74">
        <v>0</v>
      </c>
      <c r="H74">
        <v>0</v>
      </c>
      <c r="I74" t="s">
        <v>70</v>
      </c>
    </row>
    <row r="75" spans="1:9" x14ac:dyDescent="0.35">
      <c r="A75" t="s">
        <v>21</v>
      </c>
      <c r="B75">
        <v>2025</v>
      </c>
      <c r="C75" t="s">
        <v>69</v>
      </c>
      <c r="D75" t="s">
        <v>40</v>
      </c>
      <c r="E75" s="1">
        <v>3.7018910319841301E-5</v>
      </c>
      <c r="F75" s="1">
        <v>3.7018910319841301E-5</v>
      </c>
      <c r="G75">
        <v>0</v>
      </c>
      <c r="H75">
        <v>0</v>
      </c>
      <c r="I75" t="s">
        <v>70</v>
      </c>
    </row>
    <row r="76" spans="1:9" x14ac:dyDescent="0.35">
      <c r="A76" t="s">
        <v>21</v>
      </c>
      <c r="B76">
        <v>2025</v>
      </c>
      <c r="C76" t="s">
        <v>69</v>
      </c>
      <c r="D76" t="s">
        <v>41</v>
      </c>
      <c r="E76">
        <v>2.0453415208746399E-4</v>
      </c>
      <c r="F76">
        <v>2.0453415208746399E-4</v>
      </c>
      <c r="G76">
        <v>0</v>
      </c>
      <c r="H76">
        <v>0</v>
      </c>
      <c r="I76" t="s">
        <v>70</v>
      </c>
    </row>
    <row r="77" spans="1:9" x14ac:dyDescent="0.35">
      <c r="A77" t="s">
        <v>21</v>
      </c>
      <c r="B77">
        <v>2025</v>
      </c>
      <c r="C77" t="s">
        <v>69</v>
      </c>
      <c r="D77" t="s">
        <v>42</v>
      </c>
      <c r="E77">
        <v>9.8609104320174102E-3</v>
      </c>
      <c r="F77">
        <v>9.8609104320174102E-3</v>
      </c>
      <c r="G77">
        <v>0</v>
      </c>
      <c r="H77">
        <v>0</v>
      </c>
      <c r="I77" t="s">
        <v>70</v>
      </c>
    </row>
    <row r="78" spans="1:9" x14ac:dyDescent="0.35">
      <c r="A78" t="s">
        <v>21</v>
      </c>
      <c r="B78">
        <v>2025</v>
      </c>
      <c r="C78" t="s">
        <v>69</v>
      </c>
      <c r="D78" t="s">
        <v>43</v>
      </c>
      <c r="E78" s="1">
        <v>6.8655792219269094E-5</v>
      </c>
      <c r="F78" s="1">
        <v>6.8655792219269094E-5</v>
      </c>
      <c r="G78">
        <v>0</v>
      </c>
      <c r="H78">
        <v>0</v>
      </c>
      <c r="I78" t="s">
        <v>70</v>
      </c>
    </row>
    <row r="79" spans="1:9" x14ac:dyDescent="0.35">
      <c r="A79" t="s">
        <v>21</v>
      </c>
      <c r="B79">
        <v>2025</v>
      </c>
      <c r="C79" t="s">
        <v>69</v>
      </c>
      <c r="D79" t="s">
        <v>136</v>
      </c>
      <c r="E79">
        <v>2.4023658425862099E-2</v>
      </c>
      <c r="F79">
        <v>2.4023658425862099E-2</v>
      </c>
      <c r="G79">
        <v>0</v>
      </c>
      <c r="H79">
        <v>0</v>
      </c>
      <c r="I79" t="s">
        <v>70</v>
      </c>
    </row>
    <row r="80" spans="1:9" x14ac:dyDescent="0.35">
      <c r="A80" t="s">
        <v>21</v>
      </c>
      <c r="B80">
        <v>2025</v>
      </c>
      <c r="C80" t="s">
        <v>69</v>
      </c>
      <c r="D80" t="s">
        <v>45</v>
      </c>
      <c r="E80">
        <v>1.5278873564264399E-3</v>
      </c>
      <c r="F80">
        <v>1.5278873564264399E-3</v>
      </c>
      <c r="G80">
        <v>0</v>
      </c>
      <c r="H80">
        <v>0</v>
      </c>
      <c r="I80" t="s">
        <v>70</v>
      </c>
    </row>
    <row r="81" spans="1:9" x14ac:dyDescent="0.35">
      <c r="A81" t="s">
        <v>21</v>
      </c>
      <c r="B81">
        <v>2025</v>
      </c>
      <c r="C81" t="s">
        <v>69</v>
      </c>
      <c r="D81" t="s">
        <v>46</v>
      </c>
      <c r="E81">
        <v>2.8524475376669103E-4</v>
      </c>
      <c r="F81">
        <v>2.8524475376669103E-4</v>
      </c>
      <c r="G81">
        <v>0</v>
      </c>
      <c r="H81">
        <v>0</v>
      </c>
      <c r="I81" t="s">
        <v>70</v>
      </c>
    </row>
    <row r="82" spans="1:9" x14ac:dyDescent="0.35">
      <c r="A82" t="s">
        <v>21</v>
      </c>
      <c r="B82">
        <v>2025</v>
      </c>
      <c r="C82" t="s">
        <v>69</v>
      </c>
      <c r="D82" t="s">
        <v>47</v>
      </c>
      <c r="E82" s="1">
        <v>1.05130922012927E-5</v>
      </c>
      <c r="F82" s="1">
        <v>1.05130922012927E-5</v>
      </c>
      <c r="G82">
        <v>0</v>
      </c>
      <c r="H82">
        <v>0</v>
      </c>
      <c r="I82" t="s">
        <v>70</v>
      </c>
    </row>
    <row r="83" spans="1:9" x14ac:dyDescent="0.35">
      <c r="A83" t="s">
        <v>21</v>
      </c>
      <c r="B83">
        <v>2025</v>
      </c>
      <c r="C83" t="s">
        <v>69</v>
      </c>
      <c r="D83" t="s">
        <v>48</v>
      </c>
      <c r="E83">
        <v>1.5064877721540899E-3</v>
      </c>
      <c r="F83">
        <v>1.5064877721540899E-3</v>
      </c>
      <c r="G83">
        <v>0</v>
      </c>
      <c r="H83">
        <v>0</v>
      </c>
      <c r="I83" t="s">
        <v>70</v>
      </c>
    </row>
    <row r="84" spans="1:9" x14ac:dyDescent="0.35">
      <c r="A84" t="s">
        <v>21</v>
      </c>
      <c r="B84">
        <v>2025</v>
      </c>
      <c r="C84" t="s">
        <v>69</v>
      </c>
      <c r="D84" t="s">
        <v>49</v>
      </c>
      <c r="E84">
        <v>2.0877735532829001E-4</v>
      </c>
      <c r="F84">
        <v>2.0877735532829001E-4</v>
      </c>
      <c r="G84">
        <v>0</v>
      </c>
      <c r="H84">
        <v>0</v>
      </c>
      <c r="I84" t="s">
        <v>70</v>
      </c>
    </row>
    <row r="85" spans="1:9" x14ac:dyDescent="0.35">
      <c r="A85" t="s">
        <v>21</v>
      </c>
      <c r="B85">
        <v>2025</v>
      </c>
      <c r="C85" t="s">
        <v>69</v>
      </c>
      <c r="D85" t="s">
        <v>50</v>
      </c>
      <c r="E85">
        <v>5.22821361381292E-4</v>
      </c>
      <c r="F85">
        <v>5.22821361381292E-4</v>
      </c>
      <c r="G85">
        <v>0</v>
      </c>
      <c r="H85">
        <v>0</v>
      </c>
      <c r="I85" t="s">
        <v>70</v>
      </c>
    </row>
    <row r="86" spans="1:9" x14ac:dyDescent="0.35">
      <c r="A86" t="s">
        <v>21</v>
      </c>
      <c r="B86">
        <v>2025</v>
      </c>
      <c r="C86" t="s">
        <v>69</v>
      </c>
      <c r="D86" t="s">
        <v>51</v>
      </c>
      <c r="E86">
        <v>9.4814298858607697E-3</v>
      </c>
      <c r="F86">
        <v>9.4814298858607697E-3</v>
      </c>
      <c r="G86">
        <v>0</v>
      </c>
      <c r="H86">
        <v>0</v>
      </c>
      <c r="I86" t="s">
        <v>70</v>
      </c>
    </row>
    <row r="87" spans="1:9" x14ac:dyDescent="0.35">
      <c r="A87" t="s">
        <v>21</v>
      </c>
      <c r="B87">
        <v>2025</v>
      </c>
      <c r="C87" t="s">
        <v>69</v>
      </c>
      <c r="D87" t="s">
        <v>52</v>
      </c>
      <c r="E87">
        <v>4.3663879605403402E-3</v>
      </c>
      <c r="F87">
        <v>4.3663879605403402E-3</v>
      </c>
      <c r="G87">
        <v>0</v>
      </c>
      <c r="H87">
        <v>0</v>
      </c>
      <c r="I87" t="s">
        <v>70</v>
      </c>
    </row>
    <row r="88" spans="1:9" x14ac:dyDescent="0.35">
      <c r="A88" t="s">
        <v>21</v>
      </c>
      <c r="B88">
        <v>2025</v>
      </c>
      <c r="C88" t="s">
        <v>69</v>
      </c>
      <c r="D88" t="s">
        <v>53</v>
      </c>
      <c r="E88">
        <v>6.9010597848376803E-3</v>
      </c>
      <c r="F88">
        <v>6.9010597848376803E-3</v>
      </c>
      <c r="G88">
        <v>0</v>
      </c>
      <c r="H88">
        <v>0</v>
      </c>
      <c r="I88" t="s">
        <v>70</v>
      </c>
    </row>
    <row r="89" spans="1:9" x14ac:dyDescent="0.35">
      <c r="A89" t="s">
        <v>21</v>
      </c>
      <c r="B89">
        <v>2025</v>
      </c>
      <c r="C89" t="s">
        <v>69</v>
      </c>
      <c r="D89" t="s">
        <v>54</v>
      </c>
      <c r="E89">
        <v>3.7171824950540299E-4</v>
      </c>
      <c r="F89">
        <v>3.7171824950540299E-4</v>
      </c>
      <c r="G89">
        <v>0</v>
      </c>
      <c r="H89">
        <v>0</v>
      </c>
      <c r="I89" t="s">
        <v>70</v>
      </c>
    </row>
    <row r="90" spans="1:9" x14ac:dyDescent="0.35">
      <c r="A90" t="s">
        <v>21</v>
      </c>
      <c r="B90">
        <v>2025</v>
      </c>
      <c r="C90" t="s">
        <v>69</v>
      </c>
      <c r="D90" t="s">
        <v>55</v>
      </c>
      <c r="E90">
        <v>3.5127533472210898E-4</v>
      </c>
      <c r="F90">
        <v>3.5127533472210898E-4</v>
      </c>
      <c r="G90">
        <v>0</v>
      </c>
      <c r="H90">
        <v>0</v>
      </c>
      <c r="I90" t="s">
        <v>70</v>
      </c>
    </row>
    <row r="91" spans="1:9" x14ac:dyDescent="0.35">
      <c r="A91" t="s">
        <v>21</v>
      </c>
      <c r="B91">
        <v>2025</v>
      </c>
      <c r="C91" t="s">
        <v>69</v>
      </c>
      <c r="D91" t="s">
        <v>56</v>
      </c>
      <c r="E91" s="1">
        <v>1.5606374303244701E-9</v>
      </c>
      <c r="F91" s="1">
        <v>1.5606374303244701E-9</v>
      </c>
      <c r="G91">
        <v>0</v>
      </c>
      <c r="H91">
        <v>0</v>
      </c>
      <c r="I91" t="s">
        <v>70</v>
      </c>
    </row>
    <row r="92" spans="1:9" x14ac:dyDescent="0.35">
      <c r="A92" t="s">
        <v>23</v>
      </c>
      <c r="B92">
        <v>2030</v>
      </c>
      <c r="C92" t="s">
        <v>69</v>
      </c>
      <c r="D92" t="s">
        <v>38</v>
      </c>
      <c r="E92" s="1">
        <v>3.9614195875427998E-6</v>
      </c>
      <c r="F92" s="1">
        <v>3.9614195875427998E-6</v>
      </c>
      <c r="G92">
        <v>0</v>
      </c>
      <c r="H92">
        <v>0</v>
      </c>
      <c r="I92" t="s">
        <v>70</v>
      </c>
    </row>
    <row r="93" spans="1:9" x14ac:dyDescent="0.35">
      <c r="A93" t="s">
        <v>23</v>
      </c>
      <c r="B93">
        <v>2030</v>
      </c>
      <c r="C93" t="s">
        <v>69</v>
      </c>
      <c r="D93" t="s">
        <v>40</v>
      </c>
      <c r="E93" s="1">
        <v>3.6778322791856503E-5</v>
      </c>
      <c r="F93" s="1">
        <v>3.6778322791856503E-5</v>
      </c>
      <c r="G93">
        <v>0</v>
      </c>
      <c r="H93">
        <v>0</v>
      </c>
      <c r="I93" t="s">
        <v>70</v>
      </c>
    </row>
    <row r="94" spans="1:9" x14ac:dyDescent="0.35">
      <c r="A94" t="s">
        <v>23</v>
      </c>
      <c r="B94">
        <v>2030</v>
      </c>
      <c r="C94" t="s">
        <v>69</v>
      </c>
      <c r="D94" t="s">
        <v>41</v>
      </c>
      <c r="E94">
        <v>2.0799831497909401E-4</v>
      </c>
      <c r="F94">
        <v>2.0799831497909401E-4</v>
      </c>
      <c r="G94">
        <v>0</v>
      </c>
      <c r="H94">
        <v>0</v>
      </c>
      <c r="I94" t="s">
        <v>70</v>
      </c>
    </row>
    <row r="95" spans="1:9" x14ac:dyDescent="0.35">
      <c r="A95" t="s">
        <v>23</v>
      </c>
      <c r="B95">
        <v>2030</v>
      </c>
      <c r="C95" t="s">
        <v>69</v>
      </c>
      <c r="D95" t="s">
        <v>42</v>
      </c>
      <c r="E95">
        <v>8.4526245279570797E-3</v>
      </c>
      <c r="F95">
        <v>8.4526245279570797E-3</v>
      </c>
      <c r="G95">
        <v>0</v>
      </c>
      <c r="H95">
        <v>0</v>
      </c>
      <c r="I95" t="s">
        <v>70</v>
      </c>
    </row>
    <row r="96" spans="1:9" x14ac:dyDescent="0.35">
      <c r="A96" t="s">
        <v>23</v>
      </c>
      <c r="B96">
        <v>2030</v>
      </c>
      <c r="C96" t="s">
        <v>69</v>
      </c>
      <c r="D96" t="s">
        <v>43</v>
      </c>
      <c r="E96" s="1">
        <v>6.9669568150221395E-5</v>
      </c>
      <c r="F96" s="1">
        <v>6.9669568150221395E-5</v>
      </c>
      <c r="G96">
        <v>0</v>
      </c>
      <c r="H96">
        <v>0</v>
      </c>
      <c r="I96" t="s">
        <v>70</v>
      </c>
    </row>
    <row r="97" spans="1:9" x14ac:dyDescent="0.35">
      <c r="A97" t="s">
        <v>23</v>
      </c>
      <c r="B97">
        <v>2030</v>
      </c>
      <c r="C97" t="s">
        <v>69</v>
      </c>
      <c r="D97" t="s">
        <v>136</v>
      </c>
      <c r="E97">
        <v>2.4108742490636301E-2</v>
      </c>
      <c r="F97">
        <v>2.4108742490636301E-2</v>
      </c>
      <c r="G97">
        <v>0</v>
      </c>
      <c r="H97">
        <v>0</v>
      </c>
      <c r="I97" t="s">
        <v>70</v>
      </c>
    </row>
    <row r="98" spans="1:9" x14ac:dyDescent="0.35">
      <c r="A98" t="s">
        <v>23</v>
      </c>
      <c r="B98">
        <v>2030</v>
      </c>
      <c r="C98" t="s">
        <v>69</v>
      </c>
      <c r="D98" t="s">
        <v>45</v>
      </c>
      <c r="E98">
        <v>1.5275615415024501E-3</v>
      </c>
      <c r="F98">
        <v>4.4120959510591E-4</v>
      </c>
      <c r="G98">
        <v>-1.0863519463965401E-3</v>
      </c>
      <c r="H98">
        <v>-71.116738467246705</v>
      </c>
      <c r="I98" t="s">
        <v>70</v>
      </c>
    </row>
    <row r="99" spans="1:9" x14ac:dyDescent="0.35">
      <c r="A99" t="s">
        <v>23</v>
      </c>
      <c r="B99">
        <v>2030</v>
      </c>
      <c r="C99" t="s">
        <v>69</v>
      </c>
      <c r="D99" t="s">
        <v>46</v>
      </c>
      <c r="E99">
        <v>4.8030967740591798E-4</v>
      </c>
      <c r="F99">
        <v>4.8030967740591798E-4</v>
      </c>
      <c r="G99">
        <v>0</v>
      </c>
      <c r="H99">
        <v>0</v>
      </c>
      <c r="I99" t="s">
        <v>70</v>
      </c>
    </row>
    <row r="100" spans="1:9" x14ac:dyDescent="0.35">
      <c r="A100" t="s">
        <v>23</v>
      </c>
      <c r="B100">
        <v>2030</v>
      </c>
      <c r="C100" t="s">
        <v>69</v>
      </c>
      <c r="D100" t="s">
        <v>47</v>
      </c>
      <c r="E100" s="1">
        <v>8.2357434054534392E-6</v>
      </c>
      <c r="F100" s="1">
        <v>8.2357434054534392E-6</v>
      </c>
      <c r="G100">
        <v>0</v>
      </c>
      <c r="H100">
        <v>0</v>
      </c>
      <c r="I100" t="s">
        <v>70</v>
      </c>
    </row>
    <row r="101" spans="1:9" x14ac:dyDescent="0.35">
      <c r="A101" t="s">
        <v>23</v>
      </c>
      <c r="B101">
        <v>2030</v>
      </c>
      <c r="C101" t="s">
        <v>69</v>
      </c>
      <c r="D101" t="s">
        <v>48</v>
      </c>
      <c r="E101">
        <v>1.50415136702348E-3</v>
      </c>
      <c r="F101">
        <v>1.50415136702348E-3</v>
      </c>
      <c r="G101">
        <v>0</v>
      </c>
      <c r="H101">
        <v>0</v>
      </c>
      <c r="I101" t="s">
        <v>70</v>
      </c>
    </row>
    <row r="102" spans="1:9" x14ac:dyDescent="0.35">
      <c r="A102" t="s">
        <v>23</v>
      </c>
      <c r="B102">
        <v>2030</v>
      </c>
      <c r="C102" t="s">
        <v>69</v>
      </c>
      <c r="D102" t="s">
        <v>49</v>
      </c>
      <c r="E102">
        <v>2.0823092681524001E-4</v>
      </c>
      <c r="F102">
        <v>2.0823092681524001E-4</v>
      </c>
      <c r="G102">
        <v>0</v>
      </c>
      <c r="H102">
        <v>0</v>
      </c>
      <c r="I102" t="s">
        <v>70</v>
      </c>
    </row>
    <row r="103" spans="1:9" x14ac:dyDescent="0.35">
      <c r="A103" t="s">
        <v>23</v>
      </c>
      <c r="B103">
        <v>2030</v>
      </c>
      <c r="C103" t="s">
        <v>69</v>
      </c>
      <c r="D103" t="s">
        <v>50</v>
      </c>
      <c r="E103">
        <v>5.1527583237750095E-4</v>
      </c>
      <c r="F103">
        <v>5.1527583237750095E-4</v>
      </c>
      <c r="G103">
        <v>0</v>
      </c>
      <c r="H103">
        <v>0</v>
      </c>
      <c r="I103" t="s">
        <v>70</v>
      </c>
    </row>
    <row r="104" spans="1:9" x14ac:dyDescent="0.35">
      <c r="A104" t="s">
        <v>23</v>
      </c>
      <c r="B104">
        <v>2030</v>
      </c>
      <c r="C104" t="s">
        <v>69</v>
      </c>
      <c r="D104" t="s">
        <v>51</v>
      </c>
      <c r="E104">
        <v>9.4821912559894094E-3</v>
      </c>
      <c r="F104">
        <v>9.4821912559894094E-3</v>
      </c>
      <c r="G104">
        <v>0</v>
      </c>
      <c r="H104">
        <v>0</v>
      </c>
      <c r="I104" t="s">
        <v>70</v>
      </c>
    </row>
    <row r="105" spans="1:9" x14ac:dyDescent="0.35">
      <c r="A105" t="s">
        <v>23</v>
      </c>
      <c r="B105">
        <v>2030</v>
      </c>
      <c r="C105" t="s">
        <v>69</v>
      </c>
      <c r="D105" t="s">
        <v>52</v>
      </c>
      <c r="E105">
        <v>3.4223129522252399E-3</v>
      </c>
      <c r="F105">
        <v>3.4223129522252399E-3</v>
      </c>
      <c r="G105">
        <v>0</v>
      </c>
      <c r="H105">
        <v>0</v>
      </c>
      <c r="I105" t="s">
        <v>70</v>
      </c>
    </row>
    <row r="106" spans="1:9" x14ac:dyDescent="0.35">
      <c r="A106" t="s">
        <v>23</v>
      </c>
      <c r="B106">
        <v>2030</v>
      </c>
      <c r="C106" t="s">
        <v>69</v>
      </c>
      <c r="D106" t="s">
        <v>53</v>
      </c>
      <c r="E106">
        <v>7.2518393993848901E-3</v>
      </c>
      <c r="F106">
        <v>7.2518393993848901E-3</v>
      </c>
      <c r="G106">
        <v>0</v>
      </c>
      <c r="H106">
        <v>0</v>
      </c>
      <c r="I106" t="s">
        <v>70</v>
      </c>
    </row>
    <row r="107" spans="1:9" x14ac:dyDescent="0.35">
      <c r="A107" t="s">
        <v>23</v>
      </c>
      <c r="B107">
        <v>2030</v>
      </c>
      <c r="C107" t="s">
        <v>69</v>
      </c>
      <c r="D107" t="s">
        <v>54</v>
      </c>
      <c r="E107">
        <v>3.38123517497764E-4</v>
      </c>
      <c r="F107">
        <v>3.38123517497764E-4</v>
      </c>
      <c r="G107">
        <v>0</v>
      </c>
      <c r="H107">
        <v>0</v>
      </c>
      <c r="I107" t="s">
        <v>70</v>
      </c>
    </row>
    <row r="108" spans="1:9" x14ac:dyDescent="0.35">
      <c r="A108" t="s">
        <v>23</v>
      </c>
      <c r="B108">
        <v>2030</v>
      </c>
      <c r="C108" t="s">
        <v>69</v>
      </c>
      <c r="D108" t="s">
        <v>55</v>
      </c>
      <c r="E108">
        <v>3.1821269701036502E-4</v>
      </c>
      <c r="F108">
        <v>3.1821269701036502E-4</v>
      </c>
      <c r="G108">
        <v>0</v>
      </c>
      <c r="H108">
        <v>0</v>
      </c>
      <c r="I108" t="s">
        <v>70</v>
      </c>
    </row>
    <row r="109" spans="1:9" x14ac:dyDescent="0.35">
      <c r="A109" t="s">
        <v>23</v>
      </c>
      <c r="B109">
        <v>2030</v>
      </c>
      <c r="C109" t="s">
        <v>69</v>
      </c>
      <c r="D109" t="s">
        <v>56</v>
      </c>
      <c r="E109" s="1">
        <v>1.71337242362687E-9</v>
      </c>
      <c r="F109" s="1">
        <v>1.71337242362687E-9</v>
      </c>
      <c r="G109">
        <v>0</v>
      </c>
      <c r="H109">
        <v>0</v>
      </c>
      <c r="I109" t="s">
        <v>70</v>
      </c>
    </row>
    <row r="110" spans="1:9" x14ac:dyDescent="0.35">
      <c r="A110" t="s">
        <v>25</v>
      </c>
      <c r="B110">
        <v>2035</v>
      </c>
      <c r="C110" t="s">
        <v>69</v>
      </c>
      <c r="D110" t="s">
        <v>38</v>
      </c>
      <c r="E110" s="1">
        <v>5.5862844596659202E-6</v>
      </c>
      <c r="F110" s="1">
        <v>5.5862844596659202E-6</v>
      </c>
      <c r="G110">
        <v>0</v>
      </c>
      <c r="H110">
        <v>0</v>
      </c>
      <c r="I110" t="s">
        <v>70</v>
      </c>
    </row>
    <row r="111" spans="1:9" x14ac:dyDescent="0.35">
      <c r="A111" t="s">
        <v>25</v>
      </c>
      <c r="B111">
        <v>2035</v>
      </c>
      <c r="C111" t="s">
        <v>69</v>
      </c>
      <c r="D111" t="s">
        <v>40</v>
      </c>
      <c r="E111" s="1">
        <v>3.6618694764742699E-5</v>
      </c>
      <c r="F111" s="1">
        <v>3.6618694764742699E-5</v>
      </c>
      <c r="G111">
        <v>0</v>
      </c>
      <c r="H111">
        <v>0</v>
      </c>
      <c r="I111" t="s">
        <v>70</v>
      </c>
    </row>
    <row r="112" spans="1:9" x14ac:dyDescent="0.35">
      <c r="A112" t="s">
        <v>25</v>
      </c>
      <c r="B112">
        <v>2035</v>
      </c>
      <c r="C112" t="s">
        <v>69</v>
      </c>
      <c r="D112" t="s">
        <v>41</v>
      </c>
      <c r="E112">
        <v>2.0842376585977201E-4</v>
      </c>
      <c r="F112">
        <v>2.0842376585977201E-4</v>
      </c>
      <c r="G112">
        <v>0</v>
      </c>
      <c r="H112">
        <v>0</v>
      </c>
      <c r="I112" t="s">
        <v>70</v>
      </c>
    </row>
    <row r="113" spans="1:9" x14ac:dyDescent="0.35">
      <c r="A113" t="s">
        <v>25</v>
      </c>
      <c r="B113">
        <v>2035</v>
      </c>
      <c r="C113" t="s">
        <v>69</v>
      </c>
      <c r="D113" t="s">
        <v>42</v>
      </c>
      <c r="E113">
        <v>7.4495115726246498E-3</v>
      </c>
      <c r="F113">
        <v>7.4495115726246498E-3</v>
      </c>
      <c r="G113">
        <v>0</v>
      </c>
      <c r="H113">
        <v>0</v>
      </c>
      <c r="I113" t="s">
        <v>70</v>
      </c>
    </row>
    <row r="114" spans="1:9" x14ac:dyDescent="0.35">
      <c r="A114" t="s">
        <v>25</v>
      </c>
      <c r="B114">
        <v>2035</v>
      </c>
      <c r="C114" t="s">
        <v>69</v>
      </c>
      <c r="D114" t="s">
        <v>43</v>
      </c>
      <c r="E114" s="1">
        <v>6.9581617029934901E-5</v>
      </c>
      <c r="F114" s="1">
        <v>6.9581617029934901E-5</v>
      </c>
      <c r="G114">
        <v>0</v>
      </c>
      <c r="H114">
        <v>0</v>
      </c>
      <c r="I114" t="s">
        <v>70</v>
      </c>
    </row>
    <row r="115" spans="1:9" x14ac:dyDescent="0.35">
      <c r="A115" t="s">
        <v>25</v>
      </c>
      <c r="B115">
        <v>2035</v>
      </c>
      <c r="C115" t="s">
        <v>69</v>
      </c>
      <c r="D115" t="s">
        <v>136</v>
      </c>
      <c r="E115">
        <v>2.4715021669077599E-2</v>
      </c>
      <c r="F115">
        <v>2.4715021669077599E-2</v>
      </c>
      <c r="G115">
        <v>0</v>
      </c>
      <c r="H115">
        <v>0</v>
      </c>
      <c r="I115" t="s">
        <v>70</v>
      </c>
    </row>
    <row r="116" spans="1:9" x14ac:dyDescent="0.35">
      <c r="A116" t="s">
        <v>25</v>
      </c>
      <c r="B116">
        <v>2035</v>
      </c>
      <c r="C116" t="s">
        <v>69</v>
      </c>
      <c r="D116" t="s">
        <v>45</v>
      </c>
      <c r="E116">
        <v>1.5269820735705399E-3</v>
      </c>
      <c r="F116">
        <v>1.23561904655781E-3</v>
      </c>
      <c r="G116">
        <v>-2.9136302701273297E-4</v>
      </c>
      <c r="H116">
        <v>-19.080972334628498</v>
      </c>
      <c r="I116" t="s">
        <v>70</v>
      </c>
    </row>
    <row r="117" spans="1:9" x14ac:dyDescent="0.35">
      <c r="A117" t="s">
        <v>25</v>
      </c>
      <c r="B117">
        <v>2035</v>
      </c>
      <c r="C117" t="s">
        <v>69</v>
      </c>
      <c r="D117" t="s">
        <v>46</v>
      </c>
      <c r="E117">
        <v>6.5340868445926896E-4</v>
      </c>
      <c r="F117">
        <v>6.5340868445926896E-4</v>
      </c>
      <c r="G117">
        <v>0</v>
      </c>
      <c r="H117">
        <v>0</v>
      </c>
      <c r="I117" t="s">
        <v>70</v>
      </c>
    </row>
    <row r="118" spans="1:9" x14ac:dyDescent="0.35">
      <c r="A118" t="s">
        <v>25</v>
      </c>
      <c r="B118">
        <v>2035</v>
      </c>
      <c r="C118" t="s">
        <v>69</v>
      </c>
      <c r="D118" t="s">
        <v>47</v>
      </c>
      <c r="E118" s="1">
        <v>6.6174643229128302E-6</v>
      </c>
      <c r="F118" s="1">
        <v>6.6174643229128302E-6</v>
      </c>
      <c r="G118">
        <v>0</v>
      </c>
      <c r="H118">
        <v>0</v>
      </c>
      <c r="I118" t="s">
        <v>70</v>
      </c>
    </row>
    <row r="119" spans="1:9" x14ac:dyDescent="0.35">
      <c r="A119" t="s">
        <v>25</v>
      </c>
      <c r="B119">
        <v>2035</v>
      </c>
      <c r="C119" t="s">
        <v>69</v>
      </c>
      <c r="D119" t="s">
        <v>48</v>
      </c>
      <c r="E119">
        <v>1.4892911923972199E-3</v>
      </c>
      <c r="F119">
        <v>1.4892911923972199E-3</v>
      </c>
      <c r="G119">
        <v>0</v>
      </c>
      <c r="H119">
        <v>0</v>
      </c>
      <c r="I119" t="s">
        <v>70</v>
      </c>
    </row>
    <row r="120" spans="1:9" x14ac:dyDescent="0.35">
      <c r="A120" t="s">
        <v>25</v>
      </c>
      <c r="B120">
        <v>2035</v>
      </c>
      <c r="C120" t="s">
        <v>69</v>
      </c>
      <c r="D120" t="s">
        <v>49</v>
      </c>
      <c r="E120">
        <v>2.0716238160678E-4</v>
      </c>
      <c r="F120">
        <v>2.0716238160678E-4</v>
      </c>
      <c r="G120">
        <v>0</v>
      </c>
      <c r="H120">
        <v>0</v>
      </c>
      <c r="I120" t="s">
        <v>70</v>
      </c>
    </row>
    <row r="121" spans="1:9" x14ac:dyDescent="0.35">
      <c r="A121" t="s">
        <v>25</v>
      </c>
      <c r="B121">
        <v>2035</v>
      </c>
      <c r="C121" t="s">
        <v>69</v>
      </c>
      <c r="D121" t="s">
        <v>50</v>
      </c>
      <c r="E121">
        <v>5.0972292919595195E-4</v>
      </c>
      <c r="F121">
        <v>5.0972292919595195E-4</v>
      </c>
      <c r="G121">
        <v>0</v>
      </c>
      <c r="H121">
        <v>0</v>
      </c>
      <c r="I121" t="s">
        <v>70</v>
      </c>
    </row>
    <row r="122" spans="1:9" x14ac:dyDescent="0.35">
      <c r="A122" t="s">
        <v>25</v>
      </c>
      <c r="B122">
        <v>2035</v>
      </c>
      <c r="C122" t="s">
        <v>69</v>
      </c>
      <c r="D122" t="s">
        <v>51</v>
      </c>
      <c r="E122">
        <v>9.4847846093763597E-3</v>
      </c>
      <c r="F122">
        <v>9.4847846093763597E-3</v>
      </c>
      <c r="G122">
        <v>0</v>
      </c>
      <c r="H122">
        <v>0</v>
      </c>
      <c r="I122" t="s">
        <v>70</v>
      </c>
    </row>
    <row r="123" spans="1:9" x14ac:dyDescent="0.35">
      <c r="A123" t="s">
        <v>25</v>
      </c>
      <c r="B123">
        <v>2035</v>
      </c>
      <c r="C123" t="s">
        <v>69</v>
      </c>
      <c r="D123" t="s">
        <v>52</v>
      </c>
      <c r="E123">
        <v>2.5659317312165999E-3</v>
      </c>
      <c r="F123">
        <v>2.5659317312165999E-3</v>
      </c>
      <c r="G123">
        <v>0</v>
      </c>
      <c r="H123">
        <v>0</v>
      </c>
      <c r="I123" t="s">
        <v>70</v>
      </c>
    </row>
    <row r="124" spans="1:9" x14ac:dyDescent="0.35">
      <c r="A124" t="s">
        <v>25</v>
      </c>
      <c r="B124">
        <v>2035</v>
      </c>
      <c r="C124" t="s">
        <v>69</v>
      </c>
      <c r="D124" t="s">
        <v>53</v>
      </c>
      <c r="E124">
        <v>7.7357557994601096E-3</v>
      </c>
      <c r="F124">
        <v>7.7357557994601096E-3</v>
      </c>
      <c r="G124">
        <v>0</v>
      </c>
      <c r="H124">
        <v>0</v>
      </c>
      <c r="I124" t="s">
        <v>70</v>
      </c>
    </row>
    <row r="125" spans="1:9" x14ac:dyDescent="0.35">
      <c r="A125" t="s">
        <v>25</v>
      </c>
      <c r="B125">
        <v>2035</v>
      </c>
      <c r="C125" t="s">
        <v>69</v>
      </c>
      <c r="D125" t="s">
        <v>54</v>
      </c>
      <c r="E125">
        <v>3.1200737987166201E-4</v>
      </c>
      <c r="F125">
        <v>3.1200737987166201E-4</v>
      </c>
      <c r="G125">
        <v>0</v>
      </c>
      <c r="H125">
        <v>0</v>
      </c>
      <c r="I125" t="s">
        <v>70</v>
      </c>
    </row>
    <row r="126" spans="1:9" x14ac:dyDescent="0.35">
      <c r="A126" t="s">
        <v>25</v>
      </c>
      <c r="B126">
        <v>2035</v>
      </c>
      <c r="C126" t="s">
        <v>69</v>
      </c>
      <c r="D126" t="s">
        <v>55</v>
      </c>
      <c r="E126">
        <v>2.9278546014277799E-4</v>
      </c>
      <c r="F126">
        <v>2.9278546014277799E-4</v>
      </c>
      <c r="G126">
        <v>0</v>
      </c>
      <c r="H126">
        <v>0</v>
      </c>
      <c r="I126" t="s">
        <v>70</v>
      </c>
    </row>
    <row r="127" spans="1:9" x14ac:dyDescent="0.35">
      <c r="A127" t="s">
        <v>25</v>
      </c>
      <c r="B127">
        <v>2035</v>
      </c>
      <c r="C127" t="s">
        <v>69</v>
      </c>
      <c r="D127" t="s">
        <v>56</v>
      </c>
      <c r="E127" s="1">
        <v>1.89331031890141E-9</v>
      </c>
      <c r="F127" s="1">
        <v>1.89331031890141E-9</v>
      </c>
      <c r="G127">
        <v>0</v>
      </c>
      <c r="H127">
        <v>0</v>
      </c>
      <c r="I127" t="s">
        <v>70</v>
      </c>
    </row>
    <row r="128" spans="1:9" x14ac:dyDescent="0.35">
      <c r="A128" t="s">
        <v>27</v>
      </c>
      <c r="B128">
        <v>2040</v>
      </c>
      <c r="C128" t="s">
        <v>69</v>
      </c>
      <c r="D128" t="s">
        <v>38</v>
      </c>
      <c r="E128" s="1">
        <v>4.9024435697309596E-6</v>
      </c>
      <c r="F128" s="1">
        <v>4.9024435697309596E-6</v>
      </c>
      <c r="G128">
        <v>0</v>
      </c>
      <c r="H128">
        <v>0</v>
      </c>
      <c r="I128" t="s">
        <v>70</v>
      </c>
    </row>
    <row r="129" spans="1:9" x14ac:dyDescent="0.35">
      <c r="A129" t="s">
        <v>27</v>
      </c>
      <c r="B129">
        <v>2040</v>
      </c>
      <c r="C129" t="s">
        <v>69</v>
      </c>
      <c r="D129" t="s">
        <v>40</v>
      </c>
      <c r="E129" s="1">
        <v>3.6536037738249202E-5</v>
      </c>
      <c r="F129" s="1">
        <v>3.6536037738249202E-5</v>
      </c>
      <c r="G129">
        <v>0</v>
      </c>
      <c r="H129">
        <v>0</v>
      </c>
      <c r="I129" t="s">
        <v>70</v>
      </c>
    </row>
    <row r="130" spans="1:9" x14ac:dyDescent="0.35">
      <c r="A130" t="s">
        <v>27</v>
      </c>
      <c r="B130">
        <v>2040</v>
      </c>
      <c r="C130" t="s">
        <v>69</v>
      </c>
      <c r="D130" t="s">
        <v>41</v>
      </c>
      <c r="E130">
        <v>2.0935987557817599E-4</v>
      </c>
      <c r="F130">
        <v>2.0935987557817599E-4</v>
      </c>
      <c r="G130">
        <v>0</v>
      </c>
      <c r="H130">
        <v>0</v>
      </c>
      <c r="I130" t="s">
        <v>70</v>
      </c>
    </row>
    <row r="131" spans="1:9" x14ac:dyDescent="0.35">
      <c r="A131" t="s">
        <v>27</v>
      </c>
      <c r="B131">
        <v>2040</v>
      </c>
      <c r="C131" t="s">
        <v>69</v>
      </c>
      <c r="D131" t="s">
        <v>42</v>
      </c>
      <c r="E131">
        <v>6.9158583517592897E-3</v>
      </c>
      <c r="F131">
        <v>6.9158583517592897E-3</v>
      </c>
      <c r="G131">
        <v>0</v>
      </c>
      <c r="H131">
        <v>0</v>
      </c>
      <c r="I131" t="s">
        <v>70</v>
      </c>
    </row>
    <row r="132" spans="1:9" x14ac:dyDescent="0.35">
      <c r="A132" t="s">
        <v>27</v>
      </c>
      <c r="B132">
        <v>2040</v>
      </c>
      <c r="C132" t="s">
        <v>69</v>
      </c>
      <c r="D132" t="s">
        <v>43</v>
      </c>
      <c r="E132" s="1">
        <v>6.9466391010871605E-5</v>
      </c>
      <c r="F132" s="1">
        <v>6.9466391010871605E-5</v>
      </c>
      <c r="G132">
        <v>0</v>
      </c>
      <c r="H132">
        <v>0</v>
      </c>
      <c r="I132" t="s">
        <v>70</v>
      </c>
    </row>
    <row r="133" spans="1:9" x14ac:dyDescent="0.35">
      <c r="A133" t="s">
        <v>27</v>
      </c>
      <c r="B133">
        <v>2040</v>
      </c>
      <c r="C133" t="s">
        <v>69</v>
      </c>
      <c r="D133" t="s">
        <v>136</v>
      </c>
      <c r="E133">
        <v>2.5534342290416501E-2</v>
      </c>
      <c r="F133">
        <v>2.5534342290416501E-2</v>
      </c>
      <c r="G133">
        <v>0</v>
      </c>
      <c r="H133">
        <v>0</v>
      </c>
      <c r="I133" t="s">
        <v>70</v>
      </c>
    </row>
    <row r="134" spans="1:9" x14ac:dyDescent="0.35">
      <c r="A134" t="s">
        <v>27</v>
      </c>
      <c r="B134">
        <v>2040</v>
      </c>
      <c r="C134" t="s">
        <v>69</v>
      </c>
      <c r="D134" t="s">
        <v>45</v>
      </c>
      <c r="E134">
        <v>1.5268661941571699E-3</v>
      </c>
      <c r="F134">
        <v>1.49151214021031E-4</v>
      </c>
      <c r="G134">
        <v>-1.3777149801361399E-3</v>
      </c>
      <c r="H134">
        <v>-90.231546510638196</v>
      </c>
      <c r="I134" t="s">
        <v>70</v>
      </c>
    </row>
    <row r="135" spans="1:9" x14ac:dyDescent="0.35">
      <c r="A135" t="s">
        <v>27</v>
      </c>
      <c r="B135">
        <v>2040</v>
      </c>
      <c r="C135" t="s">
        <v>69</v>
      </c>
      <c r="D135" t="s">
        <v>46</v>
      </c>
      <c r="E135">
        <v>7.5940051339692504E-4</v>
      </c>
      <c r="F135">
        <v>7.5940051339692504E-4</v>
      </c>
      <c r="G135">
        <v>0</v>
      </c>
      <c r="H135">
        <v>0</v>
      </c>
      <c r="I135" t="s">
        <v>70</v>
      </c>
    </row>
    <row r="136" spans="1:9" x14ac:dyDescent="0.35">
      <c r="A136" t="s">
        <v>27</v>
      </c>
      <c r="B136">
        <v>2040</v>
      </c>
      <c r="C136" t="s">
        <v>69</v>
      </c>
      <c r="D136" t="s">
        <v>47</v>
      </c>
      <c r="E136" s="1">
        <v>5.7661927882303697E-6</v>
      </c>
      <c r="F136" s="1">
        <v>5.7661927882303697E-6</v>
      </c>
      <c r="G136">
        <v>0</v>
      </c>
      <c r="H136">
        <v>0</v>
      </c>
      <c r="I136" t="s">
        <v>70</v>
      </c>
    </row>
    <row r="137" spans="1:9" x14ac:dyDescent="0.35">
      <c r="A137" t="s">
        <v>27</v>
      </c>
      <c r="B137">
        <v>2040</v>
      </c>
      <c r="C137" t="s">
        <v>69</v>
      </c>
      <c r="D137" t="s">
        <v>48</v>
      </c>
      <c r="E137">
        <v>1.47112618309004E-3</v>
      </c>
      <c r="F137">
        <v>1.47112618309004E-3</v>
      </c>
      <c r="G137">
        <v>0</v>
      </c>
      <c r="H137">
        <v>0</v>
      </c>
      <c r="I137" t="s">
        <v>70</v>
      </c>
    </row>
    <row r="138" spans="1:9" x14ac:dyDescent="0.35">
      <c r="A138" t="s">
        <v>27</v>
      </c>
      <c r="B138">
        <v>2040</v>
      </c>
      <c r="C138" t="s">
        <v>69</v>
      </c>
      <c r="D138" t="s">
        <v>49</v>
      </c>
      <c r="E138">
        <v>2.07269049510398E-4</v>
      </c>
      <c r="F138">
        <v>2.07269049510398E-4</v>
      </c>
      <c r="G138">
        <v>0</v>
      </c>
      <c r="H138">
        <v>0</v>
      </c>
      <c r="I138" t="s">
        <v>70</v>
      </c>
    </row>
    <row r="139" spans="1:9" x14ac:dyDescent="0.35">
      <c r="A139" t="s">
        <v>27</v>
      </c>
      <c r="B139">
        <v>2040</v>
      </c>
      <c r="C139" t="s">
        <v>69</v>
      </c>
      <c r="D139" t="s">
        <v>50</v>
      </c>
      <c r="E139">
        <v>5.0103434293629202E-4</v>
      </c>
      <c r="F139">
        <v>5.0103434293629202E-4</v>
      </c>
      <c r="G139">
        <v>0</v>
      </c>
      <c r="H139">
        <v>0</v>
      </c>
      <c r="I139" t="s">
        <v>70</v>
      </c>
    </row>
    <row r="140" spans="1:9" x14ac:dyDescent="0.35">
      <c r="A140" t="s">
        <v>27</v>
      </c>
      <c r="B140">
        <v>2040</v>
      </c>
      <c r="C140" t="s">
        <v>69</v>
      </c>
      <c r="D140" t="s">
        <v>51</v>
      </c>
      <c r="E140">
        <v>9.4926526255371194E-3</v>
      </c>
      <c r="F140">
        <v>9.4926526255371194E-3</v>
      </c>
      <c r="G140">
        <v>0</v>
      </c>
      <c r="H140">
        <v>0</v>
      </c>
      <c r="I140" t="s">
        <v>70</v>
      </c>
    </row>
    <row r="141" spans="1:9" x14ac:dyDescent="0.35">
      <c r="A141" t="s">
        <v>27</v>
      </c>
      <c r="B141">
        <v>2040</v>
      </c>
      <c r="C141" t="s">
        <v>69</v>
      </c>
      <c r="D141" t="s">
        <v>52</v>
      </c>
      <c r="E141">
        <v>1.8553936203040101E-3</v>
      </c>
      <c r="F141">
        <v>1.8553936203040101E-3</v>
      </c>
      <c r="G141">
        <v>0</v>
      </c>
      <c r="H141">
        <v>0</v>
      </c>
      <c r="I141" t="s">
        <v>70</v>
      </c>
    </row>
    <row r="142" spans="1:9" x14ac:dyDescent="0.35">
      <c r="A142" t="s">
        <v>27</v>
      </c>
      <c r="B142">
        <v>2040</v>
      </c>
      <c r="C142" t="s">
        <v>69</v>
      </c>
      <c r="D142" t="s">
        <v>53</v>
      </c>
      <c r="E142">
        <v>8.1965753819482293E-3</v>
      </c>
      <c r="F142">
        <v>8.1965753819482293E-3</v>
      </c>
      <c r="G142">
        <v>0</v>
      </c>
      <c r="H142">
        <v>0</v>
      </c>
      <c r="I142" t="s">
        <v>70</v>
      </c>
    </row>
    <row r="143" spans="1:9" x14ac:dyDescent="0.35">
      <c r="A143" t="s">
        <v>27</v>
      </c>
      <c r="B143">
        <v>2040</v>
      </c>
      <c r="C143" t="s">
        <v>69</v>
      </c>
      <c r="D143" t="s">
        <v>54</v>
      </c>
      <c r="E143">
        <v>2.9585658187170099E-4</v>
      </c>
      <c r="F143">
        <v>2.9585658187170099E-4</v>
      </c>
      <c r="G143">
        <v>0</v>
      </c>
      <c r="H143">
        <v>0</v>
      </c>
      <c r="I143" t="s">
        <v>70</v>
      </c>
    </row>
    <row r="144" spans="1:9" x14ac:dyDescent="0.35">
      <c r="A144" t="s">
        <v>27</v>
      </c>
      <c r="B144">
        <v>2040</v>
      </c>
      <c r="C144" t="s">
        <v>69</v>
      </c>
      <c r="D144" t="s">
        <v>55</v>
      </c>
      <c r="E144">
        <v>2.7753946094855497E-4</v>
      </c>
      <c r="F144">
        <v>2.7753946094855497E-4</v>
      </c>
      <c r="G144">
        <v>0</v>
      </c>
      <c r="H144">
        <v>0</v>
      </c>
      <c r="I144" t="s">
        <v>70</v>
      </c>
    </row>
    <row r="145" spans="1:9" x14ac:dyDescent="0.35">
      <c r="A145" t="s">
        <v>27</v>
      </c>
      <c r="B145">
        <v>2040</v>
      </c>
      <c r="C145" t="s">
        <v>69</v>
      </c>
      <c r="D145" t="s">
        <v>56</v>
      </c>
      <c r="E145" s="1">
        <v>2.0462004017439998E-9</v>
      </c>
      <c r="F145" s="1">
        <v>2.0462004017439998E-9</v>
      </c>
      <c r="G145">
        <v>0</v>
      </c>
      <c r="H145">
        <v>0</v>
      </c>
      <c r="I145" t="s">
        <v>70</v>
      </c>
    </row>
    <row r="146" spans="1:9" x14ac:dyDescent="0.35">
      <c r="A146" t="s">
        <v>21</v>
      </c>
      <c r="B146">
        <v>2025</v>
      </c>
      <c r="C146" t="s">
        <v>80</v>
      </c>
      <c r="D146" t="s">
        <v>38</v>
      </c>
      <c r="E146">
        <v>3.05587252876595E-4</v>
      </c>
      <c r="F146">
        <v>3.05587252876595E-4</v>
      </c>
      <c r="G146">
        <v>0</v>
      </c>
      <c r="H146">
        <v>0</v>
      </c>
      <c r="I146" t="s">
        <v>82</v>
      </c>
    </row>
    <row r="147" spans="1:9" x14ac:dyDescent="0.35">
      <c r="A147" t="s">
        <v>21</v>
      </c>
      <c r="B147">
        <v>2025</v>
      </c>
      <c r="C147" t="s">
        <v>80</v>
      </c>
      <c r="D147" t="s">
        <v>40</v>
      </c>
      <c r="E147">
        <v>4.7668405600979398E-4</v>
      </c>
      <c r="F147">
        <v>4.7668405600979398E-4</v>
      </c>
      <c r="G147">
        <v>0</v>
      </c>
      <c r="H147">
        <v>0</v>
      </c>
      <c r="I147" t="s">
        <v>82</v>
      </c>
    </row>
    <row r="148" spans="1:9" x14ac:dyDescent="0.35">
      <c r="A148" t="s">
        <v>21</v>
      </c>
      <c r="B148">
        <v>2025</v>
      </c>
      <c r="C148" t="s">
        <v>80</v>
      </c>
      <c r="D148" t="s">
        <v>41</v>
      </c>
      <c r="E148">
        <v>4.2490421278533197E-3</v>
      </c>
      <c r="F148">
        <v>4.2490421278533197E-3</v>
      </c>
      <c r="G148">
        <v>0</v>
      </c>
      <c r="H148">
        <v>0</v>
      </c>
      <c r="I148" t="s">
        <v>82</v>
      </c>
    </row>
    <row r="149" spans="1:9" x14ac:dyDescent="0.35">
      <c r="A149" t="s">
        <v>21</v>
      </c>
      <c r="B149">
        <v>2025</v>
      </c>
      <c r="C149" t="s">
        <v>80</v>
      </c>
      <c r="D149" t="s">
        <v>42</v>
      </c>
      <c r="E149">
        <v>0.74658748416688903</v>
      </c>
      <c r="F149">
        <v>0.74658748416688903</v>
      </c>
      <c r="G149">
        <v>0</v>
      </c>
      <c r="H149">
        <v>0</v>
      </c>
      <c r="I149" t="s">
        <v>82</v>
      </c>
    </row>
    <row r="150" spans="1:9" x14ac:dyDescent="0.35">
      <c r="A150" t="s">
        <v>21</v>
      </c>
      <c r="B150">
        <v>2025</v>
      </c>
      <c r="C150" t="s">
        <v>80</v>
      </c>
      <c r="D150" t="s">
        <v>43</v>
      </c>
      <c r="E150">
        <v>1.4516320965690299E-3</v>
      </c>
      <c r="F150">
        <v>1.4516320965690299E-3</v>
      </c>
      <c r="G150">
        <v>0</v>
      </c>
      <c r="H150">
        <v>0</v>
      </c>
      <c r="I150" t="s">
        <v>82</v>
      </c>
    </row>
    <row r="151" spans="1:9" x14ac:dyDescent="0.35">
      <c r="A151" t="s">
        <v>21</v>
      </c>
      <c r="B151">
        <v>2025</v>
      </c>
      <c r="C151" t="s">
        <v>80</v>
      </c>
      <c r="D151" t="s">
        <v>136</v>
      </c>
      <c r="E151">
        <v>2.25002309613703</v>
      </c>
      <c r="F151">
        <v>2.25002309613703</v>
      </c>
      <c r="G151">
        <v>0</v>
      </c>
      <c r="H151">
        <v>0</v>
      </c>
      <c r="I151" t="s">
        <v>82</v>
      </c>
    </row>
    <row r="152" spans="1:9" x14ac:dyDescent="0.35">
      <c r="A152" t="s">
        <v>21</v>
      </c>
      <c r="B152">
        <v>2025</v>
      </c>
      <c r="C152" t="s">
        <v>80</v>
      </c>
      <c r="D152" t="s">
        <v>45</v>
      </c>
      <c r="E152">
        <v>3.1332596271035698E-3</v>
      </c>
      <c r="F152">
        <v>3.1332596271035698E-3</v>
      </c>
      <c r="G152">
        <v>0</v>
      </c>
      <c r="H152">
        <v>0</v>
      </c>
      <c r="I152" t="s">
        <v>82</v>
      </c>
    </row>
    <row r="153" spans="1:9" x14ac:dyDescent="0.35">
      <c r="A153" t="s">
        <v>21</v>
      </c>
      <c r="B153">
        <v>2025</v>
      </c>
      <c r="C153" t="s">
        <v>80</v>
      </c>
      <c r="D153" t="s">
        <v>46</v>
      </c>
      <c r="E153">
        <v>2.9130711504408401E-2</v>
      </c>
      <c r="F153">
        <v>2.9130711504408401E-2</v>
      </c>
      <c r="G153">
        <v>0</v>
      </c>
      <c r="H153">
        <v>0</v>
      </c>
      <c r="I153" t="s">
        <v>82</v>
      </c>
    </row>
    <row r="154" spans="1:9" x14ac:dyDescent="0.35">
      <c r="A154" t="s">
        <v>21</v>
      </c>
      <c r="B154">
        <v>2025</v>
      </c>
      <c r="C154" t="s">
        <v>80</v>
      </c>
      <c r="D154" t="s">
        <v>47</v>
      </c>
      <c r="E154">
        <v>7.5413953482401496E-4</v>
      </c>
      <c r="F154">
        <v>7.5413953482401496E-4</v>
      </c>
      <c r="G154">
        <v>0</v>
      </c>
      <c r="H154">
        <v>0</v>
      </c>
      <c r="I154" t="s">
        <v>82</v>
      </c>
    </row>
    <row r="155" spans="1:9" x14ac:dyDescent="0.35">
      <c r="A155" t="s">
        <v>21</v>
      </c>
      <c r="B155">
        <v>2025</v>
      </c>
      <c r="C155" t="s">
        <v>80</v>
      </c>
      <c r="D155" t="s">
        <v>48</v>
      </c>
      <c r="E155">
        <v>80.550210628195501</v>
      </c>
      <c r="F155">
        <v>80.550210628195501</v>
      </c>
      <c r="G155">
        <v>0</v>
      </c>
      <c r="H155">
        <v>0</v>
      </c>
      <c r="I155" t="s">
        <v>82</v>
      </c>
    </row>
    <row r="156" spans="1:9" x14ac:dyDescent="0.35">
      <c r="A156" t="s">
        <v>21</v>
      </c>
      <c r="B156">
        <v>2025</v>
      </c>
      <c r="C156" t="s">
        <v>80</v>
      </c>
      <c r="D156" t="s">
        <v>49</v>
      </c>
      <c r="E156">
        <v>4.9867840407954002E-3</v>
      </c>
      <c r="F156">
        <v>4.9867840407954002E-3</v>
      </c>
      <c r="G156">
        <v>0</v>
      </c>
      <c r="H156">
        <v>0</v>
      </c>
      <c r="I156" t="s">
        <v>82</v>
      </c>
    </row>
    <row r="157" spans="1:9" x14ac:dyDescent="0.35">
      <c r="A157" t="s">
        <v>21</v>
      </c>
      <c r="B157">
        <v>2025</v>
      </c>
      <c r="C157" t="s">
        <v>80</v>
      </c>
      <c r="D157" t="s">
        <v>50</v>
      </c>
      <c r="E157">
        <v>8.4089483605941096E-3</v>
      </c>
      <c r="F157">
        <v>8.4089483605941096E-3</v>
      </c>
      <c r="G157">
        <v>0</v>
      </c>
      <c r="H157">
        <v>0</v>
      </c>
      <c r="I157" t="s">
        <v>82</v>
      </c>
    </row>
    <row r="158" spans="1:9" x14ac:dyDescent="0.35">
      <c r="A158" t="s">
        <v>21</v>
      </c>
      <c r="B158">
        <v>2025</v>
      </c>
      <c r="C158" t="s">
        <v>80</v>
      </c>
      <c r="D158" t="s">
        <v>51</v>
      </c>
      <c r="E158">
        <v>6.4633940269093304E-2</v>
      </c>
      <c r="F158">
        <v>6.4633940269093304E-2</v>
      </c>
      <c r="G158">
        <v>0</v>
      </c>
      <c r="H158">
        <v>0</v>
      </c>
      <c r="I158" t="s">
        <v>82</v>
      </c>
    </row>
    <row r="159" spans="1:9" x14ac:dyDescent="0.35">
      <c r="A159" t="s">
        <v>21</v>
      </c>
      <c r="B159">
        <v>2025</v>
      </c>
      <c r="C159" t="s">
        <v>80</v>
      </c>
      <c r="D159" t="s">
        <v>52</v>
      </c>
      <c r="E159">
        <v>0.19420040754514101</v>
      </c>
      <c r="F159">
        <v>0.19420040754514101</v>
      </c>
      <c r="G159">
        <v>0</v>
      </c>
      <c r="H159">
        <v>0</v>
      </c>
      <c r="I159" t="s">
        <v>82</v>
      </c>
    </row>
    <row r="160" spans="1:9" x14ac:dyDescent="0.35">
      <c r="A160" t="s">
        <v>21</v>
      </c>
      <c r="B160">
        <v>2025</v>
      </c>
      <c r="C160" t="s">
        <v>80</v>
      </c>
      <c r="D160" t="s">
        <v>53</v>
      </c>
      <c r="E160">
        <v>0.48023836500337003</v>
      </c>
      <c r="F160">
        <v>0.48023836500337003</v>
      </c>
      <c r="G160">
        <v>0</v>
      </c>
      <c r="H160">
        <v>0</v>
      </c>
      <c r="I160" t="s">
        <v>82</v>
      </c>
    </row>
    <row r="161" spans="1:9" x14ac:dyDescent="0.35">
      <c r="A161" t="s">
        <v>21</v>
      </c>
      <c r="B161">
        <v>2025</v>
      </c>
      <c r="C161" t="s">
        <v>80</v>
      </c>
      <c r="D161" t="s">
        <v>54</v>
      </c>
      <c r="E161">
        <v>5.1133810566027803E-2</v>
      </c>
      <c r="F161">
        <v>5.1133810566027803E-2</v>
      </c>
      <c r="G161">
        <v>0</v>
      </c>
      <c r="H161">
        <v>0</v>
      </c>
      <c r="I161" t="s">
        <v>82</v>
      </c>
    </row>
    <row r="162" spans="1:9" x14ac:dyDescent="0.35">
      <c r="A162" t="s">
        <v>21</v>
      </c>
      <c r="B162">
        <v>2025</v>
      </c>
      <c r="C162" t="s">
        <v>80</v>
      </c>
      <c r="D162" t="s">
        <v>55</v>
      </c>
      <c r="E162">
        <v>4.7393230324465303E-2</v>
      </c>
      <c r="F162">
        <v>4.7393230324465303E-2</v>
      </c>
      <c r="G162">
        <v>0</v>
      </c>
      <c r="H162">
        <v>0</v>
      </c>
      <c r="I162" t="s">
        <v>82</v>
      </c>
    </row>
    <row r="163" spans="1:9" x14ac:dyDescent="0.35">
      <c r="A163" t="s">
        <v>21</v>
      </c>
      <c r="B163">
        <v>2025</v>
      </c>
      <c r="C163" t="s">
        <v>80</v>
      </c>
      <c r="D163" t="s">
        <v>56</v>
      </c>
      <c r="E163" s="1">
        <v>8.65691371736625E-8</v>
      </c>
      <c r="F163" s="1">
        <v>8.65691371736625E-8</v>
      </c>
      <c r="G163">
        <v>0</v>
      </c>
      <c r="H163">
        <v>0</v>
      </c>
      <c r="I163" t="s">
        <v>82</v>
      </c>
    </row>
    <row r="164" spans="1:9" x14ac:dyDescent="0.35">
      <c r="A164" t="s">
        <v>23</v>
      </c>
      <c r="B164">
        <v>2030</v>
      </c>
      <c r="C164" t="s">
        <v>80</v>
      </c>
      <c r="D164" t="s">
        <v>38</v>
      </c>
      <c r="E164">
        <v>5.9581970703405905E-4</v>
      </c>
      <c r="F164">
        <v>5.9581970703405905E-4</v>
      </c>
      <c r="G164">
        <v>0</v>
      </c>
      <c r="H164">
        <v>0</v>
      </c>
      <c r="I164" t="s">
        <v>82</v>
      </c>
    </row>
    <row r="165" spans="1:9" x14ac:dyDescent="0.35">
      <c r="A165" t="s">
        <v>23</v>
      </c>
      <c r="B165">
        <v>2030</v>
      </c>
      <c r="C165" t="s">
        <v>80</v>
      </c>
      <c r="D165" t="s">
        <v>40</v>
      </c>
      <c r="E165">
        <v>4.6335553785857E-4</v>
      </c>
      <c r="F165">
        <v>4.6335553785857E-4</v>
      </c>
      <c r="G165">
        <v>0</v>
      </c>
      <c r="H165">
        <v>0</v>
      </c>
      <c r="I165" t="s">
        <v>82</v>
      </c>
    </row>
    <row r="166" spans="1:9" x14ac:dyDescent="0.35">
      <c r="A166" t="s">
        <v>23</v>
      </c>
      <c r="B166">
        <v>2030</v>
      </c>
      <c r="C166" t="s">
        <v>80</v>
      </c>
      <c r="D166" t="s">
        <v>41</v>
      </c>
      <c r="E166">
        <v>3.8755343609321101E-3</v>
      </c>
      <c r="F166">
        <v>3.8755343609321101E-3</v>
      </c>
      <c r="G166">
        <v>0</v>
      </c>
      <c r="H166">
        <v>0</v>
      </c>
      <c r="I166" t="s">
        <v>82</v>
      </c>
    </row>
    <row r="167" spans="1:9" x14ac:dyDescent="0.35">
      <c r="A167" t="s">
        <v>23</v>
      </c>
      <c r="B167">
        <v>2030</v>
      </c>
      <c r="C167" t="s">
        <v>80</v>
      </c>
      <c r="D167" t="s">
        <v>42</v>
      </c>
      <c r="E167">
        <v>0.80877872990895805</v>
      </c>
      <c r="F167">
        <v>0.80877872990895805</v>
      </c>
      <c r="G167">
        <v>0</v>
      </c>
      <c r="H167">
        <v>0</v>
      </c>
      <c r="I167" t="s">
        <v>82</v>
      </c>
    </row>
    <row r="168" spans="1:9" x14ac:dyDescent="0.35">
      <c r="A168" t="s">
        <v>23</v>
      </c>
      <c r="B168">
        <v>2030</v>
      </c>
      <c r="C168" t="s">
        <v>80</v>
      </c>
      <c r="D168" t="s">
        <v>43</v>
      </c>
      <c r="E168">
        <v>1.4133333580629E-3</v>
      </c>
      <c r="F168">
        <v>1.4133333580629E-3</v>
      </c>
      <c r="G168">
        <v>0</v>
      </c>
      <c r="H168">
        <v>0</v>
      </c>
      <c r="I168" t="s">
        <v>82</v>
      </c>
    </row>
    <row r="169" spans="1:9" x14ac:dyDescent="0.35">
      <c r="A169" t="s">
        <v>23</v>
      </c>
      <c r="B169">
        <v>2030</v>
      </c>
      <c r="C169" t="s">
        <v>80</v>
      </c>
      <c r="D169" t="s">
        <v>136</v>
      </c>
      <c r="E169">
        <v>2.1681579408178902</v>
      </c>
      <c r="F169">
        <v>1.95803791545784</v>
      </c>
      <c r="G169">
        <v>-0.21012002536004601</v>
      </c>
      <c r="H169">
        <v>-9.6911770772927692</v>
      </c>
      <c r="I169" t="s">
        <v>82</v>
      </c>
    </row>
    <row r="170" spans="1:9" x14ac:dyDescent="0.35">
      <c r="A170" t="s">
        <v>23</v>
      </c>
      <c r="B170">
        <v>2030</v>
      </c>
      <c r="C170" t="s">
        <v>80</v>
      </c>
      <c r="D170" t="s">
        <v>45</v>
      </c>
      <c r="E170">
        <v>2.5051620716398299E-3</v>
      </c>
      <c r="F170">
        <v>2.5051620716398299E-3</v>
      </c>
      <c r="G170">
        <v>0</v>
      </c>
      <c r="H170">
        <v>0</v>
      </c>
      <c r="I170" t="s">
        <v>82</v>
      </c>
    </row>
    <row r="171" spans="1:9" x14ac:dyDescent="0.35">
      <c r="A171" t="s">
        <v>23</v>
      </c>
      <c r="B171">
        <v>2030</v>
      </c>
      <c r="C171" t="s">
        <v>80</v>
      </c>
      <c r="D171" t="s">
        <v>46</v>
      </c>
      <c r="E171">
        <v>4.26161547266702E-2</v>
      </c>
      <c r="F171">
        <v>4.26161547266702E-2</v>
      </c>
      <c r="G171">
        <v>0</v>
      </c>
      <c r="H171">
        <v>0</v>
      </c>
      <c r="I171" t="s">
        <v>82</v>
      </c>
    </row>
    <row r="172" spans="1:9" x14ac:dyDescent="0.35">
      <c r="A172" t="s">
        <v>23</v>
      </c>
      <c r="B172">
        <v>2030</v>
      </c>
      <c r="C172" t="s">
        <v>80</v>
      </c>
      <c r="D172" t="s">
        <v>47</v>
      </c>
      <c r="E172">
        <v>8.9475112874632702E-4</v>
      </c>
      <c r="F172">
        <v>8.9475112874632702E-4</v>
      </c>
      <c r="G172">
        <v>0</v>
      </c>
      <c r="H172">
        <v>0</v>
      </c>
      <c r="I172" t="s">
        <v>82</v>
      </c>
    </row>
    <row r="173" spans="1:9" x14ac:dyDescent="0.35">
      <c r="A173" t="s">
        <v>23</v>
      </c>
      <c r="B173">
        <v>2030</v>
      </c>
      <c r="C173" t="s">
        <v>80</v>
      </c>
      <c r="D173" t="s">
        <v>48</v>
      </c>
      <c r="E173">
        <v>80.550845075802599</v>
      </c>
      <c r="F173">
        <v>80.550845075802599</v>
      </c>
      <c r="G173">
        <v>0</v>
      </c>
      <c r="H173">
        <v>0</v>
      </c>
      <c r="I173" t="s">
        <v>82</v>
      </c>
    </row>
    <row r="174" spans="1:9" x14ac:dyDescent="0.35">
      <c r="A174" t="s">
        <v>23</v>
      </c>
      <c r="B174">
        <v>2030</v>
      </c>
      <c r="C174" t="s">
        <v>80</v>
      </c>
      <c r="D174" t="s">
        <v>49</v>
      </c>
      <c r="E174">
        <v>4.3970929646570704E-3</v>
      </c>
      <c r="F174">
        <v>4.3970929646570704E-3</v>
      </c>
      <c r="G174">
        <v>0</v>
      </c>
      <c r="H174">
        <v>0</v>
      </c>
      <c r="I174" t="s">
        <v>82</v>
      </c>
    </row>
    <row r="175" spans="1:9" x14ac:dyDescent="0.35">
      <c r="A175" t="s">
        <v>23</v>
      </c>
      <c r="B175">
        <v>2030</v>
      </c>
      <c r="C175" t="s">
        <v>80</v>
      </c>
      <c r="D175" t="s">
        <v>50</v>
      </c>
      <c r="E175">
        <v>9.1196748598595095E-3</v>
      </c>
      <c r="F175">
        <v>9.1196748598595095E-3</v>
      </c>
      <c r="G175">
        <v>0</v>
      </c>
      <c r="H175">
        <v>0</v>
      </c>
      <c r="I175" t="s">
        <v>82</v>
      </c>
    </row>
    <row r="176" spans="1:9" x14ac:dyDescent="0.35">
      <c r="A176" t="s">
        <v>23</v>
      </c>
      <c r="B176">
        <v>2030</v>
      </c>
      <c r="C176" t="s">
        <v>80</v>
      </c>
      <c r="D176" t="s">
        <v>51</v>
      </c>
      <c r="E176">
        <v>6.3881676826088696E-2</v>
      </c>
      <c r="F176">
        <v>6.3881676826088696E-2</v>
      </c>
      <c r="G176">
        <v>0</v>
      </c>
      <c r="H176">
        <v>0</v>
      </c>
      <c r="I176" t="s">
        <v>82</v>
      </c>
    </row>
    <row r="177" spans="1:9" x14ac:dyDescent="0.35">
      <c r="A177" t="s">
        <v>23</v>
      </c>
      <c r="B177">
        <v>2030</v>
      </c>
      <c r="C177" t="s">
        <v>80</v>
      </c>
      <c r="D177" t="s">
        <v>52</v>
      </c>
      <c r="E177">
        <v>0.166737835065639</v>
      </c>
      <c r="F177">
        <v>0.166737835065639</v>
      </c>
      <c r="G177">
        <v>0</v>
      </c>
      <c r="H177">
        <v>0</v>
      </c>
      <c r="I177" t="s">
        <v>82</v>
      </c>
    </row>
    <row r="178" spans="1:9" x14ac:dyDescent="0.35">
      <c r="A178" t="s">
        <v>23</v>
      </c>
      <c r="B178">
        <v>2030</v>
      </c>
      <c r="C178" t="s">
        <v>80</v>
      </c>
      <c r="D178" t="s">
        <v>53</v>
      </c>
      <c r="E178">
        <v>0.465692853804964</v>
      </c>
      <c r="F178">
        <v>0.465692853804964</v>
      </c>
      <c r="G178">
        <v>0</v>
      </c>
      <c r="H178">
        <v>0</v>
      </c>
      <c r="I178" t="s">
        <v>82</v>
      </c>
    </row>
    <row r="179" spans="1:9" x14ac:dyDescent="0.35">
      <c r="A179" t="s">
        <v>23</v>
      </c>
      <c r="B179">
        <v>2030</v>
      </c>
      <c r="C179" t="s">
        <v>80</v>
      </c>
      <c r="D179" t="s">
        <v>54</v>
      </c>
      <c r="E179">
        <v>5.4553170572296097E-2</v>
      </c>
      <c r="F179">
        <v>5.4553170572296097E-2</v>
      </c>
      <c r="G179">
        <v>0</v>
      </c>
      <c r="H179">
        <v>0</v>
      </c>
      <c r="I179" t="s">
        <v>82</v>
      </c>
    </row>
    <row r="180" spans="1:9" x14ac:dyDescent="0.35">
      <c r="A180" t="s">
        <v>23</v>
      </c>
      <c r="B180">
        <v>2030</v>
      </c>
      <c r="C180" t="s">
        <v>80</v>
      </c>
      <c r="D180" t="s">
        <v>55</v>
      </c>
      <c r="E180">
        <v>5.0293129439402701E-2</v>
      </c>
      <c r="F180">
        <v>5.0293129439402701E-2</v>
      </c>
      <c r="G180">
        <v>0</v>
      </c>
      <c r="H180">
        <v>0</v>
      </c>
      <c r="I180" t="s">
        <v>82</v>
      </c>
    </row>
    <row r="181" spans="1:9" x14ac:dyDescent="0.35">
      <c r="A181" t="s">
        <v>23</v>
      </c>
      <c r="B181">
        <v>2030</v>
      </c>
      <c r="C181" t="s">
        <v>80</v>
      </c>
      <c r="D181" t="s">
        <v>56</v>
      </c>
      <c r="E181" s="1">
        <v>8.18176331188952E-8</v>
      </c>
      <c r="F181" s="1">
        <v>8.18176331188952E-8</v>
      </c>
      <c r="G181">
        <v>0</v>
      </c>
      <c r="H181">
        <v>0</v>
      </c>
      <c r="I181" t="s">
        <v>82</v>
      </c>
    </row>
    <row r="182" spans="1:9" x14ac:dyDescent="0.35">
      <c r="A182" t="s">
        <v>25</v>
      </c>
      <c r="B182">
        <v>2035</v>
      </c>
      <c r="C182" t="s">
        <v>80</v>
      </c>
      <c r="D182" t="s">
        <v>38</v>
      </c>
      <c r="E182">
        <v>8.3572134697749295E-4</v>
      </c>
      <c r="F182">
        <v>8.3572134697749295E-4</v>
      </c>
      <c r="G182">
        <v>0</v>
      </c>
      <c r="H182">
        <v>0</v>
      </c>
      <c r="I182" t="s">
        <v>82</v>
      </c>
    </row>
    <row r="183" spans="1:9" x14ac:dyDescent="0.35">
      <c r="A183" t="s">
        <v>25</v>
      </c>
      <c r="B183">
        <v>2035</v>
      </c>
      <c r="C183" t="s">
        <v>80</v>
      </c>
      <c r="D183" t="s">
        <v>40</v>
      </c>
      <c r="E183">
        <v>4.5584225874856102E-4</v>
      </c>
      <c r="F183">
        <v>4.5584225874856102E-4</v>
      </c>
      <c r="G183">
        <v>0</v>
      </c>
      <c r="H183">
        <v>0</v>
      </c>
      <c r="I183" t="s">
        <v>82</v>
      </c>
    </row>
    <row r="184" spans="1:9" x14ac:dyDescent="0.35">
      <c r="A184" t="s">
        <v>25</v>
      </c>
      <c r="B184">
        <v>2035</v>
      </c>
      <c r="C184" t="s">
        <v>80</v>
      </c>
      <c r="D184" t="s">
        <v>41</v>
      </c>
      <c r="E184">
        <v>3.7347130043008398E-3</v>
      </c>
      <c r="F184">
        <v>3.7347130043008398E-3</v>
      </c>
      <c r="G184">
        <v>0</v>
      </c>
      <c r="H184">
        <v>0</v>
      </c>
      <c r="I184" t="s">
        <v>82</v>
      </c>
    </row>
    <row r="185" spans="1:9" x14ac:dyDescent="0.35">
      <c r="A185" t="s">
        <v>25</v>
      </c>
      <c r="B185">
        <v>2035</v>
      </c>
      <c r="C185" t="s">
        <v>80</v>
      </c>
      <c r="D185" t="s">
        <v>42</v>
      </c>
      <c r="E185">
        <v>0.93630871101267399</v>
      </c>
      <c r="F185">
        <v>0.93630871101267399</v>
      </c>
      <c r="G185">
        <v>0</v>
      </c>
      <c r="H185">
        <v>0</v>
      </c>
      <c r="I185" t="s">
        <v>82</v>
      </c>
    </row>
    <row r="186" spans="1:9" x14ac:dyDescent="0.35">
      <c r="A186" t="s">
        <v>25</v>
      </c>
      <c r="B186">
        <v>2035</v>
      </c>
      <c r="C186" t="s">
        <v>80</v>
      </c>
      <c r="D186" t="s">
        <v>43</v>
      </c>
      <c r="E186">
        <v>1.45740771171084E-3</v>
      </c>
      <c r="F186">
        <v>1.45740771171084E-3</v>
      </c>
      <c r="G186">
        <v>0</v>
      </c>
      <c r="H186">
        <v>0</v>
      </c>
      <c r="I186" t="s">
        <v>82</v>
      </c>
    </row>
    <row r="187" spans="1:9" x14ac:dyDescent="0.35">
      <c r="A187" t="s">
        <v>25</v>
      </c>
      <c r="B187">
        <v>2035</v>
      </c>
      <c r="C187" t="s">
        <v>80</v>
      </c>
      <c r="D187" t="s">
        <v>136</v>
      </c>
      <c r="E187">
        <v>2.21980736173114</v>
      </c>
      <c r="F187">
        <v>2.1902841077359798</v>
      </c>
      <c r="G187">
        <v>-2.9523253995160599E-2</v>
      </c>
      <c r="H187">
        <v>-1.3299917147827001</v>
      </c>
      <c r="I187" t="s">
        <v>82</v>
      </c>
    </row>
    <row r="188" spans="1:9" x14ac:dyDescent="0.35">
      <c r="A188" t="s">
        <v>25</v>
      </c>
      <c r="B188">
        <v>2035</v>
      </c>
      <c r="C188" t="s">
        <v>80</v>
      </c>
      <c r="D188" t="s">
        <v>45</v>
      </c>
      <c r="E188">
        <v>2.1593715811621499E-3</v>
      </c>
      <c r="F188">
        <v>2.1593715811621499E-3</v>
      </c>
      <c r="G188">
        <v>0</v>
      </c>
      <c r="H188">
        <v>0</v>
      </c>
      <c r="I188" t="s">
        <v>82</v>
      </c>
    </row>
    <row r="189" spans="1:9" x14ac:dyDescent="0.35">
      <c r="A189" t="s">
        <v>25</v>
      </c>
      <c r="B189">
        <v>2035</v>
      </c>
      <c r="C189" t="s">
        <v>80</v>
      </c>
      <c r="D189" t="s">
        <v>46</v>
      </c>
      <c r="E189">
        <v>5.7104995381616799E-2</v>
      </c>
      <c r="F189">
        <v>5.7104995381616799E-2</v>
      </c>
      <c r="G189">
        <v>0</v>
      </c>
      <c r="H189">
        <v>0</v>
      </c>
      <c r="I189" t="s">
        <v>82</v>
      </c>
    </row>
    <row r="190" spans="1:9" x14ac:dyDescent="0.35">
      <c r="A190" t="s">
        <v>25</v>
      </c>
      <c r="B190">
        <v>2035</v>
      </c>
      <c r="C190" t="s">
        <v>80</v>
      </c>
      <c r="D190" t="s">
        <v>47</v>
      </c>
      <c r="E190">
        <v>1.1347351892896499E-3</v>
      </c>
      <c r="F190">
        <v>1.1347351892896499E-3</v>
      </c>
      <c r="G190">
        <v>0</v>
      </c>
      <c r="H190">
        <v>0</v>
      </c>
      <c r="I190" t="s">
        <v>82</v>
      </c>
    </row>
    <row r="191" spans="1:9" x14ac:dyDescent="0.35">
      <c r="A191" t="s">
        <v>25</v>
      </c>
      <c r="B191">
        <v>2035</v>
      </c>
      <c r="C191" t="s">
        <v>80</v>
      </c>
      <c r="D191" t="s">
        <v>48</v>
      </c>
      <c r="E191">
        <v>80.551041427675997</v>
      </c>
      <c r="F191">
        <v>80.551041427675997</v>
      </c>
      <c r="G191">
        <v>0</v>
      </c>
      <c r="H191">
        <v>0</v>
      </c>
      <c r="I191" t="s">
        <v>82</v>
      </c>
    </row>
    <row r="192" spans="1:9" x14ac:dyDescent="0.35">
      <c r="A192" t="s">
        <v>25</v>
      </c>
      <c r="B192">
        <v>2035</v>
      </c>
      <c r="C192" t="s">
        <v>80</v>
      </c>
      <c r="D192" t="s">
        <v>49</v>
      </c>
      <c r="E192">
        <v>4.1453481722318001E-3</v>
      </c>
      <c r="F192">
        <v>4.1453481722318001E-3</v>
      </c>
      <c r="G192">
        <v>0</v>
      </c>
      <c r="H192">
        <v>0</v>
      </c>
      <c r="I192" t="s">
        <v>82</v>
      </c>
    </row>
    <row r="193" spans="1:9" x14ac:dyDescent="0.35">
      <c r="A193" t="s">
        <v>25</v>
      </c>
      <c r="B193">
        <v>2035</v>
      </c>
      <c r="C193" t="s">
        <v>80</v>
      </c>
      <c r="D193" t="s">
        <v>50</v>
      </c>
      <c r="E193">
        <v>9.9969299316727094E-3</v>
      </c>
      <c r="F193">
        <v>9.9969299316727094E-3</v>
      </c>
      <c r="G193">
        <v>0</v>
      </c>
      <c r="H193">
        <v>0</v>
      </c>
      <c r="I193" t="s">
        <v>82</v>
      </c>
    </row>
    <row r="194" spans="1:9" x14ac:dyDescent="0.35">
      <c r="A194" t="s">
        <v>25</v>
      </c>
      <c r="B194">
        <v>2035</v>
      </c>
      <c r="C194" t="s">
        <v>80</v>
      </c>
      <c r="D194" t="s">
        <v>51</v>
      </c>
      <c r="E194">
        <v>6.3612489713446199E-2</v>
      </c>
      <c r="F194">
        <v>6.3612489713446199E-2</v>
      </c>
      <c r="G194">
        <v>0</v>
      </c>
      <c r="H194">
        <v>0</v>
      </c>
      <c r="I194" t="s">
        <v>82</v>
      </c>
    </row>
    <row r="195" spans="1:9" x14ac:dyDescent="0.35">
      <c r="A195" t="s">
        <v>25</v>
      </c>
      <c r="B195">
        <v>2035</v>
      </c>
      <c r="C195" t="s">
        <v>80</v>
      </c>
      <c r="D195" t="s">
        <v>52</v>
      </c>
      <c r="E195">
        <v>0.13876247606135</v>
      </c>
      <c r="F195">
        <v>0.13876247606135</v>
      </c>
      <c r="G195">
        <v>0</v>
      </c>
      <c r="H195">
        <v>0</v>
      </c>
      <c r="I195" t="s">
        <v>82</v>
      </c>
    </row>
    <row r="196" spans="1:9" x14ac:dyDescent="0.35">
      <c r="A196" t="s">
        <v>25</v>
      </c>
      <c r="B196">
        <v>2035</v>
      </c>
      <c r="C196" t="s">
        <v>80</v>
      </c>
      <c r="D196" t="s">
        <v>53</v>
      </c>
      <c r="E196">
        <v>0.484752171525695</v>
      </c>
      <c r="F196">
        <v>0.484752171525695</v>
      </c>
      <c r="G196">
        <v>0</v>
      </c>
      <c r="H196">
        <v>0</v>
      </c>
      <c r="I196" t="s">
        <v>82</v>
      </c>
    </row>
    <row r="197" spans="1:9" x14ac:dyDescent="0.35">
      <c r="A197" t="s">
        <v>25</v>
      </c>
      <c r="B197">
        <v>2035</v>
      </c>
      <c r="C197" t="s">
        <v>80</v>
      </c>
      <c r="D197" t="s">
        <v>54</v>
      </c>
      <c r="E197">
        <v>5.8338171491143197E-2</v>
      </c>
      <c r="F197">
        <v>5.8338171491143197E-2</v>
      </c>
      <c r="G197">
        <v>0</v>
      </c>
      <c r="H197">
        <v>0</v>
      </c>
      <c r="I197" t="s">
        <v>82</v>
      </c>
    </row>
    <row r="198" spans="1:9" x14ac:dyDescent="0.35">
      <c r="A198" t="s">
        <v>25</v>
      </c>
      <c r="B198">
        <v>2035</v>
      </c>
      <c r="C198" t="s">
        <v>80</v>
      </c>
      <c r="D198" t="s">
        <v>55</v>
      </c>
      <c r="E198">
        <v>5.3699069938552897E-2</v>
      </c>
      <c r="F198">
        <v>5.3699069938552897E-2</v>
      </c>
      <c r="G198">
        <v>0</v>
      </c>
      <c r="H198">
        <v>0</v>
      </c>
      <c r="I198" t="s">
        <v>82</v>
      </c>
    </row>
    <row r="199" spans="1:9" x14ac:dyDescent="0.35">
      <c r="A199" t="s">
        <v>25</v>
      </c>
      <c r="B199">
        <v>2035</v>
      </c>
      <c r="C199" t="s">
        <v>80</v>
      </c>
      <c r="D199" t="s">
        <v>56</v>
      </c>
      <c r="E199" s="1">
        <v>8.2690249933760199E-8</v>
      </c>
      <c r="F199" s="1">
        <v>8.2690249933760199E-8</v>
      </c>
      <c r="G199">
        <v>0</v>
      </c>
      <c r="H199">
        <v>0</v>
      </c>
      <c r="I199" t="s">
        <v>82</v>
      </c>
    </row>
    <row r="200" spans="1:9" x14ac:dyDescent="0.35">
      <c r="A200" t="s">
        <v>27</v>
      </c>
      <c r="B200">
        <v>2040</v>
      </c>
      <c r="C200" t="s">
        <v>80</v>
      </c>
      <c r="D200" t="s">
        <v>38</v>
      </c>
      <c r="E200">
        <v>7.3483538225559196E-4</v>
      </c>
      <c r="F200">
        <v>7.3483538225559196E-4</v>
      </c>
      <c r="G200">
        <v>0</v>
      </c>
      <c r="H200">
        <v>0</v>
      </c>
      <c r="I200" t="s">
        <v>82</v>
      </c>
    </row>
    <row r="201" spans="1:9" x14ac:dyDescent="0.35">
      <c r="A201" t="s">
        <v>27</v>
      </c>
      <c r="B201">
        <v>2040</v>
      </c>
      <c r="C201" t="s">
        <v>80</v>
      </c>
      <c r="D201" t="s">
        <v>40</v>
      </c>
      <c r="E201">
        <v>4.4897728132325899E-4</v>
      </c>
      <c r="F201">
        <v>4.4897728132325899E-4</v>
      </c>
      <c r="G201">
        <v>0</v>
      </c>
      <c r="H201">
        <v>0</v>
      </c>
      <c r="I201" t="s">
        <v>82</v>
      </c>
    </row>
    <row r="202" spans="1:9" x14ac:dyDescent="0.35">
      <c r="A202" t="s">
        <v>27</v>
      </c>
      <c r="B202">
        <v>2040</v>
      </c>
      <c r="C202" t="s">
        <v>80</v>
      </c>
      <c r="D202" t="s">
        <v>41</v>
      </c>
      <c r="E202">
        <v>3.6440137007459701E-3</v>
      </c>
      <c r="F202">
        <v>3.6440137007459701E-3</v>
      </c>
      <c r="G202">
        <v>0</v>
      </c>
      <c r="H202">
        <v>0</v>
      </c>
      <c r="I202" t="s">
        <v>82</v>
      </c>
    </row>
    <row r="203" spans="1:9" x14ac:dyDescent="0.35">
      <c r="A203" t="s">
        <v>27</v>
      </c>
      <c r="B203">
        <v>2040</v>
      </c>
      <c r="C203" t="s">
        <v>80</v>
      </c>
      <c r="D203" t="s">
        <v>42</v>
      </c>
      <c r="E203">
        <v>1.04622131600752</v>
      </c>
      <c r="F203">
        <v>1.04622131600752</v>
      </c>
      <c r="G203">
        <v>0</v>
      </c>
      <c r="H203">
        <v>0</v>
      </c>
      <c r="I203" t="s">
        <v>82</v>
      </c>
    </row>
    <row r="204" spans="1:9" x14ac:dyDescent="0.35">
      <c r="A204" t="s">
        <v>27</v>
      </c>
      <c r="B204">
        <v>2040</v>
      </c>
      <c r="C204" t="s">
        <v>80</v>
      </c>
      <c r="D204" t="s">
        <v>43</v>
      </c>
      <c r="E204">
        <v>1.4400496073141401E-3</v>
      </c>
      <c r="F204">
        <v>1.4400496073141401E-3</v>
      </c>
      <c r="G204">
        <v>0</v>
      </c>
      <c r="H204">
        <v>0</v>
      </c>
      <c r="I204" t="s">
        <v>82</v>
      </c>
    </row>
    <row r="205" spans="1:9" x14ac:dyDescent="0.35">
      <c r="A205" t="s">
        <v>27</v>
      </c>
      <c r="B205">
        <v>2040</v>
      </c>
      <c r="C205" t="s">
        <v>80</v>
      </c>
      <c r="D205" t="s">
        <v>136</v>
      </c>
      <c r="E205">
        <v>2.2723408913798302</v>
      </c>
      <c r="F205">
        <v>2.0326976092127</v>
      </c>
      <c r="G205">
        <v>-0.23964328216713299</v>
      </c>
      <c r="H205">
        <v>-10.546097334084999</v>
      </c>
      <c r="I205" t="s">
        <v>82</v>
      </c>
    </row>
    <row r="206" spans="1:9" x14ac:dyDescent="0.35">
      <c r="A206" t="s">
        <v>27</v>
      </c>
      <c r="B206">
        <v>2040</v>
      </c>
      <c r="C206" t="s">
        <v>80</v>
      </c>
      <c r="D206" t="s">
        <v>45</v>
      </c>
      <c r="E206">
        <v>1.9376581971059E-3</v>
      </c>
      <c r="F206">
        <v>1.9376581971059E-3</v>
      </c>
      <c r="G206">
        <v>0</v>
      </c>
      <c r="H206">
        <v>0</v>
      </c>
      <c r="I206" t="s">
        <v>82</v>
      </c>
    </row>
    <row r="207" spans="1:9" x14ac:dyDescent="0.35">
      <c r="A207" t="s">
        <v>27</v>
      </c>
      <c r="B207">
        <v>2040</v>
      </c>
      <c r="C207" t="s">
        <v>80</v>
      </c>
      <c r="D207" t="s">
        <v>46</v>
      </c>
      <c r="E207">
        <v>5.8460503650335602E-2</v>
      </c>
      <c r="F207">
        <v>5.8460503650335602E-2</v>
      </c>
      <c r="G207">
        <v>0</v>
      </c>
      <c r="H207">
        <v>0</v>
      </c>
      <c r="I207" t="s">
        <v>82</v>
      </c>
    </row>
    <row r="208" spans="1:9" x14ac:dyDescent="0.35">
      <c r="A208" t="s">
        <v>27</v>
      </c>
      <c r="B208">
        <v>2040</v>
      </c>
      <c r="C208" t="s">
        <v>80</v>
      </c>
      <c r="D208" t="s">
        <v>47</v>
      </c>
      <c r="E208">
        <v>1.3377053219236199E-3</v>
      </c>
      <c r="F208">
        <v>1.3377053219236199E-3</v>
      </c>
      <c r="G208">
        <v>0</v>
      </c>
      <c r="H208">
        <v>0</v>
      </c>
      <c r="I208" t="s">
        <v>82</v>
      </c>
    </row>
    <row r="209" spans="1:9" x14ac:dyDescent="0.35">
      <c r="A209" t="s">
        <v>27</v>
      </c>
      <c r="B209">
        <v>2040</v>
      </c>
      <c r="C209" t="s">
        <v>80</v>
      </c>
      <c r="D209" t="s">
        <v>48</v>
      </c>
      <c r="E209">
        <v>80.551749664004006</v>
      </c>
      <c r="F209">
        <v>80.551749664004006</v>
      </c>
      <c r="G209">
        <v>0</v>
      </c>
      <c r="H209">
        <v>0</v>
      </c>
      <c r="I209" t="s">
        <v>82</v>
      </c>
    </row>
    <row r="210" spans="1:9" x14ac:dyDescent="0.35">
      <c r="A210" t="s">
        <v>27</v>
      </c>
      <c r="B210">
        <v>2040</v>
      </c>
      <c r="C210" t="s">
        <v>80</v>
      </c>
      <c r="D210" t="s">
        <v>49</v>
      </c>
      <c r="E210">
        <v>3.9538052467206599E-3</v>
      </c>
      <c r="F210">
        <v>3.9538052467206599E-3</v>
      </c>
      <c r="G210">
        <v>0</v>
      </c>
      <c r="H210">
        <v>0</v>
      </c>
      <c r="I210" t="s">
        <v>82</v>
      </c>
    </row>
    <row r="211" spans="1:9" x14ac:dyDescent="0.35">
      <c r="A211" t="s">
        <v>27</v>
      </c>
      <c r="B211">
        <v>2040</v>
      </c>
      <c r="C211" t="s">
        <v>80</v>
      </c>
      <c r="D211" t="s">
        <v>50</v>
      </c>
      <c r="E211">
        <v>9.6593657742206507E-3</v>
      </c>
      <c r="F211">
        <v>9.6593657742206507E-3</v>
      </c>
      <c r="G211">
        <v>0</v>
      </c>
      <c r="H211">
        <v>0</v>
      </c>
      <c r="I211" t="s">
        <v>82</v>
      </c>
    </row>
    <row r="212" spans="1:9" x14ac:dyDescent="0.35">
      <c r="A212" t="s">
        <v>27</v>
      </c>
      <c r="B212">
        <v>2040</v>
      </c>
      <c r="C212" t="s">
        <v>80</v>
      </c>
      <c r="D212" t="s">
        <v>51</v>
      </c>
      <c r="E212">
        <v>6.3547117640469594E-2</v>
      </c>
      <c r="F212">
        <v>6.3547117640469594E-2</v>
      </c>
      <c r="G212">
        <v>0</v>
      </c>
      <c r="H212">
        <v>0</v>
      </c>
      <c r="I212" t="s">
        <v>82</v>
      </c>
    </row>
    <row r="213" spans="1:9" x14ac:dyDescent="0.35">
      <c r="A213" t="s">
        <v>27</v>
      </c>
      <c r="B213">
        <v>2040</v>
      </c>
      <c r="C213" t="s">
        <v>80</v>
      </c>
      <c r="D213" t="s">
        <v>52</v>
      </c>
      <c r="E213">
        <v>0.116992978637594</v>
      </c>
      <c r="F213">
        <v>0.116992978637594</v>
      </c>
      <c r="G213">
        <v>0</v>
      </c>
      <c r="H213">
        <v>0</v>
      </c>
      <c r="I213" t="s">
        <v>82</v>
      </c>
    </row>
    <row r="214" spans="1:9" x14ac:dyDescent="0.35">
      <c r="A214" t="s">
        <v>27</v>
      </c>
      <c r="B214">
        <v>2040</v>
      </c>
      <c r="C214" t="s">
        <v>80</v>
      </c>
      <c r="D214" t="s">
        <v>53</v>
      </c>
      <c r="E214">
        <v>0.50042278237919002</v>
      </c>
      <c r="F214">
        <v>0.50042278237919002</v>
      </c>
      <c r="G214">
        <v>0</v>
      </c>
      <c r="H214">
        <v>0</v>
      </c>
      <c r="I214" t="s">
        <v>82</v>
      </c>
    </row>
    <row r="215" spans="1:9" x14ac:dyDescent="0.35">
      <c r="A215" t="s">
        <v>27</v>
      </c>
      <c r="B215">
        <v>2040</v>
      </c>
      <c r="C215" t="s">
        <v>80</v>
      </c>
      <c r="D215" t="s">
        <v>54</v>
      </c>
      <c r="E215">
        <v>6.1413762690211697E-2</v>
      </c>
      <c r="F215">
        <v>6.1413762690211697E-2</v>
      </c>
      <c r="G215">
        <v>0</v>
      </c>
      <c r="H215">
        <v>0</v>
      </c>
      <c r="I215" t="s">
        <v>82</v>
      </c>
    </row>
    <row r="216" spans="1:9" x14ac:dyDescent="0.35">
      <c r="A216" t="s">
        <v>27</v>
      </c>
      <c r="B216">
        <v>2040</v>
      </c>
      <c r="C216" t="s">
        <v>80</v>
      </c>
      <c r="D216" t="s">
        <v>55</v>
      </c>
      <c r="E216">
        <v>5.6547233304333901E-2</v>
      </c>
      <c r="F216">
        <v>5.6547233304333901E-2</v>
      </c>
      <c r="G216">
        <v>0</v>
      </c>
      <c r="H216">
        <v>0</v>
      </c>
      <c r="I216" t="s">
        <v>82</v>
      </c>
    </row>
    <row r="217" spans="1:9" x14ac:dyDescent="0.35">
      <c r="A217" t="s">
        <v>27</v>
      </c>
      <c r="B217">
        <v>2040</v>
      </c>
      <c r="C217" t="s">
        <v>80</v>
      </c>
      <c r="D217" t="s">
        <v>56</v>
      </c>
      <c r="E217" s="1">
        <v>8.4084092992160995E-8</v>
      </c>
      <c r="F217" s="1">
        <v>8.4084092992160995E-8</v>
      </c>
      <c r="G217">
        <v>0</v>
      </c>
      <c r="H217">
        <v>0</v>
      </c>
      <c r="I217" t="s">
        <v>82</v>
      </c>
    </row>
    <row r="218" spans="1:9" x14ac:dyDescent="0.35">
      <c r="A218" t="s">
        <v>21</v>
      </c>
      <c r="B218">
        <v>2025</v>
      </c>
      <c r="C218" t="s">
        <v>65</v>
      </c>
      <c r="D218" t="s">
        <v>38</v>
      </c>
      <c r="E218">
        <v>6.4150044104613405E-2</v>
      </c>
      <c r="F218">
        <v>6.4150044104613405E-2</v>
      </c>
      <c r="G218">
        <v>0</v>
      </c>
      <c r="H218">
        <v>0</v>
      </c>
      <c r="I218" t="s">
        <v>66</v>
      </c>
    </row>
    <row r="219" spans="1:9" x14ac:dyDescent="0.35">
      <c r="A219" t="s">
        <v>21</v>
      </c>
      <c r="B219">
        <v>2025</v>
      </c>
      <c r="C219" t="s">
        <v>65</v>
      </c>
      <c r="D219" t="s">
        <v>40</v>
      </c>
      <c r="E219">
        <v>9.7294246436484804E-3</v>
      </c>
      <c r="F219">
        <v>9.7294246436484804E-3</v>
      </c>
      <c r="G219">
        <v>0</v>
      </c>
      <c r="H219">
        <v>0</v>
      </c>
      <c r="I219" t="s">
        <v>66</v>
      </c>
    </row>
    <row r="220" spans="1:9" x14ac:dyDescent="0.35">
      <c r="A220" t="s">
        <v>21</v>
      </c>
      <c r="B220">
        <v>2025</v>
      </c>
      <c r="C220" t="s">
        <v>65</v>
      </c>
      <c r="D220" t="s">
        <v>41</v>
      </c>
      <c r="E220">
        <v>0.30621252087969097</v>
      </c>
      <c r="F220">
        <v>0.30621252087969097</v>
      </c>
      <c r="G220">
        <v>0</v>
      </c>
      <c r="H220">
        <v>0</v>
      </c>
      <c r="I220" t="s">
        <v>66</v>
      </c>
    </row>
    <row r="221" spans="1:9" x14ac:dyDescent="0.35">
      <c r="A221" t="s">
        <v>21</v>
      </c>
      <c r="B221">
        <v>2025</v>
      </c>
      <c r="C221" t="s">
        <v>65</v>
      </c>
      <c r="D221" t="s">
        <v>42</v>
      </c>
      <c r="E221">
        <v>52.802810069778801</v>
      </c>
      <c r="F221">
        <v>52.802810069778801</v>
      </c>
      <c r="G221">
        <v>0</v>
      </c>
      <c r="H221">
        <v>0</v>
      </c>
      <c r="I221" t="s">
        <v>66</v>
      </c>
    </row>
    <row r="222" spans="1:9" x14ac:dyDescent="0.35">
      <c r="A222" t="s">
        <v>21</v>
      </c>
      <c r="B222">
        <v>2025</v>
      </c>
      <c r="C222" t="s">
        <v>65</v>
      </c>
      <c r="D222" t="s">
        <v>43</v>
      </c>
      <c r="E222">
        <v>7.23205836646688E-2</v>
      </c>
      <c r="F222">
        <v>7.23205836646688E-2</v>
      </c>
      <c r="G222">
        <v>0</v>
      </c>
      <c r="H222">
        <v>0</v>
      </c>
      <c r="I222" t="s">
        <v>66</v>
      </c>
    </row>
    <row r="223" spans="1:9" x14ac:dyDescent="0.35">
      <c r="A223" t="s">
        <v>21</v>
      </c>
      <c r="B223">
        <v>2025</v>
      </c>
      <c r="C223" t="s">
        <v>65</v>
      </c>
      <c r="D223" t="s">
        <v>136</v>
      </c>
      <c r="E223">
        <v>44.7931758313076</v>
      </c>
      <c r="F223">
        <v>44.7931758313076</v>
      </c>
      <c r="G223">
        <v>0</v>
      </c>
      <c r="H223">
        <v>0</v>
      </c>
      <c r="I223" t="s">
        <v>66</v>
      </c>
    </row>
    <row r="224" spans="1:9" x14ac:dyDescent="0.35">
      <c r="A224" t="s">
        <v>21</v>
      </c>
      <c r="B224">
        <v>2025</v>
      </c>
      <c r="C224" t="s">
        <v>65</v>
      </c>
      <c r="D224" t="s">
        <v>45</v>
      </c>
      <c r="E224">
        <v>8.5304420525373195E-2</v>
      </c>
      <c r="F224">
        <v>8.5304420525373195E-2</v>
      </c>
      <c r="G224">
        <v>0</v>
      </c>
      <c r="H224">
        <v>0</v>
      </c>
      <c r="I224" t="s">
        <v>66</v>
      </c>
    </row>
    <row r="225" spans="1:9" x14ac:dyDescent="0.35">
      <c r="A225" t="s">
        <v>21</v>
      </c>
      <c r="B225">
        <v>2025</v>
      </c>
      <c r="C225" t="s">
        <v>65</v>
      </c>
      <c r="D225" t="s">
        <v>46</v>
      </c>
      <c r="E225">
        <v>0.53834028534650402</v>
      </c>
      <c r="F225">
        <v>0.53834028534650402</v>
      </c>
      <c r="G225">
        <v>0</v>
      </c>
      <c r="H225">
        <v>0</v>
      </c>
      <c r="I225" t="s">
        <v>66</v>
      </c>
    </row>
    <row r="226" spans="1:9" x14ac:dyDescent="0.35">
      <c r="A226" t="s">
        <v>21</v>
      </c>
      <c r="B226">
        <v>2025</v>
      </c>
      <c r="C226" t="s">
        <v>65</v>
      </c>
      <c r="D226" t="s">
        <v>47</v>
      </c>
      <c r="E226">
        <v>3.7162037459599298E-2</v>
      </c>
      <c r="F226">
        <v>3.7162037459599298E-2</v>
      </c>
      <c r="G226">
        <v>0</v>
      </c>
      <c r="H226">
        <v>0</v>
      </c>
      <c r="I226" t="s">
        <v>66</v>
      </c>
    </row>
    <row r="227" spans="1:9" x14ac:dyDescent="0.35">
      <c r="A227" t="s">
        <v>21</v>
      </c>
      <c r="B227">
        <v>2025</v>
      </c>
      <c r="C227" t="s">
        <v>65</v>
      </c>
      <c r="D227" t="s">
        <v>48</v>
      </c>
      <c r="E227">
        <v>15.3101214779802</v>
      </c>
      <c r="F227">
        <v>15.3101214779802</v>
      </c>
      <c r="G227">
        <v>0</v>
      </c>
      <c r="H227">
        <v>0</v>
      </c>
      <c r="I227" t="s">
        <v>66</v>
      </c>
    </row>
    <row r="228" spans="1:9" x14ac:dyDescent="0.35">
      <c r="A228" t="s">
        <v>21</v>
      </c>
      <c r="B228">
        <v>2025</v>
      </c>
      <c r="C228" t="s">
        <v>65</v>
      </c>
      <c r="D228" t="s">
        <v>49</v>
      </c>
      <c r="E228">
        <v>0.20763083432620899</v>
      </c>
      <c r="F228">
        <v>0.20763083432620899</v>
      </c>
      <c r="G228">
        <v>0</v>
      </c>
      <c r="H228">
        <v>0</v>
      </c>
      <c r="I228" t="s">
        <v>66</v>
      </c>
    </row>
    <row r="229" spans="1:9" x14ac:dyDescent="0.35">
      <c r="A229" t="s">
        <v>21</v>
      </c>
      <c r="B229">
        <v>2025</v>
      </c>
      <c r="C229" t="s">
        <v>65</v>
      </c>
      <c r="D229" t="s">
        <v>50</v>
      </c>
      <c r="E229">
        <v>5.6591762816238601E-2</v>
      </c>
      <c r="F229">
        <v>5.6591762816238601E-2</v>
      </c>
      <c r="G229">
        <v>0</v>
      </c>
      <c r="H229">
        <v>0</v>
      </c>
      <c r="I229" t="s">
        <v>66</v>
      </c>
    </row>
    <row r="230" spans="1:9" x14ac:dyDescent="0.35">
      <c r="A230" t="s">
        <v>21</v>
      </c>
      <c r="B230">
        <v>2025</v>
      </c>
      <c r="C230" t="s">
        <v>65</v>
      </c>
      <c r="D230" t="s">
        <v>51</v>
      </c>
      <c r="E230">
        <v>1.2296329995499</v>
      </c>
      <c r="F230">
        <v>1.2296329995499</v>
      </c>
      <c r="G230">
        <v>0</v>
      </c>
      <c r="H230">
        <v>0</v>
      </c>
      <c r="I230" t="s">
        <v>66</v>
      </c>
    </row>
    <row r="231" spans="1:9" x14ac:dyDescent="0.35">
      <c r="A231" t="s">
        <v>21</v>
      </c>
      <c r="B231">
        <v>2025</v>
      </c>
      <c r="C231" t="s">
        <v>65</v>
      </c>
      <c r="D231" t="s">
        <v>52</v>
      </c>
      <c r="E231">
        <v>0.67368380493021796</v>
      </c>
      <c r="F231">
        <v>0.67368380493021796</v>
      </c>
      <c r="G231">
        <v>0</v>
      </c>
      <c r="H231">
        <v>0</v>
      </c>
      <c r="I231" t="s">
        <v>66</v>
      </c>
    </row>
    <row r="232" spans="1:9" x14ac:dyDescent="0.35">
      <c r="A232" t="s">
        <v>21</v>
      </c>
      <c r="B232">
        <v>2025</v>
      </c>
      <c r="C232" t="s">
        <v>65</v>
      </c>
      <c r="D232" t="s">
        <v>53</v>
      </c>
      <c r="E232">
        <v>8.8930654929416804</v>
      </c>
      <c r="F232">
        <v>8.8930654929416804</v>
      </c>
      <c r="G232">
        <v>0</v>
      </c>
      <c r="H232">
        <v>0</v>
      </c>
      <c r="I232" t="s">
        <v>66</v>
      </c>
    </row>
    <row r="233" spans="1:9" x14ac:dyDescent="0.35">
      <c r="A233" t="s">
        <v>21</v>
      </c>
      <c r="B233">
        <v>2025</v>
      </c>
      <c r="C233" t="s">
        <v>65</v>
      </c>
      <c r="D233" t="s">
        <v>54</v>
      </c>
      <c r="E233">
        <v>22.7870342391051</v>
      </c>
      <c r="F233">
        <v>22.7870342391051</v>
      </c>
      <c r="G233">
        <v>0</v>
      </c>
      <c r="H233">
        <v>0</v>
      </c>
      <c r="I233" t="s">
        <v>66</v>
      </c>
    </row>
    <row r="234" spans="1:9" x14ac:dyDescent="0.35">
      <c r="A234" t="s">
        <v>21</v>
      </c>
      <c r="B234">
        <v>2025</v>
      </c>
      <c r="C234" t="s">
        <v>65</v>
      </c>
      <c r="D234" t="s">
        <v>55</v>
      </c>
      <c r="E234">
        <v>24.452234244634699</v>
      </c>
      <c r="F234">
        <v>24.452234244634699</v>
      </c>
      <c r="G234">
        <v>0</v>
      </c>
      <c r="H234">
        <v>0</v>
      </c>
      <c r="I234" t="s">
        <v>66</v>
      </c>
    </row>
    <row r="235" spans="1:9" x14ac:dyDescent="0.35">
      <c r="A235" t="s">
        <v>21</v>
      </c>
      <c r="B235">
        <v>2025</v>
      </c>
      <c r="C235" t="s">
        <v>65</v>
      </c>
      <c r="D235" t="s">
        <v>56</v>
      </c>
      <c r="E235" s="1">
        <v>2.23606179083548E-6</v>
      </c>
      <c r="F235" s="1">
        <v>2.23606179083548E-6</v>
      </c>
      <c r="G235">
        <v>0</v>
      </c>
      <c r="H235">
        <v>0</v>
      </c>
      <c r="I235" t="s">
        <v>66</v>
      </c>
    </row>
    <row r="236" spans="1:9" x14ac:dyDescent="0.35">
      <c r="A236" t="s">
        <v>23</v>
      </c>
      <c r="B236">
        <v>2030</v>
      </c>
      <c r="C236" t="s">
        <v>65</v>
      </c>
      <c r="D236" t="s">
        <v>38</v>
      </c>
      <c r="E236">
        <v>6.8323039405163294E-2</v>
      </c>
      <c r="F236">
        <v>6.7949032219140004E-2</v>
      </c>
      <c r="G236">
        <v>-3.7400718602328899E-4</v>
      </c>
      <c r="H236">
        <v>-0.54741005271352905</v>
      </c>
      <c r="I236" t="s">
        <v>66</v>
      </c>
    </row>
    <row r="237" spans="1:9" x14ac:dyDescent="0.35">
      <c r="A237" t="s">
        <v>23</v>
      </c>
      <c r="B237">
        <v>2030</v>
      </c>
      <c r="C237" t="s">
        <v>65</v>
      </c>
      <c r="D237" t="s">
        <v>40</v>
      </c>
      <c r="E237">
        <v>9.6104424524301596E-3</v>
      </c>
      <c r="F237">
        <v>9.6104424524301596E-3</v>
      </c>
      <c r="G237">
        <v>0</v>
      </c>
      <c r="H237">
        <v>0</v>
      </c>
      <c r="I237" t="s">
        <v>66</v>
      </c>
    </row>
    <row r="238" spans="1:9" x14ac:dyDescent="0.35">
      <c r="A238" t="s">
        <v>23</v>
      </c>
      <c r="B238">
        <v>2030</v>
      </c>
      <c r="C238" t="s">
        <v>65</v>
      </c>
      <c r="D238" t="s">
        <v>41</v>
      </c>
      <c r="E238">
        <v>0.30517122400294899</v>
      </c>
      <c r="F238">
        <v>0.194893790699499</v>
      </c>
      <c r="G238">
        <v>-0.110277433303449</v>
      </c>
      <c r="H238">
        <v>-36.136248974242697</v>
      </c>
      <c r="I238" t="s">
        <v>66</v>
      </c>
    </row>
    <row r="239" spans="1:9" x14ac:dyDescent="0.35">
      <c r="A239" t="s">
        <v>23</v>
      </c>
      <c r="B239">
        <v>2030</v>
      </c>
      <c r="C239" t="s">
        <v>65</v>
      </c>
      <c r="D239" t="s">
        <v>42</v>
      </c>
      <c r="E239">
        <v>52.795629904708498</v>
      </c>
      <c r="F239">
        <v>52.102452041282397</v>
      </c>
      <c r="G239">
        <v>-0.69317786342607901</v>
      </c>
      <c r="H239">
        <v>-1.31294553105475</v>
      </c>
      <c r="I239" t="s">
        <v>66</v>
      </c>
    </row>
    <row r="240" spans="1:9" x14ac:dyDescent="0.35">
      <c r="A240" t="s">
        <v>23</v>
      </c>
      <c r="B240">
        <v>2030</v>
      </c>
      <c r="C240" t="s">
        <v>65</v>
      </c>
      <c r="D240" t="s">
        <v>43</v>
      </c>
      <c r="E240">
        <v>7.3088028781406494E-2</v>
      </c>
      <c r="F240">
        <v>4.8113028328635302E-2</v>
      </c>
      <c r="G240">
        <v>-2.49750004527712E-2</v>
      </c>
      <c r="H240">
        <v>-34.171123327825697</v>
      </c>
      <c r="I240" t="s">
        <v>66</v>
      </c>
    </row>
    <row r="241" spans="1:9" x14ac:dyDescent="0.35">
      <c r="A241" t="s">
        <v>23</v>
      </c>
      <c r="B241">
        <v>2030</v>
      </c>
      <c r="C241" t="s">
        <v>65</v>
      </c>
      <c r="D241" t="s">
        <v>136</v>
      </c>
      <c r="E241">
        <v>44.452529226927901</v>
      </c>
      <c r="F241">
        <v>35.141591145670901</v>
      </c>
      <c r="G241">
        <v>-9.3109380812570102</v>
      </c>
      <c r="H241">
        <v>-20.9458004824093</v>
      </c>
      <c r="I241" t="s">
        <v>66</v>
      </c>
    </row>
    <row r="242" spans="1:9" x14ac:dyDescent="0.35">
      <c r="A242" t="s">
        <v>23</v>
      </c>
      <c r="B242">
        <v>2030</v>
      </c>
      <c r="C242" t="s">
        <v>65</v>
      </c>
      <c r="D242" t="s">
        <v>45</v>
      </c>
      <c r="E242">
        <v>8.3711590757080095E-2</v>
      </c>
      <c r="F242">
        <v>5.3401932779426398E-2</v>
      </c>
      <c r="G242">
        <v>-3.0309657977653701E-2</v>
      </c>
      <c r="H242">
        <v>-36.2072416776887</v>
      </c>
      <c r="I242" t="s">
        <v>66</v>
      </c>
    </row>
    <row r="243" spans="1:9" x14ac:dyDescent="0.35">
      <c r="A243" t="s">
        <v>23</v>
      </c>
      <c r="B243">
        <v>2030</v>
      </c>
      <c r="C243" t="s">
        <v>65</v>
      </c>
      <c r="D243" t="s">
        <v>46</v>
      </c>
      <c r="E243">
        <v>0.77678527950260401</v>
      </c>
      <c r="F243">
        <v>0.77678527950260401</v>
      </c>
      <c r="G243">
        <v>0</v>
      </c>
      <c r="H243">
        <v>0</v>
      </c>
      <c r="I243" t="s">
        <v>66</v>
      </c>
    </row>
    <row r="244" spans="1:9" x14ac:dyDescent="0.35">
      <c r="A244" t="s">
        <v>23</v>
      </c>
      <c r="B244">
        <v>2030</v>
      </c>
      <c r="C244" t="s">
        <v>65</v>
      </c>
      <c r="D244" t="s">
        <v>47</v>
      </c>
      <c r="E244">
        <v>3.7326602982010001E-2</v>
      </c>
      <c r="F244">
        <v>3.7326602982010001E-2</v>
      </c>
      <c r="G244">
        <v>0</v>
      </c>
      <c r="H244">
        <v>0</v>
      </c>
      <c r="I244" t="s">
        <v>66</v>
      </c>
    </row>
    <row r="245" spans="1:9" x14ac:dyDescent="0.35">
      <c r="A245" t="s">
        <v>23</v>
      </c>
      <c r="B245">
        <v>2030</v>
      </c>
      <c r="C245" t="s">
        <v>65</v>
      </c>
      <c r="D245" t="s">
        <v>48</v>
      </c>
      <c r="E245">
        <v>15.303767930362399</v>
      </c>
      <c r="F245">
        <v>15.303767930362399</v>
      </c>
      <c r="G245">
        <v>0</v>
      </c>
      <c r="H245">
        <v>0</v>
      </c>
      <c r="I245" t="s">
        <v>66</v>
      </c>
    </row>
    <row r="246" spans="1:9" x14ac:dyDescent="0.35">
      <c r="A246" t="s">
        <v>23</v>
      </c>
      <c r="B246">
        <v>2030</v>
      </c>
      <c r="C246" t="s">
        <v>65</v>
      </c>
      <c r="D246" t="s">
        <v>49</v>
      </c>
      <c r="E246">
        <v>0.20732798995864099</v>
      </c>
      <c r="F246">
        <v>0.124443737772746</v>
      </c>
      <c r="G246">
        <v>-8.2884252185894694E-2</v>
      </c>
      <c r="H246">
        <v>-39.977357713461103</v>
      </c>
      <c r="I246" t="s">
        <v>66</v>
      </c>
    </row>
    <row r="247" spans="1:9" x14ac:dyDescent="0.35">
      <c r="A247" t="s">
        <v>23</v>
      </c>
      <c r="B247">
        <v>2030</v>
      </c>
      <c r="C247" t="s">
        <v>65</v>
      </c>
      <c r="D247" t="s">
        <v>50</v>
      </c>
      <c r="E247">
        <v>7.3550049435643694E-2</v>
      </c>
      <c r="F247">
        <v>7.3550049435643694E-2</v>
      </c>
      <c r="G247">
        <v>0</v>
      </c>
      <c r="H247">
        <v>0</v>
      </c>
      <c r="I247" t="s">
        <v>66</v>
      </c>
    </row>
    <row r="248" spans="1:9" x14ac:dyDescent="0.35">
      <c r="A248" t="s">
        <v>23</v>
      </c>
      <c r="B248">
        <v>2030</v>
      </c>
      <c r="C248" t="s">
        <v>65</v>
      </c>
      <c r="D248" t="s">
        <v>51</v>
      </c>
      <c r="E248">
        <v>1.2244053768794201</v>
      </c>
      <c r="F248">
        <v>1.2244053768794201</v>
      </c>
      <c r="G248">
        <v>0</v>
      </c>
      <c r="H248">
        <v>0</v>
      </c>
      <c r="I248" t="s">
        <v>66</v>
      </c>
    </row>
    <row r="249" spans="1:9" x14ac:dyDescent="0.35">
      <c r="A249" t="s">
        <v>23</v>
      </c>
      <c r="B249">
        <v>2030</v>
      </c>
      <c r="C249" t="s">
        <v>65</v>
      </c>
      <c r="D249" t="s">
        <v>52</v>
      </c>
      <c r="E249">
        <v>0.62092958065383497</v>
      </c>
      <c r="F249">
        <v>0.62092958065383497</v>
      </c>
      <c r="G249">
        <v>0</v>
      </c>
      <c r="H249">
        <v>0</v>
      </c>
      <c r="I249" t="s">
        <v>66</v>
      </c>
    </row>
    <row r="250" spans="1:9" x14ac:dyDescent="0.35">
      <c r="A250" t="s">
        <v>23</v>
      </c>
      <c r="B250">
        <v>2030</v>
      </c>
      <c r="C250" t="s">
        <v>65</v>
      </c>
      <c r="D250" t="s">
        <v>53</v>
      </c>
      <c r="E250">
        <v>8.7709645036467698</v>
      </c>
      <c r="F250">
        <v>8.7709645036467698</v>
      </c>
      <c r="G250">
        <v>0</v>
      </c>
      <c r="H250">
        <v>0</v>
      </c>
      <c r="I250" t="s">
        <v>66</v>
      </c>
    </row>
    <row r="251" spans="1:9" x14ac:dyDescent="0.35">
      <c r="A251" t="s">
        <v>23</v>
      </c>
      <c r="B251">
        <v>2030</v>
      </c>
      <c r="C251" t="s">
        <v>65</v>
      </c>
      <c r="D251" t="s">
        <v>54</v>
      </c>
      <c r="E251">
        <v>22.797026799372301</v>
      </c>
      <c r="F251">
        <v>22.796876132511699</v>
      </c>
      <c r="G251">
        <v>-1.5066686058418099E-4</v>
      </c>
      <c r="H251">
        <v>-6.60905748412459E-4</v>
      </c>
      <c r="I251" t="s">
        <v>66</v>
      </c>
    </row>
    <row r="252" spans="1:9" x14ac:dyDescent="0.35">
      <c r="A252" t="s">
        <v>23</v>
      </c>
      <c r="B252">
        <v>2030</v>
      </c>
      <c r="C252" t="s">
        <v>65</v>
      </c>
      <c r="D252" t="s">
        <v>55</v>
      </c>
      <c r="E252">
        <v>24.4589507624571</v>
      </c>
      <c r="F252">
        <v>24.4442087247361</v>
      </c>
      <c r="G252">
        <v>-1.47420377209606E-2</v>
      </c>
      <c r="H252">
        <v>-6.0272567961454297E-2</v>
      </c>
      <c r="I252" t="s">
        <v>66</v>
      </c>
    </row>
    <row r="253" spans="1:9" x14ac:dyDescent="0.35">
      <c r="A253" t="s">
        <v>23</v>
      </c>
      <c r="B253">
        <v>2030</v>
      </c>
      <c r="C253" t="s">
        <v>65</v>
      </c>
      <c r="D253" t="s">
        <v>56</v>
      </c>
      <c r="E253" s="1">
        <v>2.0469045546329098E-6</v>
      </c>
      <c r="F253" s="1">
        <v>2.0469045546329098E-6</v>
      </c>
      <c r="G253">
        <v>0</v>
      </c>
      <c r="H253">
        <v>0</v>
      </c>
      <c r="I253" t="s">
        <v>66</v>
      </c>
    </row>
    <row r="254" spans="1:9" x14ac:dyDescent="0.35">
      <c r="A254" t="s">
        <v>25</v>
      </c>
      <c r="B254">
        <v>2035</v>
      </c>
      <c r="C254" t="s">
        <v>65</v>
      </c>
      <c r="D254" t="s">
        <v>38</v>
      </c>
      <c r="E254">
        <v>7.2345342576574101E-2</v>
      </c>
      <c r="F254">
        <v>7.2242098921615303E-2</v>
      </c>
      <c r="G254">
        <v>-1.03243654958798E-4</v>
      </c>
      <c r="H254">
        <v>-0.14270946999735301</v>
      </c>
      <c r="I254" t="s">
        <v>66</v>
      </c>
    </row>
    <row r="255" spans="1:9" x14ac:dyDescent="0.35">
      <c r="A255" t="s">
        <v>25</v>
      </c>
      <c r="B255">
        <v>2035</v>
      </c>
      <c r="C255" t="s">
        <v>65</v>
      </c>
      <c r="D255" t="s">
        <v>40</v>
      </c>
      <c r="E255">
        <v>9.5443238639025697E-3</v>
      </c>
      <c r="F255">
        <v>9.5443238639025697E-3</v>
      </c>
      <c r="G255">
        <v>0</v>
      </c>
      <c r="H255">
        <v>0</v>
      </c>
      <c r="I255" t="s">
        <v>66</v>
      </c>
    </row>
    <row r="256" spans="1:9" x14ac:dyDescent="0.35">
      <c r="A256" t="s">
        <v>25</v>
      </c>
      <c r="B256">
        <v>2035</v>
      </c>
      <c r="C256" t="s">
        <v>65</v>
      </c>
      <c r="D256" t="s">
        <v>41</v>
      </c>
      <c r="E256">
        <v>0.30494009872564598</v>
      </c>
      <c r="F256">
        <v>0.28045353732158801</v>
      </c>
      <c r="G256">
        <v>-2.4486561404057802E-2</v>
      </c>
      <c r="H256">
        <v>-8.0299578528333502</v>
      </c>
      <c r="I256" t="s">
        <v>66</v>
      </c>
    </row>
    <row r="257" spans="1:9" x14ac:dyDescent="0.35">
      <c r="A257" t="s">
        <v>25</v>
      </c>
      <c r="B257">
        <v>2035</v>
      </c>
      <c r="C257" t="s">
        <v>65</v>
      </c>
      <c r="D257" t="s">
        <v>42</v>
      </c>
      <c r="E257">
        <v>52.9555137486905</v>
      </c>
      <c r="F257">
        <v>52.757497902924797</v>
      </c>
      <c r="G257">
        <v>-0.19801584576571599</v>
      </c>
      <c r="H257">
        <v>-0.37392866530468299</v>
      </c>
      <c r="I257" t="s">
        <v>66</v>
      </c>
    </row>
    <row r="258" spans="1:9" x14ac:dyDescent="0.35">
      <c r="A258" t="s">
        <v>25</v>
      </c>
      <c r="B258">
        <v>2035</v>
      </c>
      <c r="C258" t="s">
        <v>65</v>
      </c>
      <c r="D258" t="s">
        <v>43</v>
      </c>
      <c r="E258">
        <v>7.4040190124366898E-2</v>
      </c>
      <c r="F258">
        <v>6.7233707558452996E-2</v>
      </c>
      <c r="G258">
        <v>-6.8064825659139502E-3</v>
      </c>
      <c r="H258">
        <v>-9.1929566286647209</v>
      </c>
      <c r="I258" t="s">
        <v>66</v>
      </c>
    </row>
    <row r="259" spans="1:9" x14ac:dyDescent="0.35">
      <c r="A259" t="s">
        <v>25</v>
      </c>
      <c r="B259">
        <v>2035</v>
      </c>
      <c r="C259" t="s">
        <v>65</v>
      </c>
      <c r="D259" t="s">
        <v>136</v>
      </c>
      <c r="E259">
        <v>44.426983149096898</v>
      </c>
      <c r="F259">
        <v>43.118704070927997</v>
      </c>
      <c r="G259">
        <v>-1.3082790781689</v>
      </c>
      <c r="H259">
        <v>-2.9447848704430801</v>
      </c>
      <c r="I259" t="s">
        <v>66</v>
      </c>
    </row>
    <row r="260" spans="1:9" x14ac:dyDescent="0.35">
      <c r="A260" t="s">
        <v>25</v>
      </c>
      <c r="B260">
        <v>2035</v>
      </c>
      <c r="C260" t="s">
        <v>65</v>
      </c>
      <c r="D260" t="s">
        <v>45</v>
      </c>
      <c r="E260">
        <v>8.3085098970333796E-2</v>
      </c>
      <c r="F260">
        <v>7.4833800666346997E-2</v>
      </c>
      <c r="G260">
        <v>-8.2512983039867809E-3</v>
      </c>
      <c r="H260">
        <v>-9.9311409702153295</v>
      </c>
      <c r="I260" t="s">
        <v>66</v>
      </c>
    </row>
    <row r="261" spans="1:9" x14ac:dyDescent="0.35">
      <c r="A261" t="s">
        <v>25</v>
      </c>
      <c r="B261">
        <v>2035</v>
      </c>
      <c r="C261" t="s">
        <v>65</v>
      </c>
      <c r="D261" t="s">
        <v>46</v>
      </c>
      <c r="E261">
        <v>1.0447022089133999</v>
      </c>
      <c r="F261">
        <v>1.0447022089133999</v>
      </c>
      <c r="G261">
        <v>0</v>
      </c>
      <c r="H261">
        <v>0</v>
      </c>
      <c r="I261" t="s">
        <v>66</v>
      </c>
    </row>
    <row r="262" spans="1:9" x14ac:dyDescent="0.35">
      <c r="A262" t="s">
        <v>25</v>
      </c>
      <c r="B262">
        <v>2035</v>
      </c>
      <c r="C262" t="s">
        <v>65</v>
      </c>
      <c r="D262" t="s">
        <v>47</v>
      </c>
      <c r="E262">
        <v>3.7614586350378003E-2</v>
      </c>
      <c r="F262">
        <v>3.7614586350378003E-2</v>
      </c>
      <c r="G262">
        <v>0</v>
      </c>
      <c r="H262">
        <v>0</v>
      </c>
      <c r="I262" t="s">
        <v>66</v>
      </c>
    </row>
    <row r="263" spans="1:9" x14ac:dyDescent="0.35">
      <c r="A263" t="s">
        <v>25</v>
      </c>
      <c r="B263">
        <v>2035</v>
      </c>
      <c r="C263" t="s">
        <v>65</v>
      </c>
      <c r="D263" t="s">
        <v>48</v>
      </c>
      <c r="E263">
        <v>15.3021802434781</v>
      </c>
      <c r="F263">
        <v>15.3021802434781</v>
      </c>
      <c r="G263">
        <v>0</v>
      </c>
      <c r="H263">
        <v>0</v>
      </c>
      <c r="I263" t="s">
        <v>66</v>
      </c>
    </row>
    <row r="264" spans="1:9" x14ac:dyDescent="0.35">
      <c r="A264" t="s">
        <v>25</v>
      </c>
      <c r="B264">
        <v>2035</v>
      </c>
      <c r="C264" t="s">
        <v>65</v>
      </c>
      <c r="D264" t="s">
        <v>49</v>
      </c>
      <c r="E264">
        <v>0.20768316608099499</v>
      </c>
      <c r="F264">
        <v>0.184933688103084</v>
      </c>
      <c r="G264">
        <v>-2.27494779779111E-2</v>
      </c>
      <c r="H264">
        <v>-10.953934498975601</v>
      </c>
      <c r="I264" t="s">
        <v>66</v>
      </c>
    </row>
    <row r="265" spans="1:9" x14ac:dyDescent="0.35">
      <c r="A265" t="s">
        <v>25</v>
      </c>
      <c r="B265">
        <v>2035</v>
      </c>
      <c r="C265" t="s">
        <v>65</v>
      </c>
      <c r="D265" t="s">
        <v>50</v>
      </c>
      <c r="E265">
        <v>8.9741217627659298E-2</v>
      </c>
      <c r="F265">
        <v>8.9741217627659298E-2</v>
      </c>
      <c r="G265">
        <v>0</v>
      </c>
      <c r="H265">
        <v>0</v>
      </c>
      <c r="I265" t="s">
        <v>66</v>
      </c>
    </row>
    <row r="266" spans="1:9" x14ac:dyDescent="0.35">
      <c r="A266" t="s">
        <v>25</v>
      </c>
      <c r="B266">
        <v>2035</v>
      </c>
      <c r="C266" t="s">
        <v>65</v>
      </c>
      <c r="D266" t="s">
        <v>51</v>
      </c>
      <c r="E266">
        <v>1.2236034312984001</v>
      </c>
      <c r="F266">
        <v>1.2236034312984001</v>
      </c>
      <c r="G266">
        <v>0</v>
      </c>
      <c r="H266">
        <v>0</v>
      </c>
      <c r="I266" t="s">
        <v>66</v>
      </c>
    </row>
    <row r="267" spans="1:9" x14ac:dyDescent="0.35">
      <c r="A267" t="s">
        <v>25</v>
      </c>
      <c r="B267">
        <v>2035</v>
      </c>
      <c r="C267" t="s">
        <v>65</v>
      </c>
      <c r="D267" t="s">
        <v>52</v>
      </c>
      <c r="E267">
        <v>0.57938492734955405</v>
      </c>
      <c r="F267">
        <v>0.57938492734955405</v>
      </c>
      <c r="G267">
        <v>0</v>
      </c>
      <c r="H267">
        <v>0</v>
      </c>
      <c r="I267" t="s">
        <v>66</v>
      </c>
    </row>
    <row r="268" spans="1:9" x14ac:dyDescent="0.35">
      <c r="A268" t="s">
        <v>25</v>
      </c>
      <c r="B268">
        <v>2035</v>
      </c>
      <c r="C268" t="s">
        <v>65</v>
      </c>
      <c r="D268" t="s">
        <v>53</v>
      </c>
      <c r="E268">
        <v>8.7502506249332495</v>
      </c>
      <c r="F268">
        <v>8.7502506249332495</v>
      </c>
      <c r="G268">
        <v>0</v>
      </c>
      <c r="H268">
        <v>0</v>
      </c>
      <c r="I268" t="s">
        <v>66</v>
      </c>
    </row>
    <row r="269" spans="1:9" x14ac:dyDescent="0.35">
      <c r="A269" t="s">
        <v>25</v>
      </c>
      <c r="B269">
        <v>2035</v>
      </c>
      <c r="C269" t="s">
        <v>65</v>
      </c>
      <c r="D269" t="s">
        <v>54</v>
      </c>
      <c r="E269">
        <v>22.806263638818098</v>
      </c>
      <c r="F269">
        <v>22.8062221551655</v>
      </c>
      <c r="G269" s="1">
        <v>-4.1483652566398598E-5</v>
      </c>
      <c r="H269">
        <v>-1.81895873972929E-4</v>
      </c>
      <c r="I269" t="s">
        <v>66</v>
      </c>
    </row>
    <row r="270" spans="1:9" x14ac:dyDescent="0.35">
      <c r="A270" t="s">
        <v>25</v>
      </c>
      <c r="B270">
        <v>2035</v>
      </c>
      <c r="C270" t="s">
        <v>65</v>
      </c>
      <c r="D270" t="s">
        <v>55</v>
      </c>
      <c r="E270">
        <v>24.466525978907999</v>
      </c>
      <c r="F270">
        <v>24.4623636031594</v>
      </c>
      <c r="G270">
        <v>-4.16237574857447E-3</v>
      </c>
      <c r="H270">
        <v>-1.7012532764818102E-2</v>
      </c>
      <c r="I270" t="s">
        <v>66</v>
      </c>
    </row>
    <row r="271" spans="1:9" x14ac:dyDescent="0.35">
      <c r="A271" t="s">
        <v>25</v>
      </c>
      <c r="B271">
        <v>2035</v>
      </c>
      <c r="C271" t="s">
        <v>65</v>
      </c>
      <c r="D271" t="s">
        <v>56</v>
      </c>
      <c r="E271" s="1">
        <v>1.9637305120431801E-6</v>
      </c>
      <c r="F271" s="1">
        <v>1.9637305120431801E-6</v>
      </c>
      <c r="G271">
        <v>0</v>
      </c>
      <c r="H271">
        <v>0</v>
      </c>
      <c r="I271" t="s">
        <v>66</v>
      </c>
    </row>
    <row r="272" spans="1:9" x14ac:dyDescent="0.35">
      <c r="A272" t="s">
        <v>27</v>
      </c>
      <c r="B272">
        <v>2040</v>
      </c>
      <c r="C272" t="s">
        <v>65</v>
      </c>
      <c r="D272" t="s">
        <v>38</v>
      </c>
      <c r="E272">
        <v>7.1175167084160801E-2</v>
      </c>
      <c r="F272">
        <v>7.0697916053073795E-2</v>
      </c>
      <c r="G272">
        <v>-4.7725103108693602E-4</v>
      </c>
      <c r="H272">
        <v>-0.67053025744584804</v>
      </c>
      <c r="I272" t="s">
        <v>66</v>
      </c>
    </row>
    <row r="273" spans="1:9" x14ac:dyDescent="0.35">
      <c r="A273" t="s">
        <v>27</v>
      </c>
      <c r="B273">
        <v>2040</v>
      </c>
      <c r="C273" t="s">
        <v>65</v>
      </c>
      <c r="D273" t="s">
        <v>40</v>
      </c>
      <c r="E273">
        <v>9.4991942022068301E-3</v>
      </c>
      <c r="F273">
        <v>9.4991942022068301E-3</v>
      </c>
      <c r="G273">
        <v>0</v>
      </c>
      <c r="H273">
        <v>0</v>
      </c>
      <c r="I273" t="s">
        <v>66</v>
      </c>
    </row>
    <row r="274" spans="1:9" x14ac:dyDescent="0.35">
      <c r="A274" t="s">
        <v>27</v>
      </c>
      <c r="B274">
        <v>2040</v>
      </c>
      <c r="C274" t="s">
        <v>65</v>
      </c>
      <c r="D274" t="s">
        <v>41</v>
      </c>
      <c r="E274">
        <v>0.30490051544503299</v>
      </c>
      <c r="F274">
        <v>0.17013645678581499</v>
      </c>
      <c r="G274">
        <v>-0.13476405865921701</v>
      </c>
      <c r="H274">
        <v>-44.199354160656398</v>
      </c>
      <c r="I274" t="s">
        <v>66</v>
      </c>
    </row>
    <row r="275" spans="1:9" x14ac:dyDescent="0.35">
      <c r="A275" t="s">
        <v>27</v>
      </c>
      <c r="B275">
        <v>2040</v>
      </c>
      <c r="C275" t="s">
        <v>65</v>
      </c>
      <c r="D275" t="s">
        <v>42</v>
      </c>
      <c r="E275">
        <v>53.139719878940198</v>
      </c>
      <c r="F275">
        <v>52.248525844952198</v>
      </c>
      <c r="G275">
        <v>-0.89119403398795005</v>
      </c>
      <c r="H275">
        <v>-1.67707702640927</v>
      </c>
      <c r="I275" t="s">
        <v>66</v>
      </c>
    </row>
    <row r="276" spans="1:9" x14ac:dyDescent="0.35">
      <c r="A276" t="s">
        <v>27</v>
      </c>
      <c r="B276">
        <v>2040</v>
      </c>
      <c r="C276" t="s">
        <v>65</v>
      </c>
      <c r="D276" t="s">
        <v>43</v>
      </c>
      <c r="E276">
        <v>7.3824555368624006E-2</v>
      </c>
      <c r="F276">
        <v>4.2043057159139197E-2</v>
      </c>
      <c r="G276">
        <v>-3.1781498209484803E-2</v>
      </c>
      <c r="H276">
        <v>-43.0500367402039</v>
      </c>
      <c r="I276" t="s">
        <v>66</v>
      </c>
    </row>
    <row r="277" spans="1:9" x14ac:dyDescent="0.35">
      <c r="A277" t="s">
        <v>27</v>
      </c>
      <c r="B277">
        <v>2040</v>
      </c>
      <c r="C277" t="s">
        <v>65</v>
      </c>
      <c r="D277" t="s">
        <v>136</v>
      </c>
      <c r="E277">
        <v>44.549370070094596</v>
      </c>
      <c r="F277">
        <v>33.9297664339135</v>
      </c>
      <c r="G277">
        <v>-10.6196036361811</v>
      </c>
      <c r="H277">
        <v>-23.837831195978801</v>
      </c>
      <c r="I277" t="s">
        <v>66</v>
      </c>
    </row>
    <row r="278" spans="1:9" x14ac:dyDescent="0.35">
      <c r="A278" t="s">
        <v>27</v>
      </c>
      <c r="B278">
        <v>2040</v>
      </c>
      <c r="C278" t="s">
        <v>65</v>
      </c>
      <c r="D278" t="s">
        <v>45</v>
      </c>
      <c r="E278">
        <v>8.2682222621996704E-2</v>
      </c>
      <c r="F278">
        <v>4.4121248867346002E-2</v>
      </c>
      <c r="G278">
        <v>-3.8560973754650701E-2</v>
      </c>
      <c r="H278">
        <v>-46.637563108266001</v>
      </c>
      <c r="I278" t="s">
        <v>66</v>
      </c>
    </row>
    <row r="279" spans="1:9" x14ac:dyDescent="0.35">
      <c r="A279" t="s">
        <v>27</v>
      </c>
      <c r="B279">
        <v>2040</v>
      </c>
      <c r="C279" t="s">
        <v>65</v>
      </c>
      <c r="D279" t="s">
        <v>46</v>
      </c>
      <c r="E279">
        <v>1.10290254924881</v>
      </c>
      <c r="F279">
        <v>1.10290254924881</v>
      </c>
      <c r="G279">
        <v>0</v>
      </c>
      <c r="H279">
        <v>0</v>
      </c>
      <c r="I279" t="s">
        <v>66</v>
      </c>
    </row>
    <row r="280" spans="1:9" x14ac:dyDescent="0.35">
      <c r="A280" t="s">
        <v>27</v>
      </c>
      <c r="B280">
        <v>2040</v>
      </c>
      <c r="C280" t="s">
        <v>65</v>
      </c>
      <c r="D280" t="s">
        <v>47</v>
      </c>
      <c r="E280">
        <v>3.7918743274435097E-2</v>
      </c>
      <c r="F280">
        <v>3.7918743274435097E-2</v>
      </c>
      <c r="G280">
        <v>0</v>
      </c>
      <c r="H280">
        <v>0</v>
      </c>
      <c r="I280" t="s">
        <v>66</v>
      </c>
    </row>
    <row r="281" spans="1:9" x14ac:dyDescent="0.35">
      <c r="A281" t="s">
        <v>27</v>
      </c>
      <c r="B281">
        <v>2040</v>
      </c>
      <c r="C281" t="s">
        <v>65</v>
      </c>
      <c r="D281" t="s">
        <v>48</v>
      </c>
      <c r="E281">
        <v>15.303191915154899</v>
      </c>
      <c r="F281">
        <v>15.303191915154899</v>
      </c>
      <c r="G281">
        <v>0</v>
      </c>
      <c r="H281">
        <v>0</v>
      </c>
      <c r="I281" t="s">
        <v>66</v>
      </c>
    </row>
    <row r="282" spans="1:9" x14ac:dyDescent="0.35">
      <c r="A282" t="s">
        <v>27</v>
      </c>
      <c r="B282">
        <v>2040</v>
      </c>
      <c r="C282" t="s">
        <v>65</v>
      </c>
      <c r="D282" t="s">
        <v>49</v>
      </c>
      <c r="E282">
        <v>0.207430858513279</v>
      </c>
      <c r="F282">
        <v>0.1017970796542</v>
      </c>
      <c r="G282">
        <v>-0.105633778859079</v>
      </c>
      <c r="H282">
        <v>-50.9248139916062</v>
      </c>
      <c r="I282" t="s">
        <v>66</v>
      </c>
    </row>
    <row r="283" spans="1:9" x14ac:dyDescent="0.35">
      <c r="A283" t="s">
        <v>27</v>
      </c>
      <c r="B283">
        <v>2040</v>
      </c>
      <c r="C283" t="s">
        <v>65</v>
      </c>
      <c r="D283" t="s">
        <v>50</v>
      </c>
      <c r="E283">
        <v>8.5834267682669302E-2</v>
      </c>
      <c r="F283">
        <v>8.5834267682669302E-2</v>
      </c>
      <c r="G283">
        <v>0</v>
      </c>
      <c r="H283">
        <v>0</v>
      </c>
      <c r="I283" t="s">
        <v>66</v>
      </c>
    </row>
    <row r="284" spans="1:9" x14ac:dyDescent="0.35">
      <c r="A284" t="s">
        <v>27</v>
      </c>
      <c r="B284">
        <v>2040</v>
      </c>
      <c r="C284" t="s">
        <v>65</v>
      </c>
      <c r="D284" t="s">
        <v>51</v>
      </c>
      <c r="E284">
        <v>1.22427152143157</v>
      </c>
      <c r="F284">
        <v>1.22427152143157</v>
      </c>
      <c r="G284">
        <v>0</v>
      </c>
      <c r="H284">
        <v>0</v>
      </c>
      <c r="I284" t="s">
        <v>66</v>
      </c>
    </row>
    <row r="285" spans="1:9" x14ac:dyDescent="0.35">
      <c r="A285" t="s">
        <v>27</v>
      </c>
      <c r="B285">
        <v>2040</v>
      </c>
      <c r="C285" t="s">
        <v>65</v>
      </c>
      <c r="D285" t="s">
        <v>52</v>
      </c>
      <c r="E285">
        <v>0.54792908252817996</v>
      </c>
      <c r="F285">
        <v>0.54792908252817996</v>
      </c>
      <c r="G285">
        <v>0</v>
      </c>
      <c r="H285">
        <v>0</v>
      </c>
      <c r="I285" t="s">
        <v>66</v>
      </c>
    </row>
    <row r="286" spans="1:9" x14ac:dyDescent="0.35">
      <c r="A286" t="s">
        <v>27</v>
      </c>
      <c r="B286">
        <v>2040</v>
      </c>
      <c r="C286" t="s">
        <v>65</v>
      </c>
      <c r="D286" t="s">
        <v>53</v>
      </c>
      <c r="E286">
        <v>8.7802031464284696</v>
      </c>
      <c r="F286">
        <v>8.7802031464284696</v>
      </c>
      <c r="G286">
        <v>0</v>
      </c>
      <c r="H286">
        <v>0</v>
      </c>
      <c r="I286" t="s">
        <v>66</v>
      </c>
    </row>
    <row r="287" spans="1:9" x14ac:dyDescent="0.35">
      <c r="A287" t="s">
        <v>27</v>
      </c>
      <c r="B287">
        <v>2040</v>
      </c>
      <c r="C287" t="s">
        <v>65</v>
      </c>
      <c r="D287" t="s">
        <v>54</v>
      </c>
      <c r="E287">
        <v>22.814045718419599</v>
      </c>
      <c r="F287">
        <v>22.813853567830101</v>
      </c>
      <c r="G287">
        <v>-1.92150589423789E-4</v>
      </c>
      <c r="H287">
        <v>-8.42246885078568E-4</v>
      </c>
      <c r="I287" t="s">
        <v>66</v>
      </c>
    </row>
    <row r="288" spans="1:9" x14ac:dyDescent="0.35">
      <c r="A288" t="s">
        <v>27</v>
      </c>
      <c r="B288">
        <v>2040</v>
      </c>
      <c r="C288" t="s">
        <v>65</v>
      </c>
      <c r="D288" t="s">
        <v>55</v>
      </c>
      <c r="E288">
        <v>24.473995636548899</v>
      </c>
      <c r="F288">
        <v>24.455091215418602</v>
      </c>
      <c r="G288">
        <v>-1.8904421130272901E-2</v>
      </c>
      <c r="H288">
        <v>-7.7242888374309496E-2</v>
      </c>
      <c r="I288" t="s">
        <v>66</v>
      </c>
    </row>
    <row r="289" spans="1:9" x14ac:dyDescent="0.35">
      <c r="A289" t="s">
        <v>27</v>
      </c>
      <c r="B289">
        <v>2040</v>
      </c>
      <c r="C289" t="s">
        <v>65</v>
      </c>
      <c r="D289" t="s">
        <v>56</v>
      </c>
      <c r="E289" s="1">
        <v>1.94226620312526E-6</v>
      </c>
      <c r="F289" s="1">
        <v>1.94226620312526E-6</v>
      </c>
      <c r="G289">
        <v>0</v>
      </c>
      <c r="H289">
        <v>0</v>
      </c>
      <c r="I289" t="s">
        <v>66</v>
      </c>
    </row>
    <row r="290" spans="1:9" x14ac:dyDescent="0.35">
      <c r="A290" t="s">
        <v>21</v>
      </c>
      <c r="B290">
        <v>2025</v>
      </c>
      <c r="C290" t="s">
        <v>76</v>
      </c>
      <c r="D290" t="s">
        <v>38</v>
      </c>
      <c r="E290">
        <v>1.0158928053375801E-3</v>
      </c>
      <c r="F290">
        <v>1.0158928053375801E-3</v>
      </c>
      <c r="G290">
        <v>0</v>
      </c>
      <c r="H290">
        <v>0</v>
      </c>
      <c r="I290" t="s">
        <v>77</v>
      </c>
    </row>
    <row r="291" spans="1:9" x14ac:dyDescent="0.35">
      <c r="A291" t="s">
        <v>21</v>
      </c>
      <c r="B291">
        <v>2025</v>
      </c>
      <c r="C291" t="s">
        <v>76</v>
      </c>
      <c r="D291" t="s">
        <v>40</v>
      </c>
      <c r="E291">
        <v>6.9977353113988598E-4</v>
      </c>
      <c r="F291">
        <v>6.9977353113988598E-4</v>
      </c>
      <c r="G291">
        <v>0</v>
      </c>
      <c r="H291">
        <v>0</v>
      </c>
      <c r="I291" t="s">
        <v>77</v>
      </c>
    </row>
    <row r="292" spans="1:9" x14ac:dyDescent="0.35">
      <c r="A292" t="s">
        <v>21</v>
      </c>
      <c r="B292">
        <v>2025</v>
      </c>
      <c r="C292" t="s">
        <v>76</v>
      </c>
      <c r="D292" t="s">
        <v>41</v>
      </c>
      <c r="E292">
        <v>9.3153085796811499E-3</v>
      </c>
      <c r="F292">
        <v>9.3153085796811499E-3</v>
      </c>
      <c r="G292">
        <v>0</v>
      </c>
      <c r="H292">
        <v>0</v>
      </c>
      <c r="I292" t="s">
        <v>77</v>
      </c>
    </row>
    <row r="293" spans="1:9" x14ac:dyDescent="0.35">
      <c r="A293" t="s">
        <v>21</v>
      </c>
      <c r="B293">
        <v>2025</v>
      </c>
      <c r="C293" t="s">
        <v>76</v>
      </c>
      <c r="D293" t="s">
        <v>42</v>
      </c>
      <c r="E293">
        <v>1.7528982657790599</v>
      </c>
      <c r="F293">
        <v>1.7528982657790599</v>
      </c>
      <c r="G293">
        <v>0</v>
      </c>
      <c r="H293">
        <v>0</v>
      </c>
      <c r="I293" t="s">
        <v>77</v>
      </c>
    </row>
    <row r="294" spans="1:9" x14ac:dyDescent="0.35">
      <c r="A294" t="s">
        <v>21</v>
      </c>
      <c r="B294">
        <v>2025</v>
      </c>
      <c r="C294" t="s">
        <v>76</v>
      </c>
      <c r="D294" t="s">
        <v>43</v>
      </c>
      <c r="E294">
        <v>8.1651513478354001E-3</v>
      </c>
      <c r="F294">
        <v>8.1651513478354001E-3</v>
      </c>
      <c r="G294">
        <v>0</v>
      </c>
      <c r="H294">
        <v>0</v>
      </c>
      <c r="I294" t="s">
        <v>77</v>
      </c>
    </row>
    <row r="295" spans="1:9" x14ac:dyDescent="0.35">
      <c r="A295" t="s">
        <v>21</v>
      </c>
      <c r="B295">
        <v>2025</v>
      </c>
      <c r="C295" t="s">
        <v>76</v>
      </c>
      <c r="D295" t="s">
        <v>136</v>
      </c>
      <c r="E295">
        <v>2.1211193818954501</v>
      </c>
      <c r="F295">
        <v>2.1211193818954501</v>
      </c>
      <c r="G295">
        <v>0</v>
      </c>
      <c r="H295">
        <v>0</v>
      </c>
      <c r="I295" t="s">
        <v>77</v>
      </c>
    </row>
    <row r="296" spans="1:9" x14ac:dyDescent="0.35">
      <c r="A296" t="s">
        <v>21</v>
      </c>
      <c r="B296">
        <v>2025</v>
      </c>
      <c r="C296" t="s">
        <v>76</v>
      </c>
      <c r="D296" t="s">
        <v>45</v>
      </c>
      <c r="E296">
        <v>5.8305893839487597E-3</v>
      </c>
      <c r="F296">
        <v>5.8305893839487597E-3</v>
      </c>
      <c r="G296">
        <v>0</v>
      </c>
      <c r="H296">
        <v>0</v>
      </c>
      <c r="I296" t="s">
        <v>77</v>
      </c>
    </row>
    <row r="297" spans="1:9" x14ac:dyDescent="0.35">
      <c r="A297" t="s">
        <v>21</v>
      </c>
      <c r="B297">
        <v>2025</v>
      </c>
      <c r="C297" t="s">
        <v>76</v>
      </c>
      <c r="D297" t="s">
        <v>46</v>
      </c>
      <c r="E297">
        <v>0.100428097376329</v>
      </c>
      <c r="F297">
        <v>0.100428097376329</v>
      </c>
      <c r="G297">
        <v>0</v>
      </c>
      <c r="H297">
        <v>0</v>
      </c>
      <c r="I297" t="s">
        <v>77</v>
      </c>
    </row>
    <row r="298" spans="1:9" x14ac:dyDescent="0.35">
      <c r="A298" t="s">
        <v>21</v>
      </c>
      <c r="B298">
        <v>2025</v>
      </c>
      <c r="C298" t="s">
        <v>76</v>
      </c>
      <c r="D298" t="s">
        <v>47</v>
      </c>
      <c r="E298">
        <v>1.9902333331421902E-3</v>
      </c>
      <c r="F298">
        <v>1.9902333331421902E-3</v>
      </c>
      <c r="G298">
        <v>0</v>
      </c>
      <c r="H298">
        <v>0</v>
      </c>
      <c r="I298" t="s">
        <v>77</v>
      </c>
    </row>
    <row r="299" spans="1:9" x14ac:dyDescent="0.35">
      <c r="A299" t="s">
        <v>21</v>
      </c>
      <c r="B299">
        <v>2025</v>
      </c>
      <c r="C299" t="s">
        <v>76</v>
      </c>
      <c r="D299" t="s">
        <v>48</v>
      </c>
      <c r="E299">
        <v>0.270635144806328</v>
      </c>
      <c r="F299">
        <v>0.270635144806328</v>
      </c>
      <c r="G299">
        <v>0</v>
      </c>
      <c r="H299">
        <v>0</v>
      </c>
      <c r="I299" t="s">
        <v>77</v>
      </c>
    </row>
    <row r="300" spans="1:9" x14ac:dyDescent="0.35">
      <c r="A300" t="s">
        <v>21</v>
      </c>
      <c r="B300">
        <v>2025</v>
      </c>
      <c r="C300" t="s">
        <v>76</v>
      </c>
      <c r="D300" t="s">
        <v>49</v>
      </c>
      <c r="E300">
        <v>1.48373563677845E-2</v>
      </c>
      <c r="F300">
        <v>1.48373563677845E-2</v>
      </c>
      <c r="G300">
        <v>0</v>
      </c>
      <c r="H300">
        <v>0</v>
      </c>
      <c r="I300" t="s">
        <v>77</v>
      </c>
    </row>
    <row r="301" spans="1:9" x14ac:dyDescent="0.35">
      <c r="A301" t="s">
        <v>21</v>
      </c>
      <c r="B301">
        <v>2025</v>
      </c>
      <c r="C301" t="s">
        <v>76</v>
      </c>
      <c r="D301" t="s">
        <v>50</v>
      </c>
      <c r="E301">
        <v>5.3347124867317904E-3</v>
      </c>
      <c r="F301">
        <v>5.3347124867317904E-3</v>
      </c>
      <c r="G301">
        <v>0</v>
      </c>
      <c r="H301">
        <v>0</v>
      </c>
      <c r="I301" t="s">
        <v>77</v>
      </c>
    </row>
    <row r="302" spans="1:9" x14ac:dyDescent="0.35">
      <c r="A302" t="s">
        <v>21</v>
      </c>
      <c r="B302">
        <v>2025</v>
      </c>
      <c r="C302" t="s">
        <v>76</v>
      </c>
      <c r="D302" t="s">
        <v>51</v>
      </c>
      <c r="E302">
        <v>0.16768639620914499</v>
      </c>
      <c r="F302">
        <v>0.16768639620914499</v>
      </c>
      <c r="G302">
        <v>0</v>
      </c>
      <c r="H302">
        <v>0</v>
      </c>
      <c r="I302" t="s">
        <v>77</v>
      </c>
    </row>
    <row r="303" spans="1:9" x14ac:dyDescent="0.35">
      <c r="A303" t="s">
        <v>21</v>
      </c>
      <c r="B303">
        <v>2025</v>
      </c>
      <c r="C303" t="s">
        <v>76</v>
      </c>
      <c r="D303" t="s">
        <v>52</v>
      </c>
      <c r="E303">
        <v>0.17533026219051101</v>
      </c>
      <c r="F303">
        <v>0.17533026219051101</v>
      </c>
      <c r="G303">
        <v>0</v>
      </c>
      <c r="H303">
        <v>0</v>
      </c>
      <c r="I303" t="s">
        <v>77</v>
      </c>
    </row>
    <row r="304" spans="1:9" x14ac:dyDescent="0.35">
      <c r="A304" t="s">
        <v>21</v>
      </c>
      <c r="B304">
        <v>2025</v>
      </c>
      <c r="C304" t="s">
        <v>76</v>
      </c>
      <c r="D304" t="s">
        <v>53</v>
      </c>
      <c r="E304">
        <v>0.64402234234437905</v>
      </c>
      <c r="F304">
        <v>0.64402234234437905</v>
      </c>
      <c r="G304">
        <v>0</v>
      </c>
      <c r="H304">
        <v>0</v>
      </c>
      <c r="I304" t="s">
        <v>77</v>
      </c>
    </row>
    <row r="305" spans="1:9" x14ac:dyDescent="0.35">
      <c r="A305" t="s">
        <v>21</v>
      </c>
      <c r="B305">
        <v>2025</v>
      </c>
      <c r="C305" t="s">
        <v>76</v>
      </c>
      <c r="D305" t="s">
        <v>54</v>
      </c>
      <c r="E305">
        <v>0.114311007216157</v>
      </c>
      <c r="F305">
        <v>0.114311007216157</v>
      </c>
      <c r="G305">
        <v>0</v>
      </c>
      <c r="H305">
        <v>0</v>
      </c>
      <c r="I305" t="s">
        <v>77</v>
      </c>
    </row>
    <row r="306" spans="1:9" x14ac:dyDescent="0.35">
      <c r="A306" t="s">
        <v>21</v>
      </c>
      <c r="B306">
        <v>2025</v>
      </c>
      <c r="C306" t="s">
        <v>76</v>
      </c>
      <c r="D306" t="s">
        <v>55</v>
      </c>
      <c r="E306">
        <v>0.10598561672510801</v>
      </c>
      <c r="F306">
        <v>0.10598561672510801</v>
      </c>
      <c r="G306">
        <v>0</v>
      </c>
      <c r="H306">
        <v>0</v>
      </c>
      <c r="I306" t="s">
        <v>77</v>
      </c>
    </row>
    <row r="307" spans="1:9" x14ac:dyDescent="0.35">
      <c r="A307" t="s">
        <v>21</v>
      </c>
      <c r="B307">
        <v>2025</v>
      </c>
      <c r="C307" t="s">
        <v>76</v>
      </c>
      <c r="D307" t="s">
        <v>56</v>
      </c>
      <c r="E307" s="1">
        <v>2.5539541051084001E-7</v>
      </c>
      <c r="F307" s="1">
        <v>2.5539541051084001E-7</v>
      </c>
      <c r="G307">
        <v>0</v>
      </c>
      <c r="H307">
        <v>0</v>
      </c>
      <c r="I307" t="s">
        <v>77</v>
      </c>
    </row>
    <row r="308" spans="1:9" x14ac:dyDescent="0.35">
      <c r="A308" t="s">
        <v>23</v>
      </c>
      <c r="B308">
        <v>2030</v>
      </c>
      <c r="C308" t="s">
        <v>76</v>
      </c>
      <c r="D308" t="s">
        <v>38</v>
      </c>
      <c r="E308">
        <v>2.1407957930649302E-3</v>
      </c>
      <c r="F308">
        <v>2.1407957930649302E-3</v>
      </c>
      <c r="G308">
        <v>0</v>
      </c>
      <c r="H308">
        <v>0</v>
      </c>
      <c r="I308" t="s">
        <v>77</v>
      </c>
    </row>
    <row r="309" spans="1:9" x14ac:dyDescent="0.35">
      <c r="A309" t="s">
        <v>23</v>
      </c>
      <c r="B309">
        <v>2030</v>
      </c>
      <c r="C309" t="s">
        <v>76</v>
      </c>
      <c r="D309" t="s">
        <v>40</v>
      </c>
      <c r="E309">
        <v>6.7633649189114201E-4</v>
      </c>
      <c r="F309">
        <v>6.7633649189114201E-4</v>
      </c>
      <c r="G309">
        <v>0</v>
      </c>
      <c r="H309">
        <v>0</v>
      </c>
      <c r="I309" t="s">
        <v>77</v>
      </c>
    </row>
    <row r="310" spans="1:9" x14ac:dyDescent="0.35">
      <c r="A310" t="s">
        <v>23</v>
      </c>
      <c r="B310">
        <v>2030</v>
      </c>
      <c r="C310" t="s">
        <v>76</v>
      </c>
      <c r="D310" t="s">
        <v>41</v>
      </c>
      <c r="E310">
        <v>9.0402121720846995E-3</v>
      </c>
      <c r="F310">
        <v>9.0402121720846995E-3</v>
      </c>
      <c r="G310">
        <v>0</v>
      </c>
      <c r="H310">
        <v>0</v>
      </c>
      <c r="I310" t="s">
        <v>77</v>
      </c>
    </row>
    <row r="311" spans="1:9" x14ac:dyDescent="0.35">
      <c r="A311" t="s">
        <v>23</v>
      </c>
      <c r="B311">
        <v>2030</v>
      </c>
      <c r="C311" t="s">
        <v>76</v>
      </c>
      <c r="D311" t="s">
        <v>42</v>
      </c>
      <c r="E311">
        <v>1.7529862690335101</v>
      </c>
      <c r="F311">
        <v>1.7529862690335101</v>
      </c>
      <c r="G311">
        <v>0</v>
      </c>
      <c r="H311">
        <v>0</v>
      </c>
      <c r="I311" t="s">
        <v>77</v>
      </c>
    </row>
    <row r="312" spans="1:9" x14ac:dyDescent="0.35">
      <c r="A312" t="s">
        <v>23</v>
      </c>
      <c r="B312">
        <v>2030</v>
      </c>
      <c r="C312" t="s">
        <v>76</v>
      </c>
      <c r="D312" t="s">
        <v>43</v>
      </c>
      <c r="E312">
        <v>8.3276272247216204E-3</v>
      </c>
      <c r="F312">
        <v>8.3276272247216204E-3</v>
      </c>
      <c r="G312">
        <v>0</v>
      </c>
      <c r="H312">
        <v>0</v>
      </c>
      <c r="I312" t="s">
        <v>77</v>
      </c>
    </row>
    <row r="313" spans="1:9" x14ac:dyDescent="0.35">
      <c r="A313" t="s">
        <v>23</v>
      </c>
      <c r="B313">
        <v>2030</v>
      </c>
      <c r="C313" t="s">
        <v>76</v>
      </c>
      <c r="D313" t="s">
        <v>136</v>
      </c>
      <c r="E313">
        <v>2.0557967563519299</v>
      </c>
      <c r="F313">
        <v>2.0557967563519299</v>
      </c>
      <c r="G313">
        <v>0</v>
      </c>
      <c r="H313">
        <v>0</v>
      </c>
      <c r="I313" t="s">
        <v>77</v>
      </c>
    </row>
    <row r="314" spans="1:9" x14ac:dyDescent="0.35">
      <c r="A314" t="s">
        <v>23</v>
      </c>
      <c r="B314">
        <v>2030</v>
      </c>
      <c r="C314" t="s">
        <v>76</v>
      </c>
      <c r="D314" t="s">
        <v>45</v>
      </c>
      <c r="E314">
        <v>5.4937874697608803E-3</v>
      </c>
      <c r="F314">
        <v>5.4937874697608803E-3</v>
      </c>
      <c r="G314">
        <v>0</v>
      </c>
      <c r="H314">
        <v>0</v>
      </c>
      <c r="I314" t="s">
        <v>77</v>
      </c>
    </row>
    <row r="315" spans="1:9" x14ac:dyDescent="0.35">
      <c r="A315" t="s">
        <v>23</v>
      </c>
      <c r="B315">
        <v>2030</v>
      </c>
      <c r="C315" t="s">
        <v>76</v>
      </c>
      <c r="D315" t="s">
        <v>46</v>
      </c>
      <c r="E315">
        <v>0.16218175331949</v>
      </c>
      <c r="F315">
        <v>0.16218175331949</v>
      </c>
      <c r="G315">
        <v>0</v>
      </c>
      <c r="H315">
        <v>0</v>
      </c>
      <c r="I315" t="s">
        <v>77</v>
      </c>
    </row>
    <row r="316" spans="1:9" x14ac:dyDescent="0.35">
      <c r="A316" t="s">
        <v>23</v>
      </c>
      <c r="B316">
        <v>2030</v>
      </c>
      <c r="C316" t="s">
        <v>76</v>
      </c>
      <c r="D316" t="s">
        <v>47</v>
      </c>
      <c r="E316">
        <v>2.0228364263020701E-3</v>
      </c>
      <c r="F316">
        <v>2.0228364263020701E-3</v>
      </c>
      <c r="G316">
        <v>0</v>
      </c>
      <c r="H316">
        <v>0</v>
      </c>
      <c r="I316" t="s">
        <v>77</v>
      </c>
    </row>
    <row r="317" spans="1:9" x14ac:dyDescent="0.35">
      <c r="A317" t="s">
        <v>23</v>
      </c>
      <c r="B317">
        <v>2030</v>
      </c>
      <c r="C317" t="s">
        <v>76</v>
      </c>
      <c r="D317" t="s">
        <v>48</v>
      </c>
      <c r="E317">
        <v>0.27093965052385699</v>
      </c>
      <c r="F317">
        <v>0.27093965052385699</v>
      </c>
      <c r="G317">
        <v>0</v>
      </c>
      <c r="H317">
        <v>0</v>
      </c>
      <c r="I317" t="s">
        <v>77</v>
      </c>
    </row>
    <row r="318" spans="1:9" x14ac:dyDescent="0.35">
      <c r="A318" t="s">
        <v>23</v>
      </c>
      <c r="B318">
        <v>2030</v>
      </c>
      <c r="C318" t="s">
        <v>76</v>
      </c>
      <c r="D318" t="s">
        <v>49</v>
      </c>
      <c r="E318">
        <v>1.45645017382492E-2</v>
      </c>
      <c r="F318">
        <v>1.45645017382492E-2</v>
      </c>
      <c r="G318">
        <v>0</v>
      </c>
      <c r="H318">
        <v>0</v>
      </c>
      <c r="I318" t="s">
        <v>77</v>
      </c>
    </row>
    <row r="319" spans="1:9" x14ac:dyDescent="0.35">
      <c r="A319" t="s">
        <v>23</v>
      </c>
      <c r="B319">
        <v>2030</v>
      </c>
      <c r="C319" t="s">
        <v>76</v>
      </c>
      <c r="D319" t="s">
        <v>50</v>
      </c>
      <c r="E319">
        <v>9.2586449322233002E-3</v>
      </c>
      <c r="F319">
        <v>9.2586449322233002E-3</v>
      </c>
      <c r="G319">
        <v>0</v>
      </c>
      <c r="H319">
        <v>0</v>
      </c>
      <c r="I319" t="s">
        <v>77</v>
      </c>
    </row>
    <row r="320" spans="1:9" x14ac:dyDescent="0.35">
      <c r="A320" t="s">
        <v>23</v>
      </c>
      <c r="B320">
        <v>2030</v>
      </c>
      <c r="C320" t="s">
        <v>76</v>
      </c>
      <c r="D320" t="s">
        <v>51</v>
      </c>
      <c r="E320">
        <v>0.16703892165839199</v>
      </c>
      <c r="F320">
        <v>0.16703892165839199</v>
      </c>
      <c r="G320">
        <v>0</v>
      </c>
      <c r="H320">
        <v>0</v>
      </c>
      <c r="I320" t="s">
        <v>77</v>
      </c>
    </row>
    <row r="321" spans="1:9" x14ac:dyDescent="0.35">
      <c r="A321" t="s">
        <v>23</v>
      </c>
      <c r="B321">
        <v>2030</v>
      </c>
      <c r="C321" t="s">
        <v>76</v>
      </c>
      <c r="D321" t="s">
        <v>52</v>
      </c>
      <c r="E321">
        <v>0.149670677086853</v>
      </c>
      <c r="F321">
        <v>0.149670677086853</v>
      </c>
      <c r="G321">
        <v>0</v>
      </c>
      <c r="H321">
        <v>0</v>
      </c>
      <c r="I321" t="s">
        <v>77</v>
      </c>
    </row>
    <row r="322" spans="1:9" x14ac:dyDescent="0.35">
      <c r="A322" t="s">
        <v>23</v>
      </c>
      <c r="B322">
        <v>2030</v>
      </c>
      <c r="C322" t="s">
        <v>76</v>
      </c>
      <c r="D322" t="s">
        <v>53</v>
      </c>
      <c r="E322">
        <v>0.624600715016565</v>
      </c>
      <c r="F322">
        <v>0.624600715016565</v>
      </c>
      <c r="G322">
        <v>0</v>
      </c>
      <c r="H322">
        <v>0</v>
      </c>
      <c r="I322" t="s">
        <v>77</v>
      </c>
    </row>
    <row r="323" spans="1:9" x14ac:dyDescent="0.35">
      <c r="A323" t="s">
        <v>23</v>
      </c>
      <c r="B323">
        <v>2030</v>
      </c>
      <c r="C323" t="s">
        <v>76</v>
      </c>
      <c r="D323" t="s">
        <v>54</v>
      </c>
      <c r="E323">
        <v>0.11660717638191601</v>
      </c>
      <c r="F323">
        <v>0.11660717638191601</v>
      </c>
      <c r="G323">
        <v>0</v>
      </c>
      <c r="H323">
        <v>0</v>
      </c>
      <c r="I323" t="s">
        <v>77</v>
      </c>
    </row>
    <row r="324" spans="1:9" x14ac:dyDescent="0.35">
      <c r="A324" t="s">
        <v>23</v>
      </c>
      <c r="B324">
        <v>2030</v>
      </c>
      <c r="C324" t="s">
        <v>76</v>
      </c>
      <c r="D324" t="s">
        <v>55</v>
      </c>
      <c r="E324">
        <v>0.107550539068136</v>
      </c>
      <c r="F324">
        <v>0.107550539068136</v>
      </c>
      <c r="G324">
        <v>0</v>
      </c>
      <c r="H324">
        <v>0</v>
      </c>
      <c r="I324" t="s">
        <v>77</v>
      </c>
    </row>
    <row r="325" spans="1:9" x14ac:dyDescent="0.35">
      <c r="A325" t="s">
        <v>23</v>
      </c>
      <c r="B325">
        <v>2030</v>
      </c>
      <c r="C325" t="s">
        <v>76</v>
      </c>
      <c r="D325" t="s">
        <v>56</v>
      </c>
      <c r="E325" s="1">
        <v>2.3455234279415E-7</v>
      </c>
      <c r="F325" s="1">
        <v>2.3455234279415E-7</v>
      </c>
      <c r="G325">
        <v>0</v>
      </c>
      <c r="H325">
        <v>0</v>
      </c>
      <c r="I325" t="s">
        <v>77</v>
      </c>
    </row>
    <row r="326" spans="1:9" x14ac:dyDescent="0.35">
      <c r="A326" t="s">
        <v>25</v>
      </c>
      <c r="B326">
        <v>2035</v>
      </c>
      <c r="C326" t="s">
        <v>76</v>
      </c>
      <c r="D326" t="s">
        <v>38</v>
      </c>
      <c r="E326">
        <v>3.03618651368023E-3</v>
      </c>
      <c r="F326">
        <v>3.03618651368023E-3</v>
      </c>
      <c r="G326">
        <v>0</v>
      </c>
      <c r="H326">
        <v>0</v>
      </c>
      <c r="I326" t="s">
        <v>77</v>
      </c>
    </row>
    <row r="327" spans="1:9" x14ac:dyDescent="0.35">
      <c r="A327" t="s">
        <v>25</v>
      </c>
      <c r="B327">
        <v>2035</v>
      </c>
      <c r="C327" t="s">
        <v>76</v>
      </c>
      <c r="D327" t="s">
        <v>40</v>
      </c>
      <c r="E327">
        <v>6.6238409226513804E-4</v>
      </c>
      <c r="F327">
        <v>6.6238409226513804E-4</v>
      </c>
      <c r="G327">
        <v>0</v>
      </c>
      <c r="H327">
        <v>0</v>
      </c>
      <c r="I327" t="s">
        <v>77</v>
      </c>
    </row>
    <row r="328" spans="1:9" x14ac:dyDescent="0.35">
      <c r="A328" t="s">
        <v>25</v>
      </c>
      <c r="B328">
        <v>2035</v>
      </c>
      <c r="C328" t="s">
        <v>76</v>
      </c>
      <c r="D328" t="s">
        <v>41</v>
      </c>
      <c r="E328">
        <v>8.9453223227737508E-3</v>
      </c>
      <c r="F328">
        <v>8.9453223227737508E-3</v>
      </c>
      <c r="G328">
        <v>0</v>
      </c>
      <c r="H328">
        <v>0</v>
      </c>
      <c r="I328" t="s">
        <v>77</v>
      </c>
    </row>
    <row r="329" spans="1:9" x14ac:dyDescent="0.35">
      <c r="A329" t="s">
        <v>25</v>
      </c>
      <c r="B329">
        <v>2035</v>
      </c>
      <c r="C329" t="s">
        <v>76</v>
      </c>
      <c r="D329" t="s">
        <v>42</v>
      </c>
      <c r="E329">
        <v>1.79849510001192</v>
      </c>
      <c r="F329">
        <v>1.79849510001192</v>
      </c>
      <c r="G329">
        <v>0</v>
      </c>
      <c r="H329">
        <v>0</v>
      </c>
      <c r="I329" t="s">
        <v>77</v>
      </c>
    </row>
    <row r="330" spans="1:9" x14ac:dyDescent="0.35">
      <c r="A330" t="s">
        <v>25</v>
      </c>
      <c r="B330">
        <v>2035</v>
      </c>
      <c r="C330" t="s">
        <v>76</v>
      </c>
      <c r="D330" t="s">
        <v>43</v>
      </c>
      <c r="E330">
        <v>8.5001797062960096E-3</v>
      </c>
      <c r="F330">
        <v>8.5001797062960096E-3</v>
      </c>
      <c r="G330">
        <v>0</v>
      </c>
      <c r="H330">
        <v>0</v>
      </c>
      <c r="I330" t="s">
        <v>77</v>
      </c>
    </row>
    <row r="331" spans="1:9" x14ac:dyDescent="0.35">
      <c r="A331" t="s">
        <v>25</v>
      </c>
      <c r="B331">
        <v>2035</v>
      </c>
      <c r="C331" t="s">
        <v>76</v>
      </c>
      <c r="D331" t="s">
        <v>136</v>
      </c>
      <c r="E331">
        <v>2.0644533777124701</v>
      </c>
      <c r="F331">
        <v>2.0644533777124701</v>
      </c>
      <c r="G331">
        <v>0</v>
      </c>
      <c r="H331">
        <v>0</v>
      </c>
      <c r="I331" t="s">
        <v>77</v>
      </c>
    </row>
    <row r="332" spans="1:9" x14ac:dyDescent="0.35">
      <c r="A332" t="s">
        <v>25</v>
      </c>
      <c r="B332">
        <v>2035</v>
      </c>
      <c r="C332" t="s">
        <v>76</v>
      </c>
      <c r="D332" t="s">
        <v>45</v>
      </c>
      <c r="E332">
        <v>5.31067680602758E-3</v>
      </c>
      <c r="F332">
        <v>5.31067680602758E-3</v>
      </c>
      <c r="G332">
        <v>0</v>
      </c>
      <c r="H332">
        <v>0</v>
      </c>
      <c r="I332" t="s">
        <v>77</v>
      </c>
    </row>
    <row r="333" spans="1:9" x14ac:dyDescent="0.35">
      <c r="A333" t="s">
        <v>25</v>
      </c>
      <c r="B333">
        <v>2035</v>
      </c>
      <c r="C333" t="s">
        <v>76</v>
      </c>
      <c r="D333" t="s">
        <v>46</v>
      </c>
      <c r="E333">
        <v>0.22055446123935299</v>
      </c>
      <c r="F333">
        <v>0.22055446123935299</v>
      </c>
      <c r="G333">
        <v>0</v>
      </c>
      <c r="H333">
        <v>0</v>
      </c>
      <c r="I333" t="s">
        <v>77</v>
      </c>
    </row>
    <row r="334" spans="1:9" x14ac:dyDescent="0.35">
      <c r="A334" t="s">
        <v>25</v>
      </c>
      <c r="B334">
        <v>2035</v>
      </c>
      <c r="C334" t="s">
        <v>76</v>
      </c>
      <c r="D334" t="s">
        <v>47</v>
      </c>
      <c r="E334">
        <v>2.1041239046020702E-3</v>
      </c>
      <c r="F334">
        <v>2.1041239046020702E-3</v>
      </c>
      <c r="G334">
        <v>0</v>
      </c>
      <c r="H334">
        <v>0</v>
      </c>
      <c r="I334" t="s">
        <v>77</v>
      </c>
    </row>
    <row r="335" spans="1:9" x14ac:dyDescent="0.35">
      <c r="A335" t="s">
        <v>25</v>
      </c>
      <c r="B335">
        <v>2035</v>
      </c>
      <c r="C335" t="s">
        <v>76</v>
      </c>
      <c r="D335" t="s">
        <v>48</v>
      </c>
      <c r="E335">
        <v>0.27360346956579101</v>
      </c>
      <c r="F335">
        <v>0.27360346956579101</v>
      </c>
      <c r="G335">
        <v>0</v>
      </c>
      <c r="H335">
        <v>0</v>
      </c>
      <c r="I335" t="s">
        <v>77</v>
      </c>
    </row>
    <row r="336" spans="1:9" x14ac:dyDescent="0.35">
      <c r="A336" t="s">
        <v>25</v>
      </c>
      <c r="B336">
        <v>2035</v>
      </c>
      <c r="C336" t="s">
        <v>76</v>
      </c>
      <c r="D336" t="s">
        <v>49</v>
      </c>
      <c r="E336">
        <v>1.4519970966707501E-2</v>
      </c>
      <c r="F336">
        <v>1.4519970966707501E-2</v>
      </c>
      <c r="G336">
        <v>0</v>
      </c>
      <c r="H336">
        <v>0</v>
      </c>
      <c r="I336" t="s">
        <v>77</v>
      </c>
    </row>
    <row r="337" spans="1:9" x14ac:dyDescent="0.35">
      <c r="A337" t="s">
        <v>25</v>
      </c>
      <c r="B337">
        <v>2035</v>
      </c>
      <c r="C337" t="s">
        <v>76</v>
      </c>
      <c r="D337" t="s">
        <v>50</v>
      </c>
      <c r="E337">
        <v>1.2520598252398599E-2</v>
      </c>
      <c r="F337">
        <v>1.2520598252398599E-2</v>
      </c>
      <c r="G337">
        <v>0</v>
      </c>
      <c r="H337">
        <v>0</v>
      </c>
      <c r="I337" t="s">
        <v>77</v>
      </c>
    </row>
    <row r="338" spans="1:9" x14ac:dyDescent="0.35">
      <c r="A338" t="s">
        <v>25</v>
      </c>
      <c r="B338">
        <v>2035</v>
      </c>
      <c r="C338" t="s">
        <v>76</v>
      </c>
      <c r="D338" t="s">
        <v>51</v>
      </c>
      <c r="E338">
        <v>0.16713320530668699</v>
      </c>
      <c r="F338">
        <v>0.16713320530668699</v>
      </c>
      <c r="G338">
        <v>0</v>
      </c>
      <c r="H338">
        <v>0</v>
      </c>
      <c r="I338" t="s">
        <v>77</v>
      </c>
    </row>
    <row r="339" spans="1:9" x14ac:dyDescent="0.35">
      <c r="A339" t="s">
        <v>25</v>
      </c>
      <c r="B339">
        <v>2035</v>
      </c>
      <c r="C339" t="s">
        <v>76</v>
      </c>
      <c r="D339" t="s">
        <v>52</v>
      </c>
      <c r="E339">
        <v>0.126786145111005</v>
      </c>
      <c r="F339">
        <v>0.126786145111005</v>
      </c>
      <c r="G339">
        <v>0</v>
      </c>
      <c r="H339">
        <v>0</v>
      </c>
      <c r="I339" t="s">
        <v>77</v>
      </c>
    </row>
    <row r="340" spans="1:9" x14ac:dyDescent="0.35">
      <c r="A340" t="s">
        <v>25</v>
      </c>
      <c r="B340">
        <v>2035</v>
      </c>
      <c r="C340" t="s">
        <v>76</v>
      </c>
      <c r="D340" t="s">
        <v>53</v>
      </c>
      <c r="E340">
        <v>0.62828360796840399</v>
      </c>
      <c r="F340">
        <v>0.62828360796840399</v>
      </c>
      <c r="G340">
        <v>0</v>
      </c>
      <c r="H340">
        <v>0</v>
      </c>
      <c r="I340" t="s">
        <v>77</v>
      </c>
    </row>
    <row r="341" spans="1:9" x14ac:dyDescent="0.35">
      <c r="A341" t="s">
        <v>25</v>
      </c>
      <c r="B341">
        <v>2035</v>
      </c>
      <c r="C341" t="s">
        <v>76</v>
      </c>
      <c r="D341" t="s">
        <v>54</v>
      </c>
      <c r="E341">
        <v>0.119516537347877</v>
      </c>
      <c r="F341">
        <v>0.119516537347877</v>
      </c>
      <c r="G341">
        <v>0</v>
      </c>
      <c r="H341">
        <v>0</v>
      </c>
      <c r="I341" t="s">
        <v>77</v>
      </c>
    </row>
    <row r="342" spans="1:9" x14ac:dyDescent="0.35">
      <c r="A342" t="s">
        <v>25</v>
      </c>
      <c r="B342">
        <v>2035</v>
      </c>
      <c r="C342" t="s">
        <v>76</v>
      </c>
      <c r="D342" t="s">
        <v>55</v>
      </c>
      <c r="E342">
        <v>0.10995898015396501</v>
      </c>
      <c r="F342">
        <v>0.10995898015396501</v>
      </c>
      <c r="G342">
        <v>0</v>
      </c>
      <c r="H342">
        <v>0</v>
      </c>
      <c r="I342" t="s">
        <v>77</v>
      </c>
    </row>
    <row r="343" spans="1:9" x14ac:dyDescent="0.35">
      <c r="A343" t="s">
        <v>25</v>
      </c>
      <c r="B343">
        <v>2035</v>
      </c>
      <c r="C343" t="s">
        <v>76</v>
      </c>
      <c r="D343" t="s">
        <v>56</v>
      </c>
      <c r="E343" s="1">
        <v>2.27220346402971E-7</v>
      </c>
      <c r="F343" s="1">
        <v>2.27220346402971E-7</v>
      </c>
      <c r="G343">
        <v>0</v>
      </c>
      <c r="H343">
        <v>0</v>
      </c>
      <c r="I343" t="s">
        <v>77</v>
      </c>
    </row>
    <row r="344" spans="1:9" x14ac:dyDescent="0.35">
      <c r="A344" t="s">
        <v>27</v>
      </c>
      <c r="B344">
        <v>2040</v>
      </c>
      <c r="C344" t="s">
        <v>76</v>
      </c>
      <c r="D344" t="s">
        <v>38</v>
      </c>
      <c r="E344">
        <v>2.6367945866010902E-3</v>
      </c>
      <c r="F344">
        <v>2.6367945866010902E-3</v>
      </c>
      <c r="G344">
        <v>0</v>
      </c>
      <c r="H344">
        <v>0</v>
      </c>
      <c r="I344" t="s">
        <v>77</v>
      </c>
    </row>
    <row r="345" spans="1:9" x14ac:dyDescent="0.35">
      <c r="A345" t="s">
        <v>27</v>
      </c>
      <c r="B345">
        <v>2040</v>
      </c>
      <c r="C345" t="s">
        <v>76</v>
      </c>
      <c r="D345" t="s">
        <v>40</v>
      </c>
      <c r="E345">
        <v>6.5423041406914096E-4</v>
      </c>
      <c r="F345">
        <v>6.5423041406914096E-4</v>
      </c>
      <c r="G345">
        <v>0</v>
      </c>
      <c r="H345">
        <v>0</v>
      </c>
      <c r="I345" t="s">
        <v>77</v>
      </c>
    </row>
    <row r="346" spans="1:9" x14ac:dyDescent="0.35">
      <c r="A346" t="s">
        <v>27</v>
      </c>
      <c r="B346">
        <v>2040</v>
      </c>
      <c r="C346" t="s">
        <v>76</v>
      </c>
      <c r="D346" t="s">
        <v>41</v>
      </c>
      <c r="E346">
        <v>8.9099309025237397E-3</v>
      </c>
      <c r="F346">
        <v>8.9099309025237397E-3</v>
      </c>
      <c r="G346">
        <v>0</v>
      </c>
      <c r="H346">
        <v>0</v>
      </c>
      <c r="I346" t="s">
        <v>77</v>
      </c>
    </row>
    <row r="347" spans="1:9" x14ac:dyDescent="0.35">
      <c r="A347" t="s">
        <v>27</v>
      </c>
      <c r="B347">
        <v>2040</v>
      </c>
      <c r="C347" t="s">
        <v>76</v>
      </c>
      <c r="D347" t="s">
        <v>42</v>
      </c>
      <c r="E347">
        <v>1.8510236161715199</v>
      </c>
      <c r="F347">
        <v>1.8510236161715199</v>
      </c>
      <c r="G347">
        <v>0</v>
      </c>
      <c r="H347">
        <v>0</v>
      </c>
      <c r="I347" t="s">
        <v>77</v>
      </c>
    </row>
    <row r="348" spans="1:9" x14ac:dyDescent="0.35">
      <c r="A348" t="s">
        <v>27</v>
      </c>
      <c r="B348">
        <v>2040</v>
      </c>
      <c r="C348" t="s">
        <v>76</v>
      </c>
      <c r="D348" t="s">
        <v>43</v>
      </c>
      <c r="E348">
        <v>8.4137787569348397E-3</v>
      </c>
      <c r="F348">
        <v>8.4137787569348397E-3</v>
      </c>
      <c r="G348">
        <v>0</v>
      </c>
      <c r="H348">
        <v>0</v>
      </c>
      <c r="I348" t="s">
        <v>77</v>
      </c>
    </row>
    <row r="349" spans="1:9" x14ac:dyDescent="0.35">
      <c r="A349" t="s">
        <v>27</v>
      </c>
      <c r="B349">
        <v>2040</v>
      </c>
      <c r="C349" t="s">
        <v>76</v>
      </c>
      <c r="D349" t="s">
        <v>136</v>
      </c>
      <c r="E349">
        <v>2.1046325734736202</v>
      </c>
      <c r="F349">
        <v>2.1046325734736202</v>
      </c>
      <c r="G349">
        <v>0</v>
      </c>
      <c r="H349">
        <v>0</v>
      </c>
      <c r="I349" t="s">
        <v>77</v>
      </c>
    </row>
    <row r="350" spans="1:9" x14ac:dyDescent="0.35">
      <c r="A350" t="s">
        <v>27</v>
      </c>
      <c r="B350">
        <v>2040</v>
      </c>
      <c r="C350" t="s">
        <v>76</v>
      </c>
      <c r="D350" t="s">
        <v>45</v>
      </c>
      <c r="E350">
        <v>5.2048667787692304E-3</v>
      </c>
      <c r="F350">
        <v>5.2048667787692304E-3</v>
      </c>
      <c r="G350">
        <v>0</v>
      </c>
      <c r="H350">
        <v>0</v>
      </c>
      <c r="I350" t="s">
        <v>77</v>
      </c>
    </row>
    <row r="351" spans="1:9" x14ac:dyDescent="0.35">
      <c r="A351" t="s">
        <v>27</v>
      </c>
      <c r="B351">
        <v>2040</v>
      </c>
      <c r="C351" t="s">
        <v>76</v>
      </c>
      <c r="D351" t="s">
        <v>46</v>
      </c>
      <c r="E351">
        <v>0.22664182288203999</v>
      </c>
      <c r="F351">
        <v>0.22664182288203999</v>
      </c>
      <c r="G351">
        <v>0</v>
      </c>
      <c r="H351">
        <v>0</v>
      </c>
      <c r="I351" t="s">
        <v>77</v>
      </c>
    </row>
    <row r="352" spans="1:9" x14ac:dyDescent="0.35">
      <c r="A352" t="s">
        <v>27</v>
      </c>
      <c r="B352">
        <v>2040</v>
      </c>
      <c r="C352" t="s">
        <v>76</v>
      </c>
      <c r="D352" t="s">
        <v>47</v>
      </c>
      <c r="E352">
        <v>2.19122964819504E-3</v>
      </c>
      <c r="F352">
        <v>2.19122964819504E-3</v>
      </c>
      <c r="G352">
        <v>0</v>
      </c>
      <c r="H352">
        <v>0</v>
      </c>
      <c r="I352" t="s">
        <v>77</v>
      </c>
    </row>
    <row r="353" spans="1:9" x14ac:dyDescent="0.35">
      <c r="A353" t="s">
        <v>27</v>
      </c>
      <c r="B353">
        <v>2040</v>
      </c>
      <c r="C353" t="s">
        <v>76</v>
      </c>
      <c r="D353" t="s">
        <v>48</v>
      </c>
      <c r="E353">
        <v>0.27895214631272802</v>
      </c>
      <c r="F353">
        <v>0.27895214631272802</v>
      </c>
      <c r="G353">
        <v>0</v>
      </c>
      <c r="H353">
        <v>0</v>
      </c>
      <c r="I353" t="s">
        <v>77</v>
      </c>
    </row>
    <row r="354" spans="1:9" x14ac:dyDescent="0.35">
      <c r="A354" t="s">
        <v>27</v>
      </c>
      <c r="B354">
        <v>2040</v>
      </c>
      <c r="C354" t="s">
        <v>76</v>
      </c>
      <c r="D354" t="s">
        <v>49</v>
      </c>
      <c r="E354">
        <v>1.44115171082325E-2</v>
      </c>
      <c r="F354">
        <v>1.44115171082325E-2</v>
      </c>
      <c r="G354">
        <v>0</v>
      </c>
      <c r="H354">
        <v>0</v>
      </c>
      <c r="I354" t="s">
        <v>77</v>
      </c>
    </row>
    <row r="355" spans="1:9" x14ac:dyDescent="0.35">
      <c r="A355" t="s">
        <v>27</v>
      </c>
      <c r="B355">
        <v>2040</v>
      </c>
      <c r="C355" t="s">
        <v>76</v>
      </c>
      <c r="D355" t="s">
        <v>50</v>
      </c>
      <c r="E355">
        <v>1.1280827622970601E-2</v>
      </c>
      <c r="F355">
        <v>1.1280827622970601E-2</v>
      </c>
      <c r="G355">
        <v>0</v>
      </c>
      <c r="H355">
        <v>0</v>
      </c>
      <c r="I355" t="s">
        <v>77</v>
      </c>
    </row>
    <row r="356" spans="1:9" x14ac:dyDescent="0.35">
      <c r="A356" t="s">
        <v>27</v>
      </c>
      <c r="B356">
        <v>2040</v>
      </c>
      <c r="C356" t="s">
        <v>76</v>
      </c>
      <c r="D356" t="s">
        <v>51</v>
      </c>
      <c r="E356">
        <v>0.167624516292633</v>
      </c>
      <c r="F356">
        <v>0.167624516292633</v>
      </c>
      <c r="G356">
        <v>0</v>
      </c>
      <c r="H356">
        <v>0</v>
      </c>
      <c r="I356" t="s">
        <v>77</v>
      </c>
    </row>
    <row r="357" spans="1:9" x14ac:dyDescent="0.35">
      <c r="A357" t="s">
        <v>27</v>
      </c>
      <c r="B357">
        <v>2040</v>
      </c>
      <c r="C357" t="s">
        <v>76</v>
      </c>
      <c r="D357" t="s">
        <v>52</v>
      </c>
      <c r="E357">
        <v>0.109488488482111</v>
      </c>
      <c r="F357">
        <v>0.109488488482111</v>
      </c>
      <c r="G357">
        <v>0</v>
      </c>
      <c r="H357">
        <v>0</v>
      </c>
      <c r="I357" t="s">
        <v>77</v>
      </c>
    </row>
    <row r="358" spans="1:9" x14ac:dyDescent="0.35">
      <c r="A358" t="s">
        <v>27</v>
      </c>
      <c r="B358">
        <v>2040</v>
      </c>
      <c r="C358" t="s">
        <v>76</v>
      </c>
      <c r="D358" t="s">
        <v>53</v>
      </c>
      <c r="E358">
        <v>0.64130805942650804</v>
      </c>
      <c r="F358">
        <v>0.64130805942650804</v>
      </c>
      <c r="G358">
        <v>0</v>
      </c>
      <c r="H358">
        <v>0</v>
      </c>
      <c r="I358" t="s">
        <v>77</v>
      </c>
    </row>
    <row r="359" spans="1:9" x14ac:dyDescent="0.35">
      <c r="A359" t="s">
        <v>27</v>
      </c>
      <c r="B359">
        <v>2040</v>
      </c>
      <c r="C359" t="s">
        <v>76</v>
      </c>
      <c r="D359" t="s">
        <v>54</v>
      </c>
      <c r="E359">
        <v>0.122462025820988</v>
      </c>
      <c r="F359">
        <v>0.122462025820988</v>
      </c>
      <c r="G359">
        <v>0</v>
      </c>
      <c r="H359">
        <v>0</v>
      </c>
      <c r="I359" t="s">
        <v>77</v>
      </c>
    </row>
    <row r="360" spans="1:9" x14ac:dyDescent="0.35">
      <c r="A360" t="s">
        <v>27</v>
      </c>
      <c r="B360">
        <v>2040</v>
      </c>
      <c r="C360" t="s">
        <v>76</v>
      </c>
      <c r="D360" t="s">
        <v>55</v>
      </c>
      <c r="E360">
        <v>0.112649771121824</v>
      </c>
      <c r="F360">
        <v>0.112649771121824</v>
      </c>
      <c r="G360">
        <v>0</v>
      </c>
      <c r="H360">
        <v>0</v>
      </c>
      <c r="I360" t="s">
        <v>77</v>
      </c>
    </row>
    <row r="361" spans="1:9" x14ac:dyDescent="0.35">
      <c r="A361" t="s">
        <v>27</v>
      </c>
      <c r="B361">
        <v>2040</v>
      </c>
      <c r="C361" t="s">
        <v>76</v>
      </c>
      <c r="D361" t="s">
        <v>56</v>
      </c>
      <c r="E361" s="1">
        <v>2.26912542178081E-7</v>
      </c>
      <c r="F361" s="1">
        <v>2.26912542178081E-7</v>
      </c>
      <c r="G361">
        <v>0</v>
      </c>
      <c r="H361">
        <v>0</v>
      </c>
      <c r="I361" t="s">
        <v>77</v>
      </c>
    </row>
    <row r="362" spans="1:9" x14ac:dyDescent="0.35">
      <c r="A362" t="s">
        <v>21</v>
      </c>
      <c r="B362">
        <v>2025</v>
      </c>
      <c r="C362" t="s">
        <v>83</v>
      </c>
      <c r="D362" t="s">
        <v>38</v>
      </c>
      <c r="E362">
        <v>2.6671974666251898E-4</v>
      </c>
      <c r="F362">
        <v>2.6671974666251898E-4</v>
      </c>
      <c r="G362">
        <v>0</v>
      </c>
      <c r="H362">
        <v>0</v>
      </c>
      <c r="I362" t="s">
        <v>84</v>
      </c>
    </row>
    <row r="363" spans="1:9" x14ac:dyDescent="0.35">
      <c r="A363" t="s">
        <v>21</v>
      </c>
      <c r="B363">
        <v>2025</v>
      </c>
      <c r="C363" t="s">
        <v>83</v>
      </c>
      <c r="D363" t="s">
        <v>40</v>
      </c>
      <c r="E363">
        <v>2.6937958636246898E-4</v>
      </c>
      <c r="F363">
        <v>2.6937958636246898E-4</v>
      </c>
      <c r="G363">
        <v>0</v>
      </c>
      <c r="H363">
        <v>0</v>
      </c>
      <c r="I363" t="s">
        <v>84</v>
      </c>
    </row>
    <row r="364" spans="1:9" x14ac:dyDescent="0.35">
      <c r="A364" t="s">
        <v>21</v>
      </c>
      <c r="B364">
        <v>2025</v>
      </c>
      <c r="C364" t="s">
        <v>83</v>
      </c>
      <c r="D364" t="s">
        <v>41</v>
      </c>
      <c r="E364">
        <v>2.7893242513612401E-3</v>
      </c>
      <c r="F364">
        <v>2.7893242513612401E-3</v>
      </c>
      <c r="G364">
        <v>0</v>
      </c>
      <c r="H364">
        <v>0</v>
      </c>
      <c r="I364" t="s">
        <v>84</v>
      </c>
    </row>
    <row r="365" spans="1:9" x14ac:dyDescent="0.35">
      <c r="A365" t="s">
        <v>21</v>
      </c>
      <c r="B365">
        <v>2025</v>
      </c>
      <c r="C365" t="s">
        <v>83</v>
      </c>
      <c r="D365" t="s">
        <v>42</v>
      </c>
      <c r="E365">
        <v>2.2116914377119401</v>
      </c>
      <c r="F365">
        <v>2.2116914377119401</v>
      </c>
      <c r="G365">
        <v>0</v>
      </c>
      <c r="H365">
        <v>0</v>
      </c>
      <c r="I365" t="s">
        <v>84</v>
      </c>
    </row>
    <row r="366" spans="1:9" x14ac:dyDescent="0.35">
      <c r="A366" t="s">
        <v>21</v>
      </c>
      <c r="B366">
        <v>2025</v>
      </c>
      <c r="C366" t="s">
        <v>83</v>
      </c>
      <c r="D366" t="s">
        <v>43</v>
      </c>
      <c r="E366">
        <v>8.1186624980842802E-4</v>
      </c>
      <c r="F366">
        <v>8.1186624980842802E-4</v>
      </c>
      <c r="G366">
        <v>0</v>
      </c>
      <c r="H366">
        <v>0</v>
      </c>
      <c r="I366" t="s">
        <v>84</v>
      </c>
    </row>
    <row r="367" spans="1:9" x14ac:dyDescent="0.35">
      <c r="A367" t="s">
        <v>21</v>
      </c>
      <c r="B367">
        <v>2025</v>
      </c>
      <c r="C367" t="s">
        <v>83</v>
      </c>
      <c r="D367" t="s">
        <v>136</v>
      </c>
      <c r="E367">
        <v>0.96822216178878395</v>
      </c>
      <c r="F367">
        <v>0.96822216178878395</v>
      </c>
      <c r="G367">
        <v>0</v>
      </c>
      <c r="H367">
        <v>0</v>
      </c>
      <c r="I367" t="s">
        <v>84</v>
      </c>
    </row>
    <row r="368" spans="1:9" x14ac:dyDescent="0.35">
      <c r="A368" t="s">
        <v>21</v>
      </c>
      <c r="B368">
        <v>2025</v>
      </c>
      <c r="C368" t="s">
        <v>83</v>
      </c>
      <c r="D368" t="s">
        <v>45</v>
      </c>
      <c r="E368">
        <v>1.6490568166998699E-3</v>
      </c>
      <c r="F368">
        <v>1.6490568166998699E-3</v>
      </c>
      <c r="G368">
        <v>0</v>
      </c>
      <c r="H368">
        <v>0</v>
      </c>
      <c r="I368" t="s">
        <v>84</v>
      </c>
    </row>
    <row r="369" spans="1:9" x14ac:dyDescent="0.35">
      <c r="A369" t="s">
        <v>21</v>
      </c>
      <c r="B369">
        <v>2025</v>
      </c>
      <c r="C369" t="s">
        <v>83</v>
      </c>
      <c r="D369" t="s">
        <v>46</v>
      </c>
      <c r="E369">
        <v>1.5856653976229901E-2</v>
      </c>
      <c r="F369">
        <v>1.5856653976229901E-2</v>
      </c>
      <c r="G369">
        <v>0</v>
      </c>
      <c r="H369">
        <v>0</v>
      </c>
      <c r="I369" t="s">
        <v>84</v>
      </c>
    </row>
    <row r="370" spans="1:9" x14ac:dyDescent="0.35">
      <c r="A370" t="s">
        <v>21</v>
      </c>
      <c r="B370">
        <v>2025</v>
      </c>
      <c r="C370" t="s">
        <v>83</v>
      </c>
      <c r="D370" t="s">
        <v>47</v>
      </c>
      <c r="E370">
        <v>4.1456427722860002E-4</v>
      </c>
      <c r="F370">
        <v>4.1456427722860002E-4</v>
      </c>
      <c r="G370">
        <v>0</v>
      </c>
      <c r="H370">
        <v>0</v>
      </c>
      <c r="I370" t="s">
        <v>84</v>
      </c>
    </row>
    <row r="371" spans="1:9" x14ac:dyDescent="0.35">
      <c r="A371" t="s">
        <v>21</v>
      </c>
      <c r="B371">
        <v>2025</v>
      </c>
      <c r="C371" t="s">
        <v>83</v>
      </c>
      <c r="D371" t="s">
        <v>48</v>
      </c>
      <c r="E371">
        <v>36.274908211883897</v>
      </c>
      <c r="F371">
        <v>36.274908211883897</v>
      </c>
      <c r="G371">
        <v>0</v>
      </c>
      <c r="H371">
        <v>0</v>
      </c>
      <c r="I371" t="s">
        <v>84</v>
      </c>
    </row>
    <row r="372" spans="1:9" x14ac:dyDescent="0.35">
      <c r="A372" t="s">
        <v>21</v>
      </c>
      <c r="B372">
        <v>2025</v>
      </c>
      <c r="C372" t="s">
        <v>83</v>
      </c>
      <c r="D372" t="s">
        <v>49</v>
      </c>
      <c r="E372">
        <v>4.6075553100994497E-3</v>
      </c>
      <c r="F372">
        <v>4.6075553100994497E-3</v>
      </c>
      <c r="G372">
        <v>0</v>
      </c>
      <c r="H372">
        <v>0</v>
      </c>
      <c r="I372" t="s">
        <v>84</v>
      </c>
    </row>
    <row r="373" spans="1:9" x14ac:dyDescent="0.35">
      <c r="A373" t="s">
        <v>21</v>
      </c>
      <c r="B373">
        <v>2025</v>
      </c>
      <c r="C373" t="s">
        <v>83</v>
      </c>
      <c r="D373" t="s">
        <v>50</v>
      </c>
      <c r="E373">
        <v>4.7752713763988801E-3</v>
      </c>
      <c r="F373">
        <v>4.7752713763988801E-3</v>
      </c>
      <c r="G373">
        <v>0</v>
      </c>
      <c r="H373">
        <v>0</v>
      </c>
      <c r="I373" t="s">
        <v>84</v>
      </c>
    </row>
    <row r="374" spans="1:9" x14ac:dyDescent="0.35">
      <c r="A374" t="s">
        <v>21</v>
      </c>
      <c r="B374">
        <v>2025</v>
      </c>
      <c r="C374" t="s">
        <v>83</v>
      </c>
      <c r="D374" t="s">
        <v>51</v>
      </c>
      <c r="E374">
        <v>3.3021853101535603E-2</v>
      </c>
      <c r="F374">
        <v>3.3021853101535603E-2</v>
      </c>
      <c r="G374">
        <v>0</v>
      </c>
      <c r="H374">
        <v>0</v>
      </c>
      <c r="I374" t="s">
        <v>84</v>
      </c>
    </row>
    <row r="375" spans="1:9" x14ac:dyDescent="0.35">
      <c r="A375" t="s">
        <v>21</v>
      </c>
      <c r="B375">
        <v>2025</v>
      </c>
      <c r="C375" t="s">
        <v>83</v>
      </c>
      <c r="D375" t="s">
        <v>52</v>
      </c>
      <c r="E375">
        <v>0.218985641220558</v>
      </c>
      <c r="F375">
        <v>0.218985641220558</v>
      </c>
      <c r="G375">
        <v>0</v>
      </c>
      <c r="H375">
        <v>0</v>
      </c>
      <c r="I375" t="s">
        <v>84</v>
      </c>
    </row>
    <row r="376" spans="1:9" x14ac:dyDescent="0.35">
      <c r="A376" t="s">
        <v>21</v>
      </c>
      <c r="B376">
        <v>2025</v>
      </c>
      <c r="C376" t="s">
        <v>83</v>
      </c>
      <c r="D376" t="s">
        <v>53</v>
      </c>
      <c r="E376">
        <v>0.27841119538111198</v>
      </c>
      <c r="F376">
        <v>0.27841119538111198</v>
      </c>
      <c r="G376">
        <v>0</v>
      </c>
      <c r="H376">
        <v>0</v>
      </c>
      <c r="I376" t="s">
        <v>84</v>
      </c>
    </row>
    <row r="377" spans="1:9" x14ac:dyDescent="0.35">
      <c r="A377" t="s">
        <v>21</v>
      </c>
      <c r="B377">
        <v>2025</v>
      </c>
      <c r="C377" t="s">
        <v>83</v>
      </c>
      <c r="D377" t="s">
        <v>54</v>
      </c>
      <c r="E377">
        <v>6.4318665393304594E-2</v>
      </c>
      <c r="F377">
        <v>6.4318665393304594E-2</v>
      </c>
      <c r="G377">
        <v>0</v>
      </c>
      <c r="H377">
        <v>0</v>
      </c>
      <c r="I377" t="s">
        <v>84</v>
      </c>
    </row>
    <row r="378" spans="1:9" x14ac:dyDescent="0.35">
      <c r="A378" t="s">
        <v>21</v>
      </c>
      <c r="B378">
        <v>2025</v>
      </c>
      <c r="C378" t="s">
        <v>83</v>
      </c>
      <c r="D378" t="s">
        <v>55</v>
      </c>
      <c r="E378">
        <v>6.1268786846103901E-2</v>
      </c>
      <c r="F378">
        <v>6.1268786846103901E-2</v>
      </c>
      <c r="G378">
        <v>0</v>
      </c>
      <c r="H378">
        <v>0</v>
      </c>
      <c r="I378" t="s">
        <v>84</v>
      </c>
    </row>
    <row r="379" spans="1:9" x14ac:dyDescent="0.35">
      <c r="A379" t="s">
        <v>21</v>
      </c>
      <c r="B379">
        <v>2025</v>
      </c>
      <c r="C379" t="s">
        <v>83</v>
      </c>
      <c r="D379" t="s">
        <v>56</v>
      </c>
      <c r="E379" s="1">
        <v>7.3148941026326803E-8</v>
      </c>
      <c r="F379" s="1">
        <v>7.3148941026326803E-8</v>
      </c>
      <c r="G379">
        <v>0</v>
      </c>
      <c r="H379">
        <v>0</v>
      </c>
      <c r="I379" t="s">
        <v>84</v>
      </c>
    </row>
    <row r="380" spans="1:9" x14ac:dyDescent="0.35">
      <c r="A380" t="s">
        <v>23</v>
      </c>
      <c r="B380">
        <v>2030</v>
      </c>
      <c r="C380" t="s">
        <v>83</v>
      </c>
      <c r="D380" t="s">
        <v>38</v>
      </c>
      <c r="E380">
        <v>5.0065377348932803E-4</v>
      </c>
      <c r="F380">
        <v>5.0064507598698404E-4</v>
      </c>
      <c r="G380" s="1">
        <v>-8.6975023444197508E-9</v>
      </c>
      <c r="H380">
        <v>-1.73722896040553E-3</v>
      </c>
      <c r="I380" t="s">
        <v>84</v>
      </c>
    </row>
    <row r="381" spans="1:9" x14ac:dyDescent="0.35">
      <c r="A381" t="s">
        <v>23</v>
      </c>
      <c r="B381">
        <v>2030</v>
      </c>
      <c r="C381" t="s">
        <v>83</v>
      </c>
      <c r="D381" t="s">
        <v>40</v>
      </c>
      <c r="E381">
        <v>2.7427548574015701E-4</v>
      </c>
      <c r="F381">
        <v>2.7427548574015701E-4</v>
      </c>
      <c r="G381">
        <v>0</v>
      </c>
      <c r="H381">
        <v>0</v>
      </c>
      <c r="I381" t="s">
        <v>84</v>
      </c>
    </row>
    <row r="382" spans="1:9" x14ac:dyDescent="0.35">
      <c r="A382" t="s">
        <v>23</v>
      </c>
      <c r="B382">
        <v>2030</v>
      </c>
      <c r="C382" t="s">
        <v>83</v>
      </c>
      <c r="D382" t="s">
        <v>41</v>
      </c>
      <c r="E382">
        <v>2.67129628659483E-3</v>
      </c>
      <c r="F382">
        <v>2.67129628659483E-3</v>
      </c>
      <c r="G382">
        <v>0</v>
      </c>
      <c r="H382">
        <v>0</v>
      </c>
      <c r="I382" t="s">
        <v>84</v>
      </c>
    </row>
    <row r="383" spans="1:9" x14ac:dyDescent="0.35">
      <c r="A383" t="s">
        <v>23</v>
      </c>
      <c r="B383">
        <v>2030</v>
      </c>
      <c r="C383" t="s">
        <v>83</v>
      </c>
      <c r="D383" t="s">
        <v>42</v>
      </c>
      <c r="E383">
        <v>2.1781640886197202</v>
      </c>
      <c r="F383">
        <v>1.0085412039191399</v>
      </c>
      <c r="G383">
        <v>-1.1696228847005801</v>
      </c>
      <c r="H383">
        <v>-53.697647978475104</v>
      </c>
      <c r="I383" t="s">
        <v>84</v>
      </c>
    </row>
    <row r="384" spans="1:9" x14ac:dyDescent="0.35">
      <c r="A384" t="s">
        <v>23</v>
      </c>
      <c r="B384">
        <v>2030</v>
      </c>
      <c r="C384" t="s">
        <v>83</v>
      </c>
      <c r="D384" t="s">
        <v>43</v>
      </c>
      <c r="E384">
        <v>7.9678024538014597E-4</v>
      </c>
      <c r="F384">
        <v>7.9678024538014597E-4</v>
      </c>
      <c r="G384">
        <v>0</v>
      </c>
      <c r="H384">
        <v>0</v>
      </c>
      <c r="I384" t="s">
        <v>84</v>
      </c>
    </row>
    <row r="385" spans="1:9" x14ac:dyDescent="0.35">
      <c r="A385" t="s">
        <v>23</v>
      </c>
      <c r="B385">
        <v>2030</v>
      </c>
      <c r="C385" t="s">
        <v>83</v>
      </c>
      <c r="D385" t="s">
        <v>136</v>
      </c>
      <c r="E385">
        <v>0.94899926232213305</v>
      </c>
      <c r="F385">
        <v>0.94899926232213305</v>
      </c>
      <c r="G385">
        <v>0</v>
      </c>
      <c r="H385">
        <v>0</v>
      </c>
      <c r="I385" t="s">
        <v>84</v>
      </c>
    </row>
    <row r="386" spans="1:9" x14ac:dyDescent="0.35">
      <c r="A386" t="s">
        <v>23</v>
      </c>
      <c r="B386">
        <v>2030</v>
      </c>
      <c r="C386" t="s">
        <v>83</v>
      </c>
      <c r="D386" t="s">
        <v>45</v>
      </c>
      <c r="E386">
        <v>1.5048634750839799E-3</v>
      </c>
      <c r="F386">
        <v>1.5048634750839799E-3</v>
      </c>
      <c r="G386">
        <v>0</v>
      </c>
      <c r="H386">
        <v>0</v>
      </c>
      <c r="I386" t="s">
        <v>84</v>
      </c>
    </row>
    <row r="387" spans="1:9" x14ac:dyDescent="0.35">
      <c r="A387" t="s">
        <v>23</v>
      </c>
      <c r="B387">
        <v>2030</v>
      </c>
      <c r="C387" t="s">
        <v>83</v>
      </c>
      <c r="D387" t="s">
        <v>46</v>
      </c>
      <c r="E387">
        <v>2.7681312477254999E-2</v>
      </c>
      <c r="F387">
        <v>2.7681312477254999E-2</v>
      </c>
      <c r="G387">
        <v>0</v>
      </c>
      <c r="H387">
        <v>0</v>
      </c>
      <c r="I387" t="s">
        <v>84</v>
      </c>
    </row>
    <row r="388" spans="1:9" x14ac:dyDescent="0.35">
      <c r="A388" t="s">
        <v>23</v>
      </c>
      <c r="B388">
        <v>2030</v>
      </c>
      <c r="C388" t="s">
        <v>83</v>
      </c>
      <c r="D388" t="s">
        <v>47</v>
      </c>
      <c r="E388">
        <v>3.72315350044635E-4</v>
      </c>
      <c r="F388">
        <v>3.72315350044635E-4</v>
      </c>
      <c r="G388">
        <v>0</v>
      </c>
      <c r="H388">
        <v>0</v>
      </c>
      <c r="I388" t="s">
        <v>84</v>
      </c>
    </row>
    <row r="389" spans="1:9" x14ac:dyDescent="0.35">
      <c r="A389" t="s">
        <v>23</v>
      </c>
      <c r="B389">
        <v>2030</v>
      </c>
      <c r="C389" t="s">
        <v>83</v>
      </c>
      <c r="D389" t="s">
        <v>48</v>
      </c>
      <c r="E389">
        <v>36.275406602042999</v>
      </c>
      <c r="F389">
        <v>36.275406602042999</v>
      </c>
      <c r="G389">
        <v>0</v>
      </c>
      <c r="H389">
        <v>0</v>
      </c>
      <c r="I389" t="s">
        <v>84</v>
      </c>
    </row>
    <row r="390" spans="1:9" x14ac:dyDescent="0.35">
      <c r="A390" t="s">
        <v>23</v>
      </c>
      <c r="B390">
        <v>2030</v>
      </c>
      <c r="C390" t="s">
        <v>83</v>
      </c>
      <c r="D390" t="s">
        <v>49</v>
      </c>
      <c r="E390">
        <v>4.3242076353583302E-3</v>
      </c>
      <c r="F390">
        <v>4.3242076353583302E-3</v>
      </c>
      <c r="G390">
        <v>0</v>
      </c>
      <c r="H390">
        <v>0</v>
      </c>
      <c r="I390" t="s">
        <v>84</v>
      </c>
    </row>
    <row r="391" spans="1:9" x14ac:dyDescent="0.35">
      <c r="A391" t="s">
        <v>23</v>
      </c>
      <c r="B391">
        <v>2030</v>
      </c>
      <c r="C391" t="s">
        <v>83</v>
      </c>
      <c r="D391" t="s">
        <v>50</v>
      </c>
      <c r="E391">
        <v>5.4625356472912303E-3</v>
      </c>
      <c r="F391">
        <v>5.4625356472912303E-3</v>
      </c>
      <c r="G391">
        <v>0</v>
      </c>
      <c r="H391">
        <v>0</v>
      </c>
      <c r="I391" t="s">
        <v>84</v>
      </c>
    </row>
    <row r="392" spans="1:9" x14ac:dyDescent="0.35">
      <c r="A392" t="s">
        <v>23</v>
      </c>
      <c r="B392">
        <v>2030</v>
      </c>
      <c r="C392" t="s">
        <v>83</v>
      </c>
      <c r="D392" t="s">
        <v>51</v>
      </c>
      <c r="E392">
        <v>3.2820343313280202E-2</v>
      </c>
      <c r="F392">
        <v>3.2820343313280202E-2</v>
      </c>
      <c r="G392">
        <v>0</v>
      </c>
      <c r="H392">
        <v>0</v>
      </c>
      <c r="I392" t="s">
        <v>84</v>
      </c>
    </row>
    <row r="393" spans="1:9" x14ac:dyDescent="0.35">
      <c r="A393" t="s">
        <v>23</v>
      </c>
      <c r="B393">
        <v>2030</v>
      </c>
      <c r="C393" t="s">
        <v>83</v>
      </c>
      <c r="D393" t="s">
        <v>52</v>
      </c>
      <c r="E393">
        <v>0.176903612163196</v>
      </c>
      <c r="F393">
        <v>0.176903612163196</v>
      </c>
      <c r="G393">
        <v>0</v>
      </c>
      <c r="H393">
        <v>0</v>
      </c>
      <c r="I393" t="s">
        <v>84</v>
      </c>
    </row>
    <row r="394" spans="1:9" x14ac:dyDescent="0.35">
      <c r="A394" t="s">
        <v>23</v>
      </c>
      <c r="B394">
        <v>2030</v>
      </c>
      <c r="C394" t="s">
        <v>83</v>
      </c>
      <c r="D394" t="s">
        <v>53</v>
      </c>
      <c r="E394">
        <v>0.28164893883018999</v>
      </c>
      <c r="F394">
        <v>0.28164893883018999</v>
      </c>
      <c r="G394">
        <v>0</v>
      </c>
      <c r="H394">
        <v>0</v>
      </c>
      <c r="I394" t="s">
        <v>84</v>
      </c>
    </row>
    <row r="395" spans="1:9" x14ac:dyDescent="0.35">
      <c r="A395" t="s">
        <v>23</v>
      </c>
      <c r="B395">
        <v>2030</v>
      </c>
      <c r="C395" t="s">
        <v>83</v>
      </c>
      <c r="D395" t="s">
        <v>54</v>
      </c>
      <c r="E395">
        <v>6.4250967806598905E-2</v>
      </c>
      <c r="F395">
        <v>6.1626437085586003E-2</v>
      </c>
      <c r="G395">
        <v>-2.62453072101288E-3</v>
      </c>
      <c r="H395">
        <v>-4.0848111874562703</v>
      </c>
      <c r="I395" t="s">
        <v>84</v>
      </c>
    </row>
    <row r="396" spans="1:9" x14ac:dyDescent="0.35">
      <c r="A396" t="s">
        <v>23</v>
      </c>
      <c r="B396">
        <v>2030</v>
      </c>
      <c r="C396" t="s">
        <v>83</v>
      </c>
      <c r="D396" t="s">
        <v>55</v>
      </c>
      <c r="E396">
        <v>6.10173075253993E-2</v>
      </c>
      <c r="F396">
        <v>5.7277090352574098E-2</v>
      </c>
      <c r="G396">
        <v>-3.7402171728251801E-3</v>
      </c>
      <c r="H396">
        <v>-6.1297643644277002</v>
      </c>
      <c r="I396" t="s">
        <v>84</v>
      </c>
    </row>
    <row r="397" spans="1:9" x14ac:dyDescent="0.35">
      <c r="A397" t="s">
        <v>23</v>
      </c>
      <c r="B397">
        <v>2030</v>
      </c>
      <c r="C397" t="s">
        <v>83</v>
      </c>
      <c r="D397" t="s">
        <v>56</v>
      </c>
      <c r="E397" s="1">
        <v>7.1162515934048603E-8</v>
      </c>
      <c r="F397" s="1">
        <v>7.1162515934048603E-8</v>
      </c>
      <c r="G397">
        <v>0</v>
      </c>
      <c r="H397">
        <v>0</v>
      </c>
      <c r="I397" t="s">
        <v>84</v>
      </c>
    </row>
    <row r="398" spans="1:9" x14ac:dyDescent="0.35">
      <c r="A398" t="s">
        <v>25</v>
      </c>
      <c r="B398">
        <v>2035</v>
      </c>
      <c r="C398" t="s">
        <v>83</v>
      </c>
      <c r="D398" t="s">
        <v>38</v>
      </c>
      <c r="E398">
        <v>6.9164776772568195E-4</v>
      </c>
      <c r="F398">
        <v>6.9164542682445995E-4</v>
      </c>
      <c r="G398" s="1">
        <v>-2.3409012216710501E-9</v>
      </c>
      <c r="H398">
        <v>-3.38452797927556E-4</v>
      </c>
      <c r="I398" t="s">
        <v>84</v>
      </c>
    </row>
    <row r="399" spans="1:9" x14ac:dyDescent="0.35">
      <c r="A399" t="s">
        <v>25</v>
      </c>
      <c r="B399">
        <v>2035</v>
      </c>
      <c r="C399" t="s">
        <v>83</v>
      </c>
      <c r="D399" t="s">
        <v>40</v>
      </c>
      <c r="E399">
        <v>2.8144230398312401E-4</v>
      </c>
      <c r="F399">
        <v>2.8144230398312401E-4</v>
      </c>
      <c r="G399">
        <v>0</v>
      </c>
      <c r="H399">
        <v>0</v>
      </c>
      <c r="I399" t="s">
        <v>84</v>
      </c>
    </row>
    <row r="400" spans="1:9" x14ac:dyDescent="0.35">
      <c r="A400" t="s">
        <v>25</v>
      </c>
      <c r="B400">
        <v>2035</v>
      </c>
      <c r="C400" t="s">
        <v>83</v>
      </c>
      <c r="D400" t="s">
        <v>41</v>
      </c>
      <c r="E400">
        <v>2.6458684189416999E-3</v>
      </c>
      <c r="F400">
        <v>2.6458684189416999E-3</v>
      </c>
      <c r="G400">
        <v>0</v>
      </c>
      <c r="H400">
        <v>0</v>
      </c>
      <c r="I400" t="s">
        <v>84</v>
      </c>
    </row>
    <row r="401" spans="1:9" x14ac:dyDescent="0.35">
      <c r="A401" t="s">
        <v>25</v>
      </c>
      <c r="B401">
        <v>2035</v>
      </c>
      <c r="C401" t="s">
        <v>83</v>
      </c>
      <c r="D401" t="s">
        <v>42</v>
      </c>
      <c r="E401">
        <v>2.1664784825601502</v>
      </c>
      <c r="F401">
        <v>1.8516786978704001</v>
      </c>
      <c r="G401">
        <v>-0.314799784689753</v>
      </c>
      <c r="H401">
        <v>-14.530482865343201</v>
      </c>
      <c r="I401" t="s">
        <v>84</v>
      </c>
    </row>
    <row r="402" spans="1:9" x14ac:dyDescent="0.35">
      <c r="A402" t="s">
        <v>25</v>
      </c>
      <c r="B402">
        <v>2035</v>
      </c>
      <c r="C402" t="s">
        <v>83</v>
      </c>
      <c r="D402" t="s">
        <v>43</v>
      </c>
      <c r="E402">
        <v>8.0869519330998196E-4</v>
      </c>
      <c r="F402">
        <v>8.0869519330998196E-4</v>
      </c>
      <c r="G402">
        <v>0</v>
      </c>
      <c r="H402">
        <v>0</v>
      </c>
      <c r="I402" t="s">
        <v>84</v>
      </c>
    </row>
    <row r="403" spans="1:9" x14ac:dyDescent="0.35">
      <c r="A403" t="s">
        <v>25</v>
      </c>
      <c r="B403">
        <v>2035</v>
      </c>
      <c r="C403" t="s">
        <v>83</v>
      </c>
      <c r="D403" t="s">
        <v>136</v>
      </c>
      <c r="E403">
        <v>0.96792180523509896</v>
      </c>
      <c r="F403">
        <v>0.96792180523509896</v>
      </c>
      <c r="G403">
        <v>0</v>
      </c>
      <c r="H403">
        <v>0</v>
      </c>
      <c r="I403" t="s">
        <v>84</v>
      </c>
    </row>
    <row r="404" spans="1:9" x14ac:dyDescent="0.35">
      <c r="A404" t="s">
        <v>25</v>
      </c>
      <c r="B404">
        <v>2035</v>
      </c>
      <c r="C404" t="s">
        <v>83</v>
      </c>
      <c r="D404" t="s">
        <v>45</v>
      </c>
      <c r="E404">
        <v>1.41911316828736E-3</v>
      </c>
      <c r="F404">
        <v>1.41911316828736E-3</v>
      </c>
      <c r="G404">
        <v>0</v>
      </c>
      <c r="H404">
        <v>0</v>
      </c>
      <c r="I404" t="s">
        <v>84</v>
      </c>
    </row>
    <row r="405" spans="1:9" x14ac:dyDescent="0.35">
      <c r="A405" t="s">
        <v>25</v>
      </c>
      <c r="B405">
        <v>2035</v>
      </c>
      <c r="C405" t="s">
        <v>83</v>
      </c>
      <c r="D405" t="s">
        <v>46</v>
      </c>
      <c r="E405">
        <v>3.9961117152443798E-2</v>
      </c>
      <c r="F405">
        <v>3.9961117152443798E-2</v>
      </c>
      <c r="G405">
        <v>0</v>
      </c>
      <c r="H405">
        <v>0</v>
      </c>
      <c r="I405" t="s">
        <v>84</v>
      </c>
    </row>
    <row r="406" spans="1:9" x14ac:dyDescent="0.35">
      <c r="A406" t="s">
        <v>25</v>
      </c>
      <c r="B406">
        <v>2035</v>
      </c>
      <c r="C406" t="s">
        <v>83</v>
      </c>
      <c r="D406" t="s">
        <v>47</v>
      </c>
      <c r="E406">
        <v>3.60483740955366E-4</v>
      </c>
      <c r="F406">
        <v>3.60483740955366E-4</v>
      </c>
      <c r="G406">
        <v>0</v>
      </c>
      <c r="H406">
        <v>0</v>
      </c>
      <c r="I406" t="s">
        <v>84</v>
      </c>
    </row>
    <row r="407" spans="1:9" x14ac:dyDescent="0.35">
      <c r="A407" t="s">
        <v>25</v>
      </c>
      <c r="B407">
        <v>2035</v>
      </c>
      <c r="C407" t="s">
        <v>83</v>
      </c>
      <c r="D407" t="s">
        <v>48</v>
      </c>
      <c r="E407">
        <v>36.276202450169102</v>
      </c>
      <c r="F407">
        <v>36.276202450169102</v>
      </c>
      <c r="G407">
        <v>0</v>
      </c>
      <c r="H407">
        <v>0</v>
      </c>
      <c r="I407" t="s">
        <v>84</v>
      </c>
    </row>
    <row r="408" spans="1:9" x14ac:dyDescent="0.35">
      <c r="A408" t="s">
        <v>25</v>
      </c>
      <c r="B408">
        <v>2035</v>
      </c>
      <c r="C408" t="s">
        <v>83</v>
      </c>
      <c r="D408" t="s">
        <v>49</v>
      </c>
      <c r="E408">
        <v>4.1625403140588702E-3</v>
      </c>
      <c r="F408">
        <v>4.1625403140588702E-3</v>
      </c>
      <c r="G408">
        <v>0</v>
      </c>
      <c r="H408">
        <v>0</v>
      </c>
      <c r="I408" t="s">
        <v>84</v>
      </c>
    </row>
    <row r="409" spans="1:9" x14ac:dyDescent="0.35">
      <c r="A409" t="s">
        <v>25</v>
      </c>
      <c r="B409">
        <v>2035</v>
      </c>
      <c r="C409" t="s">
        <v>83</v>
      </c>
      <c r="D409" t="s">
        <v>50</v>
      </c>
      <c r="E409">
        <v>6.0621171765408996E-3</v>
      </c>
      <c r="F409">
        <v>6.0621171765408996E-3</v>
      </c>
      <c r="G409">
        <v>0</v>
      </c>
      <c r="H409">
        <v>0</v>
      </c>
      <c r="I409" t="s">
        <v>84</v>
      </c>
    </row>
    <row r="410" spans="1:9" x14ac:dyDescent="0.35">
      <c r="A410" t="s">
        <v>25</v>
      </c>
      <c r="B410">
        <v>2035</v>
      </c>
      <c r="C410" t="s">
        <v>83</v>
      </c>
      <c r="D410" t="s">
        <v>51</v>
      </c>
      <c r="E410">
        <v>3.2794768845477502E-2</v>
      </c>
      <c r="F410">
        <v>3.2794768845477502E-2</v>
      </c>
      <c r="G410">
        <v>0</v>
      </c>
      <c r="H410">
        <v>0</v>
      </c>
      <c r="I410" t="s">
        <v>84</v>
      </c>
    </row>
    <row r="411" spans="1:9" x14ac:dyDescent="0.35">
      <c r="A411" t="s">
        <v>25</v>
      </c>
      <c r="B411">
        <v>2035</v>
      </c>
      <c r="C411" t="s">
        <v>83</v>
      </c>
      <c r="D411" t="s">
        <v>52</v>
      </c>
      <c r="E411">
        <v>0.138058422779817</v>
      </c>
      <c r="F411">
        <v>0.138058422779817</v>
      </c>
      <c r="G411">
        <v>0</v>
      </c>
      <c r="H411">
        <v>0</v>
      </c>
      <c r="I411" t="s">
        <v>84</v>
      </c>
    </row>
    <row r="412" spans="1:9" x14ac:dyDescent="0.35">
      <c r="A412" t="s">
        <v>25</v>
      </c>
      <c r="B412">
        <v>2035</v>
      </c>
      <c r="C412" t="s">
        <v>83</v>
      </c>
      <c r="D412" t="s">
        <v>53</v>
      </c>
      <c r="E412">
        <v>0.29288374091837299</v>
      </c>
      <c r="F412">
        <v>0.29288374091837299</v>
      </c>
      <c r="G412">
        <v>0</v>
      </c>
      <c r="H412">
        <v>0</v>
      </c>
      <c r="I412" t="s">
        <v>84</v>
      </c>
    </row>
    <row r="413" spans="1:9" x14ac:dyDescent="0.35">
      <c r="A413" t="s">
        <v>25</v>
      </c>
      <c r="B413">
        <v>2035</v>
      </c>
      <c r="C413" t="s">
        <v>83</v>
      </c>
      <c r="D413" t="s">
        <v>54</v>
      </c>
      <c r="E413">
        <v>6.4534014845398197E-2</v>
      </c>
      <c r="F413">
        <v>6.3827631754096004E-2</v>
      </c>
      <c r="G413">
        <v>-7.0638309130222001E-4</v>
      </c>
      <c r="H413">
        <v>-1.09459033812552</v>
      </c>
      <c r="I413" t="s">
        <v>84</v>
      </c>
    </row>
    <row r="414" spans="1:9" x14ac:dyDescent="0.35">
      <c r="A414" t="s">
        <v>25</v>
      </c>
      <c r="B414">
        <v>2035</v>
      </c>
      <c r="C414" t="s">
        <v>83</v>
      </c>
      <c r="D414" t="s">
        <v>55</v>
      </c>
      <c r="E414">
        <v>6.11655276099781E-2</v>
      </c>
      <c r="F414">
        <v>6.0158861565297997E-2</v>
      </c>
      <c r="G414">
        <v>-1.00666604468009E-3</v>
      </c>
      <c r="H414">
        <v>-1.6458061983853001</v>
      </c>
      <c r="I414" t="s">
        <v>84</v>
      </c>
    </row>
    <row r="415" spans="1:9" x14ac:dyDescent="0.35">
      <c r="A415" t="s">
        <v>25</v>
      </c>
      <c r="B415">
        <v>2035</v>
      </c>
      <c r="C415" t="s">
        <v>83</v>
      </c>
      <c r="D415" t="s">
        <v>56</v>
      </c>
      <c r="E415" s="1">
        <v>7.22480482214342E-8</v>
      </c>
      <c r="F415" s="1">
        <v>7.22480482214342E-8</v>
      </c>
      <c r="G415">
        <v>0</v>
      </c>
      <c r="H415">
        <v>0</v>
      </c>
      <c r="I415" t="s">
        <v>84</v>
      </c>
    </row>
    <row r="416" spans="1:9" x14ac:dyDescent="0.35">
      <c r="A416" t="s">
        <v>27</v>
      </c>
      <c r="B416">
        <v>2040</v>
      </c>
      <c r="C416" t="s">
        <v>83</v>
      </c>
      <c r="D416" t="s">
        <v>38</v>
      </c>
      <c r="E416">
        <v>6.1002398991516201E-4</v>
      </c>
      <c r="F416">
        <v>6.1001295150676699E-4</v>
      </c>
      <c r="G416" s="1">
        <v>-1.10384083952357E-8</v>
      </c>
      <c r="H416">
        <v>-1.80950398307627E-3</v>
      </c>
      <c r="I416" t="s">
        <v>84</v>
      </c>
    </row>
    <row r="417" spans="1:9" x14ac:dyDescent="0.35">
      <c r="A417" t="s">
        <v>27</v>
      </c>
      <c r="B417">
        <v>2040</v>
      </c>
      <c r="C417" t="s">
        <v>83</v>
      </c>
      <c r="D417" t="s">
        <v>40</v>
      </c>
      <c r="E417">
        <v>2.8853877939229898E-4</v>
      </c>
      <c r="F417">
        <v>2.8853877939229898E-4</v>
      </c>
      <c r="G417">
        <v>0</v>
      </c>
      <c r="H417">
        <v>0</v>
      </c>
      <c r="I417" t="s">
        <v>84</v>
      </c>
    </row>
    <row r="418" spans="1:9" x14ac:dyDescent="0.35">
      <c r="A418" t="s">
        <v>27</v>
      </c>
      <c r="B418">
        <v>2040</v>
      </c>
      <c r="C418" t="s">
        <v>83</v>
      </c>
      <c r="D418" t="s">
        <v>41</v>
      </c>
      <c r="E418">
        <v>2.64454137020063E-3</v>
      </c>
      <c r="F418">
        <v>2.64454137020063E-3</v>
      </c>
      <c r="G418">
        <v>0</v>
      </c>
      <c r="H418">
        <v>0</v>
      </c>
      <c r="I418" t="s">
        <v>84</v>
      </c>
    </row>
    <row r="419" spans="1:9" x14ac:dyDescent="0.35">
      <c r="A419" t="s">
        <v>27</v>
      </c>
      <c r="B419">
        <v>2040</v>
      </c>
      <c r="C419" t="s">
        <v>83</v>
      </c>
      <c r="D419" t="s">
        <v>42</v>
      </c>
      <c r="E419">
        <v>2.1642056164377901</v>
      </c>
      <c r="F419">
        <v>0.67978233414362899</v>
      </c>
      <c r="G419">
        <v>-1.4844232822941601</v>
      </c>
      <c r="H419">
        <v>-68.589752795183699</v>
      </c>
      <c r="I419" t="s">
        <v>84</v>
      </c>
    </row>
    <row r="420" spans="1:9" x14ac:dyDescent="0.35">
      <c r="A420" t="s">
        <v>27</v>
      </c>
      <c r="B420">
        <v>2040</v>
      </c>
      <c r="C420" t="s">
        <v>83</v>
      </c>
      <c r="D420" t="s">
        <v>43</v>
      </c>
      <c r="E420">
        <v>7.7325862328529802E-4</v>
      </c>
      <c r="F420">
        <v>7.7325862328529802E-4</v>
      </c>
      <c r="G420">
        <v>0</v>
      </c>
      <c r="H420">
        <v>0</v>
      </c>
      <c r="I420" t="s">
        <v>84</v>
      </c>
    </row>
    <row r="421" spans="1:9" x14ac:dyDescent="0.35">
      <c r="A421" t="s">
        <v>27</v>
      </c>
      <c r="B421">
        <v>2040</v>
      </c>
      <c r="C421" t="s">
        <v>83</v>
      </c>
      <c r="D421" t="s">
        <v>136</v>
      </c>
      <c r="E421">
        <v>0.98802664202789203</v>
      </c>
      <c r="F421">
        <v>0.98802664202789203</v>
      </c>
      <c r="G421">
        <v>0</v>
      </c>
      <c r="H421">
        <v>0</v>
      </c>
      <c r="I421" t="s">
        <v>84</v>
      </c>
    </row>
    <row r="422" spans="1:9" x14ac:dyDescent="0.35">
      <c r="A422" t="s">
        <v>27</v>
      </c>
      <c r="B422">
        <v>2040</v>
      </c>
      <c r="C422" t="s">
        <v>83</v>
      </c>
      <c r="D422" t="s">
        <v>45</v>
      </c>
      <c r="E422">
        <v>1.36383494601834E-3</v>
      </c>
      <c r="F422">
        <v>1.36383494601834E-3</v>
      </c>
      <c r="G422">
        <v>0</v>
      </c>
      <c r="H422">
        <v>0</v>
      </c>
      <c r="I422" t="s">
        <v>84</v>
      </c>
    </row>
    <row r="423" spans="1:9" x14ac:dyDescent="0.35">
      <c r="A423" t="s">
        <v>27</v>
      </c>
      <c r="B423">
        <v>2040</v>
      </c>
      <c r="C423" t="s">
        <v>83</v>
      </c>
      <c r="D423" t="s">
        <v>46</v>
      </c>
      <c r="E423">
        <v>4.1052327923403902E-2</v>
      </c>
      <c r="F423">
        <v>4.1052327923403902E-2</v>
      </c>
      <c r="G423">
        <v>0</v>
      </c>
      <c r="H423">
        <v>0</v>
      </c>
      <c r="I423" t="s">
        <v>84</v>
      </c>
    </row>
    <row r="424" spans="1:9" x14ac:dyDescent="0.35">
      <c r="A424" t="s">
        <v>27</v>
      </c>
      <c r="B424">
        <v>2040</v>
      </c>
      <c r="C424" t="s">
        <v>83</v>
      </c>
      <c r="D424" t="s">
        <v>47</v>
      </c>
      <c r="E424">
        <v>3.62563583879774E-4</v>
      </c>
      <c r="F424">
        <v>3.62563583879774E-4</v>
      </c>
      <c r="G424">
        <v>0</v>
      </c>
      <c r="H424">
        <v>0</v>
      </c>
      <c r="I424" t="s">
        <v>84</v>
      </c>
    </row>
    <row r="425" spans="1:9" x14ac:dyDescent="0.35">
      <c r="A425" t="s">
        <v>27</v>
      </c>
      <c r="B425">
        <v>2040</v>
      </c>
      <c r="C425" t="s">
        <v>83</v>
      </c>
      <c r="D425" t="s">
        <v>48</v>
      </c>
      <c r="E425">
        <v>36.277392631201302</v>
      </c>
      <c r="F425">
        <v>36.277392631201302</v>
      </c>
      <c r="G425">
        <v>0</v>
      </c>
      <c r="H425">
        <v>0</v>
      </c>
      <c r="I425" t="s">
        <v>84</v>
      </c>
    </row>
    <row r="426" spans="1:9" x14ac:dyDescent="0.35">
      <c r="A426" t="s">
        <v>27</v>
      </c>
      <c r="B426">
        <v>2040</v>
      </c>
      <c r="C426" t="s">
        <v>83</v>
      </c>
      <c r="D426" t="s">
        <v>49</v>
      </c>
      <c r="E426">
        <v>4.0301019581351002E-3</v>
      </c>
      <c r="F426">
        <v>4.0301019581351002E-3</v>
      </c>
      <c r="G426">
        <v>0</v>
      </c>
      <c r="H426">
        <v>0</v>
      </c>
      <c r="I426" t="s">
        <v>84</v>
      </c>
    </row>
    <row r="427" spans="1:9" x14ac:dyDescent="0.35">
      <c r="A427" t="s">
        <v>27</v>
      </c>
      <c r="B427">
        <v>2040</v>
      </c>
      <c r="C427" t="s">
        <v>83</v>
      </c>
      <c r="D427" t="s">
        <v>50</v>
      </c>
      <c r="E427">
        <v>5.6862776319386897E-3</v>
      </c>
      <c r="F427">
        <v>5.6862776319386897E-3</v>
      </c>
      <c r="G427">
        <v>0</v>
      </c>
      <c r="H427">
        <v>0</v>
      </c>
      <c r="I427" t="s">
        <v>84</v>
      </c>
    </row>
    <row r="428" spans="1:9" x14ac:dyDescent="0.35">
      <c r="A428" t="s">
        <v>27</v>
      </c>
      <c r="B428">
        <v>2040</v>
      </c>
      <c r="C428" t="s">
        <v>83</v>
      </c>
      <c r="D428" t="s">
        <v>51</v>
      </c>
      <c r="E428">
        <v>3.2865379823772002E-2</v>
      </c>
      <c r="F428">
        <v>3.2865379823772002E-2</v>
      </c>
      <c r="G428">
        <v>0</v>
      </c>
      <c r="H428">
        <v>0</v>
      </c>
      <c r="I428" t="s">
        <v>84</v>
      </c>
    </row>
    <row r="429" spans="1:9" x14ac:dyDescent="0.35">
      <c r="A429" t="s">
        <v>27</v>
      </c>
      <c r="B429">
        <v>2040</v>
      </c>
      <c r="C429" t="s">
        <v>83</v>
      </c>
      <c r="D429" t="s">
        <v>52</v>
      </c>
      <c r="E429">
        <v>0.107064879194044</v>
      </c>
      <c r="F429">
        <v>0.107064879194044</v>
      </c>
      <c r="G429">
        <v>0</v>
      </c>
      <c r="H429">
        <v>0</v>
      </c>
      <c r="I429" t="s">
        <v>84</v>
      </c>
    </row>
    <row r="430" spans="1:9" x14ac:dyDescent="0.35">
      <c r="A430" t="s">
        <v>27</v>
      </c>
      <c r="B430">
        <v>2040</v>
      </c>
      <c r="C430" t="s">
        <v>83</v>
      </c>
      <c r="D430" t="s">
        <v>53</v>
      </c>
      <c r="E430">
        <v>0.30553800044204699</v>
      </c>
      <c r="F430">
        <v>0.30553800044204699</v>
      </c>
      <c r="G430">
        <v>0</v>
      </c>
      <c r="H430">
        <v>0</v>
      </c>
      <c r="I430" t="s">
        <v>84</v>
      </c>
    </row>
    <row r="431" spans="1:9" x14ac:dyDescent="0.35">
      <c r="A431" t="s">
        <v>27</v>
      </c>
      <c r="B431">
        <v>2040</v>
      </c>
      <c r="C431" t="s">
        <v>83</v>
      </c>
      <c r="D431" t="s">
        <v>54</v>
      </c>
      <c r="E431">
        <v>6.4930810752474297E-2</v>
      </c>
      <c r="F431">
        <v>6.1599895712896598E-2</v>
      </c>
      <c r="G431">
        <v>-3.33091503957766E-3</v>
      </c>
      <c r="H431">
        <v>-5.1299452462954598</v>
      </c>
      <c r="I431" t="s">
        <v>84</v>
      </c>
    </row>
    <row r="432" spans="1:9" x14ac:dyDescent="0.35">
      <c r="A432" t="s">
        <v>27</v>
      </c>
      <c r="B432">
        <v>2040</v>
      </c>
      <c r="C432" t="s">
        <v>83</v>
      </c>
      <c r="D432" t="s">
        <v>55</v>
      </c>
      <c r="E432">
        <v>6.1489662654954799E-2</v>
      </c>
      <c r="F432">
        <v>5.6742777576641097E-2</v>
      </c>
      <c r="G432">
        <v>-4.7468850783137003E-3</v>
      </c>
      <c r="H432">
        <v>-7.7198099214668403</v>
      </c>
      <c r="I432" t="s">
        <v>84</v>
      </c>
    </row>
    <row r="433" spans="1:9" x14ac:dyDescent="0.35">
      <c r="A433" t="s">
        <v>27</v>
      </c>
      <c r="B433">
        <v>2040</v>
      </c>
      <c r="C433" t="s">
        <v>83</v>
      </c>
      <c r="D433" t="s">
        <v>56</v>
      </c>
      <c r="E433" s="1">
        <v>7.4597476390833597E-8</v>
      </c>
      <c r="F433" s="1">
        <v>7.4597476390833597E-8</v>
      </c>
      <c r="G433">
        <v>0</v>
      </c>
      <c r="H433">
        <v>0</v>
      </c>
      <c r="I433" t="s">
        <v>84</v>
      </c>
    </row>
    <row r="434" spans="1:9" x14ac:dyDescent="0.35">
      <c r="A434" t="s">
        <v>21</v>
      </c>
      <c r="B434">
        <v>2025</v>
      </c>
      <c r="C434" t="s">
        <v>78</v>
      </c>
      <c r="D434" t="s">
        <v>38</v>
      </c>
      <c r="E434" s="1">
        <v>3.7439911103286401E-6</v>
      </c>
      <c r="F434" s="1">
        <v>3.7439911103286401E-6</v>
      </c>
      <c r="G434">
        <v>0</v>
      </c>
      <c r="H434">
        <v>0</v>
      </c>
      <c r="I434" t="s">
        <v>79</v>
      </c>
    </row>
    <row r="435" spans="1:9" x14ac:dyDescent="0.35">
      <c r="A435" t="s">
        <v>21</v>
      </c>
      <c r="B435">
        <v>2025</v>
      </c>
      <c r="C435" t="s">
        <v>78</v>
      </c>
      <c r="D435" t="s">
        <v>40</v>
      </c>
      <c r="E435" s="1">
        <v>7.7962087274626799E-5</v>
      </c>
      <c r="F435" s="1">
        <v>7.7962087274626799E-5</v>
      </c>
      <c r="G435">
        <v>0</v>
      </c>
      <c r="H435">
        <v>0</v>
      </c>
      <c r="I435" t="s">
        <v>79</v>
      </c>
    </row>
    <row r="436" spans="1:9" x14ac:dyDescent="0.35">
      <c r="A436" t="s">
        <v>21</v>
      </c>
      <c r="B436">
        <v>2025</v>
      </c>
      <c r="C436" t="s">
        <v>78</v>
      </c>
      <c r="D436" t="s">
        <v>41</v>
      </c>
      <c r="E436">
        <v>3.11821466199713E-4</v>
      </c>
      <c r="F436">
        <v>3.11821466199713E-4</v>
      </c>
      <c r="G436">
        <v>0</v>
      </c>
      <c r="H436">
        <v>0</v>
      </c>
      <c r="I436" t="s">
        <v>79</v>
      </c>
    </row>
    <row r="437" spans="1:9" x14ac:dyDescent="0.35">
      <c r="A437" t="s">
        <v>21</v>
      </c>
      <c r="B437">
        <v>2025</v>
      </c>
      <c r="C437" t="s">
        <v>78</v>
      </c>
      <c r="D437" t="s">
        <v>42</v>
      </c>
      <c r="E437">
        <v>1.3633427163369001E-2</v>
      </c>
      <c r="F437">
        <v>1.3633427163369001E-2</v>
      </c>
      <c r="G437">
        <v>0</v>
      </c>
      <c r="H437">
        <v>0</v>
      </c>
      <c r="I437" t="s">
        <v>79</v>
      </c>
    </row>
    <row r="438" spans="1:9" x14ac:dyDescent="0.35">
      <c r="A438" t="s">
        <v>21</v>
      </c>
      <c r="B438">
        <v>2025</v>
      </c>
      <c r="C438" t="s">
        <v>78</v>
      </c>
      <c r="D438" t="s">
        <v>43</v>
      </c>
      <c r="E438">
        <v>1.03824389425932E-4</v>
      </c>
      <c r="F438">
        <v>1.03824389425932E-4</v>
      </c>
      <c r="G438">
        <v>0</v>
      </c>
      <c r="H438">
        <v>0</v>
      </c>
      <c r="I438" t="s">
        <v>79</v>
      </c>
    </row>
    <row r="439" spans="1:9" x14ac:dyDescent="0.35">
      <c r="A439" t="s">
        <v>21</v>
      </c>
      <c r="B439">
        <v>2025</v>
      </c>
      <c r="C439" t="s">
        <v>78</v>
      </c>
      <c r="D439" t="s">
        <v>136</v>
      </c>
      <c r="E439">
        <v>1.6582667929787302E-2</v>
      </c>
      <c r="F439">
        <v>1.6582667929787302E-2</v>
      </c>
      <c r="G439">
        <v>0</v>
      </c>
      <c r="H439">
        <v>0</v>
      </c>
      <c r="I439" t="s">
        <v>79</v>
      </c>
    </row>
    <row r="440" spans="1:9" x14ac:dyDescent="0.35">
      <c r="A440" t="s">
        <v>21</v>
      </c>
      <c r="B440">
        <v>2025</v>
      </c>
      <c r="C440" t="s">
        <v>78</v>
      </c>
      <c r="D440" t="s">
        <v>45</v>
      </c>
      <c r="E440">
        <v>1.07861225239595E-4</v>
      </c>
      <c r="F440">
        <v>1.07861225239595E-4</v>
      </c>
      <c r="G440">
        <v>0</v>
      </c>
      <c r="H440">
        <v>0</v>
      </c>
      <c r="I440" t="s">
        <v>79</v>
      </c>
    </row>
    <row r="441" spans="1:9" x14ac:dyDescent="0.35">
      <c r="A441" t="s">
        <v>21</v>
      </c>
      <c r="B441">
        <v>2025</v>
      </c>
      <c r="C441" t="s">
        <v>78</v>
      </c>
      <c r="D441" t="s">
        <v>46</v>
      </c>
      <c r="E441">
        <v>1.62884736023813E-3</v>
      </c>
      <c r="F441">
        <v>1.62884736023813E-3</v>
      </c>
      <c r="G441">
        <v>0</v>
      </c>
      <c r="H441">
        <v>0</v>
      </c>
      <c r="I441" t="s">
        <v>79</v>
      </c>
    </row>
    <row r="442" spans="1:9" x14ac:dyDescent="0.35">
      <c r="A442" t="s">
        <v>21</v>
      </c>
      <c r="B442">
        <v>2025</v>
      </c>
      <c r="C442" t="s">
        <v>78</v>
      </c>
      <c r="D442" t="s">
        <v>47</v>
      </c>
      <c r="E442" s="1">
        <v>6.3305130580126703E-6</v>
      </c>
      <c r="F442" s="1">
        <v>6.3305130580126703E-6</v>
      </c>
      <c r="G442">
        <v>0</v>
      </c>
      <c r="H442">
        <v>0</v>
      </c>
      <c r="I442" t="s">
        <v>79</v>
      </c>
    </row>
    <row r="443" spans="1:9" x14ac:dyDescent="0.35">
      <c r="A443" t="s">
        <v>21</v>
      </c>
      <c r="B443">
        <v>2025</v>
      </c>
      <c r="C443" t="s">
        <v>78</v>
      </c>
      <c r="D443" t="s">
        <v>48</v>
      </c>
      <c r="E443">
        <v>46.972598190038802</v>
      </c>
      <c r="F443">
        <v>46.972598190038802</v>
      </c>
      <c r="G443">
        <v>0</v>
      </c>
      <c r="H443">
        <v>0</v>
      </c>
      <c r="I443" t="s">
        <v>79</v>
      </c>
    </row>
    <row r="444" spans="1:9" x14ac:dyDescent="0.35">
      <c r="A444" t="s">
        <v>21</v>
      </c>
      <c r="B444">
        <v>2025</v>
      </c>
      <c r="C444" t="s">
        <v>78</v>
      </c>
      <c r="D444" t="s">
        <v>49</v>
      </c>
      <c r="E444">
        <v>2.69159453209949E-4</v>
      </c>
      <c r="F444">
        <v>2.69159453209949E-4</v>
      </c>
      <c r="G444">
        <v>0</v>
      </c>
      <c r="H444">
        <v>0</v>
      </c>
      <c r="I444" t="s">
        <v>79</v>
      </c>
    </row>
    <row r="445" spans="1:9" x14ac:dyDescent="0.35">
      <c r="A445" t="s">
        <v>21</v>
      </c>
      <c r="B445">
        <v>2025</v>
      </c>
      <c r="C445" t="s">
        <v>78</v>
      </c>
      <c r="D445" t="s">
        <v>50</v>
      </c>
      <c r="E445">
        <v>1.43985106273377E-3</v>
      </c>
      <c r="F445">
        <v>1.43985106273377E-3</v>
      </c>
      <c r="G445">
        <v>0</v>
      </c>
      <c r="H445">
        <v>0</v>
      </c>
      <c r="I445" t="s">
        <v>79</v>
      </c>
    </row>
    <row r="446" spans="1:9" x14ac:dyDescent="0.35">
      <c r="A446" t="s">
        <v>21</v>
      </c>
      <c r="B446">
        <v>2025</v>
      </c>
      <c r="C446" t="s">
        <v>78</v>
      </c>
      <c r="D446" t="s">
        <v>51</v>
      </c>
      <c r="E446">
        <v>2.2941961967353101E-2</v>
      </c>
      <c r="F446">
        <v>2.2941961967353101E-2</v>
      </c>
      <c r="G446">
        <v>0</v>
      </c>
      <c r="H446">
        <v>0</v>
      </c>
      <c r="I446" t="s">
        <v>79</v>
      </c>
    </row>
    <row r="447" spans="1:9" x14ac:dyDescent="0.35">
      <c r="A447" t="s">
        <v>21</v>
      </c>
      <c r="B447">
        <v>2025</v>
      </c>
      <c r="C447" t="s">
        <v>78</v>
      </c>
      <c r="D447" t="s">
        <v>52</v>
      </c>
      <c r="E447">
        <v>1.23976052539518E-3</v>
      </c>
      <c r="F447">
        <v>1.23976052539518E-3</v>
      </c>
      <c r="G447">
        <v>0</v>
      </c>
      <c r="H447">
        <v>0</v>
      </c>
      <c r="I447" t="s">
        <v>79</v>
      </c>
    </row>
    <row r="448" spans="1:9" x14ac:dyDescent="0.35">
      <c r="A448" t="s">
        <v>21</v>
      </c>
      <c r="B448">
        <v>2025</v>
      </c>
      <c r="C448" t="s">
        <v>78</v>
      </c>
      <c r="D448" t="s">
        <v>53</v>
      </c>
      <c r="E448">
        <v>4.9855606108691296E-3</v>
      </c>
      <c r="F448">
        <v>4.9855606108691296E-3</v>
      </c>
      <c r="G448">
        <v>0</v>
      </c>
      <c r="H448">
        <v>0</v>
      </c>
      <c r="I448" t="s">
        <v>79</v>
      </c>
    </row>
    <row r="449" spans="1:9" x14ac:dyDescent="0.35">
      <c r="A449" t="s">
        <v>21</v>
      </c>
      <c r="B449">
        <v>2025</v>
      </c>
      <c r="C449" t="s">
        <v>78</v>
      </c>
      <c r="D449" t="s">
        <v>54</v>
      </c>
      <c r="E449">
        <v>1.9643387511244E-3</v>
      </c>
      <c r="F449">
        <v>1.9643387511244E-3</v>
      </c>
      <c r="G449">
        <v>0</v>
      </c>
      <c r="H449">
        <v>0</v>
      </c>
      <c r="I449" t="s">
        <v>79</v>
      </c>
    </row>
    <row r="450" spans="1:9" x14ac:dyDescent="0.35">
      <c r="A450" t="s">
        <v>21</v>
      </c>
      <c r="B450">
        <v>2025</v>
      </c>
      <c r="C450" t="s">
        <v>78</v>
      </c>
      <c r="D450" t="s">
        <v>55</v>
      </c>
      <c r="E450">
        <v>1.8009250278600299E-3</v>
      </c>
      <c r="F450">
        <v>1.8009250278600299E-3</v>
      </c>
      <c r="G450">
        <v>0</v>
      </c>
      <c r="H450">
        <v>0</v>
      </c>
      <c r="I450" t="s">
        <v>79</v>
      </c>
    </row>
    <row r="451" spans="1:9" x14ac:dyDescent="0.35">
      <c r="A451" t="s">
        <v>21</v>
      </c>
      <c r="B451">
        <v>2025</v>
      </c>
      <c r="C451" t="s">
        <v>78</v>
      </c>
      <c r="D451" t="s">
        <v>56</v>
      </c>
      <c r="E451" s="1">
        <v>1.7667417998560999E-9</v>
      </c>
      <c r="F451" s="1">
        <v>1.7667417998560999E-9</v>
      </c>
      <c r="G451">
        <v>0</v>
      </c>
      <c r="H451">
        <v>0</v>
      </c>
      <c r="I451" t="s">
        <v>79</v>
      </c>
    </row>
    <row r="452" spans="1:9" x14ac:dyDescent="0.35">
      <c r="A452" t="s">
        <v>23</v>
      </c>
      <c r="B452">
        <v>2030</v>
      </c>
      <c r="C452" t="s">
        <v>78</v>
      </c>
      <c r="D452" t="s">
        <v>38</v>
      </c>
      <c r="E452" s="1">
        <v>1.33021622978616E-5</v>
      </c>
      <c r="F452" s="1">
        <v>1.33021547445039E-5</v>
      </c>
      <c r="G452" s="1">
        <v>-7.5533576907661993E-12</v>
      </c>
      <c r="H452" s="1">
        <v>-5.67829313883836E-5</v>
      </c>
      <c r="I452" t="s">
        <v>79</v>
      </c>
    </row>
    <row r="453" spans="1:9" x14ac:dyDescent="0.35">
      <c r="A453" t="s">
        <v>23</v>
      </c>
      <c r="B453">
        <v>2030</v>
      </c>
      <c r="C453" t="s">
        <v>78</v>
      </c>
      <c r="D453" t="s">
        <v>40</v>
      </c>
      <c r="E453" s="1">
        <v>7.7874515007335098E-5</v>
      </c>
      <c r="F453" s="1">
        <v>7.7874515007335098E-5</v>
      </c>
      <c r="G453">
        <v>0</v>
      </c>
      <c r="H453">
        <v>0</v>
      </c>
      <c r="I453" t="s">
        <v>79</v>
      </c>
    </row>
    <row r="454" spans="1:9" x14ac:dyDescent="0.35">
      <c r="A454" t="s">
        <v>23</v>
      </c>
      <c r="B454">
        <v>2030</v>
      </c>
      <c r="C454" t="s">
        <v>78</v>
      </c>
      <c r="D454" t="s">
        <v>41</v>
      </c>
      <c r="E454">
        <v>3.10864266589862E-4</v>
      </c>
      <c r="F454">
        <v>3.10864266589862E-4</v>
      </c>
      <c r="G454">
        <v>0</v>
      </c>
      <c r="H454">
        <v>0</v>
      </c>
      <c r="I454" t="s">
        <v>79</v>
      </c>
    </row>
    <row r="455" spans="1:9" x14ac:dyDescent="0.35">
      <c r="A455" t="s">
        <v>23</v>
      </c>
      <c r="B455">
        <v>2030</v>
      </c>
      <c r="C455" t="s">
        <v>78</v>
      </c>
      <c r="D455" t="s">
        <v>42</v>
      </c>
      <c r="E455">
        <v>1.37326413630389E-2</v>
      </c>
      <c r="F455">
        <v>1.3732641335751999E-2</v>
      </c>
      <c r="G455" s="1">
        <v>-2.72868949657834E-11</v>
      </c>
      <c r="H455" s="1">
        <v>-1.9870099454592399E-7</v>
      </c>
      <c r="I455" t="s">
        <v>79</v>
      </c>
    </row>
    <row r="456" spans="1:9" x14ac:dyDescent="0.35">
      <c r="A456" t="s">
        <v>23</v>
      </c>
      <c r="B456">
        <v>2030</v>
      </c>
      <c r="C456" t="s">
        <v>78</v>
      </c>
      <c r="D456" t="s">
        <v>43</v>
      </c>
      <c r="E456">
        <v>1.049586155492E-4</v>
      </c>
      <c r="F456">
        <v>1.049586155492E-4</v>
      </c>
      <c r="G456">
        <v>0</v>
      </c>
      <c r="H456">
        <v>0</v>
      </c>
      <c r="I456" t="s">
        <v>79</v>
      </c>
    </row>
    <row r="457" spans="1:9" x14ac:dyDescent="0.35">
      <c r="A457" t="s">
        <v>23</v>
      </c>
      <c r="B457">
        <v>2030</v>
      </c>
      <c r="C457" t="s">
        <v>78</v>
      </c>
      <c r="D457" t="s">
        <v>136</v>
      </c>
      <c r="E457">
        <v>1.6396918216874098E-2</v>
      </c>
      <c r="F457">
        <v>1.6396918216874098E-2</v>
      </c>
      <c r="G457">
        <v>0</v>
      </c>
      <c r="H457">
        <v>0</v>
      </c>
      <c r="I457" t="s">
        <v>79</v>
      </c>
    </row>
    <row r="458" spans="1:9" x14ac:dyDescent="0.35">
      <c r="A458" t="s">
        <v>23</v>
      </c>
      <c r="B458">
        <v>2030</v>
      </c>
      <c r="C458" t="s">
        <v>78</v>
      </c>
      <c r="D458" t="s">
        <v>45</v>
      </c>
      <c r="E458">
        <v>1.06013414816588E-4</v>
      </c>
      <c r="F458">
        <v>1.05928790081838E-4</v>
      </c>
      <c r="G458" s="1">
        <v>-8.4624734750091806E-8</v>
      </c>
      <c r="H458">
        <v>-7.9824553238379503E-2</v>
      </c>
      <c r="I458" t="s">
        <v>79</v>
      </c>
    </row>
    <row r="459" spans="1:9" x14ac:dyDescent="0.35">
      <c r="A459" t="s">
        <v>23</v>
      </c>
      <c r="B459">
        <v>2030</v>
      </c>
      <c r="C459" t="s">
        <v>78</v>
      </c>
      <c r="D459" t="s">
        <v>46</v>
      </c>
      <c r="E459">
        <v>1.9553051936748202E-3</v>
      </c>
      <c r="F459">
        <v>1.9553051936748202E-3</v>
      </c>
      <c r="G459">
        <v>0</v>
      </c>
      <c r="H459">
        <v>0</v>
      </c>
      <c r="I459" t="s">
        <v>79</v>
      </c>
    </row>
    <row r="460" spans="1:9" x14ac:dyDescent="0.35">
      <c r="A460" t="s">
        <v>23</v>
      </c>
      <c r="B460">
        <v>2030</v>
      </c>
      <c r="C460" t="s">
        <v>78</v>
      </c>
      <c r="D460" t="s">
        <v>47</v>
      </c>
      <c r="E460" s="1">
        <v>6.5695949667305298E-6</v>
      </c>
      <c r="F460" s="1">
        <v>6.5695949667305298E-6</v>
      </c>
      <c r="G460">
        <v>0</v>
      </c>
      <c r="H460">
        <v>0</v>
      </c>
      <c r="I460" t="s">
        <v>79</v>
      </c>
    </row>
    <row r="461" spans="1:9" x14ac:dyDescent="0.35">
      <c r="A461" t="s">
        <v>23</v>
      </c>
      <c r="B461">
        <v>2030</v>
      </c>
      <c r="C461" t="s">
        <v>78</v>
      </c>
      <c r="D461" t="s">
        <v>48</v>
      </c>
      <c r="E461">
        <v>46.972601733568098</v>
      </c>
      <c r="F461">
        <v>46.972601733568098</v>
      </c>
      <c r="G461">
        <v>0</v>
      </c>
      <c r="H461">
        <v>0</v>
      </c>
      <c r="I461" t="s">
        <v>79</v>
      </c>
    </row>
    <row r="462" spans="1:9" x14ac:dyDescent="0.35">
      <c r="A462" t="s">
        <v>23</v>
      </c>
      <c r="B462">
        <v>2030</v>
      </c>
      <c r="C462" t="s">
        <v>78</v>
      </c>
      <c r="D462" t="s">
        <v>49</v>
      </c>
      <c r="E462">
        <v>2.6795922347240601E-4</v>
      </c>
      <c r="F462">
        <v>2.6795922347240601E-4</v>
      </c>
      <c r="G462">
        <v>0</v>
      </c>
      <c r="H462">
        <v>0</v>
      </c>
      <c r="I462" t="s">
        <v>79</v>
      </c>
    </row>
    <row r="463" spans="1:9" x14ac:dyDescent="0.35">
      <c r="A463" t="s">
        <v>23</v>
      </c>
      <c r="B463">
        <v>2030</v>
      </c>
      <c r="C463" t="s">
        <v>78</v>
      </c>
      <c r="D463" t="s">
        <v>50</v>
      </c>
      <c r="E463">
        <v>1.4605629494163399E-3</v>
      </c>
      <c r="F463">
        <v>1.4605629494163399E-3</v>
      </c>
      <c r="G463">
        <v>0</v>
      </c>
      <c r="H463">
        <v>0</v>
      </c>
      <c r="I463" t="s">
        <v>79</v>
      </c>
    </row>
    <row r="464" spans="1:9" x14ac:dyDescent="0.35">
      <c r="A464" t="s">
        <v>23</v>
      </c>
      <c r="B464">
        <v>2030</v>
      </c>
      <c r="C464" t="s">
        <v>78</v>
      </c>
      <c r="D464" t="s">
        <v>51</v>
      </c>
      <c r="E464">
        <v>2.2943482840665701E-2</v>
      </c>
      <c r="F464">
        <v>2.2943482840665701E-2</v>
      </c>
      <c r="G464">
        <v>0</v>
      </c>
      <c r="H464">
        <v>0</v>
      </c>
      <c r="I464" t="s">
        <v>79</v>
      </c>
    </row>
    <row r="465" spans="1:9" x14ac:dyDescent="0.35">
      <c r="A465" t="s">
        <v>23</v>
      </c>
      <c r="B465">
        <v>2030</v>
      </c>
      <c r="C465" t="s">
        <v>78</v>
      </c>
      <c r="D465" t="s">
        <v>52</v>
      </c>
      <c r="E465">
        <v>1.1094577545260301E-3</v>
      </c>
      <c r="F465">
        <v>1.1094577545260301E-3</v>
      </c>
      <c r="G465">
        <v>0</v>
      </c>
      <c r="H465">
        <v>0</v>
      </c>
      <c r="I465" t="s">
        <v>79</v>
      </c>
    </row>
    <row r="466" spans="1:9" x14ac:dyDescent="0.35">
      <c r="A466" t="s">
        <v>23</v>
      </c>
      <c r="B466">
        <v>2030</v>
      </c>
      <c r="C466" t="s">
        <v>78</v>
      </c>
      <c r="D466" t="s">
        <v>53</v>
      </c>
      <c r="E466">
        <v>4.9385842355909801E-3</v>
      </c>
      <c r="F466">
        <v>4.9385842355909801E-3</v>
      </c>
      <c r="G466">
        <v>0</v>
      </c>
      <c r="H466">
        <v>0</v>
      </c>
      <c r="I466" t="s">
        <v>79</v>
      </c>
    </row>
    <row r="467" spans="1:9" x14ac:dyDescent="0.35">
      <c r="A467" t="s">
        <v>23</v>
      </c>
      <c r="B467">
        <v>2030</v>
      </c>
      <c r="C467" t="s">
        <v>78</v>
      </c>
      <c r="D467" t="s">
        <v>54</v>
      </c>
      <c r="E467">
        <v>1.9756061074869902E-3</v>
      </c>
      <c r="F467">
        <v>1.9756061056101799E-3</v>
      </c>
      <c r="G467" s="1">
        <v>-1.8768146758940601E-12</v>
      </c>
      <c r="H467" s="1">
        <v>-9.4999436819994606E-8</v>
      </c>
      <c r="I467" t="s">
        <v>79</v>
      </c>
    </row>
    <row r="468" spans="1:9" x14ac:dyDescent="0.35">
      <c r="A468" t="s">
        <v>23</v>
      </c>
      <c r="B468">
        <v>2030</v>
      </c>
      <c r="C468" t="s">
        <v>78</v>
      </c>
      <c r="D468" t="s">
        <v>55</v>
      </c>
      <c r="E468">
        <v>1.8089583342793601E-3</v>
      </c>
      <c r="F468">
        <v>1.80895765469472E-3</v>
      </c>
      <c r="G468" s="1">
        <v>-6.7958464181581896E-10</v>
      </c>
      <c r="H468" s="1">
        <v>-3.7567733260509103E-5</v>
      </c>
      <c r="I468" t="s">
        <v>79</v>
      </c>
    </row>
    <row r="469" spans="1:9" x14ac:dyDescent="0.35">
      <c r="A469" t="s">
        <v>23</v>
      </c>
      <c r="B469">
        <v>2030</v>
      </c>
      <c r="C469" t="s">
        <v>78</v>
      </c>
      <c r="D469" t="s">
        <v>56</v>
      </c>
      <c r="E469" s="1">
        <v>1.71725263259108E-9</v>
      </c>
      <c r="F469" s="1">
        <v>1.71725263259108E-9</v>
      </c>
      <c r="G469">
        <v>0</v>
      </c>
      <c r="H469">
        <v>0</v>
      </c>
      <c r="I469" t="s">
        <v>79</v>
      </c>
    </row>
    <row r="470" spans="1:9" x14ac:dyDescent="0.35">
      <c r="A470" t="s">
        <v>25</v>
      </c>
      <c r="B470">
        <v>2035</v>
      </c>
      <c r="C470" t="s">
        <v>78</v>
      </c>
      <c r="D470" t="s">
        <v>38</v>
      </c>
      <c r="E470" s="1">
        <v>2.0242068350638999E-5</v>
      </c>
      <c r="F470" s="1">
        <v>2.0242066440851099E-5</v>
      </c>
      <c r="G470" s="1">
        <v>-1.90978786943269E-12</v>
      </c>
      <c r="H470" s="1">
        <v>-9.4347466689213295E-6</v>
      </c>
      <c r="I470" t="s">
        <v>79</v>
      </c>
    </row>
    <row r="471" spans="1:9" x14ac:dyDescent="0.35">
      <c r="A471" t="s">
        <v>25</v>
      </c>
      <c r="B471">
        <v>2035</v>
      </c>
      <c r="C471" t="s">
        <v>78</v>
      </c>
      <c r="D471" t="s">
        <v>40</v>
      </c>
      <c r="E471" s="1">
        <v>7.7800709239786103E-5</v>
      </c>
      <c r="F471" s="1">
        <v>7.7800709239786103E-5</v>
      </c>
      <c r="G471">
        <v>0</v>
      </c>
      <c r="H471">
        <v>0</v>
      </c>
      <c r="I471" t="s">
        <v>79</v>
      </c>
    </row>
    <row r="472" spans="1:9" x14ac:dyDescent="0.35">
      <c r="A472" t="s">
        <v>25</v>
      </c>
      <c r="B472">
        <v>2035</v>
      </c>
      <c r="C472" t="s">
        <v>78</v>
      </c>
      <c r="D472" t="s">
        <v>41</v>
      </c>
      <c r="E472">
        <v>3.1058081399720902E-4</v>
      </c>
      <c r="F472">
        <v>3.1058081399720902E-4</v>
      </c>
      <c r="G472">
        <v>0</v>
      </c>
      <c r="H472">
        <v>0</v>
      </c>
      <c r="I472" t="s">
        <v>79</v>
      </c>
    </row>
    <row r="473" spans="1:9" x14ac:dyDescent="0.35">
      <c r="A473" t="s">
        <v>25</v>
      </c>
      <c r="B473">
        <v>2035</v>
      </c>
      <c r="C473" t="s">
        <v>78</v>
      </c>
      <c r="D473" t="s">
        <v>42</v>
      </c>
      <c r="E473">
        <v>1.4035116524352499E-2</v>
      </c>
      <c r="F473">
        <v>1.4035116517453299E-2</v>
      </c>
      <c r="G473" s="1">
        <v>-6.8992069002238302E-12</v>
      </c>
      <c r="H473" s="1">
        <v>-4.91567482767451E-8</v>
      </c>
      <c r="I473" t="s">
        <v>79</v>
      </c>
    </row>
    <row r="474" spans="1:9" x14ac:dyDescent="0.35">
      <c r="A474" t="s">
        <v>25</v>
      </c>
      <c r="B474">
        <v>2035</v>
      </c>
      <c r="C474" t="s">
        <v>78</v>
      </c>
      <c r="D474" t="s">
        <v>43</v>
      </c>
      <c r="E474">
        <v>1.06007674663002E-4</v>
      </c>
      <c r="F474">
        <v>1.06007674663002E-4</v>
      </c>
      <c r="G474">
        <v>0</v>
      </c>
      <c r="H474">
        <v>0</v>
      </c>
      <c r="I474" t="s">
        <v>79</v>
      </c>
    </row>
    <row r="475" spans="1:9" x14ac:dyDescent="0.35">
      <c r="A475" t="s">
        <v>25</v>
      </c>
      <c r="B475">
        <v>2035</v>
      </c>
      <c r="C475" t="s">
        <v>78</v>
      </c>
      <c r="D475" t="s">
        <v>136</v>
      </c>
      <c r="E475">
        <v>1.6573999906122301E-2</v>
      </c>
      <c r="F475">
        <v>1.6573999906122301E-2</v>
      </c>
      <c r="G475">
        <v>0</v>
      </c>
      <c r="H475">
        <v>0</v>
      </c>
      <c r="I475" t="s">
        <v>79</v>
      </c>
    </row>
    <row r="476" spans="1:9" x14ac:dyDescent="0.35">
      <c r="A476" t="s">
        <v>25</v>
      </c>
      <c r="B476">
        <v>2035</v>
      </c>
      <c r="C476" t="s">
        <v>78</v>
      </c>
      <c r="D476" t="s">
        <v>45</v>
      </c>
      <c r="E476">
        <v>1.04980181611145E-4</v>
      </c>
      <c r="F476">
        <v>1.04958785135327E-4</v>
      </c>
      <c r="G476" s="1">
        <v>-2.13964758177581E-8</v>
      </c>
      <c r="H476">
        <v>-2.0381442944166599E-2</v>
      </c>
      <c r="I476" t="s">
        <v>79</v>
      </c>
    </row>
    <row r="477" spans="1:9" x14ac:dyDescent="0.35">
      <c r="A477" t="s">
        <v>25</v>
      </c>
      <c r="B477">
        <v>2035</v>
      </c>
      <c r="C477" t="s">
        <v>78</v>
      </c>
      <c r="D477" t="s">
        <v>46</v>
      </c>
      <c r="E477">
        <v>2.3409169560114902E-3</v>
      </c>
      <c r="F477">
        <v>2.3409169560114902E-3</v>
      </c>
      <c r="G477">
        <v>0</v>
      </c>
      <c r="H477">
        <v>0</v>
      </c>
      <c r="I477" t="s">
        <v>79</v>
      </c>
    </row>
    <row r="478" spans="1:9" x14ac:dyDescent="0.35">
      <c r="A478" t="s">
        <v>25</v>
      </c>
      <c r="B478">
        <v>2035</v>
      </c>
      <c r="C478" t="s">
        <v>78</v>
      </c>
      <c r="D478" t="s">
        <v>47</v>
      </c>
      <c r="E478" s="1">
        <v>7.1023555458971103E-6</v>
      </c>
      <c r="F478" s="1">
        <v>7.1023555458971103E-6</v>
      </c>
      <c r="G478">
        <v>0</v>
      </c>
      <c r="H478">
        <v>0</v>
      </c>
      <c r="I478" t="s">
        <v>79</v>
      </c>
    </row>
    <row r="479" spans="1:9" x14ac:dyDescent="0.35">
      <c r="A479" t="s">
        <v>25</v>
      </c>
      <c r="B479">
        <v>2035</v>
      </c>
      <c r="C479" t="s">
        <v>78</v>
      </c>
      <c r="D479" t="s">
        <v>48</v>
      </c>
      <c r="E479">
        <v>46.972599442311697</v>
      </c>
      <c r="F479">
        <v>46.972599442311697</v>
      </c>
      <c r="G479">
        <v>0</v>
      </c>
      <c r="H479">
        <v>0</v>
      </c>
      <c r="I479" t="s">
        <v>79</v>
      </c>
    </row>
    <row r="480" spans="1:9" x14ac:dyDescent="0.35">
      <c r="A480" t="s">
        <v>25</v>
      </c>
      <c r="B480">
        <v>2035</v>
      </c>
      <c r="C480" t="s">
        <v>78</v>
      </c>
      <c r="D480" t="s">
        <v>49</v>
      </c>
      <c r="E480">
        <v>2.6757340757429198E-4</v>
      </c>
      <c r="F480">
        <v>2.6757340757429198E-4</v>
      </c>
      <c r="G480">
        <v>0</v>
      </c>
      <c r="H480">
        <v>0</v>
      </c>
      <c r="I480" t="s">
        <v>79</v>
      </c>
    </row>
    <row r="481" spans="1:9" x14ac:dyDescent="0.35">
      <c r="A481" t="s">
        <v>25</v>
      </c>
      <c r="B481">
        <v>2035</v>
      </c>
      <c r="C481" t="s">
        <v>78</v>
      </c>
      <c r="D481" t="s">
        <v>50</v>
      </c>
      <c r="E481">
        <v>1.47724578773857E-3</v>
      </c>
      <c r="F481">
        <v>1.47724578773857E-3</v>
      </c>
      <c r="G481">
        <v>0</v>
      </c>
      <c r="H481">
        <v>0</v>
      </c>
      <c r="I481" t="s">
        <v>79</v>
      </c>
    </row>
    <row r="482" spans="1:9" x14ac:dyDescent="0.35">
      <c r="A482" t="s">
        <v>25</v>
      </c>
      <c r="B482">
        <v>2035</v>
      </c>
      <c r="C482" t="s">
        <v>78</v>
      </c>
      <c r="D482" t="s">
        <v>51</v>
      </c>
      <c r="E482">
        <v>2.2948336464995899E-2</v>
      </c>
      <c r="F482">
        <v>2.2948336464995899E-2</v>
      </c>
      <c r="G482">
        <v>0</v>
      </c>
      <c r="H482">
        <v>0</v>
      </c>
      <c r="I482" t="s">
        <v>79</v>
      </c>
    </row>
    <row r="483" spans="1:9" x14ac:dyDescent="0.35">
      <c r="A483" t="s">
        <v>25</v>
      </c>
      <c r="B483">
        <v>2035</v>
      </c>
      <c r="C483" t="s">
        <v>78</v>
      </c>
      <c r="D483" t="s">
        <v>52</v>
      </c>
      <c r="E483">
        <v>9.8538593343569601E-4</v>
      </c>
      <c r="F483">
        <v>9.8538593343569601E-4</v>
      </c>
      <c r="G483">
        <v>0</v>
      </c>
      <c r="H483">
        <v>0</v>
      </c>
      <c r="I483" t="s">
        <v>79</v>
      </c>
    </row>
    <row r="484" spans="1:9" x14ac:dyDescent="0.35">
      <c r="A484" t="s">
        <v>25</v>
      </c>
      <c r="B484">
        <v>2035</v>
      </c>
      <c r="C484" t="s">
        <v>78</v>
      </c>
      <c r="D484" t="s">
        <v>53</v>
      </c>
      <c r="E484">
        <v>4.9989272556927302E-3</v>
      </c>
      <c r="F484">
        <v>4.9989272556927302E-3</v>
      </c>
      <c r="G484">
        <v>0</v>
      </c>
      <c r="H484">
        <v>0</v>
      </c>
      <c r="I484" t="s">
        <v>79</v>
      </c>
    </row>
    <row r="485" spans="1:9" x14ac:dyDescent="0.35">
      <c r="A485" t="s">
        <v>25</v>
      </c>
      <c r="B485">
        <v>2035</v>
      </c>
      <c r="C485" t="s">
        <v>78</v>
      </c>
      <c r="D485" t="s">
        <v>54</v>
      </c>
      <c r="E485">
        <v>1.98937953594299E-3</v>
      </c>
      <c r="F485">
        <v>1.9893795354684598E-3</v>
      </c>
      <c r="G485" s="1">
        <v>-4.7453317317258598E-13</v>
      </c>
      <c r="H485" s="1">
        <v>-2.3853325350893801E-8</v>
      </c>
      <c r="I485" t="s">
        <v>79</v>
      </c>
    </row>
    <row r="486" spans="1:9" x14ac:dyDescent="0.35">
      <c r="A486" t="s">
        <v>25</v>
      </c>
      <c r="B486">
        <v>2035</v>
      </c>
      <c r="C486" t="s">
        <v>78</v>
      </c>
      <c r="D486" t="s">
        <v>55</v>
      </c>
      <c r="E486">
        <v>1.82025785830407E-3</v>
      </c>
      <c r="F486">
        <v>1.8202576864781699E-3</v>
      </c>
      <c r="G486" s="1">
        <v>-1.7182590268151301E-10</v>
      </c>
      <c r="H486" s="1">
        <v>-9.4396462510867806E-6</v>
      </c>
      <c r="I486" t="s">
        <v>79</v>
      </c>
    </row>
    <row r="487" spans="1:9" x14ac:dyDescent="0.35">
      <c r="A487" t="s">
        <v>25</v>
      </c>
      <c r="B487">
        <v>2035</v>
      </c>
      <c r="C487" t="s">
        <v>78</v>
      </c>
      <c r="D487" t="s">
        <v>56</v>
      </c>
      <c r="E487" s="1">
        <v>1.68580871519354E-9</v>
      </c>
      <c r="F487" s="1">
        <v>1.68580871519354E-9</v>
      </c>
      <c r="G487">
        <v>0</v>
      </c>
      <c r="H487">
        <v>0</v>
      </c>
      <c r="I487" t="s">
        <v>79</v>
      </c>
    </row>
    <row r="488" spans="1:9" x14ac:dyDescent="0.35">
      <c r="A488" t="s">
        <v>27</v>
      </c>
      <c r="B488">
        <v>2040</v>
      </c>
      <c r="C488" t="s">
        <v>78</v>
      </c>
      <c r="D488" t="s">
        <v>38</v>
      </c>
      <c r="E488" s="1">
        <v>1.72549047302707E-5</v>
      </c>
      <c r="F488" s="1">
        <v>1.72548952671298E-5</v>
      </c>
      <c r="G488" s="1">
        <v>-9.4631409133761496E-12</v>
      </c>
      <c r="H488" s="1">
        <v>-5.4843194218132797E-5</v>
      </c>
      <c r="I488" t="s">
        <v>79</v>
      </c>
    </row>
    <row r="489" spans="1:9" x14ac:dyDescent="0.35">
      <c r="A489" t="s">
        <v>27</v>
      </c>
      <c r="B489">
        <v>2040</v>
      </c>
      <c r="C489" t="s">
        <v>78</v>
      </c>
      <c r="D489" t="s">
        <v>40</v>
      </c>
      <c r="E489" s="1">
        <v>7.7733864830731398E-5</v>
      </c>
      <c r="F489" s="1">
        <v>7.7733864830731398E-5</v>
      </c>
      <c r="G489">
        <v>0</v>
      </c>
      <c r="H489">
        <v>0</v>
      </c>
      <c r="I489" t="s">
        <v>79</v>
      </c>
    </row>
    <row r="490" spans="1:9" x14ac:dyDescent="0.35">
      <c r="A490" t="s">
        <v>27</v>
      </c>
      <c r="B490">
        <v>2040</v>
      </c>
      <c r="C490" t="s">
        <v>78</v>
      </c>
      <c r="D490" t="s">
        <v>41</v>
      </c>
      <c r="E490">
        <v>3.1056216060629802E-4</v>
      </c>
      <c r="F490">
        <v>3.1056216060629802E-4</v>
      </c>
      <c r="G490">
        <v>0</v>
      </c>
      <c r="H490">
        <v>0</v>
      </c>
      <c r="I490" t="s">
        <v>79</v>
      </c>
    </row>
    <row r="491" spans="1:9" x14ac:dyDescent="0.35">
      <c r="A491" t="s">
        <v>27</v>
      </c>
      <c r="B491">
        <v>2040</v>
      </c>
      <c r="C491" t="s">
        <v>78</v>
      </c>
      <c r="D491" t="s">
        <v>42</v>
      </c>
      <c r="E491">
        <v>1.4410467965044501E-2</v>
      </c>
      <c r="F491">
        <v>1.44104679308584E-2</v>
      </c>
      <c r="G491" s="1">
        <v>-3.4186087988219401E-11</v>
      </c>
      <c r="H491" s="1">
        <v>-2.3723093567221E-7</v>
      </c>
      <c r="I491" t="s">
        <v>79</v>
      </c>
    </row>
    <row r="492" spans="1:9" x14ac:dyDescent="0.35">
      <c r="A492" t="s">
        <v>27</v>
      </c>
      <c r="B492">
        <v>2040</v>
      </c>
      <c r="C492" t="s">
        <v>78</v>
      </c>
      <c r="D492" t="s">
        <v>43</v>
      </c>
      <c r="E492">
        <v>1.05677238108454E-4</v>
      </c>
      <c r="F492">
        <v>1.05677238108454E-4</v>
      </c>
      <c r="G492">
        <v>0</v>
      </c>
      <c r="H492">
        <v>0</v>
      </c>
      <c r="I492" t="s">
        <v>79</v>
      </c>
    </row>
    <row r="493" spans="1:9" x14ac:dyDescent="0.35">
      <c r="A493" t="s">
        <v>27</v>
      </c>
      <c r="B493">
        <v>2040</v>
      </c>
      <c r="C493" t="s">
        <v>78</v>
      </c>
      <c r="D493" t="s">
        <v>136</v>
      </c>
      <c r="E493">
        <v>1.6970765417376899E-2</v>
      </c>
      <c r="F493">
        <v>1.6970765417376899E-2</v>
      </c>
      <c r="G493">
        <v>0</v>
      </c>
      <c r="H493">
        <v>0</v>
      </c>
      <c r="I493" t="s">
        <v>79</v>
      </c>
    </row>
    <row r="494" spans="1:9" x14ac:dyDescent="0.35">
      <c r="A494" t="s">
        <v>27</v>
      </c>
      <c r="B494">
        <v>2040</v>
      </c>
      <c r="C494" t="s">
        <v>78</v>
      </c>
      <c r="D494" t="s">
        <v>45</v>
      </c>
      <c r="E494">
        <v>1.04349609702681E-4</v>
      </c>
      <c r="F494">
        <v>1.04243588538158E-4</v>
      </c>
      <c r="G494" s="1">
        <v>-1.0602116452205401E-7</v>
      </c>
      <c r="H494">
        <v>-0.10160187932100199</v>
      </c>
      <c r="I494" t="s">
        <v>79</v>
      </c>
    </row>
    <row r="495" spans="1:9" x14ac:dyDescent="0.35">
      <c r="A495" t="s">
        <v>27</v>
      </c>
      <c r="B495">
        <v>2040</v>
      </c>
      <c r="C495" t="s">
        <v>78</v>
      </c>
      <c r="D495" t="s">
        <v>46</v>
      </c>
      <c r="E495">
        <v>2.6060501537761801E-3</v>
      </c>
      <c r="F495">
        <v>2.6060501537761801E-3</v>
      </c>
      <c r="G495">
        <v>0</v>
      </c>
      <c r="H495">
        <v>0</v>
      </c>
      <c r="I495" t="s">
        <v>79</v>
      </c>
    </row>
    <row r="496" spans="1:9" x14ac:dyDescent="0.35">
      <c r="A496" t="s">
        <v>27</v>
      </c>
      <c r="B496">
        <v>2040</v>
      </c>
      <c r="C496" t="s">
        <v>78</v>
      </c>
      <c r="D496" t="s">
        <v>47</v>
      </c>
      <c r="E496" s="1">
        <v>7.7352671084151994E-6</v>
      </c>
      <c r="F496" s="1">
        <v>7.7352671084151994E-6</v>
      </c>
      <c r="G496">
        <v>0</v>
      </c>
      <c r="H496">
        <v>0</v>
      </c>
      <c r="I496" t="s">
        <v>79</v>
      </c>
    </row>
    <row r="497" spans="1:9" x14ac:dyDescent="0.35">
      <c r="A497" t="s">
        <v>27</v>
      </c>
      <c r="B497">
        <v>2040</v>
      </c>
      <c r="C497" t="s">
        <v>78</v>
      </c>
      <c r="D497" t="s">
        <v>48</v>
      </c>
      <c r="E497">
        <v>46.9725991306846</v>
      </c>
      <c r="F497">
        <v>46.9725991306846</v>
      </c>
      <c r="G497">
        <v>0</v>
      </c>
      <c r="H497">
        <v>0</v>
      </c>
      <c r="I497" t="s">
        <v>79</v>
      </c>
    </row>
    <row r="498" spans="1:9" x14ac:dyDescent="0.35">
      <c r="A498" t="s">
        <v>27</v>
      </c>
      <c r="B498">
        <v>2040</v>
      </c>
      <c r="C498" t="s">
        <v>78</v>
      </c>
      <c r="D498" t="s">
        <v>49</v>
      </c>
      <c r="E498">
        <v>2.6687951734981699E-4</v>
      </c>
      <c r="F498">
        <v>2.6687951734981699E-4</v>
      </c>
      <c r="G498">
        <v>0</v>
      </c>
      <c r="H498">
        <v>0</v>
      </c>
      <c r="I498" t="s">
        <v>79</v>
      </c>
    </row>
    <row r="499" spans="1:9" x14ac:dyDescent="0.35">
      <c r="A499" t="s">
        <v>27</v>
      </c>
      <c r="B499">
        <v>2040</v>
      </c>
      <c r="C499" t="s">
        <v>78</v>
      </c>
      <c r="D499" t="s">
        <v>50</v>
      </c>
      <c r="E499">
        <v>1.4717543942965601E-3</v>
      </c>
      <c r="F499">
        <v>1.4717543942965601E-3</v>
      </c>
      <c r="G499">
        <v>0</v>
      </c>
      <c r="H499">
        <v>0</v>
      </c>
      <c r="I499" t="s">
        <v>79</v>
      </c>
    </row>
    <row r="500" spans="1:9" x14ac:dyDescent="0.35">
      <c r="A500" t="s">
        <v>27</v>
      </c>
      <c r="B500">
        <v>2040</v>
      </c>
      <c r="C500" t="s">
        <v>78</v>
      </c>
      <c r="D500" t="s">
        <v>51</v>
      </c>
      <c r="E500">
        <v>2.29568564294057E-2</v>
      </c>
      <c r="F500">
        <v>2.29568564294057E-2</v>
      </c>
      <c r="G500">
        <v>0</v>
      </c>
      <c r="H500">
        <v>0</v>
      </c>
      <c r="I500" t="s">
        <v>79</v>
      </c>
    </row>
    <row r="501" spans="1:9" x14ac:dyDescent="0.35">
      <c r="A501" t="s">
        <v>27</v>
      </c>
      <c r="B501">
        <v>2040</v>
      </c>
      <c r="C501" t="s">
        <v>78</v>
      </c>
      <c r="D501" t="s">
        <v>52</v>
      </c>
      <c r="E501">
        <v>8.8733952637212699E-4</v>
      </c>
      <c r="F501">
        <v>8.8733952637212699E-4</v>
      </c>
      <c r="G501">
        <v>0</v>
      </c>
      <c r="H501">
        <v>0</v>
      </c>
      <c r="I501" t="s">
        <v>79</v>
      </c>
    </row>
    <row r="502" spans="1:9" x14ac:dyDescent="0.35">
      <c r="A502" t="s">
        <v>27</v>
      </c>
      <c r="B502">
        <v>2040</v>
      </c>
      <c r="C502" t="s">
        <v>78</v>
      </c>
      <c r="D502" t="s">
        <v>53</v>
      </c>
      <c r="E502">
        <v>5.1122590535558603E-3</v>
      </c>
      <c r="F502">
        <v>5.1122590535558603E-3</v>
      </c>
      <c r="G502">
        <v>0</v>
      </c>
      <c r="H502">
        <v>0</v>
      </c>
      <c r="I502" t="s">
        <v>79</v>
      </c>
    </row>
    <row r="503" spans="1:9" x14ac:dyDescent="0.35">
      <c r="A503" t="s">
        <v>27</v>
      </c>
      <c r="B503">
        <v>2040</v>
      </c>
      <c r="C503" t="s">
        <v>78</v>
      </c>
      <c r="D503" t="s">
        <v>54</v>
      </c>
      <c r="E503">
        <v>2.0031551388181201E-3</v>
      </c>
      <c r="F503">
        <v>2.0031551364667701E-3</v>
      </c>
      <c r="G503" s="1">
        <v>-2.3513469817049099E-12</v>
      </c>
      <c r="H503" s="1">
        <v>-1.17382170563795E-7</v>
      </c>
      <c r="I503" t="s">
        <v>79</v>
      </c>
    </row>
    <row r="504" spans="1:9" x14ac:dyDescent="0.35">
      <c r="A504" t="s">
        <v>27</v>
      </c>
      <c r="B504">
        <v>2040</v>
      </c>
      <c r="C504" t="s">
        <v>78</v>
      </c>
      <c r="D504" t="s">
        <v>55</v>
      </c>
      <c r="E504">
        <v>1.8334463645004E-3</v>
      </c>
      <c r="F504">
        <v>1.8334455130902801E-3</v>
      </c>
      <c r="G504" s="1">
        <v>-8.51410126645815E-10</v>
      </c>
      <c r="H504" s="1">
        <v>-4.6437689322742403E-5</v>
      </c>
      <c r="I504" t="s">
        <v>79</v>
      </c>
    </row>
    <row r="505" spans="1:9" x14ac:dyDescent="0.35">
      <c r="A505" t="s">
        <v>27</v>
      </c>
      <c r="B505">
        <v>2040</v>
      </c>
      <c r="C505" t="s">
        <v>78</v>
      </c>
      <c r="D505" t="s">
        <v>56</v>
      </c>
      <c r="E505" s="1">
        <v>1.65484924550295E-9</v>
      </c>
      <c r="F505" s="1">
        <v>1.65484924550295E-9</v>
      </c>
      <c r="G505">
        <v>0</v>
      </c>
      <c r="H505">
        <v>0</v>
      </c>
      <c r="I505" t="s">
        <v>79</v>
      </c>
    </row>
    <row r="506" spans="1:9" x14ac:dyDescent="0.35">
      <c r="A506" t="s">
        <v>21</v>
      </c>
      <c r="B506">
        <v>2025</v>
      </c>
      <c r="C506" t="s">
        <v>37</v>
      </c>
      <c r="D506" t="s">
        <v>38</v>
      </c>
      <c r="E506">
        <v>1.84194374777427E-3</v>
      </c>
      <c r="F506">
        <v>1.84194374777427E-3</v>
      </c>
      <c r="G506">
        <v>0</v>
      </c>
      <c r="H506">
        <v>0</v>
      </c>
      <c r="I506" t="s">
        <v>39</v>
      </c>
    </row>
    <row r="507" spans="1:9" x14ac:dyDescent="0.35">
      <c r="A507" t="s">
        <v>21</v>
      </c>
      <c r="B507">
        <v>2025</v>
      </c>
      <c r="C507" t="s">
        <v>37</v>
      </c>
      <c r="D507" t="s">
        <v>40</v>
      </c>
      <c r="E507">
        <v>7.7110049078858798E-4</v>
      </c>
      <c r="F507">
        <v>7.7110049078858798E-4</v>
      </c>
      <c r="G507">
        <v>0</v>
      </c>
      <c r="H507">
        <v>0</v>
      </c>
      <c r="I507" t="s">
        <v>39</v>
      </c>
    </row>
    <row r="508" spans="1:9" x14ac:dyDescent="0.35">
      <c r="A508" t="s">
        <v>21</v>
      </c>
      <c r="B508">
        <v>2025</v>
      </c>
      <c r="C508" t="s">
        <v>37</v>
      </c>
      <c r="D508" t="s">
        <v>41</v>
      </c>
      <c r="E508">
        <v>0.61365041183172298</v>
      </c>
      <c r="F508">
        <v>0.61365041183172298</v>
      </c>
      <c r="G508">
        <v>0</v>
      </c>
      <c r="H508">
        <v>0</v>
      </c>
      <c r="I508" t="s">
        <v>39</v>
      </c>
    </row>
    <row r="509" spans="1:9" x14ac:dyDescent="0.35">
      <c r="A509" t="s">
        <v>21</v>
      </c>
      <c r="B509">
        <v>2025</v>
      </c>
      <c r="C509" t="s">
        <v>37</v>
      </c>
      <c r="D509" t="s">
        <v>42</v>
      </c>
      <c r="E509">
        <v>12.208943808830201</v>
      </c>
      <c r="F509">
        <v>12.208943808830201</v>
      </c>
      <c r="G509">
        <v>0</v>
      </c>
      <c r="H509">
        <v>0</v>
      </c>
      <c r="I509" t="s">
        <v>39</v>
      </c>
    </row>
    <row r="510" spans="1:9" x14ac:dyDescent="0.35">
      <c r="A510" t="s">
        <v>21</v>
      </c>
      <c r="B510">
        <v>2025</v>
      </c>
      <c r="C510" t="s">
        <v>37</v>
      </c>
      <c r="D510" t="s">
        <v>43</v>
      </c>
      <c r="E510">
        <v>7.3255212696208402E-3</v>
      </c>
      <c r="F510">
        <v>7.3255212696208402E-3</v>
      </c>
      <c r="G510">
        <v>0</v>
      </c>
      <c r="H510">
        <v>0</v>
      </c>
      <c r="I510" t="s">
        <v>39</v>
      </c>
    </row>
    <row r="511" spans="1:9" x14ac:dyDescent="0.35">
      <c r="A511" t="s">
        <v>21</v>
      </c>
      <c r="B511">
        <v>2025</v>
      </c>
      <c r="C511" t="s">
        <v>37</v>
      </c>
      <c r="D511" t="s">
        <v>136</v>
      </c>
      <c r="E511">
        <v>8.8659757968167998</v>
      </c>
      <c r="F511">
        <v>8.8659757968167998</v>
      </c>
      <c r="G511">
        <v>0</v>
      </c>
      <c r="H511">
        <v>0</v>
      </c>
      <c r="I511" t="s">
        <v>39</v>
      </c>
    </row>
    <row r="512" spans="1:9" x14ac:dyDescent="0.35">
      <c r="A512" t="s">
        <v>21</v>
      </c>
      <c r="B512">
        <v>2025</v>
      </c>
      <c r="C512" t="s">
        <v>37</v>
      </c>
      <c r="D512" t="s">
        <v>45</v>
      </c>
      <c r="E512">
        <v>1.4799294981755899</v>
      </c>
      <c r="F512">
        <v>1.4799294981755899</v>
      </c>
      <c r="G512">
        <v>0</v>
      </c>
      <c r="H512">
        <v>0</v>
      </c>
      <c r="I512" t="s">
        <v>39</v>
      </c>
    </row>
    <row r="513" spans="1:9" x14ac:dyDescent="0.35">
      <c r="A513" t="s">
        <v>21</v>
      </c>
      <c r="B513">
        <v>2025</v>
      </c>
      <c r="C513" t="s">
        <v>37</v>
      </c>
      <c r="D513" t="s">
        <v>46</v>
      </c>
      <c r="E513">
        <v>0.15447417820759199</v>
      </c>
      <c r="F513">
        <v>0.15447417820759199</v>
      </c>
      <c r="G513">
        <v>0</v>
      </c>
      <c r="H513">
        <v>0</v>
      </c>
      <c r="I513" t="s">
        <v>39</v>
      </c>
    </row>
    <row r="514" spans="1:9" x14ac:dyDescent="0.35">
      <c r="A514" t="s">
        <v>21</v>
      </c>
      <c r="B514">
        <v>2025</v>
      </c>
      <c r="C514" t="s">
        <v>37</v>
      </c>
      <c r="D514" t="s">
        <v>47</v>
      </c>
      <c r="E514">
        <v>5.6570593863336004E-3</v>
      </c>
      <c r="F514">
        <v>5.6570593863336004E-3</v>
      </c>
      <c r="G514">
        <v>0</v>
      </c>
      <c r="H514">
        <v>0</v>
      </c>
      <c r="I514" t="s">
        <v>39</v>
      </c>
    </row>
    <row r="515" spans="1:9" x14ac:dyDescent="0.35">
      <c r="A515" t="s">
        <v>21</v>
      </c>
      <c r="B515">
        <v>2025</v>
      </c>
      <c r="C515" t="s">
        <v>37</v>
      </c>
      <c r="D515" t="s">
        <v>48</v>
      </c>
      <c r="E515">
        <v>57.867022107973398</v>
      </c>
      <c r="F515">
        <v>57.867022107973398</v>
      </c>
      <c r="G515">
        <v>0</v>
      </c>
      <c r="H515">
        <v>0</v>
      </c>
      <c r="I515" t="s">
        <v>39</v>
      </c>
    </row>
    <row r="516" spans="1:9" x14ac:dyDescent="0.35">
      <c r="A516" t="s">
        <v>21</v>
      </c>
      <c r="B516">
        <v>2025</v>
      </c>
      <c r="C516" t="s">
        <v>37</v>
      </c>
      <c r="D516" t="s">
        <v>49</v>
      </c>
      <c r="E516">
        <v>7.3187250497898599</v>
      </c>
      <c r="F516">
        <v>7.3187250497898599</v>
      </c>
      <c r="G516">
        <v>0</v>
      </c>
      <c r="H516">
        <v>0</v>
      </c>
      <c r="I516" t="s">
        <v>39</v>
      </c>
    </row>
    <row r="517" spans="1:9" x14ac:dyDescent="0.35">
      <c r="A517" t="s">
        <v>21</v>
      </c>
      <c r="B517">
        <v>2025</v>
      </c>
      <c r="C517" t="s">
        <v>37</v>
      </c>
      <c r="D517" t="s">
        <v>50</v>
      </c>
      <c r="E517">
        <v>0.27028495474071501</v>
      </c>
      <c r="F517">
        <v>0.27028495474071501</v>
      </c>
      <c r="G517">
        <v>0</v>
      </c>
      <c r="H517">
        <v>0</v>
      </c>
      <c r="I517" t="s">
        <v>39</v>
      </c>
    </row>
    <row r="518" spans="1:9" x14ac:dyDescent="0.35">
      <c r="A518" t="s">
        <v>21</v>
      </c>
      <c r="B518">
        <v>2025</v>
      </c>
      <c r="C518" t="s">
        <v>37</v>
      </c>
      <c r="D518" t="s">
        <v>51</v>
      </c>
      <c r="E518">
        <v>0.196225641254827</v>
      </c>
      <c r="F518">
        <v>0.196225641254827</v>
      </c>
      <c r="G518">
        <v>0</v>
      </c>
      <c r="H518">
        <v>0</v>
      </c>
      <c r="I518" t="s">
        <v>39</v>
      </c>
    </row>
    <row r="519" spans="1:9" x14ac:dyDescent="0.35">
      <c r="A519" t="s">
        <v>21</v>
      </c>
      <c r="B519">
        <v>2025</v>
      </c>
      <c r="C519" t="s">
        <v>37</v>
      </c>
      <c r="D519" t="s">
        <v>52</v>
      </c>
      <c r="E519">
        <v>1.44625778485637</v>
      </c>
      <c r="F519">
        <v>1.44625778485637</v>
      </c>
      <c r="G519">
        <v>0</v>
      </c>
      <c r="H519">
        <v>0</v>
      </c>
      <c r="I519" t="s">
        <v>39</v>
      </c>
    </row>
    <row r="520" spans="1:9" x14ac:dyDescent="0.35">
      <c r="A520" t="s">
        <v>21</v>
      </c>
      <c r="B520">
        <v>2025</v>
      </c>
      <c r="C520" t="s">
        <v>37</v>
      </c>
      <c r="D520" t="s">
        <v>53</v>
      </c>
      <c r="E520">
        <v>2.8683414566351702</v>
      </c>
      <c r="F520">
        <v>2.8683414566351702</v>
      </c>
      <c r="G520">
        <v>0</v>
      </c>
      <c r="H520">
        <v>0</v>
      </c>
      <c r="I520" t="s">
        <v>39</v>
      </c>
    </row>
    <row r="521" spans="1:9" x14ac:dyDescent="0.35">
      <c r="A521" t="s">
        <v>21</v>
      </c>
      <c r="B521">
        <v>2025</v>
      </c>
      <c r="C521" t="s">
        <v>37</v>
      </c>
      <c r="D521" t="s">
        <v>54</v>
      </c>
      <c r="E521">
        <v>1.5680755392425501</v>
      </c>
      <c r="F521">
        <v>1.5680755392425501</v>
      </c>
      <c r="G521">
        <v>0</v>
      </c>
      <c r="H521">
        <v>0</v>
      </c>
      <c r="I521" t="s">
        <v>39</v>
      </c>
    </row>
    <row r="522" spans="1:9" x14ac:dyDescent="0.35">
      <c r="A522" t="s">
        <v>21</v>
      </c>
      <c r="B522">
        <v>2025</v>
      </c>
      <c r="C522" t="s">
        <v>37</v>
      </c>
      <c r="D522" t="s">
        <v>55</v>
      </c>
      <c r="E522">
        <v>1.4868917647061199</v>
      </c>
      <c r="F522">
        <v>1.4868917647061199</v>
      </c>
      <c r="G522">
        <v>0</v>
      </c>
      <c r="H522">
        <v>0</v>
      </c>
      <c r="I522" t="s">
        <v>39</v>
      </c>
    </row>
    <row r="523" spans="1:9" x14ac:dyDescent="0.35">
      <c r="A523" t="s">
        <v>21</v>
      </c>
      <c r="B523">
        <v>2025</v>
      </c>
      <c r="C523" t="s">
        <v>37</v>
      </c>
      <c r="D523" t="s">
        <v>56</v>
      </c>
      <c r="E523" s="1">
        <v>5.9064021281855504E-7</v>
      </c>
      <c r="F523" s="1">
        <v>5.9064021281855504E-7</v>
      </c>
      <c r="G523">
        <v>0</v>
      </c>
      <c r="H523">
        <v>0</v>
      </c>
      <c r="I523" t="s">
        <v>39</v>
      </c>
    </row>
    <row r="524" spans="1:9" x14ac:dyDescent="0.35">
      <c r="A524" t="s">
        <v>23</v>
      </c>
      <c r="B524">
        <v>2030</v>
      </c>
      <c r="C524" t="s">
        <v>37</v>
      </c>
      <c r="D524" t="s">
        <v>38</v>
      </c>
      <c r="E524">
        <v>2.4974723783281502E-3</v>
      </c>
      <c r="F524">
        <v>1.81083755369672E-3</v>
      </c>
      <c r="G524">
        <v>-6.8663482463142997E-4</v>
      </c>
      <c r="H524">
        <v>-27.493189938343601</v>
      </c>
      <c r="I524" t="s">
        <v>39</v>
      </c>
    </row>
    <row r="525" spans="1:9" x14ac:dyDescent="0.35">
      <c r="A525" t="s">
        <v>23</v>
      </c>
      <c r="B525">
        <v>2030</v>
      </c>
      <c r="C525" t="s">
        <v>37</v>
      </c>
      <c r="D525" t="s">
        <v>40</v>
      </c>
      <c r="E525">
        <v>8.0171332046520701E-4</v>
      </c>
      <c r="F525">
        <v>8.0171332046520701E-4</v>
      </c>
      <c r="G525">
        <v>0</v>
      </c>
      <c r="H525">
        <v>0</v>
      </c>
      <c r="I525" t="s">
        <v>39</v>
      </c>
    </row>
    <row r="526" spans="1:9" x14ac:dyDescent="0.35">
      <c r="A526" t="s">
        <v>23</v>
      </c>
      <c r="B526">
        <v>2030</v>
      </c>
      <c r="C526" t="s">
        <v>37</v>
      </c>
      <c r="D526" t="s">
        <v>41</v>
      </c>
      <c r="E526">
        <v>0.61365762265843904</v>
      </c>
      <c r="F526">
        <v>0.16615165221380601</v>
      </c>
      <c r="G526">
        <v>-0.44750597044463303</v>
      </c>
      <c r="H526">
        <v>-72.924372471083004</v>
      </c>
      <c r="I526" t="s">
        <v>39</v>
      </c>
    </row>
    <row r="527" spans="1:9" x14ac:dyDescent="0.35">
      <c r="A527" t="s">
        <v>23</v>
      </c>
      <c r="B527">
        <v>2030</v>
      </c>
      <c r="C527" t="s">
        <v>37</v>
      </c>
      <c r="D527" t="s">
        <v>42</v>
      </c>
      <c r="E527">
        <v>12.041883851129301</v>
      </c>
      <c r="F527">
        <v>10.983740388007201</v>
      </c>
      <c r="G527">
        <v>-1.0581434631220401</v>
      </c>
      <c r="H527">
        <v>-8.7871920723002894</v>
      </c>
      <c r="I527" t="s">
        <v>39</v>
      </c>
    </row>
    <row r="528" spans="1:9" x14ac:dyDescent="0.35">
      <c r="A528" t="s">
        <v>23</v>
      </c>
      <c r="B528">
        <v>2030</v>
      </c>
      <c r="C528" t="s">
        <v>37</v>
      </c>
      <c r="D528" t="s">
        <v>43</v>
      </c>
      <c r="E528">
        <v>7.2431467135097398E-3</v>
      </c>
      <c r="F528">
        <v>7.0222103960636403E-3</v>
      </c>
      <c r="G528">
        <v>-2.2093631744610001E-4</v>
      </c>
      <c r="H528">
        <v>-3.0502808542316999</v>
      </c>
      <c r="I528" t="s">
        <v>39</v>
      </c>
    </row>
    <row r="529" spans="1:9" x14ac:dyDescent="0.35">
      <c r="A529" t="s">
        <v>23</v>
      </c>
      <c r="B529">
        <v>2030</v>
      </c>
      <c r="C529" t="s">
        <v>37</v>
      </c>
      <c r="D529" t="s">
        <v>136</v>
      </c>
      <c r="E529">
        <v>8.9951917013560099</v>
      </c>
      <c r="F529">
        <v>8.9034254316803008</v>
      </c>
      <c r="G529">
        <v>-9.1766269675712595E-2</v>
      </c>
      <c r="H529">
        <v>-1.0201702500890399</v>
      </c>
      <c r="I529" t="s">
        <v>39</v>
      </c>
    </row>
    <row r="530" spans="1:9" x14ac:dyDescent="0.35">
      <c r="A530" t="s">
        <v>23</v>
      </c>
      <c r="B530">
        <v>2030</v>
      </c>
      <c r="C530" t="s">
        <v>37</v>
      </c>
      <c r="D530" t="s">
        <v>45</v>
      </c>
      <c r="E530">
        <v>1.4783867075589201</v>
      </c>
      <c r="F530">
        <v>0.37106868842332902</v>
      </c>
      <c r="G530">
        <v>-1.10731801913559</v>
      </c>
      <c r="H530">
        <v>-74.900431225059606</v>
      </c>
      <c r="I530" t="s">
        <v>39</v>
      </c>
    </row>
    <row r="531" spans="1:9" x14ac:dyDescent="0.35">
      <c r="A531" t="s">
        <v>23</v>
      </c>
      <c r="B531">
        <v>2030</v>
      </c>
      <c r="C531" t="s">
        <v>37</v>
      </c>
      <c r="D531" t="s">
        <v>46</v>
      </c>
      <c r="E531">
        <v>0.18637590430592399</v>
      </c>
      <c r="F531">
        <v>0.18637590430592399</v>
      </c>
      <c r="G531">
        <v>0</v>
      </c>
      <c r="H531">
        <v>0</v>
      </c>
      <c r="I531" t="s">
        <v>39</v>
      </c>
    </row>
    <row r="532" spans="1:9" x14ac:dyDescent="0.35">
      <c r="A532" t="s">
        <v>23</v>
      </c>
      <c r="B532">
        <v>2030</v>
      </c>
      <c r="C532" t="s">
        <v>37</v>
      </c>
      <c r="D532" t="s">
        <v>47</v>
      </c>
      <c r="E532">
        <v>5.4439651301053703E-3</v>
      </c>
      <c r="F532">
        <v>5.4439651301053703E-3</v>
      </c>
      <c r="G532">
        <v>0</v>
      </c>
      <c r="H532">
        <v>0</v>
      </c>
      <c r="I532" t="s">
        <v>39</v>
      </c>
    </row>
    <row r="533" spans="1:9" x14ac:dyDescent="0.35">
      <c r="A533" t="s">
        <v>23</v>
      </c>
      <c r="B533">
        <v>2030</v>
      </c>
      <c r="C533" t="s">
        <v>37</v>
      </c>
      <c r="D533" t="s">
        <v>48</v>
      </c>
      <c r="E533">
        <v>57.874068300833997</v>
      </c>
      <c r="F533">
        <v>57.874068300833997</v>
      </c>
      <c r="G533">
        <v>0</v>
      </c>
      <c r="H533">
        <v>0</v>
      </c>
      <c r="I533" t="s">
        <v>39</v>
      </c>
    </row>
    <row r="534" spans="1:9" x14ac:dyDescent="0.35">
      <c r="A534" t="s">
        <v>23</v>
      </c>
      <c r="B534">
        <v>2030</v>
      </c>
      <c r="C534" t="s">
        <v>37</v>
      </c>
      <c r="D534" t="s">
        <v>49</v>
      </c>
      <c r="E534">
        <v>7.3150989604332404</v>
      </c>
      <c r="F534">
        <v>1.79593535310101</v>
      </c>
      <c r="G534">
        <v>-5.5191636073322297</v>
      </c>
      <c r="H534">
        <v>-75.448926079946702</v>
      </c>
      <c r="I534" t="s">
        <v>39</v>
      </c>
    </row>
    <row r="535" spans="1:9" x14ac:dyDescent="0.35">
      <c r="A535" t="s">
        <v>23</v>
      </c>
      <c r="B535">
        <v>2030</v>
      </c>
      <c r="C535" t="s">
        <v>37</v>
      </c>
      <c r="D535" t="s">
        <v>50</v>
      </c>
      <c r="E535">
        <v>0.272165654040809</v>
      </c>
      <c r="F535">
        <v>0.272165654040809</v>
      </c>
      <c r="G535">
        <v>0</v>
      </c>
      <c r="H535">
        <v>0</v>
      </c>
      <c r="I535" t="s">
        <v>39</v>
      </c>
    </row>
    <row r="536" spans="1:9" x14ac:dyDescent="0.35">
      <c r="A536" t="s">
        <v>23</v>
      </c>
      <c r="B536">
        <v>2030</v>
      </c>
      <c r="C536" t="s">
        <v>37</v>
      </c>
      <c r="D536" t="s">
        <v>51</v>
      </c>
      <c r="E536">
        <v>0.194398814870371</v>
      </c>
      <c r="F536">
        <v>0.194398814870371</v>
      </c>
      <c r="G536">
        <v>0</v>
      </c>
      <c r="H536">
        <v>0</v>
      </c>
      <c r="I536" t="s">
        <v>39</v>
      </c>
    </row>
    <row r="537" spans="1:9" x14ac:dyDescent="0.35">
      <c r="A537" t="s">
        <v>23</v>
      </c>
      <c r="B537">
        <v>2030</v>
      </c>
      <c r="C537" t="s">
        <v>37</v>
      </c>
      <c r="D537" t="s">
        <v>52</v>
      </c>
      <c r="E537">
        <v>1.19872454954366</v>
      </c>
      <c r="F537">
        <v>1.19872454954366</v>
      </c>
      <c r="G537">
        <v>0</v>
      </c>
      <c r="H537">
        <v>0</v>
      </c>
      <c r="I537" t="s">
        <v>39</v>
      </c>
    </row>
    <row r="538" spans="1:9" x14ac:dyDescent="0.35">
      <c r="A538" t="s">
        <v>23</v>
      </c>
      <c r="B538">
        <v>2030</v>
      </c>
      <c r="C538" t="s">
        <v>37</v>
      </c>
      <c r="D538" t="s">
        <v>53</v>
      </c>
      <c r="E538">
        <v>3.0282201365112602</v>
      </c>
      <c r="F538">
        <v>3.0282201365112602</v>
      </c>
      <c r="G538">
        <v>0</v>
      </c>
      <c r="H538">
        <v>0</v>
      </c>
      <c r="I538" t="s">
        <v>39</v>
      </c>
    </row>
    <row r="539" spans="1:9" x14ac:dyDescent="0.35">
      <c r="A539" t="s">
        <v>23</v>
      </c>
      <c r="B539">
        <v>2030</v>
      </c>
      <c r="C539" t="s">
        <v>37</v>
      </c>
      <c r="D539" t="s">
        <v>54</v>
      </c>
      <c r="E539">
        <v>1.5664827711707501</v>
      </c>
      <c r="F539">
        <v>1.5662468649578301</v>
      </c>
      <c r="G539">
        <v>-2.3590621291646999E-4</v>
      </c>
      <c r="H539">
        <v>-1.50596110763579E-2</v>
      </c>
      <c r="I539" t="s">
        <v>39</v>
      </c>
    </row>
    <row r="540" spans="1:9" x14ac:dyDescent="0.35">
      <c r="A540" t="s">
        <v>23</v>
      </c>
      <c r="B540">
        <v>2030</v>
      </c>
      <c r="C540" t="s">
        <v>37</v>
      </c>
      <c r="D540" t="s">
        <v>55</v>
      </c>
      <c r="E540">
        <v>1.48484933613186</v>
      </c>
      <c r="F540">
        <v>1.4598022187376201</v>
      </c>
      <c r="G540">
        <v>-2.5047117394239E-2</v>
      </c>
      <c r="H540">
        <v>-1.6868457145617499</v>
      </c>
      <c r="I540" t="s">
        <v>39</v>
      </c>
    </row>
    <row r="541" spans="1:9" x14ac:dyDescent="0.35">
      <c r="A541" t="s">
        <v>23</v>
      </c>
      <c r="B541">
        <v>2030</v>
      </c>
      <c r="C541" t="s">
        <v>37</v>
      </c>
      <c r="D541" t="s">
        <v>56</v>
      </c>
      <c r="E541" s="1">
        <v>6.2893371223929605E-7</v>
      </c>
      <c r="F541" s="1">
        <v>6.2893371223929605E-7</v>
      </c>
      <c r="G541">
        <v>0</v>
      </c>
      <c r="H541">
        <v>0</v>
      </c>
      <c r="I541" t="s">
        <v>39</v>
      </c>
    </row>
    <row r="542" spans="1:9" x14ac:dyDescent="0.35">
      <c r="A542" t="s">
        <v>25</v>
      </c>
      <c r="B542">
        <v>2035</v>
      </c>
      <c r="C542" t="s">
        <v>37</v>
      </c>
      <c r="D542" t="s">
        <v>38</v>
      </c>
      <c r="E542">
        <v>3.0347498157885298E-3</v>
      </c>
      <c r="F542">
        <v>2.8461695746317302E-3</v>
      </c>
      <c r="G542">
        <v>-1.88580241156801E-4</v>
      </c>
      <c r="H542">
        <v>-6.2140292480025101</v>
      </c>
      <c r="I542" t="s">
        <v>39</v>
      </c>
    </row>
    <row r="543" spans="1:9" x14ac:dyDescent="0.35">
      <c r="A543" t="s">
        <v>25</v>
      </c>
      <c r="B543">
        <v>2035</v>
      </c>
      <c r="C543" t="s">
        <v>37</v>
      </c>
      <c r="D543" t="s">
        <v>40</v>
      </c>
      <c r="E543">
        <v>8.5182238410306903E-4</v>
      </c>
      <c r="F543">
        <v>8.5182238410306903E-4</v>
      </c>
      <c r="G543">
        <v>0</v>
      </c>
      <c r="H543">
        <v>0</v>
      </c>
      <c r="I543" t="s">
        <v>39</v>
      </c>
    </row>
    <row r="544" spans="1:9" x14ac:dyDescent="0.35">
      <c r="A544" t="s">
        <v>25</v>
      </c>
      <c r="B544">
        <v>2035</v>
      </c>
      <c r="C544" t="s">
        <v>37</v>
      </c>
      <c r="D544" t="s">
        <v>41</v>
      </c>
      <c r="E544">
        <v>0.61376514954282901</v>
      </c>
      <c r="F544">
        <v>0.49027145670105399</v>
      </c>
      <c r="G544">
        <v>-0.123493692841774</v>
      </c>
      <c r="H544">
        <v>-20.120675299625699</v>
      </c>
      <c r="I544" t="s">
        <v>39</v>
      </c>
    </row>
    <row r="545" spans="1:9" x14ac:dyDescent="0.35">
      <c r="A545" t="s">
        <v>25</v>
      </c>
      <c r="B545">
        <v>2035</v>
      </c>
      <c r="C545" t="s">
        <v>37</v>
      </c>
      <c r="D545" t="s">
        <v>42</v>
      </c>
      <c r="E545">
        <v>11.791812311026</v>
      </c>
      <c r="F545">
        <v>11.491525170003101</v>
      </c>
      <c r="G545">
        <v>-0.30028714102290899</v>
      </c>
      <c r="H545">
        <v>-2.5465732756119501</v>
      </c>
      <c r="I545" t="s">
        <v>39</v>
      </c>
    </row>
    <row r="546" spans="1:9" x14ac:dyDescent="0.35">
      <c r="A546" t="s">
        <v>25</v>
      </c>
      <c r="B546">
        <v>2035</v>
      </c>
      <c r="C546" t="s">
        <v>37</v>
      </c>
      <c r="D546" t="s">
        <v>43</v>
      </c>
      <c r="E546">
        <v>7.1003172716199896E-3</v>
      </c>
      <c r="F546">
        <v>7.0378307471716797E-3</v>
      </c>
      <c r="G546" s="1">
        <v>-6.2486524448309905E-5</v>
      </c>
      <c r="H546">
        <v>-0.88005256748270699</v>
      </c>
      <c r="I546" t="s">
        <v>39</v>
      </c>
    </row>
    <row r="547" spans="1:9" x14ac:dyDescent="0.35">
      <c r="A547" t="s">
        <v>25</v>
      </c>
      <c r="B547">
        <v>2035</v>
      </c>
      <c r="C547" t="s">
        <v>37</v>
      </c>
      <c r="D547" t="s">
        <v>136</v>
      </c>
      <c r="E547">
        <v>9.1860207430155594</v>
      </c>
      <c r="F547">
        <v>9.1731269682779892</v>
      </c>
      <c r="G547">
        <v>-1.2893774737563E-2</v>
      </c>
      <c r="H547">
        <v>-0.14036300481213901</v>
      </c>
      <c r="I547" t="s">
        <v>39</v>
      </c>
    </row>
    <row r="548" spans="1:9" x14ac:dyDescent="0.35">
      <c r="A548" t="s">
        <v>25</v>
      </c>
      <c r="B548">
        <v>2035</v>
      </c>
      <c r="C548" t="s">
        <v>37</v>
      </c>
      <c r="D548" t="s">
        <v>45</v>
      </c>
      <c r="E548">
        <v>1.4762704911450799</v>
      </c>
      <c r="F548">
        <v>1.17077566000903</v>
      </c>
      <c r="G548">
        <v>-0.30549483113605302</v>
      </c>
      <c r="H548">
        <v>-20.693689467374799</v>
      </c>
      <c r="I548" t="s">
        <v>39</v>
      </c>
    </row>
    <row r="549" spans="1:9" x14ac:dyDescent="0.35">
      <c r="A549" t="s">
        <v>25</v>
      </c>
      <c r="B549">
        <v>2035</v>
      </c>
      <c r="C549" t="s">
        <v>37</v>
      </c>
      <c r="D549" t="s">
        <v>46</v>
      </c>
      <c r="E549">
        <v>0.21697006298385599</v>
      </c>
      <c r="F549">
        <v>0.21697006298385599</v>
      </c>
      <c r="G549">
        <v>0</v>
      </c>
      <c r="H549">
        <v>0</v>
      </c>
      <c r="I549" t="s">
        <v>39</v>
      </c>
    </row>
    <row r="550" spans="1:9" x14ac:dyDescent="0.35">
      <c r="A550" t="s">
        <v>25</v>
      </c>
      <c r="B550">
        <v>2035</v>
      </c>
      <c r="C550" t="s">
        <v>37</v>
      </c>
      <c r="D550" t="s">
        <v>47</v>
      </c>
      <c r="E550">
        <v>5.1313359771547502E-3</v>
      </c>
      <c r="F550">
        <v>5.1313359771547502E-3</v>
      </c>
      <c r="G550">
        <v>0</v>
      </c>
      <c r="H550">
        <v>0</v>
      </c>
      <c r="I550" t="s">
        <v>39</v>
      </c>
    </row>
    <row r="551" spans="1:9" x14ac:dyDescent="0.35">
      <c r="A551" t="s">
        <v>25</v>
      </c>
      <c r="B551">
        <v>2035</v>
      </c>
      <c r="C551" t="s">
        <v>37</v>
      </c>
      <c r="D551" t="s">
        <v>48</v>
      </c>
      <c r="E551">
        <v>57.882820521951601</v>
      </c>
      <c r="F551">
        <v>57.882820521951601</v>
      </c>
      <c r="G551">
        <v>0</v>
      </c>
      <c r="H551">
        <v>0</v>
      </c>
      <c r="I551" t="s">
        <v>39</v>
      </c>
    </row>
    <row r="552" spans="1:9" x14ac:dyDescent="0.35">
      <c r="A552" t="s">
        <v>25</v>
      </c>
      <c r="B552">
        <v>2035</v>
      </c>
      <c r="C552" t="s">
        <v>37</v>
      </c>
      <c r="D552" t="s">
        <v>49</v>
      </c>
      <c r="E552">
        <v>7.3100942969066001</v>
      </c>
      <c r="F552">
        <v>5.7870263194563396</v>
      </c>
      <c r="G552">
        <v>-1.52306797745025</v>
      </c>
      <c r="H552">
        <v>-20.835134481025399</v>
      </c>
      <c r="I552" t="s">
        <v>39</v>
      </c>
    </row>
    <row r="553" spans="1:9" x14ac:dyDescent="0.35">
      <c r="A553" t="s">
        <v>25</v>
      </c>
      <c r="B553">
        <v>2035</v>
      </c>
      <c r="C553" t="s">
        <v>37</v>
      </c>
      <c r="D553" t="s">
        <v>50</v>
      </c>
      <c r="E553">
        <v>0.273788410736646</v>
      </c>
      <c r="F553">
        <v>0.273788410736646</v>
      </c>
      <c r="G553">
        <v>0</v>
      </c>
      <c r="H553">
        <v>0</v>
      </c>
      <c r="I553" t="s">
        <v>39</v>
      </c>
    </row>
    <row r="554" spans="1:9" x14ac:dyDescent="0.35">
      <c r="A554" t="s">
        <v>25</v>
      </c>
      <c r="B554">
        <v>2035</v>
      </c>
      <c r="C554" t="s">
        <v>37</v>
      </c>
      <c r="D554" t="s">
        <v>51</v>
      </c>
      <c r="E554">
        <v>0.19210386053215101</v>
      </c>
      <c r="F554">
        <v>0.19210386053215101</v>
      </c>
      <c r="G554">
        <v>0</v>
      </c>
      <c r="H554">
        <v>0</v>
      </c>
      <c r="I554" t="s">
        <v>39</v>
      </c>
    </row>
    <row r="555" spans="1:9" x14ac:dyDescent="0.35">
      <c r="A555" t="s">
        <v>25</v>
      </c>
      <c r="B555">
        <v>2035</v>
      </c>
      <c r="C555" t="s">
        <v>37</v>
      </c>
      <c r="D555" t="s">
        <v>52</v>
      </c>
      <c r="E555">
        <v>0.96476558359957199</v>
      </c>
      <c r="F555">
        <v>0.96476558359957199</v>
      </c>
      <c r="G555">
        <v>0</v>
      </c>
      <c r="H555">
        <v>0</v>
      </c>
      <c r="I555" t="s">
        <v>39</v>
      </c>
    </row>
    <row r="556" spans="1:9" x14ac:dyDescent="0.35">
      <c r="A556" t="s">
        <v>25</v>
      </c>
      <c r="B556">
        <v>2035</v>
      </c>
      <c r="C556" t="s">
        <v>37</v>
      </c>
      <c r="D556" t="s">
        <v>53</v>
      </c>
      <c r="E556">
        <v>3.2494449443745399</v>
      </c>
      <c r="F556">
        <v>3.2494449443745399</v>
      </c>
      <c r="G556">
        <v>0</v>
      </c>
      <c r="H556">
        <v>0</v>
      </c>
      <c r="I556" t="s">
        <v>39</v>
      </c>
    </row>
    <row r="557" spans="1:9" x14ac:dyDescent="0.35">
      <c r="A557" t="s">
        <v>25</v>
      </c>
      <c r="B557">
        <v>2035</v>
      </c>
      <c r="C557" t="s">
        <v>37</v>
      </c>
      <c r="D557" t="s">
        <v>54</v>
      </c>
      <c r="E557">
        <v>1.56260010953769</v>
      </c>
      <c r="F557">
        <v>1.5625352591824999</v>
      </c>
      <c r="G557" s="1">
        <v>-6.4850355195211694E-5</v>
      </c>
      <c r="H557">
        <v>-4.1501568315132102E-3</v>
      </c>
      <c r="I557" t="s">
        <v>39</v>
      </c>
    </row>
    <row r="558" spans="1:9" x14ac:dyDescent="0.35">
      <c r="A558" t="s">
        <v>25</v>
      </c>
      <c r="B558">
        <v>2035</v>
      </c>
      <c r="C558" t="s">
        <v>37</v>
      </c>
      <c r="D558" t="s">
        <v>55</v>
      </c>
      <c r="E558">
        <v>1.4807706481245</v>
      </c>
      <c r="F558">
        <v>1.47374563689791</v>
      </c>
      <c r="G558">
        <v>-7.0250112265852699E-3</v>
      </c>
      <c r="H558">
        <v>-0.47441588847556598</v>
      </c>
      <c r="I558" t="s">
        <v>39</v>
      </c>
    </row>
    <row r="559" spans="1:9" x14ac:dyDescent="0.35">
      <c r="A559" t="s">
        <v>25</v>
      </c>
      <c r="B559">
        <v>2035</v>
      </c>
      <c r="C559" t="s">
        <v>37</v>
      </c>
      <c r="D559" t="s">
        <v>56</v>
      </c>
      <c r="E559" s="1">
        <v>6.9002553196172495E-7</v>
      </c>
      <c r="F559" s="1">
        <v>6.9002553196172495E-7</v>
      </c>
      <c r="G559">
        <v>0</v>
      </c>
      <c r="H559">
        <v>0</v>
      </c>
      <c r="I559" t="s">
        <v>39</v>
      </c>
    </row>
    <row r="560" spans="1:9" x14ac:dyDescent="0.35">
      <c r="A560" t="s">
        <v>27</v>
      </c>
      <c r="B560">
        <v>2040</v>
      </c>
      <c r="C560" t="s">
        <v>37</v>
      </c>
      <c r="D560" t="s">
        <v>38</v>
      </c>
      <c r="E560">
        <v>2.8204669508833402E-3</v>
      </c>
      <c r="F560">
        <v>1.94525166485572E-3</v>
      </c>
      <c r="G560">
        <v>-8.75215286027617E-4</v>
      </c>
      <c r="H560">
        <v>-31.0308647918568</v>
      </c>
      <c r="I560" t="s">
        <v>39</v>
      </c>
    </row>
    <row r="561" spans="1:9" x14ac:dyDescent="0.35">
      <c r="A561" t="s">
        <v>27</v>
      </c>
      <c r="B561">
        <v>2040</v>
      </c>
      <c r="C561" t="s">
        <v>37</v>
      </c>
      <c r="D561" t="s">
        <v>40</v>
      </c>
      <c r="E561">
        <v>8.9750622062984096E-4</v>
      </c>
      <c r="F561">
        <v>8.9750622062984096E-4</v>
      </c>
      <c r="G561">
        <v>0</v>
      </c>
      <c r="H561">
        <v>0</v>
      </c>
      <c r="I561" t="s">
        <v>39</v>
      </c>
    </row>
    <row r="562" spans="1:9" x14ac:dyDescent="0.35">
      <c r="A562" t="s">
        <v>27</v>
      </c>
      <c r="B562">
        <v>2040</v>
      </c>
      <c r="C562" t="s">
        <v>37</v>
      </c>
      <c r="D562" t="s">
        <v>41</v>
      </c>
      <c r="E562">
        <v>0.61374690143178701</v>
      </c>
      <c r="F562">
        <v>4.2747134859861299E-2</v>
      </c>
      <c r="G562">
        <v>-0.57099976657192597</v>
      </c>
      <c r="H562">
        <v>-93.035054880091707</v>
      </c>
      <c r="I562" t="s">
        <v>39</v>
      </c>
    </row>
    <row r="563" spans="1:9" x14ac:dyDescent="0.35">
      <c r="A563" t="s">
        <v>27</v>
      </c>
      <c r="B563">
        <v>2040</v>
      </c>
      <c r="C563" t="s">
        <v>37</v>
      </c>
      <c r="D563" t="s">
        <v>42</v>
      </c>
      <c r="E563">
        <v>11.530913463759299</v>
      </c>
      <c r="F563">
        <v>10.1724825642528</v>
      </c>
      <c r="G563">
        <v>-1.3584308995065</v>
      </c>
      <c r="H563">
        <v>-11.7807743833646</v>
      </c>
      <c r="I563" t="s">
        <v>39</v>
      </c>
    </row>
    <row r="564" spans="1:9" x14ac:dyDescent="0.35">
      <c r="A564" t="s">
        <v>27</v>
      </c>
      <c r="B564">
        <v>2040</v>
      </c>
      <c r="C564" t="s">
        <v>37</v>
      </c>
      <c r="D564" t="s">
        <v>43</v>
      </c>
      <c r="E564">
        <v>6.7816270047411902E-3</v>
      </c>
      <c r="F564">
        <v>6.4982040830286903E-3</v>
      </c>
      <c r="G564">
        <v>-2.8342292171250501E-4</v>
      </c>
      <c r="H564">
        <v>-4.1792761753832401</v>
      </c>
      <c r="I564" t="s">
        <v>39</v>
      </c>
    </row>
    <row r="565" spans="1:9" x14ac:dyDescent="0.35">
      <c r="A565" t="s">
        <v>27</v>
      </c>
      <c r="B565">
        <v>2040</v>
      </c>
      <c r="C565" t="s">
        <v>37</v>
      </c>
      <c r="D565" t="s">
        <v>136</v>
      </c>
      <c r="E565">
        <v>9.3140140553285899</v>
      </c>
      <c r="F565">
        <v>9.2093539689475392</v>
      </c>
      <c r="G565">
        <v>-0.104660086381047</v>
      </c>
      <c r="H565">
        <v>-1.1236840073391401</v>
      </c>
      <c r="I565" t="s">
        <v>39</v>
      </c>
    </row>
    <row r="566" spans="1:9" x14ac:dyDescent="0.35">
      <c r="A566" t="s">
        <v>27</v>
      </c>
      <c r="B566">
        <v>2040</v>
      </c>
      <c r="C566" t="s">
        <v>37</v>
      </c>
      <c r="D566" t="s">
        <v>45</v>
      </c>
      <c r="E566">
        <v>1.47404460357457</v>
      </c>
      <c r="F566">
        <v>6.1231497412933503E-2</v>
      </c>
      <c r="G566">
        <v>-1.41281310616163</v>
      </c>
      <c r="H566">
        <v>-95.846021398236701</v>
      </c>
      <c r="I566" t="s">
        <v>39</v>
      </c>
    </row>
    <row r="567" spans="1:9" x14ac:dyDescent="0.35">
      <c r="A567" t="s">
        <v>27</v>
      </c>
      <c r="B567">
        <v>2040</v>
      </c>
      <c r="C567" t="s">
        <v>37</v>
      </c>
      <c r="D567" t="s">
        <v>46</v>
      </c>
      <c r="E567">
        <v>0.21768814218270499</v>
      </c>
      <c r="F567">
        <v>0.21768814218270499</v>
      </c>
      <c r="G567">
        <v>0</v>
      </c>
      <c r="H567">
        <v>0</v>
      </c>
      <c r="I567" t="s">
        <v>39</v>
      </c>
    </row>
    <row r="568" spans="1:9" x14ac:dyDescent="0.35">
      <c r="A568" t="s">
        <v>27</v>
      </c>
      <c r="B568">
        <v>2040</v>
      </c>
      <c r="C568" t="s">
        <v>37</v>
      </c>
      <c r="D568" t="s">
        <v>47</v>
      </c>
      <c r="E568">
        <v>4.7895280533265397E-3</v>
      </c>
      <c r="F568">
        <v>4.7895280533265397E-3</v>
      </c>
      <c r="G568">
        <v>0</v>
      </c>
      <c r="H568">
        <v>0</v>
      </c>
      <c r="I568" t="s">
        <v>39</v>
      </c>
    </row>
    <row r="569" spans="1:9" x14ac:dyDescent="0.35">
      <c r="A569" t="s">
        <v>27</v>
      </c>
      <c r="B569">
        <v>2040</v>
      </c>
      <c r="C569" t="s">
        <v>37</v>
      </c>
      <c r="D569" t="s">
        <v>48</v>
      </c>
      <c r="E569">
        <v>57.891912067985302</v>
      </c>
      <c r="F569">
        <v>57.891912067985302</v>
      </c>
      <c r="G569">
        <v>0</v>
      </c>
      <c r="H569">
        <v>0</v>
      </c>
      <c r="I569" t="s">
        <v>39</v>
      </c>
    </row>
    <row r="570" spans="1:9" x14ac:dyDescent="0.35">
      <c r="A570" t="s">
        <v>27</v>
      </c>
      <c r="B570">
        <v>2040</v>
      </c>
      <c r="C570" t="s">
        <v>37</v>
      </c>
      <c r="D570" t="s">
        <v>49</v>
      </c>
      <c r="E570">
        <v>7.3046950484829196</v>
      </c>
      <c r="F570">
        <v>0.26246218987317499</v>
      </c>
      <c r="G570">
        <v>-7.0422328586097498</v>
      </c>
      <c r="H570">
        <v>-96.406938439850606</v>
      </c>
      <c r="I570" t="s">
        <v>39</v>
      </c>
    </row>
    <row r="571" spans="1:9" x14ac:dyDescent="0.35">
      <c r="A571" t="s">
        <v>27</v>
      </c>
      <c r="B571">
        <v>2040</v>
      </c>
      <c r="C571" t="s">
        <v>37</v>
      </c>
      <c r="D571" t="s">
        <v>50</v>
      </c>
      <c r="E571">
        <v>0.27270641162910902</v>
      </c>
      <c r="F571">
        <v>0.27270641162910902</v>
      </c>
      <c r="G571">
        <v>0</v>
      </c>
      <c r="H571">
        <v>0</v>
      </c>
      <c r="I571" t="s">
        <v>39</v>
      </c>
    </row>
    <row r="572" spans="1:9" x14ac:dyDescent="0.35">
      <c r="A572" t="s">
        <v>27</v>
      </c>
      <c r="B572">
        <v>2040</v>
      </c>
      <c r="C572" t="s">
        <v>37</v>
      </c>
      <c r="D572" t="s">
        <v>51</v>
      </c>
      <c r="E572">
        <v>0.189873126109116</v>
      </c>
      <c r="F572">
        <v>0.189873126109116</v>
      </c>
      <c r="G572">
        <v>0</v>
      </c>
      <c r="H572">
        <v>0</v>
      </c>
      <c r="I572" t="s">
        <v>39</v>
      </c>
    </row>
    <row r="573" spans="1:9" x14ac:dyDescent="0.35">
      <c r="A573" t="s">
        <v>27</v>
      </c>
      <c r="B573">
        <v>2040</v>
      </c>
      <c r="C573" t="s">
        <v>37</v>
      </c>
      <c r="D573" t="s">
        <v>52</v>
      </c>
      <c r="E573">
        <v>0.794203650836244</v>
      </c>
      <c r="F573">
        <v>0.794203650836244</v>
      </c>
      <c r="G573">
        <v>0</v>
      </c>
      <c r="H573">
        <v>0</v>
      </c>
      <c r="I573" t="s">
        <v>39</v>
      </c>
    </row>
    <row r="574" spans="1:9" x14ac:dyDescent="0.35">
      <c r="A574" t="s">
        <v>27</v>
      </c>
      <c r="B574">
        <v>2040</v>
      </c>
      <c r="C574" t="s">
        <v>37</v>
      </c>
      <c r="D574" t="s">
        <v>53</v>
      </c>
      <c r="E574">
        <v>3.4420547104996002</v>
      </c>
      <c r="F574">
        <v>3.4420547104996002</v>
      </c>
      <c r="G574">
        <v>0</v>
      </c>
      <c r="H574">
        <v>0</v>
      </c>
      <c r="I574" t="s">
        <v>39</v>
      </c>
    </row>
    <row r="575" spans="1:9" x14ac:dyDescent="0.35">
      <c r="A575" t="s">
        <v>27</v>
      </c>
      <c r="B575">
        <v>2040</v>
      </c>
      <c r="C575" t="s">
        <v>37</v>
      </c>
      <c r="D575" t="s">
        <v>54</v>
      </c>
      <c r="E575">
        <v>1.5580179017235001</v>
      </c>
      <c r="F575">
        <v>1.55771714507666</v>
      </c>
      <c r="G575">
        <v>-3.0075664684114901E-4</v>
      </c>
      <c r="H575">
        <v>-1.9303799173837899E-2</v>
      </c>
      <c r="I575" t="s">
        <v>39</v>
      </c>
    </row>
    <row r="576" spans="1:9" x14ac:dyDescent="0.35">
      <c r="A576" t="s">
        <v>27</v>
      </c>
      <c r="B576">
        <v>2040</v>
      </c>
      <c r="C576" t="s">
        <v>37</v>
      </c>
      <c r="D576" t="s">
        <v>55</v>
      </c>
      <c r="E576">
        <v>1.4762113619272901</v>
      </c>
      <c r="F576">
        <v>1.4441392248293099</v>
      </c>
      <c r="G576">
        <v>-3.2072137097982102E-2</v>
      </c>
      <c r="H576">
        <v>-2.1725979033320599</v>
      </c>
      <c r="I576" t="s">
        <v>39</v>
      </c>
    </row>
    <row r="577" spans="1:9" x14ac:dyDescent="0.35">
      <c r="A577" t="s">
        <v>27</v>
      </c>
      <c r="B577">
        <v>2040</v>
      </c>
      <c r="C577" t="s">
        <v>37</v>
      </c>
      <c r="D577" t="s">
        <v>56</v>
      </c>
      <c r="E577" s="1">
        <v>7.4837154846907396E-7</v>
      </c>
      <c r="F577" s="1">
        <v>7.4837154846907396E-7</v>
      </c>
      <c r="G577">
        <v>0</v>
      </c>
      <c r="H577">
        <v>0</v>
      </c>
      <c r="I577" t="s">
        <v>39</v>
      </c>
    </row>
    <row r="578" spans="1:9" x14ac:dyDescent="0.35">
      <c r="A578" t="s">
        <v>21</v>
      </c>
      <c r="B578">
        <v>2025</v>
      </c>
      <c r="C578" t="s">
        <v>125</v>
      </c>
      <c r="D578" t="s">
        <v>38</v>
      </c>
      <c r="E578">
        <v>5.5581392352699495E-4</v>
      </c>
      <c r="F578">
        <v>5.5581392352699495E-4</v>
      </c>
      <c r="G578">
        <v>0</v>
      </c>
      <c r="H578">
        <v>0</v>
      </c>
      <c r="I578" t="s">
        <v>126</v>
      </c>
    </row>
    <row r="579" spans="1:9" x14ac:dyDescent="0.35">
      <c r="A579" t="s">
        <v>21</v>
      </c>
      <c r="B579">
        <v>2025</v>
      </c>
      <c r="C579" t="s">
        <v>125</v>
      </c>
      <c r="D579" t="s">
        <v>40</v>
      </c>
      <c r="E579">
        <v>1.27346371882457E-2</v>
      </c>
      <c r="F579">
        <v>1.27346371882457E-2</v>
      </c>
      <c r="G579">
        <v>0</v>
      </c>
      <c r="H579">
        <v>0</v>
      </c>
      <c r="I579" t="s">
        <v>126</v>
      </c>
    </row>
    <row r="580" spans="1:9" x14ac:dyDescent="0.35">
      <c r="A580" t="s">
        <v>21</v>
      </c>
      <c r="B580">
        <v>2025</v>
      </c>
      <c r="C580" t="s">
        <v>125</v>
      </c>
      <c r="D580" t="s">
        <v>41</v>
      </c>
      <c r="E580">
        <v>0.16770701027423801</v>
      </c>
      <c r="F580">
        <v>0.16770701027423801</v>
      </c>
      <c r="G580">
        <v>0</v>
      </c>
      <c r="H580">
        <v>0</v>
      </c>
      <c r="I580" t="s">
        <v>126</v>
      </c>
    </row>
    <row r="581" spans="1:9" x14ac:dyDescent="0.35">
      <c r="A581" t="s">
        <v>21</v>
      </c>
      <c r="B581">
        <v>2025</v>
      </c>
      <c r="C581" t="s">
        <v>125</v>
      </c>
      <c r="D581" t="s">
        <v>42</v>
      </c>
      <c r="E581">
        <v>43.189454079103498</v>
      </c>
      <c r="F581">
        <v>43.189454079103498</v>
      </c>
      <c r="G581">
        <v>0</v>
      </c>
      <c r="H581">
        <v>0</v>
      </c>
      <c r="I581" t="s">
        <v>126</v>
      </c>
    </row>
    <row r="582" spans="1:9" x14ac:dyDescent="0.35">
      <c r="A582" t="s">
        <v>21</v>
      </c>
      <c r="B582">
        <v>2025</v>
      </c>
      <c r="C582" t="s">
        <v>125</v>
      </c>
      <c r="D582" t="s">
        <v>43</v>
      </c>
      <c r="E582">
        <v>5.4836170745292803E-2</v>
      </c>
      <c r="F582">
        <v>5.4836170745292803E-2</v>
      </c>
      <c r="G582">
        <v>0</v>
      </c>
      <c r="H582">
        <v>0</v>
      </c>
      <c r="I582" t="s">
        <v>126</v>
      </c>
    </row>
    <row r="583" spans="1:9" x14ac:dyDescent="0.35">
      <c r="A583" t="s">
        <v>21</v>
      </c>
      <c r="B583">
        <v>2025</v>
      </c>
      <c r="C583" t="s">
        <v>125</v>
      </c>
      <c r="D583" t="s">
        <v>136</v>
      </c>
      <c r="E583">
        <v>4.6607061646300796</v>
      </c>
      <c r="F583">
        <v>4.6607061646300796</v>
      </c>
      <c r="G583">
        <v>0</v>
      </c>
      <c r="H583">
        <v>0</v>
      </c>
      <c r="I583" t="s">
        <v>126</v>
      </c>
    </row>
    <row r="584" spans="1:9" x14ac:dyDescent="0.35">
      <c r="A584" t="s">
        <v>21</v>
      </c>
      <c r="B584">
        <v>2025</v>
      </c>
      <c r="C584" t="s">
        <v>125</v>
      </c>
      <c r="D584" t="s">
        <v>45</v>
      </c>
      <c r="E584">
        <v>5.2594721874549402E-2</v>
      </c>
      <c r="F584">
        <v>5.2594721874549402E-2</v>
      </c>
      <c r="G584">
        <v>0</v>
      </c>
      <c r="H584">
        <v>0</v>
      </c>
      <c r="I584" t="s">
        <v>126</v>
      </c>
    </row>
    <row r="585" spans="1:9" x14ac:dyDescent="0.35">
      <c r="A585" t="s">
        <v>21</v>
      </c>
      <c r="B585">
        <v>2025</v>
      </c>
      <c r="C585" t="s">
        <v>125</v>
      </c>
      <c r="D585" t="s">
        <v>46</v>
      </c>
      <c r="E585">
        <v>8.4092973290282702E-2</v>
      </c>
      <c r="F585">
        <v>8.4092973290282702E-2</v>
      </c>
      <c r="G585">
        <v>0</v>
      </c>
      <c r="H585">
        <v>0</v>
      </c>
      <c r="I585" t="s">
        <v>126</v>
      </c>
    </row>
    <row r="586" spans="1:9" x14ac:dyDescent="0.35">
      <c r="A586" t="s">
        <v>21</v>
      </c>
      <c r="B586">
        <v>2025</v>
      </c>
      <c r="C586" t="s">
        <v>125</v>
      </c>
      <c r="D586" t="s">
        <v>47</v>
      </c>
      <c r="E586">
        <v>9.85870468034852E-3</v>
      </c>
      <c r="F586">
        <v>9.85870468034852E-3</v>
      </c>
      <c r="G586">
        <v>0</v>
      </c>
      <c r="H586">
        <v>0</v>
      </c>
      <c r="I586" t="s">
        <v>126</v>
      </c>
    </row>
    <row r="587" spans="1:9" x14ac:dyDescent="0.35">
      <c r="A587" t="s">
        <v>21</v>
      </c>
      <c r="B587">
        <v>2025</v>
      </c>
      <c r="C587" t="s">
        <v>125</v>
      </c>
      <c r="D587" t="s">
        <v>48</v>
      </c>
      <c r="E587">
        <v>19.6048125297316</v>
      </c>
      <c r="F587">
        <v>19.6048125297316</v>
      </c>
      <c r="G587">
        <v>0</v>
      </c>
      <c r="H587">
        <v>0</v>
      </c>
      <c r="I587" t="s">
        <v>126</v>
      </c>
    </row>
    <row r="588" spans="1:9" x14ac:dyDescent="0.35">
      <c r="A588" t="s">
        <v>21</v>
      </c>
      <c r="B588">
        <v>2025</v>
      </c>
      <c r="C588" t="s">
        <v>125</v>
      </c>
      <c r="D588" t="s">
        <v>49</v>
      </c>
      <c r="E588">
        <v>0.19032067963632901</v>
      </c>
      <c r="F588">
        <v>0.19032067963632901</v>
      </c>
      <c r="G588">
        <v>0</v>
      </c>
      <c r="H588">
        <v>0</v>
      </c>
      <c r="I588" t="s">
        <v>126</v>
      </c>
    </row>
    <row r="589" spans="1:9" x14ac:dyDescent="0.35">
      <c r="A589" t="s">
        <v>21</v>
      </c>
      <c r="B589">
        <v>2025</v>
      </c>
      <c r="C589" t="s">
        <v>125</v>
      </c>
      <c r="D589" t="s">
        <v>50</v>
      </c>
      <c r="E589">
        <v>8.0764696505264202E-2</v>
      </c>
      <c r="F589">
        <v>8.0764696505264202E-2</v>
      </c>
      <c r="G589">
        <v>0</v>
      </c>
      <c r="H589">
        <v>0</v>
      </c>
      <c r="I589" t="s">
        <v>126</v>
      </c>
    </row>
    <row r="590" spans="1:9" x14ac:dyDescent="0.35">
      <c r="A590" t="s">
        <v>21</v>
      </c>
      <c r="B590">
        <v>2025</v>
      </c>
      <c r="C590" t="s">
        <v>125</v>
      </c>
      <c r="D590" t="s">
        <v>51</v>
      </c>
      <c r="E590">
        <v>0.32593544684935599</v>
      </c>
      <c r="F590">
        <v>0.32593544684935599</v>
      </c>
      <c r="G590">
        <v>0</v>
      </c>
      <c r="H590">
        <v>0</v>
      </c>
      <c r="I590" t="s">
        <v>126</v>
      </c>
    </row>
    <row r="591" spans="1:9" x14ac:dyDescent="0.35">
      <c r="A591" t="s">
        <v>21</v>
      </c>
      <c r="B591">
        <v>2025</v>
      </c>
      <c r="C591" t="s">
        <v>125</v>
      </c>
      <c r="D591" t="s">
        <v>52</v>
      </c>
      <c r="E591">
        <v>0.19834168565703</v>
      </c>
      <c r="F591">
        <v>0.19834168565703</v>
      </c>
      <c r="G591">
        <v>0</v>
      </c>
      <c r="H591">
        <v>0</v>
      </c>
      <c r="I591" t="s">
        <v>126</v>
      </c>
    </row>
    <row r="592" spans="1:9" x14ac:dyDescent="0.35">
      <c r="A592" t="s">
        <v>21</v>
      </c>
      <c r="B592">
        <v>2025</v>
      </c>
      <c r="C592" t="s">
        <v>125</v>
      </c>
      <c r="D592" t="s">
        <v>53</v>
      </c>
      <c r="E592">
        <v>1.4548330265220799</v>
      </c>
      <c r="F592">
        <v>1.4548330265220799</v>
      </c>
      <c r="G592">
        <v>0</v>
      </c>
      <c r="H592">
        <v>0</v>
      </c>
      <c r="I592" t="s">
        <v>126</v>
      </c>
    </row>
    <row r="593" spans="1:9" x14ac:dyDescent="0.35">
      <c r="A593" t="s">
        <v>21</v>
      </c>
      <c r="B593">
        <v>2025</v>
      </c>
      <c r="C593" t="s">
        <v>125</v>
      </c>
      <c r="D593" t="s">
        <v>54</v>
      </c>
      <c r="E593">
        <v>3.45458676977493</v>
      </c>
      <c r="F593">
        <v>3.45458676977493</v>
      </c>
      <c r="G593">
        <v>0</v>
      </c>
      <c r="H593">
        <v>0</v>
      </c>
      <c r="I593" t="s">
        <v>126</v>
      </c>
    </row>
    <row r="594" spans="1:9" x14ac:dyDescent="0.35">
      <c r="A594" t="s">
        <v>21</v>
      </c>
      <c r="B594">
        <v>2025</v>
      </c>
      <c r="C594" t="s">
        <v>125</v>
      </c>
      <c r="D594" t="s">
        <v>55</v>
      </c>
      <c r="E594">
        <v>2.9900804908982099</v>
      </c>
      <c r="F594">
        <v>2.9900804908982099</v>
      </c>
      <c r="G594">
        <v>0</v>
      </c>
      <c r="H594">
        <v>0</v>
      </c>
      <c r="I594" t="s">
        <v>126</v>
      </c>
    </row>
    <row r="595" spans="1:9" x14ac:dyDescent="0.35">
      <c r="A595" t="s">
        <v>21</v>
      </c>
      <c r="B595">
        <v>2025</v>
      </c>
      <c r="C595" t="s">
        <v>125</v>
      </c>
      <c r="D595" t="s">
        <v>56</v>
      </c>
      <c r="E595" s="1">
        <v>3.4678613578001602E-7</v>
      </c>
      <c r="F595" s="1">
        <v>3.4678613578001602E-7</v>
      </c>
      <c r="G595">
        <v>0</v>
      </c>
      <c r="H595">
        <v>0</v>
      </c>
      <c r="I595" t="s">
        <v>126</v>
      </c>
    </row>
    <row r="596" spans="1:9" x14ac:dyDescent="0.35">
      <c r="A596" t="s">
        <v>23</v>
      </c>
      <c r="B596">
        <v>2030</v>
      </c>
      <c r="C596" t="s">
        <v>125</v>
      </c>
      <c r="D596" t="s">
        <v>38</v>
      </c>
      <c r="E596">
        <v>1.13794997499515E-3</v>
      </c>
      <c r="F596">
        <v>1.0984098093166101E-3</v>
      </c>
      <c r="G596" s="1">
        <v>-3.9540165678542003E-5</v>
      </c>
      <c r="H596">
        <v>-3.47468399730931</v>
      </c>
      <c r="I596" t="s">
        <v>126</v>
      </c>
    </row>
    <row r="597" spans="1:9" x14ac:dyDescent="0.35">
      <c r="A597" t="s">
        <v>23</v>
      </c>
      <c r="B597">
        <v>2030</v>
      </c>
      <c r="C597" t="s">
        <v>125</v>
      </c>
      <c r="D597" t="s">
        <v>40</v>
      </c>
      <c r="E597">
        <v>1.29313682856052E-2</v>
      </c>
      <c r="F597">
        <v>1.29313682856052E-2</v>
      </c>
      <c r="G597">
        <v>0</v>
      </c>
      <c r="H597">
        <v>0</v>
      </c>
      <c r="I597" t="s">
        <v>126</v>
      </c>
    </row>
    <row r="598" spans="1:9" x14ac:dyDescent="0.35">
      <c r="A598" t="s">
        <v>23</v>
      </c>
      <c r="B598">
        <v>2030</v>
      </c>
      <c r="C598" t="s">
        <v>125</v>
      </c>
      <c r="D598" t="s">
        <v>41</v>
      </c>
      <c r="E598">
        <v>0.16657209068227999</v>
      </c>
      <c r="F598">
        <v>0.163880981311646</v>
      </c>
      <c r="G598">
        <v>-2.6911093706334598E-3</v>
      </c>
      <c r="H598">
        <v>-1.61558239415178</v>
      </c>
      <c r="I598" t="s">
        <v>126</v>
      </c>
    </row>
    <row r="599" spans="1:9" x14ac:dyDescent="0.35">
      <c r="A599" t="s">
        <v>23</v>
      </c>
      <c r="B599">
        <v>2030</v>
      </c>
      <c r="C599" t="s">
        <v>125</v>
      </c>
      <c r="D599" t="s">
        <v>42</v>
      </c>
      <c r="E599">
        <v>42.874987145946001</v>
      </c>
      <c r="F599">
        <v>42.856476303847799</v>
      </c>
      <c r="G599">
        <v>-1.8510842098223099E-2</v>
      </c>
      <c r="H599">
        <v>-4.31739886829876E-2</v>
      </c>
      <c r="I599" t="s">
        <v>126</v>
      </c>
    </row>
    <row r="600" spans="1:9" x14ac:dyDescent="0.35">
      <c r="A600" t="s">
        <v>23</v>
      </c>
      <c r="B600">
        <v>2030</v>
      </c>
      <c r="C600" t="s">
        <v>125</v>
      </c>
      <c r="D600" t="s">
        <v>43</v>
      </c>
      <c r="E600">
        <v>5.4356348145129602E-2</v>
      </c>
      <c r="F600">
        <v>5.4356312926549501E-2</v>
      </c>
      <c r="G600" s="1">
        <v>-3.5218580080043003E-8</v>
      </c>
      <c r="H600" s="1">
        <v>-6.4792027577000998E-5</v>
      </c>
      <c r="I600" t="s">
        <v>126</v>
      </c>
    </row>
    <row r="601" spans="1:9" x14ac:dyDescent="0.35">
      <c r="A601" t="s">
        <v>23</v>
      </c>
      <c r="B601">
        <v>2030</v>
      </c>
      <c r="C601" t="s">
        <v>125</v>
      </c>
      <c r="D601" t="s">
        <v>136</v>
      </c>
      <c r="E601">
        <v>4.2022326617029897</v>
      </c>
      <c r="F601">
        <v>4.20187784937945</v>
      </c>
      <c r="G601">
        <v>-3.5481232354417298E-4</v>
      </c>
      <c r="H601">
        <v>-8.4434240583048104E-3</v>
      </c>
      <c r="I601" t="s">
        <v>126</v>
      </c>
    </row>
    <row r="602" spans="1:9" x14ac:dyDescent="0.35">
      <c r="A602" t="s">
        <v>23</v>
      </c>
      <c r="B602">
        <v>2030</v>
      </c>
      <c r="C602" t="s">
        <v>125</v>
      </c>
      <c r="D602" t="s">
        <v>45</v>
      </c>
      <c r="E602">
        <v>5.0972568729179997E-2</v>
      </c>
      <c r="F602">
        <v>4.43221294026378E-2</v>
      </c>
      <c r="G602">
        <v>-6.6504393265422396E-3</v>
      </c>
      <c r="H602">
        <v>-13.0470947263348</v>
      </c>
      <c r="I602" t="s">
        <v>126</v>
      </c>
    </row>
    <row r="603" spans="1:9" x14ac:dyDescent="0.35">
      <c r="A603" t="s">
        <v>23</v>
      </c>
      <c r="B603">
        <v>2030</v>
      </c>
      <c r="C603" t="s">
        <v>125</v>
      </c>
      <c r="D603" t="s">
        <v>46</v>
      </c>
      <c r="E603">
        <v>0.107294139232361</v>
      </c>
      <c r="F603">
        <v>0.107294139232361</v>
      </c>
      <c r="G603">
        <v>0</v>
      </c>
      <c r="H603">
        <v>0</v>
      </c>
      <c r="I603" t="s">
        <v>126</v>
      </c>
    </row>
    <row r="604" spans="1:9" x14ac:dyDescent="0.35">
      <c r="A604" t="s">
        <v>23</v>
      </c>
      <c r="B604">
        <v>2030</v>
      </c>
      <c r="C604" t="s">
        <v>125</v>
      </c>
      <c r="D604" t="s">
        <v>47</v>
      </c>
      <c r="E604">
        <v>9.4440620194584102E-3</v>
      </c>
      <c r="F604">
        <v>9.4440620194584102E-3</v>
      </c>
      <c r="G604">
        <v>0</v>
      </c>
      <c r="H604">
        <v>0</v>
      </c>
      <c r="I604" t="s">
        <v>126</v>
      </c>
    </row>
    <row r="605" spans="1:9" x14ac:dyDescent="0.35">
      <c r="A605" t="s">
        <v>23</v>
      </c>
      <c r="B605">
        <v>2030</v>
      </c>
      <c r="C605" t="s">
        <v>125</v>
      </c>
      <c r="D605" t="s">
        <v>48</v>
      </c>
      <c r="E605">
        <v>19.604385939290701</v>
      </c>
      <c r="F605">
        <v>19.604385939290701</v>
      </c>
      <c r="G605">
        <v>0</v>
      </c>
      <c r="H605">
        <v>0</v>
      </c>
      <c r="I605" t="s">
        <v>126</v>
      </c>
    </row>
    <row r="606" spans="1:9" x14ac:dyDescent="0.35">
      <c r="A606" t="s">
        <v>23</v>
      </c>
      <c r="B606">
        <v>2030</v>
      </c>
      <c r="C606" t="s">
        <v>125</v>
      </c>
      <c r="D606" t="s">
        <v>49</v>
      </c>
      <c r="E606">
        <v>0.183991380932297</v>
      </c>
      <c r="F606">
        <v>0.150802096456957</v>
      </c>
      <c r="G606">
        <v>-3.31892844753406E-2</v>
      </c>
      <c r="H606">
        <v>-18.038499579256399</v>
      </c>
      <c r="I606" t="s">
        <v>126</v>
      </c>
    </row>
    <row r="607" spans="1:9" x14ac:dyDescent="0.35">
      <c r="A607" t="s">
        <v>23</v>
      </c>
      <c r="B607">
        <v>2030</v>
      </c>
      <c r="C607" t="s">
        <v>125</v>
      </c>
      <c r="D607" t="s">
        <v>50</v>
      </c>
      <c r="E607">
        <v>8.2655009771437499E-2</v>
      </c>
      <c r="F607">
        <v>8.2655009771437499E-2</v>
      </c>
      <c r="G607">
        <v>0</v>
      </c>
      <c r="H607">
        <v>0</v>
      </c>
      <c r="I607" t="s">
        <v>126</v>
      </c>
    </row>
    <row r="608" spans="1:9" x14ac:dyDescent="0.35">
      <c r="A608" t="s">
        <v>23</v>
      </c>
      <c r="B608">
        <v>2030</v>
      </c>
      <c r="C608" t="s">
        <v>125</v>
      </c>
      <c r="D608" t="s">
        <v>51</v>
      </c>
      <c r="E608">
        <v>0.31981674709160202</v>
      </c>
      <c r="F608">
        <v>0.31981674709160202</v>
      </c>
      <c r="G608">
        <v>0</v>
      </c>
      <c r="H608">
        <v>0</v>
      </c>
      <c r="I608" t="s">
        <v>126</v>
      </c>
    </row>
    <row r="609" spans="1:9" x14ac:dyDescent="0.35">
      <c r="A609" t="s">
        <v>23</v>
      </c>
      <c r="B609">
        <v>2030</v>
      </c>
      <c r="C609" t="s">
        <v>125</v>
      </c>
      <c r="D609" t="s">
        <v>52</v>
      </c>
      <c r="E609">
        <v>0.193853530534075</v>
      </c>
      <c r="F609">
        <v>0.193853530534075</v>
      </c>
      <c r="G609">
        <v>0</v>
      </c>
      <c r="H609">
        <v>0</v>
      </c>
      <c r="I609" t="s">
        <v>126</v>
      </c>
    </row>
    <row r="610" spans="1:9" x14ac:dyDescent="0.35">
      <c r="A610" t="s">
        <v>23</v>
      </c>
      <c r="B610">
        <v>2030</v>
      </c>
      <c r="C610" t="s">
        <v>125</v>
      </c>
      <c r="D610" t="s">
        <v>53</v>
      </c>
      <c r="E610">
        <v>1.42370722238341</v>
      </c>
      <c r="F610">
        <v>1.42370722238341</v>
      </c>
      <c r="G610">
        <v>0</v>
      </c>
      <c r="H610">
        <v>0</v>
      </c>
      <c r="I610" t="s">
        <v>126</v>
      </c>
    </row>
    <row r="611" spans="1:9" x14ac:dyDescent="0.35">
      <c r="A611" t="s">
        <v>23</v>
      </c>
      <c r="B611">
        <v>2030</v>
      </c>
      <c r="C611" t="s">
        <v>125</v>
      </c>
      <c r="D611" t="s">
        <v>54</v>
      </c>
      <c r="E611">
        <v>3.4485867574305198</v>
      </c>
      <c r="F611">
        <v>3.4465626990689899</v>
      </c>
      <c r="G611">
        <v>-2.0240583615254099E-3</v>
      </c>
      <c r="H611">
        <v>-5.8692400797638697E-2</v>
      </c>
      <c r="I611" t="s">
        <v>126</v>
      </c>
    </row>
    <row r="612" spans="1:9" x14ac:dyDescent="0.35">
      <c r="A612" t="s">
        <v>23</v>
      </c>
      <c r="B612">
        <v>2030</v>
      </c>
      <c r="C612" t="s">
        <v>125</v>
      </c>
      <c r="D612" t="s">
        <v>55</v>
      </c>
      <c r="E612">
        <v>2.9836782112525202</v>
      </c>
      <c r="F612">
        <v>2.9833254354059702</v>
      </c>
      <c r="G612">
        <v>-3.5277584654824703E-4</v>
      </c>
      <c r="H612">
        <v>-1.18235218938088E-2</v>
      </c>
      <c r="I612" t="s">
        <v>126</v>
      </c>
    </row>
    <row r="613" spans="1:9" x14ac:dyDescent="0.35">
      <c r="A613" t="s">
        <v>23</v>
      </c>
      <c r="B613">
        <v>2030</v>
      </c>
      <c r="C613" t="s">
        <v>125</v>
      </c>
      <c r="D613" t="s">
        <v>56</v>
      </c>
      <c r="E613" s="1">
        <v>3.8363044271020199E-7</v>
      </c>
      <c r="F613" s="1">
        <v>3.8363044271020199E-7</v>
      </c>
      <c r="G613">
        <v>0</v>
      </c>
      <c r="H613">
        <v>0</v>
      </c>
      <c r="I613" t="s">
        <v>126</v>
      </c>
    </row>
    <row r="614" spans="1:9" x14ac:dyDescent="0.35">
      <c r="A614" t="s">
        <v>25</v>
      </c>
      <c r="B614">
        <v>2035</v>
      </c>
      <c r="C614" t="s">
        <v>125</v>
      </c>
      <c r="D614" t="s">
        <v>38</v>
      </c>
      <c r="E614">
        <v>1.5602648463467999E-3</v>
      </c>
      <c r="F614">
        <v>1.54909047837633E-3</v>
      </c>
      <c r="G614" s="1">
        <v>-1.1174367970471E-5</v>
      </c>
      <c r="H614">
        <v>-0.71618405020369402</v>
      </c>
      <c r="I614" t="s">
        <v>126</v>
      </c>
    </row>
    <row r="615" spans="1:9" x14ac:dyDescent="0.35">
      <c r="A615" t="s">
        <v>25</v>
      </c>
      <c r="B615">
        <v>2035</v>
      </c>
      <c r="C615" t="s">
        <v>125</v>
      </c>
      <c r="D615" t="s">
        <v>40</v>
      </c>
      <c r="E615">
        <v>1.3027739451949599E-2</v>
      </c>
      <c r="F615">
        <v>1.3027739451949599E-2</v>
      </c>
      <c r="G615">
        <v>0</v>
      </c>
      <c r="H615">
        <v>0</v>
      </c>
      <c r="I615" t="s">
        <v>126</v>
      </c>
    </row>
    <row r="616" spans="1:9" x14ac:dyDescent="0.35">
      <c r="A616" t="s">
        <v>25</v>
      </c>
      <c r="B616">
        <v>2035</v>
      </c>
      <c r="C616" t="s">
        <v>125</v>
      </c>
      <c r="D616" t="s">
        <v>41</v>
      </c>
      <c r="E616">
        <v>0.165871820519677</v>
      </c>
      <c r="F616">
        <v>0.16512917269767999</v>
      </c>
      <c r="G616">
        <v>-7.4264782199656698E-4</v>
      </c>
      <c r="H616">
        <v>-0.44772392300864999</v>
      </c>
      <c r="I616" t="s">
        <v>126</v>
      </c>
    </row>
    <row r="617" spans="1:9" x14ac:dyDescent="0.35">
      <c r="A617" t="s">
        <v>25</v>
      </c>
      <c r="B617">
        <v>2035</v>
      </c>
      <c r="C617" t="s">
        <v>125</v>
      </c>
      <c r="D617" t="s">
        <v>42</v>
      </c>
      <c r="E617">
        <v>42.730424564175799</v>
      </c>
      <c r="F617">
        <v>42.725198819069597</v>
      </c>
      <c r="G617">
        <v>-5.2257451062445101E-3</v>
      </c>
      <c r="H617">
        <v>-1.22295651389938E-2</v>
      </c>
      <c r="I617" t="s">
        <v>126</v>
      </c>
    </row>
    <row r="618" spans="1:9" x14ac:dyDescent="0.35">
      <c r="A618" t="s">
        <v>25</v>
      </c>
      <c r="B618">
        <v>2035</v>
      </c>
      <c r="C618" t="s">
        <v>125</v>
      </c>
      <c r="D618" t="s">
        <v>43</v>
      </c>
      <c r="E618">
        <v>5.4091985188592401E-2</v>
      </c>
      <c r="F618">
        <v>5.4091975590280797E-2</v>
      </c>
      <c r="G618" s="1">
        <v>-9.5983115899755895E-9</v>
      </c>
      <c r="H618" s="1">
        <v>-1.7744424717471399E-5</v>
      </c>
      <c r="I618" t="s">
        <v>126</v>
      </c>
    </row>
    <row r="619" spans="1:9" x14ac:dyDescent="0.35">
      <c r="A619" t="s">
        <v>25</v>
      </c>
      <c r="B619">
        <v>2035</v>
      </c>
      <c r="C619" t="s">
        <v>125</v>
      </c>
      <c r="D619" t="s">
        <v>136</v>
      </c>
      <c r="E619">
        <v>3.9848876178579702</v>
      </c>
      <c r="F619">
        <v>3.9848377636733701</v>
      </c>
      <c r="G619" s="1">
        <v>-4.98541846041256E-5</v>
      </c>
      <c r="H619">
        <v>-1.25108131985222E-3</v>
      </c>
      <c r="I619" t="s">
        <v>126</v>
      </c>
    </row>
    <row r="620" spans="1:9" x14ac:dyDescent="0.35">
      <c r="A620" t="s">
        <v>25</v>
      </c>
      <c r="B620">
        <v>2035</v>
      </c>
      <c r="C620" t="s">
        <v>125</v>
      </c>
      <c r="D620" t="s">
        <v>45</v>
      </c>
      <c r="E620">
        <v>5.0113382747066698E-2</v>
      </c>
      <c r="F620">
        <v>4.8278394562522101E-2</v>
      </c>
      <c r="G620">
        <v>-1.8349881845446099E-3</v>
      </c>
      <c r="H620">
        <v>-3.6616729583117502</v>
      </c>
      <c r="I620" t="s">
        <v>126</v>
      </c>
    </row>
    <row r="621" spans="1:9" x14ac:dyDescent="0.35">
      <c r="A621" t="s">
        <v>25</v>
      </c>
      <c r="B621">
        <v>2035</v>
      </c>
      <c r="C621" t="s">
        <v>125</v>
      </c>
      <c r="D621" t="s">
        <v>46</v>
      </c>
      <c r="E621">
        <v>0.134106388318218</v>
      </c>
      <c r="F621">
        <v>0.134106388318218</v>
      </c>
      <c r="G621">
        <v>0</v>
      </c>
      <c r="H621">
        <v>0</v>
      </c>
      <c r="I621" t="s">
        <v>126</v>
      </c>
    </row>
    <row r="622" spans="1:9" x14ac:dyDescent="0.35">
      <c r="A622" t="s">
        <v>25</v>
      </c>
      <c r="B622">
        <v>2035</v>
      </c>
      <c r="C622" t="s">
        <v>125</v>
      </c>
      <c r="D622" t="s">
        <v>47</v>
      </c>
      <c r="E622">
        <v>9.2539894598032395E-3</v>
      </c>
      <c r="F622">
        <v>9.2539894598032395E-3</v>
      </c>
      <c r="G622">
        <v>0</v>
      </c>
      <c r="H622">
        <v>0</v>
      </c>
      <c r="I622" t="s">
        <v>126</v>
      </c>
    </row>
    <row r="623" spans="1:9" x14ac:dyDescent="0.35">
      <c r="A623" t="s">
        <v>25</v>
      </c>
      <c r="B623">
        <v>2035</v>
      </c>
      <c r="C623" t="s">
        <v>125</v>
      </c>
      <c r="D623" t="s">
        <v>48</v>
      </c>
      <c r="E623">
        <v>19.605637446354699</v>
      </c>
      <c r="F623">
        <v>19.605637446354699</v>
      </c>
      <c r="G623">
        <v>0</v>
      </c>
      <c r="H623">
        <v>0</v>
      </c>
      <c r="I623" t="s">
        <v>126</v>
      </c>
    </row>
    <row r="624" spans="1:9" x14ac:dyDescent="0.35">
      <c r="A624" t="s">
        <v>25</v>
      </c>
      <c r="B624">
        <v>2035</v>
      </c>
      <c r="C624" t="s">
        <v>125</v>
      </c>
      <c r="D624" t="s">
        <v>49</v>
      </c>
      <c r="E624">
        <v>0.18059391069294101</v>
      </c>
      <c r="F624">
        <v>0.17143487764457199</v>
      </c>
      <c r="G624">
        <v>-9.1590330483689499E-3</v>
      </c>
      <c r="H624">
        <v>-5.0716178708493498</v>
      </c>
      <c r="I624" t="s">
        <v>126</v>
      </c>
    </row>
    <row r="625" spans="1:9" x14ac:dyDescent="0.35">
      <c r="A625" t="s">
        <v>25</v>
      </c>
      <c r="B625">
        <v>2035</v>
      </c>
      <c r="C625" t="s">
        <v>125</v>
      </c>
      <c r="D625" t="s">
        <v>50</v>
      </c>
      <c r="E625">
        <v>8.4108419489128394E-2</v>
      </c>
      <c r="F625">
        <v>8.4108419489128394E-2</v>
      </c>
      <c r="G625">
        <v>0</v>
      </c>
      <c r="H625">
        <v>0</v>
      </c>
      <c r="I625" t="s">
        <v>126</v>
      </c>
    </row>
    <row r="626" spans="1:9" x14ac:dyDescent="0.35">
      <c r="A626" t="s">
        <v>25</v>
      </c>
      <c r="B626">
        <v>2035</v>
      </c>
      <c r="C626" t="s">
        <v>125</v>
      </c>
      <c r="D626" t="s">
        <v>51</v>
      </c>
      <c r="E626">
        <v>0.31744933754737098</v>
      </c>
      <c r="F626">
        <v>0.31744933754737098</v>
      </c>
      <c r="G626">
        <v>0</v>
      </c>
      <c r="H626">
        <v>0</v>
      </c>
      <c r="I626" t="s">
        <v>126</v>
      </c>
    </row>
    <row r="627" spans="1:9" x14ac:dyDescent="0.35">
      <c r="A627" t="s">
        <v>25</v>
      </c>
      <c r="B627">
        <v>2035</v>
      </c>
      <c r="C627" t="s">
        <v>125</v>
      </c>
      <c r="D627" t="s">
        <v>52</v>
      </c>
      <c r="E627">
        <v>0.187946361263925</v>
      </c>
      <c r="F627">
        <v>0.187946361263925</v>
      </c>
      <c r="G627">
        <v>0</v>
      </c>
      <c r="H627">
        <v>0</v>
      </c>
      <c r="I627" t="s">
        <v>126</v>
      </c>
    </row>
    <row r="628" spans="1:9" x14ac:dyDescent="0.35">
      <c r="A628" t="s">
        <v>25</v>
      </c>
      <c r="B628">
        <v>2035</v>
      </c>
      <c r="C628" t="s">
        <v>125</v>
      </c>
      <c r="D628" t="s">
        <v>53</v>
      </c>
      <c r="E628">
        <v>1.41314494467494</v>
      </c>
      <c r="F628">
        <v>1.41314494467494</v>
      </c>
      <c r="G628">
        <v>0</v>
      </c>
      <c r="H628">
        <v>0</v>
      </c>
      <c r="I628" t="s">
        <v>126</v>
      </c>
    </row>
    <row r="629" spans="1:9" x14ac:dyDescent="0.35">
      <c r="A629" t="s">
        <v>25</v>
      </c>
      <c r="B629">
        <v>2035</v>
      </c>
      <c r="C629" t="s">
        <v>125</v>
      </c>
      <c r="D629" t="s">
        <v>54</v>
      </c>
      <c r="E629">
        <v>3.4467389881910799</v>
      </c>
      <c r="F629">
        <v>3.4461663210360598</v>
      </c>
      <c r="G629">
        <v>-5.7266715502857202E-4</v>
      </c>
      <c r="H629">
        <v>-1.6614752581805399E-2</v>
      </c>
      <c r="I629" t="s">
        <v>126</v>
      </c>
    </row>
    <row r="630" spans="1:9" x14ac:dyDescent="0.35">
      <c r="A630" t="s">
        <v>25</v>
      </c>
      <c r="B630">
        <v>2035</v>
      </c>
      <c r="C630" t="s">
        <v>125</v>
      </c>
      <c r="D630" t="s">
        <v>55</v>
      </c>
      <c r="E630">
        <v>2.98150985370415</v>
      </c>
      <c r="F630">
        <v>2.9814107582949498</v>
      </c>
      <c r="G630" s="1">
        <v>-9.9095409194838101E-5</v>
      </c>
      <c r="H630">
        <v>-3.3236653258658299E-3</v>
      </c>
      <c r="I630" t="s">
        <v>126</v>
      </c>
    </row>
    <row r="631" spans="1:9" x14ac:dyDescent="0.35">
      <c r="A631" t="s">
        <v>25</v>
      </c>
      <c r="B631">
        <v>2035</v>
      </c>
      <c r="C631" t="s">
        <v>125</v>
      </c>
      <c r="D631" t="s">
        <v>56</v>
      </c>
      <c r="E631" s="1">
        <v>4.0593713357356902E-7</v>
      </c>
      <c r="F631" s="1">
        <v>4.0593713357356902E-7</v>
      </c>
      <c r="G631">
        <v>0</v>
      </c>
      <c r="H631">
        <v>0</v>
      </c>
      <c r="I631" t="s">
        <v>126</v>
      </c>
    </row>
    <row r="632" spans="1:9" x14ac:dyDescent="0.35">
      <c r="A632" t="s">
        <v>27</v>
      </c>
      <c r="B632">
        <v>2040</v>
      </c>
      <c r="C632" t="s">
        <v>125</v>
      </c>
      <c r="D632" t="s">
        <v>38</v>
      </c>
      <c r="E632">
        <v>1.34505836959333E-3</v>
      </c>
      <c r="F632">
        <v>1.2943418090828999E-3</v>
      </c>
      <c r="G632" s="1">
        <v>-5.0716560510430903E-5</v>
      </c>
      <c r="H632">
        <v>-3.7705843595296602</v>
      </c>
      <c r="I632" t="s">
        <v>126</v>
      </c>
    </row>
    <row r="633" spans="1:9" x14ac:dyDescent="0.35">
      <c r="A633" t="s">
        <v>27</v>
      </c>
      <c r="B633">
        <v>2040</v>
      </c>
      <c r="C633" t="s">
        <v>125</v>
      </c>
      <c r="D633" t="s">
        <v>40</v>
      </c>
      <c r="E633">
        <v>1.3037094518940501E-2</v>
      </c>
      <c r="F633">
        <v>1.3037094518940501E-2</v>
      </c>
      <c r="G633">
        <v>0</v>
      </c>
      <c r="H633">
        <v>0</v>
      </c>
      <c r="I633" t="s">
        <v>126</v>
      </c>
    </row>
    <row r="634" spans="1:9" x14ac:dyDescent="0.35">
      <c r="A634" t="s">
        <v>27</v>
      </c>
      <c r="B634">
        <v>2040</v>
      </c>
      <c r="C634" t="s">
        <v>125</v>
      </c>
      <c r="D634" t="s">
        <v>41</v>
      </c>
      <c r="E634">
        <v>0.165448042573445</v>
      </c>
      <c r="F634">
        <v>0.162014147987073</v>
      </c>
      <c r="G634">
        <v>-3.4338945863722201E-3</v>
      </c>
      <c r="H634">
        <v>-2.0755123680885199</v>
      </c>
      <c r="I634" t="s">
        <v>126</v>
      </c>
    </row>
    <row r="635" spans="1:9" x14ac:dyDescent="0.35">
      <c r="A635" t="s">
        <v>27</v>
      </c>
      <c r="B635">
        <v>2040</v>
      </c>
      <c r="C635" t="s">
        <v>125</v>
      </c>
      <c r="D635" t="s">
        <v>42</v>
      </c>
      <c r="E635">
        <v>42.715973439387398</v>
      </c>
      <c r="F635">
        <v>42.692235903446203</v>
      </c>
      <c r="G635">
        <v>-2.37375359411942E-2</v>
      </c>
      <c r="H635">
        <v>-5.5570630913695497E-2</v>
      </c>
      <c r="I635" t="s">
        <v>126</v>
      </c>
    </row>
    <row r="636" spans="1:9" x14ac:dyDescent="0.35">
      <c r="A636" t="s">
        <v>27</v>
      </c>
      <c r="B636">
        <v>2040</v>
      </c>
      <c r="C636" t="s">
        <v>125</v>
      </c>
      <c r="D636" t="s">
        <v>43</v>
      </c>
      <c r="E636">
        <v>5.3902933798246497E-2</v>
      </c>
      <c r="F636">
        <v>5.3902888979557702E-2</v>
      </c>
      <c r="G636" s="1">
        <v>-4.4818688739456301E-8</v>
      </c>
      <c r="H636" s="1">
        <v>-8.3147030377248794E-5</v>
      </c>
      <c r="I636" t="s">
        <v>126</v>
      </c>
    </row>
    <row r="637" spans="1:9" x14ac:dyDescent="0.35">
      <c r="A637" t="s">
        <v>27</v>
      </c>
      <c r="B637">
        <v>2040</v>
      </c>
      <c r="C637" t="s">
        <v>125</v>
      </c>
      <c r="D637" t="s">
        <v>136</v>
      </c>
      <c r="E637">
        <v>3.8986048728702101</v>
      </c>
      <c r="F637">
        <v>3.89820018965146</v>
      </c>
      <c r="G637">
        <v>-4.0468321874920199E-4</v>
      </c>
      <c r="H637">
        <v>-1.03802060466637E-2</v>
      </c>
      <c r="I637" t="s">
        <v>126</v>
      </c>
    </row>
    <row r="638" spans="1:9" x14ac:dyDescent="0.35">
      <c r="A638" t="s">
        <v>27</v>
      </c>
      <c r="B638">
        <v>2040</v>
      </c>
      <c r="C638" t="s">
        <v>125</v>
      </c>
      <c r="D638" t="s">
        <v>45</v>
      </c>
      <c r="E638">
        <v>4.9806577678371898E-2</v>
      </c>
      <c r="F638">
        <v>4.1320810639732801E-2</v>
      </c>
      <c r="G638">
        <v>-8.4857670386390797E-3</v>
      </c>
      <c r="H638">
        <v>-17.037442510979702</v>
      </c>
      <c r="I638" t="s">
        <v>126</v>
      </c>
    </row>
    <row r="639" spans="1:9" x14ac:dyDescent="0.35">
      <c r="A639" t="s">
        <v>27</v>
      </c>
      <c r="B639">
        <v>2040</v>
      </c>
      <c r="C639" t="s">
        <v>125</v>
      </c>
      <c r="D639" t="s">
        <v>46</v>
      </c>
      <c r="E639">
        <v>0.15028951118766601</v>
      </c>
      <c r="F639">
        <v>0.15028951118766601</v>
      </c>
      <c r="G639">
        <v>0</v>
      </c>
      <c r="H639">
        <v>0</v>
      </c>
      <c r="I639" t="s">
        <v>126</v>
      </c>
    </row>
    <row r="640" spans="1:9" x14ac:dyDescent="0.35">
      <c r="A640" t="s">
        <v>27</v>
      </c>
      <c r="B640">
        <v>2040</v>
      </c>
      <c r="C640" t="s">
        <v>125</v>
      </c>
      <c r="D640" t="s">
        <v>47</v>
      </c>
      <c r="E640">
        <v>9.2399516701320503E-3</v>
      </c>
      <c r="F640">
        <v>9.2399516701320503E-3</v>
      </c>
      <c r="G640">
        <v>0</v>
      </c>
      <c r="H640">
        <v>0</v>
      </c>
      <c r="I640" t="s">
        <v>126</v>
      </c>
    </row>
    <row r="641" spans="1:9" x14ac:dyDescent="0.35">
      <c r="A641" t="s">
        <v>27</v>
      </c>
      <c r="B641">
        <v>2040</v>
      </c>
      <c r="C641" t="s">
        <v>125</v>
      </c>
      <c r="D641" t="s">
        <v>48</v>
      </c>
      <c r="E641">
        <v>19.608703543354</v>
      </c>
      <c r="F641">
        <v>19.608703543354</v>
      </c>
      <c r="G641">
        <v>0</v>
      </c>
      <c r="H641">
        <v>0</v>
      </c>
      <c r="I641" t="s">
        <v>126</v>
      </c>
    </row>
    <row r="642" spans="1:9" x14ac:dyDescent="0.35">
      <c r="A642" t="s">
        <v>27</v>
      </c>
      <c r="B642">
        <v>2040</v>
      </c>
      <c r="C642" t="s">
        <v>125</v>
      </c>
      <c r="D642" t="s">
        <v>49</v>
      </c>
      <c r="E642">
        <v>0.17919414457979399</v>
      </c>
      <c r="F642">
        <v>0.13684413258757799</v>
      </c>
      <c r="G642">
        <v>-4.2350011992216698E-2</v>
      </c>
      <c r="H642">
        <v>-23.633591427625099</v>
      </c>
      <c r="I642" t="s">
        <v>126</v>
      </c>
    </row>
    <row r="643" spans="1:9" x14ac:dyDescent="0.35">
      <c r="A643" t="s">
        <v>27</v>
      </c>
      <c r="B643">
        <v>2040</v>
      </c>
      <c r="C643" t="s">
        <v>125</v>
      </c>
      <c r="D643" t="s">
        <v>50</v>
      </c>
      <c r="E643">
        <v>8.3615996906440601E-2</v>
      </c>
      <c r="F643">
        <v>8.3615996906440601E-2</v>
      </c>
      <c r="G643">
        <v>0</v>
      </c>
      <c r="H643">
        <v>0</v>
      </c>
      <c r="I643" t="s">
        <v>126</v>
      </c>
    </row>
    <row r="644" spans="1:9" x14ac:dyDescent="0.35">
      <c r="A644" t="s">
        <v>27</v>
      </c>
      <c r="B644">
        <v>2040</v>
      </c>
      <c r="C644" t="s">
        <v>125</v>
      </c>
      <c r="D644" t="s">
        <v>51</v>
      </c>
      <c r="E644">
        <v>0.31882413297043399</v>
      </c>
      <c r="F644">
        <v>0.31882413297043399</v>
      </c>
      <c r="G644">
        <v>0</v>
      </c>
      <c r="H644">
        <v>0</v>
      </c>
      <c r="I644" t="s">
        <v>126</v>
      </c>
    </row>
    <row r="645" spans="1:9" x14ac:dyDescent="0.35">
      <c r="A645" t="s">
        <v>27</v>
      </c>
      <c r="B645">
        <v>2040</v>
      </c>
      <c r="C645" t="s">
        <v>125</v>
      </c>
      <c r="D645" t="s">
        <v>52</v>
      </c>
      <c r="E645">
        <v>0.17997974482398399</v>
      </c>
      <c r="F645">
        <v>0.17997974482398399</v>
      </c>
      <c r="G645">
        <v>0</v>
      </c>
      <c r="H645">
        <v>0</v>
      </c>
      <c r="I645" t="s">
        <v>126</v>
      </c>
    </row>
    <row r="646" spans="1:9" x14ac:dyDescent="0.35">
      <c r="A646" t="s">
        <v>27</v>
      </c>
      <c r="B646">
        <v>2040</v>
      </c>
      <c r="C646" t="s">
        <v>125</v>
      </c>
      <c r="D646" t="s">
        <v>53</v>
      </c>
      <c r="E646">
        <v>1.4034015239934901</v>
      </c>
      <c r="F646">
        <v>1.4034015239934901</v>
      </c>
      <c r="G646">
        <v>0</v>
      </c>
      <c r="H646">
        <v>0</v>
      </c>
      <c r="I646" t="s">
        <v>126</v>
      </c>
    </row>
    <row r="647" spans="1:9" x14ac:dyDescent="0.35">
      <c r="A647" t="s">
        <v>27</v>
      </c>
      <c r="B647">
        <v>2040</v>
      </c>
      <c r="C647" t="s">
        <v>125</v>
      </c>
      <c r="D647" t="s">
        <v>54</v>
      </c>
      <c r="E647">
        <v>3.44822182406361</v>
      </c>
      <c r="F647">
        <v>3.4456249947720701</v>
      </c>
      <c r="G647">
        <v>-2.5968292915496899E-3</v>
      </c>
      <c r="H647">
        <v>-7.5309229627501598E-2</v>
      </c>
      <c r="I647" t="s">
        <v>126</v>
      </c>
    </row>
    <row r="648" spans="1:9" x14ac:dyDescent="0.35">
      <c r="A648" t="s">
        <v>27</v>
      </c>
      <c r="B648">
        <v>2040</v>
      </c>
      <c r="C648" t="s">
        <v>125</v>
      </c>
      <c r="D648" t="s">
        <v>55</v>
      </c>
      <c r="E648">
        <v>2.98274843700128</v>
      </c>
      <c r="F648">
        <v>2.9822965476801602</v>
      </c>
      <c r="G648">
        <v>-4.51889321114951E-4</v>
      </c>
      <c r="H648">
        <v>-1.51500983290853E-2</v>
      </c>
      <c r="I648" t="s">
        <v>126</v>
      </c>
    </row>
    <row r="649" spans="1:9" x14ac:dyDescent="0.35">
      <c r="A649" t="s">
        <v>27</v>
      </c>
      <c r="B649">
        <v>2040</v>
      </c>
      <c r="C649" t="s">
        <v>125</v>
      </c>
      <c r="D649" t="s">
        <v>56</v>
      </c>
      <c r="E649" s="1">
        <v>4.10017360421378E-7</v>
      </c>
      <c r="F649" s="1">
        <v>4.10017360421378E-7</v>
      </c>
      <c r="G649">
        <v>0</v>
      </c>
      <c r="H649">
        <v>0</v>
      </c>
      <c r="I649" t="s">
        <v>126</v>
      </c>
    </row>
    <row r="650" spans="1:9" x14ac:dyDescent="0.35">
      <c r="A650" t="s">
        <v>21</v>
      </c>
      <c r="B650">
        <v>2025</v>
      </c>
      <c r="C650" t="s">
        <v>85</v>
      </c>
      <c r="D650" t="s">
        <v>38</v>
      </c>
      <c r="E650">
        <v>1.9367220831355199E-4</v>
      </c>
      <c r="F650">
        <v>1.9367220831355199E-4</v>
      </c>
      <c r="G650">
        <v>0</v>
      </c>
      <c r="H650">
        <v>0</v>
      </c>
      <c r="I650" t="s">
        <v>86</v>
      </c>
    </row>
    <row r="651" spans="1:9" x14ac:dyDescent="0.35">
      <c r="A651" t="s">
        <v>21</v>
      </c>
      <c r="B651">
        <v>2025</v>
      </c>
      <c r="C651" t="s">
        <v>85</v>
      </c>
      <c r="D651" t="s">
        <v>40</v>
      </c>
      <c r="E651">
        <v>2.76207971618677E-4</v>
      </c>
      <c r="F651">
        <v>2.76207971618677E-4</v>
      </c>
      <c r="G651">
        <v>0</v>
      </c>
      <c r="H651">
        <v>0</v>
      </c>
      <c r="I651" t="s">
        <v>86</v>
      </c>
    </row>
    <row r="652" spans="1:9" x14ac:dyDescent="0.35">
      <c r="A652" t="s">
        <v>21</v>
      </c>
      <c r="B652">
        <v>2025</v>
      </c>
      <c r="C652" t="s">
        <v>85</v>
      </c>
      <c r="D652" t="s">
        <v>41</v>
      </c>
      <c r="E652">
        <v>4.1547310635314397E-3</v>
      </c>
      <c r="F652">
        <v>4.1547310635314397E-3</v>
      </c>
      <c r="G652">
        <v>0</v>
      </c>
      <c r="H652">
        <v>0</v>
      </c>
      <c r="I652" t="s">
        <v>86</v>
      </c>
    </row>
    <row r="653" spans="1:9" x14ac:dyDescent="0.35">
      <c r="A653" t="s">
        <v>21</v>
      </c>
      <c r="B653">
        <v>2025</v>
      </c>
      <c r="C653" t="s">
        <v>85</v>
      </c>
      <c r="D653" t="s">
        <v>42</v>
      </c>
      <c r="E653">
        <v>1.8865579334056499</v>
      </c>
      <c r="F653">
        <v>1.8865579334056499</v>
      </c>
      <c r="G653">
        <v>0</v>
      </c>
      <c r="H653">
        <v>0</v>
      </c>
      <c r="I653" t="s">
        <v>86</v>
      </c>
    </row>
    <row r="654" spans="1:9" x14ac:dyDescent="0.35">
      <c r="A654" t="s">
        <v>21</v>
      </c>
      <c r="B654">
        <v>2025</v>
      </c>
      <c r="C654" t="s">
        <v>85</v>
      </c>
      <c r="D654" t="s">
        <v>43</v>
      </c>
      <c r="E654">
        <v>7.2330423116326098E-4</v>
      </c>
      <c r="F654">
        <v>7.2330423116326098E-4</v>
      </c>
      <c r="G654">
        <v>0</v>
      </c>
      <c r="H654">
        <v>0</v>
      </c>
      <c r="I654" t="s">
        <v>86</v>
      </c>
    </row>
    <row r="655" spans="1:9" x14ac:dyDescent="0.35">
      <c r="A655" t="s">
        <v>21</v>
      </c>
      <c r="B655">
        <v>2025</v>
      </c>
      <c r="C655" t="s">
        <v>85</v>
      </c>
      <c r="D655" t="s">
        <v>136</v>
      </c>
      <c r="E655">
        <v>0.64188662559361798</v>
      </c>
      <c r="F655">
        <v>0.64188662559361798</v>
      </c>
      <c r="G655">
        <v>0</v>
      </c>
      <c r="H655">
        <v>0</v>
      </c>
      <c r="I655" t="s">
        <v>86</v>
      </c>
    </row>
    <row r="656" spans="1:9" x14ac:dyDescent="0.35">
      <c r="A656" t="s">
        <v>21</v>
      </c>
      <c r="B656">
        <v>2025</v>
      </c>
      <c r="C656" t="s">
        <v>85</v>
      </c>
      <c r="D656" t="s">
        <v>45</v>
      </c>
      <c r="E656">
        <v>5.6479534218862896E-3</v>
      </c>
      <c r="F656">
        <v>5.6479534218862896E-3</v>
      </c>
      <c r="G656">
        <v>0</v>
      </c>
      <c r="H656">
        <v>0</v>
      </c>
      <c r="I656" t="s">
        <v>86</v>
      </c>
    </row>
    <row r="657" spans="1:9" x14ac:dyDescent="0.35">
      <c r="A657" t="s">
        <v>21</v>
      </c>
      <c r="B657">
        <v>2025</v>
      </c>
      <c r="C657" t="s">
        <v>85</v>
      </c>
      <c r="D657" t="s">
        <v>46</v>
      </c>
      <c r="E657">
        <v>2.08705618110211E-2</v>
      </c>
      <c r="F657">
        <v>2.08705618110211E-2</v>
      </c>
      <c r="G657">
        <v>0</v>
      </c>
      <c r="H657">
        <v>0</v>
      </c>
      <c r="I657" t="s">
        <v>86</v>
      </c>
    </row>
    <row r="658" spans="1:9" x14ac:dyDescent="0.35">
      <c r="A658" t="s">
        <v>21</v>
      </c>
      <c r="B658">
        <v>2025</v>
      </c>
      <c r="C658" t="s">
        <v>85</v>
      </c>
      <c r="D658" t="s">
        <v>47</v>
      </c>
      <c r="E658">
        <v>3.0388104884012599E-4</v>
      </c>
      <c r="F658">
        <v>3.0388104884012599E-4</v>
      </c>
      <c r="G658">
        <v>0</v>
      </c>
      <c r="H658">
        <v>0</v>
      </c>
      <c r="I658" t="s">
        <v>86</v>
      </c>
    </row>
    <row r="659" spans="1:9" x14ac:dyDescent="0.35">
      <c r="A659" t="s">
        <v>21</v>
      </c>
      <c r="B659">
        <v>2025</v>
      </c>
      <c r="C659" t="s">
        <v>85</v>
      </c>
      <c r="D659" t="s">
        <v>48</v>
      </c>
      <c r="E659">
        <v>42.685544621846198</v>
      </c>
      <c r="F659">
        <v>42.685544621846198</v>
      </c>
      <c r="G659">
        <v>0</v>
      </c>
      <c r="H659">
        <v>0</v>
      </c>
      <c r="I659" t="s">
        <v>86</v>
      </c>
    </row>
    <row r="660" spans="1:9" x14ac:dyDescent="0.35">
      <c r="A660" t="s">
        <v>21</v>
      </c>
      <c r="B660">
        <v>2025</v>
      </c>
      <c r="C660" t="s">
        <v>85</v>
      </c>
      <c r="D660" t="s">
        <v>49</v>
      </c>
      <c r="E660">
        <v>2.38203273580402E-2</v>
      </c>
      <c r="F660">
        <v>2.38203273580402E-2</v>
      </c>
      <c r="G660">
        <v>0</v>
      </c>
      <c r="H660">
        <v>0</v>
      </c>
      <c r="I660" t="s">
        <v>86</v>
      </c>
    </row>
    <row r="661" spans="1:9" x14ac:dyDescent="0.35">
      <c r="A661" t="s">
        <v>21</v>
      </c>
      <c r="B661">
        <v>2025</v>
      </c>
      <c r="C661" t="s">
        <v>85</v>
      </c>
      <c r="D661" t="s">
        <v>50</v>
      </c>
      <c r="E661">
        <v>5.5195519562930596E-3</v>
      </c>
      <c r="F661">
        <v>5.5195519562930596E-3</v>
      </c>
      <c r="G661">
        <v>0</v>
      </c>
      <c r="H661">
        <v>0</v>
      </c>
      <c r="I661" t="s">
        <v>86</v>
      </c>
    </row>
    <row r="662" spans="1:9" x14ac:dyDescent="0.35">
      <c r="A662" t="s">
        <v>21</v>
      </c>
      <c r="B662">
        <v>2025</v>
      </c>
      <c r="C662" t="s">
        <v>85</v>
      </c>
      <c r="D662" t="s">
        <v>51</v>
      </c>
      <c r="E662">
        <v>3.6457196962293201E-2</v>
      </c>
      <c r="F662">
        <v>3.6457196962293201E-2</v>
      </c>
      <c r="G662">
        <v>0</v>
      </c>
      <c r="H662">
        <v>0</v>
      </c>
      <c r="I662" t="s">
        <v>86</v>
      </c>
    </row>
    <row r="663" spans="1:9" x14ac:dyDescent="0.35">
      <c r="A663" t="s">
        <v>21</v>
      </c>
      <c r="B663">
        <v>2025</v>
      </c>
      <c r="C663" t="s">
        <v>85</v>
      </c>
      <c r="D663" t="s">
        <v>52</v>
      </c>
      <c r="E663">
        <v>9.7026626651343595E-2</v>
      </c>
      <c r="F663">
        <v>9.7026626651343595E-2</v>
      </c>
      <c r="G663">
        <v>0</v>
      </c>
      <c r="H663">
        <v>0</v>
      </c>
      <c r="I663" t="s">
        <v>86</v>
      </c>
    </row>
    <row r="664" spans="1:9" x14ac:dyDescent="0.35">
      <c r="A664" t="s">
        <v>21</v>
      </c>
      <c r="B664">
        <v>2025</v>
      </c>
      <c r="C664" t="s">
        <v>85</v>
      </c>
      <c r="D664" t="s">
        <v>53</v>
      </c>
      <c r="E664">
        <v>0.270661014810474</v>
      </c>
      <c r="F664">
        <v>0.270661014810474</v>
      </c>
      <c r="G664">
        <v>0</v>
      </c>
      <c r="H664">
        <v>0</v>
      </c>
      <c r="I664" t="s">
        <v>86</v>
      </c>
    </row>
    <row r="665" spans="1:9" x14ac:dyDescent="0.35">
      <c r="A665" t="s">
        <v>21</v>
      </c>
      <c r="B665">
        <v>2025</v>
      </c>
      <c r="C665" t="s">
        <v>85</v>
      </c>
      <c r="D665" t="s">
        <v>54</v>
      </c>
      <c r="E665">
        <v>4.9114750729109598E-2</v>
      </c>
      <c r="F665">
        <v>4.9114750729109598E-2</v>
      </c>
      <c r="G665">
        <v>0</v>
      </c>
      <c r="H665">
        <v>0</v>
      </c>
      <c r="I665" t="s">
        <v>86</v>
      </c>
    </row>
    <row r="666" spans="1:9" x14ac:dyDescent="0.35">
      <c r="A666" t="s">
        <v>21</v>
      </c>
      <c r="B666">
        <v>2025</v>
      </c>
      <c r="C666" t="s">
        <v>85</v>
      </c>
      <c r="D666" t="s">
        <v>55</v>
      </c>
      <c r="E666">
        <v>4.5572182249782399E-2</v>
      </c>
      <c r="F666">
        <v>4.5572182249782399E-2</v>
      </c>
      <c r="G666">
        <v>0</v>
      </c>
      <c r="H666">
        <v>0</v>
      </c>
      <c r="I666" t="s">
        <v>86</v>
      </c>
    </row>
    <row r="667" spans="1:9" x14ac:dyDescent="0.35">
      <c r="A667" t="s">
        <v>21</v>
      </c>
      <c r="B667">
        <v>2025</v>
      </c>
      <c r="C667" t="s">
        <v>85</v>
      </c>
      <c r="D667" t="s">
        <v>56</v>
      </c>
      <c r="E667" s="1">
        <v>5.4070160786930002E-8</v>
      </c>
      <c r="F667" s="1">
        <v>5.4070160786930002E-8</v>
      </c>
      <c r="G667">
        <v>0</v>
      </c>
      <c r="H667">
        <v>0</v>
      </c>
      <c r="I667" t="s">
        <v>86</v>
      </c>
    </row>
    <row r="668" spans="1:9" x14ac:dyDescent="0.35">
      <c r="A668" t="s">
        <v>23</v>
      </c>
      <c r="B668">
        <v>2030</v>
      </c>
      <c r="C668" t="s">
        <v>85</v>
      </c>
      <c r="D668" t="s">
        <v>38</v>
      </c>
      <c r="E668">
        <v>3.5880760142460201E-4</v>
      </c>
      <c r="F668">
        <v>3.5880760142460201E-4</v>
      </c>
      <c r="G668">
        <v>0</v>
      </c>
      <c r="H668">
        <v>0</v>
      </c>
      <c r="I668" t="s">
        <v>86</v>
      </c>
    </row>
    <row r="669" spans="1:9" x14ac:dyDescent="0.35">
      <c r="A669" t="s">
        <v>23</v>
      </c>
      <c r="B669">
        <v>2030</v>
      </c>
      <c r="C669" t="s">
        <v>85</v>
      </c>
      <c r="D669" t="s">
        <v>40</v>
      </c>
      <c r="E669">
        <v>2.71414255894577E-4</v>
      </c>
      <c r="F669">
        <v>2.71414255894577E-4</v>
      </c>
      <c r="G669">
        <v>0</v>
      </c>
      <c r="H669">
        <v>0</v>
      </c>
      <c r="I669" t="s">
        <v>86</v>
      </c>
    </row>
    <row r="670" spans="1:9" x14ac:dyDescent="0.35">
      <c r="A670" t="s">
        <v>23</v>
      </c>
      <c r="B670">
        <v>2030</v>
      </c>
      <c r="C670" t="s">
        <v>85</v>
      </c>
      <c r="D670" t="s">
        <v>41</v>
      </c>
      <c r="E670">
        <v>4.02134706701247E-3</v>
      </c>
      <c r="F670">
        <v>4.02134706701247E-3</v>
      </c>
      <c r="G670">
        <v>0</v>
      </c>
      <c r="H670">
        <v>0</v>
      </c>
      <c r="I670" t="s">
        <v>86</v>
      </c>
    </row>
    <row r="671" spans="1:9" x14ac:dyDescent="0.35">
      <c r="A671" t="s">
        <v>23</v>
      </c>
      <c r="B671">
        <v>2030</v>
      </c>
      <c r="C671" t="s">
        <v>85</v>
      </c>
      <c r="D671" t="s">
        <v>42</v>
      </c>
      <c r="E671">
        <v>1.88882884005218</v>
      </c>
      <c r="F671">
        <v>1.88882884005218</v>
      </c>
      <c r="G671">
        <v>0</v>
      </c>
      <c r="H671">
        <v>0</v>
      </c>
      <c r="I671" t="s">
        <v>86</v>
      </c>
    </row>
    <row r="672" spans="1:9" x14ac:dyDescent="0.35">
      <c r="A672" t="s">
        <v>23</v>
      </c>
      <c r="B672">
        <v>2030</v>
      </c>
      <c r="C672" t="s">
        <v>85</v>
      </c>
      <c r="D672" t="s">
        <v>43</v>
      </c>
      <c r="E672">
        <v>7.1563242242590405E-4</v>
      </c>
      <c r="F672">
        <v>7.1563242242590405E-4</v>
      </c>
      <c r="G672">
        <v>0</v>
      </c>
      <c r="H672">
        <v>0</v>
      </c>
      <c r="I672" t="s">
        <v>86</v>
      </c>
    </row>
    <row r="673" spans="1:9" x14ac:dyDescent="0.35">
      <c r="A673" t="s">
        <v>23</v>
      </c>
      <c r="B673">
        <v>2030</v>
      </c>
      <c r="C673" t="s">
        <v>85</v>
      </c>
      <c r="D673" t="s">
        <v>136</v>
      </c>
      <c r="E673">
        <v>0.62134502069233</v>
      </c>
      <c r="F673">
        <v>0.62134502069233</v>
      </c>
      <c r="G673">
        <v>0</v>
      </c>
      <c r="H673">
        <v>0</v>
      </c>
      <c r="I673" t="s">
        <v>86</v>
      </c>
    </row>
    <row r="674" spans="1:9" x14ac:dyDescent="0.35">
      <c r="A674" t="s">
        <v>23</v>
      </c>
      <c r="B674">
        <v>2030</v>
      </c>
      <c r="C674" t="s">
        <v>85</v>
      </c>
      <c r="D674" t="s">
        <v>45</v>
      </c>
      <c r="E674">
        <v>5.4470544935991301E-3</v>
      </c>
      <c r="F674">
        <v>5.4470544935991301E-3</v>
      </c>
      <c r="G674">
        <v>0</v>
      </c>
      <c r="H674">
        <v>0</v>
      </c>
      <c r="I674" t="s">
        <v>86</v>
      </c>
    </row>
    <row r="675" spans="1:9" x14ac:dyDescent="0.35">
      <c r="A675" t="s">
        <v>23</v>
      </c>
      <c r="B675">
        <v>2030</v>
      </c>
      <c r="C675" t="s">
        <v>85</v>
      </c>
      <c r="D675" t="s">
        <v>46</v>
      </c>
      <c r="E675">
        <v>2.9413047142636602E-2</v>
      </c>
      <c r="F675">
        <v>2.9413047142636602E-2</v>
      </c>
      <c r="G675">
        <v>0</v>
      </c>
      <c r="H675">
        <v>0</v>
      </c>
      <c r="I675" t="s">
        <v>86</v>
      </c>
    </row>
    <row r="676" spans="1:9" x14ac:dyDescent="0.35">
      <c r="A676" t="s">
        <v>23</v>
      </c>
      <c r="B676">
        <v>2030</v>
      </c>
      <c r="C676" t="s">
        <v>85</v>
      </c>
      <c r="D676" t="s">
        <v>47</v>
      </c>
      <c r="E676">
        <v>3.1802985071672601E-4</v>
      </c>
      <c r="F676">
        <v>3.1802985071672601E-4</v>
      </c>
      <c r="G676">
        <v>0</v>
      </c>
      <c r="H676">
        <v>0</v>
      </c>
      <c r="I676" t="s">
        <v>86</v>
      </c>
    </row>
    <row r="677" spans="1:9" x14ac:dyDescent="0.35">
      <c r="A677" t="s">
        <v>23</v>
      </c>
      <c r="B677">
        <v>2030</v>
      </c>
      <c r="C677" t="s">
        <v>85</v>
      </c>
      <c r="D677" t="s">
        <v>48</v>
      </c>
      <c r="E677">
        <v>42.685677029902699</v>
      </c>
      <c r="F677">
        <v>42.685677029902699</v>
      </c>
      <c r="G677">
        <v>0</v>
      </c>
      <c r="H677">
        <v>0</v>
      </c>
      <c r="I677" t="s">
        <v>86</v>
      </c>
    </row>
    <row r="678" spans="1:9" x14ac:dyDescent="0.35">
      <c r="A678" t="s">
        <v>23</v>
      </c>
      <c r="B678">
        <v>2030</v>
      </c>
      <c r="C678" t="s">
        <v>85</v>
      </c>
      <c r="D678" t="s">
        <v>49</v>
      </c>
      <c r="E678">
        <v>2.3600953963151601E-2</v>
      </c>
      <c r="F678">
        <v>2.3600953963151601E-2</v>
      </c>
      <c r="G678">
        <v>0</v>
      </c>
      <c r="H678">
        <v>0</v>
      </c>
      <c r="I678" t="s">
        <v>86</v>
      </c>
    </row>
    <row r="679" spans="1:9" x14ac:dyDescent="0.35">
      <c r="A679" t="s">
        <v>23</v>
      </c>
      <c r="B679">
        <v>2030</v>
      </c>
      <c r="C679" t="s">
        <v>85</v>
      </c>
      <c r="D679" t="s">
        <v>50</v>
      </c>
      <c r="E679">
        <v>6.0207073796344802E-3</v>
      </c>
      <c r="F679">
        <v>6.0207073796344802E-3</v>
      </c>
      <c r="G679">
        <v>0</v>
      </c>
      <c r="H679">
        <v>0</v>
      </c>
      <c r="I679" t="s">
        <v>86</v>
      </c>
    </row>
    <row r="680" spans="1:9" x14ac:dyDescent="0.35">
      <c r="A680" t="s">
        <v>23</v>
      </c>
      <c r="B680">
        <v>2030</v>
      </c>
      <c r="C680" t="s">
        <v>85</v>
      </c>
      <c r="D680" t="s">
        <v>51</v>
      </c>
      <c r="E680">
        <v>3.6374603589199597E-2</v>
      </c>
      <c r="F680">
        <v>3.6374603589199597E-2</v>
      </c>
      <c r="G680">
        <v>0</v>
      </c>
      <c r="H680">
        <v>0</v>
      </c>
      <c r="I680" t="s">
        <v>86</v>
      </c>
    </row>
    <row r="681" spans="1:9" x14ac:dyDescent="0.35">
      <c r="A681" t="s">
        <v>23</v>
      </c>
      <c r="B681">
        <v>2030</v>
      </c>
      <c r="C681" t="s">
        <v>85</v>
      </c>
      <c r="D681" t="s">
        <v>52</v>
      </c>
      <c r="E681">
        <v>8.2018876136806501E-2</v>
      </c>
      <c r="F681">
        <v>8.2018876136806501E-2</v>
      </c>
      <c r="G681">
        <v>0</v>
      </c>
      <c r="H681">
        <v>0</v>
      </c>
      <c r="I681" t="s">
        <v>86</v>
      </c>
    </row>
    <row r="682" spans="1:9" x14ac:dyDescent="0.35">
      <c r="A682" t="s">
        <v>23</v>
      </c>
      <c r="B682">
        <v>2030</v>
      </c>
      <c r="C682" t="s">
        <v>85</v>
      </c>
      <c r="D682" t="s">
        <v>53</v>
      </c>
      <c r="E682">
        <v>0.26639084076678499</v>
      </c>
      <c r="F682">
        <v>0.26639084076678499</v>
      </c>
      <c r="G682">
        <v>0</v>
      </c>
      <c r="H682">
        <v>0</v>
      </c>
      <c r="I682" t="s">
        <v>86</v>
      </c>
    </row>
    <row r="683" spans="1:9" x14ac:dyDescent="0.35">
      <c r="A683" t="s">
        <v>23</v>
      </c>
      <c r="B683">
        <v>2030</v>
      </c>
      <c r="C683" t="s">
        <v>85</v>
      </c>
      <c r="D683" t="s">
        <v>54</v>
      </c>
      <c r="E683">
        <v>4.9753507810659799E-2</v>
      </c>
      <c r="F683">
        <v>4.9753507810659799E-2</v>
      </c>
      <c r="G683">
        <v>0</v>
      </c>
      <c r="H683">
        <v>0</v>
      </c>
      <c r="I683" t="s">
        <v>86</v>
      </c>
    </row>
    <row r="684" spans="1:9" x14ac:dyDescent="0.35">
      <c r="A684" t="s">
        <v>23</v>
      </c>
      <c r="B684">
        <v>2030</v>
      </c>
      <c r="C684" t="s">
        <v>85</v>
      </c>
      <c r="D684" t="s">
        <v>55</v>
      </c>
      <c r="E684">
        <v>4.6051455420607797E-2</v>
      </c>
      <c r="F684">
        <v>4.6051455420607797E-2</v>
      </c>
      <c r="G684">
        <v>0</v>
      </c>
      <c r="H684">
        <v>0</v>
      </c>
      <c r="I684" t="s">
        <v>86</v>
      </c>
    </row>
    <row r="685" spans="1:9" x14ac:dyDescent="0.35">
      <c r="A685" t="s">
        <v>23</v>
      </c>
      <c r="B685">
        <v>2030</v>
      </c>
      <c r="C685" t="s">
        <v>85</v>
      </c>
      <c r="D685" t="s">
        <v>56</v>
      </c>
      <c r="E685" s="1">
        <v>5.12960881010479E-8</v>
      </c>
      <c r="F685" s="1">
        <v>5.12960881010479E-8</v>
      </c>
      <c r="G685">
        <v>0</v>
      </c>
      <c r="H685">
        <v>0</v>
      </c>
      <c r="I685" t="s">
        <v>86</v>
      </c>
    </row>
    <row r="686" spans="1:9" x14ac:dyDescent="0.35">
      <c r="A686" t="s">
        <v>25</v>
      </c>
      <c r="B686">
        <v>2035</v>
      </c>
      <c r="C686" t="s">
        <v>85</v>
      </c>
      <c r="D686" t="s">
        <v>38</v>
      </c>
      <c r="E686">
        <v>4.9470054522198002E-4</v>
      </c>
      <c r="F686">
        <v>4.9470054522198002E-4</v>
      </c>
      <c r="G686">
        <v>0</v>
      </c>
      <c r="H686">
        <v>0</v>
      </c>
      <c r="I686" t="s">
        <v>86</v>
      </c>
    </row>
    <row r="687" spans="1:9" x14ac:dyDescent="0.35">
      <c r="A687" t="s">
        <v>25</v>
      </c>
      <c r="B687">
        <v>2035</v>
      </c>
      <c r="C687" t="s">
        <v>85</v>
      </c>
      <c r="D687" t="s">
        <v>40</v>
      </c>
      <c r="E687">
        <v>2.6950306794490002E-4</v>
      </c>
      <c r="F687">
        <v>2.6950306794490002E-4</v>
      </c>
      <c r="G687">
        <v>0</v>
      </c>
      <c r="H687">
        <v>0</v>
      </c>
      <c r="I687" t="s">
        <v>86</v>
      </c>
    </row>
    <row r="688" spans="1:9" x14ac:dyDescent="0.35">
      <c r="A688" t="s">
        <v>25</v>
      </c>
      <c r="B688">
        <v>2035</v>
      </c>
      <c r="C688" t="s">
        <v>85</v>
      </c>
      <c r="D688" t="s">
        <v>41</v>
      </c>
      <c r="E688">
        <v>3.9682602508507398E-3</v>
      </c>
      <c r="F688">
        <v>3.9682602508507398E-3</v>
      </c>
      <c r="G688">
        <v>0</v>
      </c>
      <c r="H688">
        <v>0</v>
      </c>
      <c r="I688" t="s">
        <v>86</v>
      </c>
    </row>
    <row r="689" spans="1:9" x14ac:dyDescent="0.35">
      <c r="A689" t="s">
        <v>25</v>
      </c>
      <c r="B689">
        <v>2035</v>
      </c>
      <c r="C689" t="s">
        <v>85</v>
      </c>
      <c r="D689" t="s">
        <v>42</v>
      </c>
      <c r="E689">
        <v>1.9082498023085801</v>
      </c>
      <c r="F689">
        <v>1.9082498023085801</v>
      </c>
      <c r="G689">
        <v>0</v>
      </c>
      <c r="H689">
        <v>0</v>
      </c>
      <c r="I689" t="s">
        <v>86</v>
      </c>
    </row>
    <row r="690" spans="1:9" x14ac:dyDescent="0.35">
      <c r="A690" t="s">
        <v>25</v>
      </c>
      <c r="B690">
        <v>2035</v>
      </c>
      <c r="C690" t="s">
        <v>85</v>
      </c>
      <c r="D690" t="s">
        <v>43</v>
      </c>
      <c r="E690">
        <v>7.3088661808194298E-4</v>
      </c>
      <c r="F690">
        <v>7.3088661808194298E-4</v>
      </c>
      <c r="G690">
        <v>0</v>
      </c>
      <c r="H690">
        <v>0</v>
      </c>
      <c r="I690" t="s">
        <v>86</v>
      </c>
    </row>
    <row r="691" spans="1:9" x14ac:dyDescent="0.35">
      <c r="A691" t="s">
        <v>25</v>
      </c>
      <c r="B691">
        <v>2035</v>
      </c>
      <c r="C691" t="s">
        <v>85</v>
      </c>
      <c r="D691" t="s">
        <v>136</v>
      </c>
      <c r="E691">
        <v>0.630949734562683</v>
      </c>
      <c r="F691">
        <v>0.630949734562683</v>
      </c>
      <c r="G691">
        <v>0</v>
      </c>
      <c r="H691">
        <v>0</v>
      </c>
      <c r="I691" t="s">
        <v>86</v>
      </c>
    </row>
    <row r="692" spans="1:9" x14ac:dyDescent="0.35">
      <c r="A692" t="s">
        <v>25</v>
      </c>
      <c r="B692">
        <v>2035</v>
      </c>
      <c r="C692" t="s">
        <v>85</v>
      </c>
      <c r="D692" t="s">
        <v>45</v>
      </c>
      <c r="E692">
        <v>5.3272598210339604E-3</v>
      </c>
      <c r="F692">
        <v>5.3272598210339604E-3</v>
      </c>
      <c r="G692">
        <v>0</v>
      </c>
      <c r="H692">
        <v>0</v>
      </c>
      <c r="I692" t="s">
        <v>86</v>
      </c>
    </row>
    <row r="693" spans="1:9" x14ac:dyDescent="0.35">
      <c r="A693" t="s">
        <v>25</v>
      </c>
      <c r="B693">
        <v>2035</v>
      </c>
      <c r="C693" t="s">
        <v>85</v>
      </c>
      <c r="D693" t="s">
        <v>46</v>
      </c>
      <c r="E693">
        <v>3.7983120640568899E-2</v>
      </c>
      <c r="F693">
        <v>3.7983120640568899E-2</v>
      </c>
      <c r="G693">
        <v>0</v>
      </c>
      <c r="H693">
        <v>0</v>
      </c>
      <c r="I693" t="s">
        <v>86</v>
      </c>
    </row>
    <row r="694" spans="1:9" x14ac:dyDescent="0.35">
      <c r="A694" t="s">
        <v>25</v>
      </c>
      <c r="B694">
        <v>2035</v>
      </c>
      <c r="C694" t="s">
        <v>85</v>
      </c>
      <c r="D694" t="s">
        <v>47</v>
      </c>
      <c r="E694">
        <v>3.5685277693271202E-4</v>
      </c>
      <c r="F694">
        <v>3.5685277693271202E-4</v>
      </c>
      <c r="G694">
        <v>0</v>
      </c>
      <c r="H694">
        <v>0</v>
      </c>
      <c r="I694" t="s">
        <v>86</v>
      </c>
    </row>
    <row r="695" spans="1:9" x14ac:dyDescent="0.35">
      <c r="A695" t="s">
        <v>25</v>
      </c>
      <c r="B695">
        <v>2035</v>
      </c>
      <c r="C695" t="s">
        <v>85</v>
      </c>
      <c r="D695" t="s">
        <v>48</v>
      </c>
      <c r="E695">
        <v>42.685870884370999</v>
      </c>
      <c r="F695">
        <v>42.685870884370999</v>
      </c>
      <c r="G695">
        <v>0</v>
      </c>
      <c r="H695">
        <v>0</v>
      </c>
      <c r="I695" t="s">
        <v>86</v>
      </c>
    </row>
    <row r="696" spans="1:9" x14ac:dyDescent="0.35">
      <c r="A696" t="s">
        <v>25</v>
      </c>
      <c r="B696">
        <v>2035</v>
      </c>
      <c r="C696" t="s">
        <v>85</v>
      </c>
      <c r="D696" t="s">
        <v>49</v>
      </c>
      <c r="E696">
        <v>2.34803947221594E-2</v>
      </c>
      <c r="F696">
        <v>2.34803947221594E-2</v>
      </c>
      <c r="G696">
        <v>0</v>
      </c>
      <c r="H696">
        <v>0</v>
      </c>
      <c r="I696" t="s">
        <v>86</v>
      </c>
    </row>
    <row r="697" spans="1:9" x14ac:dyDescent="0.35">
      <c r="A697" t="s">
        <v>25</v>
      </c>
      <c r="B697">
        <v>2035</v>
      </c>
      <c r="C697" t="s">
        <v>85</v>
      </c>
      <c r="D697" t="s">
        <v>50</v>
      </c>
      <c r="E697">
        <v>6.4929684037895999E-3</v>
      </c>
      <c r="F697">
        <v>6.4929684037895999E-3</v>
      </c>
      <c r="G697">
        <v>0</v>
      </c>
      <c r="H697">
        <v>0</v>
      </c>
      <c r="I697" t="s">
        <v>86</v>
      </c>
    </row>
    <row r="698" spans="1:9" x14ac:dyDescent="0.35">
      <c r="A698" t="s">
        <v>25</v>
      </c>
      <c r="B698">
        <v>2035</v>
      </c>
      <c r="C698" t="s">
        <v>85</v>
      </c>
      <c r="D698" t="s">
        <v>51</v>
      </c>
      <c r="E698">
        <v>3.6426649070966599E-2</v>
      </c>
      <c r="F698">
        <v>3.6426649070966599E-2</v>
      </c>
      <c r="G698">
        <v>0</v>
      </c>
      <c r="H698">
        <v>0</v>
      </c>
      <c r="I698" t="s">
        <v>86</v>
      </c>
    </row>
    <row r="699" spans="1:9" x14ac:dyDescent="0.35">
      <c r="A699" t="s">
        <v>25</v>
      </c>
      <c r="B699">
        <v>2035</v>
      </c>
      <c r="C699" t="s">
        <v>85</v>
      </c>
      <c r="D699" t="s">
        <v>52</v>
      </c>
      <c r="E699">
        <v>6.8176885977357202E-2</v>
      </c>
      <c r="F699">
        <v>6.8176885977357202E-2</v>
      </c>
      <c r="G699">
        <v>0</v>
      </c>
      <c r="H699">
        <v>0</v>
      </c>
      <c r="I699" t="s">
        <v>86</v>
      </c>
    </row>
    <row r="700" spans="1:9" x14ac:dyDescent="0.35">
      <c r="A700" t="s">
        <v>25</v>
      </c>
      <c r="B700">
        <v>2035</v>
      </c>
      <c r="C700" t="s">
        <v>85</v>
      </c>
      <c r="D700" t="s">
        <v>53</v>
      </c>
      <c r="E700">
        <v>0.27134246651885102</v>
      </c>
      <c r="F700">
        <v>0.27134246651885102</v>
      </c>
      <c r="G700">
        <v>0</v>
      </c>
      <c r="H700">
        <v>0</v>
      </c>
      <c r="I700" t="s">
        <v>86</v>
      </c>
    </row>
    <row r="701" spans="1:9" x14ac:dyDescent="0.35">
      <c r="A701" t="s">
        <v>25</v>
      </c>
      <c r="B701">
        <v>2035</v>
      </c>
      <c r="C701" t="s">
        <v>85</v>
      </c>
      <c r="D701" t="s">
        <v>54</v>
      </c>
      <c r="E701">
        <v>5.05668965260389E-2</v>
      </c>
      <c r="F701">
        <v>5.05668965260389E-2</v>
      </c>
      <c r="G701">
        <v>0</v>
      </c>
      <c r="H701">
        <v>0</v>
      </c>
      <c r="I701" t="s">
        <v>86</v>
      </c>
    </row>
    <row r="702" spans="1:9" x14ac:dyDescent="0.35">
      <c r="A702" t="s">
        <v>25</v>
      </c>
      <c r="B702">
        <v>2035</v>
      </c>
      <c r="C702" t="s">
        <v>85</v>
      </c>
      <c r="D702" t="s">
        <v>55</v>
      </c>
      <c r="E702">
        <v>4.6747743616333298E-2</v>
      </c>
      <c r="F702">
        <v>4.6747743616333298E-2</v>
      </c>
      <c r="G702">
        <v>0</v>
      </c>
      <c r="H702">
        <v>0</v>
      </c>
      <c r="I702" t="s">
        <v>86</v>
      </c>
    </row>
    <row r="703" spans="1:9" x14ac:dyDescent="0.35">
      <c r="A703" t="s">
        <v>25</v>
      </c>
      <c r="B703">
        <v>2035</v>
      </c>
      <c r="C703" t="s">
        <v>85</v>
      </c>
      <c r="D703" t="s">
        <v>56</v>
      </c>
      <c r="E703" s="1">
        <v>5.1303521777844401E-8</v>
      </c>
      <c r="F703" s="1">
        <v>5.1303521777844401E-8</v>
      </c>
      <c r="G703">
        <v>0</v>
      </c>
      <c r="H703">
        <v>0</v>
      </c>
      <c r="I703" t="s">
        <v>86</v>
      </c>
    </row>
    <row r="704" spans="1:9" x14ac:dyDescent="0.35">
      <c r="A704" t="s">
        <v>27</v>
      </c>
      <c r="B704">
        <v>2040</v>
      </c>
      <c r="C704" t="s">
        <v>85</v>
      </c>
      <c r="D704" t="s">
        <v>38</v>
      </c>
      <c r="E704">
        <v>4.38567635869803E-4</v>
      </c>
      <c r="F704">
        <v>4.3856530716513802E-4</v>
      </c>
      <c r="G704" s="1">
        <v>-2.3287046649724301E-9</v>
      </c>
      <c r="H704">
        <v>-5.3097959687653496E-4</v>
      </c>
      <c r="I704" t="s">
        <v>86</v>
      </c>
    </row>
    <row r="705" spans="1:9" x14ac:dyDescent="0.35">
      <c r="A705" t="s">
        <v>27</v>
      </c>
      <c r="B705">
        <v>2040</v>
      </c>
      <c r="C705" t="s">
        <v>85</v>
      </c>
      <c r="D705" t="s">
        <v>40</v>
      </c>
      <c r="E705">
        <v>2.6886194756491901E-4</v>
      </c>
      <c r="F705">
        <v>2.6886194756491901E-4</v>
      </c>
      <c r="G705">
        <v>0</v>
      </c>
      <c r="H705">
        <v>0</v>
      </c>
      <c r="I705" t="s">
        <v>86</v>
      </c>
    </row>
    <row r="706" spans="1:9" x14ac:dyDescent="0.35">
      <c r="A706" t="s">
        <v>27</v>
      </c>
      <c r="B706">
        <v>2040</v>
      </c>
      <c r="C706" t="s">
        <v>85</v>
      </c>
      <c r="D706" t="s">
        <v>41</v>
      </c>
      <c r="E706">
        <v>3.9403031086802098E-3</v>
      </c>
      <c r="F706">
        <v>3.8700554694359002E-3</v>
      </c>
      <c r="G706" s="1">
        <v>-7.0247639244310894E-5</v>
      </c>
      <c r="H706">
        <v>-1.78279785353467</v>
      </c>
      <c r="I706" t="s">
        <v>86</v>
      </c>
    </row>
    <row r="707" spans="1:9" x14ac:dyDescent="0.35">
      <c r="A707" t="s">
        <v>27</v>
      </c>
      <c r="B707">
        <v>2040</v>
      </c>
      <c r="C707" t="s">
        <v>85</v>
      </c>
      <c r="D707" t="s">
        <v>42</v>
      </c>
      <c r="E707">
        <v>1.9267036100842001</v>
      </c>
      <c r="F707">
        <v>0.57399228135954306</v>
      </c>
      <c r="G707">
        <v>-1.3527113287246599</v>
      </c>
      <c r="H707">
        <v>-70.208584322190703</v>
      </c>
      <c r="I707" t="s">
        <v>86</v>
      </c>
    </row>
    <row r="708" spans="1:9" x14ac:dyDescent="0.35">
      <c r="A708" t="s">
        <v>27</v>
      </c>
      <c r="B708">
        <v>2040</v>
      </c>
      <c r="C708" t="s">
        <v>85</v>
      </c>
      <c r="D708" t="s">
        <v>43</v>
      </c>
      <c r="E708">
        <v>7.1201910101471898E-4</v>
      </c>
      <c r="F708">
        <v>7.1201910101471898E-4</v>
      </c>
      <c r="G708">
        <v>0</v>
      </c>
      <c r="H708">
        <v>0</v>
      </c>
      <c r="I708" t="s">
        <v>86</v>
      </c>
    </row>
    <row r="709" spans="1:9" x14ac:dyDescent="0.35">
      <c r="A709" t="s">
        <v>27</v>
      </c>
      <c r="B709">
        <v>2040</v>
      </c>
      <c r="C709" t="s">
        <v>85</v>
      </c>
      <c r="D709" t="s">
        <v>136</v>
      </c>
      <c r="E709">
        <v>0.64389850505064194</v>
      </c>
      <c r="F709">
        <v>0.64389850505064194</v>
      </c>
      <c r="G709">
        <v>0</v>
      </c>
      <c r="H709">
        <v>0</v>
      </c>
      <c r="I709" t="s">
        <v>86</v>
      </c>
    </row>
    <row r="710" spans="1:9" x14ac:dyDescent="0.35">
      <c r="A710" t="s">
        <v>27</v>
      </c>
      <c r="B710">
        <v>2040</v>
      </c>
      <c r="C710" t="s">
        <v>85</v>
      </c>
      <c r="D710" t="s">
        <v>45</v>
      </c>
      <c r="E710">
        <v>5.2498004378892698E-3</v>
      </c>
      <c r="F710">
        <v>5.0765229174251601E-3</v>
      </c>
      <c r="G710">
        <v>-1.73277520464112E-4</v>
      </c>
      <c r="H710">
        <v>-3.3006496630523299</v>
      </c>
      <c r="I710" t="s">
        <v>86</v>
      </c>
    </row>
    <row r="711" spans="1:9" x14ac:dyDescent="0.35">
      <c r="A711" t="s">
        <v>27</v>
      </c>
      <c r="B711">
        <v>2040</v>
      </c>
      <c r="C711" t="s">
        <v>85</v>
      </c>
      <c r="D711" t="s">
        <v>46</v>
      </c>
      <c r="E711">
        <v>3.8930519540392401E-2</v>
      </c>
      <c r="F711">
        <v>3.8930519540392401E-2</v>
      </c>
      <c r="G711">
        <v>0</v>
      </c>
      <c r="H711">
        <v>0</v>
      </c>
      <c r="I711" t="s">
        <v>86</v>
      </c>
    </row>
    <row r="712" spans="1:9" x14ac:dyDescent="0.35">
      <c r="A712" t="s">
        <v>27</v>
      </c>
      <c r="B712">
        <v>2040</v>
      </c>
      <c r="C712" t="s">
        <v>85</v>
      </c>
      <c r="D712" t="s">
        <v>47</v>
      </c>
      <c r="E712">
        <v>3.91980148389637E-4</v>
      </c>
      <c r="F712">
        <v>3.91980148389637E-4</v>
      </c>
      <c r="G712">
        <v>0</v>
      </c>
      <c r="H712">
        <v>0</v>
      </c>
      <c r="I712" t="s">
        <v>86</v>
      </c>
    </row>
    <row r="713" spans="1:9" x14ac:dyDescent="0.35">
      <c r="A713" t="s">
        <v>27</v>
      </c>
      <c r="B713">
        <v>2040</v>
      </c>
      <c r="C713" t="s">
        <v>85</v>
      </c>
      <c r="D713" t="s">
        <v>48</v>
      </c>
      <c r="E713">
        <v>42.686363477115997</v>
      </c>
      <c r="F713">
        <v>42.686363477115997</v>
      </c>
      <c r="G713">
        <v>0</v>
      </c>
      <c r="H713">
        <v>0</v>
      </c>
      <c r="I713" t="s">
        <v>86</v>
      </c>
    </row>
    <row r="714" spans="1:9" x14ac:dyDescent="0.35">
      <c r="A714" t="s">
        <v>27</v>
      </c>
      <c r="B714">
        <v>2040</v>
      </c>
      <c r="C714" t="s">
        <v>85</v>
      </c>
      <c r="D714" t="s">
        <v>49</v>
      </c>
      <c r="E714">
        <v>2.3380376322918801E-2</v>
      </c>
      <c r="F714">
        <v>2.2513988733508399E-2</v>
      </c>
      <c r="G714">
        <v>-8.66387589410381E-4</v>
      </c>
      <c r="H714">
        <v>-3.7056186668864499</v>
      </c>
      <c r="I714" t="s">
        <v>86</v>
      </c>
    </row>
    <row r="715" spans="1:9" x14ac:dyDescent="0.35">
      <c r="A715" t="s">
        <v>27</v>
      </c>
      <c r="B715">
        <v>2040</v>
      </c>
      <c r="C715" t="s">
        <v>85</v>
      </c>
      <c r="D715" t="s">
        <v>50</v>
      </c>
      <c r="E715">
        <v>6.2809205551173398E-3</v>
      </c>
      <c r="F715">
        <v>6.2809205551173398E-3</v>
      </c>
      <c r="G715">
        <v>0</v>
      </c>
      <c r="H715">
        <v>0</v>
      </c>
      <c r="I715" t="s">
        <v>86</v>
      </c>
    </row>
    <row r="716" spans="1:9" x14ac:dyDescent="0.35">
      <c r="A716" t="s">
        <v>27</v>
      </c>
      <c r="B716">
        <v>2040</v>
      </c>
      <c r="C716" t="s">
        <v>85</v>
      </c>
      <c r="D716" t="s">
        <v>51</v>
      </c>
      <c r="E716">
        <v>3.6555707394382998E-2</v>
      </c>
      <c r="F716">
        <v>3.6555707394382998E-2</v>
      </c>
      <c r="G716">
        <v>0</v>
      </c>
      <c r="H716">
        <v>0</v>
      </c>
      <c r="I716" t="s">
        <v>86</v>
      </c>
    </row>
    <row r="717" spans="1:9" x14ac:dyDescent="0.35">
      <c r="A717" t="s">
        <v>27</v>
      </c>
      <c r="B717">
        <v>2040</v>
      </c>
      <c r="C717" t="s">
        <v>85</v>
      </c>
      <c r="D717" t="s">
        <v>52</v>
      </c>
      <c r="E717">
        <v>5.7702659159961103E-2</v>
      </c>
      <c r="F717">
        <v>5.7702659159961103E-2</v>
      </c>
      <c r="G717">
        <v>0</v>
      </c>
      <c r="H717">
        <v>0</v>
      </c>
      <c r="I717" t="s">
        <v>86</v>
      </c>
    </row>
    <row r="718" spans="1:9" x14ac:dyDescent="0.35">
      <c r="A718" t="s">
        <v>27</v>
      </c>
      <c r="B718">
        <v>2040</v>
      </c>
      <c r="C718" t="s">
        <v>85</v>
      </c>
      <c r="D718" t="s">
        <v>53</v>
      </c>
      <c r="E718">
        <v>0.27677508194303102</v>
      </c>
      <c r="F718">
        <v>0.27677508194303102</v>
      </c>
      <c r="G718">
        <v>0</v>
      </c>
      <c r="H718">
        <v>0</v>
      </c>
      <c r="I718" t="s">
        <v>86</v>
      </c>
    </row>
    <row r="719" spans="1:9" x14ac:dyDescent="0.35">
      <c r="A719" t="s">
        <v>27</v>
      </c>
      <c r="B719">
        <v>2040</v>
      </c>
      <c r="C719" t="s">
        <v>85</v>
      </c>
      <c r="D719" t="s">
        <v>54</v>
      </c>
      <c r="E719">
        <v>5.1267180223154699E-2</v>
      </c>
      <c r="F719">
        <v>4.4017100237175803E-2</v>
      </c>
      <c r="G719">
        <v>-7.2500799859788797E-3</v>
      </c>
      <c r="H719">
        <v>-14.1417568791981</v>
      </c>
      <c r="I719" t="s">
        <v>86</v>
      </c>
    </row>
    <row r="720" spans="1:9" x14ac:dyDescent="0.35">
      <c r="A720" t="s">
        <v>27</v>
      </c>
      <c r="B720">
        <v>2040</v>
      </c>
      <c r="C720" t="s">
        <v>85</v>
      </c>
      <c r="D720" t="s">
        <v>55</v>
      </c>
      <c r="E720">
        <v>4.73891032031174E-2</v>
      </c>
      <c r="F720">
        <v>4.0241045077171002E-2</v>
      </c>
      <c r="G720">
        <v>-7.1480581259463901E-3</v>
      </c>
      <c r="H720">
        <v>-15.0837590137729</v>
      </c>
      <c r="I720" t="s">
        <v>86</v>
      </c>
    </row>
    <row r="721" spans="1:9" x14ac:dyDescent="0.35">
      <c r="A721" t="s">
        <v>27</v>
      </c>
      <c r="B721">
        <v>2040</v>
      </c>
      <c r="C721" t="s">
        <v>85</v>
      </c>
      <c r="D721" t="s">
        <v>56</v>
      </c>
      <c r="E721" s="1">
        <v>5.2237855224050403E-8</v>
      </c>
      <c r="F721" s="1">
        <v>5.2237855224050403E-8</v>
      </c>
      <c r="G721">
        <v>0</v>
      </c>
      <c r="H721">
        <v>0</v>
      </c>
      <c r="I721" t="s">
        <v>86</v>
      </c>
    </row>
    <row r="722" spans="1:9" x14ac:dyDescent="0.35">
      <c r="A722" t="s">
        <v>21</v>
      </c>
      <c r="B722">
        <v>2025</v>
      </c>
      <c r="C722" t="s">
        <v>72</v>
      </c>
      <c r="D722" t="s">
        <v>38</v>
      </c>
      <c r="E722">
        <v>2.0460816945955698E-3</v>
      </c>
      <c r="F722">
        <v>2.0460816945955698E-3</v>
      </c>
      <c r="G722">
        <v>0</v>
      </c>
      <c r="H722">
        <v>0</v>
      </c>
      <c r="I722" t="s">
        <v>73</v>
      </c>
    </row>
    <row r="723" spans="1:9" x14ac:dyDescent="0.35">
      <c r="A723" t="s">
        <v>21</v>
      </c>
      <c r="B723">
        <v>2025</v>
      </c>
      <c r="C723" t="s">
        <v>72</v>
      </c>
      <c r="D723" t="s">
        <v>40</v>
      </c>
      <c r="E723">
        <v>1.3026950789837501E-3</v>
      </c>
      <c r="F723">
        <v>1.3026950789837501E-3</v>
      </c>
      <c r="G723">
        <v>0</v>
      </c>
      <c r="H723">
        <v>0</v>
      </c>
      <c r="I723" t="s">
        <v>73</v>
      </c>
    </row>
    <row r="724" spans="1:9" x14ac:dyDescent="0.35">
      <c r="A724" t="s">
        <v>21</v>
      </c>
      <c r="B724">
        <v>2025</v>
      </c>
      <c r="C724" t="s">
        <v>72</v>
      </c>
      <c r="D724" t="s">
        <v>41</v>
      </c>
      <c r="E724">
        <v>3.5674734979816498E-2</v>
      </c>
      <c r="F724">
        <v>3.5674734979816498E-2</v>
      </c>
      <c r="G724">
        <v>0</v>
      </c>
      <c r="H724">
        <v>0</v>
      </c>
      <c r="I724" t="s">
        <v>73</v>
      </c>
    </row>
    <row r="725" spans="1:9" x14ac:dyDescent="0.35">
      <c r="A725" t="s">
        <v>21</v>
      </c>
      <c r="B725">
        <v>2025</v>
      </c>
      <c r="C725" t="s">
        <v>72</v>
      </c>
      <c r="D725" t="s">
        <v>42</v>
      </c>
      <c r="E725">
        <v>5.7258871590354001</v>
      </c>
      <c r="F725">
        <v>5.7258871590354001</v>
      </c>
      <c r="G725">
        <v>0</v>
      </c>
      <c r="H725">
        <v>0</v>
      </c>
      <c r="I725" t="s">
        <v>73</v>
      </c>
    </row>
    <row r="726" spans="1:9" x14ac:dyDescent="0.35">
      <c r="A726" t="s">
        <v>21</v>
      </c>
      <c r="B726">
        <v>2025</v>
      </c>
      <c r="C726" t="s">
        <v>72</v>
      </c>
      <c r="D726" t="s">
        <v>43</v>
      </c>
      <c r="E726">
        <v>3.9570148745269602E-2</v>
      </c>
      <c r="F726">
        <v>3.9570148745269602E-2</v>
      </c>
      <c r="G726">
        <v>0</v>
      </c>
      <c r="H726">
        <v>0</v>
      </c>
      <c r="I726" t="s">
        <v>73</v>
      </c>
    </row>
    <row r="727" spans="1:9" x14ac:dyDescent="0.35">
      <c r="A727" t="s">
        <v>21</v>
      </c>
      <c r="B727">
        <v>2025</v>
      </c>
      <c r="C727" t="s">
        <v>72</v>
      </c>
      <c r="D727" t="s">
        <v>136</v>
      </c>
      <c r="E727">
        <v>8.7178063726592097</v>
      </c>
      <c r="F727">
        <v>8.7178063726592097</v>
      </c>
      <c r="G727">
        <v>0</v>
      </c>
      <c r="H727">
        <v>0</v>
      </c>
      <c r="I727" t="s">
        <v>73</v>
      </c>
    </row>
    <row r="728" spans="1:9" x14ac:dyDescent="0.35">
      <c r="A728" t="s">
        <v>21</v>
      </c>
      <c r="B728">
        <v>2025</v>
      </c>
      <c r="C728" t="s">
        <v>72</v>
      </c>
      <c r="D728" t="s">
        <v>45</v>
      </c>
      <c r="E728">
        <v>3.3884486604257399E-2</v>
      </c>
      <c r="F728">
        <v>3.3884486604257399E-2</v>
      </c>
      <c r="G728">
        <v>0</v>
      </c>
      <c r="H728">
        <v>0</v>
      </c>
      <c r="I728" t="s">
        <v>73</v>
      </c>
    </row>
    <row r="729" spans="1:9" x14ac:dyDescent="0.35">
      <c r="A729" t="s">
        <v>21</v>
      </c>
      <c r="B729">
        <v>2025</v>
      </c>
      <c r="C729" t="s">
        <v>72</v>
      </c>
      <c r="D729" t="s">
        <v>46</v>
      </c>
      <c r="E729">
        <v>0.18204747404482099</v>
      </c>
      <c r="F729">
        <v>0.18204747404482099</v>
      </c>
      <c r="G729">
        <v>0</v>
      </c>
      <c r="H729">
        <v>0</v>
      </c>
      <c r="I729" t="s">
        <v>73</v>
      </c>
    </row>
    <row r="730" spans="1:9" x14ac:dyDescent="0.35">
      <c r="A730" t="s">
        <v>21</v>
      </c>
      <c r="B730">
        <v>2025</v>
      </c>
      <c r="C730" t="s">
        <v>72</v>
      </c>
      <c r="D730" t="s">
        <v>47</v>
      </c>
      <c r="E730">
        <v>6.0273227557889201E-3</v>
      </c>
      <c r="F730">
        <v>6.0273227557889201E-3</v>
      </c>
      <c r="G730">
        <v>0</v>
      </c>
      <c r="H730">
        <v>0</v>
      </c>
      <c r="I730" t="s">
        <v>73</v>
      </c>
    </row>
    <row r="731" spans="1:9" x14ac:dyDescent="0.35">
      <c r="A731" t="s">
        <v>21</v>
      </c>
      <c r="B731">
        <v>2025</v>
      </c>
      <c r="C731" t="s">
        <v>72</v>
      </c>
      <c r="D731" t="s">
        <v>48</v>
      </c>
      <c r="E731">
        <v>1.1795369646673599</v>
      </c>
      <c r="F731">
        <v>1.1795369646673599</v>
      </c>
      <c r="G731">
        <v>0</v>
      </c>
      <c r="H731">
        <v>0</v>
      </c>
      <c r="I731" t="s">
        <v>73</v>
      </c>
    </row>
    <row r="732" spans="1:9" x14ac:dyDescent="0.35">
      <c r="A732" t="s">
        <v>21</v>
      </c>
      <c r="B732">
        <v>2025</v>
      </c>
      <c r="C732" t="s">
        <v>72</v>
      </c>
      <c r="D732" t="s">
        <v>49</v>
      </c>
      <c r="E732">
        <v>6.1589332098221601E-2</v>
      </c>
      <c r="F732">
        <v>6.1589332098221601E-2</v>
      </c>
      <c r="G732">
        <v>0</v>
      </c>
      <c r="H732">
        <v>0</v>
      </c>
      <c r="I732" t="s">
        <v>73</v>
      </c>
    </row>
    <row r="733" spans="1:9" x14ac:dyDescent="0.35">
      <c r="A733" t="s">
        <v>21</v>
      </c>
      <c r="B733">
        <v>2025</v>
      </c>
      <c r="C733" t="s">
        <v>72</v>
      </c>
      <c r="D733" t="s">
        <v>50</v>
      </c>
      <c r="E733">
        <v>0.13557614671631801</v>
      </c>
      <c r="F733">
        <v>0.13557614671631801</v>
      </c>
      <c r="G733">
        <v>0</v>
      </c>
      <c r="H733">
        <v>0</v>
      </c>
      <c r="I733" t="s">
        <v>73</v>
      </c>
    </row>
    <row r="734" spans="1:9" x14ac:dyDescent="0.35">
      <c r="A734" t="s">
        <v>21</v>
      </c>
      <c r="B734">
        <v>2025</v>
      </c>
      <c r="C734" t="s">
        <v>72</v>
      </c>
      <c r="D734" t="s">
        <v>51</v>
      </c>
      <c r="E734">
        <v>0.22977863012601901</v>
      </c>
      <c r="F734">
        <v>0.22977863012601901</v>
      </c>
      <c r="G734">
        <v>0</v>
      </c>
      <c r="H734">
        <v>0</v>
      </c>
      <c r="I734" t="s">
        <v>73</v>
      </c>
    </row>
    <row r="735" spans="1:9" x14ac:dyDescent="0.35">
      <c r="A735" t="s">
        <v>21</v>
      </c>
      <c r="B735">
        <v>2025</v>
      </c>
      <c r="C735" t="s">
        <v>72</v>
      </c>
      <c r="D735" t="s">
        <v>52</v>
      </c>
      <c r="E735">
        <v>0.60417983748196702</v>
      </c>
      <c r="F735">
        <v>0.60417983748196702</v>
      </c>
      <c r="G735">
        <v>0</v>
      </c>
      <c r="H735">
        <v>0</v>
      </c>
      <c r="I735" t="s">
        <v>73</v>
      </c>
    </row>
    <row r="736" spans="1:9" x14ac:dyDescent="0.35">
      <c r="A736" t="s">
        <v>21</v>
      </c>
      <c r="B736">
        <v>2025</v>
      </c>
      <c r="C736" t="s">
        <v>72</v>
      </c>
      <c r="D736" t="s">
        <v>53</v>
      </c>
      <c r="E736">
        <v>2.73647809079525</v>
      </c>
      <c r="F736">
        <v>2.73647809079525</v>
      </c>
      <c r="G736">
        <v>0</v>
      </c>
      <c r="H736">
        <v>0</v>
      </c>
      <c r="I736" t="s">
        <v>73</v>
      </c>
    </row>
    <row r="737" spans="1:9" x14ac:dyDescent="0.35">
      <c r="A737" t="s">
        <v>21</v>
      </c>
      <c r="B737">
        <v>2025</v>
      </c>
      <c r="C737" t="s">
        <v>72</v>
      </c>
      <c r="D737" t="s">
        <v>54</v>
      </c>
      <c r="E737">
        <v>0.88020642964360296</v>
      </c>
      <c r="F737">
        <v>0.88020642964360296</v>
      </c>
      <c r="G737">
        <v>0</v>
      </c>
      <c r="H737">
        <v>0</v>
      </c>
      <c r="I737" t="s">
        <v>73</v>
      </c>
    </row>
    <row r="738" spans="1:9" x14ac:dyDescent="0.35">
      <c r="A738" t="s">
        <v>21</v>
      </c>
      <c r="B738">
        <v>2025</v>
      </c>
      <c r="C738" t="s">
        <v>72</v>
      </c>
      <c r="D738" t="s">
        <v>55</v>
      </c>
      <c r="E738">
        <v>0.53118744467768297</v>
      </c>
      <c r="F738">
        <v>0.53118744467768297</v>
      </c>
      <c r="G738">
        <v>0</v>
      </c>
      <c r="H738">
        <v>0</v>
      </c>
      <c r="I738" t="s">
        <v>73</v>
      </c>
    </row>
    <row r="739" spans="1:9" x14ac:dyDescent="0.35">
      <c r="A739" t="s">
        <v>21</v>
      </c>
      <c r="B739">
        <v>2025</v>
      </c>
      <c r="C739" t="s">
        <v>72</v>
      </c>
      <c r="D739" t="s">
        <v>56</v>
      </c>
      <c r="E739" s="1">
        <v>1.0258964296970201E-6</v>
      </c>
      <c r="F739" s="1">
        <v>1.0258964296970201E-6</v>
      </c>
      <c r="G739">
        <v>0</v>
      </c>
      <c r="H739">
        <v>0</v>
      </c>
      <c r="I739" t="s">
        <v>73</v>
      </c>
    </row>
    <row r="740" spans="1:9" x14ac:dyDescent="0.35">
      <c r="A740" t="s">
        <v>23</v>
      </c>
      <c r="B740">
        <v>2030</v>
      </c>
      <c r="C740" t="s">
        <v>72</v>
      </c>
      <c r="D740" t="s">
        <v>38</v>
      </c>
      <c r="E740">
        <v>3.0973471198780102E-3</v>
      </c>
      <c r="F740">
        <v>3.0973471198780102E-3</v>
      </c>
      <c r="G740">
        <v>0</v>
      </c>
      <c r="H740">
        <v>0</v>
      </c>
      <c r="I740" t="s">
        <v>73</v>
      </c>
    </row>
    <row r="741" spans="1:9" x14ac:dyDescent="0.35">
      <c r="A741" t="s">
        <v>23</v>
      </c>
      <c r="B741">
        <v>2030</v>
      </c>
      <c r="C741" t="s">
        <v>72</v>
      </c>
      <c r="D741" t="s">
        <v>40</v>
      </c>
      <c r="E741">
        <v>1.26312802701267E-3</v>
      </c>
      <c r="F741">
        <v>1.26312802701267E-3</v>
      </c>
      <c r="G741">
        <v>0</v>
      </c>
      <c r="H741">
        <v>0</v>
      </c>
      <c r="I741" t="s">
        <v>73</v>
      </c>
    </row>
    <row r="742" spans="1:9" x14ac:dyDescent="0.35">
      <c r="A742" t="s">
        <v>23</v>
      </c>
      <c r="B742">
        <v>2030</v>
      </c>
      <c r="C742" t="s">
        <v>72</v>
      </c>
      <c r="D742" t="s">
        <v>41</v>
      </c>
      <c r="E742">
        <v>3.47162134339307E-2</v>
      </c>
      <c r="F742">
        <v>3.3764878246877697E-2</v>
      </c>
      <c r="G742">
        <v>-9.5133518705305803E-4</v>
      </c>
      <c r="H742">
        <v>-2.7403195595152199</v>
      </c>
      <c r="I742" t="s">
        <v>73</v>
      </c>
    </row>
    <row r="743" spans="1:9" x14ac:dyDescent="0.35">
      <c r="A743" t="s">
        <v>23</v>
      </c>
      <c r="B743">
        <v>2030</v>
      </c>
      <c r="C743" t="s">
        <v>72</v>
      </c>
      <c r="D743" t="s">
        <v>42</v>
      </c>
      <c r="E743">
        <v>6.0782454847934897</v>
      </c>
      <c r="F743">
        <v>6.0782454847934897</v>
      </c>
      <c r="G743">
        <v>0</v>
      </c>
      <c r="H743">
        <v>0</v>
      </c>
      <c r="I743" t="s">
        <v>73</v>
      </c>
    </row>
    <row r="744" spans="1:9" x14ac:dyDescent="0.35">
      <c r="A744" t="s">
        <v>23</v>
      </c>
      <c r="B744">
        <v>2030</v>
      </c>
      <c r="C744" t="s">
        <v>72</v>
      </c>
      <c r="D744" t="s">
        <v>43</v>
      </c>
      <c r="E744">
        <v>3.9625555370869397E-2</v>
      </c>
      <c r="F744">
        <v>1.89235541640424E-2</v>
      </c>
      <c r="G744">
        <v>-2.0702001206827001E-2</v>
      </c>
      <c r="H744">
        <v>-52.244065762788097</v>
      </c>
      <c r="I744" t="s">
        <v>73</v>
      </c>
    </row>
    <row r="745" spans="1:9" x14ac:dyDescent="0.35">
      <c r="A745" t="s">
        <v>23</v>
      </c>
      <c r="B745">
        <v>2030</v>
      </c>
      <c r="C745" t="s">
        <v>72</v>
      </c>
      <c r="D745" t="s">
        <v>136</v>
      </c>
      <c r="E745">
        <v>8.5697687860979297</v>
      </c>
      <c r="F745">
        <v>8.5697687860979297</v>
      </c>
      <c r="G745">
        <v>0</v>
      </c>
      <c r="H745">
        <v>0</v>
      </c>
      <c r="I745" t="s">
        <v>73</v>
      </c>
    </row>
    <row r="746" spans="1:9" x14ac:dyDescent="0.35">
      <c r="A746" t="s">
        <v>23</v>
      </c>
      <c r="B746">
        <v>2030</v>
      </c>
      <c r="C746" t="s">
        <v>72</v>
      </c>
      <c r="D746" t="s">
        <v>45</v>
      </c>
      <c r="E746">
        <v>2.3584214954234399E-2</v>
      </c>
      <c r="F746">
        <v>2.2994710765856099E-2</v>
      </c>
      <c r="G746">
        <v>-5.8950418837834496E-4</v>
      </c>
      <c r="H746">
        <v>-2.4995709610105199</v>
      </c>
      <c r="I746" t="s">
        <v>73</v>
      </c>
    </row>
    <row r="747" spans="1:9" x14ac:dyDescent="0.35">
      <c r="A747" t="s">
        <v>23</v>
      </c>
      <c r="B747">
        <v>2030</v>
      </c>
      <c r="C747" t="s">
        <v>72</v>
      </c>
      <c r="D747" t="s">
        <v>46</v>
      </c>
      <c r="E747">
        <v>0.23979278735896301</v>
      </c>
      <c r="F747">
        <v>0.23979278735896301</v>
      </c>
      <c r="G747">
        <v>0</v>
      </c>
      <c r="H747">
        <v>0</v>
      </c>
      <c r="I747" t="s">
        <v>73</v>
      </c>
    </row>
    <row r="748" spans="1:9" x14ac:dyDescent="0.35">
      <c r="A748" t="s">
        <v>23</v>
      </c>
      <c r="B748">
        <v>2030</v>
      </c>
      <c r="C748" t="s">
        <v>72</v>
      </c>
      <c r="D748" t="s">
        <v>47</v>
      </c>
      <c r="E748">
        <v>6.7335880068591404E-3</v>
      </c>
      <c r="F748">
        <v>4.6267905023802897E-3</v>
      </c>
      <c r="G748">
        <v>-2.1067975044788399E-3</v>
      </c>
      <c r="H748">
        <v>-31.287888453121301</v>
      </c>
      <c r="I748" t="s">
        <v>73</v>
      </c>
    </row>
    <row r="749" spans="1:9" x14ac:dyDescent="0.35">
      <c r="A749" t="s">
        <v>23</v>
      </c>
      <c r="B749">
        <v>2030</v>
      </c>
      <c r="C749" t="s">
        <v>72</v>
      </c>
      <c r="D749" t="s">
        <v>48</v>
      </c>
      <c r="E749">
        <v>1.1809963130494501</v>
      </c>
      <c r="F749">
        <v>1.1809963130494501</v>
      </c>
      <c r="G749">
        <v>0</v>
      </c>
      <c r="H749">
        <v>0</v>
      </c>
      <c r="I749" t="s">
        <v>73</v>
      </c>
    </row>
    <row r="750" spans="1:9" x14ac:dyDescent="0.35">
      <c r="A750" t="s">
        <v>23</v>
      </c>
      <c r="B750">
        <v>2030</v>
      </c>
      <c r="C750" t="s">
        <v>72</v>
      </c>
      <c r="D750" t="s">
        <v>49</v>
      </c>
      <c r="E750">
        <v>6.0272826636654099E-2</v>
      </c>
      <c r="F750">
        <v>5.9677558082712003E-2</v>
      </c>
      <c r="G750">
        <v>-5.9526855394206803E-4</v>
      </c>
      <c r="H750">
        <v>-0.98762342362099098</v>
      </c>
      <c r="I750" t="s">
        <v>73</v>
      </c>
    </row>
    <row r="751" spans="1:9" x14ac:dyDescent="0.35">
      <c r="A751" t="s">
        <v>23</v>
      </c>
      <c r="B751">
        <v>2030</v>
      </c>
      <c r="C751" t="s">
        <v>72</v>
      </c>
      <c r="D751" t="s">
        <v>50</v>
      </c>
      <c r="E751">
        <v>0.13884861921538599</v>
      </c>
      <c r="F751">
        <v>0.13884861921538599</v>
      </c>
      <c r="G751">
        <v>0</v>
      </c>
      <c r="H751">
        <v>0</v>
      </c>
      <c r="I751" t="s">
        <v>73</v>
      </c>
    </row>
    <row r="752" spans="1:9" x14ac:dyDescent="0.35">
      <c r="A752" t="s">
        <v>23</v>
      </c>
      <c r="B752">
        <v>2030</v>
      </c>
      <c r="C752" t="s">
        <v>72</v>
      </c>
      <c r="D752" t="s">
        <v>51</v>
      </c>
      <c r="E752">
        <v>0.22738260010817099</v>
      </c>
      <c r="F752">
        <v>0.22738260010817099</v>
      </c>
      <c r="G752">
        <v>0</v>
      </c>
      <c r="H752">
        <v>0</v>
      </c>
      <c r="I752" t="s">
        <v>73</v>
      </c>
    </row>
    <row r="753" spans="1:9" x14ac:dyDescent="0.35">
      <c r="A753" t="s">
        <v>23</v>
      </c>
      <c r="B753">
        <v>2030</v>
      </c>
      <c r="C753" t="s">
        <v>72</v>
      </c>
      <c r="D753" t="s">
        <v>52</v>
      </c>
      <c r="E753">
        <v>0.53628313316751397</v>
      </c>
      <c r="F753">
        <v>0.53628313316751397</v>
      </c>
      <c r="G753">
        <v>0</v>
      </c>
      <c r="H753">
        <v>0</v>
      </c>
      <c r="I753" t="s">
        <v>73</v>
      </c>
    </row>
    <row r="754" spans="1:9" x14ac:dyDescent="0.35">
      <c r="A754" t="s">
        <v>23</v>
      </c>
      <c r="B754">
        <v>2030</v>
      </c>
      <c r="C754" t="s">
        <v>72</v>
      </c>
      <c r="D754" t="s">
        <v>53</v>
      </c>
      <c r="E754">
        <v>2.7187673389329299</v>
      </c>
      <c r="F754">
        <v>2.7187673389329299</v>
      </c>
      <c r="G754">
        <v>0</v>
      </c>
      <c r="H754">
        <v>0</v>
      </c>
      <c r="I754" t="s">
        <v>73</v>
      </c>
    </row>
    <row r="755" spans="1:9" x14ac:dyDescent="0.35">
      <c r="A755" t="s">
        <v>23</v>
      </c>
      <c r="B755">
        <v>2030</v>
      </c>
      <c r="C755" t="s">
        <v>72</v>
      </c>
      <c r="D755" t="s">
        <v>54</v>
      </c>
      <c r="E755">
        <v>0.89520550988457104</v>
      </c>
      <c r="F755">
        <v>0.663789736159342</v>
      </c>
      <c r="G755">
        <v>-0.23141577372522801</v>
      </c>
      <c r="H755">
        <v>-25.850575222114902</v>
      </c>
      <c r="I755" t="s">
        <v>73</v>
      </c>
    </row>
    <row r="756" spans="1:9" x14ac:dyDescent="0.35">
      <c r="A756" t="s">
        <v>23</v>
      </c>
      <c r="B756">
        <v>2030</v>
      </c>
      <c r="C756" t="s">
        <v>72</v>
      </c>
      <c r="D756" t="s">
        <v>55</v>
      </c>
      <c r="E756">
        <v>0.54427210737127796</v>
      </c>
      <c r="F756">
        <v>0.530138534948846</v>
      </c>
      <c r="G756">
        <v>-1.4133572422432799E-2</v>
      </c>
      <c r="H756">
        <v>-2.59678426122092</v>
      </c>
      <c r="I756" t="s">
        <v>73</v>
      </c>
    </row>
    <row r="757" spans="1:9" x14ac:dyDescent="0.35">
      <c r="A757" t="s">
        <v>23</v>
      </c>
      <c r="B757">
        <v>2030</v>
      </c>
      <c r="C757" t="s">
        <v>72</v>
      </c>
      <c r="D757" t="s">
        <v>56</v>
      </c>
      <c r="E757" s="1">
        <v>1.00499883829525E-6</v>
      </c>
      <c r="F757" s="1">
        <v>1.00499883829525E-6</v>
      </c>
      <c r="G757">
        <v>0</v>
      </c>
      <c r="H757">
        <v>0</v>
      </c>
      <c r="I757" t="s">
        <v>73</v>
      </c>
    </row>
    <row r="758" spans="1:9" x14ac:dyDescent="0.35">
      <c r="A758" t="s">
        <v>25</v>
      </c>
      <c r="B758">
        <v>2035</v>
      </c>
      <c r="C758" t="s">
        <v>72</v>
      </c>
      <c r="D758" t="s">
        <v>38</v>
      </c>
      <c r="E758">
        <v>3.9536066584001297E-3</v>
      </c>
      <c r="F758">
        <v>3.9536066584001297E-3</v>
      </c>
      <c r="G758">
        <v>0</v>
      </c>
      <c r="H758">
        <v>0</v>
      </c>
      <c r="I758" t="s">
        <v>73</v>
      </c>
    </row>
    <row r="759" spans="1:9" x14ac:dyDescent="0.35">
      <c r="A759" t="s">
        <v>25</v>
      </c>
      <c r="B759">
        <v>2035</v>
      </c>
      <c r="C759" t="s">
        <v>72</v>
      </c>
      <c r="D759" t="s">
        <v>40</v>
      </c>
      <c r="E759">
        <v>1.24206069130027E-3</v>
      </c>
      <c r="F759">
        <v>1.24206069130027E-3</v>
      </c>
      <c r="G759">
        <v>0</v>
      </c>
      <c r="H759">
        <v>0</v>
      </c>
      <c r="I759" t="s">
        <v>73</v>
      </c>
    </row>
    <row r="760" spans="1:9" x14ac:dyDescent="0.35">
      <c r="A760" t="s">
        <v>25</v>
      </c>
      <c r="B760">
        <v>2035</v>
      </c>
      <c r="C760" t="s">
        <v>72</v>
      </c>
      <c r="D760" t="s">
        <v>41</v>
      </c>
      <c r="E760">
        <v>3.4297898430695702E-2</v>
      </c>
      <c r="F760">
        <v>3.40386110302855E-2</v>
      </c>
      <c r="G760">
        <v>-2.59287400410208E-4</v>
      </c>
      <c r="H760">
        <v>-0.75598626234822996</v>
      </c>
      <c r="I760" t="s">
        <v>73</v>
      </c>
    </row>
    <row r="761" spans="1:9" x14ac:dyDescent="0.35">
      <c r="A761" t="s">
        <v>25</v>
      </c>
      <c r="B761">
        <v>2035</v>
      </c>
      <c r="C761" t="s">
        <v>72</v>
      </c>
      <c r="D761" t="s">
        <v>42</v>
      </c>
      <c r="E761">
        <v>6.6036070455978404</v>
      </c>
      <c r="F761">
        <v>6.6036070455978404</v>
      </c>
      <c r="G761">
        <v>0</v>
      </c>
      <c r="H761">
        <v>0</v>
      </c>
      <c r="I761" t="s">
        <v>73</v>
      </c>
    </row>
    <row r="762" spans="1:9" x14ac:dyDescent="0.35">
      <c r="A762" t="s">
        <v>25</v>
      </c>
      <c r="B762">
        <v>2035</v>
      </c>
      <c r="C762" t="s">
        <v>72</v>
      </c>
      <c r="D762" t="s">
        <v>43</v>
      </c>
      <c r="E762">
        <v>3.9854776145154203E-2</v>
      </c>
      <c r="F762">
        <v>3.42816590257944E-2</v>
      </c>
      <c r="G762">
        <v>-5.5731171193597502E-3</v>
      </c>
      <c r="H762">
        <v>-13.9835614659131</v>
      </c>
      <c r="I762" t="s">
        <v>73</v>
      </c>
    </row>
    <row r="763" spans="1:9" x14ac:dyDescent="0.35">
      <c r="A763" t="s">
        <v>25</v>
      </c>
      <c r="B763">
        <v>2035</v>
      </c>
      <c r="C763" t="s">
        <v>72</v>
      </c>
      <c r="D763" t="s">
        <v>136</v>
      </c>
      <c r="E763">
        <v>8.7830858437325201</v>
      </c>
      <c r="F763">
        <v>8.7830858437325201</v>
      </c>
      <c r="G763">
        <v>0</v>
      </c>
      <c r="H763">
        <v>0</v>
      </c>
      <c r="I763" t="s">
        <v>73</v>
      </c>
    </row>
    <row r="764" spans="1:9" x14ac:dyDescent="0.35">
      <c r="A764" t="s">
        <v>25</v>
      </c>
      <c r="B764">
        <v>2035</v>
      </c>
      <c r="C764" t="s">
        <v>72</v>
      </c>
      <c r="D764" t="s">
        <v>45</v>
      </c>
      <c r="E764">
        <v>2.95016066540458E-2</v>
      </c>
      <c r="F764">
        <v>2.93369374632933E-2</v>
      </c>
      <c r="G764">
        <v>-1.6466919075248501E-4</v>
      </c>
      <c r="H764">
        <v>-0.55817024707670804</v>
      </c>
      <c r="I764" t="s">
        <v>73</v>
      </c>
    </row>
    <row r="765" spans="1:9" x14ac:dyDescent="0.35">
      <c r="A765" t="s">
        <v>25</v>
      </c>
      <c r="B765">
        <v>2035</v>
      </c>
      <c r="C765" t="s">
        <v>72</v>
      </c>
      <c r="D765" t="s">
        <v>46</v>
      </c>
      <c r="E765">
        <v>0.29526150391087702</v>
      </c>
      <c r="F765">
        <v>0.29526150391087702</v>
      </c>
      <c r="G765">
        <v>0</v>
      </c>
      <c r="H765">
        <v>0</v>
      </c>
      <c r="I765" t="s">
        <v>73</v>
      </c>
    </row>
    <row r="766" spans="1:9" x14ac:dyDescent="0.35">
      <c r="A766" t="s">
        <v>25</v>
      </c>
      <c r="B766">
        <v>2035</v>
      </c>
      <c r="C766" t="s">
        <v>72</v>
      </c>
      <c r="D766" t="s">
        <v>47</v>
      </c>
      <c r="E766">
        <v>7.69702825718932E-3</v>
      </c>
      <c r="F766">
        <v>7.1474371141421597E-3</v>
      </c>
      <c r="G766">
        <v>-5.4959114304715896E-4</v>
      </c>
      <c r="H766">
        <v>-7.1403030453190803</v>
      </c>
      <c r="I766" t="s">
        <v>73</v>
      </c>
    </row>
    <row r="767" spans="1:9" x14ac:dyDescent="0.35">
      <c r="A767" t="s">
        <v>25</v>
      </c>
      <c r="B767">
        <v>2035</v>
      </c>
      <c r="C767" t="s">
        <v>72</v>
      </c>
      <c r="D767" t="s">
        <v>48</v>
      </c>
      <c r="E767">
        <v>1.1812089439007001</v>
      </c>
      <c r="F767">
        <v>1.1812089439007001</v>
      </c>
      <c r="G767">
        <v>0</v>
      </c>
      <c r="H767">
        <v>0</v>
      </c>
      <c r="I767" t="s">
        <v>73</v>
      </c>
    </row>
    <row r="768" spans="1:9" x14ac:dyDescent="0.35">
      <c r="A768" t="s">
        <v>25</v>
      </c>
      <c r="B768">
        <v>2035</v>
      </c>
      <c r="C768" t="s">
        <v>72</v>
      </c>
      <c r="D768" t="s">
        <v>49</v>
      </c>
      <c r="E768">
        <v>5.9780917853220102E-2</v>
      </c>
      <c r="F768">
        <v>5.9618463658696601E-2</v>
      </c>
      <c r="G768">
        <v>-1.6245419452349299E-4</v>
      </c>
      <c r="H768">
        <v>-0.27174924768195602</v>
      </c>
      <c r="I768" t="s">
        <v>73</v>
      </c>
    </row>
    <row r="769" spans="1:9" x14ac:dyDescent="0.35">
      <c r="A769" t="s">
        <v>25</v>
      </c>
      <c r="B769">
        <v>2035</v>
      </c>
      <c r="C769" t="s">
        <v>72</v>
      </c>
      <c r="D769" t="s">
        <v>50</v>
      </c>
      <c r="E769">
        <v>0.14230420649636799</v>
      </c>
      <c r="F769">
        <v>0.14230420649636799</v>
      </c>
      <c r="G769">
        <v>0</v>
      </c>
      <c r="H769">
        <v>0</v>
      </c>
      <c r="I769" t="s">
        <v>73</v>
      </c>
    </row>
    <row r="770" spans="1:9" x14ac:dyDescent="0.35">
      <c r="A770" t="s">
        <v>25</v>
      </c>
      <c r="B770">
        <v>2035</v>
      </c>
      <c r="C770" t="s">
        <v>72</v>
      </c>
      <c r="D770" t="s">
        <v>51</v>
      </c>
      <c r="E770">
        <v>0.226511158820523</v>
      </c>
      <c r="F770">
        <v>0.226511158820523</v>
      </c>
      <c r="G770">
        <v>0</v>
      </c>
      <c r="H770">
        <v>0</v>
      </c>
      <c r="I770" t="s">
        <v>73</v>
      </c>
    </row>
    <row r="771" spans="1:9" x14ac:dyDescent="0.35">
      <c r="A771" t="s">
        <v>25</v>
      </c>
      <c r="B771">
        <v>2035</v>
      </c>
      <c r="C771" t="s">
        <v>72</v>
      </c>
      <c r="D771" t="s">
        <v>52</v>
      </c>
      <c r="E771">
        <v>0.47198675741585</v>
      </c>
      <c r="F771">
        <v>0.47198675741585</v>
      </c>
      <c r="G771">
        <v>0</v>
      </c>
      <c r="H771">
        <v>0</v>
      </c>
      <c r="I771" t="s">
        <v>73</v>
      </c>
    </row>
    <row r="772" spans="1:9" x14ac:dyDescent="0.35">
      <c r="A772" t="s">
        <v>25</v>
      </c>
      <c r="B772">
        <v>2035</v>
      </c>
      <c r="C772" t="s">
        <v>72</v>
      </c>
      <c r="D772" t="s">
        <v>53</v>
      </c>
      <c r="E772">
        <v>2.7821648360020199</v>
      </c>
      <c r="F772">
        <v>2.7821648360020199</v>
      </c>
      <c r="G772">
        <v>0</v>
      </c>
      <c r="H772">
        <v>0</v>
      </c>
      <c r="I772" t="s">
        <v>73</v>
      </c>
    </row>
    <row r="773" spans="1:9" x14ac:dyDescent="0.35">
      <c r="A773" t="s">
        <v>25</v>
      </c>
      <c r="B773">
        <v>2035</v>
      </c>
      <c r="C773" t="s">
        <v>72</v>
      </c>
      <c r="D773" t="s">
        <v>54</v>
      </c>
      <c r="E773">
        <v>0.91021460433924595</v>
      </c>
      <c r="F773">
        <v>0.84984617342435698</v>
      </c>
      <c r="G773">
        <v>-6.0368430914888603E-2</v>
      </c>
      <c r="H773">
        <v>-6.6323294118876399</v>
      </c>
      <c r="I773" t="s">
        <v>73</v>
      </c>
    </row>
    <row r="774" spans="1:9" x14ac:dyDescent="0.35">
      <c r="A774" t="s">
        <v>25</v>
      </c>
      <c r="B774">
        <v>2035</v>
      </c>
      <c r="C774" t="s">
        <v>72</v>
      </c>
      <c r="D774" t="s">
        <v>55</v>
      </c>
      <c r="E774">
        <v>0.557988666766291</v>
      </c>
      <c r="F774">
        <v>0.55430170292355296</v>
      </c>
      <c r="G774">
        <v>-3.68696384273825E-3</v>
      </c>
      <c r="H774">
        <v>-0.66075962870452098</v>
      </c>
      <c r="I774" t="s">
        <v>73</v>
      </c>
    </row>
    <row r="775" spans="1:9" x14ac:dyDescent="0.35">
      <c r="A775" t="s">
        <v>25</v>
      </c>
      <c r="B775">
        <v>2035</v>
      </c>
      <c r="C775" t="s">
        <v>72</v>
      </c>
      <c r="D775" t="s">
        <v>56</v>
      </c>
      <c r="E775" s="1">
        <v>1.00017361167607E-6</v>
      </c>
      <c r="F775" s="1">
        <v>1.00017361167607E-6</v>
      </c>
      <c r="G775">
        <v>0</v>
      </c>
      <c r="H775">
        <v>0</v>
      </c>
      <c r="I775" t="s">
        <v>73</v>
      </c>
    </row>
    <row r="776" spans="1:9" x14ac:dyDescent="0.35">
      <c r="A776" t="s">
        <v>27</v>
      </c>
      <c r="B776">
        <v>2040</v>
      </c>
      <c r="C776" t="s">
        <v>72</v>
      </c>
      <c r="D776" t="s">
        <v>38</v>
      </c>
      <c r="E776">
        <v>3.5719560645344202E-3</v>
      </c>
      <c r="F776">
        <v>3.5719560645344202E-3</v>
      </c>
      <c r="G776">
        <v>0</v>
      </c>
      <c r="H776">
        <v>0</v>
      </c>
      <c r="I776" t="s">
        <v>73</v>
      </c>
    </row>
    <row r="777" spans="1:9" x14ac:dyDescent="0.35">
      <c r="A777" t="s">
        <v>27</v>
      </c>
      <c r="B777">
        <v>2040</v>
      </c>
      <c r="C777" t="s">
        <v>72</v>
      </c>
      <c r="D777" t="s">
        <v>40</v>
      </c>
      <c r="E777">
        <v>1.2280213252821E-3</v>
      </c>
      <c r="F777">
        <v>1.2280213252821E-3</v>
      </c>
      <c r="G777">
        <v>0</v>
      </c>
      <c r="H777">
        <v>0</v>
      </c>
      <c r="I777" t="s">
        <v>73</v>
      </c>
    </row>
    <row r="778" spans="1:9" x14ac:dyDescent="0.35">
      <c r="A778" t="s">
        <v>27</v>
      </c>
      <c r="B778">
        <v>2040</v>
      </c>
      <c r="C778" t="s">
        <v>72</v>
      </c>
      <c r="D778" t="s">
        <v>41</v>
      </c>
      <c r="E778">
        <v>3.4021680088345302E-2</v>
      </c>
      <c r="F778">
        <v>3.2811056792652102E-2</v>
      </c>
      <c r="G778">
        <v>-1.2106232956932499E-3</v>
      </c>
      <c r="H778">
        <v>-3.5583877473116599</v>
      </c>
      <c r="I778" t="s">
        <v>73</v>
      </c>
    </row>
    <row r="779" spans="1:9" x14ac:dyDescent="0.35">
      <c r="A779" t="s">
        <v>27</v>
      </c>
      <c r="B779">
        <v>2040</v>
      </c>
      <c r="C779" t="s">
        <v>72</v>
      </c>
      <c r="D779" t="s">
        <v>42</v>
      </c>
      <c r="E779">
        <v>7.0364705004320998</v>
      </c>
      <c r="F779">
        <v>7.0364705004320998</v>
      </c>
      <c r="G779">
        <v>0</v>
      </c>
      <c r="H779">
        <v>0</v>
      </c>
      <c r="I779" t="s">
        <v>73</v>
      </c>
    </row>
    <row r="780" spans="1:9" x14ac:dyDescent="0.35">
      <c r="A780" t="s">
        <v>27</v>
      </c>
      <c r="B780">
        <v>2040</v>
      </c>
      <c r="C780" t="s">
        <v>72</v>
      </c>
      <c r="D780" t="s">
        <v>43</v>
      </c>
      <c r="E780">
        <v>3.9823715519231098E-2</v>
      </c>
      <c r="F780">
        <v>1.3548582263773401E-2</v>
      </c>
      <c r="G780">
        <v>-2.6275133255457599E-2</v>
      </c>
      <c r="H780">
        <v>-65.978608256100998</v>
      </c>
      <c r="I780" t="s">
        <v>73</v>
      </c>
    </row>
    <row r="781" spans="1:9" x14ac:dyDescent="0.35">
      <c r="A781" t="s">
        <v>27</v>
      </c>
      <c r="B781">
        <v>2040</v>
      </c>
      <c r="C781" t="s">
        <v>72</v>
      </c>
      <c r="D781" t="s">
        <v>136</v>
      </c>
      <c r="E781">
        <v>8.9896304996766894</v>
      </c>
      <c r="F781">
        <v>8.9896304996766894</v>
      </c>
      <c r="G781">
        <v>0</v>
      </c>
      <c r="H781">
        <v>0</v>
      </c>
      <c r="I781" t="s">
        <v>73</v>
      </c>
    </row>
    <row r="782" spans="1:9" x14ac:dyDescent="0.35">
      <c r="A782" t="s">
        <v>27</v>
      </c>
      <c r="B782">
        <v>2040</v>
      </c>
      <c r="C782" t="s">
        <v>72</v>
      </c>
      <c r="D782" t="s">
        <v>45</v>
      </c>
      <c r="E782">
        <v>2.00459993248184E-2</v>
      </c>
      <c r="F782">
        <v>1.9291825480505599E-2</v>
      </c>
      <c r="G782">
        <v>-7.5417384431270299E-4</v>
      </c>
      <c r="H782">
        <v>-3.7622162511947201</v>
      </c>
      <c r="I782" t="s">
        <v>73</v>
      </c>
    </row>
    <row r="783" spans="1:9" x14ac:dyDescent="0.35">
      <c r="A783" t="s">
        <v>27</v>
      </c>
      <c r="B783">
        <v>2040</v>
      </c>
      <c r="C783" t="s">
        <v>72</v>
      </c>
      <c r="D783" t="s">
        <v>46</v>
      </c>
      <c r="E783">
        <v>0.29608227280583399</v>
      </c>
      <c r="F783">
        <v>0.29608227280583399</v>
      </c>
      <c r="G783">
        <v>0</v>
      </c>
      <c r="H783">
        <v>0</v>
      </c>
      <c r="I783" t="s">
        <v>73</v>
      </c>
    </row>
    <row r="784" spans="1:9" x14ac:dyDescent="0.35">
      <c r="A784" t="s">
        <v>27</v>
      </c>
      <c r="B784">
        <v>2040</v>
      </c>
      <c r="C784" t="s">
        <v>72</v>
      </c>
      <c r="D784" t="s">
        <v>47</v>
      </c>
      <c r="E784">
        <v>8.4829388940626804E-3</v>
      </c>
      <c r="F784">
        <v>5.8265485511232304E-3</v>
      </c>
      <c r="G784">
        <v>-2.6563903429394401E-3</v>
      </c>
      <c r="H784">
        <v>-31.314505221753699</v>
      </c>
      <c r="I784" t="s">
        <v>73</v>
      </c>
    </row>
    <row r="785" spans="1:9" x14ac:dyDescent="0.35">
      <c r="A785" t="s">
        <v>27</v>
      </c>
      <c r="B785">
        <v>2040</v>
      </c>
      <c r="C785" t="s">
        <v>72</v>
      </c>
      <c r="D785" t="s">
        <v>48</v>
      </c>
      <c r="E785">
        <v>1.1836858862509001</v>
      </c>
      <c r="F785">
        <v>1.1836858862509001</v>
      </c>
      <c r="G785">
        <v>0</v>
      </c>
      <c r="H785">
        <v>0</v>
      </c>
      <c r="I785" t="s">
        <v>73</v>
      </c>
    </row>
    <row r="786" spans="1:9" x14ac:dyDescent="0.35">
      <c r="A786" t="s">
        <v>27</v>
      </c>
      <c r="B786">
        <v>2040</v>
      </c>
      <c r="C786" t="s">
        <v>72</v>
      </c>
      <c r="D786" t="s">
        <v>49</v>
      </c>
      <c r="E786">
        <v>5.9253859494985503E-2</v>
      </c>
      <c r="F786">
        <v>5.8496136303586597E-2</v>
      </c>
      <c r="G786">
        <v>-7.5772319139891199E-4</v>
      </c>
      <c r="H786">
        <v>-1.27877440871684</v>
      </c>
      <c r="I786" t="s">
        <v>73</v>
      </c>
    </row>
    <row r="787" spans="1:9" x14ac:dyDescent="0.35">
      <c r="A787" t="s">
        <v>27</v>
      </c>
      <c r="B787">
        <v>2040</v>
      </c>
      <c r="C787" t="s">
        <v>72</v>
      </c>
      <c r="D787" t="s">
        <v>50</v>
      </c>
      <c r="E787">
        <v>0.14122054309104101</v>
      </c>
      <c r="F787">
        <v>0.14122054309104101</v>
      </c>
      <c r="G787">
        <v>0</v>
      </c>
      <c r="H787">
        <v>0</v>
      </c>
      <c r="I787" t="s">
        <v>73</v>
      </c>
    </row>
    <row r="788" spans="1:9" x14ac:dyDescent="0.35">
      <c r="A788" t="s">
        <v>27</v>
      </c>
      <c r="B788">
        <v>2040</v>
      </c>
      <c r="C788" t="s">
        <v>72</v>
      </c>
      <c r="D788" t="s">
        <v>51</v>
      </c>
      <c r="E788">
        <v>0.226189309367168</v>
      </c>
      <c r="F788">
        <v>0.226189309367168</v>
      </c>
      <c r="G788">
        <v>0</v>
      </c>
      <c r="H788">
        <v>0</v>
      </c>
      <c r="I788" t="s">
        <v>73</v>
      </c>
    </row>
    <row r="789" spans="1:9" x14ac:dyDescent="0.35">
      <c r="A789" t="s">
        <v>27</v>
      </c>
      <c r="B789">
        <v>2040</v>
      </c>
      <c r="C789" t="s">
        <v>72</v>
      </c>
      <c r="D789" t="s">
        <v>52</v>
      </c>
      <c r="E789">
        <v>0.42394526036837699</v>
      </c>
      <c r="F789">
        <v>0.42394526036837699</v>
      </c>
      <c r="G789">
        <v>0</v>
      </c>
      <c r="H789">
        <v>0</v>
      </c>
      <c r="I789" t="s">
        <v>73</v>
      </c>
    </row>
    <row r="790" spans="1:9" x14ac:dyDescent="0.35">
      <c r="A790" t="s">
        <v>27</v>
      </c>
      <c r="B790">
        <v>2040</v>
      </c>
      <c r="C790" t="s">
        <v>72</v>
      </c>
      <c r="D790" t="s">
        <v>53</v>
      </c>
      <c r="E790">
        <v>2.8390589977045901</v>
      </c>
      <c r="F790">
        <v>2.8390589977045901</v>
      </c>
      <c r="G790">
        <v>0</v>
      </c>
      <c r="H790">
        <v>0</v>
      </c>
      <c r="I790" t="s">
        <v>73</v>
      </c>
    </row>
    <row r="791" spans="1:9" x14ac:dyDescent="0.35">
      <c r="A791" t="s">
        <v>27</v>
      </c>
      <c r="B791">
        <v>2040</v>
      </c>
      <c r="C791" t="s">
        <v>72</v>
      </c>
      <c r="D791" t="s">
        <v>54</v>
      </c>
      <c r="E791">
        <v>0.92206823025795803</v>
      </c>
      <c r="F791">
        <v>0.63028383938949595</v>
      </c>
      <c r="G791">
        <v>-0.29178439086846197</v>
      </c>
      <c r="H791">
        <v>-31.644555282729101</v>
      </c>
      <c r="I791" t="s">
        <v>73</v>
      </c>
    </row>
    <row r="792" spans="1:9" x14ac:dyDescent="0.35">
      <c r="A792" t="s">
        <v>27</v>
      </c>
      <c r="B792">
        <v>2040</v>
      </c>
      <c r="C792" t="s">
        <v>72</v>
      </c>
      <c r="D792" t="s">
        <v>55</v>
      </c>
      <c r="E792">
        <v>0.56906006264950904</v>
      </c>
      <c r="F792">
        <v>0.55123951501055901</v>
      </c>
      <c r="G792">
        <v>-1.7820547638949601E-2</v>
      </c>
      <c r="H792">
        <v>-3.1315758754846099</v>
      </c>
      <c r="I792" t="s">
        <v>73</v>
      </c>
    </row>
    <row r="793" spans="1:9" x14ac:dyDescent="0.35">
      <c r="A793" t="s">
        <v>27</v>
      </c>
      <c r="B793">
        <v>2040</v>
      </c>
      <c r="C793" t="s">
        <v>72</v>
      </c>
      <c r="D793" t="s">
        <v>56</v>
      </c>
      <c r="E793" s="1">
        <v>1.00182126765783E-6</v>
      </c>
      <c r="F793" s="1">
        <v>1.00182126765783E-6</v>
      </c>
      <c r="G793">
        <v>0</v>
      </c>
      <c r="H793">
        <v>0</v>
      </c>
      <c r="I793" t="s">
        <v>73</v>
      </c>
    </row>
    <row r="794" spans="1:9" x14ac:dyDescent="0.35">
      <c r="A794" t="s">
        <v>21</v>
      </c>
      <c r="B794">
        <v>2025</v>
      </c>
      <c r="C794" t="s">
        <v>61</v>
      </c>
      <c r="D794" t="s">
        <v>38</v>
      </c>
      <c r="E794">
        <v>3.23259385875705E-3</v>
      </c>
      <c r="F794">
        <v>3.23259385875705E-3</v>
      </c>
      <c r="G794">
        <v>0</v>
      </c>
      <c r="H794">
        <v>0</v>
      </c>
      <c r="I794" t="s">
        <v>62</v>
      </c>
    </row>
    <row r="795" spans="1:9" x14ac:dyDescent="0.35">
      <c r="A795" t="s">
        <v>21</v>
      </c>
      <c r="B795">
        <v>2025</v>
      </c>
      <c r="C795" t="s">
        <v>61</v>
      </c>
      <c r="D795" t="s">
        <v>40</v>
      </c>
      <c r="E795">
        <v>4.3097244925443196E-3</v>
      </c>
      <c r="F795">
        <v>4.3097244925443196E-3</v>
      </c>
      <c r="G795">
        <v>0</v>
      </c>
      <c r="H795">
        <v>0</v>
      </c>
      <c r="I795" t="s">
        <v>62</v>
      </c>
    </row>
    <row r="796" spans="1:9" x14ac:dyDescent="0.35">
      <c r="A796" t="s">
        <v>21</v>
      </c>
      <c r="B796">
        <v>2025</v>
      </c>
      <c r="C796" t="s">
        <v>61</v>
      </c>
      <c r="D796" t="s">
        <v>41</v>
      </c>
      <c r="E796">
        <v>0.14698705491699701</v>
      </c>
      <c r="F796">
        <v>0.14698705491699701</v>
      </c>
      <c r="G796">
        <v>0</v>
      </c>
      <c r="H796">
        <v>0</v>
      </c>
      <c r="I796" t="s">
        <v>62</v>
      </c>
    </row>
    <row r="797" spans="1:9" x14ac:dyDescent="0.35">
      <c r="A797" t="s">
        <v>21</v>
      </c>
      <c r="B797">
        <v>2025</v>
      </c>
      <c r="C797" t="s">
        <v>61</v>
      </c>
      <c r="D797" t="s">
        <v>42</v>
      </c>
      <c r="E797">
        <v>17.344761994188499</v>
      </c>
      <c r="F797">
        <v>17.344761994188499</v>
      </c>
      <c r="G797">
        <v>0</v>
      </c>
      <c r="H797">
        <v>0</v>
      </c>
      <c r="I797" t="s">
        <v>62</v>
      </c>
    </row>
    <row r="798" spans="1:9" x14ac:dyDescent="0.35">
      <c r="A798" t="s">
        <v>21</v>
      </c>
      <c r="B798">
        <v>2025</v>
      </c>
      <c r="C798" t="s">
        <v>61</v>
      </c>
      <c r="D798" t="s">
        <v>43</v>
      </c>
      <c r="E798">
        <v>1.36880740251009E-2</v>
      </c>
      <c r="F798">
        <v>1.36880740251009E-2</v>
      </c>
      <c r="G798">
        <v>0</v>
      </c>
      <c r="H798">
        <v>0</v>
      </c>
      <c r="I798" t="s">
        <v>62</v>
      </c>
    </row>
    <row r="799" spans="1:9" x14ac:dyDescent="0.35">
      <c r="A799" t="s">
        <v>21</v>
      </c>
      <c r="B799">
        <v>2025</v>
      </c>
      <c r="C799" t="s">
        <v>61</v>
      </c>
      <c r="D799" t="s">
        <v>136</v>
      </c>
      <c r="E799">
        <v>9.8577919275238894</v>
      </c>
      <c r="F799">
        <v>9.8577919275238894</v>
      </c>
      <c r="G799">
        <v>0</v>
      </c>
      <c r="H799">
        <v>0</v>
      </c>
      <c r="I799" t="s">
        <v>62</v>
      </c>
    </row>
    <row r="800" spans="1:9" x14ac:dyDescent="0.35">
      <c r="A800" t="s">
        <v>21</v>
      </c>
      <c r="B800">
        <v>2025</v>
      </c>
      <c r="C800" t="s">
        <v>61</v>
      </c>
      <c r="D800" t="s">
        <v>45</v>
      </c>
      <c r="E800">
        <v>0.28518413767520401</v>
      </c>
      <c r="F800">
        <v>0.28518413767520401</v>
      </c>
      <c r="G800">
        <v>0</v>
      </c>
      <c r="H800">
        <v>0</v>
      </c>
      <c r="I800" t="s">
        <v>62</v>
      </c>
    </row>
    <row r="801" spans="1:9" x14ac:dyDescent="0.35">
      <c r="A801" t="s">
        <v>21</v>
      </c>
      <c r="B801">
        <v>2025</v>
      </c>
      <c r="C801" t="s">
        <v>61</v>
      </c>
      <c r="D801" t="s">
        <v>46</v>
      </c>
      <c r="E801">
        <v>0.24322080971858601</v>
      </c>
      <c r="F801">
        <v>0.24322080971858601</v>
      </c>
      <c r="G801">
        <v>0</v>
      </c>
      <c r="H801">
        <v>0</v>
      </c>
      <c r="I801" t="s">
        <v>62</v>
      </c>
    </row>
    <row r="802" spans="1:9" x14ac:dyDescent="0.35">
      <c r="A802" t="s">
        <v>21</v>
      </c>
      <c r="B802">
        <v>2025</v>
      </c>
      <c r="C802" t="s">
        <v>61</v>
      </c>
      <c r="D802" t="s">
        <v>47</v>
      </c>
      <c r="E802">
        <v>1.16288430338694E-2</v>
      </c>
      <c r="F802">
        <v>1.16288430338694E-2</v>
      </c>
      <c r="G802">
        <v>0</v>
      </c>
      <c r="H802">
        <v>0</v>
      </c>
      <c r="I802" t="s">
        <v>62</v>
      </c>
    </row>
    <row r="803" spans="1:9" x14ac:dyDescent="0.35">
      <c r="A803" t="s">
        <v>21</v>
      </c>
      <c r="B803">
        <v>2025</v>
      </c>
      <c r="C803" t="s">
        <v>61</v>
      </c>
      <c r="D803" t="s">
        <v>48</v>
      </c>
      <c r="E803">
        <v>28.633373791506902</v>
      </c>
      <c r="F803">
        <v>28.633373791506902</v>
      </c>
      <c r="G803">
        <v>0</v>
      </c>
      <c r="H803">
        <v>0</v>
      </c>
      <c r="I803" t="s">
        <v>62</v>
      </c>
    </row>
    <row r="804" spans="1:9" x14ac:dyDescent="0.35">
      <c r="A804" t="s">
        <v>21</v>
      </c>
      <c r="B804">
        <v>2025</v>
      </c>
      <c r="C804" t="s">
        <v>61</v>
      </c>
      <c r="D804" t="s">
        <v>49</v>
      </c>
      <c r="E804">
        <v>1.36819046750952</v>
      </c>
      <c r="F804">
        <v>1.36819046750952</v>
      </c>
      <c r="G804">
        <v>0</v>
      </c>
      <c r="H804">
        <v>0</v>
      </c>
      <c r="I804" t="s">
        <v>62</v>
      </c>
    </row>
    <row r="805" spans="1:9" x14ac:dyDescent="0.35">
      <c r="A805" t="s">
        <v>21</v>
      </c>
      <c r="B805">
        <v>2025</v>
      </c>
      <c r="C805" t="s">
        <v>61</v>
      </c>
      <c r="D805" t="s">
        <v>50</v>
      </c>
      <c r="E805">
        <v>0.109636685915993</v>
      </c>
      <c r="F805">
        <v>0.109636685915993</v>
      </c>
      <c r="G805">
        <v>0</v>
      </c>
      <c r="H805">
        <v>0</v>
      </c>
      <c r="I805" t="s">
        <v>62</v>
      </c>
    </row>
    <row r="806" spans="1:9" x14ac:dyDescent="0.35">
      <c r="A806" t="s">
        <v>21</v>
      </c>
      <c r="B806">
        <v>2025</v>
      </c>
      <c r="C806" t="s">
        <v>61</v>
      </c>
      <c r="D806" t="s">
        <v>51</v>
      </c>
      <c r="E806">
        <v>0.56203345569485796</v>
      </c>
      <c r="F806">
        <v>0.56203345569485796</v>
      </c>
      <c r="G806">
        <v>0</v>
      </c>
      <c r="H806">
        <v>0</v>
      </c>
      <c r="I806" t="s">
        <v>62</v>
      </c>
    </row>
    <row r="807" spans="1:9" x14ac:dyDescent="0.35">
      <c r="A807" t="s">
        <v>21</v>
      </c>
      <c r="B807">
        <v>2025</v>
      </c>
      <c r="C807" t="s">
        <v>61</v>
      </c>
      <c r="D807" t="s">
        <v>52</v>
      </c>
      <c r="E807">
        <v>0.60887166685590699</v>
      </c>
      <c r="F807">
        <v>0.60887166685590699</v>
      </c>
      <c r="G807">
        <v>0</v>
      </c>
      <c r="H807">
        <v>0</v>
      </c>
      <c r="I807" t="s">
        <v>62</v>
      </c>
    </row>
    <row r="808" spans="1:9" x14ac:dyDescent="0.35">
      <c r="A808" t="s">
        <v>21</v>
      </c>
      <c r="B808">
        <v>2025</v>
      </c>
      <c r="C808" t="s">
        <v>61</v>
      </c>
      <c r="D808" t="s">
        <v>53</v>
      </c>
      <c r="E808">
        <v>2.4438953344174599</v>
      </c>
      <c r="F808">
        <v>2.4438953344174599</v>
      </c>
      <c r="G808">
        <v>0</v>
      </c>
      <c r="H808">
        <v>0</v>
      </c>
      <c r="I808" t="s">
        <v>62</v>
      </c>
    </row>
    <row r="809" spans="1:9" x14ac:dyDescent="0.35">
      <c r="A809" t="s">
        <v>21</v>
      </c>
      <c r="B809">
        <v>2025</v>
      </c>
      <c r="C809" t="s">
        <v>61</v>
      </c>
      <c r="D809" t="s">
        <v>54</v>
      </c>
      <c r="E809">
        <v>7.0736352307336601</v>
      </c>
      <c r="F809">
        <v>7.0736352307336601</v>
      </c>
      <c r="G809">
        <v>0</v>
      </c>
      <c r="H809">
        <v>0</v>
      </c>
      <c r="I809" t="s">
        <v>62</v>
      </c>
    </row>
    <row r="810" spans="1:9" x14ac:dyDescent="0.35">
      <c r="A810" t="s">
        <v>21</v>
      </c>
      <c r="B810">
        <v>2025</v>
      </c>
      <c r="C810" t="s">
        <v>61</v>
      </c>
      <c r="D810" t="s">
        <v>55</v>
      </c>
      <c r="E810">
        <v>6.5268024446706603</v>
      </c>
      <c r="F810">
        <v>6.5268024446706603</v>
      </c>
      <c r="G810">
        <v>0</v>
      </c>
      <c r="H810">
        <v>0</v>
      </c>
      <c r="I810" t="s">
        <v>62</v>
      </c>
    </row>
    <row r="811" spans="1:9" x14ac:dyDescent="0.35">
      <c r="A811" t="s">
        <v>21</v>
      </c>
      <c r="B811">
        <v>2025</v>
      </c>
      <c r="C811" t="s">
        <v>61</v>
      </c>
      <c r="D811" t="s">
        <v>56</v>
      </c>
      <c r="E811" s="1">
        <v>6.0878720713243897E-7</v>
      </c>
      <c r="F811" s="1">
        <v>6.0878720713243897E-7</v>
      </c>
      <c r="G811">
        <v>0</v>
      </c>
      <c r="H811">
        <v>0</v>
      </c>
      <c r="I811" t="s">
        <v>62</v>
      </c>
    </row>
    <row r="812" spans="1:9" x14ac:dyDescent="0.35">
      <c r="A812" t="s">
        <v>23</v>
      </c>
      <c r="B812">
        <v>2030</v>
      </c>
      <c r="C812" t="s">
        <v>61</v>
      </c>
      <c r="D812" t="s">
        <v>38</v>
      </c>
      <c r="E812">
        <v>4.4116498557528801E-3</v>
      </c>
      <c r="F812">
        <v>3.97234851127771E-3</v>
      </c>
      <c r="G812">
        <v>-4.3930134447517198E-4</v>
      </c>
      <c r="H812">
        <v>-9.9577563686817605</v>
      </c>
      <c r="I812" t="s">
        <v>62</v>
      </c>
    </row>
    <row r="813" spans="1:9" x14ac:dyDescent="0.35">
      <c r="A813" t="s">
        <v>23</v>
      </c>
      <c r="B813">
        <v>2030</v>
      </c>
      <c r="C813" t="s">
        <v>61</v>
      </c>
      <c r="D813" t="s">
        <v>40</v>
      </c>
      <c r="E813">
        <v>4.2691380333525998E-3</v>
      </c>
      <c r="F813">
        <v>4.2691380333525998E-3</v>
      </c>
      <c r="G813">
        <v>0</v>
      </c>
      <c r="H813">
        <v>0</v>
      </c>
      <c r="I813" t="s">
        <v>62</v>
      </c>
    </row>
    <row r="814" spans="1:9" x14ac:dyDescent="0.35">
      <c r="A814" t="s">
        <v>23</v>
      </c>
      <c r="B814">
        <v>2030</v>
      </c>
      <c r="C814" t="s">
        <v>61</v>
      </c>
      <c r="D814" t="s">
        <v>41</v>
      </c>
      <c r="E814">
        <v>0.14819564007313199</v>
      </c>
      <c r="F814">
        <v>6.6819433591422006E-2</v>
      </c>
      <c r="G814">
        <v>-8.1376206481710497E-2</v>
      </c>
      <c r="H814">
        <v>-54.911336420931399</v>
      </c>
      <c r="I814" t="s">
        <v>62</v>
      </c>
    </row>
    <row r="815" spans="1:9" x14ac:dyDescent="0.35">
      <c r="A815" t="s">
        <v>23</v>
      </c>
      <c r="B815">
        <v>2030</v>
      </c>
      <c r="C815" t="s">
        <v>61</v>
      </c>
      <c r="D815" t="s">
        <v>42</v>
      </c>
      <c r="E815">
        <v>17.358616758939799</v>
      </c>
      <c r="F815">
        <v>16.679343079664299</v>
      </c>
      <c r="G815">
        <v>-0.67927367927548199</v>
      </c>
      <c r="H815">
        <v>-3.9131786173322198</v>
      </c>
      <c r="I815" t="s">
        <v>62</v>
      </c>
    </row>
    <row r="816" spans="1:9" x14ac:dyDescent="0.35">
      <c r="A816" t="s">
        <v>23</v>
      </c>
      <c r="B816">
        <v>2030</v>
      </c>
      <c r="C816" t="s">
        <v>61</v>
      </c>
      <c r="D816" t="s">
        <v>43</v>
      </c>
      <c r="E816">
        <v>1.4434239571753899E-2</v>
      </c>
      <c r="F816">
        <v>1.4434239571753899E-2</v>
      </c>
      <c r="G816">
        <v>0</v>
      </c>
      <c r="H816">
        <v>0</v>
      </c>
      <c r="I816" t="s">
        <v>62</v>
      </c>
    </row>
    <row r="817" spans="1:9" x14ac:dyDescent="0.35">
      <c r="A817" t="s">
        <v>23</v>
      </c>
      <c r="B817">
        <v>2030</v>
      </c>
      <c r="C817" t="s">
        <v>61</v>
      </c>
      <c r="D817" t="s">
        <v>136</v>
      </c>
      <c r="E817">
        <v>9.7017757309832504</v>
      </c>
      <c r="F817">
        <v>9.7017757309832504</v>
      </c>
      <c r="G817">
        <v>0</v>
      </c>
      <c r="H817">
        <v>0</v>
      </c>
      <c r="I817" t="s">
        <v>62</v>
      </c>
    </row>
    <row r="818" spans="1:9" x14ac:dyDescent="0.35">
      <c r="A818" t="s">
        <v>23</v>
      </c>
      <c r="B818">
        <v>2030</v>
      </c>
      <c r="C818" t="s">
        <v>61</v>
      </c>
      <c r="D818" t="s">
        <v>45</v>
      </c>
      <c r="E818">
        <v>0.28431256294019303</v>
      </c>
      <c r="F818">
        <v>8.3387840439526101E-2</v>
      </c>
      <c r="G818">
        <v>-0.20092472250066701</v>
      </c>
      <c r="H818">
        <v>-70.670363779504498</v>
      </c>
      <c r="I818" t="s">
        <v>62</v>
      </c>
    </row>
    <row r="819" spans="1:9" x14ac:dyDescent="0.35">
      <c r="A819" t="s">
        <v>23</v>
      </c>
      <c r="B819">
        <v>2030</v>
      </c>
      <c r="C819" t="s">
        <v>61</v>
      </c>
      <c r="D819" t="s">
        <v>46</v>
      </c>
      <c r="E819">
        <v>0.33583550174478999</v>
      </c>
      <c r="F819">
        <v>0.33583550174478999</v>
      </c>
      <c r="G819">
        <v>0</v>
      </c>
      <c r="H819">
        <v>0</v>
      </c>
      <c r="I819" t="s">
        <v>62</v>
      </c>
    </row>
    <row r="820" spans="1:9" x14ac:dyDescent="0.35">
      <c r="A820" t="s">
        <v>23</v>
      </c>
      <c r="B820">
        <v>2030</v>
      </c>
      <c r="C820" t="s">
        <v>61</v>
      </c>
      <c r="D820" t="s">
        <v>47</v>
      </c>
      <c r="E820">
        <v>1.17182155957593E-2</v>
      </c>
      <c r="F820">
        <v>1.17182155957593E-2</v>
      </c>
      <c r="G820">
        <v>0</v>
      </c>
      <c r="H820">
        <v>0</v>
      </c>
      <c r="I820" t="s">
        <v>62</v>
      </c>
    </row>
    <row r="821" spans="1:9" x14ac:dyDescent="0.35">
      <c r="A821" t="s">
        <v>23</v>
      </c>
      <c r="B821">
        <v>2030</v>
      </c>
      <c r="C821" t="s">
        <v>61</v>
      </c>
      <c r="D821" t="s">
        <v>48</v>
      </c>
      <c r="E821">
        <v>28.633856346071699</v>
      </c>
      <c r="F821">
        <v>28.633856346071699</v>
      </c>
      <c r="G821">
        <v>0</v>
      </c>
      <c r="H821">
        <v>0</v>
      </c>
      <c r="I821" t="s">
        <v>62</v>
      </c>
    </row>
    <row r="822" spans="1:9" x14ac:dyDescent="0.35">
      <c r="A822" t="s">
        <v>23</v>
      </c>
      <c r="B822">
        <v>2030</v>
      </c>
      <c r="C822" t="s">
        <v>61</v>
      </c>
      <c r="D822" t="s">
        <v>49</v>
      </c>
      <c r="E822">
        <v>1.3679037672829899</v>
      </c>
      <c r="F822">
        <v>0.36426384247569799</v>
      </c>
      <c r="G822">
        <v>-1.00363992480729</v>
      </c>
      <c r="H822">
        <v>-73.370652878658305</v>
      </c>
      <c r="I822" t="s">
        <v>62</v>
      </c>
    </row>
    <row r="823" spans="1:9" x14ac:dyDescent="0.35">
      <c r="A823" t="s">
        <v>23</v>
      </c>
      <c r="B823">
        <v>2030</v>
      </c>
      <c r="C823" t="s">
        <v>61</v>
      </c>
      <c r="D823" t="s">
        <v>50</v>
      </c>
      <c r="E823">
        <v>0.11310981143908599</v>
      </c>
      <c r="F823">
        <v>0.11310981143908599</v>
      </c>
      <c r="G823">
        <v>0</v>
      </c>
      <c r="H823">
        <v>0</v>
      </c>
      <c r="I823" t="s">
        <v>62</v>
      </c>
    </row>
    <row r="824" spans="1:9" x14ac:dyDescent="0.35">
      <c r="A824" t="s">
        <v>23</v>
      </c>
      <c r="B824">
        <v>2030</v>
      </c>
      <c r="C824" t="s">
        <v>61</v>
      </c>
      <c r="D824" t="s">
        <v>51</v>
      </c>
      <c r="E824">
        <v>0.56195134185772899</v>
      </c>
      <c r="F824">
        <v>0.56195134185772899</v>
      </c>
      <c r="G824">
        <v>0</v>
      </c>
      <c r="H824">
        <v>0</v>
      </c>
      <c r="I824" t="s">
        <v>62</v>
      </c>
    </row>
    <row r="825" spans="1:9" x14ac:dyDescent="0.35">
      <c r="A825" t="s">
        <v>23</v>
      </c>
      <c r="B825">
        <v>2030</v>
      </c>
      <c r="C825" t="s">
        <v>61</v>
      </c>
      <c r="D825" t="s">
        <v>52</v>
      </c>
      <c r="E825">
        <v>0.51877127136499901</v>
      </c>
      <c r="F825">
        <v>0.51877127136499901</v>
      </c>
      <c r="G825">
        <v>0</v>
      </c>
      <c r="H825">
        <v>0</v>
      </c>
      <c r="I825" t="s">
        <v>62</v>
      </c>
    </row>
    <row r="826" spans="1:9" x14ac:dyDescent="0.35">
      <c r="A826" t="s">
        <v>23</v>
      </c>
      <c r="B826">
        <v>2030</v>
      </c>
      <c r="C826" t="s">
        <v>61</v>
      </c>
      <c r="D826" t="s">
        <v>53</v>
      </c>
      <c r="E826">
        <v>2.4061568183487299</v>
      </c>
      <c r="F826">
        <v>2.4061568183487299</v>
      </c>
      <c r="G826">
        <v>0</v>
      </c>
      <c r="H826">
        <v>0</v>
      </c>
      <c r="I826" t="s">
        <v>62</v>
      </c>
    </row>
    <row r="827" spans="1:9" x14ac:dyDescent="0.35">
      <c r="A827" t="s">
        <v>23</v>
      </c>
      <c r="B827">
        <v>2030</v>
      </c>
      <c r="C827" t="s">
        <v>61</v>
      </c>
      <c r="D827" t="s">
        <v>54</v>
      </c>
      <c r="E827">
        <v>7.0776633776563704</v>
      </c>
      <c r="F827">
        <v>7.0775136441685804</v>
      </c>
      <c r="G827">
        <v>-1.4973348778823901E-4</v>
      </c>
      <c r="H827">
        <v>-2.1155779781917299E-3</v>
      </c>
      <c r="I827" t="s">
        <v>62</v>
      </c>
    </row>
    <row r="828" spans="1:9" x14ac:dyDescent="0.35">
      <c r="A828" t="s">
        <v>23</v>
      </c>
      <c r="B828">
        <v>2030</v>
      </c>
      <c r="C828" t="s">
        <v>61</v>
      </c>
      <c r="D828" t="s">
        <v>55</v>
      </c>
      <c r="E828">
        <v>6.5297951690330196</v>
      </c>
      <c r="F828">
        <v>6.5137987943505102</v>
      </c>
      <c r="G828">
        <v>-1.59963746825138E-2</v>
      </c>
      <c r="H828">
        <v>-0.24497513732705101</v>
      </c>
      <c r="I828" t="s">
        <v>62</v>
      </c>
    </row>
    <row r="829" spans="1:9" x14ac:dyDescent="0.35">
      <c r="A829" t="s">
        <v>23</v>
      </c>
      <c r="B829">
        <v>2030</v>
      </c>
      <c r="C829" t="s">
        <v>61</v>
      </c>
      <c r="D829" t="s">
        <v>56</v>
      </c>
      <c r="E829" s="1">
        <v>5.8751852703243603E-7</v>
      </c>
      <c r="F829" s="1">
        <v>5.8751852703243603E-7</v>
      </c>
      <c r="G829">
        <v>0</v>
      </c>
      <c r="H829">
        <v>0</v>
      </c>
      <c r="I829" t="s">
        <v>62</v>
      </c>
    </row>
    <row r="830" spans="1:9" x14ac:dyDescent="0.35">
      <c r="A830" t="s">
        <v>25</v>
      </c>
      <c r="B830">
        <v>2035</v>
      </c>
      <c r="C830" t="s">
        <v>61</v>
      </c>
      <c r="D830" t="s">
        <v>38</v>
      </c>
      <c r="E830">
        <v>5.3604096295030998E-3</v>
      </c>
      <c r="F830">
        <v>5.2397405534445199E-3</v>
      </c>
      <c r="G830">
        <v>-1.20669076058581E-4</v>
      </c>
      <c r="H830">
        <v>-2.2511166944114098</v>
      </c>
      <c r="I830" t="s">
        <v>62</v>
      </c>
    </row>
    <row r="831" spans="1:9" x14ac:dyDescent="0.35">
      <c r="A831" t="s">
        <v>25</v>
      </c>
      <c r="B831">
        <v>2035</v>
      </c>
      <c r="C831" t="s">
        <v>61</v>
      </c>
      <c r="D831" t="s">
        <v>40</v>
      </c>
      <c r="E831">
        <v>4.2623116259616397E-3</v>
      </c>
      <c r="F831">
        <v>4.2623116259616397E-3</v>
      </c>
      <c r="G831">
        <v>0</v>
      </c>
      <c r="H831">
        <v>0</v>
      </c>
      <c r="I831" t="s">
        <v>62</v>
      </c>
    </row>
    <row r="832" spans="1:9" x14ac:dyDescent="0.35">
      <c r="A832" t="s">
        <v>25</v>
      </c>
      <c r="B832">
        <v>2035</v>
      </c>
      <c r="C832" t="s">
        <v>61</v>
      </c>
      <c r="D832" t="s">
        <v>41</v>
      </c>
      <c r="E832">
        <v>0.14786731883155699</v>
      </c>
      <c r="F832">
        <v>0.125410750610601</v>
      </c>
      <c r="G832">
        <v>-2.24565682209561E-2</v>
      </c>
      <c r="H832">
        <v>-15.1869719410666</v>
      </c>
      <c r="I832" t="s">
        <v>62</v>
      </c>
    </row>
    <row r="833" spans="1:9" x14ac:dyDescent="0.35">
      <c r="A833" t="s">
        <v>25</v>
      </c>
      <c r="B833">
        <v>2035</v>
      </c>
      <c r="C833" t="s">
        <v>61</v>
      </c>
      <c r="D833" t="s">
        <v>42</v>
      </c>
      <c r="E833">
        <v>17.482908753832302</v>
      </c>
      <c r="F833">
        <v>17.2901159043527</v>
      </c>
      <c r="G833">
        <v>-0.19279284947954101</v>
      </c>
      <c r="H833">
        <v>-1.1027504186754999</v>
      </c>
      <c r="I833" t="s">
        <v>62</v>
      </c>
    </row>
    <row r="834" spans="1:9" x14ac:dyDescent="0.35">
      <c r="A834" t="s">
        <v>25</v>
      </c>
      <c r="B834">
        <v>2035</v>
      </c>
      <c r="C834" t="s">
        <v>61</v>
      </c>
      <c r="D834" t="s">
        <v>43</v>
      </c>
      <c r="E834">
        <v>1.45577469751268E-2</v>
      </c>
      <c r="F834">
        <v>1.45577469751268E-2</v>
      </c>
      <c r="G834">
        <v>0</v>
      </c>
      <c r="H834">
        <v>0</v>
      </c>
      <c r="I834" t="s">
        <v>62</v>
      </c>
    </row>
    <row r="835" spans="1:9" x14ac:dyDescent="0.35">
      <c r="A835" t="s">
        <v>25</v>
      </c>
      <c r="B835">
        <v>2035</v>
      </c>
      <c r="C835" t="s">
        <v>61</v>
      </c>
      <c r="D835" t="s">
        <v>136</v>
      </c>
      <c r="E835">
        <v>9.7331648191589899</v>
      </c>
      <c r="F835">
        <v>9.7331648191589899</v>
      </c>
      <c r="G835">
        <v>0</v>
      </c>
      <c r="H835">
        <v>0</v>
      </c>
      <c r="I835" t="s">
        <v>62</v>
      </c>
    </row>
    <row r="836" spans="1:9" x14ac:dyDescent="0.35">
      <c r="A836" t="s">
        <v>25</v>
      </c>
      <c r="B836">
        <v>2035</v>
      </c>
      <c r="C836" t="s">
        <v>61</v>
      </c>
      <c r="D836" t="s">
        <v>45</v>
      </c>
      <c r="E836">
        <v>0.28349881057246101</v>
      </c>
      <c r="F836">
        <v>0.228053509737145</v>
      </c>
      <c r="G836">
        <v>-5.5445300835315903E-2</v>
      </c>
      <c r="H836">
        <v>-19.557507392484901</v>
      </c>
      <c r="I836" t="s">
        <v>62</v>
      </c>
    </row>
    <row r="837" spans="1:9" x14ac:dyDescent="0.35">
      <c r="A837" t="s">
        <v>25</v>
      </c>
      <c r="B837">
        <v>2035</v>
      </c>
      <c r="C837" t="s">
        <v>61</v>
      </c>
      <c r="D837" t="s">
        <v>46</v>
      </c>
      <c r="E837">
        <v>0.42590276031518198</v>
      </c>
      <c r="F837">
        <v>0.42590276031518198</v>
      </c>
      <c r="G837">
        <v>0</v>
      </c>
      <c r="H837">
        <v>0</v>
      </c>
      <c r="I837" t="s">
        <v>62</v>
      </c>
    </row>
    <row r="838" spans="1:9" x14ac:dyDescent="0.35">
      <c r="A838" t="s">
        <v>25</v>
      </c>
      <c r="B838">
        <v>2035</v>
      </c>
      <c r="C838" t="s">
        <v>61</v>
      </c>
      <c r="D838" t="s">
        <v>47</v>
      </c>
      <c r="E838">
        <v>1.19654652006789E-2</v>
      </c>
      <c r="F838">
        <v>1.19654652006789E-2</v>
      </c>
      <c r="G838">
        <v>0</v>
      </c>
      <c r="H838">
        <v>0</v>
      </c>
      <c r="I838" t="s">
        <v>62</v>
      </c>
    </row>
    <row r="839" spans="1:9" x14ac:dyDescent="0.35">
      <c r="A839" t="s">
        <v>25</v>
      </c>
      <c r="B839">
        <v>2035</v>
      </c>
      <c r="C839" t="s">
        <v>61</v>
      </c>
      <c r="D839" t="s">
        <v>48</v>
      </c>
      <c r="E839">
        <v>28.635102753536099</v>
      </c>
      <c r="F839">
        <v>28.635102753536099</v>
      </c>
      <c r="G839">
        <v>0</v>
      </c>
      <c r="H839">
        <v>0</v>
      </c>
      <c r="I839" t="s">
        <v>62</v>
      </c>
    </row>
    <row r="840" spans="1:9" x14ac:dyDescent="0.35">
      <c r="A840" t="s">
        <v>25</v>
      </c>
      <c r="B840">
        <v>2035</v>
      </c>
      <c r="C840" t="s">
        <v>61</v>
      </c>
      <c r="D840" t="s">
        <v>49</v>
      </c>
      <c r="E840">
        <v>1.3671371118600499</v>
      </c>
      <c r="F840">
        <v>1.09017275808698</v>
      </c>
      <c r="G840">
        <v>-0.276964353773064</v>
      </c>
      <c r="H840">
        <v>-20.258710803062101</v>
      </c>
      <c r="I840" t="s">
        <v>62</v>
      </c>
    </row>
    <row r="841" spans="1:9" x14ac:dyDescent="0.35">
      <c r="A841" t="s">
        <v>25</v>
      </c>
      <c r="B841">
        <v>2035</v>
      </c>
      <c r="C841" t="s">
        <v>61</v>
      </c>
      <c r="D841" t="s">
        <v>50</v>
      </c>
      <c r="E841">
        <v>0.11632113618442499</v>
      </c>
      <c r="F841">
        <v>0.11632113618442499</v>
      </c>
      <c r="G841">
        <v>0</v>
      </c>
      <c r="H841">
        <v>0</v>
      </c>
      <c r="I841" t="s">
        <v>62</v>
      </c>
    </row>
    <row r="842" spans="1:9" x14ac:dyDescent="0.35">
      <c r="A842" t="s">
        <v>25</v>
      </c>
      <c r="B842">
        <v>2035</v>
      </c>
      <c r="C842" t="s">
        <v>61</v>
      </c>
      <c r="D842" t="s">
        <v>51</v>
      </c>
      <c r="E842">
        <v>0.56363656288590502</v>
      </c>
      <c r="F842">
        <v>0.56363656288590502</v>
      </c>
      <c r="G842">
        <v>0</v>
      </c>
      <c r="H842">
        <v>0</v>
      </c>
      <c r="I842" t="s">
        <v>62</v>
      </c>
    </row>
    <row r="843" spans="1:9" x14ac:dyDescent="0.35">
      <c r="A843" t="s">
        <v>25</v>
      </c>
      <c r="B843">
        <v>2035</v>
      </c>
      <c r="C843" t="s">
        <v>61</v>
      </c>
      <c r="D843" t="s">
        <v>52</v>
      </c>
      <c r="E843">
        <v>0.43678200559667102</v>
      </c>
      <c r="F843">
        <v>0.43678200559667102</v>
      </c>
      <c r="G843">
        <v>0</v>
      </c>
      <c r="H843">
        <v>0</v>
      </c>
      <c r="I843" t="s">
        <v>62</v>
      </c>
    </row>
    <row r="844" spans="1:9" x14ac:dyDescent="0.35">
      <c r="A844" t="s">
        <v>25</v>
      </c>
      <c r="B844">
        <v>2035</v>
      </c>
      <c r="C844" t="s">
        <v>61</v>
      </c>
      <c r="D844" t="s">
        <v>53</v>
      </c>
      <c r="E844">
        <v>2.4280988187333201</v>
      </c>
      <c r="F844">
        <v>2.4280988187333201</v>
      </c>
      <c r="G844">
        <v>0</v>
      </c>
      <c r="H844">
        <v>0</v>
      </c>
      <c r="I844" t="s">
        <v>62</v>
      </c>
    </row>
    <row r="845" spans="1:9" x14ac:dyDescent="0.35">
      <c r="A845" t="s">
        <v>25</v>
      </c>
      <c r="B845">
        <v>2035</v>
      </c>
      <c r="C845" t="s">
        <v>61</v>
      </c>
      <c r="D845" t="s">
        <v>54</v>
      </c>
      <c r="E845">
        <v>7.08286402710874</v>
      </c>
      <c r="F845">
        <v>7.0828228620407598</v>
      </c>
      <c r="G845" s="1">
        <v>-4.1165067981019302E-5</v>
      </c>
      <c r="H845">
        <v>-5.8119240780940302E-4</v>
      </c>
      <c r="I845" t="s">
        <v>62</v>
      </c>
    </row>
    <row r="846" spans="1:9" x14ac:dyDescent="0.35">
      <c r="A846" t="s">
        <v>25</v>
      </c>
      <c r="B846">
        <v>2035</v>
      </c>
      <c r="C846" t="s">
        <v>61</v>
      </c>
      <c r="D846" t="s">
        <v>55</v>
      </c>
      <c r="E846">
        <v>6.5342524616912803</v>
      </c>
      <c r="F846">
        <v>6.5297642846795103</v>
      </c>
      <c r="G846">
        <v>-4.4881770117735E-3</v>
      </c>
      <c r="H846">
        <v>-6.8686923838443395E-2</v>
      </c>
      <c r="I846" t="s">
        <v>62</v>
      </c>
    </row>
    <row r="847" spans="1:9" x14ac:dyDescent="0.35">
      <c r="A847" t="s">
        <v>25</v>
      </c>
      <c r="B847">
        <v>2035</v>
      </c>
      <c r="C847" t="s">
        <v>61</v>
      </c>
      <c r="D847" t="s">
        <v>56</v>
      </c>
      <c r="E847" s="1">
        <v>5.8480608977983301E-7</v>
      </c>
      <c r="F847" s="1">
        <v>5.8480608977983301E-7</v>
      </c>
      <c r="G847">
        <v>0</v>
      </c>
      <c r="H847">
        <v>0</v>
      </c>
      <c r="I847" t="s">
        <v>62</v>
      </c>
    </row>
    <row r="848" spans="1:9" x14ac:dyDescent="0.35">
      <c r="A848" t="s">
        <v>27</v>
      </c>
      <c r="B848">
        <v>2040</v>
      </c>
      <c r="C848" t="s">
        <v>61</v>
      </c>
      <c r="D848" t="s">
        <v>38</v>
      </c>
      <c r="E848">
        <v>4.9629950122333701E-3</v>
      </c>
      <c r="F848">
        <v>4.4030244160939598E-3</v>
      </c>
      <c r="G848">
        <v>-5.5997059613941205E-4</v>
      </c>
      <c r="H848">
        <v>-11.2829167621392</v>
      </c>
      <c r="I848" t="s">
        <v>62</v>
      </c>
    </row>
    <row r="849" spans="1:9" x14ac:dyDescent="0.35">
      <c r="A849" t="s">
        <v>27</v>
      </c>
      <c r="B849">
        <v>2040</v>
      </c>
      <c r="C849" t="s">
        <v>61</v>
      </c>
      <c r="D849" t="s">
        <v>40</v>
      </c>
      <c r="E849">
        <v>4.2879705475078198E-3</v>
      </c>
      <c r="F849">
        <v>4.2879705475078198E-3</v>
      </c>
      <c r="G849">
        <v>0</v>
      </c>
      <c r="H849">
        <v>0</v>
      </c>
      <c r="I849" t="s">
        <v>62</v>
      </c>
    </row>
    <row r="850" spans="1:9" x14ac:dyDescent="0.35">
      <c r="A850" t="s">
        <v>27</v>
      </c>
      <c r="B850">
        <v>2040</v>
      </c>
      <c r="C850" t="s">
        <v>61</v>
      </c>
      <c r="D850" t="s">
        <v>41</v>
      </c>
      <c r="E850">
        <v>0.14769058606827601</v>
      </c>
      <c r="F850">
        <v>4.3857778510214697E-2</v>
      </c>
      <c r="G850">
        <v>-0.103832807558062</v>
      </c>
      <c r="H850">
        <v>-70.304282975802195</v>
      </c>
      <c r="I850" t="s">
        <v>62</v>
      </c>
    </row>
    <row r="851" spans="1:9" x14ac:dyDescent="0.35">
      <c r="A851" t="s">
        <v>27</v>
      </c>
      <c r="B851">
        <v>2040</v>
      </c>
      <c r="C851" t="s">
        <v>61</v>
      </c>
      <c r="D851" t="s">
        <v>42</v>
      </c>
      <c r="E851">
        <v>17.603104863502502</v>
      </c>
      <c r="F851">
        <v>16.731038068239101</v>
      </c>
      <c r="G851">
        <v>-0.87206679526346398</v>
      </c>
      <c r="H851">
        <v>-4.9540510155771704</v>
      </c>
      <c r="I851" t="s">
        <v>62</v>
      </c>
    </row>
    <row r="852" spans="1:9" x14ac:dyDescent="0.35">
      <c r="A852" t="s">
        <v>27</v>
      </c>
      <c r="B852">
        <v>2040</v>
      </c>
      <c r="C852" t="s">
        <v>61</v>
      </c>
      <c r="D852" t="s">
        <v>43</v>
      </c>
      <c r="E852">
        <v>1.4441744283634201E-2</v>
      </c>
      <c r="F852">
        <v>1.4441744283634201E-2</v>
      </c>
      <c r="G852">
        <v>0</v>
      </c>
      <c r="H852">
        <v>0</v>
      </c>
      <c r="I852" t="s">
        <v>62</v>
      </c>
    </row>
    <row r="853" spans="1:9" x14ac:dyDescent="0.35">
      <c r="A853" t="s">
        <v>27</v>
      </c>
      <c r="B853">
        <v>2040</v>
      </c>
      <c r="C853" t="s">
        <v>61</v>
      </c>
      <c r="D853" t="s">
        <v>136</v>
      </c>
      <c r="E853">
        <v>9.7852507000584001</v>
      </c>
      <c r="F853">
        <v>9.4098178597130602</v>
      </c>
      <c r="G853">
        <v>-0.37543284034533803</v>
      </c>
      <c r="H853">
        <v>-3.8367217341002502</v>
      </c>
      <c r="I853" t="s">
        <v>62</v>
      </c>
    </row>
    <row r="854" spans="1:9" x14ac:dyDescent="0.35">
      <c r="A854" t="s">
        <v>27</v>
      </c>
      <c r="B854">
        <v>2040</v>
      </c>
      <c r="C854" t="s">
        <v>61</v>
      </c>
      <c r="D854" t="s">
        <v>45</v>
      </c>
      <c r="E854">
        <v>0.28298126912105098</v>
      </c>
      <c r="F854">
        <v>2.6611164664497901E-2</v>
      </c>
      <c r="G854">
        <v>-0.25637010445655301</v>
      </c>
      <c r="H854">
        <v>-90.596139190712805</v>
      </c>
      <c r="I854" t="s">
        <v>62</v>
      </c>
    </row>
    <row r="855" spans="1:9" x14ac:dyDescent="0.35">
      <c r="A855" t="s">
        <v>27</v>
      </c>
      <c r="B855">
        <v>2040</v>
      </c>
      <c r="C855" t="s">
        <v>61</v>
      </c>
      <c r="D855" t="s">
        <v>46</v>
      </c>
      <c r="E855">
        <v>0.47153204216903</v>
      </c>
      <c r="F855">
        <v>0.47153204216903</v>
      </c>
      <c r="G855">
        <v>0</v>
      </c>
      <c r="H855">
        <v>0</v>
      </c>
      <c r="I855" t="s">
        <v>62</v>
      </c>
    </row>
    <row r="856" spans="1:9" x14ac:dyDescent="0.35">
      <c r="A856" t="s">
        <v>27</v>
      </c>
      <c r="B856">
        <v>2040</v>
      </c>
      <c r="C856" t="s">
        <v>61</v>
      </c>
      <c r="D856" t="s">
        <v>47</v>
      </c>
      <c r="E856">
        <v>1.21911379669872E-2</v>
      </c>
      <c r="F856">
        <v>1.21911379669872E-2</v>
      </c>
      <c r="G856">
        <v>0</v>
      </c>
      <c r="H856">
        <v>0</v>
      </c>
      <c r="I856" t="s">
        <v>62</v>
      </c>
    </row>
    <row r="857" spans="1:9" x14ac:dyDescent="0.35">
      <c r="A857" t="s">
        <v>27</v>
      </c>
      <c r="B857">
        <v>2040</v>
      </c>
      <c r="C857" t="s">
        <v>61</v>
      </c>
      <c r="D857" t="s">
        <v>48</v>
      </c>
      <c r="E857">
        <v>28.6388422045734</v>
      </c>
      <c r="F857">
        <v>28.6388422045734</v>
      </c>
      <c r="G857">
        <v>0</v>
      </c>
      <c r="H857">
        <v>0</v>
      </c>
      <c r="I857" t="s">
        <v>62</v>
      </c>
    </row>
    <row r="858" spans="1:9" x14ac:dyDescent="0.35">
      <c r="A858" t="s">
        <v>27</v>
      </c>
      <c r="B858">
        <v>2040</v>
      </c>
      <c r="C858" t="s">
        <v>61</v>
      </c>
      <c r="D858" t="s">
        <v>49</v>
      </c>
      <c r="E858">
        <v>1.36643964973414</v>
      </c>
      <c r="F858">
        <v>8.58349659372169E-2</v>
      </c>
      <c r="G858">
        <v>-1.2806046837969201</v>
      </c>
      <c r="H858">
        <v>-93.7183492916121</v>
      </c>
      <c r="I858" t="s">
        <v>62</v>
      </c>
    </row>
    <row r="859" spans="1:9" x14ac:dyDescent="0.35">
      <c r="A859" t="s">
        <v>27</v>
      </c>
      <c r="B859">
        <v>2040</v>
      </c>
      <c r="C859" t="s">
        <v>61</v>
      </c>
      <c r="D859" t="s">
        <v>50</v>
      </c>
      <c r="E859">
        <v>0.114928777653067</v>
      </c>
      <c r="F859">
        <v>0.114928777653067</v>
      </c>
      <c r="G859">
        <v>0</v>
      </c>
      <c r="H859">
        <v>0</v>
      </c>
      <c r="I859" t="s">
        <v>62</v>
      </c>
    </row>
    <row r="860" spans="1:9" x14ac:dyDescent="0.35">
      <c r="A860" t="s">
        <v>27</v>
      </c>
      <c r="B860">
        <v>2040</v>
      </c>
      <c r="C860" t="s">
        <v>61</v>
      </c>
      <c r="D860" t="s">
        <v>51</v>
      </c>
      <c r="E860">
        <v>0.56756727128697904</v>
      </c>
      <c r="F860">
        <v>0.56756727128697904</v>
      </c>
      <c r="G860">
        <v>0</v>
      </c>
      <c r="H860">
        <v>0</v>
      </c>
      <c r="I860" t="s">
        <v>62</v>
      </c>
    </row>
    <row r="861" spans="1:9" x14ac:dyDescent="0.35">
      <c r="A861" t="s">
        <v>27</v>
      </c>
      <c r="B861">
        <v>2040</v>
      </c>
      <c r="C861" t="s">
        <v>61</v>
      </c>
      <c r="D861" t="s">
        <v>52</v>
      </c>
      <c r="E861">
        <v>0.375598411765377</v>
      </c>
      <c r="F861">
        <v>0.375598411765377</v>
      </c>
      <c r="G861">
        <v>0</v>
      </c>
      <c r="H861">
        <v>0</v>
      </c>
      <c r="I861" t="s">
        <v>62</v>
      </c>
    </row>
    <row r="862" spans="1:9" x14ac:dyDescent="0.35">
      <c r="A862" t="s">
        <v>27</v>
      </c>
      <c r="B862">
        <v>2040</v>
      </c>
      <c r="C862" t="s">
        <v>61</v>
      </c>
      <c r="D862" t="s">
        <v>53</v>
      </c>
      <c r="E862">
        <v>2.45378729463381</v>
      </c>
      <c r="F862">
        <v>2.45378729463381</v>
      </c>
      <c r="G862">
        <v>0</v>
      </c>
      <c r="H862">
        <v>0</v>
      </c>
      <c r="I862" t="s">
        <v>62</v>
      </c>
    </row>
    <row r="863" spans="1:9" x14ac:dyDescent="0.35">
      <c r="A863" t="s">
        <v>27</v>
      </c>
      <c r="B863">
        <v>2040</v>
      </c>
      <c r="C863" t="s">
        <v>61</v>
      </c>
      <c r="D863" t="s">
        <v>54</v>
      </c>
      <c r="E863">
        <v>7.0874368964971497</v>
      </c>
      <c r="F863">
        <v>7.0872459978828202</v>
      </c>
      <c r="G863">
        <v>-1.9089861433219099E-4</v>
      </c>
      <c r="H863">
        <v>-2.69347885730791E-3</v>
      </c>
      <c r="I863" t="s">
        <v>62</v>
      </c>
    </row>
    <row r="864" spans="1:9" x14ac:dyDescent="0.35">
      <c r="A864" t="s">
        <v>27</v>
      </c>
      <c r="B864">
        <v>2040</v>
      </c>
      <c r="C864" t="s">
        <v>61</v>
      </c>
      <c r="D864" t="s">
        <v>55</v>
      </c>
      <c r="E864">
        <v>6.5384807983886901</v>
      </c>
      <c r="F864">
        <v>6.5179962405186496</v>
      </c>
      <c r="G864">
        <v>-2.0484557870043201E-2</v>
      </c>
      <c r="H864">
        <v>-0.31329231516732903</v>
      </c>
      <c r="I864" t="s">
        <v>62</v>
      </c>
    </row>
    <row r="865" spans="1:9" x14ac:dyDescent="0.35">
      <c r="A865" t="s">
        <v>27</v>
      </c>
      <c r="B865">
        <v>2040</v>
      </c>
      <c r="C865" t="s">
        <v>61</v>
      </c>
      <c r="D865" t="s">
        <v>56</v>
      </c>
      <c r="E865" s="1">
        <v>5.87982800001466E-7</v>
      </c>
      <c r="F865" s="1">
        <v>5.87982800001466E-7</v>
      </c>
      <c r="G865">
        <v>0</v>
      </c>
      <c r="H865">
        <v>0</v>
      </c>
      <c r="I865" t="s">
        <v>62</v>
      </c>
    </row>
    <row r="866" spans="1:9" x14ac:dyDescent="0.35">
      <c r="A866" t="s">
        <v>21</v>
      </c>
      <c r="B866">
        <v>2025</v>
      </c>
      <c r="C866" t="s">
        <v>127</v>
      </c>
      <c r="D866" t="s">
        <v>38</v>
      </c>
      <c r="E866">
        <v>4.0099496551917104E-3</v>
      </c>
      <c r="F866">
        <v>4.0099496551917104E-3</v>
      </c>
      <c r="G866">
        <v>0</v>
      </c>
      <c r="H866">
        <v>0</v>
      </c>
      <c r="I866" t="s">
        <v>128</v>
      </c>
    </row>
    <row r="867" spans="1:9" x14ac:dyDescent="0.35">
      <c r="A867" t="s">
        <v>21</v>
      </c>
      <c r="B867">
        <v>2025</v>
      </c>
      <c r="C867" t="s">
        <v>127</v>
      </c>
      <c r="D867" t="s">
        <v>40</v>
      </c>
      <c r="E867">
        <v>5.65759738347539E-2</v>
      </c>
      <c r="F867">
        <v>5.65759738347539E-2</v>
      </c>
      <c r="G867">
        <v>0</v>
      </c>
      <c r="H867">
        <v>0</v>
      </c>
      <c r="I867" t="s">
        <v>128</v>
      </c>
    </row>
    <row r="868" spans="1:9" x14ac:dyDescent="0.35">
      <c r="A868" t="s">
        <v>21</v>
      </c>
      <c r="B868">
        <v>2025</v>
      </c>
      <c r="C868" t="s">
        <v>127</v>
      </c>
      <c r="D868" t="s">
        <v>41</v>
      </c>
      <c r="E868">
        <v>0.76459392286487204</v>
      </c>
      <c r="F868">
        <v>0.76459392286487204</v>
      </c>
      <c r="G868">
        <v>0</v>
      </c>
      <c r="H868">
        <v>0</v>
      </c>
      <c r="I868" t="s">
        <v>128</v>
      </c>
    </row>
    <row r="869" spans="1:9" x14ac:dyDescent="0.35">
      <c r="A869" t="s">
        <v>21</v>
      </c>
      <c r="B869">
        <v>2025</v>
      </c>
      <c r="C869" t="s">
        <v>127</v>
      </c>
      <c r="D869" t="s">
        <v>42</v>
      </c>
      <c r="E869">
        <v>179.34258899005701</v>
      </c>
      <c r="F869">
        <v>179.34258899005701</v>
      </c>
      <c r="G869">
        <v>0</v>
      </c>
      <c r="H869">
        <v>0</v>
      </c>
      <c r="I869" t="s">
        <v>128</v>
      </c>
    </row>
    <row r="870" spans="1:9" x14ac:dyDescent="0.35">
      <c r="A870" t="s">
        <v>21</v>
      </c>
      <c r="B870">
        <v>2025</v>
      </c>
      <c r="C870" t="s">
        <v>127</v>
      </c>
      <c r="D870" t="s">
        <v>43</v>
      </c>
      <c r="E870">
        <v>0.236519886156456</v>
      </c>
      <c r="F870">
        <v>0.236519886156456</v>
      </c>
      <c r="G870">
        <v>0</v>
      </c>
      <c r="H870">
        <v>0</v>
      </c>
      <c r="I870" t="s">
        <v>128</v>
      </c>
    </row>
    <row r="871" spans="1:9" x14ac:dyDescent="0.35">
      <c r="A871" t="s">
        <v>21</v>
      </c>
      <c r="B871">
        <v>2025</v>
      </c>
      <c r="C871" t="s">
        <v>127</v>
      </c>
      <c r="D871" t="s">
        <v>136</v>
      </c>
      <c r="E871">
        <v>30.6538153066649</v>
      </c>
      <c r="F871">
        <v>30.6538153066649</v>
      </c>
      <c r="G871">
        <v>0</v>
      </c>
      <c r="H871">
        <v>0</v>
      </c>
      <c r="I871" t="s">
        <v>128</v>
      </c>
    </row>
    <row r="872" spans="1:9" x14ac:dyDescent="0.35">
      <c r="A872" t="s">
        <v>21</v>
      </c>
      <c r="B872">
        <v>2025</v>
      </c>
      <c r="C872" t="s">
        <v>127</v>
      </c>
      <c r="D872" t="s">
        <v>45</v>
      </c>
      <c r="E872">
        <v>0.23439376753076599</v>
      </c>
      <c r="F872">
        <v>0.23439376753076599</v>
      </c>
      <c r="G872">
        <v>0</v>
      </c>
      <c r="H872">
        <v>0</v>
      </c>
      <c r="I872" t="s">
        <v>128</v>
      </c>
    </row>
    <row r="873" spans="1:9" x14ac:dyDescent="0.35">
      <c r="A873" t="s">
        <v>21</v>
      </c>
      <c r="B873">
        <v>2025</v>
      </c>
      <c r="C873" t="s">
        <v>127</v>
      </c>
      <c r="D873" t="s">
        <v>46</v>
      </c>
      <c r="E873">
        <v>0.43777245088408601</v>
      </c>
      <c r="F873">
        <v>0.43777245088408601</v>
      </c>
      <c r="G873">
        <v>0</v>
      </c>
      <c r="H873">
        <v>0</v>
      </c>
      <c r="I873" t="s">
        <v>128</v>
      </c>
    </row>
    <row r="874" spans="1:9" x14ac:dyDescent="0.35">
      <c r="A874" t="s">
        <v>21</v>
      </c>
      <c r="B874">
        <v>2025</v>
      </c>
      <c r="C874" t="s">
        <v>127</v>
      </c>
      <c r="D874" t="s">
        <v>47</v>
      </c>
      <c r="E874">
        <v>4.4711023451692901E-2</v>
      </c>
      <c r="F874">
        <v>4.4711023451692901E-2</v>
      </c>
      <c r="G874">
        <v>0</v>
      </c>
      <c r="H874">
        <v>0</v>
      </c>
      <c r="I874" t="s">
        <v>128</v>
      </c>
    </row>
    <row r="875" spans="1:9" x14ac:dyDescent="0.35">
      <c r="A875" t="s">
        <v>21</v>
      </c>
      <c r="B875">
        <v>2025</v>
      </c>
      <c r="C875" t="s">
        <v>127</v>
      </c>
      <c r="D875" t="s">
        <v>48</v>
      </c>
      <c r="E875">
        <v>79.719646605162495</v>
      </c>
      <c r="F875">
        <v>79.719646605162495</v>
      </c>
      <c r="G875">
        <v>0</v>
      </c>
      <c r="H875">
        <v>0</v>
      </c>
      <c r="I875" t="s">
        <v>128</v>
      </c>
    </row>
    <row r="876" spans="1:9" x14ac:dyDescent="0.35">
      <c r="A876" t="s">
        <v>21</v>
      </c>
      <c r="B876">
        <v>2025</v>
      </c>
      <c r="C876" t="s">
        <v>127</v>
      </c>
      <c r="D876" t="s">
        <v>49</v>
      </c>
      <c r="E876">
        <v>0.83576920913267705</v>
      </c>
      <c r="F876">
        <v>0.83576920913267705</v>
      </c>
      <c r="G876">
        <v>0</v>
      </c>
      <c r="H876">
        <v>0</v>
      </c>
      <c r="I876" t="s">
        <v>128</v>
      </c>
    </row>
    <row r="877" spans="1:9" x14ac:dyDescent="0.35">
      <c r="A877" t="s">
        <v>21</v>
      </c>
      <c r="B877">
        <v>2025</v>
      </c>
      <c r="C877" t="s">
        <v>127</v>
      </c>
      <c r="D877" t="s">
        <v>50</v>
      </c>
      <c r="E877">
        <v>0.49798887132951702</v>
      </c>
      <c r="F877">
        <v>0.49798887132951702</v>
      </c>
      <c r="G877">
        <v>0</v>
      </c>
      <c r="H877">
        <v>0</v>
      </c>
      <c r="I877" t="s">
        <v>128</v>
      </c>
    </row>
    <row r="878" spans="1:9" x14ac:dyDescent="0.35">
      <c r="A878" t="s">
        <v>21</v>
      </c>
      <c r="B878">
        <v>2025</v>
      </c>
      <c r="C878" t="s">
        <v>127</v>
      </c>
      <c r="D878" t="s">
        <v>51</v>
      </c>
      <c r="E878">
        <v>1.4529905774621801</v>
      </c>
      <c r="F878">
        <v>1.4529905774621801</v>
      </c>
      <c r="G878">
        <v>0</v>
      </c>
      <c r="H878">
        <v>0</v>
      </c>
      <c r="I878" t="s">
        <v>128</v>
      </c>
    </row>
    <row r="879" spans="1:9" x14ac:dyDescent="0.35">
      <c r="A879" t="s">
        <v>21</v>
      </c>
      <c r="B879">
        <v>2025</v>
      </c>
      <c r="C879" t="s">
        <v>127</v>
      </c>
      <c r="D879" t="s">
        <v>52</v>
      </c>
      <c r="E879">
        <v>1.67529192778009</v>
      </c>
      <c r="F879">
        <v>1.67529192778009</v>
      </c>
      <c r="G879">
        <v>0</v>
      </c>
      <c r="H879">
        <v>0</v>
      </c>
      <c r="I879" t="s">
        <v>128</v>
      </c>
    </row>
    <row r="880" spans="1:9" x14ac:dyDescent="0.35">
      <c r="A880" t="s">
        <v>21</v>
      </c>
      <c r="B880">
        <v>2025</v>
      </c>
      <c r="C880" t="s">
        <v>127</v>
      </c>
      <c r="D880" t="s">
        <v>53</v>
      </c>
      <c r="E880">
        <v>12.135775164568001</v>
      </c>
      <c r="F880">
        <v>12.135775164568001</v>
      </c>
      <c r="G880">
        <v>0</v>
      </c>
      <c r="H880">
        <v>0</v>
      </c>
      <c r="I880" t="s">
        <v>128</v>
      </c>
    </row>
    <row r="881" spans="1:9" x14ac:dyDescent="0.35">
      <c r="A881" t="s">
        <v>21</v>
      </c>
      <c r="B881">
        <v>2025</v>
      </c>
      <c r="C881" t="s">
        <v>127</v>
      </c>
      <c r="D881" t="s">
        <v>54</v>
      </c>
      <c r="E881">
        <v>14.220845178549601</v>
      </c>
      <c r="F881">
        <v>14.220845178549601</v>
      </c>
      <c r="G881">
        <v>0</v>
      </c>
      <c r="H881">
        <v>0</v>
      </c>
      <c r="I881" t="s">
        <v>128</v>
      </c>
    </row>
    <row r="882" spans="1:9" x14ac:dyDescent="0.35">
      <c r="A882" t="s">
        <v>21</v>
      </c>
      <c r="B882">
        <v>2025</v>
      </c>
      <c r="C882" t="s">
        <v>127</v>
      </c>
      <c r="D882" t="s">
        <v>55</v>
      </c>
      <c r="E882">
        <v>12.3213972118055</v>
      </c>
      <c r="F882">
        <v>12.3213972118055</v>
      </c>
      <c r="G882">
        <v>0</v>
      </c>
      <c r="H882">
        <v>0</v>
      </c>
      <c r="I882" t="s">
        <v>128</v>
      </c>
    </row>
    <row r="883" spans="1:9" x14ac:dyDescent="0.35">
      <c r="A883" t="s">
        <v>21</v>
      </c>
      <c r="B883">
        <v>2025</v>
      </c>
      <c r="C883" t="s">
        <v>127</v>
      </c>
      <c r="D883" t="s">
        <v>56</v>
      </c>
      <c r="E883" s="1">
        <v>3.2046209750035598E-6</v>
      </c>
      <c r="F883" s="1">
        <v>3.2046209750035598E-6</v>
      </c>
      <c r="G883">
        <v>0</v>
      </c>
      <c r="H883">
        <v>0</v>
      </c>
      <c r="I883" t="s">
        <v>128</v>
      </c>
    </row>
    <row r="884" spans="1:9" x14ac:dyDescent="0.35">
      <c r="A884" t="s">
        <v>23</v>
      </c>
      <c r="B884">
        <v>2030</v>
      </c>
      <c r="C884" t="s">
        <v>127</v>
      </c>
      <c r="D884" t="s">
        <v>38</v>
      </c>
      <c r="E884">
        <v>1.27694160158538E-2</v>
      </c>
      <c r="F884">
        <v>1.2681567381428799E-2</v>
      </c>
      <c r="G884" s="1">
        <v>-8.7848634425022597E-5</v>
      </c>
      <c r="H884">
        <v>-0.68796125301230704</v>
      </c>
      <c r="I884" t="s">
        <v>128</v>
      </c>
    </row>
    <row r="885" spans="1:9" x14ac:dyDescent="0.35">
      <c r="A885" t="s">
        <v>23</v>
      </c>
      <c r="B885">
        <v>2030</v>
      </c>
      <c r="C885" t="s">
        <v>127</v>
      </c>
      <c r="D885" t="s">
        <v>40</v>
      </c>
      <c r="E885">
        <v>5.7967173810263201E-2</v>
      </c>
      <c r="F885">
        <v>5.7967173810263201E-2</v>
      </c>
      <c r="G885">
        <v>0</v>
      </c>
      <c r="H885">
        <v>0</v>
      </c>
      <c r="I885" t="s">
        <v>128</v>
      </c>
    </row>
    <row r="886" spans="1:9" x14ac:dyDescent="0.35">
      <c r="A886" t="s">
        <v>23</v>
      </c>
      <c r="B886">
        <v>2030</v>
      </c>
      <c r="C886" t="s">
        <v>127</v>
      </c>
      <c r="D886" t="s">
        <v>41</v>
      </c>
      <c r="E886">
        <v>0.74470745248362002</v>
      </c>
      <c r="F886">
        <v>0.74469833374657501</v>
      </c>
      <c r="G886" s="1">
        <v>-9.1187370453438192E-6</v>
      </c>
      <c r="H886">
        <v>-1.22447237702974E-3</v>
      </c>
      <c r="I886" t="s">
        <v>128</v>
      </c>
    </row>
    <row r="887" spans="1:9" x14ac:dyDescent="0.35">
      <c r="A887" t="s">
        <v>23</v>
      </c>
      <c r="B887">
        <v>2030</v>
      </c>
      <c r="C887" t="s">
        <v>127</v>
      </c>
      <c r="D887" t="s">
        <v>42</v>
      </c>
      <c r="E887">
        <v>177.078074650677</v>
      </c>
      <c r="F887">
        <v>177.01460056768801</v>
      </c>
      <c r="G887">
        <v>-6.3474082988875496E-2</v>
      </c>
      <c r="H887">
        <v>-3.5845252504631601E-2</v>
      </c>
      <c r="I887" t="s">
        <v>128</v>
      </c>
    </row>
    <row r="888" spans="1:9" x14ac:dyDescent="0.35">
      <c r="A888" t="s">
        <v>23</v>
      </c>
      <c r="B888">
        <v>2030</v>
      </c>
      <c r="C888" t="s">
        <v>127</v>
      </c>
      <c r="D888" t="s">
        <v>43</v>
      </c>
      <c r="E888">
        <v>0.23344373260774101</v>
      </c>
      <c r="F888">
        <v>0.23344372425020801</v>
      </c>
      <c r="G888" s="1">
        <v>-8.3575331377705403E-9</v>
      </c>
      <c r="H888" s="1">
        <v>-3.5801060257264599E-6</v>
      </c>
      <c r="I888" t="s">
        <v>128</v>
      </c>
    </row>
    <row r="889" spans="1:9" x14ac:dyDescent="0.35">
      <c r="A889" t="s">
        <v>23</v>
      </c>
      <c r="B889">
        <v>2030</v>
      </c>
      <c r="C889" t="s">
        <v>127</v>
      </c>
      <c r="D889" t="s">
        <v>136</v>
      </c>
      <c r="E889">
        <v>27.412849567080599</v>
      </c>
      <c r="F889">
        <v>27.412769476018401</v>
      </c>
      <c r="G889" s="1">
        <v>-8.0091062148568399E-5</v>
      </c>
      <c r="H889">
        <v>-2.9216613162590598E-4</v>
      </c>
      <c r="I889" t="s">
        <v>128</v>
      </c>
    </row>
    <row r="890" spans="1:9" x14ac:dyDescent="0.35">
      <c r="A890" t="s">
        <v>23</v>
      </c>
      <c r="B890">
        <v>2030</v>
      </c>
      <c r="C890" t="s">
        <v>127</v>
      </c>
      <c r="D890" t="s">
        <v>45</v>
      </c>
      <c r="E890">
        <v>0.19576660213627001</v>
      </c>
      <c r="F890">
        <v>0.19574111455363499</v>
      </c>
      <c r="G890" s="1">
        <v>-2.5487582634819902E-5</v>
      </c>
      <c r="H890">
        <v>-1.30193722303451E-2</v>
      </c>
      <c r="I890" t="s">
        <v>128</v>
      </c>
    </row>
    <row r="891" spans="1:9" x14ac:dyDescent="0.35">
      <c r="A891" t="s">
        <v>23</v>
      </c>
      <c r="B891">
        <v>2030</v>
      </c>
      <c r="C891" t="s">
        <v>127</v>
      </c>
      <c r="D891" t="s">
        <v>46</v>
      </c>
      <c r="E891">
        <v>0.74443480420068298</v>
      </c>
      <c r="F891">
        <v>0.74443480420068298</v>
      </c>
      <c r="G891">
        <v>0</v>
      </c>
      <c r="H891">
        <v>0</v>
      </c>
      <c r="I891" t="s">
        <v>128</v>
      </c>
    </row>
    <row r="892" spans="1:9" x14ac:dyDescent="0.35">
      <c r="A892" t="s">
        <v>23</v>
      </c>
      <c r="B892">
        <v>2030</v>
      </c>
      <c r="C892" t="s">
        <v>127</v>
      </c>
      <c r="D892" t="s">
        <v>47</v>
      </c>
      <c r="E892">
        <v>4.1829689683657099E-2</v>
      </c>
      <c r="F892">
        <v>4.1829689683657099E-2</v>
      </c>
      <c r="G892">
        <v>0</v>
      </c>
      <c r="H892">
        <v>0</v>
      </c>
      <c r="I892" t="s">
        <v>128</v>
      </c>
    </row>
    <row r="893" spans="1:9" x14ac:dyDescent="0.35">
      <c r="A893" t="s">
        <v>23</v>
      </c>
      <c r="B893">
        <v>2030</v>
      </c>
      <c r="C893" t="s">
        <v>127</v>
      </c>
      <c r="D893" t="s">
        <v>48</v>
      </c>
      <c r="E893">
        <v>79.720402882386196</v>
      </c>
      <c r="F893">
        <v>79.720402882386196</v>
      </c>
      <c r="G893">
        <v>0</v>
      </c>
      <c r="H893">
        <v>0</v>
      </c>
      <c r="I893" t="s">
        <v>128</v>
      </c>
    </row>
    <row r="894" spans="1:9" x14ac:dyDescent="0.35">
      <c r="A894" t="s">
        <v>23</v>
      </c>
      <c r="B894">
        <v>2030</v>
      </c>
      <c r="C894" t="s">
        <v>127</v>
      </c>
      <c r="D894" t="s">
        <v>49</v>
      </c>
      <c r="E894">
        <v>0.656391420581106</v>
      </c>
      <c r="F894">
        <v>0.65627920909860804</v>
      </c>
      <c r="G894">
        <v>-1.12211482497626E-4</v>
      </c>
      <c r="H894">
        <v>-1.7095208587322001E-2</v>
      </c>
      <c r="I894" t="s">
        <v>128</v>
      </c>
    </row>
    <row r="895" spans="1:9" x14ac:dyDescent="0.35">
      <c r="A895" t="s">
        <v>23</v>
      </c>
      <c r="B895">
        <v>2030</v>
      </c>
      <c r="C895" t="s">
        <v>127</v>
      </c>
      <c r="D895" t="s">
        <v>50</v>
      </c>
      <c r="E895">
        <v>0.52117355962154299</v>
      </c>
      <c r="F895">
        <v>0.52117355962154299</v>
      </c>
      <c r="G895">
        <v>0</v>
      </c>
      <c r="H895">
        <v>0</v>
      </c>
      <c r="I895" t="s">
        <v>128</v>
      </c>
    </row>
    <row r="896" spans="1:9" x14ac:dyDescent="0.35">
      <c r="A896" t="s">
        <v>23</v>
      </c>
      <c r="B896">
        <v>2030</v>
      </c>
      <c r="C896" t="s">
        <v>127</v>
      </c>
      <c r="D896" t="s">
        <v>51</v>
      </c>
      <c r="E896">
        <v>1.4109194805795</v>
      </c>
      <c r="F896">
        <v>1.4109194805795</v>
      </c>
      <c r="G896">
        <v>0</v>
      </c>
      <c r="H896">
        <v>0</v>
      </c>
      <c r="I896" t="s">
        <v>128</v>
      </c>
    </row>
    <row r="897" spans="1:9" x14ac:dyDescent="0.35">
      <c r="A897" t="s">
        <v>23</v>
      </c>
      <c r="B897">
        <v>2030</v>
      </c>
      <c r="C897" t="s">
        <v>127</v>
      </c>
      <c r="D897" t="s">
        <v>52</v>
      </c>
      <c r="E897">
        <v>1.64138435169831</v>
      </c>
      <c r="F897">
        <v>1.64138435169831</v>
      </c>
      <c r="G897">
        <v>0</v>
      </c>
      <c r="H897">
        <v>0</v>
      </c>
      <c r="I897" t="s">
        <v>128</v>
      </c>
    </row>
    <row r="898" spans="1:9" x14ac:dyDescent="0.35">
      <c r="A898" t="s">
        <v>23</v>
      </c>
      <c r="B898">
        <v>2030</v>
      </c>
      <c r="C898" t="s">
        <v>127</v>
      </c>
      <c r="D898" t="s">
        <v>53</v>
      </c>
      <c r="E898">
        <v>11.9194234461952</v>
      </c>
      <c r="F898">
        <v>11.9194234461952</v>
      </c>
      <c r="G898">
        <v>0</v>
      </c>
      <c r="H898">
        <v>0</v>
      </c>
      <c r="I898" t="s">
        <v>128</v>
      </c>
    </row>
    <row r="899" spans="1:9" x14ac:dyDescent="0.35">
      <c r="A899" t="s">
        <v>23</v>
      </c>
      <c r="B899">
        <v>2030</v>
      </c>
      <c r="C899" t="s">
        <v>127</v>
      </c>
      <c r="D899" t="s">
        <v>54</v>
      </c>
      <c r="E899">
        <v>14.17350181161</v>
      </c>
      <c r="F899">
        <v>14.168935474883501</v>
      </c>
      <c r="G899">
        <v>-4.56633672644102E-3</v>
      </c>
      <c r="H899">
        <v>-3.2217420840208698E-2</v>
      </c>
      <c r="I899" t="s">
        <v>128</v>
      </c>
    </row>
    <row r="900" spans="1:9" x14ac:dyDescent="0.35">
      <c r="A900" t="s">
        <v>23</v>
      </c>
      <c r="B900">
        <v>2030</v>
      </c>
      <c r="C900" t="s">
        <v>127</v>
      </c>
      <c r="D900" t="s">
        <v>55</v>
      </c>
      <c r="E900">
        <v>12.2768278667115</v>
      </c>
      <c r="F900">
        <v>12.2760612596241</v>
      </c>
      <c r="G900">
        <v>-7.6660708748654805E-4</v>
      </c>
      <c r="H900">
        <v>-6.2443417453558201E-3</v>
      </c>
      <c r="I900" t="s">
        <v>128</v>
      </c>
    </row>
    <row r="901" spans="1:9" x14ac:dyDescent="0.35">
      <c r="A901" t="s">
        <v>23</v>
      </c>
      <c r="B901">
        <v>2030</v>
      </c>
      <c r="C901" t="s">
        <v>127</v>
      </c>
      <c r="D901" t="s">
        <v>56</v>
      </c>
      <c r="E901" s="1">
        <v>3.4579550862401699E-6</v>
      </c>
      <c r="F901" s="1">
        <v>3.4579550862401699E-6</v>
      </c>
      <c r="G901">
        <v>0</v>
      </c>
      <c r="H901">
        <v>0</v>
      </c>
      <c r="I901" t="s">
        <v>128</v>
      </c>
    </row>
    <row r="902" spans="1:9" x14ac:dyDescent="0.35">
      <c r="A902" t="s">
        <v>25</v>
      </c>
      <c r="B902">
        <v>2035</v>
      </c>
      <c r="C902" t="s">
        <v>127</v>
      </c>
      <c r="D902" t="s">
        <v>38</v>
      </c>
      <c r="E902">
        <v>1.92419216255168E-2</v>
      </c>
      <c r="F902">
        <v>1.9217065514644999E-2</v>
      </c>
      <c r="G902" s="1">
        <v>-2.4856110871860399E-5</v>
      </c>
      <c r="H902">
        <v>-0.12917686370210801</v>
      </c>
      <c r="I902" t="s">
        <v>128</v>
      </c>
    </row>
    <row r="903" spans="1:9" x14ac:dyDescent="0.35">
      <c r="A903" t="s">
        <v>25</v>
      </c>
      <c r="B903">
        <v>2035</v>
      </c>
      <c r="C903" t="s">
        <v>127</v>
      </c>
      <c r="D903" t="s">
        <v>40</v>
      </c>
      <c r="E903">
        <v>5.8634354984002698E-2</v>
      </c>
      <c r="F903">
        <v>5.8634354984002698E-2</v>
      </c>
      <c r="G903">
        <v>0</v>
      </c>
      <c r="H903">
        <v>0</v>
      </c>
      <c r="I903" t="s">
        <v>128</v>
      </c>
    </row>
    <row r="904" spans="1:9" x14ac:dyDescent="0.35">
      <c r="A904" t="s">
        <v>25</v>
      </c>
      <c r="B904">
        <v>2035</v>
      </c>
      <c r="C904" t="s">
        <v>127</v>
      </c>
      <c r="D904" t="s">
        <v>41</v>
      </c>
      <c r="E904">
        <v>0.74662945483318899</v>
      </c>
      <c r="F904">
        <v>0.74662693850143402</v>
      </c>
      <c r="G904" s="1">
        <v>-2.5163317549647902E-6</v>
      </c>
      <c r="H904">
        <v>-3.3702551361665601E-4</v>
      </c>
      <c r="I904" t="s">
        <v>128</v>
      </c>
    </row>
    <row r="905" spans="1:9" x14ac:dyDescent="0.35">
      <c r="A905" t="s">
        <v>25</v>
      </c>
      <c r="B905">
        <v>2035</v>
      </c>
      <c r="C905" t="s">
        <v>127</v>
      </c>
      <c r="D905" t="s">
        <v>42</v>
      </c>
      <c r="E905">
        <v>176.20073939706799</v>
      </c>
      <c r="F905">
        <v>176.18272037742199</v>
      </c>
      <c r="G905">
        <v>-1.8019019645919301E-2</v>
      </c>
      <c r="H905">
        <v>-1.02264154552231E-2</v>
      </c>
      <c r="I905" t="s">
        <v>128</v>
      </c>
    </row>
    <row r="906" spans="1:9" x14ac:dyDescent="0.35">
      <c r="A906" t="s">
        <v>25</v>
      </c>
      <c r="B906">
        <v>2035</v>
      </c>
      <c r="C906" t="s">
        <v>127</v>
      </c>
      <c r="D906" t="s">
        <v>43</v>
      </c>
      <c r="E906">
        <v>0.231718360144506</v>
      </c>
      <c r="F906">
        <v>0.231718357866813</v>
      </c>
      <c r="G906" s="1">
        <v>-2.2776938390922598E-9</v>
      </c>
      <c r="H906" s="1">
        <v>-9.8295786215292691E-7</v>
      </c>
      <c r="I906" t="s">
        <v>128</v>
      </c>
    </row>
    <row r="907" spans="1:9" x14ac:dyDescent="0.35">
      <c r="A907" t="s">
        <v>25</v>
      </c>
      <c r="B907">
        <v>2035</v>
      </c>
      <c r="C907" t="s">
        <v>127</v>
      </c>
      <c r="D907" t="s">
        <v>136</v>
      </c>
      <c r="E907">
        <v>25.9577074806942</v>
      </c>
      <c r="F907">
        <v>25.957696227357498</v>
      </c>
      <c r="G907" s="1">
        <v>-1.12533366980471E-5</v>
      </c>
      <c r="H907" s="1">
        <v>-4.3352583067733202E-5</v>
      </c>
      <c r="I907" t="s">
        <v>128</v>
      </c>
    </row>
    <row r="908" spans="1:9" x14ac:dyDescent="0.35">
      <c r="A908" t="s">
        <v>25</v>
      </c>
      <c r="B908">
        <v>2035</v>
      </c>
      <c r="C908" t="s">
        <v>127</v>
      </c>
      <c r="D908" t="s">
        <v>45</v>
      </c>
      <c r="E908">
        <v>0.20893550485741899</v>
      </c>
      <c r="F908">
        <v>0.20892844898892601</v>
      </c>
      <c r="G908" s="1">
        <v>-7.0558684924226704E-6</v>
      </c>
      <c r="H908">
        <v>-3.3770557556685801E-3</v>
      </c>
      <c r="I908" t="s">
        <v>128</v>
      </c>
    </row>
    <row r="909" spans="1:9" x14ac:dyDescent="0.35">
      <c r="A909" t="s">
        <v>25</v>
      </c>
      <c r="B909">
        <v>2035</v>
      </c>
      <c r="C909" t="s">
        <v>127</v>
      </c>
      <c r="D909" t="s">
        <v>46</v>
      </c>
      <c r="E909">
        <v>1.11996289604012</v>
      </c>
      <c r="F909">
        <v>1.11996289604012</v>
      </c>
      <c r="G909">
        <v>0</v>
      </c>
      <c r="H909">
        <v>0</v>
      </c>
      <c r="I909" t="s">
        <v>128</v>
      </c>
    </row>
    <row r="910" spans="1:9" x14ac:dyDescent="0.35">
      <c r="A910" t="s">
        <v>25</v>
      </c>
      <c r="B910">
        <v>2035</v>
      </c>
      <c r="C910" t="s">
        <v>127</v>
      </c>
      <c r="D910" t="s">
        <v>47</v>
      </c>
      <c r="E910">
        <v>4.0619918467920797E-2</v>
      </c>
      <c r="F910">
        <v>4.0619918467920797E-2</v>
      </c>
      <c r="G910">
        <v>0</v>
      </c>
      <c r="H910">
        <v>0</v>
      </c>
      <c r="I910" t="s">
        <v>128</v>
      </c>
    </row>
    <row r="911" spans="1:9" x14ac:dyDescent="0.35">
      <c r="A911" t="s">
        <v>25</v>
      </c>
      <c r="B911">
        <v>2035</v>
      </c>
      <c r="C911" t="s">
        <v>127</v>
      </c>
      <c r="D911" t="s">
        <v>48</v>
      </c>
      <c r="E911">
        <v>79.735873016778797</v>
      </c>
      <c r="F911">
        <v>79.735873016778797</v>
      </c>
      <c r="G911">
        <v>0</v>
      </c>
      <c r="H911">
        <v>0</v>
      </c>
      <c r="I911" t="s">
        <v>128</v>
      </c>
    </row>
    <row r="912" spans="1:9" x14ac:dyDescent="0.35">
      <c r="A912" t="s">
        <v>25</v>
      </c>
      <c r="B912">
        <v>2035</v>
      </c>
      <c r="C912" t="s">
        <v>127</v>
      </c>
      <c r="D912" t="s">
        <v>49</v>
      </c>
      <c r="E912">
        <v>0.72938879441057103</v>
      </c>
      <c r="F912">
        <v>0.72935782858673404</v>
      </c>
      <c r="G912" s="1">
        <v>-3.0965823836548398E-5</v>
      </c>
      <c r="H912">
        <v>-4.2454482539140597E-3</v>
      </c>
      <c r="I912" t="s">
        <v>128</v>
      </c>
    </row>
    <row r="913" spans="1:9" x14ac:dyDescent="0.35">
      <c r="A913" t="s">
        <v>25</v>
      </c>
      <c r="B913">
        <v>2035</v>
      </c>
      <c r="C913" t="s">
        <v>127</v>
      </c>
      <c r="D913" t="s">
        <v>50</v>
      </c>
      <c r="E913">
        <v>0.53891004636214801</v>
      </c>
      <c r="F913">
        <v>0.53891004636214801</v>
      </c>
      <c r="G913">
        <v>0</v>
      </c>
      <c r="H913">
        <v>0</v>
      </c>
      <c r="I913" t="s">
        <v>128</v>
      </c>
    </row>
    <row r="914" spans="1:9" x14ac:dyDescent="0.35">
      <c r="A914" t="s">
        <v>25</v>
      </c>
      <c r="B914">
        <v>2035</v>
      </c>
      <c r="C914" t="s">
        <v>127</v>
      </c>
      <c r="D914" t="s">
        <v>51</v>
      </c>
      <c r="E914">
        <v>1.3969901896788901</v>
      </c>
      <c r="F914">
        <v>1.3969901896788901</v>
      </c>
      <c r="G914">
        <v>0</v>
      </c>
      <c r="H914">
        <v>0</v>
      </c>
      <c r="I914" t="s">
        <v>128</v>
      </c>
    </row>
    <row r="915" spans="1:9" x14ac:dyDescent="0.35">
      <c r="A915" t="s">
        <v>25</v>
      </c>
      <c r="B915">
        <v>2035</v>
      </c>
      <c r="C915" t="s">
        <v>127</v>
      </c>
      <c r="D915" t="s">
        <v>52</v>
      </c>
      <c r="E915">
        <v>1.5949954981554</v>
      </c>
      <c r="F915">
        <v>1.5949954981554</v>
      </c>
      <c r="G915">
        <v>0</v>
      </c>
      <c r="H915">
        <v>0</v>
      </c>
      <c r="I915" t="s">
        <v>128</v>
      </c>
    </row>
    <row r="916" spans="1:9" x14ac:dyDescent="0.35">
      <c r="A916" t="s">
        <v>25</v>
      </c>
      <c r="B916">
        <v>2035</v>
      </c>
      <c r="C916" t="s">
        <v>127</v>
      </c>
      <c r="D916" t="s">
        <v>53</v>
      </c>
      <c r="E916">
        <v>11.8650991907025</v>
      </c>
      <c r="F916">
        <v>11.8650991907025</v>
      </c>
      <c r="G916">
        <v>0</v>
      </c>
      <c r="H916">
        <v>0</v>
      </c>
      <c r="I916" t="s">
        <v>128</v>
      </c>
    </row>
    <row r="917" spans="1:9" x14ac:dyDescent="0.35">
      <c r="A917" t="s">
        <v>25</v>
      </c>
      <c r="B917">
        <v>2035</v>
      </c>
      <c r="C917" t="s">
        <v>127</v>
      </c>
      <c r="D917" t="s">
        <v>54</v>
      </c>
      <c r="E917">
        <v>14.171266840269899</v>
      </c>
      <c r="F917">
        <v>14.169974764540299</v>
      </c>
      <c r="G917">
        <v>-1.2920757296157599E-3</v>
      </c>
      <c r="H917">
        <v>-9.1175739203789505E-3</v>
      </c>
      <c r="I917" t="s">
        <v>128</v>
      </c>
    </row>
    <row r="918" spans="1:9" x14ac:dyDescent="0.35">
      <c r="A918" t="s">
        <v>25</v>
      </c>
      <c r="B918">
        <v>2035</v>
      </c>
      <c r="C918" t="s">
        <v>127</v>
      </c>
      <c r="D918" t="s">
        <v>55</v>
      </c>
      <c r="E918">
        <v>12.266482800760199</v>
      </c>
      <c r="F918">
        <v>12.2662658464575</v>
      </c>
      <c r="G918">
        <v>-2.16954302684868E-4</v>
      </c>
      <c r="H918">
        <v>-1.76867571747153E-3</v>
      </c>
      <c r="I918" t="s">
        <v>128</v>
      </c>
    </row>
    <row r="919" spans="1:9" x14ac:dyDescent="0.35">
      <c r="A919" t="s">
        <v>25</v>
      </c>
      <c r="B919">
        <v>2035</v>
      </c>
      <c r="C919" t="s">
        <v>127</v>
      </c>
      <c r="D919" t="s">
        <v>56</v>
      </c>
      <c r="E919" s="1">
        <v>3.6015140232585402E-6</v>
      </c>
      <c r="F919" s="1">
        <v>3.6015140232585402E-6</v>
      </c>
      <c r="G919">
        <v>0</v>
      </c>
      <c r="H919">
        <v>0</v>
      </c>
      <c r="I919" t="s">
        <v>128</v>
      </c>
    </row>
    <row r="920" spans="1:9" x14ac:dyDescent="0.35">
      <c r="A920" t="s">
        <v>27</v>
      </c>
      <c r="B920">
        <v>2040</v>
      </c>
      <c r="C920" t="s">
        <v>127</v>
      </c>
      <c r="D920" t="s">
        <v>38</v>
      </c>
      <c r="E920">
        <v>1.6032747983481799E-2</v>
      </c>
      <c r="F920">
        <v>1.5920043217580001E-2</v>
      </c>
      <c r="G920">
        <v>-1.12704765901822E-4</v>
      </c>
      <c r="H920">
        <v>-0.70296599196806098</v>
      </c>
      <c r="I920" t="s">
        <v>128</v>
      </c>
    </row>
    <row r="921" spans="1:9" x14ac:dyDescent="0.35">
      <c r="A921" t="s">
        <v>27</v>
      </c>
      <c r="B921">
        <v>2040</v>
      </c>
      <c r="C921" t="s">
        <v>127</v>
      </c>
      <c r="D921" t="s">
        <v>40</v>
      </c>
      <c r="E921">
        <v>5.8672528146995799E-2</v>
      </c>
      <c r="F921">
        <v>5.8672528146995799E-2</v>
      </c>
      <c r="G921">
        <v>0</v>
      </c>
      <c r="H921">
        <v>0</v>
      </c>
      <c r="I921" t="s">
        <v>128</v>
      </c>
    </row>
    <row r="922" spans="1:9" x14ac:dyDescent="0.35">
      <c r="A922" t="s">
        <v>27</v>
      </c>
      <c r="B922">
        <v>2040</v>
      </c>
      <c r="C922" t="s">
        <v>127</v>
      </c>
      <c r="D922" t="s">
        <v>41</v>
      </c>
      <c r="E922">
        <v>0.73199784478191998</v>
      </c>
      <c r="F922">
        <v>0.73198620971078698</v>
      </c>
      <c r="G922" s="1">
        <v>-1.1635071133331199E-5</v>
      </c>
      <c r="H922">
        <v>-1.5894952719153999E-3</v>
      </c>
      <c r="I922" t="s">
        <v>128</v>
      </c>
    </row>
    <row r="923" spans="1:9" x14ac:dyDescent="0.35">
      <c r="A923" t="s">
        <v>27</v>
      </c>
      <c r="B923">
        <v>2040</v>
      </c>
      <c r="C923" t="s">
        <v>127</v>
      </c>
      <c r="D923" t="s">
        <v>42</v>
      </c>
      <c r="E923">
        <v>176.16639299358701</v>
      </c>
      <c r="F923">
        <v>176.08489987669401</v>
      </c>
      <c r="G923">
        <v>-8.1493116892886505E-2</v>
      </c>
      <c r="H923">
        <v>-4.6259173221451302E-2</v>
      </c>
      <c r="I923" t="s">
        <v>128</v>
      </c>
    </row>
    <row r="924" spans="1:9" x14ac:dyDescent="0.35">
      <c r="A924" t="s">
        <v>27</v>
      </c>
      <c r="B924">
        <v>2040</v>
      </c>
      <c r="C924" t="s">
        <v>127</v>
      </c>
      <c r="D924" t="s">
        <v>43</v>
      </c>
      <c r="E924">
        <v>0.229964173764757</v>
      </c>
      <c r="F924">
        <v>0.229964163129528</v>
      </c>
      <c r="G924" s="1">
        <v>-1.0635229030775399E-8</v>
      </c>
      <c r="H924" s="1">
        <v>-4.62473299934743E-6</v>
      </c>
      <c r="I924" t="s">
        <v>128</v>
      </c>
    </row>
    <row r="925" spans="1:9" x14ac:dyDescent="0.35">
      <c r="A925" t="s">
        <v>27</v>
      </c>
      <c r="B925">
        <v>2040</v>
      </c>
      <c r="C925" t="s">
        <v>127</v>
      </c>
      <c r="D925" t="s">
        <v>136</v>
      </c>
      <c r="E925">
        <v>25.5218201431918</v>
      </c>
      <c r="F925">
        <v>25.521728798773999</v>
      </c>
      <c r="G925" s="1">
        <v>-9.1344417832317504E-5</v>
      </c>
      <c r="H925">
        <v>-3.5790714502266502E-4</v>
      </c>
      <c r="I925" t="s">
        <v>128</v>
      </c>
    </row>
    <row r="926" spans="1:9" x14ac:dyDescent="0.35">
      <c r="A926" t="s">
        <v>27</v>
      </c>
      <c r="B926">
        <v>2040</v>
      </c>
      <c r="C926" t="s">
        <v>127</v>
      </c>
      <c r="D926" t="s">
        <v>45</v>
      </c>
      <c r="E926">
        <v>0.17969644126024201</v>
      </c>
      <c r="F926">
        <v>0.179663897802603</v>
      </c>
      <c r="G926" s="1">
        <v>-3.2543457639283501E-5</v>
      </c>
      <c r="H926">
        <v>-1.8110240476133299E-2</v>
      </c>
      <c r="I926" t="s">
        <v>128</v>
      </c>
    </row>
    <row r="927" spans="1:9" x14ac:dyDescent="0.35">
      <c r="A927" t="s">
        <v>27</v>
      </c>
      <c r="B927">
        <v>2040</v>
      </c>
      <c r="C927" t="s">
        <v>127</v>
      </c>
      <c r="D927" t="s">
        <v>46</v>
      </c>
      <c r="E927">
        <v>1.4019640433735501</v>
      </c>
      <c r="F927">
        <v>1.4019640433735501</v>
      </c>
      <c r="G927">
        <v>0</v>
      </c>
      <c r="H927">
        <v>0</v>
      </c>
      <c r="I927" t="s">
        <v>128</v>
      </c>
    </row>
    <row r="928" spans="1:9" x14ac:dyDescent="0.35">
      <c r="A928" t="s">
        <v>27</v>
      </c>
      <c r="B928">
        <v>2040</v>
      </c>
      <c r="C928" t="s">
        <v>127</v>
      </c>
      <c r="D928" t="s">
        <v>47</v>
      </c>
      <c r="E928">
        <v>4.07384724956973E-2</v>
      </c>
      <c r="F928">
        <v>4.07384724956973E-2</v>
      </c>
      <c r="G928">
        <v>0</v>
      </c>
      <c r="H928">
        <v>0</v>
      </c>
      <c r="I928" t="s">
        <v>128</v>
      </c>
    </row>
    <row r="929" spans="1:9" x14ac:dyDescent="0.35">
      <c r="A929" t="s">
        <v>27</v>
      </c>
      <c r="B929">
        <v>2040</v>
      </c>
      <c r="C929" t="s">
        <v>127</v>
      </c>
      <c r="D929" t="s">
        <v>48</v>
      </c>
      <c r="E929">
        <v>79.766556229930302</v>
      </c>
      <c r="F929">
        <v>79.766556229930302</v>
      </c>
      <c r="G929">
        <v>0</v>
      </c>
      <c r="H929">
        <v>0</v>
      </c>
      <c r="I929" t="s">
        <v>128</v>
      </c>
    </row>
    <row r="930" spans="1:9" x14ac:dyDescent="0.35">
      <c r="A930" t="s">
        <v>27</v>
      </c>
      <c r="B930">
        <v>2040</v>
      </c>
      <c r="C930" t="s">
        <v>127</v>
      </c>
      <c r="D930" t="s">
        <v>49</v>
      </c>
      <c r="E930">
        <v>0.58490614865033597</v>
      </c>
      <c r="F930">
        <v>0.58476297131528798</v>
      </c>
      <c r="G930">
        <v>-1.43177335047539E-4</v>
      </c>
      <c r="H930">
        <v>-2.4478685234873902E-2</v>
      </c>
      <c r="I930" t="s">
        <v>128</v>
      </c>
    </row>
    <row r="931" spans="1:9" x14ac:dyDescent="0.35">
      <c r="A931" t="s">
        <v>27</v>
      </c>
      <c r="B931">
        <v>2040</v>
      </c>
      <c r="C931" t="s">
        <v>127</v>
      </c>
      <c r="D931" t="s">
        <v>50</v>
      </c>
      <c r="E931">
        <v>0.53311339705721095</v>
      </c>
      <c r="F931">
        <v>0.53311339705721095</v>
      </c>
      <c r="G931">
        <v>0</v>
      </c>
      <c r="H931">
        <v>0</v>
      </c>
      <c r="I931" t="s">
        <v>128</v>
      </c>
    </row>
    <row r="932" spans="1:9" x14ac:dyDescent="0.35">
      <c r="A932" t="s">
        <v>27</v>
      </c>
      <c r="B932">
        <v>2040</v>
      </c>
      <c r="C932" t="s">
        <v>127</v>
      </c>
      <c r="D932" t="s">
        <v>51</v>
      </c>
      <c r="E932">
        <v>1.4113813956762999</v>
      </c>
      <c r="F932">
        <v>1.4113813956762999</v>
      </c>
      <c r="G932">
        <v>0</v>
      </c>
      <c r="H932">
        <v>0</v>
      </c>
      <c r="I932" t="s">
        <v>128</v>
      </c>
    </row>
    <row r="933" spans="1:9" x14ac:dyDescent="0.35">
      <c r="A933" t="s">
        <v>27</v>
      </c>
      <c r="B933">
        <v>2040</v>
      </c>
      <c r="C933" t="s">
        <v>127</v>
      </c>
      <c r="D933" t="s">
        <v>52</v>
      </c>
      <c r="E933">
        <v>1.5317333280001899</v>
      </c>
      <c r="F933">
        <v>1.5317333280001899</v>
      </c>
      <c r="G933">
        <v>0</v>
      </c>
      <c r="H933">
        <v>0</v>
      </c>
      <c r="I933" t="s">
        <v>128</v>
      </c>
    </row>
    <row r="934" spans="1:9" x14ac:dyDescent="0.35">
      <c r="A934" t="s">
        <v>27</v>
      </c>
      <c r="B934">
        <v>2040</v>
      </c>
      <c r="C934" t="s">
        <v>127</v>
      </c>
      <c r="D934" t="s">
        <v>53</v>
      </c>
      <c r="E934">
        <v>11.8389066036521</v>
      </c>
      <c r="F934">
        <v>11.8389066036521</v>
      </c>
      <c r="G934">
        <v>0</v>
      </c>
      <c r="H934">
        <v>0</v>
      </c>
      <c r="I934" t="s">
        <v>128</v>
      </c>
    </row>
    <row r="935" spans="1:9" x14ac:dyDescent="0.35">
      <c r="A935" t="s">
        <v>27</v>
      </c>
      <c r="B935">
        <v>2040</v>
      </c>
      <c r="C935" t="s">
        <v>127</v>
      </c>
      <c r="D935" t="s">
        <v>54</v>
      </c>
      <c r="E935">
        <v>14.1795017510132</v>
      </c>
      <c r="F935">
        <v>14.1736433374868</v>
      </c>
      <c r="G935">
        <v>-5.8584135263792803E-3</v>
      </c>
      <c r="H935">
        <v>-4.13160746354196E-2</v>
      </c>
      <c r="I935" t="s">
        <v>128</v>
      </c>
    </row>
    <row r="936" spans="1:9" x14ac:dyDescent="0.35">
      <c r="A936" t="s">
        <v>27</v>
      </c>
      <c r="B936">
        <v>2040</v>
      </c>
      <c r="C936" t="s">
        <v>127</v>
      </c>
      <c r="D936" t="s">
        <v>55</v>
      </c>
      <c r="E936">
        <v>12.2795487007524</v>
      </c>
      <c r="F936">
        <v>12.278565139183</v>
      </c>
      <c r="G936">
        <v>-9.8356156940404495E-4</v>
      </c>
      <c r="H936">
        <v>-8.0097533987041197E-3</v>
      </c>
      <c r="I936" t="s">
        <v>128</v>
      </c>
    </row>
    <row r="937" spans="1:9" x14ac:dyDescent="0.35">
      <c r="A937" t="s">
        <v>27</v>
      </c>
      <c r="B937">
        <v>2040</v>
      </c>
      <c r="C937" t="s">
        <v>127</v>
      </c>
      <c r="D937" t="s">
        <v>56</v>
      </c>
      <c r="E937" s="1">
        <v>3.6081578065616401E-6</v>
      </c>
      <c r="F937" s="1">
        <v>3.6081578065616401E-6</v>
      </c>
      <c r="G937">
        <v>0</v>
      </c>
      <c r="H937">
        <v>0</v>
      </c>
      <c r="I937" t="s">
        <v>128</v>
      </c>
    </row>
    <row r="938" spans="1:9" x14ac:dyDescent="0.35">
      <c r="A938" t="s">
        <v>21</v>
      </c>
      <c r="B938">
        <v>2025</v>
      </c>
      <c r="C938" t="s">
        <v>74</v>
      </c>
      <c r="D938" t="s">
        <v>38</v>
      </c>
      <c r="E938" s="1">
        <v>1.2943721284362101E-6</v>
      </c>
      <c r="F938" s="1">
        <v>1.2943721284362101E-6</v>
      </c>
      <c r="G938">
        <v>0</v>
      </c>
      <c r="H938">
        <v>0</v>
      </c>
      <c r="I938" t="s">
        <v>75</v>
      </c>
    </row>
    <row r="939" spans="1:9" x14ac:dyDescent="0.35">
      <c r="A939" t="s">
        <v>21</v>
      </c>
      <c r="B939">
        <v>2025</v>
      </c>
      <c r="C939" t="s">
        <v>74</v>
      </c>
      <c r="D939" t="s">
        <v>40</v>
      </c>
      <c r="E939">
        <v>1.4092627310853E-4</v>
      </c>
      <c r="F939">
        <v>1.4092627310853E-4</v>
      </c>
      <c r="G939">
        <v>0</v>
      </c>
      <c r="H939">
        <v>0</v>
      </c>
      <c r="I939" t="s">
        <v>75</v>
      </c>
    </row>
    <row r="940" spans="1:9" x14ac:dyDescent="0.35">
      <c r="A940" t="s">
        <v>21</v>
      </c>
      <c r="B940">
        <v>2025</v>
      </c>
      <c r="C940" t="s">
        <v>74</v>
      </c>
      <c r="D940" t="s">
        <v>41</v>
      </c>
      <c r="E940">
        <v>1.5458281413682201E-4</v>
      </c>
      <c r="F940">
        <v>1.5458281413682201E-4</v>
      </c>
      <c r="G940">
        <v>0</v>
      </c>
      <c r="H940">
        <v>0</v>
      </c>
      <c r="I940" t="s">
        <v>75</v>
      </c>
    </row>
    <row r="941" spans="1:9" x14ac:dyDescent="0.35">
      <c r="A941" t="s">
        <v>21</v>
      </c>
      <c r="B941">
        <v>2025</v>
      </c>
      <c r="C941" t="s">
        <v>74</v>
      </c>
      <c r="D941" t="s">
        <v>42</v>
      </c>
      <c r="E941">
        <v>2.4896153458680301E-3</v>
      </c>
      <c r="F941">
        <v>2.4896153458680301E-3</v>
      </c>
      <c r="G941">
        <v>0</v>
      </c>
      <c r="H941">
        <v>0</v>
      </c>
      <c r="I941" t="s">
        <v>75</v>
      </c>
    </row>
    <row r="942" spans="1:9" x14ac:dyDescent="0.35">
      <c r="A942" t="s">
        <v>21</v>
      </c>
      <c r="B942">
        <v>2025</v>
      </c>
      <c r="C942" t="s">
        <v>74</v>
      </c>
      <c r="D942" t="s">
        <v>43</v>
      </c>
      <c r="E942" s="1">
        <v>5.1404358110299198E-5</v>
      </c>
      <c r="F942" s="1">
        <v>5.1404358110299198E-5</v>
      </c>
      <c r="G942">
        <v>0</v>
      </c>
      <c r="H942">
        <v>0</v>
      </c>
      <c r="I942" t="s">
        <v>75</v>
      </c>
    </row>
    <row r="943" spans="1:9" x14ac:dyDescent="0.35">
      <c r="A943" t="s">
        <v>21</v>
      </c>
      <c r="B943">
        <v>2025</v>
      </c>
      <c r="C943" t="s">
        <v>74</v>
      </c>
      <c r="D943" t="s">
        <v>136</v>
      </c>
      <c r="E943">
        <v>1.50533597770975E-2</v>
      </c>
      <c r="F943">
        <v>1.50533597770975E-2</v>
      </c>
      <c r="G943">
        <v>0</v>
      </c>
      <c r="H943">
        <v>0</v>
      </c>
      <c r="I943" t="s">
        <v>75</v>
      </c>
    </row>
    <row r="944" spans="1:9" x14ac:dyDescent="0.35">
      <c r="A944" t="s">
        <v>21</v>
      </c>
      <c r="B944">
        <v>2025</v>
      </c>
      <c r="C944" t="s">
        <v>74</v>
      </c>
      <c r="D944" t="s">
        <v>45</v>
      </c>
      <c r="E944" s="1">
        <v>5.2151063165964703E-5</v>
      </c>
      <c r="F944" s="1">
        <v>5.2151063165964703E-5</v>
      </c>
      <c r="G944">
        <v>0</v>
      </c>
      <c r="H944">
        <v>0</v>
      </c>
      <c r="I944" t="s">
        <v>75</v>
      </c>
    </row>
    <row r="945" spans="1:9" x14ac:dyDescent="0.35">
      <c r="A945" t="s">
        <v>21</v>
      </c>
      <c r="B945">
        <v>2025</v>
      </c>
      <c r="C945" t="s">
        <v>74</v>
      </c>
      <c r="D945" t="s">
        <v>46</v>
      </c>
      <c r="E945" s="1">
        <v>6.8099773453919496E-5</v>
      </c>
      <c r="F945" s="1">
        <v>6.8099773453919496E-5</v>
      </c>
      <c r="G945">
        <v>0</v>
      </c>
      <c r="H945">
        <v>0</v>
      </c>
      <c r="I945" t="s">
        <v>75</v>
      </c>
    </row>
    <row r="946" spans="1:9" x14ac:dyDescent="0.35">
      <c r="A946" t="s">
        <v>21</v>
      </c>
      <c r="B946">
        <v>2025</v>
      </c>
      <c r="C946" t="s">
        <v>74</v>
      </c>
      <c r="D946" t="s">
        <v>47</v>
      </c>
      <c r="E946" s="1">
        <v>2.9049829097180001E-6</v>
      </c>
      <c r="F946" s="1">
        <v>2.9049829097180001E-6</v>
      </c>
      <c r="G946">
        <v>0</v>
      </c>
      <c r="H946">
        <v>0</v>
      </c>
      <c r="I946" t="s">
        <v>75</v>
      </c>
    </row>
    <row r="947" spans="1:9" x14ac:dyDescent="0.35">
      <c r="A947" t="s">
        <v>21</v>
      </c>
      <c r="B947">
        <v>2025</v>
      </c>
      <c r="C947" t="s">
        <v>74</v>
      </c>
      <c r="D947" t="s">
        <v>48</v>
      </c>
      <c r="E947">
        <v>5.0216502610761797E-4</v>
      </c>
      <c r="F947">
        <v>5.0216502610761797E-4</v>
      </c>
      <c r="G947">
        <v>0</v>
      </c>
      <c r="H947">
        <v>0</v>
      </c>
      <c r="I947" t="s">
        <v>75</v>
      </c>
    </row>
    <row r="948" spans="1:9" x14ac:dyDescent="0.35">
      <c r="A948" t="s">
        <v>21</v>
      </c>
      <c r="B948">
        <v>2025</v>
      </c>
      <c r="C948" t="s">
        <v>74</v>
      </c>
      <c r="D948" t="s">
        <v>49</v>
      </c>
      <c r="E948" s="1">
        <v>9.7414510824837697E-5</v>
      </c>
      <c r="F948" s="1">
        <v>9.7414510824837697E-5</v>
      </c>
      <c r="G948">
        <v>0</v>
      </c>
      <c r="H948">
        <v>0</v>
      </c>
      <c r="I948" t="s">
        <v>75</v>
      </c>
    </row>
    <row r="949" spans="1:9" x14ac:dyDescent="0.35">
      <c r="A949" t="s">
        <v>21</v>
      </c>
      <c r="B949">
        <v>2025</v>
      </c>
      <c r="C949" t="s">
        <v>74</v>
      </c>
      <c r="D949" t="s">
        <v>50</v>
      </c>
      <c r="E949" s="1">
        <v>2.12452286798525E-5</v>
      </c>
      <c r="F949" s="1">
        <v>2.12452286798525E-5</v>
      </c>
      <c r="G949">
        <v>0</v>
      </c>
      <c r="H949">
        <v>0</v>
      </c>
      <c r="I949" t="s">
        <v>75</v>
      </c>
    </row>
    <row r="950" spans="1:9" x14ac:dyDescent="0.35">
      <c r="A950" t="s">
        <v>21</v>
      </c>
      <c r="B950">
        <v>2025</v>
      </c>
      <c r="C950" t="s">
        <v>74</v>
      </c>
      <c r="D950" t="s">
        <v>51</v>
      </c>
      <c r="E950">
        <v>1.71624328749342E-2</v>
      </c>
      <c r="F950">
        <v>1.71624328749342E-2</v>
      </c>
      <c r="G950">
        <v>0</v>
      </c>
      <c r="H950">
        <v>0</v>
      </c>
      <c r="I950" t="s">
        <v>75</v>
      </c>
    </row>
    <row r="951" spans="1:9" x14ac:dyDescent="0.35">
      <c r="A951" t="s">
        <v>21</v>
      </c>
      <c r="B951">
        <v>2025</v>
      </c>
      <c r="C951" t="s">
        <v>74</v>
      </c>
      <c r="D951" t="s">
        <v>52</v>
      </c>
      <c r="E951">
        <v>1.3865387304639E-3</v>
      </c>
      <c r="F951">
        <v>1.3865387304639E-3</v>
      </c>
      <c r="G951">
        <v>0</v>
      </c>
      <c r="H951">
        <v>0</v>
      </c>
      <c r="I951" t="s">
        <v>75</v>
      </c>
    </row>
    <row r="952" spans="1:9" x14ac:dyDescent="0.35">
      <c r="A952" t="s">
        <v>21</v>
      </c>
      <c r="B952">
        <v>2025</v>
      </c>
      <c r="C952" t="s">
        <v>74</v>
      </c>
      <c r="D952" t="s">
        <v>53</v>
      </c>
      <c r="E952">
        <v>4.9087508055996503E-3</v>
      </c>
      <c r="F952">
        <v>4.9087508055996503E-3</v>
      </c>
      <c r="G952">
        <v>0</v>
      </c>
      <c r="H952">
        <v>0</v>
      </c>
      <c r="I952" t="s">
        <v>75</v>
      </c>
    </row>
    <row r="953" spans="1:9" x14ac:dyDescent="0.35">
      <c r="A953" t="s">
        <v>21</v>
      </c>
      <c r="B953">
        <v>2025</v>
      </c>
      <c r="C953" t="s">
        <v>74</v>
      </c>
      <c r="D953" t="s">
        <v>54</v>
      </c>
      <c r="E953">
        <v>2.3260917305701801E-4</v>
      </c>
      <c r="F953">
        <v>2.3260917305701801E-4</v>
      </c>
      <c r="G953">
        <v>0</v>
      </c>
      <c r="H953">
        <v>0</v>
      </c>
      <c r="I953" t="s">
        <v>75</v>
      </c>
    </row>
    <row r="954" spans="1:9" x14ac:dyDescent="0.35">
      <c r="A954" t="s">
        <v>21</v>
      </c>
      <c r="B954">
        <v>2025</v>
      </c>
      <c r="C954" t="s">
        <v>74</v>
      </c>
      <c r="D954" t="s">
        <v>55</v>
      </c>
      <c r="E954">
        <v>2.0834790049916301E-4</v>
      </c>
      <c r="F954">
        <v>2.0834790049916301E-4</v>
      </c>
      <c r="G954">
        <v>0</v>
      </c>
      <c r="H954">
        <v>0</v>
      </c>
      <c r="I954" t="s">
        <v>75</v>
      </c>
    </row>
    <row r="955" spans="1:9" x14ac:dyDescent="0.35">
      <c r="A955" t="s">
        <v>21</v>
      </c>
      <c r="B955">
        <v>2025</v>
      </c>
      <c r="C955" t="s">
        <v>74</v>
      </c>
      <c r="D955" t="s">
        <v>56</v>
      </c>
      <c r="E955" s="1">
        <v>1.8678729413771299E-9</v>
      </c>
      <c r="F955" s="1">
        <v>1.8678729413771299E-9</v>
      </c>
      <c r="G955">
        <v>0</v>
      </c>
      <c r="H955">
        <v>0</v>
      </c>
      <c r="I955" t="s">
        <v>75</v>
      </c>
    </row>
    <row r="956" spans="1:9" x14ac:dyDescent="0.35">
      <c r="A956" t="s">
        <v>23</v>
      </c>
      <c r="B956">
        <v>2030</v>
      </c>
      <c r="C956" t="s">
        <v>74</v>
      </c>
      <c r="D956" t="s">
        <v>38</v>
      </c>
      <c r="E956" s="1">
        <v>1.2839868227815699E-5</v>
      </c>
      <c r="F956" s="1">
        <v>1.2839868227815699E-5</v>
      </c>
      <c r="G956">
        <v>0</v>
      </c>
      <c r="H956">
        <v>0</v>
      </c>
      <c r="I956" t="s">
        <v>75</v>
      </c>
    </row>
    <row r="957" spans="1:9" x14ac:dyDescent="0.35">
      <c r="A957" t="s">
        <v>23</v>
      </c>
      <c r="B957">
        <v>2030</v>
      </c>
      <c r="C957" t="s">
        <v>74</v>
      </c>
      <c r="D957" t="s">
        <v>40</v>
      </c>
      <c r="E957">
        <v>1.4085036504265901E-4</v>
      </c>
      <c r="F957">
        <v>1.4085036504265901E-4</v>
      </c>
      <c r="G957">
        <v>0</v>
      </c>
      <c r="H957">
        <v>0</v>
      </c>
      <c r="I957" t="s">
        <v>75</v>
      </c>
    </row>
    <row r="958" spans="1:9" x14ac:dyDescent="0.35">
      <c r="A958" t="s">
        <v>23</v>
      </c>
      <c r="B958">
        <v>2030</v>
      </c>
      <c r="C958" t="s">
        <v>74</v>
      </c>
      <c r="D958" t="s">
        <v>41</v>
      </c>
      <c r="E958">
        <v>1.5372462559129401E-4</v>
      </c>
      <c r="F958">
        <v>1.5372462559129401E-4</v>
      </c>
      <c r="G958">
        <v>0</v>
      </c>
      <c r="H958">
        <v>0</v>
      </c>
      <c r="I958" t="s">
        <v>75</v>
      </c>
    </row>
    <row r="959" spans="1:9" x14ac:dyDescent="0.35">
      <c r="A959" t="s">
        <v>23</v>
      </c>
      <c r="B959">
        <v>2030</v>
      </c>
      <c r="C959" t="s">
        <v>74</v>
      </c>
      <c r="D959" t="s">
        <v>42</v>
      </c>
      <c r="E959">
        <v>2.6609486134164702E-3</v>
      </c>
      <c r="F959">
        <v>2.6609486134164702E-3</v>
      </c>
      <c r="G959">
        <v>0</v>
      </c>
      <c r="H959">
        <v>0</v>
      </c>
      <c r="I959" t="s">
        <v>75</v>
      </c>
    </row>
    <row r="960" spans="1:9" x14ac:dyDescent="0.35">
      <c r="A960" t="s">
        <v>23</v>
      </c>
      <c r="B960">
        <v>2030</v>
      </c>
      <c r="C960" t="s">
        <v>74</v>
      </c>
      <c r="D960" t="s">
        <v>43</v>
      </c>
      <c r="E960" s="1">
        <v>5.27121583779177E-5</v>
      </c>
      <c r="F960" s="1">
        <v>5.27121583779177E-5</v>
      </c>
      <c r="G960">
        <v>0</v>
      </c>
      <c r="H960">
        <v>0</v>
      </c>
      <c r="I960" t="s">
        <v>75</v>
      </c>
    </row>
    <row r="961" spans="1:9" x14ac:dyDescent="0.35">
      <c r="A961" t="s">
        <v>23</v>
      </c>
      <c r="B961">
        <v>2030</v>
      </c>
      <c r="C961" t="s">
        <v>74</v>
      </c>
      <c r="D961" t="s">
        <v>136</v>
      </c>
      <c r="E961">
        <v>1.49617183249501E-2</v>
      </c>
      <c r="F961">
        <v>1.49617183249501E-2</v>
      </c>
      <c r="G961">
        <v>0</v>
      </c>
      <c r="H961">
        <v>0</v>
      </c>
      <c r="I961" t="s">
        <v>75</v>
      </c>
    </row>
    <row r="962" spans="1:9" x14ac:dyDescent="0.35">
      <c r="A962" t="s">
        <v>23</v>
      </c>
      <c r="B962">
        <v>2030</v>
      </c>
      <c r="C962" t="s">
        <v>74</v>
      </c>
      <c r="D962" t="s">
        <v>45</v>
      </c>
      <c r="E962" s="1">
        <v>4.9990637551151101E-5</v>
      </c>
      <c r="F962" s="1">
        <v>4.9990637551151101E-5</v>
      </c>
      <c r="G962">
        <v>0</v>
      </c>
      <c r="H962">
        <v>0</v>
      </c>
      <c r="I962" t="s">
        <v>75</v>
      </c>
    </row>
    <row r="963" spans="1:9" x14ac:dyDescent="0.35">
      <c r="A963" t="s">
        <v>23</v>
      </c>
      <c r="B963">
        <v>2030</v>
      </c>
      <c r="C963" t="s">
        <v>74</v>
      </c>
      <c r="D963" t="s">
        <v>46</v>
      </c>
      <c r="E963">
        <v>4.1165854963109901E-4</v>
      </c>
      <c r="F963">
        <v>4.1165854963109901E-4</v>
      </c>
      <c r="G963">
        <v>0</v>
      </c>
      <c r="H963">
        <v>0</v>
      </c>
      <c r="I963" t="s">
        <v>75</v>
      </c>
    </row>
    <row r="964" spans="1:9" x14ac:dyDescent="0.35">
      <c r="A964" t="s">
        <v>23</v>
      </c>
      <c r="B964">
        <v>2030</v>
      </c>
      <c r="C964" t="s">
        <v>74</v>
      </c>
      <c r="D964" t="s">
        <v>47</v>
      </c>
      <c r="E964" s="1">
        <v>3.2391731730487999E-6</v>
      </c>
      <c r="F964" s="1">
        <v>3.2391731730487999E-6</v>
      </c>
      <c r="G964">
        <v>0</v>
      </c>
      <c r="H964">
        <v>0</v>
      </c>
      <c r="I964" t="s">
        <v>75</v>
      </c>
    </row>
    <row r="965" spans="1:9" x14ac:dyDescent="0.35">
      <c r="A965" t="s">
        <v>23</v>
      </c>
      <c r="B965">
        <v>2030</v>
      </c>
      <c r="C965" t="s">
        <v>74</v>
      </c>
      <c r="D965" t="s">
        <v>48</v>
      </c>
      <c r="E965">
        <v>5.1034733832680795E-4</v>
      </c>
      <c r="F965">
        <v>5.1034733832680795E-4</v>
      </c>
      <c r="G965">
        <v>0</v>
      </c>
      <c r="H965">
        <v>0</v>
      </c>
      <c r="I965" t="s">
        <v>75</v>
      </c>
    </row>
    <row r="966" spans="1:9" x14ac:dyDescent="0.35">
      <c r="A966" t="s">
        <v>23</v>
      </c>
      <c r="B966">
        <v>2030</v>
      </c>
      <c r="C966" t="s">
        <v>74</v>
      </c>
      <c r="D966" t="s">
        <v>49</v>
      </c>
      <c r="E966" s="1">
        <v>9.6085505956906104E-5</v>
      </c>
      <c r="F966" s="1">
        <v>9.6085505956906104E-5</v>
      </c>
      <c r="G966">
        <v>0</v>
      </c>
      <c r="H966">
        <v>0</v>
      </c>
      <c r="I966" t="s">
        <v>75</v>
      </c>
    </row>
    <row r="967" spans="1:9" x14ac:dyDescent="0.35">
      <c r="A967" t="s">
        <v>23</v>
      </c>
      <c r="B967">
        <v>2030</v>
      </c>
      <c r="C967" t="s">
        <v>74</v>
      </c>
      <c r="D967" t="s">
        <v>50</v>
      </c>
      <c r="E967" s="1">
        <v>4.3136410972534698E-5</v>
      </c>
      <c r="F967" s="1">
        <v>4.3136410972534698E-5</v>
      </c>
      <c r="G967">
        <v>0</v>
      </c>
      <c r="H967">
        <v>0</v>
      </c>
      <c r="I967" t="s">
        <v>75</v>
      </c>
    </row>
    <row r="968" spans="1:9" x14ac:dyDescent="0.35">
      <c r="A968" t="s">
        <v>23</v>
      </c>
      <c r="B968">
        <v>2030</v>
      </c>
      <c r="C968" t="s">
        <v>74</v>
      </c>
      <c r="D968" t="s">
        <v>51</v>
      </c>
      <c r="E968">
        <v>1.71671330798235E-2</v>
      </c>
      <c r="F968">
        <v>1.71671330798235E-2</v>
      </c>
      <c r="G968">
        <v>0</v>
      </c>
      <c r="H968">
        <v>0</v>
      </c>
      <c r="I968" t="s">
        <v>75</v>
      </c>
    </row>
    <row r="969" spans="1:9" x14ac:dyDescent="0.35">
      <c r="A969" t="s">
        <v>23</v>
      </c>
      <c r="B969">
        <v>2030</v>
      </c>
      <c r="C969" t="s">
        <v>74</v>
      </c>
      <c r="D969" t="s">
        <v>52</v>
      </c>
      <c r="E969">
        <v>1.2301241385528801E-3</v>
      </c>
      <c r="F969">
        <v>1.2301241385528801E-3</v>
      </c>
      <c r="G969">
        <v>0</v>
      </c>
      <c r="H969">
        <v>0</v>
      </c>
      <c r="I969" t="s">
        <v>75</v>
      </c>
    </row>
    <row r="970" spans="1:9" x14ac:dyDescent="0.35">
      <c r="A970" t="s">
        <v>23</v>
      </c>
      <c r="B970">
        <v>2030</v>
      </c>
      <c r="C970" t="s">
        <v>74</v>
      </c>
      <c r="D970" t="s">
        <v>53</v>
      </c>
      <c r="E970">
        <v>4.8834160180417901E-3</v>
      </c>
      <c r="F970">
        <v>4.8834160180417901E-3</v>
      </c>
      <c r="G970">
        <v>0</v>
      </c>
      <c r="H970">
        <v>0</v>
      </c>
      <c r="I970" t="s">
        <v>75</v>
      </c>
    </row>
    <row r="971" spans="1:9" x14ac:dyDescent="0.35">
      <c r="A971" t="s">
        <v>23</v>
      </c>
      <c r="B971">
        <v>2030</v>
      </c>
      <c r="C971" t="s">
        <v>74</v>
      </c>
      <c r="D971" t="s">
        <v>54</v>
      </c>
      <c r="E971">
        <v>2.4626336062114599E-4</v>
      </c>
      <c r="F971">
        <v>2.4626336062114599E-4</v>
      </c>
      <c r="G971">
        <v>0</v>
      </c>
      <c r="H971">
        <v>0</v>
      </c>
      <c r="I971" t="s">
        <v>75</v>
      </c>
    </row>
    <row r="972" spans="1:9" x14ac:dyDescent="0.35">
      <c r="A972" t="s">
        <v>23</v>
      </c>
      <c r="B972">
        <v>2030</v>
      </c>
      <c r="C972" t="s">
        <v>74</v>
      </c>
      <c r="D972" t="s">
        <v>55</v>
      </c>
      <c r="E972">
        <v>2.1855314455230401E-4</v>
      </c>
      <c r="F972">
        <v>2.1855314455230401E-4</v>
      </c>
      <c r="G972">
        <v>0</v>
      </c>
      <c r="H972">
        <v>0</v>
      </c>
      <c r="I972" t="s">
        <v>75</v>
      </c>
    </row>
    <row r="973" spans="1:9" x14ac:dyDescent="0.35">
      <c r="A973" t="s">
        <v>23</v>
      </c>
      <c r="B973">
        <v>2030</v>
      </c>
      <c r="C973" t="s">
        <v>74</v>
      </c>
      <c r="D973" t="s">
        <v>56</v>
      </c>
      <c r="E973" s="1">
        <v>1.8372121738816499E-9</v>
      </c>
      <c r="F973" s="1">
        <v>1.8372121738816499E-9</v>
      </c>
      <c r="G973">
        <v>0</v>
      </c>
      <c r="H973">
        <v>0</v>
      </c>
      <c r="I973" t="s">
        <v>75</v>
      </c>
    </row>
    <row r="974" spans="1:9" x14ac:dyDescent="0.35">
      <c r="A974" t="s">
        <v>25</v>
      </c>
      <c r="B974">
        <v>2035</v>
      </c>
      <c r="C974" t="s">
        <v>74</v>
      </c>
      <c r="D974" t="s">
        <v>38</v>
      </c>
      <c r="E974" s="1">
        <v>2.1030945163292901E-5</v>
      </c>
      <c r="F974" s="1">
        <v>2.1030945163292901E-5</v>
      </c>
      <c r="G974">
        <v>0</v>
      </c>
      <c r="H974">
        <v>0</v>
      </c>
      <c r="I974" t="s">
        <v>75</v>
      </c>
    </row>
    <row r="975" spans="1:9" x14ac:dyDescent="0.35">
      <c r="A975" t="s">
        <v>25</v>
      </c>
      <c r="B975">
        <v>2035</v>
      </c>
      <c r="C975" t="s">
        <v>74</v>
      </c>
      <c r="D975" t="s">
        <v>40</v>
      </c>
      <c r="E975">
        <v>1.40785587461356E-4</v>
      </c>
      <c r="F975">
        <v>1.40785587461356E-4</v>
      </c>
      <c r="G975">
        <v>0</v>
      </c>
      <c r="H975">
        <v>0</v>
      </c>
      <c r="I975" t="s">
        <v>75</v>
      </c>
    </row>
    <row r="976" spans="1:9" x14ac:dyDescent="0.35">
      <c r="A976" t="s">
        <v>25</v>
      </c>
      <c r="B976">
        <v>2035</v>
      </c>
      <c r="C976" t="s">
        <v>74</v>
      </c>
      <c r="D976" t="s">
        <v>41</v>
      </c>
      <c r="E976">
        <v>1.5349069123899201E-4</v>
      </c>
      <c r="F976">
        <v>1.5349069123899201E-4</v>
      </c>
      <c r="G976">
        <v>0</v>
      </c>
      <c r="H976">
        <v>0</v>
      </c>
      <c r="I976" t="s">
        <v>75</v>
      </c>
    </row>
    <row r="977" spans="1:9" x14ac:dyDescent="0.35">
      <c r="A977" t="s">
        <v>25</v>
      </c>
      <c r="B977">
        <v>2035</v>
      </c>
      <c r="C977" t="s">
        <v>74</v>
      </c>
      <c r="D977" t="s">
        <v>42</v>
      </c>
      <c r="E977">
        <v>3.0657949650762101E-3</v>
      </c>
      <c r="F977">
        <v>3.0657949650762101E-3</v>
      </c>
      <c r="G977">
        <v>0</v>
      </c>
      <c r="H977">
        <v>0</v>
      </c>
      <c r="I977" t="s">
        <v>75</v>
      </c>
    </row>
    <row r="978" spans="1:9" x14ac:dyDescent="0.35">
      <c r="A978" t="s">
        <v>25</v>
      </c>
      <c r="B978">
        <v>2035</v>
      </c>
      <c r="C978" t="s">
        <v>74</v>
      </c>
      <c r="D978" t="s">
        <v>43</v>
      </c>
      <c r="E978" s="1">
        <v>5.3871279128937303E-5</v>
      </c>
      <c r="F978" s="1">
        <v>5.3871279128937303E-5</v>
      </c>
      <c r="G978">
        <v>0</v>
      </c>
      <c r="H978">
        <v>0</v>
      </c>
      <c r="I978" t="s">
        <v>75</v>
      </c>
    </row>
    <row r="979" spans="1:9" x14ac:dyDescent="0.35">
      <c r="A979" t="s">
        <v>25</v>
      </c>
      <c r="B979">
        <v>2035</v>
      </c>
      <c r="C979" t="s">
        <v>74</v>
      </c>
      <c r="D979" t="s">
        <v>136</v>
      </c>
      <c r="E979">
        <v>1.52697713790925E-2</v>
      </c>
      <c r="F979">
        <v>1.52697713790925E-2</v>
      </c>
      <c r="G979">
        <v>0</v>
      </c>
      <c r="H979">
        <v>0</v>
      </c>
      <c r="I979" t="s">
        <v>75</v>
      </c>
    </row>
    <row r="980" spans="1:9" x14ac:dyDescent="0.35">
      <c r="A980" t="s">
        <v>25</v>
      </c>
      <c r="B980">
        <v>2035</v>
      </c>
      <c r="C980" t="s">
        <v>74</v>
      </c>
      <c r="D980" t="s">
        <v>45</v>
      </c>
      <c r="E980" s="1">
        <v>4.8736614645785598E-5</v>
      </c>
      <c r="F980" s="1">
        <v>4.8736614645785598E-5</v>
      </c>
      <c r="G980">
        <v>0</v>
      </c>
      <c r="H980">
        <v>0</v>
      </c>
      <c r="I980" t="s">
        <v>75</v>
      </c>
    </row>
    <row r="981" spans="1:9" x14ac:dyDescent="0.35">
      <c r="A981" t="s">
        <v>25</v>
      </c>
      <c r="B981">
        <v>2035</v>
      </c>
      <c r="C981" t="s">
        <v>74</v>
      </c>
      <c r="D981" t="s">
        <v>46</v>
      </c>
      <c r="E981">
        <v>8.4661150229622495E-4</v>
      </c>
      <c r="F981">
        <v>8.4661150229622495E-4</v>
      </c>
      <c r="G981">
        <v>0</v>
      </c>
      <c r="H981">
        <v>0</v>
      </c>
      <c r="I981" t="s">
        <v>75</v>
      </c>
    </row>
    <row r="982" spans="1:9" x14ac:dyDescent="0.35">
      <c r="A982" t="s">
        <v>25</v>
      </c>
      <c r="B982">
        <v>2035</v>
      </c>
      <c r="C982" t="s">
        <v>74</v>
      </c>
      <c r="D982" t="s">
        <v>47</v>
      </c>
      <c r="E982" s="1">
        <v>3.9501256780483798E-6</v>
      </c>
      <c r="F982" s="1">
        <v>3.9501256780483798E-6</v>
      </c>
      <c r="G982">
        <v>0</v>
      </c>
      <c r="H982">
        <v>0</v>
      </c>
      <c r="I982" t="s">
        <v>75</v>
      </c>
    </row>
    <row r="983" spans="1:9" x14ac:dyDescent="0.35">
      <c r="A983" t="s">
        <v>25</v>
      </c>
      <c r="B983">
        <v>2035</v>
      </c>
      <c r="C983" t="s">
        <v>74</v>
      </c>
      <c r="D983" t="s">
        <v>48</v>
      </c>
      <c r="E983">
        <v>5.15894785517018E-4</v>
      </c>
      <c r="F983">
        <v>5.15894785517018E-4</v>
      </c>
      <c r="G983">
        <v>0</v>
      </c>
      <c r="H983">
        <v>0</v>
      </c>
      <c r="I983" t="s">
        <v>75</v>
      </c>
    </row>
    <row r="984" spans="1:9" x14ac:dyDescent="0.35">
      <c r="A984" t="s">
        <v>25</v>
      </c>
      <c r="B984">
        <v>2035</v>
      </c>
      <c r="C984" t="s">
        <v>74</v>
      </c>
      <c r="D984" t="s">
        <v>49</v>
      </c>
      <c r="E984" s="1">
        <v>9.5531148459285803E-5</v>
      </c>
      <c r="F984" s="1">
        <v>9.5531148459285803E-5</v>
      </c>
      <c r="G984">
        <v>0</v>
      </c>
      <c r="H984">
        <v>0</v>
      </c>
      <c r="I984" t="s">
        <v>75</v>
      </c>
    </row>
    <row r="985" spans="1:9" x14ac:dyDescent="0.35">
      <c r="A985" t="s">
        <v>25</v>
      </c>
      <c r="B985">
        <v>2035</v>
      </c>
      <c r="C985" t="s">
        <v>74</v>
      </c>
      <c r="D985" t="s">
        <v>50</v>
      </c>
      <c r="E985" s="1">
        <v>6.0494752578860599E-5</v>
      </c>
      <c r="F985" s="1">
        <v>6.0494752578860599E-5</v>
      </c>
      <c r="G985">
        <v>0</v>
      </c>
      <c r="H985">
        <v>0</v>
      </c>
      <c r="I985" t="s">
        <v>75</v>
      </c>
    </row>
    <row r="986" spans="1:9" x14ac:dyDescent="0.35">
      <c r="A986" t="s">
        <v>25</v>
      </c>
      <c r="B986">
        <v>2035</v>
      </c>
      <c r="C986" t="s">
        <v>74</v>
      </c>
      <c r="D986" t="s">
        <v>51</v>
      </c>
      <c r="E986">
        <v>1.71752648158803E-2</v>
      </c>
      <c r="F986">
        <v>1.71752648158803E-2</v>
      </c>
      <c r="G986">
        <v>0</v>
      </c>
      <c r="H986">
        <v>0</v>
      </c>
      <c r="I986" t="s">
        <v>75</v>
      </c>
    </row>
    <row r="987" spans="1:9" x14ac:dyDescent="0.35">
      <c r="A987" t="s">
        <v>25</v>
      </c>
      <c r="B987">
        <v>2035</v>
      </c>
      <c r="C987" t="s">
        <v>74</v>
      </c>
      <c r="D987" t="s">
        <v>52</v>
      </c>
      <c r="E987">
        <v>1.0824532277376299E-3</v>
      </c>
      <c r="F987">
        <v>1.0824532277376299E-3</v>
      </c>
      <c r="G987">
        <v>0</v>
      </c>
      <c r="H987">
        <v>0</v>
      </c>
      <c r="I987" t="s">
        <v>75</v>
      </c>
    </row>
    <row r="988" spans="1:9" x14ac:dyDescent="0.35">
      <c r="A988" t="s">
        <v>25</v>
      </c>
      <c r="B988">
        <v>2035</v>
      </c>
      <c r="C988" t="s">
        <v>74</v>
      </c>
      <c r="D988" t="s">
        <v>53</v>
      </c>
      <c r="E988">
        <v>4.9800739816519401E-3</v>
      </c>
      <c r="F988">
        <v>4.9800739816519401E-3</v>
      </c>
      <c r="G988">
        <v>0</v>
      </c>
      <c r="H988">
        <v>0</v>
      </c>
      <c r="I988" t="s">
        <v>75</v>
      </c>
    </row>
    <row r="989" spans="1:9" x14ac:dyDescent="0.35">
      <c r="A989" t="s">
        <v>25</v>
      </c>
      <c r="B989">
        <v>2035</v>
      </c>
      <c r="C989" t="s">
        <v>74</v>
      </c>
      <c r="D989" t="s">
        <v>54</v>
      </c>
      <c r="E989">
        <v>2.6344076423506302E-4</v>
      </c>
      <c r="F989">
        <v>2.6344076423506302E-4</v>
      </c>
      <c r="G989">
        <v>0</v>
      </c>
      <c r="H989">
        <v>0</v>
      </c>
      <c r="I989" t="s">
        <v>75</v>
      </c>
    </row>
    <row r="990" spans="1:9" x14ac:dyDescent="0.35">
      <c r="A990" t="s">
        <v>25</v>
      </c>
      <c r="B990">
        <v>2035</v>
      </c>
      <c r="C990" t="s">
        <v>74</v>
      </c>
      <c r="D990" t="s">
        <v>55</v>
      </c>
      <c r="E990">
        <v>2.3286925839037899E-4</v>
      </c>
      <c r="F990">
        <v>2.3286925839037899E-4</v>
      </c>
      <c r="G990">
        <v>0</v>
      </c>
      <c r="H990">
        <v>0</v>
      </c>
      <c r="I990" t="s">
        <v>75</v>
      </c>
    </row>
    <row r="991" spans="1:9" x14ac:dyDescent="0.35">
      <c r="A991" t="s">
        <v>25</v>
      </c>
      <c r="B991">
        <v>2035</v>
      </c>
      <c r="C991" t="s">
        <v>74</v>
      </c>
      <c r="D991" t="s">
        <v>56</v>
      </c>
      <c r="E991" s="1">
        <v>1.8088147898291199E-9</v>
      </c>
      <c r="F991" s="1">
        <v>1.8088147898291199E-9</v>
      </c>
      <c r="G991">
        <v>0</v>
      </c>
      <c r="H991">
        <v>0</v>
      </c>
      <c r="I991" t="s">
        <v>75</v>
      </c>
    </row>
    <row r="992" spans="1:9" x14ac:dyDescent="0.35">
      <c r="A992" t="s">
        <v>27</v>
      </c>
      <c r="B992">
        <v>2040</v>
      </c>
      <c r="C992" t="s">
        <v>74</v>
      </c>
      <c r="D992" t="s">
        <v>38</v>
      </c>
      <c r="E992" s="1">
        <v>1.74833597945277E-5</v>
      </c>
      <c r="F992" s="1">
        <v>1.74833597945277E-5</v>
      </c>
      <c r="G992">
        <v>0</v>
      </c>
      <c r="H992">
        <v>0</v>
      </c>
      <c r="I992" t="s">
        <v>75</v>
      </c>
    </row>
    <row r="993" spans="1:9" x14ac:dyDescent="0.35">
      <c r="A993" t="s">
        <v>27</v>
      </c>
      <c r="B993">
        <v>2040</v>
      </c>
      <c r="C993" t="s">
        <v>74</v>
      </c>
      <c r="D993" t="s">
        <v>40</v>
      </c>
      <c r="E993">
        <v>1.40720412690835E-4</v>
      </c>
      <c r="F993">
        <v>1.40720412690835E-4</v>
      </c>
      <c r="G993">
        <v>0</v>
      </c>
      <c r="H993">
        <v>0</v>
      </c>
      <c r="I993" t="s">
        <v>75</v>
      </c>
    </row>
    <row r="994" spans="1:9" x14ac:dyDescent="0.35">
      <c r="A994" t="s">
        <v>27</v>
      </c>
      <c r="B994">
        <v>2040</v>
      </c>
      <c r="C994" t="s">
        <v>74</v>
      </c>
      <c r="D994" t="s">
        <v>41</v>
      </c>
      <c r="E994">
        <v>1.5353085055097099E-4</v>
      </c>
      <c r="F994">
        <v>1.5353085055097099E-4</v>
      </c>
      <c r="G994">
        <v>0</v>
      </c>
      <c r="H994">
        <v>0</v>
      </c>
      <c r="I994" t="s">
        <v>75</v>
      </c>
    </row>
    <row r="995" spans="1:9" x14ac:dyDescent="0.35">
      <c r="A995" t="s">
        <v>27</v>
      </c>
      <c r="B995">
        <v>2040</v>
      </c>
      <c r="C995" t="s">
        <v>74</v>
      </c>
      <c r="D995" t="s">
        <v>42</v>
      </c>
      <c r="E995">
        <v>3.5437020515869801E-3</v>
      </c>
      <c r="F995">
        <v>3.5437020515869801E-3</v>
      </c>
      <c r="G995">
        <v>0</v>
      </c>
      <c r="H995">
        <v>0</v>
      </c>
      <c r="I995" t="s">
        <v>75</v>
      </c>
    </row>
    <row r="996" spans="1:9" x14ac:dyDescent="0.35">
      <c r="A996" t="s">
        <v>27</v>
      </c>
      <c r="B996">
        <v>2040</v>
      </c>
      <c r="C996" t="s">
        <v>74</v>
      </c>
      <c r="D996" t="s">
        <v>43</v>
      </c>
      <c r="E996" s="1">
        <v>5.3560509367150803E-5</v>
      </c>
      <c r="F996" s="1">
        <v>5.3560509367150803E-5</v>
      </c>
      <c r="G996">
        <v>0</v>
      </c>
      <c r="H996">
        <v>0</v>
      </c>
      <c r="I996" t="s">
        <v>75</v>
      </c>
    </row>
    <row r="997" spans="1:9" x14ac:dyDescent="0.35">
      <c r="A997" t="s">
        <v>27</v>
      </c>
      <c r="B997">
        <v>2040</v>
      </c>
      <c r="C997" t="s">
        <v>74</v>
      </c>
      <c r="D997" t="s">
        <v>136</v>
      </c>
      <c r="E997">
        <v>1.5800027293712E-2</v>
      </c>
      <c r="F997">
        <v>1.5800027293712E-2</v>
      </c>
      <c r="G997">
        <v>0</v>
      </c>
      <c r="H997">
        <v>0</v>
      </c>
      <c r="I997" t="s">
        <v>75</v>
      </c>
    </row>
    <row r="998" spans="1:9" x14ac:dyDescent="0.35">
      <c r="A998" t="s">
        <v>27</v>
      </c>
      <c r="B998">
        <v>2040</v>
      </c>
      <c r="C998" t="s">
        <v>74</v>
      </c>
      <c r="D998" t="s">
        <v>45</v>
      </c>
      <c r="E998" s="1">
        <v>4.79798469950203E-5</v>
      </c>
      <c r="F998" s="1">
        <v>4.79798469950203E-5</v>
      </c>
      <c r="G998">
        <v>0</v>
      </c>
      <c r="H998">
        <v>0</v>
      </c>
      <c r="I998" t="s">
        <v>75</v>
      </c>
    </row>
    <row r="999" spans="1:9" x14ac:dyDescent="0.35">
      <c r="A999" t="s">
        <v>27</v>
      </c>
      <c r="B999">
        <v>2040</v>
      </c>
      <c r="C999" t="s">
        <v>74</v>
      </c>
      <c r="D999" t="s">
        <v>46</v>
      </c>
      <c r="E999">
        <v>1.2157273303820199E-3</v>
      </c>
      <c r="F999">
        <v>1.2157273303820199E-3</v>
      </c>
      <c r="G999">
        <v>0</v>
      </c>
      <c r="H999">
        <v>0</v>
      </c>
      <c r="I999" t="s">
        <v>75</v>
      </c>
    </row>
    <row r="1000" spans="1:9" x14ac:dyDescent="0.35">
      <c r="A1000" t="s">
        <v>27</v>
      </c>
      <c r="B1000">
        <v>2040</v>
      </c>
      <c r="C1000" t="s">
        <v>74</v>
      </c>
      <c r="D1000" t="s">
        <v>47</v>
      </c>
      <c r="E1000" s="1">
        <v>4.7675939848913701E-6</v>
      </c>
      <c r="F1000" s="1">
        <v>4.7675939848913701E-6</v>
      </c>
      <c r="G1000">
        <v>0</v>
      </c>
      <c r="H1000">
        <v>0</v>
      </c>
      <c r="I1000" t="s">
        <v>75</v>
      </c>
    </row>
    <row r="1001" spans="1:9" x14ac:dyDescent="0.35">
      <c r="A1001" t="s">
        <v>27</v>
      </c>
      <c r="B1001">
        <v>2040</v>
      </c>
      <c r="C1001" t="s">
        <v>74</v>
      </c>
      <c r="D1001" t="s">
        <v>48</v>
      </c>
      <c r="E1001">
        <v>5.2209346244334095E-4</v>
      </c>
      <c r="F1001">
        <v>5.2209346244334095E-4</v>
      </c>
      <c r="G1001">
        <v>0</v>
      </c>
      <c r="H1001">
        <v>0</v>
      </c>
      <c r="I1001" t="s">
        <v>75</v>
      </c>
    </row>
    <row r="1002" spans="1:9" x14ac:dyDescent="0.35">
      <c r="A1002" t="s">
        <v>27</v>
      </c>
      <c r="B1002">
        <v>2040</v>
      </c>
      <c r="C1002" t="s">
        <v>74</v>
      </c>
      <c r="D1002" t="s">
        <v>49</v>
      </c>
      <c r="E1002" s="1">
        <v>9.4710042208592503E-5</v>
      </c>
      <c r="F1002" s="1">
        <v>9.4710042208592503E-5</v>
      </c>
      <c r="G1002">
        <v>0</v>
      </c>
      <c r="H1002">
        <v>0</v>
      </c>
      <c r="I1002" t="s">
        <v>75</v>
      </c>
    </row>
    <row r="1003" spans="1:9" x14ac:dyDescent="0.35">
      <c r="A1003" t="s">
        <v>27</v>
      </c>
      <c r="B1003">
        <v>2040</v>
      </c>
      <c r="C1003" t="s">
        <v>74</v>
      </c>
      <c r="D1003" t="s">
        <v>50</v>
      </c>
      <c r="E1003" s="1">
        <v>5.4971119224103103E-5</v>
      </c>
      <c r="F1003" s="1">
        <v>5.4971119224103103E-5</v>
      </c>
      <c r="G1003">
        <v>0</v>
      </c>
      <c r="H1003">
        <v>0</v>
      </c>
      <c r="I1003" t="s">
        <v>75</v>
      </c>
    </row>
    <row r="1004" spans="1:9" x14ac:dyDescent="0.35">
      <c r="A1004" t="s">
        <v>27</v>
      </c>
      <c r="B1004">
        <v>2040</v>
      </c>
      <c r="C1004" t="s">
        <v>74</v>
      </c>
      <c r="D1004" t="s">
        <v>51</v>
      </c>
      <c r="E1004">
        <v>1.7187582321635999E-2</v>
      </c>
      <c r="F1004">
        <v>1.7187582321635999E-2</v>
      </c>
      <c r="G1004">
        <v>0</v>
      </c>
      <c r="H1004">
        <v>0</v>
      </c>
      <c r="I1004" t="s">
        <v>75</v>
      </c>
    </row>
    <row r="1005" spans="1:9" x14ac:dyDescent="0.35">
      <c r="A1005" t="s">
        <v>27</v>
      </c>
      <c r="B1005">
        <v>2040</v>
      </c>
      <c r="C1005" t="s">
        <v>74</v>
      </c>
      <c r="D1005" t="s">
        <v>52</v>
      </c>
      <c r="E1005">
        <v>9.6707918840436299E-4</v>
      </c>
      <c r="F1005">
        <v>9.6707918840436299E-4</v>
      </c>
      <c r="G1005">
        <v>0</v>
      </c>
      <c r="H1005">
        <v>0</v>
      </c>
      <c r="I1005" t="s">
        <v>75</v>
      </c>
    </row>
    <row r="1006" spans="1:9" x14ac:dyDescent="0.35">
      <c r="A1006" t="s">
        <v>27</v>
      </c>
      <c r="B1006">
        <v>2040</v>
      </c>
      <c r="C1006" t="s">
        <v>74</v>
      </c>
      <c r="D1006" t="s">
        <v>53</v>
      </c>
      <c r="E1006">
        <v>5.1300913462885601E-3</v>
      </c>
      <c r="F1006">
        <v>5.1300913462885601E-3</v>
      </c>
      <c r="G1006">
        <v>0</v>
      </c>
      <c r="H1006">
        <v>0</v>
      </c>
      <c r="I1006" t="s">
        <v>75</v>
      </c>
    </row>
    <row r="1007" spans="1:9" x14ac:dyDescent="0.35">
      <c r="A1007" t="s">
        <v>27</v>
      </c>
      <c r="B1007">
        <v>2040</v>
      </c>
      <c r="C1007" t="s">
        <v>74</v>
      </c>
      <c r="D1007" t="s">
        <v>54</v>
      </c>
      <c r="E1007">
        <v>2.7999750398966601E-4</v>
      </c>
      <c r="F1007">
        <v>2.7999750398966601E-4</v>
      </c>
      <c r="G1007">
        <v>0</v>
      </c>
      <c r="H1007">
        <v>0</v>
      </c>
      <c r="I1007" t="s">
        <v>75</v>
      </c>
    </row>
    <row r="1008" spans="1:9" x14ac:dyDescent="0.35">
      <c r="A1008" t="s">
        <v>27</v>
      </c>
      <c r="B1008">
        <v>2040</v>
      </c>
      <c r="C1008" t="s">
        <v>74</v>
      </c>
      <c r="D1008" t="s">
        <v>55</v>
      </c>
      <c r="E1008">
        <v>2.4884083502399202E-4</v>
      </c>
      <c r="F1008">
        <v>2.4884083502399202E-4</v>
      </c>
      <c r="G1008">
        <v>0</v>
      </c>
      <c r="H1008">
        <v>0</v>
      </c>
      <c r="I1008" t="s">
        <v>75</v>
      </c>
    </row>
    <row r="1009" spans="1:9" x14ac:dyDescent="0.35">
      <c r="A1009" t="s">
        <v>27</v>
      </c>
      <c r="B1009">
        <v>2040</v>
      </c>
      <c r="C1009" t="s">
        <v>74</v>
      </c>
      <c r="D1009" t="s">
        <v>56</v>
      </c>
      <c r="E1009" s="1">
        <v>1.7678576887808499E-9</v>
      </c>
      <c r="F1009" s="1">
        <v>1.7678576887808499E-9</v>
      </c>
      <c r="G1009">
        <v>0</v>
      </c>
      <c r="H1009">
        <v>0</v>
      </c>
      <c r="I1009" t="s">
        <v>75</v>
      </c>
    </row>
    <row r="1010" spans="1:9" x14ac:dyDescent="0.35">
      <c r="A1010" t="s">
        <v>21</v>
      </c>
      <c r="B1010">
        <v>2025</v>
      </c>
      <c r="C1010" t="s">
        <v>67</v>
      </c>
      <c r="D1010" t="s">
        <v>38</v>
      </c>
      <c r="E1010">
        <v>2.31739317554202E-2</v>
      </c>
      <c r="F1010">
        <v>2.31739317554202E-2</v>
      </c>
      <c r="G1010">
        <v>0</v>
      </c>
      <c r="H1010">
        <v>0</v>
      </c>
      <c r="I1010" t="s">
        <v>68</v>
      </c>
    </row>
    <row r="1011" spans="1:9" x14ac:dyDescent="0.35">
      <c r="A1011" t="s">
        <v>21</v>
      </c>
      <c r="B1011">
        <v>2025</v>
      </c>
      <c r="C1011" t="s">
        <v>67</v>
      </c>
      <c r="D1011" t="s">
        <v>40</v>
      </c>
      <c r="E1011">
        <v>7.1643465132462496E-3</v>
      </c>
      <c r="F1011">
        <v>7.1643465132462496E-3</v>
      </c>
      <c r="G1011">
        <v>0</v>
      </c>
      <c r="H1011">
        <v>0</v>
      </c>
      <c r="I1011" t="s">
        <v>68</v>
      </c>
    </row>
    <row r="1012" spans="1:9" x14ac:dyDescent="0.35">
      <c r="A1012" t="s">
        <v>21</v>
      </c>
      <c r="B1012">
        <v>2025</v>
      </c>
      <c r="C1012" t="s">
        <v>67</v>
      </c>
      <c r="D1012" t="s">
        <v>41</v>
      </c>
      <c r="E1012">
        <v>6.6435582686098602E-2</v>
      </c>
      <c r="F1012">
        <v>6.6435582686098602E-2</v>
      </c>
      <c r="G1012">
        <v>0</v>
      </c>
      <c r="H1012">
        <v>0</v>
      </c>
      <c r="I1012" t="s">
        <v>68</v>
      </c>
    </row>
    <row r="1013" spans="1:9" x14ac:dyDescent="0.35">
      <c r="A1013" t="s">
        <v>21</v>
      </c>
      <c r="B1013">
        <v>2025</v>
      </c>
      <c r="C1013" t="s">
        <v>67</v>
      </c>
      <c r="D1013" t="s">
        <v>42</v>
      </c>
      <c r="E1013">
        <v>30.8066723002709</v>
      </c>
      <c r="F1013">
        <v>30.8066723002709</v>
      </c>
      <c r="G1013">
        <v>0</v>
      </c>
      <c r="H1013">
        <v>0</v>
      </c>
      <c r="I1013" t="s">
        <v>68</v>
      </c>
    </row>
    <row r="1014" spans="1:9" x14ac:dyDescent="0.35">
      <c r="A1014" t="s">
        <v>21</v>
      </c>
      <c r="B1014">
        <v>2025</v>
      </c>
      <c r="C1014" t="s">
        <v>67</v>
      </c>
      <c r="D1014" t="s">
        <v>43</v>
      </c>
      <c r="E1014">
        <v>2.84145452893977E-2</v>
      </c>
      <c r="F1014">
        <v>2.84145452893977E-2</v>
      </c>
      <c r="G1014">
        <v>0</v>
      </c>
      <c r="H1014">
        <v>0</v>
      </c>
      <c r="I1014" t="s">
        <v>68</v>
      </c>
    </row>
    <row r="1015" spans="1:9" x14ac:dyDescent="0.35">
      <c r="A1015" t="s">
        <v>21</v>
      </c>
      <c r="B1015">
        <v>2025</v>
      </c>
      <c r="C1015" t="s">
        <v>67</v>
      </c>
      <c r="D1015" t="s">
        <v>136</v>
      </c>
      <c r="E1015">
        <v>21.790605984700601</v>
      </c>
      <c r="F1015">
        <v>21.790605984700601</v>
      </c>
      <c r="G1015">
        <v>0</v>
      </c>
      <c r="H1015">
        <v>0</v>
      </c>
      <c r="I1015" t="s">
        <v>68</v>
      </c>
    </row>
    <row r="1016" spans="1:9" x14ac:dyDescent="0.35">
      <c r="A1016" t="s">
        <v>21</v>
      </c>
      <c r="B1016">
        <v>2025</v>
      </c>
      <c r="C1016" t="s">
        <v>67</v>
      </c>
      <c r="D1016" t="s">
        <v>45</v>
      </c>
      <c r="E1016">
        <v>6.0435069828671799E-2</v>
      </c>
      <c r="F1016">
        <v>6.0435069828671799E-2</v>
      </c>
      <c r="G1016">
        <v>0</v>
      </c>
      <c r="H1016">
        <v>0</v>
      </c>
      <c r="I1016" t="s">
        <v>68</v>
      </c>
    </row>
    <row r="1017" spans="1:9" x14ac:dyDescent="0.35">
      <c r="A1017" t="s">
        <v>21</v>
      </c>
      <c r="B1017">
        <v>2025</v>
      </c>
      <c r="C1017" t="s">
        <v>67</v>
      </c>
      <c r="D1017" t="s">
        <v>46</v>
      </c>
      <c r="E1017">
        <v>0.201300081157089</v>
      </c>
      <c r="F1017">
        <v>0.201300081157089</v>
      </c>
      <c r="G1017">
        <v>0</v>
      </c>
      <c r="H1017">
        <v>0</v>
      </c>
      <c r="I1017" t="s">
        <v>68</v>
      </c>
    </row>
    <row r="1018" spans="1:9" x14ac:dyDescent="0.35">
      <c r="A1018" t="s">
        <v>21</v>
      </c>
      <c r="B1018">
        <v>2025</v>
      </c>
      <c r="C1018" t="s">
        <v>67</v>
      </c>
      <c r="D1018" t="s">
        <v>47</v>
      </c>
      <c r="E1018">
        <v>7.2954862167716296E-3</v>
      </c>
      <c r="F1018">
        <v>7.2954862167716296E-3</v>
      </c>
      <c r="G1018">
        <v>0</v>
      </c>
      <c r="H1018">
        <v>0</v>
      </c>
      <c r="I1018" t="s">
        <v>68</v>
      </c>
    </row>
    <row r="1019" spans="1:9" x14ac:dyDescent="0.35">
      <c r="A1019" t="s">
        <v>21</v>
      </c>
      <c r="B1019">
        <v>2025</v>
      </c>
      <c r="C1019" t="s">
        <v>67</v>
      </c>
      <c r="D1019" t="s">
        <v>48</v>
      </c>
      <c r="E1019">
        <v>108.59154803834301</v>
      </c>
      <c r="F1019">
        <v>108.59154803834301</v>
      </c>
      <c r="G1019">
        <v>0</v>
      </c>
      <c r="H1019">
        <v>0</v>
      </c>
      <c r="I1019" t="s">
        <v>68</v>
      </c>
    </row>
    <row r="1020" spans="1:9" x14ac:dyDescent="0.35">
      <c r="A1020" t="s">
        <v>21</v>
      </c>
      <c r="B1020">
        <v>2025</v>
      </c>
      <c r="C1020" t="s">
        <v>67</v>
      </c>
      <c r="D1020" t="s">
        <v>49</v>
      </c>
      <c r="E1020">
        <v>0.15609115440777299</v>
      </c>
      <c r="F1020">
        <v>0.15609115440777299</v>
      </c>
      <c r="G1020">
        <v>0</v>
      </c>
      <c r="H1020">
        <v>0</v>
      </c>
      <c r="I1020" t="s">
        <v>68</v>
      </c>
    </row>
    <row r="1021" spans="1:9" x14ac:dyDescent="0.35">
      <c r="A1021" t="s">
        <v>21</v>
      </c>
      <c r="B1021">
        <v>2025</v>
      </c>
      <c r="C1021" t="s">
        <v>67</v>
      </c>
      <c r="D1021" t="s">
        <v>50</v>
      </c>
      <c r="E1021">
        <v>0.392504914379734</v>
      </c>
      <c r="F1021">
        <v>0.392504914379734</v>
      </c>
      <c r="G1021">
        <v>0</v>
      </c>
      <c r="H1021">
        <v>0</v>
      </c>
      <c r="I1021" t="s">
        <v>68</v>
      </c>
    </row>
    <row r="1022" spans="1:9" x14ac:dyDescent="0.35">
      <c r="A1022" t="s">
        <v>21</v>
      </c>
      <c r="B1022">
        <v>2025</v>
      </c>
      <c r="C1022" t="s">
        <v>67</v>
      </c>
      <c r="D1022" t="s">
        <v>51</v>
      </c>
      <c r="E1022">
        <v>0.62631486675033798</v>
      </c>
      <c r="F1022">
        <v>0.62631486675033798</v>
      </c>
      <c r="G1022">
        <v>0</v>
      </c>
      <c r="H1022">
        <v>0</v>
      </c>
      <c r="I1022" t="s">
        <v>68</v>
      </c>
    </row>
    <row r="1023" spans="1:9" x14ac:dyDescent="0.35">
      <c r="A1023" t="s">
        <v>21</v>
      </c>
      <c r="B1023">
        <v>2025</v>
      </c>
      <c r="C1023" t="s">
        <v>67</v>
      </c>
      <c r="D1023" t="s">
        <v>52</v>
      </c>
      <c r="E1023">
        <v>11.131076832458699</v>
      </c>
      <c r="F1023">
        <v>11.131076832458699</v>
      </c>
      <c r="G1023">
        <v>0</v>
      </c>
      <c r="H1023">
        <v>0</v>
      </c>
      <c r="I1023" t="s">
        <v>68</v>
      </c>
    </row>
    <row r="1024" spans="1:9" x14ac:dyDescent="0.35">
      <c r="A1024" t="s">
        <v>21</v>
      </c>
      <c r="B1024">
        <v>2025</v>
      </c>
      <c r="C1024" t="s">
        <v>67</v>
      </c>
      <c r="D1024" t="s">
        <v>53</v>
      </c>
      <c r="E1024">
        <v>7.7455786715728596</v>
      </c>
      <c r="F1024">
        <v>7.7455786715728596</v>
      </c>
      <c r="G1024">
        <v>0</v>
      </c>
      <c r="H1024">
        <v>0</v>
      </c>
      <c r="I1024" t="s">
        <v>68</v>
      </c>
    </row>
    <row r="1025" spans="1:9" x14ac:dyDescent="0.35">
      <c r="A1025" t="s">
        <v>21</v>
      </c>
      <c r="B1025">
        <v>2025</v>
      </c>
      <c r="C1025" t="s">
        <v>67</v>
      </c>
      <c r="D1025" t="s">
        <v>54</v>
      </c>
      <c r="E1025">
        <v>2.83988573555503</v>
      </c>
      <c r="F1025">
        <v>2.83988573555503</v>
      </c>
      <c r="G1025">
        <v>0</v>
      </c>
      <c r="H1025">
        <v>0</v>
      </c>
      <c r="I1025" t="s">
        <v>68</v>
      </c>
    </row>
    <row r="1026" spans="1:9" x14ac:dyDescent="0.35">
      <c r="A1026" t="s">
        <v>21</v>
      </c>
      <c r="B1026">
        <v>2025</v>
      </c>
      <c r="C1026" t="s">
        <v>67</v>
      </c>
      <c r="D1026" t="s">
        <v>55</v>
      </c>
      <c r="E1026">
        <v>2.6336903939393101</v>
      </c>
      <c r="F1026">
        <v>2.6336903939393101</v>
      </c>
      <c r="G1026">
        <v>0</v>
      </c>
      <c r="H1026">
        <v>0</v>
      </c>
      <c r="I1026" t="s">
        <v>68</v>
      </c>
    </row>
    <row r="1027" spans="1:9" x14ac:dyDescent="0.35">
      <c r="A1027" t="s">
        <v>21</v>
      </c>
      <c r="B1027">
        <v>2025</v>
      </c>
      <c r="C1027" t="s">
        <v>67</v>
      </c>
      <c r="D1027" t="s">
        <v>56</v>
      </c>
      <c r="E1027" s="1">
        <v>2.4612571762302699E-6</v>
      </c>
      <c r="F1027" s="1">
        <v>2.4612571762302699E-6</v>
      </c>
      <c r="G1027">
        <v>0</v>
      </c>
      <c r="H1027">
        <v>0</v>
      </c>
      <c r="I1027" t="s">
        <v>68</v>
      </c>
    </row>
    <row r="1028" spans="1:9" x14ac:dyDescent="0.35">
      <c r="A1028" t="s">
        <v>23</v>
      </c>
      <c r="B1028">
        <v>2030</v>
      </c>
      <c r="C1028" t="s">
        <v>67</v>
      </c>
      <c r="D1028" t="s">
        <v>38</v>
      </c>
      <c r="E1028">
        <v>2.8290362116735399E-2</v>
      </c>
      <c r="F1028">
        <v>1.60806791022528E-2</v>
      </c>
      <c r="G1028">
        <v>-1.2209683014482499E-2</v>
      </c>
      <c r="H1028">
        <v>-43.158454331907699</v>
      </c>
      <c r="I1028" t="s">
        <v>68</v>
      </c>
    </row>
    <row r="1029" spans="1:9" x14ac:dyDescent="0.35">
      <c r="A1029" t="s">
        <v>23</v>
      </c>
      <c r="B1029">
        <v>2030</v>
      </c>
      <c r="C1029" t="s">
        <v>67</v>
      </c>
      <c r="D1029" t="s">
        <v>40</v>
      </c>
      <c r="E1029">
        <v>6.9667405992772701E-3</v>
      </c>
      <c r="F1029">
        <v>6.9667405992772701E-3</v>
      </c>
      <c r="G1029">
        <v>0</v>
      </c>
      <c r="H1029">
        <v>0</v>
      </c>
      <c r="I1029" t="s">
        <v>68</v>
      </c>
    </row>
    <row r="1030" spans="1:9" x14ac:dyDescent="0.35">
      <c r="A1030" t="s">
        <v>23</v>
      </c>
      <c r="B1030">
        <v>2030</v>
      </c>
      <c r="C1030" t="s">
        <v>67</v>
      </c>
      <c r="D1030" t="s">
        <v>41</v>
      </c>
      <c r="E1030">
        <v>6.4750260873915097E-2</v>
      </c>
      <c r="F1030">
        <v>5.9007203146250797E-2</v>
      </c>
      <c r="G1030">
        <v>-5.7430577276642797E-3</v>
      </c>
      <c r="H1030">
        <v>-8.8695514892943006</v>
      </c>
      <c r="I1030" t="s">
        <v>68</v>
      </c>
    </row>
    <row r="1031" spans="1:9" x14ac:dyDescent="0.35">
      <c r="A1031" t="s">
        <v>23</v>
      </c>
      <c r="B1031">
        <v>2030</v>
      </c>
      <c r="C1031" t="s">
        <v>67</v>
      </c>
      <c r="D1031" t="s">
        <v>42</v>
      </c>
      <c r="E1031">
        <v>30.775773191558901</v>
      </c>
      <c r="F1031">
        <v>26.253920507591999</v>
      </c>
      <c r="G1031">
        <v>-4.5218526839669</v>
      </c>
      <c r="H1031">
        <v>-14.6928970909076</v>
      </c>
      <c r="I1031" t="s">
        <v>68</v>
      </c>
    </row>
    <row r="1032" spans="1:9" x14ac:dyDescent="0.35">
      <c r="A1032" t="s">
        <v>23</v>
      </c>
      <c r="B1032">
        <v>2030</v>
      </c>
      <c r="C1032" t="s">
        <v>67</v>
      </c>
      <c r="D1032" t="s">
        <v>43</v>
      </c>
      <c r="E1032">
        <v>2.8983221378619702E-2</v>
      </c>
      <c r="F1032">
        <v>2.72556249092211E-2</v>
      </c>
      <c r="G1032">
        <v>-1.72759646939857E-3</v>
      </c>
      <c r="H1032">
        <v>-5.9606778930135604</v>
      </c>
      <c r="I1032" t="s">
        <v>68</v>
      </c>
    </row>
    <row r="1033" spans="1:9" x14ac:dyDescent="0.35">
      <c r="A1033" t="s">
        <v>23</v>
      </c>
      <c r="B1033">
        <v>2030</v>
      </c>
      <c r="C1033" t="s">
        <v>67</v>
      </c>
      <c r="D1033" t="s">
        <v>136</v>
      </c>
      <c r="E1033">
        <v>21.397711471725099</v>
      </c>
      <c r="F1033">
        <v>20.863672379456201</v>
      </c>
      <c r="G1033">
        <v>-0.53403909226891599</v>
      </c>
      <c r="H1033">
        <v>-2.4957766767469098</v>
      </c>
      <c r="I1033" t="s">
        <v>68</v>
      </c>
    </row>
    <row r="1034" spans="1:9" x14ac:dyDescent="0.35">
      <c r="A1034" t="s">
        <v>23</v>
      </c>
      <c r="B1034">
        <v>2030</v>
      </c>
      <c r="C1034" t="s">
        <v>67</v>
      </c>
      <c r="D1034" t="s">
        <v>45</v>
      </c>
      <c r="E1034">
        <v>5.8872440972607597E-2</v>
      </c>
      <c r="F1034">
        <v>3.9876727282119599E-2</v>
      </c>
      <c r="G1034">
        <v>-1.8995713690488001E-2</v>
      </c>
      <c r="H1034">
        <v>-32.265884302854701</v>
      </c>
      <c r="I1034" t="s">
        <v>68</v>
      </c>
    </row>
    <row r="1035" spans="1:9" x14ac:dyDescent="0.35">
      <c r="A1035" t="s">
        <v>23</v>
      </c>
      <c r="B1035">
        <v>2030</v>
      </c>
      <c r="C1035" t="s">
        <v>67</v>
      </c>
      <c r="D1035" t="s">
        <v>46</v>
      </c>
      <c r="E1035">
        <v>0.467593468757252</v>
      </c>
      <c r="F1035">
        <v>0.467593468757252</v>
      </c>
      <c r="G1035">
        <v>0</v>
      </c>
      <c r="H1035">
        <v>0</v>
      </c>
      <c r="I1035" t="s">
        <v>68</v>
      </c>
    </row>
    <row r="1036" spans="1:9" x14ac:dyDescent="0.35">
      <c r="A1036" t="s">
        <v>23</v>
      </c>
      <c r="B1036">
        <v>2030</v>
      </c>
      <c r="C1036" t="s">
        <v>67</v>
      </c>
      <c r="D1036" t="s">
        <v>47</v>
      </c>
      <c r="E1036">
        <v>7.3299888760396904E-3</v>
      </c>
      <c r="F1036">
        <v>7.3299888760396904E-3</v>
      </c>
      <c r="G1036">
        <v>0</v>
      </c>
      <c r="H1036">
        <v>0</v>
      </c>
      <c r="I1036" t="s">
        <v>68</v>
      </c>
    </row>
    <row r="1037" spans="1:9" x14ac:dyDescent="0.35">
      <c r="A1037" t="s">
        <v>23</v>
      </c>
      <c r="B1037">
        <v>2030</v>
      </c>
      <c r="C1037" t="s">
        <v>67</v>
      </c>
      <c r="D1037" t="s">
        <v>48</v>
      </c>
      <c r="E1037">
        <v>108.586738764271</v>
      </c>
      <c r="F1037">
        <v>108.586738764271</v>
      </c>
      <c r="G1037">
        <v>0</v>
      </c>
      <c r="H1037">
        <v>0</v>
      </c>
      <c r="I1037" t="s">
        <v>68</v>
      </c>
    </row>
    <row r="1038" spans="1:9" x14ac:dyDescent="0.35">
      <c r="A1038" t="s">
        <v>23</v>
      </c>
      <c r="B1038">
        <v>2030</v>
      </c>
      <c r="C1038" t="s">
        <v>67</v>
      </c>
      <c r="D1038" t="s">
        <v>49</v>
      </c>
      <c r="E1038">
        <v>0.15459524636327199</v>
      </c>
      <c r="F1038">
        <v>9.8736140758621499E-2</v>
      </c>
      <c r="G1038">
        <v>-5.5859105604651203E-2</v>
      </c>
      <c r="H1038">
        <v>-36.132485906708702</v>
      </c>
      <c r="I1038" t="s">
        <v>68</v>
      </c>
    </row>
    <row r="1039" spans="1:9" x14ac:dyDescent="0.35">
      <c r="A1039" t="s">
        <v>23</v>
      </c>
      <c r="B1039">
        <v>2030</v>
      </c>
      <c r="C1039" t="s">
        <v>67</v>
      </c>
      <c r="D1039" t="s">
        <v>50</v>
      </c>
      <c r="E1039">
        <v>0.408473797189077</v>
      </c>
      <c r="F1039">
        <v>0.408473797189077</v>
      </c>
      <c r="G1039">
        <v>0</v>
      </c>
      <c r="H1039">
        <v>0</v>
      </c>
      <c r="I1039" t="s">
        <v>68</v>
      </c>
    </row>
    <row r="1040" spans="1:9" x14ac:dyDescent="0.35">
      <c r="A1040" t="s">
        <v>23</v>
      </c>
      <c r="B1040">
        <v>2030</v>
      </c>
      <c r="C1040" t="s">
        <v>67</v>
      </c>
      <c r="D1040" t="s">
        <v>51</v>
      </c>
      <c r="E1040">
        <v>0.62320701803552703</v>
      </c>
      <c r="F1040">
        <v>0.62320701803552703</v>
      </c>
      <c r="G1040">
        <v>0</v>
      </c>
      <c r="H1040">
        <v>0</v>
      </c>
      <c r="I1040" t="s">
        <v>68</v>
      </c>
    </row>
    <row r="1041" spans="1:9" x14ac:dyDescent="0.35">
      <c r="A1041" t="s">
        <v>23</v>
      </c>
      <c r="B1041">
        <v>2030</v>
      </c>
      <c r="C1041" t="s">
        <v>67</v>
      </c>
      <c r="D1041" t="s">
        <v>52</v>
      </c>
      <c r="E1041">
        <v>11.011469159171799</v>
      </c>
      <c r="F1041">
        <v>11.011469159171799</v>
      </c>
      <c r="G1041">
        <v>0</v>
      </c>
      <c r="H1041">
        <v>0</v>
      </c>
      <c r="I1041" t="s">
        <v>68</v>
      </c>
    </row>
    <row r="1042" spans="1:9" x14ac:dyDescent="0.35">
      <c r="A1042" t="s">
        <v>23</v>
      </c>
      <c r="B1042">
        <v>2030</v>
      </c>
      <c r="C1042" t="s">
        <v>67</v>
      </c>
      <c r="D1042" t="s">
        <v>53</v>
      </c>
      <c r="E1042">
        <v>7.6033678700523497</v>
      </c>
      <c r="F1042">
        <v>7.6033678700523497</v>
      </c>
      <c r="G1042">
        <v>0</v>
      </c>
      <c r="H1042">
        <v>0</v>
      </c>
      <c r="I1042" t="s">
        <v>68</v>
      </c>
    </row>
    <row r="1043" spans="1:9" x14ac:dyDescent="0.35">
      <c r="A1043" t="s">
        <v>23</v>
      </c>
      <c r="B1043">
        <v>2030</v>
      </c>
      <c r="C1043" t="s">
        <v>67</v>
      </c>
      <c r="D1043" t="s">
        <v>54</v>
      </c>
      <c r="E1043">
        <v>2.8464736558274799</v>
      </c>
      <c r="F1043">
        <v>2.8438048950293902</v>
      </c>
      <c r="G1043">
        <v>-2.6687607980955198E-3</v>
      </c>
      <c r="H1043">
        <v>-9.3756736256169607E-2</v>
      </c>
      <c r="I1043" t="s">
        <v>68</v>
      </c>
    </row>
    <row r="1044" spans="1:9" x14ac:dyDescent="0.35">
      <c r="A1044" t="s">
        <v>23</v>
      </c>
      <c r="B1044">
        <v>2030</v>
      </c>
      <c r="C1044" t="s">
        <v>67</v>
      </c>
      <c r="D1044" t="s">
        <v>55</v>
      </c>
      <c r="E1044">
        <v>2.6377473803626499</v>
      </c>
      <c r="F1044">
        <v>2.5168298325665499</v>
      </c>
      <c r="G1044">
        <v>-0.12091754779610001</v>
      </c>
      <c r="H1044">
        <v>-4.5841216143858396</v>
      </c>
      <c r="I1044" t="s">
        <v>68</v>
      </c>
    </row>
    <row r="1045" spans="1:9" x14ac:dyDescent="0.35">
      <c r="A1045" t="s">
        <v>23</v>
      </c>
      <c r="B1045">
        <v>2030</v>
      </c>
      <c r="C1045" t="s">
        <v>67</v>
      </c>
      <c r="D1045" t="s">
        <v>56</v>
      </c>
      <c r="E1045" s="1">
        <v>2.3786669542697901E-6</v>
      </c>
      <c r="F1045" s="1">
        <v>2.3786669542697901E-6</v>
      </c>
      <c r="G1045">
        <v>0</v>
      </c>
      <c r="H1045">
        <v>0</v>
      </c>
      <c r="I1045" t="s">
        <v>68</v>
      </c>
    </row>
    <row r="1046" spans="1:9" x14ac:dyDescent="0.35">
      <c r="A1046" t="s">
        <v>25</v>
      </c>
      <c r="B1046">
        <v>2035</v>
      </c>
      <c r="C1046" t="s">
        <v>67</v>
      </c>
      <c r="D1046" t="s">
        <v>38</v>
      </c>
      <c r="E1046">
        <v>3.2378076487708699E-2</v>
      </c>
      <c r="F1046">
        <v>2.8922665364334701E-2</v>
      </c>
      <c r="G1046">
        <v>-3.4554111233739298E-3</v>
      </c>
      <c r="H1046">
        <v>-10.672070419889399</v>
      </c>
      <c r="I1046" t="s">
        <v>68</v>
      </c>
    </row>
    <row r="1047" spans="1:9" x14ac:dyDescent="0.35">
      <c r="A1047" t="s">
        <v>25</v>
      </c>
      <c r="B1047">
        <v>2035</v>
      </c>
      <c r="C1047" t="s">
        <v>67</v>
      </c>
      <c r="D1047" t="s">
        <v>40</v>
      </c>
      <c r="E1047">
        <v>6.8069450336523101E-3</v>
      </c>
      <c r="F1047">
        <v>6.8069450336523101E-3</v>
      </c>
      <c r="G1047">
        <v>0</v>
      </c>
      <c r="H1047">
        <v>0</v>
      </c>
      <c r="I1047" t="s">
        <v>68</v>
      </c>
    </row>
    <row r="1048" spans="1:9" x14ac:dyDescent="0.35">
      <c r="A1048" t="s">
        <v>25</v>
      </c>
      <c r="B1048">
        <v>2035</v>
      </c>
      <c r="C1048" t="s">
        <v>67</v>
      </c>
      <c r="D1048" t="s">
        <v>41</v>
      </c>
      <c r="E1048">
        <v>6.4075529658385602E-2</v>
      </c>
      <c r="F1048">
        <v>6.2495033898272302E-2</v>
      </c>
      <c r="G1048">
        <v>-1.58049576011325E-3</v>
      </c>
      <c r="H1048">
        <v>-2.4666136488290502</v>
      </c>
      <c r="I1048" t="s">
        <v>68</v>
      </c>
    </row>
    <row r="1049" spans="1:9" x14ac:dyDescent="0.35">
      <c r="A1049" t="s">
        <v>25</v>
      </c>
      <c r="B1049">
        <v>2035</v>
      </c>
      <c r="C1049" t="s">
        <v>67</v>
      </c>
      <c r="D1049" t="s">
        <v>42</v>
      </c>
      <c r="E1049">
        <v>30.901022358801001</v>
      </c>
      <c r="F1049">
        <v>29.635782528880501</v>
      </c>
      <c r="G1049">
        <v>-1.2652398299205401</v>
      </c>
      <c r="H1049">
        <v>-4.0944918107545698</v>
      </c>
      <c r="I1049" t="s">
        <v>68</v>
      </c>
    </row>
    <row r="1050" spans="1:9" x14ac:dyDescent="0.35">
      <c r="A1050" t="s">
        <v>25</v>
      </c>
      <c r="B1050">
        <v>2035</v>
      </c>
      <c r="C1050" t="s">
        <v>67</v>
      </c>
      <c r="D1050" t="s">
        <v>43</v>
      </c>
      <c r="E1050">
        <v>2.9658244334438699E-2</v>
      </c>
      <c r="F1050">
        <v>2.9174579269532999E-2</v>
      </c>
      <c r="G1050">
        <v>-4.8366506490572699E-4</v>
      </c>
      <c r="H1050">
        <v>-1.63079466016841</v>
      </c>
      <c r="I1050" t="s">
        <v>68</v>
      </c>
    </row>
    <row r="1051" spans="1:9" x14ac:dyDescent="0.35">
      <c r="A1051" t="s">
        <v>25</v>
      </c>
      <c r="B1051">
        <v>2035</v>
      </c>
      <c r="C1051" t="s">
        <v>67</v>
      </c>
      <c r="D1051" t="s">
        <v>136</v>
      </c>
      <c r="E1051">
        <v>21.3535896103947</v>
      </c>
      <c r="F1051">
        <v>21.278972974042802</v>
      </c>
      <c r="G1051">
        <v>-7.4616636351901605E-2</v>
      </c>
      <c r="H1051">
        <v>-0.34943369107168198</v>
      </c>
      <c r="I1051" t="s">
        <v>68</v>
      </c>
    </row>
    <row r="1052" spans="1:9" x14ac:dyDescent="0.35">
      <c r="A1052" t="s">
        <v>25</v>
      </c>
      <c r="B1052">
        <v>2035</v>
      </c>
      <c r="C1052" t="s">
        <v>67</v>
      </c>
      <c r="D1052" t="s">
        <v>45</v>
      </c>
      <c r="E1052">
        <v>5.8032640835019897E-2</v>
      </c>
      <c r="F1052">
        <v>5.2863683247699203E-2</v>
      </c>
      <c r="G1052">
        <v>-5.1689575873206297E-3</v>
      </c>
      <c r="H1052">
        <v>-8.9069832303778593</v>
      </c>
      <c r="I1052" t="s">
        <v>68</v>
      </c>
    </row>
    <row r="1053" spans="1:9" x14ac:dyDescent="0.35">
      <c r="A1053" t="s">
        <v>25</v>
      </c>
      <c r="B1053">
        <v>2035</v>
      </c>
      <c r="C1053" t="s">
        <v>67</v>
      </c>
      <c r="D1053" t="s">
        <v>46</v>
      </c>
      <c r="E1053">
        <v>0.72901495349789402</v>
      </c>
      <c r="F1053">
        <v>0.72901495349789402</v>
      </c>
      <c r="G1053">
        <v>0</v>
      </c>
      <c r="H1053">
        <v>0</v>
      </c>
      <c r="I1053" t="s">
        <v>68</v>
      </c>
    </row>
    <row r="1054" spans="1:9" x14ac:dyDescent="0.35">
      <c r="A1054" t="s">
        <v>25</v>
      </c>
      <c r="B1054">
        <v>2035</v>
      </c>
      <c r="C1054" t="s">
        <v>67</v>
      </c>
      <c r="D1054" t="s">
        <v>47</v>
      </c>
      <c r="E1054">
        <v>7.5456359564501302E-3</v>
      </c>
      <c r="F1054">
        <v>7.5456359564501302E-3</v>
      </c>
      <c r="G1054">
        <v>0</v>
      </c>
      <c r="H1054">
        <v>0</v>
      </c>
      <c r="I1054" t="s">
        <v>68</v>
      </c>
    </row>
    <row r="1055" spans="1:9" x14ac:dyDescent="0.35">
      <c r="A1055" t="s">
        <v>25</v>
      </c>
      <c r="B1055">
        <v>2035</v>
      </c>
      <c r="C1055" t="s">
        <v>67</v>
      </c>
      <c r="D1055" t="s">
        <v>48</v>
      </c>
      <c r="E1055">
        <v>108.585573664099</v>
      </c>
      <c r="F1055">
        <v>108.585573664099</v>
      </c>
      <c r="G1055">
        <v>0</v>
      </c>
      <c r="H1055">
        <v>0</v>
      </c>
      <c r="I1055" t="s">
        <v>68</v>
      </c>
    </row>
    <row r="1056" spans="1:9" x14ac:dyDescent="0.35">
      <c r="A1056" t="s">
        <v>25</v>
      </c>
      <c r="B1056">
        <v>2035</v>
      </c>
      <c r="C1056" t="s">
        <v>67</v>
      </c>
      <c r="D1056" t="s">
        <v>49</v>
      </c>
      <c r="E1056">
        <v>0.154293827886791</v>
      </c>
      <c r="F1056">
        <v>0.13888138121610799</v>
      </c>
      <c r="G1056">
        <v>-1.5412446670683399E-2</v>
      </c>
      <c r="H1056">
        <v>-9.9890234637200592</v>
      </c>
      <c r="I1056" t="s">
        <v>68</v>
      </c>
    </row>
    <row r="1057" spans="1:9" x14ac:dyDescent="0.35">
      <c r="A1057" t="s">
        <v>25</v>
      </c>
      <c r="B1057">
        <v>2035</v>
      </c>
      <c r="C1057" t="s">
        <v>67</v>
      </c>
      <c r="D1057" t="s">
        <v>50</v>
      </c>
      <c r="E1057">
        <v>0.42216625550485798</v>
      </c>
      <c r="F1057">
        <v>0.42216625550485798</v>
      </c>
      <c r="G1057">
        <v>0</v>
      </c>
      <c r="H1057">
        <v>0</v>
      </c>
      <c r="I1057" t="s">
        <v>68</v>
      </c>
    </row>
    <row r="1058" spans="1:9" x14ac:dyDescent="0.35">
      <c r="A1058" t="s">
        <v>25</v>
      </c>
      <c r="B1058">
        <v>2035</v>
      </c>
      <c r="C1058" t="s">
        <v>67</v>
      </c>
      <c r="D1058" t="s">
        <v>51</v>
      </c>
      <c r="E1058">
        <v>0.62317056141517901</v>
      </c>
      <c r="F1058">
        <v>0.62317056141517901</v>
      </c>
      <c r="G1058">
        <v>0</v>
      </c>
      <c r="H1058">
        <v>0</v>
      </c>
      <c r="I1058" t="s">
        <v>68</v>
      </c>
    </row>
    <row r="1059" spans="1:9" x14ac:dyDescent="0.35">
      <c r="A1059" t="s">
        <v>25</v>
      </c>
      <c r="B1059">
        <v>2035</v>
      </c>
      <c r="C1059" t="s">
        <v>67</v>
      </c>
      <c r="D1059" t="s">
        <v>52</v>
      </c>
      <c r="E1059">
        <v>10.9104400549937</v>
      </c>
      <c r="F1059">
        <v>10.9104400549937</v>
      </c>
      <c r="G1059">
        <v>0</v>
      </c>
      <c r="H1059">
        <v>0</v>
      </c>
      <c r="I1059" t="s">
        <v>68</v>
      </c>
    </row>
    <row r="1060" spans="1:9" x14ac:dyDescent="0.35">
      <c r="A1060" t="s">
        <v>25</v>
      </c>
      <c r="B1060">
        <v>2035</v>
      </c>
      <c r="C1060" t="s">
        <v>67</v>
      </c>
      <c r="D1060" t="s">
        <v>53</v>
      </c>
      <c r="E1060">
        <v>7.5699737650059804</v>
      </c>
      <c r="F1060">
        <v>7.5699737650059804</v>
      </c>
      <c r="G1060">
        <v>0</v>
      </c>
      <c r="H1060">
        <v>0</v>
      </c>
      <c r="I1060" t="s">
        <v>68</v>
      </c>
    </row>
    <row r="1061" spans="1:9" x14ac:dyDescent="0.35">
      <c r="A1061" t="s">
        <v>25</v>
      </c>
      <c r="B1061">
        <v>2035</v>
      </c>
      <c r="C1061" t="s">
        <v>67</v>
      </c>
      <c r="D1061" t="s">
        <v>54</v>
      </c>
      <c r="E1061">
        <v>2.8549447299841999</v>
      </c>
      <c r="F1061">
        <v>2.8542041755809802</v>
      </c>
      <c r="G1061">
        <v>-7.4055440322240396E-4</v>
      </c>
      <c r="H1061">
        <v>-2.5939360417198E-2</v>
      </c>
      <c r="I1061" t="s">
        <v>68</v>
      </c>
    </row>
    <row r="1062" spans="1:9" x14ac:dyDescent="0.35">
      <c r="A1062" t="s">
        <v>25</v>
      </c>
      <c r="B1062">
        <v>2035</v>
      </c>
      <c r="C1062" t="s">
        <v>67</v>
      </c>
      <c r="D1062" t="s">
        <v>55</v>
      </c>
      <c r="E1062">
        <v>2.64465792854612</v>
      </c>
      <c r="F1062">
        <v>2.6110540008787999</v>
      </c>
      <c r="G1062">
        <v>-3.3603927667319199E-2</v>
      </c>
      <c r="H1062">
        <v>-1.2706341831433901</v>
      </c>
      <c r="I1062" t="s">
        <v>68</v>
      </c>
    </row>
    <row r="1063" spans="1:9" x14ac:dyDescent="0.35">
      <c r="A1063" t="s">
        <v>25</v>
      </c>
      <c r="B1063">
        <v>2035</v>
      </c>
      <c r="C1063" t="s">
        <v>67</v>
      </c>
      <c r="D1063" t="s">
        <v>56</v>
      </c>
      <c r="E1063" s="1">
        <v>2.3433218283989602E-6</v>
      </c>
      <c r="F1063" s="1">
        <v>2.3433218283989602E-6</v>
      </c>
      <c r="G1063">
        <v>0</v>
      </c>
      <c r="H1063">
        <v>0</v>
      </c>
      <c r="I1063" t="s">
        <v>68</v>
      </c>
    </row>
    <row r="1064" spans="1:9" x14ac:dyDescent="0.35">
      <c r="A1064" t="s">
        <v>27</v>
      </c>
      <c r="B1064">
        <v>2040</v>
      </c>
      <c r="C1064" t="s">
        <v>67</v>
      </c>
      <c r="D1064" t="s">
        <v>38</v>
      </c>
      <c r="E1064">
        <v>3.0806026161047498E-2</v>
      </c>
      <c r="F1064">
        <v>1.5140894290413201E-2</v>
      </c>
      <c r="G1064">
        <v>-1.56651318706343E-2</v>
      </c>
      <c r="H1064">
        <v>-50.8508685564967</v>
      </c>
      <c r="I1064" t="s">
        <v>68</v>
      </c>
    </row>
    <row r="1065" spans="1:9" x14ac:dyDescent="0.35">
      <c r="A1065" t="s">
        <v>27</v>
      </c>
      <c r="B1065">
        <v>2040</v>
      </c>
      <c r="C1065" t="s">
        <v>67</v>
      </c>
      <c r="D1065" t="s">
        <v>40</v>
      </c>
      <c r="E1065">
        <v>6.7022560632878101E-3</v>
      </c>
      <c r="F1065">
        <v>6.7022560632878101E-3</v>
      </c>
      <c r="G1065">
        <v>0</v>
      </c>
      <c r="H1065">
        <v>0</v>
      </c>
      <c r="I1065" t="s">
        <v>68</v>
      </c>
    </row>
    <row r="1066" spans="1:9" x14ac:dyDescent="0.35">
      <c r="A1066" t="s">
        <v>27</v>
      </c>
      <c r="B1066">
        <v>2040</v>
      </c>
      <c r="C1066" t="s">
        <v>67</v>
      </c>
      <c r="D1066" t="s">
        <v>41</v>
      </c>
      <c r="E1066">
        <v>6.3832624788524805E-2</v>
      </c>
      <c r="F1066">
        <v>5.6509053625933503E-2</v>
      </c>
      <c r="G1066">
        <v>-7.3235711625913398E-3</v>
      </c>
      <c r="H1066">
        <v>-11.4730847851769</v>
      </c>
      <c r="I1066" t="s">
        <v>68</v>
      </c>
    </row>
    <row r="1067" spans="1:9" x14ac:dyDescent="0.35">
      <c r="A1067" t="s">
        <v>27</v>
      </c>
      <c r="B1067">
        <v>2040</v>
      </c>
      <c r="C1067" t="s">
        <v>67</v>
      </c>
      <c r="D1067" t="s">
        <v>42</v>
      </c>
      <c r="E1067">
        <v>31.0930407260268</v>
      </c>
      <c r="F1067">
        <v>25.305934236103798</v>
      </c>
      <c r="G1067">
        <v>-5.7871064899230804</v>
      </c>
      <c r="H1067">
        <v>-18.612224326708901</v>
      </c>
      <c r="I1067" t="s">
        <v>68</v>
      </c>
    </row>
    <row r="1068" spans="1:9" x14ac:dyDescent="0.35">
      <c r="A1068" t="s">
        <v>27</v>
      </c>
      <c r="B1068">
        <v>2040</v>
      </c>
      <c r="C1068" t="s">
        <v>67</v>
      </c>
      <c r="D1068" t="s">
        <v>43</v>
      </c>
      <c r="E1068">
        <v>2.9334310292573801E-2</v>
      </c>
      <c r="F1068">
        <v>2.7123043364442701E-2</v>
      </c>
      <c r="G1068">
        <v>-2.2112669281311001E-3</v>
      </c>
      <c r="H1068">
        <v>-7.538158920651</v>
      </c>
      <c r="I1068" t="s">
        <v>68</v>
      </c>
    </row>
    <row r="1069" spans="1:9" x14ac:dyDescent="0.35">
      <c r="A1069" t="s">
        <v>27</v>
      </c>
      <c r="B1069">
        <v>2040</v>
      </c>
      <c r="C1069" t="s">
        <v>67</v>
      </c>
      <c r="D1069" t="s">
        <v>136</v>
      </c>
      <c r="E1069">
        <v>21.492251245406401</v>
      </c>
      <c r="F1069">
        <v>20.8883244394139</v>
      </c>
      <c r="G1069">
        <v>-0.60392680599242599</v>
      </c>
      <c r="H1069">
        <v>-2.8099746233959699</v>
      </c>
      <c r="I1069" t="s">
        <v>68</v>
      </c>
    </row>
    <row r="1070" spans="1:9" x14ac:dyDescent="0.35">
      <c r="A1070" t="s">
        <v>27</v>
      </c>
      <c r="B1070">
        <v>2040</v>
      </c>
      <c r="C1070" t="s">
        <v>67</v>
      </c>
      <c r="D1070" t="s">
        <v>45</v>
      </c>
      <c r="E1070">
        <v>5.7521125647493399E-2</v>
      </c>
      <c r="F1070">
        <v>3.3356396258663198E-2</v>
      </c>
      <c r="G1070">
        <v>-2.4164729388830099E-2</v>
      </c>
      <c r="H1070">
        <v>-42.0101816798906</v>
      </c>
      <c r="I1070" t="s">
        <v>68</v>
      </c>
    </row>
    <row r="1071" spans="1:9" x14ac:dyDescent="0.35">
      <c r="A1071" t="s">
        <v>27</v>
      </c>
      <c r="B1071">
        <v>2040</v>
      </c>
      <c r="C1071" t="s">
        <v>67</v>
      </c>
      <c r="D1071" t="s">
        <v>46</v>
      </c>
      <c r="E1071">
        <v>0.78943823122603696</v>
      </c>
      <c r="F1071">
        <v>0.78943823122603696</v>
      </c>
      <c r="G1071">
        <v>0</v>
      </c>
      <c r="H1071">
        <v>0</v>
      </c>
      <c r="I1071" t="s">
        <v>68</v>
      </c>
    </row>
    <row r="1072" spans="1:9" x14ac:dyDescent="0.35">
      <c r="A1072" t="s">
        <v>27</v>
      </c>
      <c r="B1072">
        <v>2040</v>
      </c>
      <c r="C1072" t="s">
        <v>67</v>
      </c>
      <c r="D1072" t="s">
        <v>47</v>
      </c>
      <c r="E1072">
        <v>7.8518484775280308E-3</v>
      </c>
      <c r="F1072">
        <v>7.8518484775280308E-3</v>
      </c>
      <c r="G1072">
        <v>0</v>
      </c>
      <c r="H1072">
        <v>0</v>
      </c>
      <c r="I1072" t="s">
        <v>68</v>
      </c>
    </row>
    <row r="1073" spans="1:9" x14ac:dyDescent="0.35">
      <c r="A1073" t="s">
        <v>27</v>
      </c>
      <c r="B1073">
        <v>2040</v>
      </c>
      <c r="C1073" t="s">
        <v>67</v>
      </c>
      <c r="D1073" t="s">
        <v>48</v>
      </c>
      <c r="E1073">
        <v>108.59112861305999</v>
      </c>
      <c r="F1073">
        <v>108.59112861305999</v>
      </c>
      <c r="G1073">
        <v>0</v>
      </c>
      <c r="H1073">
        <v>0</v>
      </c>
      <c r="I1073" t="s">
        <v>68</v>
      </c>
    </row>
    <row r="1074" spans="1:9" x14ac:dyDescent="0.35">
      <c r="A1074" t="s">
        <v>27</v>
      </c>
      <c r="B1074">
        <v>2040</v>
      </c>
      <c r="C1074" t="s">
        <v>67</v>
      </c>
      <c r="D1074" t="s">
        <v>49</v>
      </c>
      <c r="E1074">
        <v>0.153551915815234</v>
      </c>
      <c r="F1074">
        <v>8.2280192065825902E-2</v>
      </c>
      <c r="G1074">
        <v>-7.1271723749408697E-2</v>
      </c>
      <c r="H1074">
        <v>-46.415392065292203</v>
      </c>
      <c r="I1074" t="s">
        <v>68</v>
      </c>
    </row>
    <row r="1075" spans="1:9" x14ac:dyDescent="0.35">
      <c r="A1075" t="s">
        <v>27</v>
      </c>
      <c r="B1075">
        <v>2040</v>
      </c>
      <c r="C1075" t="s">
        <v>67</v>
      </c>
      <c r="D1075" t="s">
        <v>50</v>
      </c>
      <c r="E1075">
        <v>0.41761601783823599</v>
      </c>
      <c r="F1075">
        <v>0.41761601783823599</v>
      </c>
      <c r="G1075">
        <v>0</v>
      </c>
      <c r="H1075">
        <v>0</v>
      </c>
      <c r="I1075" t="s">
        <v>68</v>
      </c>
    </row>
    <row r="1076" spans="1:9" x14ac:dyDescent="0.35">
      <c r="A1076" t="s">
        <v>27</v>
      </c>
      <c r="B1076">
        <v>2040</v>
      </c>
      <c r="C1076" t="s">
        <v>67</v>
      </c>
      <c r="D1076" t="s">
        <v>51</v>
      </c>
      <c r="E1076">
        <v>0.62530322262154303</v>
      </c>
      <c r="F1076">
        <v>0.62530322262154303</v>
      </c>
      <c r="G1076">
        <v>0</v>
      </c>
      <c r="H1076">
        <v>0</v>
      </c>
      <c r="I1076" t="s">
        <v>68</v>
      </c>
    </row>
    <row r="1077" spans="1:9" x14ac:dyDescent="0.35">
      <c r="A1077" t="s">
        <v>27</v>
      </c>
      <c r="B1077">
        <v>2040</v>
      </c>
      <c r="C1077" t="s">
        <v>67</v>
      </c>
      <c r="D1077" t="s">
        <v>52</v>
      </c>
      <c r="E1077">
        <v>10.8330038369729</v>
      </c>
      <c r="F1077">
        <v>10.8330038369729</v>
      </c>
      <c r="G1077">
        <v>0</v>
      </c>
      <c r="H1077">
        <v>0</v>
      </c>
      <c r="I1077" t="s">
        <v>68</v>
      </c>
    </row>
    <row r="1078" spans="1:9" x14ac:dyDescent="0.35">
      <c r="A1078" t="s">
        <v>27</v>
      </c>
      <c r="B1078">
        <v>2040</v>
      </c>
      <c r="C1078" t="s">
        <v>67</v>
      </c>
      <c r="D1078" t="s">
        <v>53</v>
      </c>
      <c r="E1078">
        <v>7.5856245356750298</v>
      </c>
      <c r="F1078">
        <v>7.5856245356750298</v>
      </c>
      <c r="G1078">
        <v>0</v>
      </c>
      <c r="H1078">
        <v>0</v>
      </c>
      <c r="I1078" t="s">
        <v>68</v>
      </c>
    </row>
    <row r="1079" spans="1:9" x14ac:dyDescent="0.35">
      <c r="A1079" t="s">
        <v>27</v>
      </c>
      <c r="B1079">
        <v>2040</v>
      </c>
      <c r="C1079" t="s">
        <v>67</v>
      </c>
      <c r="D1079" t="s">
        <v>54</v>
      </c>
      <c r="E1079">
        <v>2.86414057393818</v>
      </c>
      <c r="F1079">
        <v>2.8607312505126301</v>
      </c>
      <c r="G1079">
        <v>-3.40932342554189E-3</v>
      </c>
      <c r="H1079">
        <v>-0.119034779806708</v>
      </c>
      <c r="I1079" t="s">
        <v>68</v>
      </c>
    </row>
    <row r="1080" spans="1:9" x14ac:dyDescent="0.35">
      <c r="A1080" t="s">
        <v>27</v>
      </c>
      <c r="B1080">
        <v>2040</v>
      </c>
      <c r="C1080" t="s">
        <v>67</v>
      </c>
      <c r="D1080" t="s">
        <v>55</v>
      </c>
      <c r="E1080">
        <v>2.65344948022432</v>
      </c>
      <c r="F1080">
        <v>2.4989276314847002</v>
      </c>
      <c r="G1080">
        <v>-0.15452184873961999</v>
      </c>
      <c r="H1080">
        <v>-5.8234328518874703</v>
      </c>
      <c r="I1080" t="s">
        <v>68</v>
      </c>
    </row>
    <row r="1081" spans="1:9" x14ac:dyDescent="0.35">
      <c r="A1081" t="s">
        <v>27</v>
      </c>
      <c r="B1081">
        <v>2040</v>
      </c>
      <c r="C1081" t="s">
        <v>67</v>
      </c>
      <c r="D1081" t="s">
        <v>56</v>
      </c>
      <c r="E1081" s="1">
        <v>2.3290614786263399E-6</v>
      </c>
      <c r="F1081" s="1">
        <v>2.3290614786263399E-6</v>
      </c>
      <c r="G1081">
        <v>0</v>
      </c>
      <c r="H1081">
        <v>0</v>
      </c>
      <c r="I1081" t="s">
        <v>68</v>
      </c>
    </row>
    <row r="1082" spans="1:9" x14ac:dyDescent="0.35">
      <c r="A1082" t="s">
        <v>21</v>
      </c>
      <c r="B1082">
        <v>2025</v>
      </c>
      <c r="C1082" t="s">
        <v>80</v>
      </c>
      <c r="D1082" t="s">
        <v>38</v>
      </c>
      <c r="E1082">
        <v>2.8614733329423601E-4</v>
      </c>
      <c r="F1082">
        <v>2.8614733329423601E-4</v>
      </c>
      <c r="G1082">
        <v>0</v>
      </c>
      <c r="H1082">
        <v>0</v>
      </c>
      <c r="I1082" t="s">
        <v>81</v>
      </c>
    </row>
    <row r="1083" spans="1:9" x14ac:dyDescent="0.35">
      <c r="A1083" t="s">
        <v>21</v>
      </c>
      <c r="B1083">
        <v>2025</v>
      </c>
      <c r="C1083" t="s">
        <v>80</v>
      </c>
      <c r="D1083" t="s">
        <v>40</v>
      </c>
      <c r="E1083">
        <v>4.6255947508027799E-4</v>
      </c>
      <c r="F1083">
        <v>4.6255947508027799E-4</v>
      </c>
      <c r="G1083">
        <v>0</v>
      </c>
      <c r="H1083">
        <v>0</v>
      </c>
      <c r="I1083" t="s">
        <v>81</v>
      </c>
    </row>
    <row r="1084" spans="1:9" x14ac:dyDescent="0.35">
      <c r="A1084" t="s">
        <v>21</v>
      </c>
      <c r="B1084">
        <v>2025</v>
      </c>
      <c r="C1084" t="s">
        <v>80</v>
      </c>
      <c r="D1084" t="s">
        <v>41</v>
      </c>
      <c r="E1084">
        <v>4.2413101181729496E-3</v>
      </c>
      <c r="F1084">
        <v>4.2413101181729496E-3</v>
      </c>
      <c r="G1084">
        <v>0</v>
      </c>
      <c r="H1084">
        <v>0</v>
      </c>
      <c r="I1084" t="s">
        <v>81</v>
      </c>
    </row>
    <row r="1085" spans="1:9" x14ac:dyDescent="0.35">
      <c r="A1085" t="s">
        <v>21</v>
      </c>
      <c r="B1085">
        <v>2025</v>
      </c>
      <c r="C1085" t="s">
        <v>80</v>
      </c>
      <c r="D1085" t="s">
        <v>42</v>
      </c>
      <c r="E1085">
        <v>0.68036939584902101</v>
      </c>
      <c r="F1085">
        <v>0.68036939584902101</v>
      </c>
      <c r="G1085">
        <v>0</v>
      </c>
      <c r="H1085">
        <v>0</v>
      </c>
      <c r="I1085" t="s">
        <v>81</v>
      </c>
    </row>
    <row r="1086" spans="1:9" x14ac:dyDescent="0.35">
      <c r="A1086" t="s">
        <v>21</v>
      </c>
      <c r="B1086">
        <v>2025</v>
      </c>
      <c r="C1086" t="s">
        <v>80</v>
      </c>
      <c r="D1086" t="s">
        <v>43</v>
      </c>
      <c r="E1086">
        <v>1.29736203967145E-3</v>
      </c>
      <c r="F1086">
        <v>1.29736203967145E-3</v>
      </c>
      <c r="G1086">
        <v>0</v>
      </c>
      <c r="H1086">
        <v>0</v>
      </c>
      <c r="I1086" t="s">
        <v>81</v>
      </c>
    </row>
    <row r="1087" spans="1:9" x14ac:dyDescent="0.35">
      <c r="A1087" t="s">
        <v>21</v>
      </c>
      <c r="B1087">
        <v>2025</v>
      </c>
      <c r="C1087" t="s">
        <v>80</v>
      </c>
      <c r="D1087" t="s">
        <v>136</v>
      </c>
      <c r="E1087">
        <v>1.75641003313146</v>
      </c>
      <c r="F1087">
        <v>1.75641003313146</v>
      </c>
      <c r="G1087">
        <v>0</v>
      </c>
      <c r="H1087">
        <v>0</v>
      </c>
      <c r="I1087" t="s">
        <v>81</v>
      </c>
    </row>
    <row r="1088" spans="1:9" x14ac:dyDescent="0.35">
      <c r="A1088" t="s">
        <v>21</v>
      </c>
      <c r="B1088">
        <v>2025</v>
      </c>
      <c r="C1088" t="s">
        <v>80</v>
      </c>
      <c r="D1088" t="s">
        <v>45</v>
      </c>
      <c r="E1088">
        <v>1.7700645369182601E-3</v>
      </c>
      <c r="F1088">
        <v>1.7700645369182601E-3</v>
      </c>
      <c r="G1088">
        <v>0</v>
      </c>
      <c r="H1088">
        <v>0</v>
      </c>
      <c r="I1088" t="s">
        <v>81</v>
      </c>
    </row>
    <row r="1089" spans="1:9" x14ac:dyDescent="0.35">
      <c r="A1089" t="s">
        <v>21</v>
      </c>
      <c r="B1089">
        <v>2025</v>
      </c>
      <c r="C1089" t="s">
        <v>80</v>
      </c>
      <c r="D1089" t="s">
        <v>46</v>
      </c>
      <c r="E1089">
        <v>2.0624195831285899E-2</v>
      </c>
      <c r="F1089">
        <v>2.0624195831285899E-2</v>
      </c>
      <c r="G1089">
        <v>0</v>
      </c>
      <c r="H1089">
        <v>0</v>
      </c>
      <c r="I1089" t="s">
        <v>81</v>
      </c>
    </row>
    <row r="1090" spans="1:9" x14ac:dyDescent="0.35">
      <c r="A1090" t="s">
        <v>21</v>
      </c>
      <c r="B1090">
        <v>2025</v>
      </c>
      <c r="C1090" t="s">
        <v>80</v>
      </c>
      <c r="D1090" t="s">
        <v>47</v>
      </c>
      <c r="E1090">
        <v>6.4109853156649698E-4</v>
      </c>
      <c r="F1090">
        <v>6.4109853156649698E-4</v>
      </c>
      <c r="G1090">
        <v>0</v>
      </c>
      <c r="H1090">
        <v>0</v>
      </c>
      <c r="I1090" t="s">
        <v>81</v>
      </c>
    </row>
    <row r="1091" spans="1:9" x14ac:dyDescent="0.35">
      <c r="A1091" t="s">
        <v>21</v>
      </c>
      <c r="B1091">
        <v>2025</v>
      </c>
      <c r="C1091" t="s">
        <v>80</v>
      </c>
      <c r="D1091" t="s">
        <v>48</v>
      </c>
      <c r="E1091">
        <v>80.557205958797795</v>
      </c>
      <c r="F1091">
        <v>80.557205958797795</v>
      </c>
      <c r="G1091">
        <v>0</v>
      </c>
      <c r="H1091">
        <v>0</v>
      </c>
      <c r="I1091" t="s">
        <v>81</v>
      </c>
    </row>
    <row r="1092" spans="1:9" x14ac:dyDescent="0.35">
      <c r="A1092" t="s">
        <v>21</v>
      </c>
      <c r="B1092">
        <v>2025</v>
      </c>
      <c r="C1092" t="s">
        <v>80</v>
      </c>
      <c r="D1092" t="s">
        <v>49</v>
      </c>
      <c r="E1092">
        <v>4.4374577066995198E-3</v>
      </c>
      <c r="F1092">
        <v>4.4374577066995198E-3</v>
      </c>
      <c r="G1092">
        <v>0</v>
      </c>
      <c r="H1092">
        <v>0</v>
      </c>
      <c r="I1092" t="s">
        <v>81</v>
      </c>
    </row>
    <row r="1093" spans="1:9" x14ac:dyDescent="0.35">
      <c r="A1093" t="s">
        <v>21</v>
      </c>
      <c r="B1093">
        <v>2025</v>
      </c>
      <c r="C1093" t="s">
        <v>80</v>
      </c>
      <c r="D1093" t="s">
        <v>50</v>
      </c>
      <c r="E1093">
        <v>7.6162572399730696E-3</v>
      </c>
      <c r="F1093">
        <v>7.6162572399730696E-3</v>
      </c>
      <c r="G1093">
        <v>0</v>
      </c>
      <c r="H1093">
        <v>0</v>
      </c>
      <c r="I1093" t="s">
        <v>81</v>
      </c>
    </row>
    <row r="1094" spans="1:9" x14ac:dyDescent="0.35">
      <c r="A1094" t="s">
        <v>21</v>
      </c>
      <c r="B1094">
        <v>2025</v>
      </c>
      <c r="C1094" t="s">
        <v>80</v>
      </c>
      <c r="D1094" t="s">
        <v>51</v>
      </c>
      <c r="E1094">
        <v>5.78181693214595E-2</v>
      </c>
      <c r="F1094">
        <v>5.78181693214595E-2</v>
      </c>
      <c r="G1094">
        <v>0</v>
      </c>
      <c r="H1094">
        <v>0</v>
      </c>
      <c r="I1094" t="s">
        <v>81</v>
      </c>
    </row>
    <row r="1095" spans="1:9" x14ac:dyDescent="0.35">
      <c r="A1095" t="s">
        <v>21</v>
      </c>
      <c r="B1095">
        <v>2025</v>
      </c>
      <c r="C1095" t="s">
        <v>80</v>
      </c>
      <c r="D1095" t="s">
        <v>52</v>
      </c>
      <c r="E1095">
        <v>0.45078741873986999</v>
      </c>
      <c r="F1095">
        <v>0.45078741873986999</v>
      </c>
      <c r="G1095">
        <v>0</v>
      </c>
      <c r="H1095">
        <v>0</v>
      </c>
      <c r="I1095" t="s">
        <v>81</v>
      </c>
    </row>
    <row r="1096" spans="1:9" x14ac:dyDescent="0.35">
      <c r="A1096" t="s">
        <v>21</v>
      </c>
      <c r="B1096">
        <v>2025</v>
      </c>
      <c r="C1096" t="s">
        <v>80</v>
      </c>
      <c r="D1096" t="s">
        <v>53</v>
      </c>
      <c r="E1096">
        <v>0.46584740356736698</v>
      </c>
      <c r="F1096">
        <v>0.46584740356736698</v>
      </c>
      <c r="G1096">
        <v>0</v>
      </c>
      <c r="H1096">
        <v>0</v>
      </c>
      <c r="I1096" t="s">
        <v>81</v>
      </c>
    </row>
    <row r="1097" spans="1:9" x14ac:dyDescent="0.35">
      <c r="A1097" t="s">
        <v>21</v>
      </c>
      <c r="B1097">
        <v>2025</v>
      </c>
      <c r="C1097" t="s">
        <v>80</v>
      </c>
      <c r="D1097" t="s">
        <v>54</v>
      </c>
      <c r="E1097">
        <v>4.83961183742544E-2</v>
      </c>
      <c r="F1097">
        <v>4.83961183742544E-2</v>
      </c>
      <c r="G1097">
        <v>0</v>
      </c>
      <c r="H1097">
        <v>0</v>
      </c>
      <c r="I1097" t="s">
        <v>81</v>
      </c>
    </row>
    <row r="1098" spans="1:9" x14ac:dyDescent="0.35">
      <c r="A1098" t="s">
        <v>21</v>
      </c>
      <c r="B1098">
        <v>2025</v>
      </c>
      <c r="C1098" t="s">
        <v>80</v>
      </c>
      <c r="D1098" t="s">
        <v>55</v>
      </c>
      <c r="E1098">
        <v>4.5131082773704499E-2</v>
      </c>
      <c r="F1098">
        <v>4.5131082773704499E-2</v>
      </c>
      <c r="G1098">
        <v>0</v>
      </c>
      <c r="H1098">
        <v>0</v>
      </c>
      <c r="I1098" t="s">
        <v>81</v>
      </c>
    </row>
    <row r="1099" spans="1:9" x14ac:dyDescent="0.35">
      <c r="A1099" t="s">
        <v>21</v>
      </c>
      <c r="B1099">
        <v>2025</v>
      </c>
      <c r="C1099" t="s">
        <v>80</v>
      </c>
      <c r="D1099" t="s">
        <v>56</v>
      </c>
      <c r="E1099" s="1">
        <v>1.14764742593045E-7</v>
      </c>
      <c r="F1099" s="1">
        <v>1.14764742593045E-7</v>
      </c>
      <c r="G1099">
        <v>0</v>
      </c>
      <c r="H1099">
        <v>0</v>
      </c>
      <c r="I1099" t="s">
        <v>81</v>
      </c>
    </row>
    <row r="1100" spans="1:9" x14ac:dyDescent="0.35">
      <c r="A1100" t="s">
        <v>23</v>
      </c>
      <c r="B1100">
        <v>2030</v>
      </c>
      <c r="C1100" t="s">
        <v>80</v>
      </c>
      <c r="D1100" t="s">
        <v>38</v>
      </c>
      <c r="E1100">
        <v>6.0598216394459697E-4</v>
      </c>
      <c r="F1100">
        <v>6.0598216394459697E-4</v>
      </c>
      <c r="G1100">
        <v>0</v>
      </c>
      <c r="H1100">
        <v>0</v>
      </c>
      <c r="I1100" t="s">
        <v>81</v>
      </c>
    </row>
    <row r="1101" spans="1:9" x14ac:dyDescent="0.35">
      <c r="A1101" t="s">
        <v>23</v>
      </c>
      <c r="B1101">
        <v>2030</v>
      </c>
      <c r="C1101" t="s">
        <v>80</v>
      </c>
      <c r="D1101" t="s">
        <v>40</v>
      </c>
      <c r="E1101">
        <v>4.8075333839465599E-4</v>
      </c>
      <c r="F1101">
        <v>4.8075333839465599E-4</v>
      </c>
      <c r="G1101">
        <v>0</v>
      </c>
      <c r="H1101">
        <v>0</v>
      </c>
      <c r="I1101" t="s">
        <v>81</v>
      </c>
    </row>
    <row r="1102" spans="1:9" x14ac:dyDescent="0.35">
      <c r="A1102" t="s">
        <v>23</v>
      </c>
      <c r="B1102">
        <v>2030</v>
      </c>
      <c r="C1102" t="s">
        <v>80</v>
      </c>
      <c r="D1102" t="s">
        <v>41</v>
      </c>
      <c r="E1102">
        <v>4.0786574109401503E-3</v>
      </c>
      <c r="F1102">
        <v>4.0786574109401503E-3</v>
      </c>
      <c r="G1102">
        <v>0</v>
      </c>
      <c r="H1102">
        <v>0</v>
      </c>
      <c r="I1102" t="s">
        <v>81</v>
      </c>
    </row>
    <row r="1103" spans="1:9" x14ac:dyDescent="0.35">
      <c r="A1103" t="s">
        <v>23</v>
      </c>
      <c r="B1103">
        <v>2030</v>
      </c>
      <c r="C1103" t="s">
        <v>80</v>
      </c>
      <c r="D1103" t="s">
        <v>42</v>
      </c>
      <c r="E1103">
        <v>0.59911530101853006</v>
      </c>
      <c r="F1103">
        <v>0.59911530101853006</v>
      </c>
      <c r="G1103">
        <v>0</v>
      </c>
      <c r="H1103">
        <v>0</v>
      </c>
      <c r="I1103" t="s">
        <v>81</v>
      </c>
    </row>
    <row r="1104" spans="1:9" x14ac:dyDescent="0.35">
      <c r="A1104" t="s">
        <v>23</v>
      </c>
      <c r="B1104">
        <v>2030</v>
      </c>
      <c r="C1104" t="s">
        <v>80</v>
      </c>
      <c r="D1104" t="s">
        <v>43</v>
      </c>
      <c r="E1104">
        <v>1.24301431012373E-3</v>
      </c>
      <c r="F1104">
        <v>1.24301431012373E-3</v>
      </c>
      <c r="G1104">
        <v>0</v>
      </c>
      <c r="H1104">
        <v>0</v>
      </c>
      <c r="I1104" t="s">
        <v>81</v>
      </c>
    </row>
    <row r="1105" spans="1:9" x14ac:dyDescent="0.35">
      <c r="A1105" t="s">
        <v>23</v>
      </c>
      <c r="B1105">
        <v>2030</v>
      </c>
      <c r="C1105" t="s">
        <v>80</v>
      </c>
      <c r="D1105" t="s">
        <v>136</v>
      </c>
      <c r="E1105">
        <v>1.74395478620105</v>
      </c>
      <c r="F1105">
        <v>1.5338347047879299</v>
      </c>
      <c r="G1105">
        <v>-0.21012008141312</v>
      </c>
      <c r="H1105">
        <v>-12.0484821668362</v>
      </c>
      <c r="I1105" t="s">
        <v>81</v>
      </c>
    </row>
    <row r="1106" spans="1:9" x14ac:dyDescent="0.35">
      <c r="A1106" t="s">
        <v>23</v>
      </c>
      <c r="B1106">
        <v>2030</v>
      </c>
      <c r="C1106" t="s">
        <v>80</v>
      </c>
      <c r="D1106" t="s">
        <v>45</v>
      </c>
      <c r="E1106">
        <v>1.57414966441943E-3</v>
      </c>
      <c r="F1106">
        <v>1.57414966441943E-3</v>
      </c>
      <c r="G1106">
        <v>0</v>
      </c>
      <c r="H1106">
        <v>0</v>
      </c>
      <c r="I1106" t="s">
        <v>81</v>
      </c>
    </row>
    <row r="1107" spans="1:9" x14ac:dyDescent="0.35">
      <c r="A1107" t="s">
        <v>23</v>
      </c>
      <c r="B1107">
        <v>2030</v>
      </c>
      <c r="C1107" t="s">
        <v>80</v>
      </c>
      <c r="D1107" t="s">
        <v>46</v>
      </c>
      <c r="E1107">
        <v>3.5732961968632897E-2</v>
      </c>
      <c r="F1107">
        <v>3.5732961968632897E-2</v>
      </c>
      <c r="G1107">
        <v>0</v>
      </c>
      <c r="H1107">
        <v>0</v>
      </c>
      <c r="I1107" t="s">
        <v>81</v>
      </c>
    </row>
    <row r="1108" spans="1:9" x14ac:dyDescent="0.35">
      <c r="A1108" t="s">
        <v>23</v>
      </c>
      <c r="B1108">
        <v>2030</v>
      </c>
      <c r="C1108" t="s">
        <v>80</v>
      </c>
      <c r="D1108" t="s">
        <v>47</v>
      </c>
      <c r="E1108">
        <v>5.2701192220504798E-4</v>
      </c>
      <c r="F1108">
        <v>5.2701192220504798E-4</v>
      </c>
      <c r="G1108">
        <v>0</v>
      </c>
      <c r="H1108">
        <v>0</v>
      </c>
      <c r="I1108" t="s">
        <v>81</v>
      </c>
    </row>
    <row r="1109" spans="1:9" x14ac:dyDescent="0.35">
      <c r="A1109" t="s">
        <v>23</v>
      </c>
      <c r="B1109">
        <v>2030</v>
      </c>
      <c r="C1109" t="s">
        <v>80</v>
      </c>
      <c r="D1109" t="s">
        <v>48</v>
      </c>
      <c r="E1109">
        <v>80.558296362215899</v>
      </c>
      <c r="F1109">
        <v>80.558296362215899</v>
      </c>
      <c r="G1109">
        <v>0</v>
      </c>
      <c r="H1109">
        <v>0</v>
      </c>
      <c r="I1109" t="s">
        <v>81</v>
      </c>
    </row>
    <row r="1110" spans="1:9" x14ac:dyDescent="0.35">
      <c r="A1110" t="s">
        <v>23</v>
      </c>
      <c r="B1110">
        <v>2030</v>
      </c>
      <c r="C1110" t="s">
        <v>80</v>
      </c>
      <c r="D1110" t="s">
        <v>49</v>
      </c>
      <c r="E1110">
        <v>3.9075621732298097E-3</v>
      </c>
      <c r="F1110">
        <v>3.9075621732298097E-3</v>
      </c>
      <c r="G1110">
        <v>0</v>
      </c>
      <c r="H1110">
        <v>0</v>
      </c>
      <c r="I1110" t="s">
        <v>81</v>
      </c>
    </row>
    <row r="1111" spans="1:9" x14ac:dyDescent="0.35">
      <c r="A1111" t="s">
        <v>23</v>
      </c>
      <c r="B1111">
        <v>2030</v>
      </c>
      <c r="C1111" t="s">
        <v>80</v>
      </c>
      <c r="D1111" t="s">
        <v>50</v>
      </c>
      <c r="E1111">
        <v>8.3826406610554901E-3</v>
      </c>
      <c r="F1111">
        <v>8.3826406610554901E-3</v>
      </c>
      <c r="G1111">
        <v>0</v>
      </c>
      <c r="H1111">
        <v>0</v>
      </c>
      <c r="I1111" t="s">
        <v>81</v>
      </c>
    </row>
    <row r="1112" spans="1:9" x14ac:dyDescent="0.35">
      <c r="A1112" t="s">
        <v>23</v>
      </c>
      <c r="B1112">
        <v>2030</v>
      </c>
      <c r="C1112" t="s">
        <v>80</v>
      </c>
      <c r="D1112" t="s">
        <v>51</v>
      </c>
      <c r="E1112">
        <v>5.7547107777085299E-2</v>
      </c>
      <c r="F1112">
        <v>5.7547107777085299E-2</v>
      </c>
      <c r="G1112">
        <v>0</v>
      </c>
      <c r="H1112">
        <v>0</v>
      </c>
      <c r="I1112" t="s">
        <v>81</v>
      </c>
    </row>
    <row r="1113" spans="1:9" x14ac:dyDescent="0.35">
      <c r="A1113" t="s">
        <v>23</v>
      </c>
      <c r="B1113">
        <v>2030</v>
      </c>
      <c r="C1113" t="s">
        <v>80</v>
      </c>
      <c r="D1113" t="s">
        <v>52</v>
      </c>
      <c r="E1113">
        <v>0.36133813102822598</v>
      </c>
      <c r="F1113">
        <v>0.36133813102822598</v>
      </c>
      <c r="G1113">
        <v>0</v>
      </c>
      <c r="H1113">
        <v>0</v>
      </c>
      <c r="I1113" t="s">
        <v>81</v>
      </c>
    </row>
    <row r="1114" spans="1:9" x14ac:dyDescent="0.35">
      <c r="A1114" t="s">
        <v>23</v>
      </c>
      <c r="B1114">
        <v>2030</v>
      </c>
      <c r="C1114" t="s">
        <v>80</v>
      </c>
      <c r="D1114" t="s">
        <v>53</v>
      </c>
      <c r="E1114">
        <v>0.47916362278117203</v>
      </c>
      <c r="F1114">
        <v>0.47916362278117203</v>
      </c>
      <c r="G1114">
        <v>0</v>
      </c>
      <c r="H1114">
        <v>0</v>
      </c>
      <c r="I1114" t="s">
        <v>81</v>
      </c>
    </row>
    <row r="1115" spans="1:9" x14ac:dyDescent="0.35">
      <c r="A1115" t="s">
        <v>23</v>
      </c>
      <c r="B1115">
        <v>2030</v>
      </c>
      <c r="C1115" t="s">
        <v>80</v>
      </c>
      <c r="D1115" t="s">
        <v>54</v>
      </c>
      <c r="E1115">
        <v>4.75186084639743E-2</v>
      </c>
      <c r="F1115">
        <v>4.75186084639743E-2</v>
      </c>
      <c r="G1115">
        <v>0</v>
      </c>
      <c r="H1115">
        <v>0</v>
      </c>
      <c r="I1115" t="s">
        <v>81</v>
      </c>
    </row>
    <row r="1116" spans="1:9" x14ac:dyDescent="0.35">
      <c r="A1116" t="s">
        <v>23</v>
      </c>
      <c r="B1116">
        <v>2030</v>
      </c>
      <c r="C1116" t="s">
        <v>80</v>
      </c>
      <c r="D1116" t="s">
        <v>55</v>
      </c>
      <c r="E1116">
        <v>4.4018530731968E-2</v>
      </c>
      <c r="F1116">
        <v>4.4018530731968E-2</v>
      </c>
      <c r="G1116">
        <v>0</v>
      </c>
      <c r="H1116">
        <v>0</v>
      </c>
      <c r="I1116" t="s">
        <v>81</v>
      </c>
    </row>
    <row r="1117" spans="1:9" x14ac:dyDescent="0.35">
      <c r="A1117" t="s">
        <v>23</v>
      </c>
      <c r="B1117">
        <v>2030</v>
      </c>
      <c r="C1117" t="s">
        <v>80</v>
      </c>
      <c r="D1117" t="s">
        <v>56</v>
      </c>
      <c r="E1117" s="1">
        <v>1.15175490498296E-7</v>
      </c>
      <c r="F1117" s="1">
        <v>1.15175490498296E-7</v>
      </c>
      <c r="G1117">
        <v>0</v>
      </c>
      <c r="H1117">
        <v>0</v>
      </c>
      <c r="I1117" t="s">
        <v>81</v>
      </c>
    </row>
    <row r="1118" spans="1:9" x14ac:dyDescent="0.35">
      <c r="A1118" t="s">
        <v>25</v>
      </c>
      <c r="B1118">
        <v>2035</v>
      </c>
      <c r="C1118" t="s">
        <v>80</v>
      </c>
      <c r="D1118" t="s">
        <v>38</v>
      </c>
      <c r="E1118">
        <v>8.6663363696310499E-4</v>
      </c>
      <c r="F1118">
        <v>8.6663363696310499E-4</v>
      </c>
      <c r="G1118">
        <v>0</v>
      </c>
      <c r="H1118">
        <v>0</v>
      </c>
      <c r="I1118" t="s">
        <v>81</v>
      </c>
    </row>
    <row r="1119" spans="1:9" x14ac:dyDescent="0.35">
      <c r="A1119" t="s">
        <v>25</v>
      </c>
      <c r="B1119">
        <v>2035</v>
      </c>
      <c r="C1119" t="s">
        <v>80</v>
      </c>
      <c r="D1119" t="s">
        <v>40</v>
      </c>
      <c r="E1119">
        <v>5.0135730795682998E-4</v>
      </c>
      <c r="F1119">
        <v>5.0135730795682998E-4</v>
      </c>
      <c r="G1119">
        <v>0</v>
      </c>
      <c r="H1119">
        <v>0</v>
      </c>
      <c r="I1119" t="s">
        <v>81</v>
      </c>
    </row>
    <row r="1120" spans="1:9" x14ac:dyDescent="0.35">
      <c r="A1120" t="s">
        <v>25</v>
      </c>
      <c r="B1120">
        <v>2035</v>
      </c>
      <c r="C1120" t="s">
        <v>80</v>
      </c>
      <c r="D1120" t="s">
        <v>41</v>
      </c>
      <c r="E1120">
        <v>4.0701667514745597E-3</v>
      </c>
      <c r="F1120">
        <v>4.0701667514745597E-3</v>
      </c>
      <c r="G1120">
        <v>0</v>
      </c>
      <c r="H1120">
        <v>0</v>
      </c>
      <c r="I1120" t="s">
        <v>81</v>
      </c>
    </row>
    <row r="1121" spans="1:9" x14ac:dyDescent="0.35">
      <c r="A1121" t="s">
        <v>25</v>
      </c>
      <c r="B1121">
        <v>2035</v>
      </c>
      <c r="C1121" t="s">
        <v>80</v>
      </c>
      <c r="D1121" t="s">
        <v>42</v>
      </c>
      <c r="E1121">
        <v>0.55373054968176205</v>
      </c>
      <c r="F1121">
        <v>0.55373054968176205</v>
      </c>
      <c r="G1121">
        <v>0</v>
      </c>
      <c r="H1121">
        <v>0</v>
      </c>
      <c r="I1121" t="s">
        <v>81</v>
      </c>
    </row>
    <row r="1122" spans="1:9" x14ac:dyDescent="0.35">
      <c r="A1122" t="s">
        <v>25</v>
      </c>
      <c r="B1122">
        <v>2035</v>
      </c>
      <c r="C1122" t="s">
        <v>80</v>
      </c>
      <c r="D1122" t="s">
        <v>43</v>
      </c>
      <c r="E1122">
        <v>1.2404535400216501E-3</v>
      </c>
      <c r="F1122">
        <v>1.2404535400216501E-3</v>
      </c>
      <c r="G1122">
        <v>0</v>
      </c>
      <c r="H1122">
        <v>0</v>
      </c>
      <c r="I1122" t="s">
        <v>81</v>
      </c>
    </row>
    <row r="1123" spans="1:9" x14ac:dyDescent="0.35">
      <c r="A1123" t="s">
        <v>25</v>
      </c>
      <c r="B1123">
        <v>2035</v>
      </c>
      <c r="C1123" t="s">
        <v>80</v>
      </c>
      <c r="D1123" t="s">
        <v>136</v>
      </c>
      <c r="E1123">
        <v>1.7738915591684901</v>
      </c>
      <c r="F1123">
        <v>1.7443682950717501</v>
      </c>
      <c r="G1123">
        <v>-2.9523264096745098E-2</v>
      </c>
      <c r="H1123">
        <v>-1.6643218095351799</v>
      </c>
      <c r="I1123" t="s">
        <v>81</v>
      </c>
    </row>
    <row r="1124" spans="1:9" x14ac:dyDescent="0.35">
      <c r="A1124" t="s">
        <v>25</v>
      </c>
      <c r="B1124">
        <v>2035</v>
      </c>
      <c r="C1124" t="s">
        <v>80</v>
      </c>
      <c r="D1124" t="s">
        <v>45</v>
      </c>
      <c r="E1124">
        <v>1.45420238095044E-3</v>
      </c>
      <c r="F1124">
        <v>1.45420238095044E-3</v>
      </c>
      <c r="G1124">
        <v>0</v>
      </c>
      <c r="H1124">
        <v>0</v>
      </c>
      <c r="I1124" t="s">
        <v>81</v>
      </c>
    </row>
    <row r="1125" spans="1:9" x14ac:dyDescent="0.35">
      <c r="A1125" t="s">
        <v>25</v>
      </c>
      <c r="B1125">
        <v>2035</v>
      </c>
      <c r="C1125" t="s">
        <v>80</v>
      </c>
      <c r="D1125" t="s">
        <v>46</v>
      </c>
      <c r="E1125">
        <v>5.2333496394250299E-2</v>
      </c>
      <c r="F1125">
        <v>5.2333496394250299E-2</v>
      </c>
      <c r="G1125">
        <v>0</v>
      </c>
      <c r="H1125">
        <v>0</v>
      </c>
      <c r="I1125" t="s">
        <v>81</v>
      </c>
    </row>
    <row r="1126" spans="1:9" x14ac:dyDescent="0.35">
      <c r="A1126" t="s">
        <v>25</v>
      </c>
      <c r="B1126">
        <v>2035</v>
      </c>
      <c r="C1126" t="s">
        <v>80</v>
      </c>
      <c r="D1126" t="s">
        <v>47</v>
      </c>
      <c r="E1126">
        <v>4.6554292844343601E-4</v>
      </c>
      <c r="F1126">
        <v>4.6554292844343601E-4</v>
      </c>
      <c r="G1126">
        <v>0</v>
      </c>
      <c r="H1126">
        <v>0</v>
      </c>
      <c r="I1126" t="s">
        <v>81</v>
      </c>
    </row>
    <row r="1127" spans="1:9" x14ac:dyDescent="0.35">
      <c r="A1127" t="s">
        <v>25</v>
      </c>
      <c r="B1127">
        <v>2035</v>
      </c>
      <c r="C1127" t="s">
        <v>80</v>
      </c>
      <c r="D1127" t="s">
        <v>48</v>
      </c>
      <c r="E1127">
        <v>80.559572726418097</v>
      </c>
      <c r="F1127">
        <v>80.559572726418097</v>
      </c>
      <c r="G1127">
        <v>0</v>
      </c>
      <c r="H1127">
        <v>0</v>
      </c>
      <c r="I1127" t="s">
        <v>81</v>
      </c>
    </row>
    <row r="1128" spans="1:9" x14ac:dyDescent="0.35">
      <c r="A1128" t="s">
        <v>25</v>
      </c>
      <c r="B1128">
        <v>2035</v>
      </c>
      <c r="C1128" t="s">
        <v>80</v>
      </c>
      <c r="D1128" t="s">
        <v>49</v>
      </c>
      <c r="E1128">
        <v>3.5895832391746401E-3</v>
      </c>
      <c r="F1128">
        <v>3.5895832391746401E-3</v>
      </c>
      <c r="G1128">
        <v>0</v>
      </c>
      <c r="H1128">
        <v>0</v>
      </c>
      <c r="I1128" t="s">
        <v>81</v>
      </c>
    </row>
    <row r="1129" spans="1:9" x14ac:dyDescent="0.35">
      <c r="A1129" t="s">
        <v>25</v>
      </c>
      <c r="B1129">
        <v>2035</v>
      </c>
      <c r="C1129" t="s">
        <v>80</v>
      </c>
      <c r="D1129" t="s">
        <v>50</v>
      </c>
      <c r="E1129">
        <v>9.0583333656965095E-3</v>
      </c>
      <c r="F1129">
        <v>9.0583333656965095E-3</v>
      </c>
      <c r="G1129">
        <v>0</v>
      </c>
      <c r="H1129">
        <v>0</v>
      </c>
      <c r="I1129" t="s">
        <v>81</v>
      </c>
    </row>
    <row r="1130" spans="1:9" x14ac:dyDescent="0.35">
      <c r="A1130" t="s">
        <v>25</v>
      </c>
      <c r="B1130">
        <v>2035</v>
      </c>
      <c r="C1130" t="s">
        <v>80</v>
      </c>
      <c r="D1130" t="s">
        <v>51</v>
      </c>
      <c r="E1130">
        <v>5.7494679695242197E-2</v>
      </c>
      <c r="F1130">
        <v>5.7494679695242197E-2</v>
      </c>
      <c r="G1130">
        <v>0</v>
      </c>
      <c r="H1130">
        <v>0</v>
      </c>
      <c r="I1130" t="s">
        <v>81</v>
      </c>
    </row>
    <row r="1131" spans="1:9" x14ac:dyDescent="0.35">
      <c r="A1131" t="s">
        <v>25</v>
      </c>
      <c r="B1131">
        <v>2035</v>
      </c>
      <c r="C1131" t="s">
        <v>80</v>
      </c>
      <c r="D1131" t="s">
        <v>52</v>
      </c>
      <c r="E1131">
        <v>0.27866409725845898</v>
      </c>
      <c r="F1131">
        <v>0.27866409725845898</v>
      </c>
      <c r="G1131">
        <v>0</v>
      </c>
      <c r="H1131">
        <v>0</v>
      </c>
      <c r="I1131" t="s">
        <v>81</v>
      </c>
    </row>
    <row r="1132" spans="1:9" x14ac:dyDescent="0.35">
      <c r="A1132" t="s">
        <v>25</v>
      </c>
      <c r="B1132">
        <v>2035</v>
      </c>
      <c r="C1132" t="s">
        <v>80</v>
      </c>
      <c r="D1132" t="s">
        <v>53</v>
      </c>
      <c r="E1132">
        <v>0.50311289271519999</v>
      </c>
      <c r="F1132">
        <v>0.50311289271519999</v>
      </c>
      <c r="G1132">
        <v>0</v>
      </c>
      <c r="H1132">
        <v>0</v>
      </c>
      <c r="I1132" t="s">
        <v>81</v>
      </c>
    </row>
    <row r="1133" spans="1:9" x14ac:dyDescent="0.35">
      <c r="A1133" t="s">
        <v>25</v>
      </c>
      <c r="B1133">
        <v>2035</v>
      </c>
      <c r="C1133" t="s">
        <v>80</v>
      </c>
      <c r="D1133" t="s">
        <v>54</v>
      </c>
      <c r="E1133">
        <v>4.7291971363565201E-2</v>
      </c>
      <c r="F1133">
        <v>4.7291971363565201E-2</v>
      </c>
      <c r="G1133">
        <v>0</v>
      </c>
      <c r="H1133">
        <v>0</v>
      </c>
      <c r="I1133" t="s">
        <v>81</v>
      </c>
    </row>
    <row r="1134" spans="1:9" x14ac:dyDescent="0.35">
      <c r="A1134" t="s">
        <v>25</v>
      </c>
      <c r="B1134">
        <v>2035</v>
      </c>
      <c r="C1134" t="s">
        <v>80</v>
      </c>
      <c r="D1134" t="s">
        <v>55</v>
      </c>
      <c r="E1134">
        <v>4.3610367514726599E-2</v>
      </c>
      <c r="F1134">
        <v>4.3610367514726599E-2</v>
      </c>
      <c r="G1134">
        <v>0</v>
      </c>
      <c r="H1134">
        <v>0</v>
      </c>
      <c r="I1134" t="s">
        <v>81</v>
      </c>
    </row>
    <row r="1135" spans="1:9" x14ac:dyDescent="0.35">
      <c r="A1135" t="s">
        <v>25</v>
      </c>
      <c r="B1135">
        <v>2035</v>
      </c>
      <c r="C1135" t="s">
        <v>80</v>
      </c>
      <c r="D1135" t="s">
        <v>56</v>
      </c>
      <c r="E1135" s="1">
        <v>1.19025996722787E-7</v>
      </c>
      <c r="F1135" s="1">
        <v>1.19025996722787E-7</v>
      </c>
      <c r="G1135">
        <v>0</v>
      </c>
      <c r="H1135">
        <v>0</v>
      </c>
      <c r="I1135" t="s">
        <v>81</v>
      </c>
    </row>
    <row r="1136" spans="1:9" x14ac:dyDescent="0.35">
      <c r="A1136" t="s">
        <v>27</v>
      </c>
      <c r="B1136">
        <v>2040</v>
      </c>
      <c r="C1136" t="s">
        <v>80</v>
      </c>
      <c r="D1136" t="s">
        <v>38</v>
      </c>
      <c r="E1136">
        <v>7.5866468473592295E-4</v>
      </c>
      <c r="F1136">
        <v>7.5866468473592295E-4</v>
      </c>
      <c r="G1136">
        <v>0</v>
      </c>
      <c r="H1136">
        <v>0</v>
      </c>
      <c r="I1136" t="s">
        <v>81</v>
      </c>
    </row>
    <row r="1137" spans="1:9" x14ac:dyDescent="0.35">
      <c r="A1137" t="s">
        <v>27</v>
      </c>
      <c r="B1137">
        <v>2040</v>
      </c>
      <c r="C1137" t="s">
        <v>80</v>
      </c>
      <c r="D1137" t="s">
        <v>40</v>
      </c>
      <c r="E1137">
        <v>5.2012522609234902E-4</v>
      </c>
      <c r="F1137">
        <v>5.2012522609234902E-4</v>
      </c>
      <c r="G1137">
        <v>0</v>
      </c>
      <c r="H1137">
        <v>0</v>
      </c>
      <c r="I1137" t="s">
        <v>81</v>
      </c>
    </row>
    <row r="1138" spans="1:9" x14ac:dyDescent="0.35">
      <c r="A1138" t="s">
        <v>27</v>
      </c>
      <c r="B1138">
        <v>2040</v>
      </c>
      <c r="C1138" t="s">
        <v>80</v>
      </c>
      <c r="D1138" t="s">
        <v>41</v>
      </c>
      <c r="E1138">
        <v>4.09054424306064E-3</v>
      </c>
      <c r="F1138">
        <v>4.09054424306064E-3</v>
      </c>
      <c r="G1138">
        <v>0</v>
      </c>
      <c r="H1138">
        <v>0</v>
      </c>
      <c r="I1138" t="s">
        <v>81</v>
      </c>
    </row>
    <row r="1139" spans="1:9" x14ac:dyDescent="0.35">
      <c r="A1139" t="s">
        <v>27</v>
      </c>
      <c r="B1139">
        <v>2040</v>
      </c>
      <c r="C1139" t="s">
        <v>80</v>
      </c>
      <c r="D1139" t="s">
        <v>42</v>
      </c>
      <c r="E1139">
        <v>0.530278200170748</v>
      </c>
      <c r="F1139">
        <v>0.530278200170748</v>
      </c>
      <c r="G1139">
        <v>0</v>
      </c>
      <c r="H1139">
        <v>0</v>
      </c>
      <c r="I1139" t="s">
        <v>81</v>
      </c>
    </row>
    <row r="1140" spans="1:9" x14ac:dyDescent="0.35">
      <c r="A1140" t="s">
        <v>27</v>
      </c>
      <c r="B1140">
        <v>2040</v>
      </c>
      <c r="C1140" t="s">
        <v>80</v>
      </c>
      <c r="D1140" t="s">
        <v>43</v>
      </c>
      <c r="E1140">
        <v>1.1805823645090301E-3</v>
      </c>
      <c r="F1140">
        <v>1.1805823645090301E-3</v>
      </c>
      <c r="G1140">
        <v>0</v>
      </c>
      <c r="H1140">
        <v>0</v>
      </c>
      <c r="I1140" t="s">
        <v>81</v>
      </c>
    </row>
    <row r="1141" spans="1:9" x14ac:dyDescent="0.35">
      <c r="A1141" t="s">
        <v>27</v>
      </c>
      <c r="B1141">
        <v>2040</v>
      </c>
      <c r="C1141" t="s">
        <v>80</v>
      </c>
      <c r="D1141" t="s">
        <v>136</v>
      </c>
      <c r="E1141">
        <v>1.8206646277396299</v>
      </c>
      <c r="F1141">
        <v>1.5810212287422301</v>
      </c>
      <c r="G1141">
        <v>-0.23964339899739601</v>
      </c>
      <c r="H1141">
        <v>-13.162413074115401</v>
      </c>
      <c r="I1141" t="s">
        <v>81</v>
      </c>
    </row>
    <row r="1142" spans="1:9" x14ac:dyDescent="0.35">
      <c r="A1142" t="s">
        <v>27</v>
      </c>
      <c r="B1142">
        <v>2040</v>
      </c>
      <c r="C1142" t="s">
        <v>80</v>
      </c>
      <c r="D1142" t="s">
        <v>45</v>
      </c>
      <c r="E1142">
        <v>1.3741844529475901E-3</v>
      </c>
      <c r="F1142">
        <v>1.3741844529475901E-3</v>
      </c>
      <c r="G1142">
        <v>0</v>
      </c>
      <c r="H1142">
        <v>0</v>
      </c>
      <c r="I1142" t="s">
        <v>81</v>
      </c>
    </row>
    <row r="1143" spans="1:9" x14ac:dyDescent="0.35">
      <c r="A1143" t="s">
        <v>27</v>
      </c>
      <c r="B1143">
        <v>2040</v>
      </c>
      <c r="C1143" t="s">
        <v>80</v>
      </c>
      <c r="D1143" t="s">
        <v>46</v>
      </c>
      <c r="E1143">
        <v>5.4375642445526999E-2</v>
      </c>
      <c r="F1143">
        <v>5.4375642445526999E-2</v>
      </c>
      <c r="G1143">
        <v>0</v>
      </c>
      <c r="H1143">
        <v>0</v>
      </c>
      <c r="I1143" t="s">
        <v>81</v>
      </c>
    </row>
    <row r="1144" spans="1:9" x14ac:dyDescent="0.35">
      <c r="A1144" t="s">
        <v>27</v>
      </c>
      <c r="B1144">
        <v>2040</v>
      </c>
      <c r="C1144" t="s">
        <v>80</v>
      </c>
      <c r="D1144" t="s">
        <v>47</v>
      </c>
      <c r="E1144">
        <v>4.3852475236874199E-4</v>
      </c>
      <c r="F1144">
        <v>4.3852475236874199E-4</v>
      </c>
      <c r="G1144">
        <v>0</v>
      </c>
      <c r="H1144">
        <v>0</v>
      </c>
      <c r="I1144" t="s">
        <v>81</v>
      </c>
    </row>
    <row r="1145" spans="1:9" x14ac:dyDescent="0.35">
      <c r="A1145" t="s">
        <v>27</v>
      </c>
      <c r="B1145">
        <v>2040</v>
      </c>
      <c r="C1145" t="s">
        <v>80</v>
      </c>
      <c r="D1145" t="s">
        <v>48</v>
      </c>
      <c r="E1145">
        <v>80.561118000120402</v>
      </c>
      <c r="F1145">
        <v>80.561118000120402</v>
      </c>
      <c r="G1145">
        <v>0</v>
      </c>
      <c r="H1145">
        <v>0</v>
      </c>
      <c r="I1145" t="s">
        <v>81</v>
      </c>
    </row>
    <row r="1146" spans="1:9" x14ac:dyDescent="0.35">
      <c r="A1146" t="s">
        <v>27</v>
      </c>
      <c r="B1146">
        <v>2040</v>
      </c>
      <c r="C1146" t="s">
        <v>80</v>
      </c>
      <c r="D1146" t="s">
        <v>49</v>
      </c>
      <c r="E1146">
        <v>3.33073602452569E-3</v>
      </c>
      <c r="F1146">
        <v>3.33073602452569E-3</v>
      </c>
      <c r="G1146">
        <v>0</v>
      </c>
      <c r="H1146">
        <v>0</v>
      </c>
      <c r="I1146" t="s">
        <v>81</v>
      </c>
    </row>
    <row r="1147" spans="1:9" x14ac:dyDescent="0.35">
      <c r="A1147" t="s">
        <v>27</v>
      </c>
      <c r="B1147">
        <v>2040</v>
      </c>
      <c r="C1147" t="s">
        <v>80</v>
      </c>
      <c r="D1147" t="s">
        <v>50</v>
      </c>
      <c r="E1147">
        <v>8.4701344217056693E-3</v>
      </c>
      <c r="F1147">
        <v>8.4701344217056693E-3</v>
      </c>
      <c r="G1147">
        <v>0</v>
      </c>
      <c r="H1147">
        <v>0</v>
      </c>
      <c r="I1147" t="s">
        <v>81</v>
      </c>
    </row>
    <row r="1148" spans="1:9" x14ac:dyDescent="0.35">
      <c r="A1148" t="s">
        <v>27</v>
      </c>
      <c r="B1148">
        <v>2040</v>
      </c>
      <c r="C1148" t="s">
        <v>80</v>
      </c>
      <c r="D1148" t="s">
        <v>51</v>
      </c>
      <c r="E1148">
        <v>5.7569721843251397E-2</v>
      </c>
      <c r="F1148">
        <v>5.7569721843251397E-2</v>
      </c>
      <c r="G1148">
        <v>0</v>
      </c>
      <c r="H1148">
        <v>0</v>
      </c>
      <c r="I1148" t="s">
        <v>81</v>
      </c>
    </row>
    <row r="1149" spans="1:9" x14ac:dyDescent="0.35">
      <c r="A1149" t="s">
        <v>27</v>
      </c>
      <c r="B1149">
        <v>2040</v>
      </c>
      <c r="C1149" t="s">
        <v>80</v>
      </c>
      <c r="D1149" t="s">
        <v>52</v>
      </c>
      <c r="E1149">
        <v>0.212312483120106</v>
      </c>
      <c r="F1149">
        <v>0.212312483120106</v>
      </c>
      <c r="G1149">
        <v>0</v>
      </c>
      <c r="H1149">
        <v>0</v>
      </c>
      <c r="I1149" t="s">
        <v>81</v>
      </c>
    </row>
    <row r="1150" spans="1:9" x14ac:dyDescent="0.35">
      <c r="A1150" t="s">
        <v>27</v>
      </c>
      <c r="B1150">
        <v>2040</v>
      </c>
      <c r="C1150" t="s">
        <v>80</v>
      </c>
      <c r="D1150" t="s">
        <v>53</v>
      </c>
      <c r="E1150">
        <v>0.52875161179881602</v>
      </c>
      <c r="F1150">
        <v>0.52875161179881602</v>
      </c>
      <c r="G1150">
        <v>0</v>
      </c>
      <c r="H1150">
        <v>0</v>
      </c>
      <c r="I1150" t="s">
        <v>81</v>
      </c>
    </row>
    <row r="1151" spans="1:9" x14ac:dyDescent="0.35">
      <c r="A1151" t="s">
        <v>27</v>
      </c>
      <c r="B1151">
        <v>2040</v>
      </c>
      <c r="C1151" t="s">
        <v>80</v>
      </c>
      <c r="D1151" t="s">
        <v>54</v>
      </c>
      <c r="E1151">
        <v>4.7377968844538203E-2</v>
      </c>
      <c r="F1151">
        <v>4.7377968844538203E-2</v>
      </c>
      <c r="G1151">
        <v>0</v>
      </c>
      <c r="H1151">
        <v>0</v>
      </c>
      <c r="I1151" t="s">
        <v>81</v>
      </c>
    </row>
    <row r="1152" spans="1:9" x14ac:dyDescent="0.35">
      <c r="A1152" t="s">
        <v>27</v>
      </c>
      <c r="B1152">
        <v>2040</v>
      </c>
      <c r="C1152" t="s">
        <v>80</v>
      </c>
      <c r="D1152" t="s">
        <v>55</v>
      </c>
      <c r="E1152">
        <v>4.3600171138965499E-2</v>
      </c>
      <c r="F1152">
        <v>4.3600171138965499E-2</v>
      </c>
      <c r="G1152">
        <v>0</v>
      </c>
      <c r="H1152">
        <v>0</v>
      </c>
      <c r="I1152" t="s">
        <v>81</v>
      </c>
    </row>
    <row r="1153" spans="1:9" x14ac:dyDescent="0.35">
      <c r="A1153" t="s">
        <v>27</v>
      </c>
      <c r="B1153">
        <v>2040</v>
      </c>
      <c r="C1153" t="s">
        <v>80</v>
      </c>
      <c r="D1153" t="s">
        <v>56</v>
      </c>
      <c r="E1153" s="1">
        <v>1.2410328422349701E-7</v>
      </c>
      <c r="F1153" s="1">
        <v>1.2410328422349701E-7</v>
      </c>
      <c r="G1153">
        <v>0</v>
      </c>
      <c r="H1153">
        <v>0</v>
      </c>
      <c r="I1153" t="s">
        <v>81</v>
      </c>
    </row>
    <row r="1154" spans="1:9" x14ac:dyDescent="0.35">
      <c r="A1154" t="s">
        <v>21</v>
      </c>
      <c r="B1154">
        <v>2025</v>
      </c>
      <c r="C1154" t="s">
        <v>57</v>
      </c>
      <c r="D1154" t="s">
        <v>38</v>
      </c>
      <c r="E1154">
        <v>3.4727334803223199E-4</v>
      </c>
      <c r="F1154">
        <v>3.4727334803223199E-4</v>
      </c>
      <c r="G1154">
        <v>0</v>
      </c>
      <c r="H1154">
        <v>0</v>
      </c>
      <c r="I1154" t="s">
        <v>58</v>
      </c>
    </row>
    <row r="1155" spans="1:9" x14ac:dyDescent="0.35">
      <c r="A1155" t="s">
        <v>21</v>
      </c>
      <c r="B1155">
        <v>2025</v>
      </c>
      <c r="C1155" t="s">
        <v>57</v>
      </c>
      <c r="D1155" t="s">
        <v>40</v>
      </c>
      <c r="E1155">
        <v>6.0685372947643203E-4</v>
      </c>
      <c r="F1155">
        <v>6.0685372947643203E-4</v>
      </c>
      <c r="G1155">
        <v>0</v>
      </c>
      <c r="H1155">
        <v>0</v>
      </c>
      <c r="I1155" t="s">
        <v>58</v>
      </c>
    </row>
    <row r="1156" spans="1:9" x14ac:dyDescent="0.35">
      <c r="A1156" t="s">
        <v>21</v>
      </c>
      <c r="B1156">
        <v>2025</v>
      </c>
      <c r="C1156" t="s">
        <v>57</v>
      </c>
      <c r="D1156" t="s">
        <v>41</v>
      </c>
      <c r="E1156">
        <v>3.3814295408628602E-3</v>
      </c>
      <c r="F1156">
        <v>3.3814295408628602E-3</v>
      </c>
      <c r="G1156">
        <v>0</v>
      </c>
      <c r="H1156">
        <v>0</v>
      </c>
      <c r="I1156" t="s">
        <v>58</v>
      </c>
    </row>
    <row r="1157" spans="1:9" x14ac:dyDescent="0.35">
      <c r="A1157" t="s">
        <v>21</v>
      </c>
      <c r="B1157">
        <v>2025</v>
      </c>
      <c r="C1157" t="s">
        <v>57</v>
      </c>
      <c r="D1157" t="s">
        <v>42</v>
      </c>
      <c r="E1157">
        <v>2.4840375562640902</v>
      </c>
      <c r="F1157">
        <v>2.4840375562640902</v>
      </c>
      <c r="G1157">
        <v>0</v>
      </c>
      <c r="H1157">
        <v>0</v>
      </c>
      <c r="I1157" t="s">
        <v>58</v>
      </c>
    </row>
    <row r="1158" spans="1:9" x14ac:dyDescent="0.35">
      <c r="A1158" t="s">
        <v>21</v>
      </c>
      <c r="B1158">
        <v>2025</v>
      </c>
      <c r="C1158" t="s">
        <v>57</v>
      </c>
      <c r="D1158" t="s">
        <v>43</v>
      </c>
      <c r="E1158">
        <v>1.24894201293609E-3</v>
      </c>
      <c r="F1158">
        <v>1.24894201293609E-3</v>
      </c>
      <c r="G1158">
        <v>0</v>
      </c>
      <c r="H1158">
        <v>0</v>
      </c>
      <c r="I1158" t="s">
        <v>58</v>
      </c>
    </row>
    <row r="1159" spans="1:9" x14ac:dyDescent="0.35">
      <c r="A1159" t="s">
        <v>21</v>
      </c>
      <c r="B1159">
        <v>2025</v>
      </c>
      <c r="C1159" t="s">
        <v>57</v>
      </c>
      <c r="D1159" t="s">
        <v>136</v>
      </c>
      <c r="E1159">
        <v>0.48596761316012399</v>
      </c>
      <c r="F1159">
        <v>0.48596761316012399</v>
      </c>
      <c r="G1159">
        <v>0</v>
      </c>
      <c r="H1159">
        <v>0</v>
      </c>
      <c r="I1159" t="s">
        <v>58</v>
      </c>
    </row>
    <row r="1160" spans="1:9" x14ac:dyDescent="0.35">
      <c r="A1160" t="s">
        <v>21</v>
      </c>
      <c r="B1160">
        <v>2025</v>
      </c>
      <c r="C1160" t="s">
        <v>57</v>
      </c>
      <c r="D1160" t="s">
        <v>45</v>
      </c>
      <c r="E1160">
        <v>1.25015517173897E-3</v>
      </c>
      <c r="F1160">
        <v>1.25015517173897E-3</v>
      </c>
      <c r="G1160">
        <v>0</v>
      </c>
      <c r="H1160">
        <v>0</v>
      </c>
      <c r="I1160" t="s">
        <v>58</v>
      </c>
    </row>
    <row r="1161" spans="1:9" x14ac:dyDescent="0.35">
      <c r="A1161" t="s">
        <v>21</v>
      </c>
      <c r="B1161">
        <v>2025</v>
      </c>
      <c r="C1161" t="s">
        <v>57</v>
      </c>
      <c r="D1161" t="s">
        <v>46</v>
      </c>
      <c r="E1161">
        <v>1.2935659148022E-2</v>
      </c>
      <c r="F1161">
        <v>1.2935659148022E-2</v>
      </c>
      <c r="G1161">
        <v>0</v>
      </c>
      <c r="H1161">
        <v>0</v>
      </c>
      <c r="I1161" t="s">
        <v>58</v>
      </c>
    </row>
    <row r="1162" spans="1:9" x14ac:dyDescent="0.35">
      <c r="A1162" t="s">
        <v>21</v>
      </c>
      <c r="B1162">
        <v>2025</v>
      </c>
      <c r="C1162" t="s">
        <v>57</v>
      </c>
      <c r="D1162" t="s">
        <v>47</v>
      </c>
      <c r="E1162">
        <v>1.67523522242631E-3</v>
      </c>
      <c r="F1162">
        <v>1.67523522242631E-3</v>
      </c>
      <c r="G1162">
        <v>0</v>
      </c>
      <c r="H1162">
        <v>0</v>
      </c>
      <c r="I1162" t="s">
        <v>58</v>
      </c>
    </row>
    <row r="1163" spans="1:9" x14ac:dyDescent="0.35">
      <c r="A1163" t="s">
        <v>21</v>
      </c>
      <c r="B1163">
        <v>2025</v>
      </c>
      <c r="C1163" t="s">
        <v>57</v>
      </c>
      <c r="D1163" t="s">
        <v>48</v>
      </c>
      <c r="E1163">
        <v>5.0230933401416404</v>
      </c>
      <c r="F1163">
        <v>5.0230933401416404</v>
      </c>
      <c r="G1163">
        <v>0</v>
      </c>
      <c r="H1163">
        <v>0</v>
      </c>
      <c r="I1163" t="s">
        <v>58</v>
      </c>
    </row>
    <row r="1164" spans="1:9" x14ac:dyDescent="0.35">
      <c r="A1164" t="s">
        <v>21</v>
      </c>
      <c r="B1164">
        <v>2025</v>
      </c>
      <c r="C1164" t="s">
        <v>57</v>
      </c>
      <c r="D1164" t="s">
        <v>49</v>
      </c>
      <c r="E1164">
        <v>2.7824506525183199E-3</v>
      </c>
      <c r="F1164">
        <v>2.7824506525183199E-3</v>
      </c>
      <c r="G1164">
        <v>0</v>
      </c>
      <c r="H1164">
        <v>0</v>
      </c>
      <c r="I1164" t="s">
        <v>58</v>
      </c>
    </row>
    <row r="1165" spans="1:9" x14ac:dyDescent="0.35">
      <c r="A1165" t="s">
        <v>21</v>
      </c>
      <c r="B1165">
        <v>2025</v>
      </c>
      <c r="C1165" t="s">
        <v>57</v>
      </c>
      <c r="D1165" t="s">
        <v>50</v>
      </c>
      <c r="E1165">
        <v>1.49371538826354E-2</v>
      </c>
      <c r="F1165">
        <v>1.49371538826354E-2</v>
      </c>
      <c r="G1165">
        <v>0</v>
      </c>
      <c r="H1165">
        <v>0</v>
      </c>
      <c r="I1165" t="s">
        <v>58</v>
      </c>
    </row>
    <row r="1166" spans="1:9" x14ac:dyDescent="0.35">
      <c r="A1166" t="s">
        <v>21</v>
      </c>
      <c r="B1166">
        <v>2025</v>
      </c>
      <c r="C1166" t="s">
        <v>57</v>
      </c>
      <c r="D1166" t="s">
        <v>51</v>
      </c>
      <c r="E1166">
        <v>6.4303911387326801E-2</v>
      </c>
      <c r="F1166">
        <v>6.4303911387326801E-2</v>
      </c>
      <c r="G1166">
        <v>0</v>
      </c>
      <c r="H1166">
        <v>0</v>
      </c>
      <c r="I1166" t="s">
        <v>58</v>
      </c>
    </row>
    <row r="1167" spans="1:9" x14ac:dyDescent="0.35">
      <c r="A1167" t="s">
        <v>21</v>
      </c>
      <c r="B1167">
        <v>2025</v>
      </c>
      <c r="C1167" t="s">
        <v>57</v>
      </c>
      <c r="D1167" t="s">
        <v>52</v>
      </c>
      <c r="E1167">
        <v>2.5936727712036901E-2</v>
      </c>
      <c r="F1167">
        <v>2.5936727712036901E-2</v>
      </c>
      <c r="G1167">
        <v>0</v>
      </c>
      <c r="H1167">
        <v>0</v>
      </c>
      <c r="I1167" t="s">
        <v>58</v>
      </c>
    </row>
    <row r="1168" spans="1:9" x14ac:dyDescent="0.35">
      <c r="A1168" t="s">
        <v>21</v>
      </c>
      <c r="B1168">
        <v>2025</v>
      </c>
      <c r="C1168" t="s">
        <v>57</v>
      </c>
      <c r="D1168" t="s">
        <v>53</v>
      </c>
      <c r="E1168">
        <v>0.125592588933606</v>
      </c>
      <c r="F1168">
        <v>0.125592588933606</v>
      </c>
      <c r="G1168">
        <v>0</v>
      </c>
      <c r="H1168">
        <v>0</v>
      </c>
      <c r="I1168" t="s">
        <v>58</v>
      </c>
    </row>
    <row r="1169" spans="1:9" x14ac:dyDescent="0.35">
      <c r="A1169" t="s">
        <v>21</v>
      </c>
      <c r="B1169">
        <v>2025</v>
      </c>
      <c r="C1169" t="s">
        <v>57</v>
      </c>
      <c r="D1169" t="s">
        <v>54</v>
      </c>
      <c r="E1169">
        <v>1.1053404050575499</v>
      </c>
      <c r="F1169">
        <v>1.1053404050575499</v>
      </c>
      <c r="G1169">
        <v>0</v>
      </c>
      <c r="H1169">
        <v>0</v>
      </c>
      <c r="I1169" t="s">
        <v>58</v>
      </c>
    </row>
    <row r="1170" spans="1:9" x14ac:dyDescent="0.35">
      <c r="A1170" t="s">
        <v>21</v>
      </c>
      <c r="B1170">
        <v>2025</v>
      </c>
      <c r="C1170" t="s">
        <v>57</v>
      </c>
      <c r="D1170" t="s">
        <v>55</v>
      </c>
      <c r="E1170">
        <v>1.00942317302704</v>
      </c>
      <c r="F1170">
        <v>1.00942317302704</v>
      </c>
      <c r="G1170">
        <v>0</v>
      </c>
      <c r="H1170">
        <v>0</v>
      </c>
      <c r="I1170" t="s">
        <v>58</v>
      </c>
    </row>
    <row r="1171" spans="1:9" x14ac:dyDescent="0.35">
      <c r="A1171" t="s">
        <v>21</v>
      </c>
      <c r="B1171">
        <v>2025</v>
      </c>
      <c r="C1171" t="s">
        <v>57</v>
      </c>
      <c r="D1171" t="s">
        <v>56</v>
      </c>
      <c r="E1171" s="1">
        <v>5.73766140975293E-8</v>
      </c>
      <c r="F1171" s="1">
        <v>5.73766140975293E-8</v>
      </c>
      <c r="G1171">
        <v>0</v>
      </c>
      <c r="H1171">
        <v>0</v>
      </c>
      <c r="I1171" t="s">
        <v>58</v>
      </c>
    </row>
    <row r="1172" spans="1:9" x14ac:dyDescent="0.35">
      <c r="A1172" t="s">
        <v>23</v>
      </c>
      <c r="B1172">
        <v>2030</v>
      </c>
      <c r="C1172" t="s">
        <v>57</v>
      </c>
      <c r="D1172" t="s">
        <v>38</v>
      </c>
      <c r="E1172">
        <v>4.59171021422716E-4</v>
      </c>
      <c r="F1172">
        <v>4.59171021422716E-4</v>
      </c>
      <c r="G1172">
        <v>0</v>
      </c>
      <c r="H1172">
        <v>0</v>
      </c>
      <c r="I1172" t="s">
        <v>58</v>
      </c>
    </row>
    <row r="1173" spans="1:9" x14ac:dyDescent="0.35">
      <c r="A1173" t="s">
        <v>23</v>
      </c>
      <c r="B1173">
        <v>2030</v>
      </c>
      <c r="C1173" t="s">
        <v>57</v>
      </c>
      <c r="D1173" t="s">
        <v>40</v>
      </c>
      <c r="E1173">
        <v>6.0427218309019599E-4</v>
      </c>
      <c r="F1173">
        <v>6.0427218309019599E-4</v>
      </c>
      <c r="G1173">
        <v>0</v>
      </c>
      <c r="H1173">
        <v>0</v>
      </c>
      <c r="I1173" t="s">
        <v>58</v>
      </c>
    </row>
    <row r="1174" spans="1:9" x14ac:dyDescent="0.35">
      <c r="A1174" t="s">
        <v>23</v>
      </c>
      <c r="B1174">
        <v>2030</v>
      </c>
      <c r="C1174" t="s">
        <v>57</v>
      </c>
      <c r="D1174" t="s">
        <v>41</v>
      </c>
      <c r="E1174">
        <v>3.7027520941495399E-3</v>
      </c>
      <c r="F1174">
        <v>3.7027520941495399E-3</v>
      </c>
      <c r="G1174">
        <v>0</v>
      </c>
      <c r="H1174">
        <v>0</v>
      </c>
      <c r="I1174" t="s">
        <v>58</v>
      </c>
    </row>
    <row r="1175" spans="1:9" x14ac:dyDescent="0.35">
      <c r="A1175" t="s">
        <v>23</v>
      </c>
      <c r="B1175">
        <v>2030</v>
      </c>
      <c r="C1175" t="s">
        <v>57</v>
      </c>
      <c r="D1175" t="s">
        <v>42</v>
      </c>
      <c r="E1175">
        <v>2.4806440336331899</v>
      </c>
      <c r="F1175">
        <v>2.4806440336331899</v>
      </c>
      <c r="G1175">
        <v>0</v>
      </c>
      <c r="H1175">
        <v>0</v>
      </c>
      <c r="I1175" t="s">
        <v>58</v>
      </c>
    </row>
    <row r="1176" spans="1:9" x14ac:dyDescent="0.35">
      <c r="A1176" t="s">
        <v>23</v>
      </c>
      <c r="B1176">
        <v>2030</v>
      </c>
      <c r="C1176" t="s">
        <v>57</v>
      </c>
      <c r="D1176" t="s">
        <v>43</v>
      </c>
      <c r="E1176">
        <v>1.3938798428358801E-3</v>
      </c>
      <c r="F1176">
        <v>1.3938798428358801E-3</v>
      </c>
      <c r="G1176">
        <v>0</v>
      </c>
      <c r="H1176">
        <v>0</v>
      </c>
      <c r="I1176" t="s">
        <v>58</v>
      </c>
    </row>
    <row r="1177" spans="1:9" x14ac:dyDescent="0.35">
      <c r="A1177" t="s">
        <v>23</v>
      </c>
      <c r="B1177">
        <v>2030</v>
      </c>
      <c r="C1177" t="s">
        <v>57</v>
      </c>
      <c r="D1177" t="s">
        <v>136</v>
      </c>
      <c r="E1177">
        <v>0.47624145031356702</v>
      </c>
      <c r="F1177">
        <v>0.47624145031356702</v>
      </c>
      <c r="G1177">
        <v>0</v>
      </c>
      <c r="H1177">
        <v>0</v>
      </c>
      <c r="I1177" t="s">
        <v>58</v>
      </c>
    </row>
    <row r="1178" spans="1:9" x14ac:dyDescent="0.35">
      <c r="A1178" t="s">
        <v>23</v>
      </c>
      <c r="B1178">
        <v>2030</v>
      </c>
      <c r="C1178" t="s">
        <v>57</v>
      </c>
      <c r="D1178" t="s">
        <v>45</v>
      </c>
      <c r="E1178">
        <v>1.3168924606222E-3</v>
      </c>
      <c r="F1178">
        <v>1.3168924606222E-3</v>
      </c>
      <c r="G1178">
        <v>0</v>
      </c>
      <c r="H1178">
        <v>0</v>
      </c>
      <c r="I1178" t="s">
        <v>58</v>
      </c>
    </row>
    <row r="1179" spans="1:9" x14ac:dyDescent="0.35">
      <c r="A1179" t="s">
        <v>23</v>
      </c>
      <c r="B1179">
        <v>2030</v>
      </c>
      <c r="C1179" t="s">
        <v>57</v>
      </c>
      <c r="D1179" t="s">
        <v>46</v>
      </c>
      <c r="E1179">
        <v>1.9368828982441501E-2</v>
      </c>
      <c r="F1179">
        <v>1.9368828982441501E-2</v>
      </c>
      <c r="G1179">
        <v>0</v>
      </c>
      <c r="H1179">
        <v>0</v>
      </c>
      <c r="I1179" t="s">
        <v>58</v>
      </c>
    </row>
    <row r="1180" spans="1:9" x14ac:dyDescent="0.35">
      <c r="A1180" t="s">
        <v>23</v>
      </c>
      <c r="B1180">
        <v>2030</v>
      </c>
      <c r="C1180" t="s">
        <v>57</v>
      </c>
      <c r="D1180" t="s">
        <v>47</v>
      </c>
      <c r="E1180">
        <v>1.6721634732114099E-3</v>
      </c>
      <c r="F1180">
        <v>1.6721634732114099E-3</v>
      </c>
      <c r="G1180">
        <v>0</v>
      </c>
      <c r="H1180">
        <v>0</v>
      </c>
      <c r="I1180" t="s">
        <v>58</v>
      </c>
    </row>
    <row r="1181" spans="1:9" x14ac:dyDescent="0.35">
      <c r="A1181" t="s">
        <v>23</v>
      </c>
      <c r="B1181">
        <v>2030</v>
      </c>
      <c r="C1181" t="s">
        <v>57</v>
      </c>
      <c r="D1181" t="s">
        <v>48</v>
      </c>
      <c r="E1181">
        <v>5.02308634233838</v>
      </c>
      <c r="F1181">
        <v>5.02308634233838</v>
      </c>
      <c r="G1181">
        <v>0</v>
      </c>
      <c r="H1181">
        <v>0</v>
      </c>
      <c r="I1181" t="s">
        <v>58</v>
      </c>
    </row>
    <row r="1182" spans="1:9" x14ac:dyDescent="0.35">
      <c r="A1182" t="s">
        <v>23</v>
      </c>
      <c r="B1182">
        <v>2030</v>
      </c>
      <c r="C1182" t="s">
        <v>57</v>
      </c>
      <c r="D1182" t="s">
        <v>49</v>
      </c>
      <c r="E1182">
        <v>2.96265541386802E-3</v>
      </c>
      <c r="F1182">
        <v>2.96265541386802E-3</v>
      </c>
      <c r="G1182">
        <v>0</v>
      </c>
      <c r="H1182">
        <v>0</v>
      </c>
      <c r="I1182" t="s">
        <v>58</v>
      </c>
    </row>
    <row r="1183" spans="1:9" x14ac:dyDescent="0.35">
      <c r="A1183" t="s">
        <v>23</v>
      </c>
      <c r="B1183">
        <v>2030</v>
      </c>
      <c r="C1183" t="s">
        <v>57</v>
      </c>
      <c r="D1183" t="s">
        <v>50</v>
      </c>
      <c r="E1183">
        <v>1.5341193669710901E-2</v>
      </c>
      <c r="F1183">
        <v>1.5341193669710901E-2</v>
      </c>
      <c r="G1183">
        <v>0</v>
      </c>
      <c r="H1183">
        <v>0</v>
      </c>
      <c r="I1183" t="s">
        <v>58</v>
      </c>
    </row>
    <row r="1184" spans="1:9" x14ac:dyDescent="0.35">
      <c r="A1184" t="s">
        <v>23</v>
      </c>
      <c r="B1184">
        <v>2030</v>
      </c>
      <c r="C1184" t="s">
        <v>57</v>
      </c>
      <c r="D1184" t="s">
        <v>51</v>
      </c>
      <c r="E1184">
        <v>6.4248325735223002E-2</v>
      </c>
      <c r="F1184">
        <v>6.4248325735223002E-2</v>
      </c>
      <c r="G1184">
        <v>0</v>
      </c>
      <c r="H1184">
        <v>0</v>
      </c>
      <c r="I1184" t="s">
        <v>58</v>
      </c>
    </row>
    <row r="1185" spans="1:9" x14ac:dyDescent="0.35">
      <c r="A1185" t="s">
        <v>23</v>
      </c>
      <c r="B1185">
        <v>2030</v>
      </c>
      <c r="C1185" t="s">
        <v>57</v>
      </c>
      <c r="D1185" t="s">
        <v>52</v>
      </c>
      <c r="E1185">
        <v>2.3745494902367902E-2</v>
      </c>
      <c r="F1185">
        <v>2.3745494902367902E-2</v>
      </c>
      <c r="G1185">
        <v>0</v>
      </c>
      <c r="H1185">
        <v>0</v>
      </c>
      <c r="I1185" t="s">
        <v>58</v>
      </c>
    </row>
    <row r="1186" spans="1:9" x14ac:dyDescent="0.35">
      <c r="A1186" t="s">
        <v>23</v>
      </c>
      <c r="B1186">
        <v>2030</v>
      </c>
      <c r="C1186" t="s">
        <v>57</v>
      </c>
      <c r="D1186" t="s">
        <v>53</v>
      </c>
      <c r="E1186">
        <v>0.12296835842663099</v>
      </c>
      <c r="F1186">
        <v>0.12296835842663099</v>
      </c>
      <c r="G1186">
        <v>0</v>
      </c>
      <c r="H1186">
        <v>0</v>
      </c>
      <c r="I1186" t="s">
        <v>58</v>
      </c>
    </row>
    <row r="1187" spans="1:9" x14ac:dyDescent="0.35">
      <c r="A1187" t="s">
        <v>23</v>
      </c>
      <c r="B1187">
        <v>2030</v>
      </c>
      <c r="C1187" t="s">
        <v>57</v>
      </c>
      <c r="D1187" t="s">
        <v>54</v>
      </c>
      <c r="E1187">
        <v>1.1054519993382099</v>
      </c>
      <c r="F1187">
        <v>1.1054519993382099</v>
      </c>
      <c r="G1187">
        <v>0</v>
      </c>
      <c r="H1187">
        <v>0</v>
      </c>
      <c r="I1187" t="s">
        <v>58</v>
      </c>
    </row>
    <row r="1188" spans="1:9" x14ac:dyDescent="0.35">
      <c r="A1188" t="s">
        <v>23</v>
      </c>
      <c r="B1188">
        <v>2030</v>
      </c>
      <c r="C1188" t="s">
        <v>57</v>
      </c>
      <c r="D1188" t="s">
        <v>55</v>
      </c>
      <c r="E1188">
        <v>1.00947195032448</v>
      </c>
      <c r="F1188">
        <v>1.00947195032448</v>
      </c>
      <c r="G1188">
        <v>0</v>
      </c>
      <c r="H1188">
        <v>0</v>
      </c>
      <c r="I1188" t="s">
        <v>58</v>
      </c>
    </row>
    <row r="1189" spans="1:9" x14ac:dyDescent="0.35">
      <c r="A1189" t="s">
        <v>23</v>
      </c>
      <c r="B1189">
        <v>2030</v>
      </c>
      <c r="C1189" t="s">
        <v>57</v>
      </c>
      <c r="D1189" t="s">
        <v>56</v>
      </c>
      <c r="E1189" s="1">
        <v>5.5305608237314498E-8</v>
      </c>
      <c r="F1189" s="1">
        <v>5.5305608237314498E-8</v>
      </c>
      <c r="G1189">
        <v>0</v>
      </c>
      <c r="H1189">
        <v>0</v>
      </c>
      <c r="I1189" t="s">
        <v>58</v>
      </c>
    </row>
    <row r="1190" spans="1:9" x14ac:dyDescent="0.35">
      <c r="A1190" t="s">
        <v>25</v>
      </c>
      <c r="B1190">
        <v>2035</v>
      </c>
      <c r="C1190" t="s">
        <v>57</v>
      </c>
      <c r="D1190" t="s">
        <v>38</v>
      </c>
      <c r="E1190">
        <v>5.5113266156574096E-4</v>
      </c>
      <c r="F1190">
        <v>5.5113266156574096E-4</v>
      </c>
      <c r="G1190">
        <v>0</v>
      </c>
      <c r="H1190">
        <v>0</v>
      </c>
      <c r="I1190" t="s">
        <v>58</v>
      </c>
    </row>
    <row r="1191" spans="1:9" x14ac:dyDescent="0.35">
      <c r="A1191" t="s">
        <v>25</v>
      </c>
      <c r="B1191">
        <v>2035</v>
      </c>
      <c r="C1191" t="s">
        <v>57</v>
      </c>
      <c r="D1191" t="s">
        <v>40</v>
      </c>
      <c r="E1191">
        <v>6.0463680654998997E-4</v>
      </c>
      <c r="F1191">
        <v>6.0463680654998997E-4</v>
      </c>
      <c r="G1191">
        <v>0</v>
      </c>
      <c r="H1191">
        <v>0</v>
      </c>
      <c r="I1191" t="s">
        <v>58</v>
      </c>
    </row>
    <row r="1192" spans="1:9" x14ac:dyDescent="0.35">
      <c r="A1192" t="s">
        <v>25</v>
      </c>
      <c r="B1192">
        <v>2035</v>
      </c>
      <c r="C1192" t="s">
        <v>57</v>
      </c>
      <c r="D1192" t="s">
        <v>41</v>
      </c>
      <c r="E1192">
        <v>3.6946506940174401E-3</v>
      </c>
      <c r="F1192">
        <v>3.6946506940174401E-3</v>
      </c>
      <c r="G1192">
        <v>0</v>
      </c>
      <c r="H1192">
        <v>0</v>
      </c>
      <c r="I1192" t="s">
        <v>58</v>
      </c>
    </row>
    <row r="1193" spans="1:9" x14ac:dyDescent="0.35">
      <c r="A1193" t="s">
        <v>25</v>
      </c>
      <c r="B1193">
        <v>2035</v>
      </c>
      <c r="C1193" t="s">
        <v>57</v>
      </c>
      <c r="D1193" t="s">
        <v>42</v>
      </c>
      <c r="E1193">
        <v>2.4815456156492002</v>
      </c>
      <c r="F1193">
        <v>2.4815456156492002</v>
      </c>
      <c r="G1193">
        <v>0</v>
      </c>
      <c r="H1193">
        <v>0</v>
      </c>
      <c r="I1193" t="s">
        <v>58</v>
      </c>
    </row>
    <row r="1194" spans="1:9" x14ac:dyDescent="0.35">
      <c r="A1194" t="s">
        <v>25</v>
      </c>
      <c r="B1194">
        <v>2035</v>
      </c>
      <c r="C1194" t="s">
        <v>57</v>
      </c>
      <c r="D1194" t="s">
        <v>43</v>
      </c>
      <c r="E1194">
        <v>1.4119107323786299E-3</v>
      </c>
      <c r="F1194">
        <v>1.4119107323786299E-3</v>
      </c>
      <c r="G1194">
        <v>0</v>
      </c>
      <c r="H1194">
        <v>0</v>
      </c>
      <c r="I1194" t="s">
        <v>58</v>
      </c>
    </row>
    <row r="1195" spans="1:9" x14ac:dyDescent="0.35">
      <c r="A1195" t="s">
        <v>25</v>
      </c>
      <c r="B1195">
        <v>2035</v>
      </c>
      <c r="C1195" t="s">
        <v>57</v>
      </c>
      <c r="D1195" t="s">
        <v>136</v>
      </c>
      <c r="E1195">
        <v>0.47216695776878997</v>
      </c>
      <c r="F1195">
        <v>0.47216695776878997</v>
      </c>
      <c r="G1195">
        <v>0</v>
      </c>
      <c r="H1195">
        <v>0</v>
      </c>
      <c r="I1195" t="s">
        <v>58</v>
      </c>
    </row>
    <row r="1196" spans="1:9" x14ac:dyDescent="0.35">
      <c r="A1196" t="s">
        <v>25</v>
      </c>
      <c r="B1196">
        <v>2035</v>
      </c>
      <c r="C1196" t="s">
        <v>57</v>
      </c>
      <c r="D1196" t="s">
        <v>45</v>
      </c>
      <c r="E1196">
        <v>1.3099538009591E-3</v>
      </c>
      <c r="F1196">
        <v>1.3099538009591E-3</v>
      </c>
      <c r="G1196">
        <v>0</v>
      </c>
      <c r="H1196">
        <v>0</v>
      </c>
      <c r="I1196" t="s">
        <v>58</v>
      </c>
    </row>
    <row r="1197" spans="1:9" x14ac:dyDescent="0.35">
      <c r="A1197" t="s">
        <v>25</v>
      </c>
      <c r="B1197">
        <v>2035</v>
      </c>
      <c r="C1197" t="s">
        <v>57</v>
      </c>
      <c r="D1197" t="s">
        <v>46</v>
      </c>
      <c r="E1197">
        <v>2.9144487782769599E-2</v>
      </c>
      <c r="F1197">
        <v>2.9144487782769599E-2</v>
      </c>
      <c r="G1197">
        <v>0</v>
      </c>
      <c r="H1197">
        <v>0</v>
      </c>
      <c r="I1197" t="s">
        <v>58</v>
      </c>
    </row>
    <row r="1198" spans="1:9" x14ac:dyDescent="0.35">
      <c r="A1198" t="s">
        <v>25</v>
      </c>
      <c r="B1198">
        <v>2035</v>
      </c>
      <c r="C1198" t="s">
        <v>57</v>
      </c>
      <c r="D1198" t="s">
        <v>47</v>
      </c>
      <c r="E1198">
        <v>1.67358030619539E-3</v>
      </c>
      <c r="F1198">
        <v>1.67358030619539E-3</v>
      </c>
      <c r="G1198">
        <v>0</v>
      </c>
      <c r="H1198">
        <v>0</v>
      </c>
      <c r="I1198" t="s">
        <v>58</v>
      </c>
    </row>
    <row r="1199" spans="1:9" x14ac:dyDescent="0.35">
      <c r="A1199" t="s">
        <v>25</v>
      </c>
      <c r="B1199">
        <v>2035</v>
      </c>
      <c r="C1199" t="s">
        <v>57</v>
      </c>
      <c r="D1199" t="s">
        <v>48</v>
      </c>
      <c r="E1199">
        <v>5.0232641901548298</v>
      </c>
      <c r="F1199">
        <v>5.0232641901548298</v>
      </c>
      <c r="G1199">
        <v>0</v>
      </c>
      <c r="H1199">
        <v>0</v>
      </c>
      <c r="I1199" t="s">
        <v>58</v>
      </c>
    </row>
    <row r="1200" spans="1:9" x14ac:dyDescent="0.35">
      <c r="A1200" t="s">
        <v>25</v>
      </c>
      <c r="B1200">
        <v>2035</v>
      </c>
      <c r="C1200" t="s">
        <v>57</v>
      </c>
      <c r="D1200" t="s">
        <v>49</v>
      </c>
      <c r="E1200">
        <v>2.9710586938310499E-3</v>
      </c>
      <c r="F1200">
        <v>2.9710586938310499E-3</v>
      </c>
      <c r="G1200">
        <v>0</v>
      </c>
      <c r="H1200">
        <v>0</v>
      </c>
      <c r="I1200" t="s">
        <v>58</v>
      </c>
    </row>
    <row r="1201" spans="1:9" x14ac:dyDescent="0.35">
      <c r="A1201" t="s">
        <v>25</v>
      </c>
      <c r="B1201">
        <v>2035</v>
      </c>
      <c r="C1201" t="s">
        <v>57</v>
      </c>
      <c r="D1201" t="s">
        <v>50</v>
      </c>
      <c r="E1201">
        <v>1.5684683929866799E-2</v>
      </c>
      <c r="F1201">
        <v>1.5684683929866799E-2</v>
      </c>
      <c r="G1201">
        <v>0</v>
      </c>
      <c r="H1201">
        <v>0</v>
      </c>
      <c r="I1201" t="s">
        <v>58</v>
      </c>
    </row>
    <row r="1202" spans="1:9" x14ac:dyDescent="0.35">
      <c r="A1202" t="s">
        <v>25</v>
      </c>
      <c r="B1202">
        <v>2035</v>
      </c>
      <c r="C1202" t="s">
        <v>57</v>
      </c>
      <c r="D1202" t="s">
        <v>51</v>
      </c>
      <c r="E1202">
        <v>6.4444243632940504E-2</v>
      </c>
      <c r="F1202">
        <v>6.4444243632940504E-2</v>
      </c>
      <c r="G1202">
        <v>0</v>
      </c>
      <c r="H1202">
        <v>0</v>
      </c>
      <c r="I1202" t="s">
        <v>58</v>
      </c>
    </row>
    <row r="1203" spans="1:9" x14ac:dyDescent="0.35">
      <c r="A1203" t="s">
        <v>25</v>
      </c>
      <c r="B1203">
        <v>2035</v>
      </c>
      <c r="C1203" t="s">
        <v>57</v>
      </c>
      <c r="D1203" t="s">
        <v>52</v>
      </c>
      <c r="E1203">
        <v>2.1768736991918398E-2</v>
      </c>
      <c r="F1203">
        <v>2.1768736991918398E-2</v>
      </c>
      <c r="G1203">
        <v>0</v>
      </c>
      <c r="H1203">
        <v>0</v>
      </c>
      <c r="I1203" t="s">
        <v>58</v>
      </c>
    </row>
    <row r="1204" spans="1:9" x14ac:dyDescent="0.35">
      <c r="A1204" t="s">
        <v>25</v>
      </c>
      <c r="B1204">
        <v>2035</v>
      </c>
      <c r="C1204" t="s">
        <v>57</v>
      </c>
      <c r="D1204" t="s">
        <v>53</v>
      </c>
      <c r="E1204">
        <v>0.122041189694168</v>
      </c>
      <c r="F1204">
        <v>0.122041189694168</v>
      </c>
      <c r="G1204">
        <v>0</v>
      </c>
      <c r="H1204">
        <v>0</v>
      </c>
      <c r="I1204" t="s">
        <v>58</v>
      </c>
    </row>
    <row r="1205" spans="1:9" x14ac:dyDescent="0.35">
      <c r="A1205" t="s">
        <v>25</v>
      </c>
      <c r="B1205">
        <v>2035</v>
      </c>
      <c r="C1205" t="s">
        <v>57</v>
      </c>
      <c r="D1205" t="s">
        <v>54</v>
      </c>
      <c r="E1205">
        <v>1.1056336667217399</v>
      </c>
      <c r="F1205">
        <v>1.1056336667217399</v>
      </c>
      <c r="G1205">
        <v>0</v>
      </c>
      <c r="H1205">
        <v>0</v>
      </c>
      <c r="I1205" t="s">
        <v>58</v>
      </c>
    </row>
    <row r="1206" spans="1:9" x14ac:dyDescent="0.35">
      <c r="A1206" t="s">
        <v>25</v>
      </c>
      <c r="B1206">
        <v>2035</v>
      </c>
      <c r="C1206" t="s">
        <v>57</v>
      </c>
      <c r="D1206" t="s">
        <v>55</v>
      </c>
      <c r="E1206">
        <v>1.0096124212144499</v>
      </c>
      <c r="F1206">
        <v>1.0096124212144499</v>
      </c>
      <c r="G1206">
        <v>0</v>
      </c>
      <c r="H1206">
        <v>0</v>
      </c>
      <c r="I1206" t="s">
        <v>58</v>
      </c>
    </row>
    <row r="1207" spans="1:9" x14ac:dyDescent="0.35">
      <c r="A1207" t="s">
        <v>25</v>
      </c>
      <c r="B1207">
        <v>2035</v>
      </c>
      <c r="C1207" t="s">
        <v>57</v>
      </c>
      <c r="D1207" t="s">
        <v>56</v>
      </c>
      <c r="E1207" s="1">
        <v>5.4296989071040798E-8</v>
      </c>
      <c r="F1207" s="1">
        <v>5.4296989071040798E-8</v>
      </c>
      <c r="G1207">
        <v>0</v>
      </c>
      <c r="H1207">
        <v>0</v>
      </c>
      <c r="I1207" t="s">
        <v>58</v>
      </c>
    </row>
    <row r="1208" spans="1:9" x14ac:dyDescent="0.35">
      <c r="A1208" t="s">
        <v>27</v>
      </c>
      <c r="B1208">
        <v>2040</v>
      </c>
      <c r="C1208" t="s">
        <v>57</v>
      </c>
      <c r="D1208" t="s">
        <v>38</v>
      </c>
      <c r="E1208">
        <v>5.1496812756465402E-4</v>
      </c>
      <c r="F1208">
        <v>5.1496812756465402E-4</v>
      </c>
      <c r="G1208">
        <v>0</v>
      </c>
      <c r="H1208">
        <v>0</v>
      </c>
      <c r="I1208" t="s">
        <v>58</v>
      </c>
    </row>
    <row r="1209" spans="1:9" x14ac:dyDescent="0.35">
      <c r="A1209" t="s">
        <v>27</v>
      </c>
      <c r="B1209">
        <v>2040</v>
      </c>
      <c r="C1209" t="s">
        <v>57</v>
      </c>
      <c r="D1209" t="s">
        <v>40</v>
      </c>
      <c r="E1209">
        <v>6.0945702662154198E-4</v>
      </c>
      <c r="F1209">
        <v>6.0945702662154198E-4</v>
      </c>
      <c r="G1209">
        <v>0</v>
      </c>
      <c r="H1209">
        <v>0</v>
      </c>
      <c r="I1209" t="s">
        <v>58</v>
      </c>
    </row>
    <row r="1210" spans="1:9" x14ac:dyDescent="0.35">
      <c r="A1210" t="s">
        <v>27</v>
      </c>
      <c r="B1210">
        <v>2040</v>
      </c>
      <c r="C1210" t="s">
        <v>57</v>
      </c>
      <c r="D1210" t="s">
        <v>41</v>
      </c>
      <c r="E1210">
        <v>3.6914276201483499E-3</v>
      </c>
      <c r="F1210">
        <v>3.6914276201483499E-3</v>
      </c>
      <c r="G1210">
        <v>0</v>
      </c>
      <c r="H1210">
        <v>0</v>
      </c>
      <c r="I1210" t="s">
        <v>58</v>
      </c>
    </row>
    <row r="1211" spans="1:9" x14ac:dyDescent="0.35">
      <c r="A1211" t="s">
        <v>27</v>
      </c>
      <c r="B1211">
        <v>2040</v>
      </c>
      <c r="C1211" t="s">
        <v>57</v>
      </c>
      <c r="D1211" t="s">
        <v>42</v>
      </c>
      <c r="E1211">
        <v>2.4848686728048799</v>
      </c>
      <c r="F1211">
        <v>2.4848686728048799</v>
      </c>
      <c r="G1211">
        <v>0</v>
      </c>
      <c r="H1211">
        <v>0</v>
      </c>
      <c r="I1211" t="s">
        <v>58</v>
      </c>
    </row>
    <row r="1212" spans="1:9" x14ac:dyDescent="0.35">
      <c r="A1212" t="s">
        <v>27</v>
      </c>
      <c r="B1212">
        <v>2040</v>
      </c>
      <c r="C1212" t="s">
        <v>57</v>
      </c>
      <c r="D1212" t="s">
        <v>43</v>
      </c>
      <c r="E1212">
        <v>1.4041770530526E-3</v>
      </c>
      <c r="F1212">
        <v>1.4041770530526E-3</v>
      </c>
      <c r="G1212">
        <v>0</v>
      </c>
      <c r="H1212">
        <v>0</v>
      </c>
      <c r="I1212" t="s">
        <v>58</v>
      </c>
    </row>
    <row r="1213" spans="1:9" x14ac:dyDescent="0.35">
      <c r="A1213" t="s">
        <v>27</v>
      </c>
      <c r="B1213">
        <v>2040</v>
      </c>
      <c r="C1213" t="s">
        <v>57</v>
      </c>
      <c r="D1213" t="s">
        <v>136</v>
      </c>
      <c r="E1213">
        <v>0.47144971814979902</v>
      </c>
      <c r="F1213">
        <v>0.47144971814979902</v>
      </c>
      <c r="G1213">
        <v>0</v>
      </c>
      <c r="H1213">
        <v>0</v>
      </c>
      <c r="I1213" t="s">
        <v>58</v>
      </c>
    </row>
    <row r="1214" spans="1:9" x14ac:dyDescent="0.35">
      <c r="A1214" t="s">
        <v>27</v>
      </c>
      <c r="B1214">
        <v>2040</v>
      </c>
      <c r="C1214" t="s">
        <v>57</v>
      </c>
      <c r="D1214" t="s">
        <v>45</v>
      </c>
      <c r="E1214">
        <v>1.30616387548663E-3</v>
      </c>
      <c r="F1214">
        <v>1.30616387548663E-3</v>
      </c>
      <c r="G1214">
        <v>0</v>
      </c>
      <c r="H1214">
        <v>0</v>
      </c>
      <c r="I1214" t="s">
        <v>58</v>
      </c>
    </row>
    <row r="1215" spans="1:9" x14ac:dyDescent="0.35">
      <c r="A1215" t="s">
        <v>27</v>
      </c>
      <c r="B1215">
        <v>2040</v>
      </c>
      <c r="C1215" t="s">
        <v>57</v>
      </c>
      <c r="D1215" t="s">
        <v>46</v>
      </c>
      <c r="E1215">
        <v>3.9914952785088699E-2</v>
      </c>
      <c r="F1215">
        <v>3.9914952785088699E-2</v>
      </c>
      <c r="G1215">
        <v>0</v>
      </c>
      <c r="H1215">
        <v>0</v>
      </c>
      <c r="I1215" t="s">
        <v>58</v>
      </c>
    </row>
    <row r="1216" spans="1:9" x14ac:dyDescent="0.35">
      <c r="A1216" t="s">
        <v>27</v>
      </c>
      <c r="B1216">
        <v>2040</v>
      </c>
      <c r="C1216" t="s">
        <v>57</v>
      </c>
      <c r="D1216" t="s">
        <v>47</v>
      </c>
      <c r="E1216">
        <v>1.6784681302189799E-3</v>
      </c>
      <c r="F1216">
        <v>1.6784681302189799E-3</v>
      </c>
      <c r="G1216">
        <v>0</v>
      </c>
      <c r="H1216">
        <v>0</v>
      </c>
      <c r="I1216" t="s">
        <v>58</v>
      </c>
    </row>
    <row r="1217" spans="1:9" x14ac:dyDescent="0.35">
      <c r="A1217" t="s">
        <v>27</v>
      </c>
      <c r="B1217">
        <v>2040</v>
      </c>
      <c r="C1217" t="s">
        <v>57</v>
      </c>
      <c r="D1217" t="s">
        <v>48</v>
      </c>
      <c r="E1217">
        <v>5.0237138216086601</v>
      </c>
      <c r="F1217">
        <v>5.0237138216086601</v>
      </c>
      <c r="G1217">
        <v>0</v>
      </c>
      <c r="H1217">
        <v>0</v>
      </c>
      <c r="I1217" t="s">
        <v>58</v>
      </c>
    </row>
    <row r="1218" spans="1:9" x14ac:dyDescent="0.35">
      <c r="A1218" t="s">
        <v>27</v>
      </c>
      <c r="B1218">
        <v>2040</v>
      </c>
      <c r="C1218" t="s">
        <v>57</v>
      </c>
      <c r="D1218" t="s">
        <v>49</v>
      </c>
      <c r="E1218">
        <v>2.96029740825237E-3</v>
      </c>
      <c r="F1218">
        <v>2.96029740825237E-3</v>
      </c>
      <c r="G1218">
        <v>0</v>
      </c>
      <c r="H1218">
        <v>0</v>
      </c>
      <c r="I1218" t="s">
        <v>58</v>
      </c>
    </row>
    <row r="1219" spans="1:9" x14ac:dyDescent="0.35">
      <c r="A1219" t="s">
        <v>27</v>
      </c>
      <c r="B1219">
        <v>2040</v>
      </c>
      <c r="C1219" t="s">
        <v>57</v>
      </c>
      <c r="D1219" t="s">
        <v>50</v>
      </c>
      <c r="E1219">
        <v>1.5572597518555499E-2</v>
      </c>
      <c r="F1219">
        <v>1.5572597518555499E-2</v>
      </c>
      <c r="G1219">
        <v>0</v>
      </c>
      <c r="H1219">
        <v>0</v>
      </c>
      <c r="I1219" t="s">
        <v>58</v>
      </c>
    </row>
    <row r="1220" spans="1:9" x14ac:dyDescent="0.35">
      <c r="A1220" t="s">
        <v>27</v>
      </c>
      <c r="B1220">
        <v>2040</v>
      </c>
      <c r="C1220" t="s">
        <v>57</v>
      </c>
      <c r="D1220" t="s">
        <v>51</v>
      </c>
      <c r="E1220">
        <v>6.5007569315703298E-2</v>
      </c>
      <c r="F1220">
        <v>6.5007569315703298E-2</v>
      </c>
      <c r="G1220">
        <v>0</v>
      </c>
      <c r="H1220">
        <v>0</v>
      </c>
      <c r="I1220" t="s">
        <v>58</v>
      </c>
    </row>
    <row r="1221" spans="1:9" x14ac:dyDescent="0.35">
      <c r="A1221" t="s">
        <v>27</v>
      </c>
      <c r="B1221">
        <v>2040</v>
      </c>
      <c r="C1221" t="s">
        <v>57</v>
      </c>
      <c r="D1221" t="s">
        <v>52</v>
      </c>
      <c r="E1221">
        <v>2.0120806624630901E-2</v>
      </c>
      <c r="F1221">
        <v>2.0120806624630901E-2</v>
      </c>
      <c r="G1221">
        <v>0</v>
      </c>
      <c r="H1221">
        <v>0</v>
      </c>
      <c r="I1221" t="s">
        <v>58</v>
      </c>
    </row>
    <row r="1222" spans="1:9" x14ac:dyDescent="0.35">
      <c r="A1222" t="s">
        <v>27</v>
      </c>
      <c r="B1222">
        <v>2040</v>
      </c>
      <c r="C1222" t="s">
        <v>57</v>
      </c>
      <c r="D1222" t="s">
        <v>53</v>
      </c>
      <c r="E1222">
        <v>0.122056810442726</v>
      </c>
      <c r="F1222">
        <v>0.122056810442726</v>
      </c>
      <c r="G1222">
        <v>0</v>
      </c>
      <c r="H1222">
        <v>0</v>
      </c>
      <c r="I1222" t="s">
        <v>58</v>
      </c>
    </row>
    <row r="1223" spans="1:9" x14ac:dyDescent="0.35">
      <c r="A1223" t="s">
        <v>27</v>
      </c>
      <c r="B1223">
        <v>2040</v>
      </c>
      <c r="C1223" t="s">
        <v>57</v>
      </c>
      <c r="D1223" t="s">
        <v>54</v>
      </c>
      <c r="E1223">
        <v>1.10586763789007</v>
      </c>
      <c r="F1223">
        <v>1.10586763789007</v>
      </c>
      <c r="G1223">
        <v>0</v>
      </c>
      <c r="H1223">
        <v>0</v>
      </c>
      <c r="I1223" t="s">
        <v>58</v>
      </c>
    </row>
    <row r="1224" spans="1:9" x14ac:dyDescent="0.35">
      <c r="A1224" t="s">
        <v>27</v>
      </c>
      <c r="B1224">
        <v>2040</v>
      </c>
      <c r="C1224" t="s">
        <v>57</v>
      </c>
      <c r="D1224" t="s">
        <v>55</v>
      </c>
      <c r="E1224">
        <v>1.0098281620320899</v>
      </c>
      <c r="F1224">
        <v>1.0098281620320899</v>
      </c>
      <c r="G1224">
        <v>0</v>
      </c>
      <c r="H1224">
        <v>0</v>
      </c>
      <c r="I1224" t="s">
        <v>58</v>
      </c>
    </row>
    <row r="1225" spans="1:9" x14ac:dyDescent="0.35">
      <c r="A1225" t="s">
        <v>27</v>
      </c>
      <c r="B1225">
        <v>2040</v>
      </c>
      <c r="C1225" t="s">
        <v>57</v>
      </c>
      <c r="D1225" t="s">
        <v>56</v>
      </c>
      <c r="E1225" s="1">
        <v>5.3733828326065897E-8</v>
      </c>
      <c r="F1225" s="1">
        <v>5.3733828326065897E-8</v>
      </c>
      <c r="G1225">
        <v>0</v>
      </c>
      <c r="H1225">
        <v>0</v>
      </c>
      <c r="I1225" t="s">
        <v>58</v>
      </c>
    </row>
    <row r="1226" spans="1:9" x14ac:dyDescent="0.35">
      <c r="A1226" t="s">
        <v>21</v>
      </c>
      <c r="B1226">
        <v>2025</v>
      </c>
      <c r="C1226" t="s">
        <v>59</v>
      </c>
      <c r="D1226" t="s">
        <v>38</v>
      </c>
      <c r="E1226">
        <v>4.3881863634241403E-3</v>
      </c>
      <c r="F1226">
        <v>4.3881863634241403E-3</v>
      </c>
      <c r="G1226">
        <v>0</v>
      </c>
      <c r="H1226">
        <v>0</v>
      </c>
      <c r="I1226" t="s">
        <v>60</v>
      </c>
    </row>
    <row r="1227" spans="1:9" x14ac:dyDescent="0.35">
      <c r="A1227" t="s">
        <v>21</v>
      </c>
      <c r="B1227">
        <v>2025</v>
      </c>
      <c r="C1227" t="s">
        <v>59</v>
      </c>
      <c r="D1227" t="s">
        <v>40</v>
      </c>
      <c r="E1227">
        <v>4.6111683531456799E-3</v>
      </c>
      <c r="F1227">
        <v>4.6111683531456799E-3</v>
      </c>
      <c r="G1227">
        <v>0</v>
      </c>
      <c r="H1227">
        <v>0</v>
      </c>
      <c r="I1227" t="s">
        <v>60</v>
      </c>
    </row>
    <row r="1228" spans="1:9" x14ac:dyDescent="0.35">
      <c r="A1228" t="s">
        <v>21</v>
      </c>
      <c r="B1228">
        <v>2025</v>
      </c>
      <c r="C1228" t="s">
        <v>59</v>
      </c>
      <c r="D1228" t="s">
        <v>41</v>
      </c>
      <c r="E1228">
        <v>2.9637688473338999E-2</v>
      </c>
      <c r="F1228">
        <v>2.9637688473338999E-2</v>
      </c>
      <c r="G1228">
        <v>0</v>
      </c>
      <c r="H1228">
        <v>0</v>
      </c>
      <c r="I1228" t="s">
        <v>60</v>
      </c>
    </row>
    <row r="1229" spans="1:9" x14ac:dyDescent="0.35">
      <c r="A1229" t="s">
        <v>21</v>
      </c>
      <c r="B1229">
        <v>2025</v>
      </c>
      <c r="C1229" t="s">
        <v>59</v>
      </c>
      <c r="D1229" t="s">
        <v>42</v>
      </c>
      <c r="E1229">
        <v>18.053477960065401</v>
      </c>
      <c r="F1229">
        <v>18.053477960065401</v>
      </c>
      <c r="G1229">
        <v>0</v>
      </c>
      <c r="H1229">
        <v>0</v>
      </c>
      <c r="I1229" t="s">
        <v>60</v>
      </c>
    </row>
    <row r="1230" spans="1:9" x14ac:dyDescent="0.35">
      <c r="A1230" t="s">
        <v>21</v>
      </c>
      <c r="B1230">
        <v>2025</v>
      </c>
      <c r="C1230" t="s">
        <v>59</v>
      </c>
      <c r="D1230" t="s">
        <v>43</v>
      </c>
      <c r="E1230">
        <v>1.07447690070883E-2</v>
      </c>
      <c r="F1230">
        <v>1.07447690070883E-2</v>
      </c>
      <c r="G1230">
        <v>0</v>
      </c>
      <c r="H1230">
        <v>0</v>
      </c>
      <c r="I1230" t="s">
        <v>60</v>
      </c>
    </row>
    <row r="1231" spans="1:9" x14ac:dyDescent="0.35">
      <c r="A1231" t="s">
        <v>21</v>
      </c>
      <c r="B1231">
        <v>2025</v>
      </c>
      <c r="C1231" t="s">
        <v>59</v>
      </c>
      <c r="D1231" t="s">
        <v>136</v>
      </c>
      <c r="E1231">
        <v>5.5462882402146496</v>
      </c>
      <c r="F1231">
        <v>5.5462882402146496</v>
      </c>
      <c r="G1231">
        <v>0</v>
      </c>
      <c r="H1231">
        <v>0</v>
      </c>
      <c r="I1231" t="s">
        <v>60</v>
      </c>
    </row>
    <row r="1232" spans="1:9" x14ac:dyDescent="0.35">
      <c r="A1232" t="s">
        <v>21</v>
      </c>
      <c r="B1232">
        <v>2025</v>
      </c>
      <c r="C1232" t="s">
        <v>59</v>
      </c>
      <c r="D1232" t="s">
        <v>45</v>
      </c>
      <c r="E1232">
        <v>1.41218445057779E-2</v>
      </c>
      <c r="F1232">
        <v>1.41218445057779E-2</v>
      </c>
      <c r="G1232">
        <v>0</v>
      </c>
      <c r="H1232">
        <v>0</v>
      </c>
      <c r="I1232" t="s">
        <v>60</v>
      </c>
    </row>
    <row r="1233" spans="1:9" x14ac:dyDescent="0.35">
      <c r="A1233" t="s">
        <v>21</v>
      </c>
      <c r="B1233">
        <v>2025</v>
      </c>
      <c r="C1233" t="s">
        <v>59</v>
      </c>
      <c r="D1233" t="s">
        <v>46</v>
      </c>
      <c r="E1233">
        <v>0.11352822089504</v>
      </c>
      <c r="F1233">
        <v>0.11352822089504</v>
      </c>
      <c r="G1233">
        <v>0</v>
      </c>
      <c r="H1233">
        <v>0</v>
      </c>
      <c r="I1233" t="s">
        <v>60</v>
      </c>
    </row>
    <row r="1234" spans="1:9" x14ac:dyDescent="0.35">
      <c r="A1234" t="s">
        <v>21</v>
      </c>
      <c r="B1234">
        <v>2025</v>
      </c>
      <c r="C1234" t="s">
        <v>59</v>
      </c>
      <c r="D1234" t="s">
        <v>47</v>
      </c>
      <c r="E1234">
        <v>1.15955573043048E-2</v>
      </c>
      <c r="F1234">
        <v>1.15955573043048E-2</v>
      </c>
      <c r="G1234">
        <v>0</v>
      </c>
      <c r="H1234">
        <v>0</v>
      </c>
      <c r="I1234" t="s">
        <v>60</v>
      </c>
    </row>
    <row r="1235" spans="1:9" x14ac:dyDescent="0.35">
      <c r="A1235" t="s">
        <v>21</v>
      </c>
      <c r="B1235">
        <v>2025</v>
      </c>
      <c r="C1235" t="s">
        <v>59</v>
      </c>
      <c r="D1235" t="s">
        <v>48</v>
      </c>
      <c r="E1235">
        <v>36.093539851834997</v>
      </c>
      <c r="F1235">
        <v>36.093539851834997</v>
      </c>
      <c r="G1235">
        <v>0</v>
      </c>
      <c r="H1235">
        <v>0</v>
      </c>
      <c r="I1235" t="s">
        <v>60</v>
      </c>
    </row>
    <row r="1236" spans="1:9" x14ac:dyDescent="0.35">
      <c r="A1236" t="s">
        <v>21</v>
      </c>
      <c r="B1236">
        <v>2025</v>
      </c>
      <c r="C1236" t="s">
        <v>59</v>
      </c>
      <c r="D1236" t="s">
        <v>49</v>
      </c>
      <c r="E1236">
        <v>2.9486273835477399E-2</v>
      </c>
      <c r="F1236">
        <v>2.9486273835477399E-2</v>
      </c>
      <c r="G1236">
        <v>0</v>
      </c>
      <c r="H1236">
        <v>0</v>
      </c>
      <c r="I1236" t="s">
        <v>60</v>
      </c>
    </row>
    <row r="1237" spans="1:9" x14ac:dyDescent="0.35">
      <c r="A1237" t="s">
        <v>21</v>
      </c>
      <c r="B1237">
        <v>2025</v>
      </c>
      <c r="C1237" t="s">
        <v>59</v>
      </c>
      <c r="D1237" t="s">
        <v>50</v>
      </c>
      <c r="E1237">
        <v>0.114536506167248</v>
      </c>
      <c r="F1237">
        <v>0.114536506167248</v>
      </c>
      <c r="G1237">
        <v>0</v>
      </c>
      <c r="H1237">
        <v>0</v>
      </c>
      <c r="I1237" t="s">
        <v>60</v>
      </c>
    </row>
    <row r="1238" spans="1:9" x14ac:dyDescent="0.35">
      <c r="A1238" t="s">
        <v>21</v>
      </c>
      <c r="B1238">
        <v>2025</v>
      </c>
      <c r="C1238" t="s">
        <v>59</v>
      </c>
      <c r="D1238" t="s">
        <v>51</v>
      </c>
      <c r="E1238">
        <v>0.48658631326734902</v>
      </c>
      <c r="F1238">
        <v>0.48658631326734902</v>
      </c>
      <c r="G1238">
        <v>0</v>
      </c>
      <c r="H1238">
        <v>0</v>
      </c>
      <c r="I1238" t="s">
        <v>60</v>
      </c>
    </row>
    <row r="1239" spans="1:9" x14ac:dyDescent="0.35">
      <c r="A1239" t="s">
        <v>21</v>
      </c>
      <c r="B1239">
        <v>2025</v>
      </c>
      <c r="C1239" t="s">
        <v>59</v>
      </c>
      <c r="D1239" t="s">
        <v>52</v>
      </c>
      <c r="E1239">
        <v>0.76074673931717895</v>
      </c>
      <c r="F1239">
        <v>0.76074673931717895</v>
      </c>
      <c r="G1239">
        <v>0</v>
      </c>
      <c r="H1239">
        <v>0</v>
      </c>
      <c r="I1239" t="s">
        <v>60</v>
      </c>
    </row>
    <row r="1240" spans="1:9" x14ac:dyDescent="0.35">
      <c r="A1240" t="s">
        <v>21</v>
      </c>
      <c r="B1240">
        <v>2025</v>
      </c>
      <c r="C1240" t="s">
        <v>59</v>
      </c>
      <c r="D1240" t="s">
        <v>53</v>
      </c>
      <c r="E1240">
        <v>1.64603860709553</v>
      </c>
      <c r="F1240">
        <v>1.64603860709553</v>
      </c>
      <c r="G1240">
        <v>0</v>
      </c>
      <c r="H1240">
        <v>0</v>
      </c>
      <c r="I1240" t="s">
        <v>60</v>
      </c>
    </row>
    <row r="1241" spans="1:9" x14ac:dyDescent="0.35">
      <c r="A1241" t="s">
        <v>21</v>
      </c>
      <c r="B1241">
        <v>2025</v>
      </c>
      <c r="C1241" t="s">
        <v>59</v>
      </c>
      <c r="D1241" t="s">
        <v>54</v>
      </c>
      <c r="E1241">
        <v>7.2234566049923599</v>
      </c>
      <c r="F1241">
        <v>7.2234566049923599</v>
      </c>
      <c r="G1241">
        <v>0</v>
      </c>
      <c r="H1241">
        <v>0</v>
      </c>
      <c r="I1241" t="s">
        <v>60</v>
      </c>
    </row>
    <row r="1242" spans="1:9" x14ac:dyDescent="0.35">
      <c r="A1242" t="s">
        <v>21</v>
      </c>
      <c r="B1242">
        <v>2025</v>
      </c>
      <c r="C1242" t="s">
        <v>59</v>
      </c>
      <c r="D1242" t="s">
        <v>55</v>
      </c>
      <c r="E1242">
        <v>6.6070377678639796</v>
      </c>
      <c r="F1242">
        <v>6.6070377678639796</v>
      </c>
      <c r="G1242">
        <v>0</v>
      </c>
      <c r="H1242">
        <v>0</v>
      </c>
      <c r="I1242" t="s">
        <v>60</v>
      </c>
    </row>
    <row r="1243" spans="1:9" x14ac:dyDescent="0.35">
      <c r="A1243" t="s">
        <v>21</v>
      </c>
      <c r="B1243">
        <v>2025</v>
      </c>
      <c r="C1243" t="s">
        <v>59</v>
      </c>
      <c r="D1243" t="s">
        <v>56</v>
      </c>
      <c r="E1243" s="1">
        <v>7.1698986012356002E-7</v>
      </c>
      <c r="F1243" s="1">
        <v>7.1698986012356002E-7</v>
      </c>
      <c r="G1243">
        <v>0</v>
      </c>
      <c r="H1243">
        <v>0</v>
      </c>
      <c r="I1243" t="s">
        <v>60</v>
      </c>
    </row>
    <row r="1244" spans="1:9" x14ac:dyDescent="0.35">
      <c r="A1244" t="s">
        <v>23</v>
      </c>
      <c r="B1244">
        <v>2030</v>
      </c>
      <c r="C1244" t="s">
        <v>59</v>
      </c>
      <c r="D1244" t="s">
        <v>38</v>
      </c>
      <c r="E1244">
        <v>6.6048422938443504E-3</v>
      </c>
      <c r="F1244">
        <v>6.6048422938443504E-3</v>
      </c>
      <c r="G1244">
        <v>0</v>
      </c>
      <c r="H1244">
        <v>0</v>
      </c>
      <c r="I1244" t="s">
        <v>60</v>
      </c>
    </row>
    <row r="1245" spans="1:9" x14ac:dyDescent="0.35">
      <c r="A1245" t="s">
        <v>23</v>
      </c>
      <c r="B1245">
        <v>2030</v>
      </c>
      <c r="C1245" t="s">
        <v>59</v>
      </c>
      <c r="D1245" t="s">
        <v>40</v>
      </c>
      <c r="E1245">
        <v>4.5516830062283103E-3</v>
      </c>
      <c r="F1245">
        <v>4.5516830062283103E-3</v>
      </c>
      <c r="G1245">
        <v>0</v>
      </c>
      <c r="H1245">
        <v>0</v>
      </c>
      <c r="I1245" t="s">
        <v>60</v>
      </c>
    </row>
    <row r="1246" spans="1:9" x14ac:dyDescent="0.35">
      <c r="A1246" t="s">
        <v>23</v>
      </c>
      <c r="B1246">
        <v>2030</v>
      </c>
      <c r="C1246" t="s">
        <v>59</v>
      </c>
      <c r="D1246" t="s">
        <v>41</v>
      </c>
      <c r="E1246">
        <v>3.11496941835861E-2</v>
      </c>
      <c r="F1246">
        <v>3.11496941835861E-2</v>
      </c>
      <c r="G1246">
        <v>0</v>
      </c>
      <c r="H1246">
        <v>0</v>
      </c>
      <c r="I1246" t="s">
        <v>60</v>
      </c>
    </row>
    <row r="1247" spans="1:9" x14ac:dyDescent="0.35">
      <c r="A1247" t="s">
        <v>23</v>
      </c>
      <c r="B1247">
        <v>2030</v>
      </c>
      <c r="C1247" t="s">
        <v>59</v>
      </c>
      <c r="D1247" t="s">
        <v>42</v>
      </c>
      <c r="E1247">
        <v>18.0288984331326</v>
      </c>
      <c r="F1247">
        <v>18.0288984331326</v>
      </c>
      <c r="G1247">
        <v>0</v>
      </c>
      <c r="H1247">
        <v>0</v>
      </c>
      <c r="I1247" t="s">
        <v>60</v>
      </c>
    </row>
    <row r="1248" spans="1:9" x14ac:dyDescent="0.35">
      <c r="A1248" t="s">
        <v>23</v>
      </c>
      <c r="B1248">
        <v>2030</v>
      </c>
      <c r="C1248" t="s">
        <v>59</v>
      </c>
      <c r="D1248" t="s">
        <v>43</v>
      </c>
      <c r="E1248">
        <v>1.18649985681335E-2</v>
      </c>
      <c r="F1248">
        <v>1.18649985681335E-2</v>
      </c>
      <c r="G1248">
        <v>0</v>
      </c>
      <c r="H1248">
        <v>0</v>
      </c>
      <c r="I1248" t="s">
        <v>60</v>
      </c>
    </row>
    <row r="1249" spans="1:9" x14ac:dyDescent="0.35">
      <c r="A1249" t="s">
        <v>23</v>
      </c>
      <c r="B1249">
        <v>2030</v>
      </c>
      <c r="C1249" t="s">
        <v>59</v>
      </c>
      <c r="D1249" t="s">
        <v>136</v>
      </c>
      <c r="E1249">
        <v>5.37250946805894</v>
      </c>
      <c r="F1249">
        <v>5.37250946805894</v>
      </c>
      <c r="G1249">
        <v>0</v>
      </c>
      <c r="H1249">
        <v>0</v>
      </c>
      <c r="I1249" t="s">
        <v>60</v>
      </c>
    </row>
    <row r="1250" spans="1:9" x14ac:dyDescent="0.35">
      <c r="A1250" t="s">
        <v>23</v>
      </c>
      <c r="B1250">
        <v>2030</v>
      </c>
      <c r="C1250" t="s">
        <v>59</v>
      </c>
      <c r="D1250" t="s">
        <v>45</v>
      </c>
      <c r="E1250">
        <v>1.3960969110391399E-2</v>
      </c>
      <c r="F1250">
        <v>1.3960969110391399E-2</v>
      </c>
      <c r="G1250">
        <v>0</v>
      </c>
      <c r="H1250">
        <v>0</v>
      </c>
      <c r="I1250" t="s">
        <v>60</v>
      </c>
    </row>
    <row r="1251" spans="1:9" x14ac:dyDescent="0.35">
      <c r="A1251" t="s">
        <v>23</v>
      </c>
      <c r="B1251">
        <v>2030</v>
      </c>
      <c r="C1251" t="s">
        <v>59</v>
      </c>
      <c r="D1251" t="s">
        <v>46</v>
      </c>
      <c r="E1251">
        <v>0.238706170447402</v>
      </c>
      <c r="F1251">
        <v>0.238706170447402</v>
      </c>
      <c r="G1251">
        <v>0</v>
      </c>
      <c r="H1251">
        <v>0</v>
      </c>
      <c r="I1251" t="s">
        <v>60</v>
      </c>
    </row>
    <row r="1252" spans="1:9" x14ac:dyDescent="0.35">
      <c r="A1252" t="s">
        <v>23</v>
      </c>
      <c r="B1252">
        <v>2030</v>
      </c>
      <c r="C1252" t="s">
        <v>59</v>
      </c>
      <c r="D1252" t="s">
        <v>47</v>
      </c>
      <c r="E1252">
        <v>1.16244861951791E-2</v>
      </c>
      <c r="F1252">
        <v>1.16244861951791E-2</v>
      </c>
      <c r="G1252">
        <v>0</v>
      </c>
      <c r="H1252">
        <v>0</v>
      </c>
      <c r="I1252" t="s">
        <v>60</v>
      </c>
    </row>
    <row r="1253" spans="1:9" x14ac:dyDescent="0.35">
      <c r="A1253" t="s">
        <v>23</v>
      </c>
      <c r="B1253">
        <v>2030</v>
      </c>
      <c r="C1253" t="s">
        <v>59</v>
      </c>
      <c r="D1253" t="s">
        <v>48</v>
      </c>
      <c r="E1253">
        <v>36.093524982988399</v>
      </c>
      <c r="F1253">
        <v>36.093524982988399</v>
      </c>
      <c r="G1253">
        <v>0</v>
      </c>
      <c r="H1253">
        <v>0</v>
      </c>
      <c r="I1253" t="s">
        <v>60</v>
      </c>
    </row>
    <row r="1254" spans="1:9" x14ac:dyDescent="0.35">
      <c r="A1254" t="s">
        <v>23</v>
      </c>
      <c r="B1254">
        <v>2030</v>
      </c>
      <c r="C1254" t="s">
        <v>59</v>
      </c>
      <c r="D1254" t="s">
        <v>49</v>
      </c>
      <c r="E1254">
        <v>3.0141407172576899E-2</v>
      </c>
      <c r="F1254">
        <v>3.0141407172576899E-2</v>
      </c>
      <c r="G1254">
        <v>0</v>
      </c>
      <c r="H1254">
        <v>0</v>
      </c>
      <c r="I1254" t="s">
        <v>60</v>
      </c>
    </row>
    <row r="1255" spans="1:9" x14ac:dyDescent="0.35">
      <c r="A1255" t="s">
        <v>23</v>
      </c>
      <c r="B1255">
        <v>2030</v>
      </c>
      <c r="C1255" t="s">
        <v>59</v>
      </c>
      <c r="D1255" t="s">
        <v>50</v>
      </c>
      <c r="E1255">
        <v>0.12288050228622401</v>
      </c>
      <c r="F1255">
        <v>0.12288050228622401</v>
      </c>
      <c r="G1255">
        <v>0</v>
      </c>
      <c r="H1255">
        <v>0</v>
      </c>
      <c r="I1255" t="s">
        <v>60</v>
      </c>
    </row>
    <row r="1256" spans="1:9" x14ac:dyDescent="0.35">
      <c r="A1256" t="s">
        <v>23</v>
      </c>
      <c r="B1256">
        <v>2030</v>
      </c>
      <c r="C1256" t="s">
        <v>59</v>
      </c>
      <c r="D1256" t="s">
        <v>51</v>
      </c>
      <c r="E1256">
        <v>0.485099099008656</v>
      </c>
      <c r="F1256">
        <v>0.485099099008656</v>
      </c>
      <c r="G1256">
        <v>0</v>
      </c>
      <c r="H1256">
        <v>0</v>
      </c>
      <c r="I1256" t="s">
        <v>60</v>
      </c>
    </row>
    <row r="1257" spans="1:9" x14ac:dyDescent="0.35">
      <c r="A1257" t="s">
        <v>23</v>
      </c>
      <c r="B1257">
        <v>2030</v>
      </c>
      <c r="C1257" t="s">
        <v>59</v>
      </c>
      <c r="D1257" t="s">
        <v>52</v>
      </c>
      <c r="E1257">
        <v>0.70644520675159705</v>
      </c>
      <c r="F1257">
        <v>0.70644520675159705</v>
      </c>
      <c r="G1257">
        <v>0</v>
      </c>
      <c r="H1257">
        <v>0</v>
      </c>
      <c r="I1257" t="s">
        <v>60</v>
      </c>
    </row>
    <row r="1258" spans="1:9" x14ac:dyDescent="0.35">
      <c r="A1258" t="s">
        <v>23</v>
      </c>
      <c r="B1258">
        <v>2030</v>
      </c>
      <c r="C1258" t="s">
        <v>59</v>
      </c>
      <c r="D1258" t="s">
        <v>53</v>
      </c>
      <c r="E1258">
        <v>1.5932477840545101</v>
      </c>
      <c r="F1258">
        <v>1.5932477840545101</v>
      </c>
      <c r="G1258">
        <v>0</v>
      </c>
      <c r="H1258">
        <v>0</v>
      </c>
      <c r="I1258" t="s">
        <v>60</v>
      </c>
    </row>
    <row r="1259" spans="1:9" x14ac:dyDescent="0.35">
      <c r="A1259" t="s">
        <v>23</v>
      </c>
      <c r="B1259">
        <v>2030</v>
      </c>
      <c r="C1259" t="s">
        <v>59</v>
      </c>
      <c r="D1259" t="s">
        <v>54</v>
      </c>
      <c r="E1259">
        <v>7.2276334066699102</v>
      </c>
      <c r="F1259">
        <v>7.2276334066699102</v>
      </c>
      <c r="G1259">
        <v>0</v>
      </c>
      <c r="H1259">
        <v>0</v>
      </c>
      <c r="I1259" t="s">
        <v>60</v>
      </c>
    </row>
    <row r="1260" spans="1:9" x14ac:dyDescent="0.35">
      <c r="A1260" t="s">
        <v>23</v>
      </c>
      <c r="B1260">
        <v>2030</v>
      </c>
      <c r="C1260" t="s">
        <v>59</v>
      </c>
      <c r="D1260" t="s">
        <v>55</v>
      </c>
      <c r="E1260">
        <v>6.6097059458499698</v>
      </c>
      <c r="F1260">
        <v>6.6097059458499698</v>
      </c>
      <c r="G1260">
        <v>0</v>
      </c>
      <c r="H1260">
        <v>0</v>
      </c>
      <c r="I1260" t="s">
        <v>60</v>
      </c>
    </row>
    <row r="1261" spans="1:9" x14ac:dyDescent="0.35">
      <c r="A1261" t="s">
        <v>23</v>
      </c>
      <c r="B1261">
        <v>2030</v>
      </c>
      <c r="C1261" t="s">
        <v>59</v>
      </c>
      <c r="D1261" t="s">
        <v>56</v>
      </c>
      <c r="E1261" s="1">
        <v>6.6900813724159396E-7</v>
      </c>
      <c r="F1261" s="1">
        <v>6.6900813724159396E-7</v>
      </c>
      <c r="G1261">
        <v>0</v>
      </c>
      <c r="H1261">
        <v>0</v>
      </c>
      <c r="I1261" t="s">
        <v>60</v>
      </c>
    </row>
    <row r="1262" spans="1:9" x14ac:dyDescent="0.35">
      <c r="A1262" t="s">
        <v>25</v>
      </c>
      <c r="B1262">
        <v>2035</v>
      </c>
      <c r="C1262" t="s">
        <v>59</v>
      </c>
      <c r="D1262" t="s">
        <v>38</v>
      </c>
      <c r="E1262">
        <v>8.4175209512936493E-3</v>
      </c>
      <c r="F1262">
        <v>8.4175209512936493E-3</v>
      </c>
      <c r="G1262">
        <v>0</v>
      </c>
      <c r="H1262">
        <v>0</v>
      </c>
      <c r="I1262" t="s">
        <v>60</v>
      </c>
    </row>
    <row r="1263" spans="1:9" x14ac:dyDescent="0.35">
      <c r="A1263" t="s">
        <v>25</v>
      </c>
      <c r="B1263">
        <v>2035</v>
      </c>
      <c r="C1263" t="s">
        <v>59</v>
      </c>
      <c r="D1263" t="s">
        <v>40</v>
      </c>
      <c r="E1263">
        <v>4.5286838165014397E-3</v>
      </c>
      <c r="F1263">
        <v>4.5286838165014397E-3</v>
      </c>
      <c r="G1263">
        <v>0</v>
      </c>
      <c r="H1263">
        <v>0</v>
      </c>
      <c r="I1263" t="s">
        <v>60</v>
      </c>
    </row>
    <row r="1264" spans="1:9" x14ac:dyDescent="0.35">
      <c r="A1264" t="s">
        <v>25</v>
      </c>
      <c r="B1264">
        <v>2035</v>
      </c>
      <c r="C1264" t="s">
        <v>59</v>
      </c>
      <c r="D1264" t="s">
        <v>41</v>
      </c>
      <c r="E1264">
        <v>3.08580110221491E-2</v>
      </c>
      <c r="F1264">
        <v>3.08580110221491E-2</v>
      </c>
      <c r="G1264">
        <v>0</v>
      </c>
      <c r="H1264">
        <v>0</v>
      </c>
      <c r="I1264" t="s">
        <v>60</v>
      </c>
    </row>
    <row r="1265" spans="1:9" x14ac:dyDescent="0.35">
      <c r="A1265" t="s">
        <v>25</v>
      </c>
      <c r="B1265">
        <v>2035</v>
      </c>
      <c r="C1265" t="s">
        <v>59</v>
      </c>
      <c r="D1265" t="s">
        <v>42</v>
      </c>
      <c r="E1265">
        <v>18.101925197729901</v>
      </c>
      <c r="F1265">
        <v>18.101925197729901</v>
      </c>
      <c r="G1265">
        <v>0</v>
      </c>
      <c r="H1265">
        <v>0</v>
      </c>
      <c r="I1265" t="s">
        <v>60</v>
      </c>
    </row>
    <row r="1266" spans="1:9" x14ac:dyDescent="0.35">
      <c r="A1266" t="s">
        <v>25</v>
      </c>
      <c r="B1266">
        <v>2035</v>
      </c>
      <c r="C1266" t="s">
        <v>59</v>
      </c>
      <c r="D1266" t="s">
        <v>43</v>
      </c>
      <c r="E1266">
        <v>1.22010631936627E-2</v>
      </c>
      <c r="F1266">
        <v>1.22010631936627E-2</v>
      </c>
      <c r="G1266">
        <v>0</v>
      </c>
      <c r="H1266">
        <v>0</v>
      </c>
      <c r="I1266" t="s">
        <v>60</v>
      </c>
    </row>
    <row r="1267" spans="1:9" x14ac:dyDescent="0.35">
      <c r="A1267" t="s">
        <v>25</v>
      </c>
      <c r="B1267">
        <v>2035</v>
      </c>
      <c r="C1267" t="s">
        <v>59</v>
      </c>
      <c r="D1267" t="s">
        <v>136</v>
      </c>
      <c r="E1267">
        <v>5.35025386164072</v>
      </c>
      <c r="F1267">
        <v>5.35025386164072</v>
      </c>
      <c r="G1267">
        <v>0</v>
      </c>
      <c r="H1267">
        <v>0</v>
      </c>
      <c r="I1267" t="s">
        <v>60</v>
      </c>
    </row>
    <row r="1268" spans="1:9" x14ac:dyDescent="0.35">
      <c r="A1268" t="s">
        <v>25</v>
      </c>
      <c r="B1268">
        <v>2035</v>
      </c>
      <c r="C1268" t="s">
        <v>59</v>
      </c>
      <c r="D1268" t="s">
        <v>45</v>
      </c>
      <c r="E1268">
        <v>1.35950739792421E-2</v>
      </c>
      <c r="F1268">
        <v>1.35950739792421E-2</v>
      </c>
      <c r="G1268">
        <v>0</v>
      </c>
      <c r="H1268">
        <v>0</v>
      </c>
      <c r="I1268" t="s">
        <v>60</v>
      </c>
    </row>
    <row r="1269" spans="1:9" x14ac:dyDescent="0.35">
      <c r="A1269" t="s">
        <v>25</v>
      </c>
      <c r="B1269">
        <v>2035</v>
      </c>
      <c r="C1269" t="s">
        <v>59</v>
      </c>
      <c r="D1269" t="s">
        <v>46</v>
      </c>
      <c r="E1269">
        <v>0.38147231042086599</v>
      </c>
      <c r="F1269">
        <v>0.38147231042086599</v>
      </c>
      <c r="G1269">
        <v>0</v>
      </c>
      <c r="H1269">
        <v>0</v>
      </c>
      <c r="I1269" t="s">
        <v>60</v>
      </c>
    </row>
    <row r="1270" spans="1:9" x14ac:dyDescent="0.35">
      <c r="A1270" t="s">
        <v>25</v>
      </c>
      <c r="B1270">
        <v>2035</v>
      </c>
      <c r="C1270" t="s">
        <v>59</v>
      </c>
      <c r="D1270" t="s">
        <v>47</v>
      </c>
      <c r="E1270">
        <v>1.17550915041155E-2</v>
      </c>
      <c r="F1270">
        <v>1.17550915041155E-2</v>
      </c>
      <c r="G1270">
        <v>0</v>
      </c>
      <c r="H1270">
        <v>0</v>
      </c>
      <c r="I1270" t="s">
        <v>60</v>
      </c>
    </row>
    <row r="1271" spans="1:9" x14ac:dyDescent="0.35">
      <c r="A1271" t="s">
        <v>25</v>
      </c>
      <c r="B1271">
        <v>2035</v>
      </c>
      <c r="C1271" t="s">
        <v>59</v>
      </c>
      <c r="D1271" t="s">
        <v>48</v>
      </c>
      <c r="E1271">
        <v>36.098740459155401</v>
      </c>
      <c r="F1271">
        <v>36.098740459155401</v>
      </c>
      <c r="G1271">
        <v>0</v>
      </c>
      <c r="H1271">
        <v>0</v>
      </c>
      <c r="I1271" t="s">
        <v>60</v>
      </c>
    </row>
    <row r="1272" spans="1:9" x14ac:dyDescent="0.35">
      <c r="A1272" t="s">
        <v>25</v>
      </c>
      <c r="B1272">
        <v>2035</v>
      </c>
      <c r="C1272" t="s">
        <v>59</v>
      </c>
      <c r="D1272" t="s">
        <v>49</v>
      </c>
      <c r="E1272">
        <v>3.00366020824911E-2</v>
      </c>
      <c r="F1272">
        <v>3.00366020824911E-2</v>
      </c>
      <c r="G1272">
        <v>0</v>
      </c>
      <c r="H1272">
        <v>0</v>
      </c>
      <c r="I1272" t="s">
        <v>60</v>
      </c>
    </row>
    <row r="1273" spans="1:9" x14ac:dyDescent="0.35">
      <c r="A1273" t="s">
        <v>25</v>
      </c>
      <c r="B1273">
        <v>2035</v>
      </c>
      <c r="C1273" t="s">
        <v>59</v>
      </c>
      <c r="D1273" t="s">
        <v>50</v>
      </c>
      <c r="E1273">
        <v>0.129899134154323</v>
      </c>
      <c r="F1273">
        <v>0.129899134154323</v>
      </c>
      <c r="G1273">
        <v>0</v>
      </c>
      <c r="H1273">
        <v>0</v>
      </c>
      <c r="I1273" t="s">
        <v>60</v>
      </c>
    </row>
    <row r="1274" spans="1:9" x14ac:dyDescent="0.35">
      <c r="A1274" t="s">
        <v>25</v>
      </c>
      <c r="B1274">
        <v>2035</v>
      </c>
      <c r="C1274" t="s">
        <v>59</v>
      </c>
      <c r="D1274" t="s">
        <v>51</v>
      </c>
      <c r="E1274">
        <v>0.48636013951406598</v>
      </c>
      <c r="F1274">
        <v>0.48636013951406598</v>
      </c>
      <c r="G1274">
        <v>0</v>
      </c>
      <c r="H1274">
        <v>0</v>
      </c>
      <c r="I1274" t="s">
        <v>60</v>
      </c>
    </row>
    <row r="1275" spans="1:9" x14ac:dyDescent="0.35">
      <c r="A1275" t="s">
        <v>25</v>
      </c>
      <c r="B1275">
        <v>2035</v>
      </c>
      <c r="C1275" t="s">
        <v>59</v>
      </c>
      <c r="D1275" t="s">
        <v>52</v>
      </c>
      <c r="E1275">
        <v>0.658860809910084</v>
      </c>
      <c r="F1275">
        <v>0.658860809910084</v>
      </c>
      <c r="G1275">
        <v>0</v>
      </c>
      <c r="H1275">
        <v>0</v>
      </c>
      <c r="I1275" t="s">
        <v>60</v>
      </c>
    </row>
    <row r="1276" spans="1:9" x14ac:dyDescent="0.35">
      <c r="A1276" t="s">
        <v>25</v>
      </c>
      <c r="B1276">
        <v>2035</v>
      </c>
      <c r="C1276" t="s">
        <v>59</v>
      </c>
      <c r="D1276" t="s">
        <v>53</v>
      </c>
      <c r="E1276">
        <v>1.5894763714112801</v>
      </c>
      <c r="F1276">
        <v>1.5894763714112801</v>
      </c>
      <c r="G1276">
        <v>0</v>
      </c>
      <c r="H1276">
        <v>0</v>
      </c>
      <c r="I1276" t="s">
        <v>60</v>
      </c>
    </row>
    <row r="1277" spans="1:9" x14ac:dyDescent="0.35">
      <c r="A1277" t="s">
        <v>25</v>
      </c>
      <c r="B1277">
        <v>2035</v>
      </c>
      <c r="C1277" t="s">
        <v>59</v>
      </c>
      <c r="D1277" t="s">
        <v>54</v>
      </c>
      <c r="E1277">
        <v>7.2331938747702198</v>
      </c>
      <c r="F1277">
        <v>7.2331938747702198</v>
      </c>
      <c r="G1277">
        <v>0</v>
      </c>
      <c r="H1277">
        <v>0</v>
      </c>
      <c r="I1277" t="s">
        <v>60</v>
      </c>
    </row>
    <row r="1278" spans="1:9" x14ac:dyDescent="0.35">
      <c r="A1278" t="s">
        <v>25</v>
      </c>
      <c r="B1278">
        <v>2035</v>
      </c>
      <c r="C1278" t="s">
        <v>59</v>
      </c>
      <c r="D1278" t="s">
        <v>55</v>
      </c>
      <c r="E1278">
        <v>6.6142616062477897</v>
      </c>
      <c r="F1278">
        <v>6.6142616062477897</v>
      </c>
      <c r="G1278">
        <v>0</v>
      </c>
      <c r="H1278">
        <v>0</v>
      </c>
      <c r="I1278" t="s">
        <v>60</v>
      </c>
    </row>
    <row r="1279" spans="1:9" x14ac:dyDescent="0.35">
      <c r="A1279" t="s">
        <v>25</v>
      </c>
      <c r="B1279">
        <v>2035</v>
      </c>
      <c r="C1279" t="s">
        <v>59</v>
      </c>
      <c r="D1279" t="s">
        <v>56</v>
      </c>
      <c r="E1279" s="1">
        <v>6.5124982285841898E-7</v>
      </c>
      <c r="F1279" s="1">
        <v>6.5124982285841898E-7</v>
      </c>
      <c r="G1279">
        <v>0</v>
      </c>
      <c r="H1279">
        <v>0</v>
      </c>
      <c r="I1279" t="s">
        <v>60</v>
      </c>
    </row>
    <row r="1280" spans="1:9" x14ac:dyDescent="0.35">
      <c r="A1280" t="s">
        <v>27</v>
      </c>
      <c r="B1280">
        <v>2040</v>
      </c>
      <c r="C1280" t="s">
        <v>59</v>
      </c>
      <c r="D1280" t="s">
        <v>38</v>
      </c>
      <c r="E1280">
        <v>7.6381783942830496E-3</v>
      </c>
      <c r="F1280">
        <v>7.6381783942830496E-3</v>
      </c>
      <c r="G1280">
        <v>0</v>
      </c>
      <c r="H1280">
        <v>0</v>
      </c>
      <c r="I1280" t="s">
        <v>60</v>
      </c>
    </row>
    <row r="1281" spans="1:9" x14ac:dyDescent="0.35">
      <c r="A1281" t="s">
        <v>27</v>
      </c>
      <c r="B1281">
        <v>2040</v>
      </c>
      <c r="C1281" t="s">
        <v>59</v>
      </c>
      <c r="D1281" t="s">
        <v>40</v>
      </c>
      <c r="E1281">
        <v>4.5458061415532503E-3</v>
      </c>
      <c r="F1281">
        <v>4.5458061415532503E-3</v>
      </c>
      <c r="G1281">
        <v>0</v>
      </c>
      <c r="H1281">
        <v>0</v>
      </c>
      <c r="I1281" t="s">
        <v>60</v>
      </c>
    </row>
    <row r="1282" spans="1:9" x14ac:dyDescent="0.35">
      <c r="A1282" t="s">
        <v>27</v>
      </c>
      <c r="B1282">
        <v>2040</v>
      </c>
      <c r="C1282" t="s">
        <v>59</v>
      </c>
      <c r="D1282" t="s">
        <v>41</v>
      </c>
      <c r="E1282">
        <v>3.0726057344593501E-2</v>
      </c>
      <c r="F1282">
        <v>3.0726057344593501E-2</v>
      </c>
      <c r="G1282">
        <v>0</v>
      </c>
      <c r="H1282">
        <v>0</v>
      </c>
      <c r="I1282" t="s">
        <v>60</v>
      </c>
    </row>
    <row r="1283" spans="1:9" x14ac:dyDescent="0.35">
      <c r="A1283" t="s">
        <v>27</v>
      </c>
      <c r="B1283">
        <v>2040</v>
      </c>
      <c r="C1283" t="s">
        <v>59</v>
      </c>
      <c r="D1283" t="s">
        <v>42</v>
      </c>
      <c r="E1283">
        <v>18.198277839268599</v>
      </c>
      <c r="F1283">
        <v>18.198277839268599</v>
      </c>
      <c r="G1283">
        <v>0</v>
      </c>
      <c r="H1283">
        <v>0</v>
      </c>
      <c r="I1283" t="s">
        <v>60</v>
      </c>
    </row>
    <row r="1284" spans="1:9" x14ac:dyDescent="0.35">
      <c r="A1284" t="s">
        <v>27</v>
      </c>
      <c r="B1284">
        <v>2040</v>
      </c>
      <c r="C1284" t="s">
        <v>59</v>
      </c>
      <c r="D1284" t="s">
        <v>43</v>
      </c>
      <c r="E1284">
        <v>1.2005189272948099E-2</v>
      </c>
      <c r="F1284">
        <v>1.2005189272948099E-2</v>
      </c>
      <c r="G1284">
        <v>0</v>
      </c>
      <c r="H1284">
        <v>0</v>
      </c>
      <c r="I1284" t="s">
        <v>60</v>
      </c>
    </row>
    <row r="1285" spans="1:9" x14ac:dyDescent="0.35">
      <c r="A1285" t="s">
        <v>27</v>
      </c>
      <c r="B1285">
        <v>2040</v>
      </c>
      <c r="C1285" t="s">
        <v>59</v>
      </c>
      <c r="D1285" t="s">
        <v>136</v>
      </c>
      <c r="E1285">
        <v>5.3934382976055399</v>
      </c>
      <c r="F1285">
        <v>5.3934382976055399</v>
      </c>
      <c r="G1285">
        <v>0</v>
      </c>
      <c r="H1285">
        <v>0</v>
      </c>
      <c r="I1285" t="s">
        <v>60</v>
      </c>
    </row>
    <row r="1286" spans="1:9" x14ac:dyDescent="0.35">
      <c r="A1286" t="s">
        <v>27</v>
      </c>
      <c r="B1286">
        <v>2040</v>
      </c>
      <c r="C1286" t="s">
        <v>59</v>
      </c>
      <c r="D1286" t="s">
        <v>45</v>
      </c>
      <c r="E1286">
        <v>1.33568900945416E-2</v>
      </c>
      <c r="F1286">
        <v>1.33568900945416E-2</v>
      </c>
      <c r="G1286">
        <v>0</v>
      </c>
      <c r="H1286">
        <v>0</v>
      </c>
      <c r="I1286" t="s">
        <v>60</v>
      </c>
    </row>
    <row r="1287" spans="1:9" x14ac:dyDescent="0.35">
      <c r="A1287" t="s">
        <v>27</v>
      </c>
      <c r="B1287">
        <v>2040</v>
      </c>
      <c r="C1287" t="s">
        <v>59</v>
      </c>
      <c r="D1287" t="s">
        <v>46</v>
      </c>
      <c r="E1287">
        <v>0.45380713710825699</v>
      </c>
      <c r="F1287">
        <v>0.45380713710825699</v>
      </c>
      <c r="G1287">
        <v>0</v>
      </c>
      <c r="H1287">
        <v>0</v>
      </c>
      <c r="I1287" t="s">
        <v>60</v>
      </c>
    </row>
    <row r="1288" spans="1:9" x14ac:dyDescent="0.35">
      <c r="A1288" t="s">
        <v>27</v>
      </c>
      <c r="B1288">
        <v>2040</v>
      </c>
      <c r="C1288" t="s">
        <v>59</v>
      </c>
      <c r="D1288" t="s">
        <v>47</v>
      </c>
      <c r="E1288">
        <v>1.1911140007729399E-2</v>
      </c>
      <c r="F1288">
        <v>1.1911140007729399E-2</v>
      </c>
      <c r="G1288">
        <v>0</v>
      </c>
      <c r="H1288">
        <v>0</v>
      </c>
      <c r="I1288" t="s">
        <v>60</v>
      </c>
    </row>
    <row r="1289" spans="1:9" x14ac:dyDescent="0.35">
      <c r="A1289" t="s">
        <v>27</v>
      </c>
      <c r="B1289">
        <v>2040</v>
      </c>
      <c r="C1289" t="s">
        <v>59</v>
      </c>
      <c r="D1289" t="s">
        <v>48</v>
      </c>
      <c r="E1289">
        <v>36.110117879894901</v>
      </c>
      <c r="F1289">
        <v>36.110117879894901</v>
      </c>
      <c r="G1289">
        <v>0</v>
      </c>
      <c r="H1289">
        <v>0</v>
      </c>
      <c r="I1289" t="s">
        <v>60</v>
      </c>
    </row>
    <row r="1290" spans="1:9" x14ac:dyDescent="0.35">
      <c r="A1290" t="s">
        <v>27</v>
      </c>
      <c r="B1290">
        <v>2040</v>
      </c>
      <c r="C1290" t="s">
        <v>59</v>
      </c>
      <c r="D1290" t="s">
        <v>49</v>
      </c>
      <c r="E1290">
        <v>2.9687258363102199E-2</v>
      </c>
      <c r="F1290">
        <v>2.9687258363102199E-2</v>
      </c>
      <c r="G1290">
        <v>0</v>
      </c>
      <c r="H1290">
        <v>0</v>
      </c>
      <c r="I1290" t="s">
        <v>60</v>
      </c>
    </row>
    <row r="1291" spans="1:9" x14ac:dyDescent="0.35">
      <c r="A1291" t="s">
        <v>27</v>
      </c>
      <c r="B1291">
        <v>2040</v>
      </c>
      <c r="C1291" t="s">
        <v>59</v>
      </c>
      <c r="D1291" t="s">
        <v>50</v>
      </c>
      <c r="E1291">
        <v>0.12729867891493099</v>
      </c>
      <c r="F1291">
        <v>0.12729867891493099</v>
      </c>
      <c r="G1291">
        <v>0</v>
      </c>
      <c r="H1291">
        <v>0</v>
      </c>
      <c r="I1291" t="s">
        <v>60</v>
      </c>
    </row>
    <row r="1292" spans="1:9" x14ac:dyDescent="0.35">
      <c r="A1292" t="s">
        <v>27</v>
      </c>
      <c r="B1292">
        <v>2040</v>
      </c>
      <c r="C1292" t="s">
        <v>59</v>
      </c>
      <c r="D1292" t="s">
        <v>51</v>
      </c>
      <c r="E1292">
        <v>0.490554261535874</v>
      </c>
      <c r="F1292">
        <v>0.490554261535874</v>
      </c>
      <c r="G1292">
        <v>0</v>
      </c>
      <c r="H1292">
        <v>0</v>
      </c>
      <c r="I1292" t="s">
        <v>60</v>
      </c>
    </row>
    <row r="1293" spans="1:9" x14ac:dyDescent="0.35">
      <c r="A1293" t="s">
        <v>27</v>
      </c>
      <c r="B1293">
        <v>2040</v>
      </c>
      <c r="C1293" t="s">
        <v>59</v>
      </c>
      <c r="D1293" t="s">
        <v>52</v>
      </c>
      <c r="E1293">
        <v>0.62271777823658903</v>
      </c>
      <c r="F1293">
        <v>0.62271777823658903</v>
      </c>
      <c r="G1293">
        <v>0</v>
      </c>
      <c r="H1293">
        <v>0</v>
      </c>
      <c r="I1293" t="s">
        <v>60</v>
      </c>
    </row>
    <row r="1294" spans="1:9" x14ac:dyDescent="0.35">
      <c r="A1294" t="s">
        <v>27</v>
      </c>
      <c r="B1294">
        <v>2040</v>
      </c>
      <c r="C1294" t="s">
        <v>59</v>
      </c>
      <c r="D1294" t="s">
        <v>53</v>
      </c>
      <c r="E1294">
        <v>1.60576749496562</v>
      </c>
      <c r="F1294">
        <v>1.60576749496562</v>
      </c>
      <c r="G1294">
        <v>0</v>
      </c>
      <c r="H1294">
        <v>0</v>
      </c>
      <c r="I1294" t="s">
        <v>60</v>
      </c>
    </row>
    <row r="1295" spans="1:9" x14ac:dyDescent="0.35">
      <c r="A1295" t="s">
        <v>27</v>
      </c>
      <c r="B1295">
        <v>2040</v>
      </c>
      <c r="C1295" t="s">
        <v>59</v>
      </c>
      <c r="D1295" t="s">
        <v>54</v>
      </c>
      <c r="E1295">
        <v>7.2391022001416498</v>
      </c>
      <c r="F1295">
        <v>7.2391022001416498</v>
      </c>
      <c r="G1295">
        <v>0</v>
      </c>
      <c r="H1295">
        <v>0</v>
      </c>
      <c r="I1295" t="s">
        <v>60</v>
      </c>
    </row>
    <row r="1296" spans="1:9" x14ac:dyDescent="0.35">
      <c r="A1296" t="s">
        <v>27</v>
      </c>
      <c r="B1296">
        <v>2040</v>
      </c>
      <c r="C1296" t="s">
        <v>59</v>
      </c>
      <c r="D1296" t="s">
        <v>55</v>
      </c>
      <c r="E1296">
        <v>6.6196637964441303</v>
      </c>
      <c r="F1296">
        <v>6.6196637964441303</v>
      </c>
      <c r="G1296">
        <v>0</v>
      </c>
      <c r="H1296">
        <v>0</v>
      </c>
      <c r="I1296" t="s">
        <v>60</v>
      </c>
    </row>
    <row r="1297" spans="1:9" x14ac:dyDescent="0.35">
      <c r="A1297" t="s">
        <v>27</v>
      </c>
      <c r="B1297">
        <v>2040</v>
      </c>
      <c r="C1297" t="s">
        <v>59</v>
      </c>
      <c r="D1297" t="s">
        <v>56</v>
      </c>
      <c r="E1297" s="1">
        <v>6.4861437944955404E-7</v>
      </c>
      <c r="F1297" s="1">
        <v>6.4861437944955404E-7</v>
      </c>
      <c r="G1297">
        <v>0</v>
      </c>
      <c r="H1297">
        <v>0</v>
      </c>
      <c r="I1297" t="s">
        <v>60</v>
      </c>
    </row>
    <row r="1298" spans="1:9" x14ac:dyDescent="0.35">
      <c r="A1298" t="s">
        <v>21</v>
      </c>
      <c r="B1298">
        <v>2025</v>
      </c>
      <c r="C1298" t="s">
        <v>63</v>
      </c>
      <c r="D1298" t="s">
        <v>38</v>
      </c>
      <c r="E1298">
        <v>4.0769625428150897E-3</v>
      </c>
      <c r="F1298">
        <v>4.0769625428150897E-3</v>
      </c>
      <c r="G1298">
        <v>0</v>
      </c>
      <c r="H1298">
        <v>0</v>
      </c>
      <c r="I1298" t="s">
        <v>64</v>
      </c>
    </row>
    <row r="1299" spans="1:9" x14ac:dyDescent="0.35">
      <c r="A1299" t="s">
        <v>21</v>
      </c>
      <c r="B1299">
        <v>2025</v>
      </c>
      <c r="C1299" t="s">
        <v>63</v>
      </c>
      <c r="D1299" t="s">
        <v>40</v>
      </c>
      <c r="E1299">
        <v>5.6123043806037304E-4</v>
      </c>
      <c r="F1299">
        <v>5.6123043806037304E-4</v>
      </c>
      <c r="G1299">
        <v>0</v>
      </c>
      <c r="H1299">
        <v>0</v>
      </c>
      <c r="I1299" t="s">
        <v>64</v>
      </c>
    </row>
    <row r="1300" spans="1:9" x14ac:dyDescent="0.35">
      <c r="A1300" t="s">
        <v>21</v>
      </c>
      <c r="B1300">
        <v>2025</v>
      </c>
      <c r="C1300" t="s">
        <v>63</v>
      </c>
      <c r="D1300" t="s">
        <v>41</v>
      </c>
      <c r="E1300">
        <v>4.9305740597716998E-3</v>
      </c>
      <c r="F1300">
        <v>4.9305740597716998E-3</v>
      </c>
      <c r="G1300">
        <v>0</v>
      </c>
      <c r="H1300">
        <v>0</v>
      </c>
      <c r="I1300" t="s">
        <v>64</v>
      </c>
    </row>
    <row r="1301" spans="1:9" x14ac:dyDescent="0.35">
      <c r="A1301" t="s">
        <v>21</v>
      </c>
      <c r="B1301">
        <v>2025</v>
      </c>
      <c r="C1301" t="s">
        <v>63</v>
      </c>
      <c r="D1301" t="s">
        <v>42</v>
      </c>
      <c r="E1301">
        <v>3.2327980034954198</v>
      </c>
      <c r="F1301">
        <v>3.2327980034954198</v>
      </c>
      <c r="G1301">
        <v>0</v>
      </c>
      <c r="H1301">
        <v>0</v>
      </c>
      <c r="I1301" t="s">
        <v>64</v>
      </c>
    </row>
    <row r="1302" spans="1:9" x14ac:dyDescent="0.35">
      <c r="A1302" t="s">
        <v>21</v>
      </c>
      <c r="B1302">
        <v>2025</v>
      </c>
      <c r="C1302" t="s">
        <v>63</v>
      </c>
      <c r="D1302" t="s">
        <v>43</v>
      </c>
      <c r="E1302">
        <v>1.5634183892272999E-3</v>
      </c>
      <c r="F1302">
        <v>1.5634183892272999E-3</v>
      </c>
      <c r="G1302">
        <v>0</v>
      </c>
      <c r="H1302">
        <v>0</v>
      </c>
      <c r="I1302" t="s">
        <v>64</v>
      </c>
    </row>
    <row r="1303" spans="1:9" x14ac:dyDescent="0.35">
      <c r="A1303" t="s">
        <v>21</v>
      </c>
      <c r="B1303">
        <v>2025</v>
      </c>
      <c r="C1303" t="s">
        <v>63</v>
      </c>
      <c r="D1303" t="s">
        <v>136</v>
      </c>
      <c r="E1303">
        <v>0.89412098538733897</v>
      </c>
      <c r="F1303">
        <v>0.89412098538733897</v>
      </c>
      <c r="G1303">
        <v>0</v>
      </c>
      <c r="H1303">
        <v>0</v>
      </c>
      <c r="I1303" t="s">
        <v>64</v>
      </c>
    </row>
    <row r="1304" spans="1:9" x14ac:dyDescent="0.35">
      <c r="A1304" t="s">
        <v>21</v>
      </c>
      <c r="B1304">
        <v>2025</v>
      </c>
      <c r="C1304" t="s">
        <v>63</v>
      </c>
      <c r="D1304" t="s">
        <v>45</v>
      </c>
      <c r="E1304">
        <v>1.9060327652527199E-3</v>
      </c>
      <c r="F1304">
        <v>1.9060327652527199E-3</v>
      </c>
      <c r="G1304">
        <v>0</v>
      </c>
      <c r="H1304">
        <v>0</v>
      </c>
      <c r="I1304" t="s">
        <v>64</v>
      </c>
    </row>
    <row r="1305" spans="1:9" x14ac:dyDescent="0.35">
      <c r="A1305" t="s">
        <v>21</v>
      </c>
      <c r="B1305">
        <v>2025</v>
      </c>
      <c r="C1305" t="s">
        <v>63</v>
      </c>
      <c r="D1305" t="s">
        <v>46</v>
      </c>
      <c r="E1305">
        <v>1.44561341174291E-2</v>
      </c>
      <c r="F1305">
        <v>1.44561341174291E-2</v>
      </c>
      <c r="G1305">
        <v>0</v>
      </c>
      <c r="H1305">
        <v>0</v>
      </c>
      <c r="I1305" t="s">
        <v>64</v>
      </c>
    </row>
    <row r="1306" spans="1:9" x14ac:dyDescent="0.35">
      <c r="A1306" t="s">
        <v>21</v>
      </c>
      <c r="B1306">
        <v>2025</v>
      </c>
      <c r="C1306" t="s">
        <v>63</v>
      </c>
      <c r="D1306" t="s">
        <v>47</v>
      </c>
      <c r="E1306">
        <v>2.27793641742411E-3</v>
      </c>
      <c r="F1306">
        <v>2.27793641742411E-3</v>
      </c>
      <c r="G1306">
        <v>0</v>
      </c>
      <c r="H1306">
        <v>0</v>
      </c>
      <c r="I1306" t="s">
        <v>64</v>
      </c>
    </row>
    <row r="1307" spans="1:9" x14ac:dyDescent="0.35">
      <c r="A1307" t="s">
        <v>21</v>
      </c>
      <c r="B1307">
        <v>2025</v>
      </c>
      <c r="C1307" t="s">
        <v>63</v>
      </c>
      <c r="D1307" t="s">
        <v>48</v>
      </c>
      <c r="E1307">
        <v>1.0260662854878899</v>
      </c>
      <c r="F1307">
        <v>1.0260662854878899</v>
      </c>
      <c r="G1307">
        <v>0</v>
      </c>
      <c r="H1307">
        <v>0</v>
      </c>
      <c r="I1307" t="s">
        <v>64</v>
      </c>
    </row>
    <row r="1308" spans="1:9" x14ac:dyDescent="0.35">
      <c r="A1308" t="s">
        <v>21</v>
      </c>
      <c r="B1308">
        <v>2025</v>
      </c>
      <c r="C1308" t="s">
        <v>63</v>
      </c>
      <c r="D1308" t="s">
        <v>49</v>
      </c>
      <c r="E1308">
        <v>4.8999031054665198E-3</v>
      </c>
      <c r="F1308">
        <v>4.8999031054665198E-3</v>
      </c>
      <c r="G1308">
        <v>0</v>
      </c>
      <c r="H1308">
        <v>0</v>
      </c>
      <c r="I1308" t="s">
        <v>64</v>
      </c>
    </row>
    <row r="1309" spans="1:9" x14ac:dyDescent="0.35">
      <c r="A1309" t="s">
        <v>21</v>
      </c>
      <c r="B1309">
        <v>2025</v>
      </c>
      <c r="C1309" t="s">
        <v>63</v>
      </c>
      <c r="D1309" t="s">
        <v>50</v>
      </c>
      <c r="E1309">
        <v>1.0889946399410999E-3</v>
      </c>
      <c r="F1309">
        <v>1.0889946399410999E-3</v>
      </c>
      <c r="G1309">
        <v>0</v>
      </c>
      <c r="H1309">
        <v>0</v>
      </c>
      <c r="I1309" t="s">
        <v>64</v>
      </c>
    </row>
    <row r="1310" spans="1:9" x14ac:dyDescent="0.35">
      <c r="A1310" t="s">
        <v>21</v>
      </c>
      <c r="B1310">
        <v>2025</v>
      </c>
      <c r="C1310" t="s">
        <v>63</v>
      </c>
      <c r="D1310" t="s">
        <v>51</v>
      </c>
      <c r="E1310">
        <v>5.4701267991061897E-2</v>
      </c>
      <c r="F1310">
        <v>5.4701267991061897E-2</v>
      </c>
      <c r="G1310">
        <v>0</v>
      </c>
      <c r="H1310">
        <v>0</v>
      </c>
      <c r="I1310" t="s">
        <v>64</v>
      </c>
    </row>
    <row r="1311" spans="1:9" x14ac:dyDescent="0.35">
      <c r="A1311" t="s">
        <v>21</v>
      </c>
      <c r="B1311">
        <v>2025</v>
      </c>
      <c r="C1311" t="s">
        <v>63</v>
      </c>
      <c r="D1311" t="s">
        <v>52</v>
      </c>
      <c r="E1311">
        <v>2.18633673647461E-2</v>
      </c>
      <c r="F1311">
        <v>2.18633673647461E-2</v>
      </c>
      <c r="G1311">
        <v>0</v>
      </c>
      <c r="H1311">
        <v>0</v>
      </c>
      <c r="I1311" t="s">
        <v>64</v>
      </c>
    </row>
    <row r="1312" spans="1:9" x14ac:dyDescent="0.35">
      <c r="A1312" t="s">
        <v>21</v>
      </c>
      <c r="B1312">
        <v>2025</v>
      </c>
      <c r="C1312" t="s">
        <v>63</v>
      </c>
      <c r="D1312" t="s">
        <v>53</v>
      </c>
      <c r="E1312">
        <v>0.25148506305072499</v>
      </c>
      <c r="F1312">
        <v>0.25148506305072499</v>
      </c>
      <c r="G1312">
        <v>0</v>
      </c>
      <c r="H1312">
        <v>0</v>
      </c>
      <c r="I1312" t="s">
        <v>64</v>
      </c>
    </row>
    <row r="1313" spans="1:9" x14ac:dyDescent="0.35">
      <c r="A1313" t="s">
        <v>21</v>
      </c>
      <c r="B1313">
        <v>2025</v>
      </c>
      <c r="C1313" t="s">
        <v>63</v>
      </c>
      <c r="D1313" t="s">
        <v>54</v>
      </c>
      <c r="E1313">
        <v>1.50062009115617</v>
      </c>
      <c r="F1313">
        <v>1.50062009115617</v>
      </c>
      <c r="G1313">
        <v>0</v>
      </c>
      <c r="H1313">
        <v>0</v>
      </c>
      <c r="I1313" t="s">
        <v>64</v>
      </c>
    </row>
    <row r="1314" spans="1:9" x14ac:dyDescent="0.35">
      <c r="A1314" t="s">
        <v>21</v>
      </c>
      <c r="B1314">
        <v>2025</v>
      </c>
      <c r="C1314" t="s">
        <v>63</v>
      </c>
      <c r="D1314" t="s">
        <v>55</v>
      </c>
      <c r="E1314">
        <v>1.6166626784787601</v>
      </c>
      <c r="F1314">
        <v>1.6166626784787601</v>
      </c>
      <c r="G1314">
        <v>0</v>
      </c>
      <c r="H1314">
        <v>0</v>
      </c>
      <c r="I1314" t="s">
        <v>64</v>
      </c>
    </row>
    <row r="1315" spans="1:9" x14ac:dyDescent="0.35">
      <c r="A1315" t="s">
        <v>21</v>
      </c>
      <c r="B1315">
        <v>2025</v>
      </c>
      <c r="C1315" t="s">
        <v>63</v>
      </c>
      <c r="D1315" t="s">
        <v>56</v>
      </c>
      <c r="E1315" s="1">
        <v>6.0628262644261799E-8</v>
      </c>
      <c r="F1315" s="1">
        <v>6.0628262644261799E-8</v>
      </c>
      <c r="G1315">
        <v>0</v>
      </c>
      <c r="H1315">
        <v>0</v>
      </c>
      <c r="I1315" t="s">
        <v>64</v>
      </c>
    </row>
    <row r="1316" spans="1:9" x14ac:dyDescent="0.35">
      <c r="A1316" t="s">
        <v>23</v>
      </c>
      <c r="B1316">
        <v>2030</v>
      </c>
      <c r="C1316" t="s">
        <v>63</v>
      </c>
      <c r="D1316" t="s">
        <v>38</v>
      </c>
      <c r="E1316">
        <v>4.0915590126890996E-3</v>
      </c>
      <c r="F1316">
        <v>1.1879262881102999E-3</v>
      </c>
      <c r="G1316">
        <v>-2.9036327245787999E-3</v>
      </c>
      <c r="H1316">
        <v>-70.9664144052132</v>
      </c>
      <c r="I1316" t="s">
        <v>64</v>
      </c>
    </row>
    <row r="1317" spans="1:9" x14ac:dyDescent="0.35">
      <c r="A1317" t="s">
        <v>23</v>
      </c>
      <c r="B1317">
        <v>2030</v>
      </c>
      <c r="C1317" t="s">
        <v>63</v>
      </c>
      <c r="D1317" t="s">
        <v>40</v>
      </c>
      <c r="E1317">
        <v>5.6097211990617404E-4</v>
      </c>
      <c r="F1317">
        <v>5.6097211990617404E-4</v>
      </c>
      <c r="G1317">
        <v>0</v>
      </c>
      <c r="H1317">
        <v>0</v>
      </c>
      <c r="I1317" t="s">
        <v>64</v>
      </c>
    </row>
    <row r="1318" spans="1:9" x14ac:dyDescent="0.35">
      <c r="A1318" t="s">
        <v>23</v>
      </c>
      <c r="B1318">
        <v>2030</v>
      </c>
      <c r="C1318" t="s">
        <v>63</v>
      </c>
      <c r="D1318" t="s">
        <v>41</v>
      </c>
      <c r="E1318">
        <v>4.9227586013140196E-3</v>
      </c>
      <c r="F1318">
        <v>2.1748016158044002E-3</v>
      </c>
      <c r="G1318">
        <v>-2.7479569855096198E-3</v>
      </c>
      <c r="H1318">
        <v>-55.821485635637501</v>
      </c>
      <c r="I1318" t="s">
        <v>64</v>
      </c>
    </row>
    <row r="1319" spans="1:9" x14ac:dyDescent="0.35">
      <c r="A1319" t="s">
        <v>23</v>
      </c>
      <c r="B1319">
        <v>2030</v>
      </c>
      <c r="C1319" t="s">
        <v>63</v>
      </c>
      <c r="D1319" t="s">
        <v>42</v>
      </c>
      <c r="E1319">
        <v>3.2337523268773398</v>
      </c>
      <c r="F1319">
        <v>3.1924671526446402</v>
      </c>
      <c r="G1319">
        <v>-4.1285174232699999E-2</v>
      </c>
      <c r="H1319">
        <v>-1.27669561733464</v>
      </c>
      <c r="I1319" t="s">
        <v>64</v>
      </c>
    </row>
    <row r="1320" spans="1:9" x14ac:dyDescent="0.35">
      <c r="A1320" t="s">
        <v>23</v>
      </c>
      <c r="B1320">
        <v>2030</v>
      </c>
      <c r="C1320" t="s">
        <v>63</v>
      </c>
      <c r="D1320" t="s">
        <v>43</v>
      </c>
      <c r="E1320">
        <v>1.56414623634328E-3</v>
      </c>
      <c r="F1320">
        <v>6.0392928890228405E-4</v>
      </c>
      <c r="G1320">
        <v>-9.6021694744099595E-4</v>
      </c>
      <c r="H1320">
        <v>-61.389205505862797</v>
      </c>
      <c r="I1320" t="s">
        <v>64</v>
      </c>
    </row>
    <row r="1321" spans="1:9" x14ac:dyDescent="0.35">
      <c r="A1321" t="s">
        <v>23</v>
      </c>
      <c r="B1321">
        <v>2030</v>
      </c>
      <c r="C1321" t="s">
        <v>63</v>
      </c>
      <c r="D1321" t="s">
        <v>136</v>
      </c>
      <c r="E1321">
        <v>0.89336865180908898</v>
      </c>
      <c r="F1321">
        <v>0.61930398590624403</v>
      </c>
      <c r="G1321">
        <v>-0.27406466590284501</v>
      </c>
      <c r="H1321">
        <v>-30.677667651294701</v>
      </c>
      <c r="I1321" t="s">
        <v>64</v>
      </c>
    </row>
    <row r="1322" spans="1:9" x14ac:dyDescent="0.35">
      <c r="A1322" t="s">
        <v>23</v>
      </c>
      <c r="B1322">
        <v>2030</v>
      </c>
      <c r="C1322" t="s">
        <v>63</v>
      </c>
      <c r="D1322" t="s">
        <v>45</v>
      </c>
      <c r="E1322">
        <v>1.8794984989301E-3</v>
      </c>
      <c r="F1322">
        <v>7.6752924196135598E-4</v>
      </c>
      <c r="G1322">
        <v>-1.1119692569687501E-3</v>
      </c>
      <c r="H1322">
        <v>-59.163083003350799</v>
      </c>
      <c r="I1322" t="s">
        <v>64</v>
      </c>
    </row>
    <row r="1323" spans="1:9" x14ac:dyDescent="0.35">
      <c r="A1323" t="s">
        <v>23</v>
      </c>
      <c r="B1323">
        <v>2030</v>
      </c>
      <c r="C1323" t="s">
        <v>63</v>
      </c>
      <c r="D1323" t="s">
        <v>46</v>
      </c>
      <c r="E1323">
        <v>1.5211549639618601E-2</v>
      </c>
      <c r="F1323">
        <v>1.5211549639618601E-2</v>
      </c>
      <c r="G1323">
        <v>0</v>
      </c>
      <c r="H1323">
        <v>0</v>
      </c>
      <c r="I1323" t="s">
        <v>64</v>
      </c>
    </row>
    <row r="1324" spans="1:9" x14ac:dyDescent="0.35">
      <c r="A1324" t="s">
        <v>23</v>
      </c>
      <c r="B1324">
        <v>2030</v>
      </c>
      <c r="C1324" t="s">
        <v>63</v>
      </c>
      <c r="D1324" t="s">
        <v>47</v>
      </c>
      <c r="E1324">
        <v>2.2799655911289901E-3</v>
      </c>
      <c r="F1324">
        <v>2.2799655911289901E-3</v>
      </c>
      <c r="G1324">
        <v>0</v>
      </c>
      <c r="H1324">
        <v>0</v>
      </c>
      <c r="I1324" t="s">
        <v>64</v>
      </c>
    </row>
    <row r="1325" spans="1:9" x14ac:dyDescent="0.35">
      <c r="A1325" t="s">
        <v>23</v>
      </c>
      <c r="B1325">
        <v>2030</v>
      </c>
      <c r="C1325" t="s">
        <v>63</v>
      </c>
      <c r="D1325" t="s">
        <v>48</v>
      </c>
      <c r="E1325">
        <v>1.0260666976864601</v>
      </c>
      <c r="F1325">
        <v>1.0260666976864601</v>
      </c>
      <c r="G1325">
        <v>0</v>
      </c>
      <c r="H1325">
        <v>0</v>
      </c>
      <c r="I1325" t="s">
        <v>64</v>
      </c>
    </row>
    <row r="1326" spans="1:9" x14ac:dyDescent="0.35">
      <c r="A1326" t="s">
        <v>23</v>
      </c>
      <c r="B1326">
        <v>2030</v>
      </c>
      <c r="C1326" t="s">
        <v>63</v>
      </c>
      <c r="D1326" t="s">
        <v>49</v>
      </c>
      <c r="E1326">
        <v>4.8916745239437299E-3</v>
      </c>
      <c r="F1326">
        <v>1.7834818527184099E-3</v>
      </c>
      <c r="G1326">
        <v>-3.1081926712253202E-3</v>
      </c>
      <c r="H1326">
        <v>-63.540463618569902</v>
      </c>
      <c r="I1326" t="s">
        <v>64</v>
      </c>
    </row>
    <row r="1327" spans="1:9" x14ac:dyDescent="0.35">
      <c r="A1327" t="s">
        <v>23</v>
      </c>
      <c r="B1327">
        <v>2030</v>
      </c>
      <c r="C1327" t="s">
        <v>63</v>
      </c>
      <c r="D1327" t="s">
        <v>50</v>
      </c>
      <c r="E1327">
        <v>1.13741284506907E-3</v>
      </c>
      <c r="F1327">
        <v>1.13741284506907E-3</v>
      </c>
      <c r="G1327">
        <v>0</v>
      </c>
      <c r="H1327">
        <v>0</v>
      </c>
      <c r="I1327" t="s">
        <v>64</v>
      </c>
    </row>
    <row r="1328" spans="1:9" x14ac:dyDescent="0.35">
      <c r="A1328" t="s">
        <v>23</v>
      </c>
      <c r="B1328">
        <v>2030</v>
      </c>
      <c r="C1328" t="s">
        <v>63</v>
      </c>
      <c r="D1328" t="s">
        <v>51</v>
      </c>
      <c r="E1328">
        <v>5.4694926438064499E-2</v>
      </c>
      <c r="F1328">
        <v>5.4694926438064499E-2</v>
      </c>
      <c r="G1328">
        <v>0</v>
      </c>
      <c r="H1328">
        <v>0</v>
      </c>
      <c r="I1328" t="s">
        <v>64</v>
      </c>
    </row>
    <row r="1329" spans="1:9" x14ac:dyDescent="0.35">
      <c r="A1329" t="s">
        <v>23</v>
      </c>
      <c r="B1329">
        <v>2030</v>
      </c>
      <c r="C1329" t="s">
        <v>63</v>
      </c>
      <c r="D1329" t="s">
        <v>52</v>
      </c>
      <c r="E1329">
        <v>2.1537848498336301E-2</v>
      </c>
      <c r="F1329">
        <v>2.1537848498336301E-2</v>
      </c>
      <c r="G1329">
        <v>0</v>
      </c>
      <c r="H1329">
        <v>0</v>
      </c>
      <c r="I1329" t="s">
        <v>64</v>
      </c>
    </row>
    <row r="1330" spans="1:9" x14ac:dyDescent="0.35">
      <c r="A1330" t="s">
        <v>23</v>
      </c>
      <c r="B1330">
        <v>2030</v>
      </c>
      <c r="C1330" t="s">
        <v>63</v>
      </c>
      <c r="D1330" t="s">
        <v>53</v>
      </c>
      <c r="E1330">
        <v>0.25133730691470701</v>
      </c>
      <c r="F1330">
        <v>0.25133730691470701</v>
      </c>
      <c r="G1330">
        <v>0</v>
      </c>
      <c r="H1330">
        <v>0</v>
      </c>
      <c r="I1330" t="s">
        <v>64</v>
      </c>
    </row>
    <row r="1331" spans="1:9" x14ac:dyDescent="0.35">
      <c r="A1331" t="s">
        <v>23</v>
      </c>
      <c r="B1331">
        <v>2030</v>
      </c>
      <c r="C1331" t="s">
        <v>63</v>
      </c>
      <c r="D1331" t="s">
        <v>54</v>
      </c>
      <c r="E1331">
        <v>1.5006756144048501</v>
      </c>
      <c r="F1331">
        <v>1.49932444223061</v>
      </c>
      <c r="G1331">
        <v>-1.3511721742345199E-3</v>
      </c>
      <c r="H1331">
        <v>-9.0037591153261001E-2</v>
      </c>
      <c r="I1331" t="s">
        <v>64</v>
      </c>
    </row>
    <row r="1332" spans="1:9" x14ac:dyDescent="0.35">
      <c r="A1332" t="s">
        <v>23</v>
      </c>
      <c r="B1332">
        <v>2030</v>
      </c>
      <c r="C1332" t="s">
        <v>63</v>
      </c>
      <c r="D1332" t="s">
        <v>55</v>
      </c>
      <c r="E1332">
        <v>1.6167080280775099</v>
      </c>
      <c r="F1332">
        <v>1.43812004679246</v>
      </c>
      <c r="G1332">
        <v>-0.17858798128505399</v>
      </c>
      <c r="H1332">
        <v>-11.046396639560101</v>
      </c>
      <c r="I1332" t="s">
        <v>64</v>
      </c>
    </row>
    <row r="1333" spans="1:9" x14ac:dyDescent="0.35">
      <c r="A1333" t="s">
        <v>23</v>
      </c>
      <c r="B1333">
        <v>2030</v>
      </c>
      <c r="C1333" t="s">
        <v>63</v>
      </c>
      <c r="D1333" t="s">
        <v>56</v>
      </c>
      <c r="E1333" s="1">
        <v>6.0436428240679095E-8</v>
      </c>
      <c r="F1333" s="1">
        <v>6.0436428240679095E-8</v>
      </c>
      <c r="G1333">
        <v>0</v>
      </c>
      <c r="H1333">
        <v>0</v>
      </c>
      <c r="I1333" t="s">
        <v>64</v>
      </c>
    </row>
    <row r="1334" spans="1:9" x14ac:dyDescent="0.35">
      <c r="A1334" t="s">
        <v>25</v>
      </c>
      <c r="B1334">
        <v>2035</v>
      </c>
      <c r="C1334" t="s">
        <v>63</v>
      </c>
      <c r="D1334" t="s">
        <v>38</v>
      </c>
      <c r="E1334">
        <v>4.1040752498567798E-3</v>
      </c>
      <c r="F1334">
        <v>3.36992189407752E-3</v>
      </c>
      <c r="G1334">
        <v>-7.3415335577926301E-4</v>
      </c>
      <c r="H1334">
        <v>-17.888398995727002</v>
      </c>
      <c r="I1334" t="s">
        <v>64</v>
      </c>
    </row>
    <row r="1335" spans="1:9" x14ac:dyDescent="0.35">
      <c r="A1335" t="s">
        <v>25</v>
      </c>
      <c r="B1335">
        <v>2035</v>
      </c>
      <c r="C1335" t="s">
        <v>63</v>
      </c>
      <c r="D1335" t="s">
        <v>40</v>
      </c>
      <c r="E1335">
        <v>5.6077460390980595E-4</v>
      </c>
      <c r="F1335">
        <v>5.6077460390980595E-4</v>
      </c>
      <c r="G1335">
        <v>0</v>
      </c>
      <c r="H1335">
        <v>0</v>
      </c>
      <c r="I1335" t="s">
        <v>64</v>
      </c>
    </row>
    <row r="1336" spans="1:9" x14ac:dyDescent="0.35">
      <c r="A1336" t="s">
        <v>25</v>
      </c>
      <c r="B1336">
        <v>2035</v>
      </c>
      <c r="C1336" t="s">
        <v>63</v>
      </c>
      <c r="D1336" t="s">
        <v>41</v>
      </c>
      <c r="E1336">
        <v>4.9209745069310499E-3</v>
      </c>
      <c r="F1336">
        <v>4.1900194205283696E-3</v>
      </c>
      <c r="G1336">
        <v>-7.3095508640267899E-4</v>
      </c>
      <c r="H1336">
        <v>-14.853868585849201</v>
      </c>
      <c r="I1336" t="s">
        <v>64</v>
      </c>
    </row>
    <row r="1337" spans="1:9" x14ac:dyDescent="0.35">
      <c r="A1337" t="s">
        <v>25</v>
      </c>
      <c r="B1337">
        <v>2035</v>
      </c>
      <c r="C1337" t="s">
        <v>63</v>
      </c>
      <c r="D1337" t="s">
        <v>42</v>
      </c>
      <c r="E1337">
        <v>3.2355203257839702</v>
      </c>
      <c r="F1337">
        <v>3.2250817981129898</v>
      </c>
      <c r="G1337">
        <v>-1.04385276709799E-2</v>
      </c>
      <c r="H1337">
        <v>-0.32262284331193802</v>
      </c>
      <c r="I1337" t="s">
        <v>64</v>
      </c>
    </row>
    <row r="1338" spans="1:9" x14ac:dyDescent="0.35">
      <c r="A1338" t="s">
        <v>25</v>
      </c>
      <c r="B1338">
        <v>2035</v>
      </c>
      <c r="C1338" t="s">
        <v>63</v>
      </c>
      <c r="D1338" t="s">
        <v>43</v>
      </c>
      <c r="E1338">
        <v>1.5668784084985801E-3</v>
      </c>
      <c r="F1338">
        <v>1.3051887454681201E-3</v>
      </c>
      <c r="G1338">
        <v>-2.6168966303046301E-4</v>
      </c>
      <c r="H1338">
        <v>-16.701338253886501</v>
      </c>
      <c r="I1338" t="s">
        <v>64</v>
      </c>
    </row>
    <row r="1339" spans="1:9" x14ac:dyDescent="0.35">
      <c r="A1339" t="s">
        <v>25</v>
      </c>
      <c r="B1339">
        <v>2035</v>
      </c>
      <c r="C1339" t="s">
        <v>63</v>
      </c>
      <c r="D1339" t="s">
        <v>136</v>
      </c>
      <c r="E1339">
        <v>0.89417294516819201</v>
      </c>
      <c r="F1339">
        <v>0.85566276249717799</v>
      </c>
      <c r="G1339">
        <v>-3.8510182671013901E-2</v>
      </c>
      <c r="H1339">
        <v>-4.3067935435879496</v>
      </c>
      <c r="I1339" t="s">
        <v>64</v>
      </c>
    </row>
    <row r="1340" spans="1:9" x14ac:dyDescent="0.35">
      <c r="A1340" t="s">
        <v>25</v>
      </c>
      <c r="B1340">
        <v>2035</v>
      </c>
      <c r="C1340" t="s">
        <v>63</v>
      </c>
      <c r="D1340" t="s">
        <v>45</v>
      </c>
      <c r="E1340">
        <v>1.8676353958074099E-3</v>
      </c>
      <c r="F1340">
        <v>1.5678110718815399E-3</v>
      </c>
      <c r="G1340">
        <v>-2.99824323925867E-4</v>
      </c>
      <c r="H1340">
        <v>-16.0536860994888</v>
      </c>
      <c r="I1340" t="s">
        <v>64</v>
      </c>
    </row>
    <row r="1341" spans="1:9" x14ac:dyDescent="0.35">
      <c r="A1341" t="s">
        <v>25</v>
      </c>
      <c r="B1341">
        <v>2035</v>
      </c>
      <c r="C1341" t="s">
        <v>63</v>
      </c>
      <c r="D1341" t="s">
        <v>46</v>
      </c>
      <c r="E1341">
        <v>1.6117403498687899E-2</v>
      </c>
      <c r="F1341">
        <v>1.6117403498687899E-2</v>
      </c>
      <c r="G1341">
        <v>0</v>
      </c>
      <c r="H1341">
        <v>0</v>
      </c>
      <c r="I1341" t="s">
        <v>64</v>
      </c>
    </row>
    <row r="1342" spans="1:9" x14ac:dyDescent="0.35">
      <c r="A1342" t="s">
        <v>25</v>
      </c>
      <c r="B1342">
        <v>2035</v>
      </c>
      <c r="C1342" t="s">
        <v>63</v>
      </c>
      <c r="D1342" t="s">
        <v>47</v>
      </c>
      <c r="E1342">
        <v>2.2831226425753899E-3</v>
      </c>
      <c r="F1342">
        <v>2.2831226425753899E-3</v>
      </c>
      <c r="G1342">
        <v>0</v>
      </c>
      <c r="H1342">
        <v>0</v>
      </c>
      <c r="I1342" t="s">
        <v>64</v>
      </c>
    </row>
    <row r="1343" spans="1:9" x14ac:dyDescent="0.35">
      <c r="A1343" t="s">
        <v>25</v>
      </c>
      <c r="B1343">
        <v>2035</v>
      </c>
      <c r="C1343" t="s">
        <v>63</v>
      </c>
      <c r="D1343" t="s">
        <v>48</v>
      </c>
      <c r="E1343">
        <v>1.02604490990019</v>
      </c>
      <c r="F1343">
        <v>1.02604490990019</v>
      </c>
      <c r="G1343">
        <v>0</v>
      </c>
      <c r="H1343">
        <v>0</v>
      </c>
      <c r="I1343" t="s">
        <v>64</v>
      </c>
    </row>
    <row r="1344" spans="1:9" x14ac:dyDescent="0.35">
      <c r="A1344" t="s">
        <v>25</v>
      </c>
      <c r="B1344">
        <v>2035</v>
      </c>
      <c r="C1344" t="s">
        <v>63</v>
      </c>
      <c r="D1344" t="s">
        <v>49</v>
      </c>
      <c r="E1344">
        <v>4.8887874639389397E-3</v>
      </c>
      <c r="F1344">
        <v>4.0357897089561704E-3</v>
      </c>
      <c r="G1344">
        <v>-8.5299775498276899E-4</v>
      </c>
      <c r="H1344">
        <v>-17.448043329245099</v>
      </c>
      <c r="I1344" t="s">
        <v>64</v>
      </c>
    </row>
    <row r="1345" spans="1:9" x14ac:dyDescent="0.35">
      <c r="A1345" t="s">
        <v>25</v>
      </c>
      <c r="B1345">
        <v>2035</v>
      </c>
      <c r="C1345" t="s">
        <v>63</v>
      </c>
      <c r="D1345" t="s">
        <v>50</v>
      </c>
      <c r="E1345">
        <v>1.18387655738171E-3</v>
      </c>
      <c r="F1345">
        <v>1.18387655738171E-3</v>
      </c>
      <c r="G1345">
        <v>0</v>
      </c>
      <c r="H1345">
        <v>0</v>
      </c>
      <c r="I1345" t="s">
        <v>64</v>
      </c>
    </row>
    <row r="1346" spans="1:9" x14ac:dyDescent="0.35">
      <c r="A1346" t="s">
        <v>25</v>
      </c>
      <c r="B1346">
        <v>2035</v>
      </c>
      <c r="C1346" t="s">
        <v>63</v>
      </c>
      <c r="D1346" t="s">
        <v>51</v>
      </c>
      <c r="E1346">
        <v>5.4700206364138998E-2</v>
      </c>
      <c r="F1346">
        <v>5.4700206364138998E-2</v>
      </c>
      <c r="G1346">
        <v>0</v>
      </c>
      <c r="H1346">
        <v>0</v>
      </c>
      <c r="I1346" t="s">
        <v>64</v>
      </c>
    </row>
    <row r="1347" spans="1:9" x14ac:dyDescent="0.35">
      <c r="A1347" t="s">
        <v>25</v>
      </c>
      <c r="B1347">
        <v>2035</v>
      </c>
      <c r="C1347" t="s">
        <v>63</v>
      </c>
      <c r="D1347" t="s">
        <v>52</v>
      </c>
      <c r="E1347">
        <v>2.1231790723747101E-2</v>
      </c>
      <c r="F1347">
        <v>2.1231790723747101E-2</v>
      </c>
      <c r="G1347">
        <v>0</v>
      </c>
      <c r="H1347">
        <v>0</v>
      </c>
      <c r="I1347" t="s">
        <v>64</v>
      </c>
    </row>
    <row r="1348" spans="1:9" x14ac:dyDescent="0.35">
      <c r="A1348" t="s">
        <v>25</v>
      </c>
      <c r="B1348">
        <v>2035</v>
      </c>
      <c r="C1348" t="s">
        <v>63</v>
      </c>
      <c r="D1348" t="s">
        <v>53</v>
      </c>
      <c r="E1348">
        <v>0.25157092072575998</v>
      </c>
      <c r="F1348">
        <v>0.25157092072575998</v>
      </c>
      <c r="G1348">
        <v>0</v>
      </c>
      <c r="H1348">
        <v>0</v>
      </c>
      <c r="I1348" t="s">
        <v>64</v>
      </c>
    </row>
    <row r="1349" spans="1:9" x14ac:dyDescent="0.35">
      <c r="A1349" t="s">
        <v>25</v>
      </c>
      <c r="B1349">
        <v>2035</v>
      </c>
      <c r="C1349" t="s">
        <v>63</v>
      </c>
      <c r="D1349" t="s">
        <v>54</v>
      </c>
      <c r="E1349">
        <v>1.5007369179932499</v>
      </c>
      <c r="F1349">
        <v>1.50039528814086</v>
      </c>
      <c r="G1349">
        <v>-3.4162985238705903E-4</v>
      </c>
      <c r="H1349">
        <v>-2.2764139956247501E-2</v>
      </c>
      <c r="I1349" t="s">
        <v>64</v>
      </c>
    </row>
    <row r="1350" spans="1:9" x14ac:dyDescent="0.35">
      <c r="A1350" t="s">
        <v>25</v>
      </c>
      <c r="B1350">
        <v>2035</v>
      </c>
      <c r="C1350" t="s">
        <v>63</v>
      </c>
      <c r="D1350" t="s">
        <v>55</v>
      </c>
      <c r="E1350">
        <v>1.61676183121313</v>
      </c>
      <c r="F1350">
        <v>1.57160771662532</v>
      </c>
      <c r="G1350">
        <v>-4.5154114587810198E-2</v>
      </c>
      <c r="H1350">
        <v>-2.7928736141630002</v>
      </c>
      <c r="I1350" t="s">
        <v>64</v>
      </c>
    </row>
    <row r="1351" spans="1:9" x14ac:dyDescent="0.35">
      <c r="A1351" t="s">
        <v>25</v>
      </c>
      <c r="B1351">
        <v>2035</v>
      </c>
      <c r="C1351" t="s">
        <v>63</v>
      </c>
      <c r="D1351" t="s">
        <v>56</v>
      </c>
      <c r="E1351" s="1">
        <v>6.0339934874735301E-8</v>
      </c>
      <c r="F1351" s="1">
        <v>6.0339934874735301E-8</v>
      </c>
      <c r="G1351">
        <v>0</v>
      </c>
      <c r="H1351">
        <v>0</v>
      </c>
      <c r="I1351" t="s">
        <v>64</v>
      </c>
    </row>
    <row r="1352" spans="1:9" x14ac:dyDescent="0.35">
      <c r="A1352" t="s">
        <v>27</v>
      </c>
      <c r="B1352">
        <v>2040</v>
      </c>
      <c r="C1352" t="s">
        <v>63</v>
      </c>
      <c r="D1352" t="s">
        <v>38</v>
      </c>
      <c r="E1352">
        <v>4.1000824542538096E-3</v>
      </c>
      <c r="F1352">
        <v>4.6229616718358198E-4</v>
      </c>
      <c r="G1352">
        <v>-3.6377862870702301E-3</v>
      </c>
      <c r="H1352">
        <v>-88.724710482250103</v>
      </c>
      <c r="I1352" t="s">
        <v>64</v>
      </c>
    </row>
    <row r="1353" spans="1:9" x14ac:dyDescent="0.35">
      <c r="A1353" t="s">
        <v>27</v>
      </c>
      <c r="B1353">
        <v>2040</v>
      </c>
      <c r="C1353" t="s">
        <v>63</v>
      </c>
      <c r="D1353" t="s">
        <v>40</v>
      </c>
      <c r="E1353">
        <v>5.60584888242334E-4</v>
      </c>
      <c r="F1353">
        <v>5.60584888242334E-4</v>
      </c>
      <c r="G1353">
        <v>0</v>
      </c>
      <c r="H1353">
        <v>0</v>
      </c>
      <c r="I1353" t="s">
        <v>64</v>
      </c>
    </row>
    <row r="1354" spans="1:9" x14ac:dyDescent="0.35">
      <c r="A1354" t="s">
        <v>27</v>
      </c>
      <c r="B1354">
        <v>2040</v>
      </c>
      <c r="C1354" t="s">
        <v>63</v>
      </c>
      <c r="D1354" t="s">
        <v>41</v>
      </c>
      <c r="E1354">
        <v>4.9222148195505596E-3</v>
      </c>
      <c r="F1354">
        <v>1.4433025111854E-3</v>
      </c>
      <c r="G1354">
        <v>-3.47891230836516E-3</v>
      </c>
      <c r="H1354">
        <v>-70.6777829880008</v>
      </c>
      <c r="I1354" t="s">
        <v>64</v>
      </c>
    </row>
    <row r="1355" spans="1:9" x14ac:dyDescent="0.35">
      <c r="A1355" t="s">
        <v>27</v>
      </c>
      <c r="B1355">
        <v>2040</v>
      </c>
      <c r="C1355" t="s">
        <v>63</v>
      </c>
      <c r="D1355" t="s">
        <v>42</v>
      </c>
      <c r="E1355">
        <v>3.2372841605764702</v>
      </c>
      <c r="F1355">
        <v>3.1855604558421802</v>
      </c>
      <c r="G1355">
        <v>-5.1723704734292601E-2</v>
      </c>
      <c r="H1355">
        <v>-1.5977499091424201</v>
      </c>
      <c r="I1355" t="s">
        <v>64</v>
      </c>
    </row>
    <row r="1356" spans="1:9" x14ac:dyDescent="0.35">
      <c r="A1356" t="s">
        <v>27</v>
      </c>
      <c r="B1356">
        <v>2040</v>
      </c>
      <c r="C1356" t="s">
        <v>63</v>
      </c>
      <c r="D1356" t="s">
        <v>43</v>
      </c>
      <c r="E1356">
        <v>1.5670629555107601E-3</v>
      </c>
      <c r="F1356">
        <v>3.4515625928047101E-4</v>
      </c>
      <c r="G1356">
        <v>-1.22190669623029E-3</v>
      </c>
      <c r="H1356">
        <v>-77.974320810361306</v>
      </c>
      <c r="I1356" t="s">
        <v>64</v>
      </c>
    </row>
    <row r="1357" spans="1:9" x14ac:dyDescent="0.35">
      <c r="A1357" t="s">
        <v>27</v>
      </c>
      <c r="B1357">
        <v>2040</v>
      </c>
      <c r="C1357" t="s">
        <v>63</v>
      </c>
      <c r="D1357" t="s">
        <v>136</v>
      </c>
      <c r="E1357">
        <v>0.89553005412088404</v>
      </c>
      <c r="F1357">
        <v>0.58292609542067098</v>
      </c>
      <c r="G1357">
        <v>-0.31260395870021201</v>
      </c>
      <c r="H1357">
        <v>-34.907143234526799</v>
      </c>
      <c r="I1357" t="s">
        <v>64</v>
      </c>
    </row>
    <row r="1358" spans="1:9" x14ac:dyDescent="0.35">
      <c r="A1358" t="s">
        <v>27</v>
      </c>
      <c r="B1358">
        <v>2040</v>
      </c>
      <c r="C1358" t="s">
        <v>63</v>
      </c>
      <c r="D1358" t="s">
        <v>45</v>
      </c>
      <c r="E1358">
        <v>1.8617890584004899E-3</v>
      </c>
      <c r="F1358">
        <v>4.4999540960844202E-4</v>
      </c>
      <c r="G1358">
        <v>-1.41179364879205E-3</v>
      </c>
      <c r="H1358">
        <v>-75.829946600124302</v>
      </c>
      <c r="I1358" t="s">
        <v>64</v>
      </c>
    </row>
    <row r="1359" spans="1:9" x14ac:dyDescent="0.35">
      <c r="A1359" t="s">
        <v>27</v>
      </c>
      <c r="B1359">
        <v>2040</v>
      </c>
      <c r="C1359" t="s">
        <v>63</v>
      </c>
      <c r="D1359" t="s">
        <v>46</v>
      </c>
      <c r="E1359">
        <v>1.65906447662897E-2</v>
      </c>
      <c r="F1359">
        <v>1.65906447662897E-2</v>
      </c>
      <c r="G1359">
        <v>0</v>
      </c>
      <c r="H1359">
        <v>0</v>
      </c>
      <c r="I1359" t="s">
        <v>64</v>
      </c>
    </row>
    <row r="1360" spans="1:9" x14ac:dyDescent="0.35">
      <c r="A1360" t="s">
        <v>27</v>
      </c>
      <c r="B1360">
        <v>2040</v>
      </c>
      <c r="C1360" t="s">
        <v>63</v>
      </c>
      <c r="D1360" t="s">
        <v>47</v>
      </c>
      <c r="E1360">
        <v>2.2861406492347101E-3</v>
      </c>
      <c r="F1360">
        <v>2.2861406492347101E-3</v>
      </c>
      <c r="G1360">
        <v>0</v>
      </c>
      <c r="H1360">
        <v>0</v>
      </c>
      <c r="I1360" t="s">
        <v>64</v>
      </c>
    </row>
    <row r="1361" spans="1:9" x14ac:dyDescent="0.35">
      <c r="A1361" t="s">
        <v>27</v>
      </c>
      <c r="B1361">
        <v>2040</v>
      </c>
      <c r="C1361" t="s">
        <v>63</v>
      </c>
      <c r="D1361" t="s">
        <v>48</v>
      </c>
      <c r="E1361">
        <v>1.0260382202903</v>
      </c>
      <c r="F1361">
        <v>1.0260382202903</v>
      </c>
      <c r="G1361">
        <v>0</v>
      </c>
      <c r="H1361">
        <v>0</v>
      </c>
      <c r="I1361" t="s">
        <v>64</v>
      </c>
    </row>
    <row r="1362" spans="1:9" x14ac:dyDescent="0.35">
      <c r="A1362" t="s">
        <v>27</v>
      </c>
      <c r="B1362">
        <v>2040</v>
      </c>
      <c r="C1362" t="s">
        <v>63</v>
      </c>
      <c r="D1362" t="s">
        <v>49</v>
      </c>
      <c r="E1362">
        <v>4.8879099683178098E-3</v>
      </c>
      <c r="F1362">
        <v>9.2671936613939495E-4</v>
      </c>
      <c r="G1362">
        <v>-3.9611906021784198E-3</v>
      </c>
      <c r="H1362">
        <v>-81.040580285926794</v>
      </c>
      <c r="I1362" t="s">
        <v>64</v>
      </c>
    </row>
    <row r="1363" spans="1:9" x14ac:dyDescent="0.35">
      <c r="A1363" t="s">
        <v>27</v>
      </c>
      <c r="B1363">
        <v>2040</v>
      </c>
      <c r="C1363" t="s">
        <v>63</v>
      </c>
      <c r="D1363" t="s">
        <v>50</v>
      </c>
      <c r="E1363">
        <v>1.17446792408319E-3</v>
      </c>
      <c r="F1363">
        <v>1.17446792408319E-3</v>
      </c>
      <c r="G1363">
        <v>0</v>
      </c>
      <c r="H1363">
        <v>0</v>
      </c>
      <c r="I1363" t="s">
        <v>64</v>
      </c>
    </row>
    <row r="1364" spans="1:9" x14ac:dyDescent="0.35">
      <c r="A1364" t="s">
        <v>27</v>
      </c>
      <c r="B1364">
        <v>2040</v>
      </c>
      <c r="C1364" t="s">
        <v>63</v>
      </c>
      <c r="D1364" t="s">
        <v>51</v>
      </c>
      <c r="E1364">
        <v>5.4715359131984803E-2</v>
      </c>
      <c r="F1364">
        <v>5.4715359131984803E-2</v>
      </c>
      <c r="G1364">
        <v>0</v>
      </c>
      <c r="H1364">
        <v>0</v>
      </c>
      <c r="I1364" t="s">
        <v>64</v>
      </c>
    </row>
    <row r="1365" spans="1:9" x14ac:dyDescent="0.35">
      <c r="A1365" t="s">
        <v>27</v>
      </c>
      <c r="B1365">
        <v>2040</v>
      </c>
      <c r="C1365" t="s">
        <v>63</v>
      </c>
      <c r="D1365" t="s">
        <v>52</v>
      </c>
      <c r="E1365">
        <v>2.09953408013046E-2</v>
      </c>
      <c r="F1365">
        <v>2.09953408013046E-2</v>
      </c>
      <c r="G1365">
        <v>0</v>
      </c>
      <c r="H1365">
        <v>0</v>
      </c>
      <c r="I1365" t="s">
        <v>64</v>
      </c>
    </row>
    <row r="1366" spans="1:9" x14ac:dyDescent="0.35">
      <c r="A1366" t="s">
        <v>27</v>
      </c>
      <c r="B1366">
        <v>2040</v>
      </c>
      <c r="C1366" t="s">
        <v>63</v>
      </c>
      <c r="D1366" t="s">
        <v>53</v>
      </c>
      <c r="E1366">
        <v>0.251914827511311</v>
      </c>
      <c r="F1366">
        <v>0.251914827511311</v>
      </c>
      <c r="G1366">
        <v>0</v>
      </c>
      <c r="H1366">
        <v>0</v>
      </c>
      <c r="I1366" t="s">
        <v>64</v>
      </c>
    </row>
    <row r="1367" spans="1:9" x14ac:dyDescent="0.35">
      <c r="A1367" t="s">
        <v>27</v>
      </c>
      <c r="B1367">
        <v>2040</v>
      </c>
      <c r="C1367" t="s">
        <v>63</v>
      </c>
      <c r="D1367" t="s">
        <v>54</v>
      </c>
      <c r="E1367">
        <v>1.50079477668035</v>
      </c>
      <c r="F1367">
        <v>1.4991019745654799</v>
      </c>
      <c r="G1367">
        <v>-1.6928021148743201E-3</v>
      </c>
      <c r="H1367">
        <v>-0.112793710451116</v>
      </c>
      <c r="I1367" t="s">
        <v>64</v>
      </c>
    </row>
    <row r="1368" spans="1:9" x14ac:dyDescent="0.35">
      <c r="A1368" t="s">
        <v>27</v>
      </c>
      <c r="B1368">
        <v>2040</v>
      </c>
      <c r="C1368" t="s">
        <v>63</v>
      </c>
      <c r="D1368" t="s">
        <v>55</v>
      </c>
      <c r="E1368">
        <v>1.61681611263367</v>
      </c>
      <c r="F1368">
        <v>1.3930740041699501</v>
      </c>
      <c r="G1368">
        <v>-0.223742108463723</v>
      </c>
      <c r="H1368">
        <v>-13.8384388128878</v>
      </c>
      <c r="I1368" t="s">
        <v>64</v>
      </c>
    </row>
    <row r="1369" spans="1:9" x14ac:dyDescent="0.35">
      <c r="A1369" t="s">
        <v>27</v>
      </c>
      <c r="B1369">
        <v>2040</v>
      </c>
      <c r="C1369" t="s">
        <v>63</v>
      </c>
      <c r="D1369" t="s">
        <v>56</v>
      </c>
      <c r="E1369" s="1">
        <v>6.0268169069708904E-8</v>
      </c>
      <c r="F1369" s="1">
        <v>6.0268169069708904E-8</v>
      </c>
      <c r="G1369">
        <v>0</v>
      </c>
      <c r="H1369">
        <v>0</v>
      </c>
      <c r="I1369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32D8-4671-4720-A07E-00182B0A7D15}">
  <dimension ref="A1:AV26"/>
  <sheetViews>
    <sheetView zoomScale="85" zoomScaleNormal="85" workbookViewId="0">
      <selection activeCell="X34" sqref="X34"/>
    </sheetView>
  </sheetViews>
  <sheetFormatPr defaultRowHeight="14.5" x14ac:dyDescent="0.35"/>
  <cols>
    <col min="8" max="8" width="39.54296875" bestFit="1" customWidth="1"/>
    <col min="9" max="26" width="11.453125" customWidth="1"/>
    <col min="27" max="27" width="4.90625" bestFit="1" customWidth="1"/>
    <col min="28" max="28" width="8.453125" bestFit="1" customWidth="1"/>
    <col min="29" max="29" width="4.81640625" bestFit="1" customWidth="1"/>
    <col min="30" max="30" width="2.26953125" customWidth="1"/>
    <col min="31" max="48" width="6.36328125" customWidth="1"/>
  </cols>
  <sheetData>
    <row r="1" spans="1:48" ht="43.5" x14ac:dyDescent="0.35">
      <c r="B1" s="72" t="s">
        <v>142</v>
      </c>
      <c r="C1" s="72" t="s">
        <v>143</v>
      </c>
      <c r="D1" s="72" t="s">
        <v>144</v>
      </c>
      <c r="E1" s="72" t="s">
        <v>145</v>
      </c>
      <c r="F1" s="72" t="s">
        <v>146</v>
      </c>
      <c r="G1" s="72" t="s">
        <v>147</v>
      </c>
      <c r="H1" s="72" t="s">
        <v>148</v>
      </c>
      <c r="I1" s="75" t="s">
        <v>92</v>
      </c>
      <c r="J1" s="73" t="s">
        <v>94</v>
      </c>
      <c r="K1" s="73" t="s">
        <v>101</v>
      </c>
      <c r="L1" s="73" t="s">
        <v>102</v>
      </c>
      <c r="M1" s="73" t="s">
        <v>95</v>
      </c>
      <c r="N1" s="73" t="s">
        <v>90</v>
      </c>
      <c r="O1" s="73" t="s">
        <v>100</v>
      </c>
      <c r="P1" s="73" t="s">
        <v>103</v>
      </c>
      <c r="Q1" s="73" t="s">
        <v>91</v>
      </c>
      <c r="R1" s="73" t="s">
        <v>96</v>
      </c>
      <c r="S1" s="73" t="s">
        <v>88</v>
      </c>
      <c r="T1" s="73" t="s">
        <v>104</v>
      </c>
      <c r="U1" s="73" t="s">
        <v>93</v>
      </c>
      <c r="V1" s="73" t="s">
        <v>89</v>
      </c>
      <c r="W1" s="73" t="s">
        <v>97</v>
      </c>
      <c r="X1" s="73" t="s">
        <v>87</v>
      </c>
      <c r="Y1" s="73" t="s">
        <v>99</v>
      </c>
      <c r="Z1" s="73" t="s">
        <v>98</v>
      </c>
      <c r="AA1" s="72" t="s">
        <v>135</v>
      </c>
      <c r="AB1" s="72" t="s">
        <v>3</v>
      </c>
      <c r="AC1" s="72" t="s">
        <v>29</v>
      </c>
      <c r="AE1" s="77" t="str">
        <f>_xlfn.CONCAT("DELTA-",I1)</f>
        <v>DELTA-GWP100</v>
      </c>
      <c r="AF1" s="77" t="str">
        <f t="shared" ref="AF1:AS1" si="0">_xlfn.CONCAT("DELTA-",J1)</f>
        <v>DELTA-ALOP</v>
      </c>
      <c r="AG1" s="77" t="str">
        <f t="shared" si="0"/>
        <v>DELTA-FDP</v>
      </c>
      <c r="AH1" s="77" t="str">
        <f t="shared" si="0"/>
        <v>DELTA-FETPinf</v>
      </c>
      <c r="AI1" s="77" t="str">
        <f t="shared" si="0"/>
        <v>DELTA-FEP</v>
      </c>
      <c r="AJ1" s="77" t="str">
        <f t="shared" si="0"/>
        <v>DELTA-HTPinf</v>
      </c>
      <c r="AK1" s="77" t="str">
        <f t="shared" si="0"/>
        <v>DELTA-IRP_HE</v>
      </c>
      <c r="AL1" s="77" t="str">
        <f t="shared" si="0"/>
        <v>DELTA-METPinf</v>
      </c>
      <c r="AM1" s="77" t="str">
        <f t="shared" si="0"/>
        <v>DELTA-MEP</v>
      </c>
      <c r="AN1" s="77" t="str">
        <f t="shared" si="0"/>
        <v>DELTA-MDP</v>
      </c>
      <c r="AO1" s="77" t="str">
        <f t="shared" si="0"/>
        <v>DELTA-NLTP</v>
      </c>
      <c r="AP1" s="77" t="str">
        <f t="shared" si="0"/>
        <v>DELTA-ODPinf</v>
      </c>
      <c r="AQ1" s="77" t="str">
        <f t="shared" si="0"/>
        <v>DELTA-PMFP</v>
      </c>
      <c r="AR1" s="77" t="str">
        <f t="shared" si="0"/>
        <v>DELTA-POFP</v>
      </c>
      <c r="AS1" s="77" t="str">
        <f t="shared" si="0"/>
        <v>DELTA-TAP100</v>
      </c>
      <c r="AT1" s="77" t="str">
        <f t="shared" ref="AT1" si="1">_xlfn.CONCAT("DELTA-",X1)</f>
        <v>DELTA-TETPinf</v>
      </c>
      <c r="AU1" s="77" t="str">
        <f t="shared" ref="AU1" si="2">_xlfn.CONCAT("DELTA-",Y1)</f>
        <v>DELTA-ULOP</v>
      </c>
      <c r="AV1" s="77" t="str">
        <f t="shared" ref="AV1" si="3">_xlfn.CONCAT("DELTA-",Z1)</f>
        <v>DELTA-WDP</v>
      </c>
    </row>
    <row r="2" spans="1:48" ht="101.5" hidden="1" x14ac:dyDescent="0.35">
      <c r="B2" s="74"/>
      <c r="C2" s="74"/>
      <c r="D2" s="74"/>
      <c r="E2" s="74"/>
      <c r="F2" s="74"/>
      <c r="G2" s="74"/>
      <c r="H2" s="74"/>
      <c r="I2" s="73" t="s">
        <v>149</v>
      </c>
      <c r="J2" s="73" t="s">
        <v>177</v>
      </c>
      <c r="K2" s="73" t="s">
        <v>178</v>
      </c>
      <c r="L2" s="73" t="s">
        <v>150</v>
      </c>
      <c r="M2" s="73" t="s">
        <v>151</v>
      </c>
      <c r="N2" s="73" t="s">
        <v>152</v>
      </c>
      <c r="O2" s="73" t="s">
        <v>179</v>
      </c>
      <c r="P2" s="73" t="s">
        <v>153</v>
      </c>
      <c r="Q2" s="73" t="s">
        <v>154</v>
      </c>
      <c r="R2" s="73" t="s">
        <v>180</v>
      </c>
      <c r="S2" s="73" t="s">
        <v>181</v>
      </c>
      <c r="T2" s="73" t="s">
        <v>182</v>
      </c>
      <c r="U2" s="73" t="s">
        <v>155</v>
      </c>
      <c r="V2" s="73" t="s">
        <v>156</v>
      </c>
      <c r="W2" s="73" t="s">
        <v>157</v>
      </c>
      <c r="X2" s="73" t="s">
        <v>158</v>
      </c>
      <c r="Y2" s="73" t="s">
        <v>183</v>
      </c>
      <c r="Z2" s="73" t="s">
        <v>184</v>
      </c>
      <c r="AA2" s="74"/>
      <c r="AB2" s="74"/>
      <c r="AC2" s="74"/>
    </row>
    <row r="3" spans="1:48" x14ac:dyDescent="0.35">
      <c r="A3" s="72">
        <v>0</v>
      </c>
      <c r="B3" t="s">
        <v>159</v>
      </c>
      <c r="C3">
        <v>1</v>
      </c>
      <c r="D3" t="s">
        <v>160</v>
      </c>
      <c r="E3" t="s">
        <v>161</v>
      </c>
      <c r="F3" t="s">
        <v>162</v>
      </c>
      <c r="G3" t="s">
        <v>163</v>
      </c>
      <c r="H3" t="s">
        <v>4</v>
      </c>
      <c r="I3">
        <v>27.139288575574469</v>
      </c>
      <c r="J3">
        <v>1.106164198993183</v>
      </c>
      <c r="K3">
        <v>8.5419686497764484</v>
      </c>
      <c r="L3">
        <v>2.6652470246034889</v>
      </c>
      <c r="M3">
        <v>9.4843948256694306E-3</v>
      </c>
      <c r="N3">
        <v>27.594770470809589</v>
      </c>
      <c r="O3">
        <v>8.4738090601355154</v>
      </c>
      <c r="P3">
        <v>2.4021729670313259</v>
      </c>
      <c r="Q3">
        <v>4.0972816736335578E-2</v>
      </c>
      <c r="R3">
        <v>98.239906776722762</v>
      </c>
      <c r="S3">
        <v>6.6429117827976059E-3</v>
      </c>
      <c r="T3">
        <v>3.118613494191109E-6</v>
      </c>
      <c r="U3">
        <v>7.4965299104571531E-2</v>
      </c>
      <c r="V3">
        <v>7.8437753028272883E-2</v>
      </c>
      <c r="W3">
        <v>0.20340719790942141</v>
      </c>
      <c r="X3">
        <v>3.2146305717172252E-2</v>
      </c>
      <c r="Y3">
        <v>0.67348831478862625</v>
      </c>
      <c r="Z3">
        <v>0.39438844382852728</v>
      </c>
      <c r="AA3" t="s">
        <v>0</v>
      </c>
      <c r="AB3" t="s">
        <v>175</v>
      </c>
      <c r="AC3">
        <v>2025</v>
      </c>
    </row>
    <row r="4" spans="1:48" x14ac:dyDescent="0.35">
      <c r="A4" s="72">
        <v>1</v>
      </c>
      <c r="B4" t="s">
        <v>164</v>
      </c>
      <c r="C4">
        <v>1</v>
      </c>
      <c r="D4" t="s">
        <v>160</v>
      </c>
      <c r="E4" t="s">
        <v>161</v>
      </c>
      <c r="F4" t="s">
        <v>162</v>
      </c>
      <c r="G4" t="s">
        <v>163</v>
      </c>
      <c r="H4" t="s">
        <v>5</v>
      </c>
      <c r="I4">
        <v>27.139152378681111</v>
      </c>
      <c r="J4">
        <v>1.1061892565129789</v>
      </c>
      <c r="K4">
        <v>8.5406295652704909</v>
      </c>
      <c r="L4">
        <v>2.6652300307670269</v>
      </c>
      <c r="M4">
        <v>9.4855894131479282E-3</v>
      </c>
      <c r="N4">
        <v>27.595641463911029</v>
      </c>
      <c r="O4">
        <v>8.4729120447906769</v>
      </c>
      <c r="P4">
        <v>2.4021617797099681</v>
      </c>
      <c r="Q4">
        <v>4.0976010137224253E-2</v>
      </c>
      <c r="R4">
        <v>98.239869872779593</v>
      </c>
      <c r="S4">
        <v>6.6446569989710271E-3</v>
      </c>
      <c r="T4">
        <v>3.118256171824555E-6</v>
      </c>
      <c r="U4">
        <v>7.4962518834997216E-2</v>
      </c>
      <c r="V4">
        <v>7.8442014109896332E-2</v>
      </c>
      <c r="W4">
        <v>0.2034489176084032</v>
      </c>
      <c r="X4">
        <v>3.2145115296763289E-2</v>
      </c>
      <c r="Y4">
        <v>0.67348314550245447</v>
      </c>
      <c r="Z4">
        <v>0.39438622462108702</v>
      </c>
      <c r="AA4" t="s">
        <v>0</v>
      </c>
      <c r="AB4" t="s">
        <v>176</v>
      </c>
      <c r="AC4">
        <v>2025</v>
      </c>
      <c r="AE4" s="76">
        <f>(I4-I3)/I3</f>
        <v>-5.0184400736485808E-6</v>
      </c>
      <c r="AF4" s="76">
        <f t="shared" ref="AF4:AV4" si="4">(J4-J3)/J3</f>
        <v>2.2652622294941454E-5</v>
      </c>
      <c r="AG4" s="76">
        <f t="shared" si="4"/>
        <v>-1.5676532668995328E-4</v>
      </c>
      <c r="AH4" s="76">
        <f t="shared" si="4"/>
        <v>-6.3760830816646877E-6</v>
      </c>
      <c r="AI4" s="76">
        <f t="shared" si="4"/>
        <v>1.2595294696763371E-4</v>
      </c>
      <c r="AJ4" s="76">
        <f t="shared" si="4"/>
        <v>3.1563701620982066E-5</v>
      </c>
      <c r="AK4" s="76">
        <f t="shared" si="4"/>
        <v>-1.0585739405651551E-4</v>
      </c>
      <c r="AL4" s="76">
        <f t="shared" si="4"/>
        <v>-4.6571672861540111E-6</v>
      </c>
      <c r="AM4" s="76">
        <f t="shared" si="4"/>
        <v>7.7939500943390177E-5</v>
      </c>
      <c r="AN4" s="76">
        <f t="shared" si="4"/>
        <v>-3.7565124377391004E-7</v>
      </c>
      <c r="AO4" s="76">
        <f t="shared" si="4"/>
        <v>2.6271855332184462E-4</v>
      </c>
      <c r="AP4" s="76">
        <f t="shared" si="4"/>
        <v>-1.145773168812069E-4</v>
      </c>
      <c r="AQ4" s="76">
        <f t="shared" si="4"/>
        <v>-3.7087420546896094E-5</v>
      </c>
      <c r="AR4" s="76">
        <f t="shared" si="4"/>
        <v>5.432437135104581E-5</v>
      </c>
      <c r="AS4" s="76">
        <f t="shared" si="4"/>
        <v>2.0510433952471434E-4</v>
      </c>
      <c r="AT4" s="76">
        <f t="shared" si="4"/>
        <v>-3.7031328558752896E-5</v>
      </c>
      <c r="AU4" s="76">
        <f t="shared" si="4"/>
        <v>-7.6753910324374467E-6</v>
      </c>
      <c r="AV4" s="76">
        <f t="shared" si="4"/>
        <v>-5.6269585860939546E-6</v>
      </c>
    </row>
    <row r="5" spans="1:48" x14ac:dyDescent="0.35">
      <c r="A5" s="72">
        <v>2</v>
      </c>
      <c r="B5" t="s">
        <v>185</v>
      </c>
      <c r="C5">
        <v>1</v>
      </c>
      <c r="D5" t="s">
        <v>160</v>
      </c>
      <c r="E5" t="s">
        <v>161</v>
      </c>
      <c r="F5" t="s">
        <v>162</v>
      </c>
      <c r="G5" t="s">
        <v>163</v>
      </c>
      <c r="H5" t="s">
        <v>6</v>
      </c>
      <c r="I5">
        <v>25.338279631684049</v>
      </c>
      <c r="J5">
        <v>1.186802439869548</v>
      </c>
      <c r="K5">
        <v>8.0888071727241471</v>
      </c>
      <c r="L5">
        <v>2.6733928821429869</v>
      </c>
      <c r="M5">
        <v>9.0477643413602905E-3</v>
      </c>
      <c r="N5">
        <v>27.216889357929801</v>
      </c>
      <c r="O5">
        <v>8.2999688203422792</v>
      </c>
      <c r="P5">
        <v>2.4075210777590041</v>
      </c>
      <c r="Q5">
        <v>3.970097511225093E-2</v>
      </c>
      <c r="R5">
        <v>98.244292738758134</v>
      </c>
      <c r="S5">
        <v>6.3463235470575139E-3</v>
      </c>
      <c r="T5">
        <v>3.0042873696440102E-6</v>
      </c>
      <c r="U5">
        <v>7.0997683737504577E-2</v>
      </c>
      <c r="V5">
        <v>7.4624000850362235E-2</v>
      </c>
      <c r="W5">
        <v>0.1983867037398501</v>
      </c>
      <c r="X5">
        <v>3.2721266834128591E-2</v>
      </c>
      <c r="Y5">
        <v>0.6808539989901814</v>
      </c>
      <c r="Z5">
        <v>0.38811179760931408</v>
      </c>
      <c r="AA5" t="s">
        <v>0</v>
      </c>
      <c r="AB5" t="s">
        <v>175</v>
      </c>
      <c r="AC5">
        <v>2030</v>
      </c>
    </row>
    <row r="6" spans="1:48" x14ac:dyDescent="0.35">
      <c r="A6" s="72">
        <v>3</v>
      </c>
      <c r="B6" t="s">
        <v>186</v>
      </c>
      <c r="C6">
        <v>1</v>
      </c>
      <c r="D6" t="s">
        <v>160</v>
      </c>
      <c r="E6" t="s">
        <v>161</v>
      </c>
      <c r="F6" t="s">
        <v>162</v>
      </c>
      <c r="G6" t="s">
        <v>163</v>
      </c>
      <c r="H6" t="s">
        <v>7</v>
      </c>
      <c r="I6">
        <v>25.289715772276331</v>
      </c>
      <c r="J6">
        <v>1.186697859601658</v>
      </c>
      <c r="K6">
        <v>8.0873835794642339</v>
      </c>
      <c r="L6">
        <v>2.6267000324521859</v>
      </c>
      <c r="M6">
        <v>8.6271134231599416E-3</v>
      </c>
      <c r="N6">
        <v>27.101576958416839</v>
      </c>
      <c r="O6">
        <v>8.2994747632910606</v>
      </c>
      <c r="P6">
        <v>2.3962483113835389</v>
      </c>
      <c r="Q6">
        <v>3.542870790924E-2</v>
      </c>
      <c r="R6">
        <v>98.244258060275001</v>
      </c>
      <c r="S6">
        <v>6.3482988526963428E-3</v>
      </c>
      <c r="T6">
        <v>3.003916835409005E-6</v>
      </c>
      <c r="U6">
        <v>6.4738367427850912E-2</v>
      </c>
      <c r="V6">
        <v>7.2508608453148285E-2</v>
      </c>
      <c r="W6">
        <v>0.1795534363332501</v>
      </c>
      <c r="X6">
        <v>3.2524543803169097E-2</v>
      </c>
      <c r="Y6">
        <v>0.68078270975011623</v>
      </c>
      <c r="Z6">
        <v>0.38810379746476298</v>
      </c>
      <c r="AA6" t="s">
        <v>0</v>
      </c>
      <c r="AB6" t="s">
        <v>176</v>
      </c>
      <c r="AC6">
        <v>2030</v>
      </c>
      <c r="AE6" s="76">
        <f>(I6-I5)/I5</f>
        <v>-1.9166202328508414E-3</v>
      </c>
      <c r="AF6" s="76">
        <f t="shared" ref="AF6:AV6" si="5">(J6-J5)/J5</f>
        <v>-8.8119357002299048E-5</v>
      </c>
      <c r="AG6" s="76">
        <f t="shared" si="5"/>
        <v>-1.7599545019611462E-4</v>
      </c>
      <c r="AH6" s="76">
        <f t="shared" si="5"/>
        <v>-1.7465764199002469E-2</v>
      </c>
      <c r="AI6" s="76">
        <f t="shared" si="5"/>
        <v>-4.6492249613246002E-2</v>
      </c>
      <c r="AJ6" s="76">
        <f t="shared" si="5"/>
        <v>-4.236795689488506E-3</v>
      </c>
      <c r="AK6" s="76">
        <f t="shared" si="5"/>
        <v>-5.9525169541330685E-5</v>
      </c>
      <c r="AL6" s="76">
        <f t="shared" si="5"/>
        <v>-4.682312640833991E-3</v>
      </c>
      <c r="AM6" s="76">
        <f t="shared" si="5"/>
        <v>-0.10761114030402226</v>
      </c>
      <c r="AN6" s="76">
        <f t="shared" si="5"/>
        <v>-3.5298216482075792E-7</v>
      </c>
      <c r="AO6" s="76">
        <f t="shared" si="5"/>
        <v>3.1125195937177686E-4</v>
      </c>
      <c r="AP6" s="76">
        <f t="shared" si="5"/>
        <v>-1.23335150541555E-4</v>
      </c>
      <c r="AQ6" s="76">
        <f t="shared" si="5"/>
        <v>-8.8162260797068459E-2</v>
      </c>
      <c r="AR6" s="76">
        <f t="shared" si="5"/>
        <v>-2.8347346337752426E-2</v>
      </c>
      <c r="AS6" s="76">
        <f t="shared" si="5"/>
        <v>-9.4932105083496768E-2</v>
      </c>
      <c r="AT6" s="76">
        <f t="shared" si="5"/>
        <v>-6.0120847996725704E-3</v>
      </c>
      <c r="AU6" s="76">
        <f t="shared" si="5"/>
        <v>-1.0470561995802042E-4</v>
      </c>
      <c r="AV6" s="76">
        <f t="shared" si="5"/>
        <v>-2.0612989866271787E-5</v>
      </c>
    </row>
    <row r="7" spans="1:48" x14ac:dyDescent="0.35">
      <c r="A7" s="72">
        <v>4</v>
      </c>
      <c r="B7" t="s">
        <v>187</v>
      </c>
      <c r="C7">
        <v>1</v>
      </c>
      <c r="D7" t="s">
        <v>160</v>
      </c>
      <c r="E7" t="s">
        <v>161</v>
      </c>
      <c r="F7" t="s">
        <v>162</v>
      </c>
      <c r="G7" t="s">
        <v>163</v>
      </c>
      <c r="H7" t="s">
        <v>8</v>
      </c>
      <c r="I7">
        <v>23.977172666139001</v>
      </c>
      <c r="J7">
        <v>1.450391586844505</v>
      </c>
      <c r="K7">
        <v>7.7421759808183674</v>
      </c>
      <c r="L7">
        <v>2.6798451690887379</v>
      </c>
      <c r="M7">
        <v>8.7753172176313204E-3</v>
      </c>
      <c r="N7">
        <v>27.005916932806791</v>
      </c>
      <c r="O7">
        <v>8.1308046854734037</v>
      </c>
      <c r="P7">
        <v>2.412694872201437</v>
      </c>
      <c r="Q7">
        <v>3.8698820955955018E-2</v>
      </c>
      <c r="R7">
        <v>98.252110228950357</v>
      </c>
      <c r="S7">
        <v>6.0925656946679476E-3</v>
      </c>
      <c r="T7">
        <v>2.93498456021621E-6</v>
      </c>
      <c r="U7">
        <v>6.8433899965497758E-2</v>
      </c>
      <c r="V7">
        <v>7.2033829579202013E-2</v>
      </c>
      <c r="W7">
        <v>0.19482622578303721</v>
      </c>
      <c r="X7">
        <v>3.2592992642497133E-2</v>
      </c>
      <c r="Y7">
        <v>0.69599717969435815</v>
      </c>
      <c r="Z7">
        <v>0.38088830059962903</v>
      </c>
      <c r="AA7" t="s">
        <v>0</v>
      </c>
      <c r="AB7" t="s">
        <v>175</v>
      </c>
      <c r="AC7">
        <v>2035</v>
      </c>
    </row>
    <row r="8" spans="1:48" x14ac:dyDescent="0.35">
      <c r="A8" s="72">
        <v>5</v>
      </c>
      <c r="B8" t="s">
        <v>188</v>
      </c>
      <c r="C8">
        <v>1</v>
      </c>
      <c r="D8" t="s">
        <v>160</v>
      </c>
      <c r="E8" t="s">
        <v>161</v>
      </c>
      <c r="F8" t="s">
        <v>162</v>
      </c>
      <c r="G8" t="s">
        <v>163</v>
      </c>
      <c r="H8" t="s">
        <v>9</v>
      </c>
      <c r="I8">
        <v>23.968425942015859</v>
      </c>
      <c r="J8">
        <v>1.450428629897943</v>
      </c>
      <c r="K8">
        <v>7.7404014386236071</v>
      </c>
      <c r="L8">
        <v>2.6676761101656812</v>
      </c>
      <c r="M8">
        <v>8.6671720621983236E-3</v>
      </c>
      <c r="N8">
        <v>26.975675443490658</v>
      </c>
      <c r="O8">
        <v>8.1305030413803721</v>
      </c>
      <c r="P8">
        <v>2.4098107764875381</v>
      </c>
      <c r="Q8">
        <v>3.7549425140070813E-2</v>
      </c>
      <c r="R8">
        <v>98.252101845048259</v>
      </c>
      <c r="S8">
        <v>6.0942238085464687E-3</v>
      </c>
      <c r="T8">
        <v>2.934682455174967E-6</v>
      </c>
      <c r="U8">
        <v>6.6725246250386949E-2</v>
      </c>
      <c r="V8">
        <v>7.1464572100543217E-2</v>
      </c>
      <c r="W8">
        <v>0.18963426092662469</v>
      </c>
      <c r="X8">
        <v>3.2541804249974673E-2</v>
      </c>
      <c r="Y8">
        <v>0.69601770504014859</v>
      </c>
      <c r="Z8">
        <v>0.38088554208695508</v>
      </c>
      <c r="AA8" t="s">
        <v>0</v>
      </c>
      <c r="AB8" t="s">
        <v>176</v>
      </c>
      <c r="AC8">
        <v>2035</v>
      </c>
      <c r="AE8" s="76">
        <f>(I8-I7)/I7</f>
        <v>-3.6479380804954289E-4</v>
      </c>
      <c r="AF8" s="76">
        <f t="shared" ref="AF8:AV8" si="6">(J8-J7)/J7</f>
        <v>2.5540036066109632E-5</v>
      </c>
      <c r="AG8" s="76">
        <f t="shared" si="6"/>
        <v>-2.2920458010214215E-4</v>
      </c>
      <c r="AH8" s="76">
        <f t="shared" si="6"/>
        <v>-4.5409559714208242E-3</v>
      </c>
      <c r="AI8" s="76">
        <f t="shared" si="6"/>
        <v>-1.2323788730475991E-2</v>
      </c>
      <c r="AJ8" s="76">
        <f t="shared" si="6"/>
        <v>-1.119809758408733E-3</v>
      </c>
      <c r="AK8" s="76">
        <f t="shared" si="6"/>
        <v>-3.7098922517546677E-5</v>
      </c>
      <c r="AL8" s="76">
        <f t="shared" si="6"/>
        <v>-1.1953835303124567E-3</v>
      </c>
      <c r="AM8" s="76">
        <f t="shared" si="6"/>
        <v>-2.9701055161147863E-2</v>
      </c>
      <c r="AN8" s="76">
        <f t="shared" si="6"/>
        <v>-8.533050414132386E-8</v>
      </c>
      <c r="AO8" s="76">
        <f t="shared" si="6"/>
        <v>2.7215363142857888E-4</v>
      </c>
      <c r="AP8" s="76">
        <f t="shared" si="6"/>
        <v>-1.0293241243516703E-4</v>
      </c>
      <c r="AQ8" s="76">
        <f t="shared" si="6"/>
        <v>-2.4967943021985569E-2</v>
      </c>
      <c r="AR8" s="76">
        <f t="shared" si="6"/>
        <v>-7.902640772873136E-3</v>
      </c>
      <c r="AS8" s="76">
        <f t="shared" si="6"/>
        <v>-2.6649209240415118E-2</v>
      </c>
      <c r="AT8" s="76">
        <f t="shared" si="6"/>
        <v>-1.5705336752574364E-3</v>
      </c>
      <c r="AU8" s="76">
        <f t="shared" si="6"/>
        <v>2.949055885464772E-5</v>
      </c>
      <c r="AV8" s="76">
        <f t="shared" si="6"/>
        <v>-7.2423140054649618E-6</v>
      </c>
    </row>
    <row r="9" spans="1:48" x14ac:dyDescent="0.35">
      <c r="A9" s="72">
        <v>6</v>
      </c>
      <c r="B9" t="s">
        <v>165</v>
      </c>
      <c r="C9">
        <v>1</v>
      </c>
      <c r="D9" t="s">
        <v>160</v>
      </c>
      <c r="E9" t="s">
        <v>161</v>
      </c>
      <c r="F9" t="s">
        <v>162</v>
      </c>
      <c r="G9" t="s">
        <v>163</v>
      </c>
      <c r="H9" t="s">
        <v>10</v>
      </c>
      <c r="I9">
        <v>23.0072790024659</v>
      </c>
      <c r="J9">
        <v>1.854219157131787</v>
      </c>
      <c r="K9">
        <v>7.4679550993268338</v>
      </c>
      <c r="L9">
        <v>2.6835891132655809</v>
      </c>
      <c r="M9">
        <v>8.5870282811734387E-3</v>
      </c>
      <c r="N9">
        <v>26.874696540153881</v>
      </c>
      <c r="O9">
        <v>7.9901245997356467</v>
      </c>
      <c r="P9">
        <v>2.4162169431490281</v>
      </c>
      <c r="Q9">
        <v>3.7672613641908298E-2</v>
      </c>
      <c r="R9">
        <v>98.265374316024136</v>
      </c>
      <c r="S9">
        <v>5.8676213932211448E-3</v>
      </c>
      <c r="T9">
        <v>2.8905165905923322E-6</v>
      </c>
      <c r="U9">
        <v>6.6882102966608584E-2</v>
      </c>
      <c r="V9">
        <v>7.0306894000654263E-2</v>
      </c>
      <c r="W9">
        <v>0.19210236834403141</v>
      </c>
      <c r="X9">
        <v>3.039418430694996E-2</v>
      </c>
      <c r="Y9">
        <v>0.71036289289752363</v>
      </c>
      <c r="Z9">
        <v>0.37025589920404239</v>
      </c>
      <c r="AA9" t="s">
        <v>0</v>
      </c>
      <c r="AB9" t="s">
        <v>175</v>
      </c>
      <c r="AC9">
        <v>2040</v>
      </c>
    </row>
    <row r="10" spans="1:48" x14ac:dyDescent="0.35">
      <c r="A10" s="72">
        <v>7</v>
      </c>
      <c r="B10" t="s">
        <v>166</v>
      </c>
      <c r="C10">
        <v>1</v>
      </c>
      <c r="D10" t="s">
        <v>160</v>
      </c>
      <c r="E10" t="s">
        <v>161</v>
      </c>
      <c r="F10" t="s">
        <v>162</v>
      </c>
      <c r="G10" t="s">
        <v>163</v>
      </c>
      <c r="H10" t="s">
        <v>11</v>
      </c>
      <c r="I10">
        <v>22.948331731909349</v>
      </c>
      <c r="J10">
        <v>1.8542858855930919</v>
      </c>
      <c r="K10">
        <v>7.4657370386203716</v>
      </c>
      <c r="L10">
        <v>2.6215675410683672</v>
      </c>
      <c r="M10">
        <v>8.0564839619637636E-3</v>
      </c>
      <c r="N10">
        <v>26.137273783455878</v>
      </c>
      <c r="O10">
        <v>7.9898446123364746</v>
      </c>
      <c r="P10">
        <v>2.398942359439681</v>
      </c>
      <c r="Q10">
        <v>3.2248172759238421E-2</v>
      </c>
      <c r="R10">
        <v>98.265362966740355</v>
      </c>
      <c r="S10">
        <v>5.8691255881112743E-3</v>
      </c>
      <c r="T10">
        <v>2.890118378411329E-6</v>
      </c>
      <c r="U10">
        <v>5.8834321534177177E-2</v>
      </c>
      <c r="V10">
        <v>6.7585249261575386E-2</v>
      </c>
      <c r="W10">
        <v>0.1676367343222854</v>
      </c>
      <c r="X10">
        <v>3.0149479696814051E-2</v>
      </c>
      <c r="Y10">
        <v>0.71033525319001012</v>
      </c>
      <c r="Z10">
        <v>0.37025005820686552</v>
      </c>
      <c r="AA10" t="s">
        <v>0</v>
      </c>
      <c r="AB10" t="s">
        <v>176</v>
      </c>
      <c r="AC10">
        <v>2040</v>
      </c>
      <c r="AE10" s="76">
        <f>(I10-I9)/I9</f>
        <v>-2.5621139531638369E-3</v>
      </c>
      <c r="AF10" s="76">
        <f t="shared" ref="AF10:AV10" si="7">(J10-J9)/J9</f>
        <v>3.598736484212255E-5</v>
      </c>
      <c r="AG10" s="76">
        <f t="shared" si="7"/>
        <v>-2.9701045024521774E-4</v>
      </c>
      <c r="AH10" s="76">
        <f t="shared" si="7"/>
        <v>-2.3111426369494203E-2</v>
      </c>
      <c r="AI10" s="76">
        <f t="shared" si="7"/>
        <v>-6.1784391740372258E-2</v>
      </c>
      <c r="AJ10" s="76">
        <f t="shared" si="7"/>
        <v>-2.7439296127351923E-2</v>
      </c>
      <c r="AK10" s="76">
        <f t="shared" si="7"/>
        <v>-3.5041681225019285E-5</v>
      </c>
      <c r="AL10" s="76">
        <f t="shared" si="7"/>
        <v>-7.1494340598544604E-3</v>
      </c>
      <c r="AM10" s="76">
        <f t="shared" si="7"/>
        <v>-0.14398897125193205</v>
      </c>
      <c r="AN10" s="76">
        <f t="shared" si="7"/>
        <v>-1.1549626570102886E-7</v>
      </c>
      <c r="AO10" s="76">
        <f t="shared" si="7"/>
        <v>2.5635513768275245E-4</v>
      </c>
      <c r="AP10" s="76">
        <f t="shared" si="7"/>
        <v>-1.3776505635679874E-4</v>
      </c>
      <c r="AQ10" s="76">
        <f t="shared" si="7"/>
        <v>-0.12032787659875654</v>
      </c>
      <c r="AR10" s="76">
        <f t="shared" si="7"/>
        <v>-3.8710922702026203E-2</v>
      </c>
      <c r="AS10" s="76">
        <f t="shared" si="7"/>
        <v>-0.1273572743149689</v>
      </c>
      <c r="AT10" s="76">
        <f t="shared" si="7"/>
        <v>-8.0510339630978211E-3</v>
      </c>
      <c r="AU10" s="76">
        <f t="shared" si="7"/>
        <v>-3.8909278327835242E-5</v>
      </c>
      <c r="AV10" s="76">
        <f t="shared" si="7"/>
        <v>-1.5775568166320887E-5</v>
      </c>
    </row>
    <row r="11" spans="1:48" x14ac:dyDescent="0.35">
      <c r="A11" s="72">
        <v>8</v>
      </c>
      <c r="B11" t="s">
        <v>167</v>
      </c>
      <c r="C11">
        <v>1</v>
      </c>
      <c r="D11" t="s">
        <v>160</v>
      </c>
      <c r="E11" t="s">
        <v>161</v>
      </c>
      <c r="F11" t="s">
        <v>162</v>
      </c>
      <c r="G11" t="s">
        <v>163</v>
      </c>
      <c r="H11" t="s">
        <v>12</v>
      </c>
      <c r="I11">
        <v>26.81549426377417</v>
      </c>
      <c r="J11">
        <v>0.41138807566735042</v>
      </c>
      <c r="K11">
        <v>8.5085005970034366</v>
      </c>
      <c r="L11">
        <v>2.6524070031710552</v>
      </c>
      <c r="M11">
        <v>9.2625604626414351E-3</v>
      </c>
      <c r="N11">
        <v>27.40438933814124</v>
      </c>
      <c r="O11">
        <v>8.8210591227357025</v>
      </c>
      <c r="P11">
        <v>2.3925169748473558</v>
      </c>
      <c r="Q11">
        <v>3.7551979376514381E-2</v>
      </c>
      <c r="R11">
        <v>98.193573689608584</v>
      </c>
      <c r="S11">
        <v>6.6767277719135942E-3</v>
      </c>
      <c r="T11">
        <v>3.1363030719989612E-6</v>
      </c>
      <c r="U11">
        <v>7.3550744521209618E-2</v>
      </c>
      <c r="V11">
        <v>7.7384339870937513E-2</v>
      </c>
      <c r="W11">
        <v>0.19958228110809079</v>
      </c>
      <c r="X11">
        <v>1.917894767595028E-2</v>
      </c>
      <c r="Y11">
        <v>0.66390075095375489</v>
      </c>
      <c r="Z11">
        <v>0.34343771587212762</v>
      </c>
      <c r="AA11" t="s">
        <v>1</v>
      </c>
      <c r="AB11" t="s">
        <v>175</v>
      </c>
      <c r="AC11">
        <v>2025</v>
      </c>
    </row>
    <row r="12" spans="1:48" x14ac:dyDescent="0.35">
      <c r="A12" s="72">
        <v>9</v>
      </c>
      <c r="B12" t="s">
        <v>168</v>
      </c>
      <c r="C12">
        <v>1</v>
      </c>
      <c r="D12" t="s">
        <v>160</v>
      </c>
      <c r="E12" t="s">
        <v>161</v>
      </c>
      <c r="F12" t="s">
        <v>162</v>
      </c>
      <c r="G12" t="s">
        <v>163</v>
      </c>
      <c r="H12" t="s">
        <v>13</v>
      </c>
      <c r="I12">
        <v>26.811747321298771</v>
      </c>
      <c r="J12">
        <v>0.41143402644687987</v>
      </c>
      <c r="K12">
        <v>8.5062801598520519</v>
      </c>
      <c r="L12">
        <v>2.652347264201679</v>
      </c>
      <c r="M12">
        <v>9.2635560216318968E-3</v>
      </c>
      <c r="N12">
        <v>27.404939661352412</v>
      </c>
      <c r="O12">
        <v>8.8202057756969658</v>
      </c>
      <c r="P12">
        <v>2.3924739767048711</v>
      </c>
      <c r="Q12">
        <v>3.7551264587286942E-2</v>
      </c>
      <c r="R12">
        <v>98.193525620908218</v>
      </c>
      <c r="S12">
        <v>6.6789149235179923E-3</v>
      </c>
      <c r="T12">
        <v>3.1359629966156199E-6</v>
      </c>
      <c r="U12">
        <v>7.3533032593657163E-2</v>
      </c>
      <c r="V12">
        <v>7.7375857525446415E-2</v>
      </c>
      <c r="W12">
        <v>0.19958868030122451</v>
      </c>
      <c r="X12">
        <v>1.9178992701159341E-2</v>
      </c>
      <c r="Y12">
        <v>0.66394946003848254</v>
      </c>
      <c r="Z12">
        <v>0.343432611302672</v>
      </c>
      <c r="AA12" t="s">
        <v>1</v>
      </c>
      <c r="AB12" t="s">
        <v>176</v>
      </c>
      <c r="AC12">
        <v>2025</v>
      </c>
      <c r="AE12" s="76">
        <f>(I12-I11)/I11</f>
        <v>-1.3973050202026273E-4</v>
      </c>
      <c r="AF12" s="76">
        <f t="shared" ref="AF12:AV12" si="8">(J12-J11)/J11</f>
        <v>1.1169691648188106E-4</v>
      </c>
      <c r="AG12" s="76">
        <f t="shared" si="8"/>
        <v>-2.6096691491880034E-4</v>
      </c>
      <c r="AH12" s="76">
        <f t="shared" si="8"/>
        <v>-2.2522550010140241E-5</v>
      </c>
      <c r="AI12" s="76">
        <f t="shared" si="8"/>
        <v>1.0748205039816963E-4</v>
      </c>
      <c r="AJ12" s="76">
        <f t="shared" si="8"/>
        <v>2.0081571765080821E-5</v>
      </c>
      <c r="AK12" s="76">
        <f t="shared" si="8"/>
        <v>-9.6739748239208965E-5</v>
      </c>
      <c r="AL12" s="76">
        <f t="shared" si="8"/>
        <v>-1.7971927863753541E-5</v>
      </c>
      <c r="AM12" s="76">
        <f t="shared" si="8"/>
        <v>-1.9034661802308838E-5</v>
      </c>
      <c r="AN12" s="76">
        <f t="shared" si="8"/>
        <v>-4.8953000241985827E-7</v>
      </c>
      <c r="AO12" s="76">
        <f t="shared" si="8"/>
        <v>3.2757837059025437E-4</v>
      </c>
      <c r="AP12" s="76">
        <f t="shared" si="8"/>
        <v>-1.0843192623107962E-4</v>
      </c>
      <c r="AQ12" s="76">
        <f t="shared" si="8"/>
        <v>-2.4081234891303594E-4</v>
      </c>
      <c r="AR12" s="76">
        <f t="shared" si="8"/>
        <v>-1.0961320475492997E-4</v>
      </c>
      <c r="AS12" s="76">
        <f t="shared" si="8"/>
        <v>3.2062932131013156E-5</v>
      </c>
      <c r="AT12" s="76">
        <f t="shared" si="8"/>
        <v>2.3476370978160404E-6</v>
      </c>
      <c r="AU12" s="76">
        <f t="shared" si="8"/>
        <v>7.3368021737698507E-5</v>
      </c>
      <c r="AV12" s="76">
        <f t="shared" si="8"/>
        <v>-1.4863159227182563E-5</v>
      </c>
    </row>
    <row r="13" spans="1:48" x14ac:dyDescent="0.35">
      <c r="A13" s="72">
        <v>10</v>
      </c>
      <c r="B13" t="s">
        <v>189</v>
      </c>
      <c r="C13">
        <v>1</v>
      </c>
      <c r="D13" t="s">
        <v>160</v>
      </c>
      <c r="E13" t="s">
        <v>161</v>
      </c>
      <c r="F13" t="s">
        <v>162</v>
      </c>
      <c r="G13" t="s">
        <v>163</v>
      </c>
      <c r="H13" t="s">
        <v>14</v>
      </c>
      <c r="I13">
        <v>24.966416686423631</v>
      </c>
      <c r="J13">
        <v>0.49129628496829958</v>
      </c>
      <c r="K13">
        <v>8.0171835620121215</v>
      </c>
      <c r="L13">
        <v>2.6588077366360068</v>
      </c>
      <c r="M13">
        <v>8.7713789362938357E-3</v>
      </c>
      <c r="N13">
        <v>26.99733680726159</v>
      </c>
      <c r="O13">
        <v>8.7424923522523024</v>
      </c>
      <c r="P13">
        <v>2.3964466573105412</v>
      </c>
      <c r="Q13">
        <v>3.6410973121462388E-2</v>
      </c>
      <c r="R13">
        <v>98.188185440290923</v>
      </c>
      <c r="S13">
        <v>6.3664617652553343E-3</v>
      </c>
      <c r="T13">
        <v>3.014668767073846E-6</v>
      </c>
      <c r="U13">
        <v>6.9604267677595033E-2</v>
      </c>
      <c r="V13">
        <v>7.3504353001016029E-2</v>
      </c>
      <c r="W13">
        <v>0.1946778465808352</v>
      </c>
      <c r="X13">
        <v>1.9486205394233212E-2</v>
      </c>
      <c r="Y13">
        <v>0.66917411971013341</v>
      </c>
      <c r="Z13">
        <v>0.34029406948986668</v>
      </c>
      <c r="AA13" t="s">
        <v>1</v>
      </c>
      <c r="AB13" t="s">
        <v>175</v>
      </c>
      <c r="AC13">
        <v>2030</v>
      </c>
    </row>
    <row r="14" spans="1:48" x14ac:dyDescent="0.35">
      <c r="A14" s="72">
        <v>11</v>
      </c>
      <c r="B14" t="s">
        <v>190</v>
      </c>
      <c r="C14">
        <v>1</v>
      </c>
      <c r="D14" t="s">
        <v>160</v>
      </c>
      <c r="E14" t="s">
        <v>161</v>
      </c>
      <c r="F14" t="s">
        <v>162</v>
      </c>
      <c r="G14" t="s">
        <v>163</v>
      </c>
      <c r="H14" t="s">
        <v>15</v>
      </c>
      <c r="I14">
        <v>24.916593124508019</v>
      </c>
      <c r="J14">
        <v>0.49132754008692597</v>
      </c>
      <c r="K14">
        <v>8.0157478637191097</v>
      </c>
      <c r="L14">
        <v>2.6120859380502508</v>
      </c>
      <c r="M14">
        <v>8.3498737612327286E-3</v>
      </c>
      <c r="N14">
        <v>26.88161483179827</v>
      </c>
      <c r="O14">
        <v>8.7426885334026139</v>
      </c>
      <c r="P14">
        <v>2.3851518892480201</v>
      </c>
      <c r="Q14">
        <v>3.2137117605206461E-2</v>
      </c>
      <c r="R14">
        <v>98.188175241636984</v>
      </c>
      <c r="S14">
        <v>6.3686227352184174E-3</v>
      </c>
      <c r="T14">
        <v>3.0144549546003439E-6</v>
      </c>
      <c r="U14">
        <v>6.3335962455261838E-2</v>
      </c>
      <c r="V14">
        <v>7.1383992357762396E-2</v>
      </c>
      <c r="W14">
        <v>0.17582860656703089</v>
      </c>
      <c r="X14">
        <v>1.9292368800053739E-2</v>
      </c>
      <c r="Y14">
        <v>0.66913495499719211</v>
      </c>
      <c r="Z14">
        <v>0.3402951760742004</v>
      </c>
      <c r="AA14" t="s">
        <v>1</v>
      </c>
      <c r="AB14" t="s">
        <v>176</v>
      </c>
      <c r="AC14">
        <v>2030</v>
      </c>
      <c r="AE14" s="76">
        <f>(I14-I13)/I13</f>
        <v>-1.9956232622964261E-3</v>
      </c>
      <c r="AF14" s="76">
        <f t="shared" ref="AF14:AV14" si="9">(J14-J13)/J13</f>
        <v>6.3617657170786469E-5</v>
      </c>
      <c r="AG14" s="76">
        <f t="shared" si="9"/>
        <v>-1.7907763766498883E-4</v>
      </c>
      <c r="AH14" s="76">
        <f t="shared" si="9"/>
        <v>-1.7572462251396043E-2</v>
      </c>
      <c r="AI14" s="76">
        <f t="shared" si="9"/>
        <v>-4.8054607847008074E-2</v>
      </c>
      <c r="AJ14" s="76">
        <f t="shared" si="9"/>
        <v>-4.2864218900359611E-3</v>
      </c>
      <c r="AK14" s="76">
        <f t="shared" si="9"/>
        <v>2.243995675454739E-5</v>
      </c>
      <c r="AL14" s="76">
        <f t="shared" si="9"/>
        <v>-4.7131314306811346E-3</v>
      </c>
      <c r="AM14" s="76">
        <f t="shared" si="9"/>
        <v>-0.11737822831592243</v>
      </c>
      <c r="AN14" s="76">
        <f t="shared" si="9"/>
        <v>-1.0386844296398334E-7</v>
      </c>
      <c r="AO14" s="76">
        <f t="shared" si="9"/>
        <v>3.3943028997307701E-4</v>
      </c>
      <c r="AP14" s="76">
        <f t="shared" si="9"/>
        <v>-7.0924035117026502E-5</v>
      </c>
      <c r="AQ14" s="76">
        <f t="shared" si="9"/>
        <v>-9.0056334639821295E-2</v>
      </c>
      <c r="AR14" s="76">
        <f t="shared" si="9"/>
        <v>-2.8846735692297346E-2</v>
      </c>
      <c r="AS14" s="76">
        <f t="shared" si="9"/>
        <v>-9.6822727109720841E-2</v>
      </c>
      <c r="AT14" s="76">
        <f t="shared" si="9"/>
        <v>-9.9473750921683663E-3</v>
      </c>
      <c r="AU14" s="76">
        <f t="shared" si="9"/>
        <v>-5.8526939084647408E-5</v>
      </c>
      <c r="AV14" s="76">
        <f t="shared" si="9"/>
        <v>3.2518472489981752E-6</v>
      </c>
    </row>
    <row r="15" spans="1:48" x14ac:dyDescent="0.35">
      <c r="A15" s="72">
        <v>12</v>
      </c>
      <c r="B15" t="s">
        <v>191</v>
      </c>
      <c r="C15">
        <v>1</v>
      </c>
      <c r="D15" t="s">
        <v>160</v>
      </c>
      <c r="E15" t="s">
        <v>161</v>
      </c>
      <c r="F15" t="s">
        <v>162</v>
      </c>
      <c r="G15" t="s">
        <v>163</v>
      </c>
      <c r="H15" t="s">
        <v>16</v>
      </c>
      <c r="I15">
        <v>23.664821510702591</v>
      </c>
      <c r="J15">
        <v>0.73245127319854264</v>
      </c>
      <c r="K15">
        <v>7.651647941703243</v>
      </c>
      <c r="L15">
        <v>2.6657969036630389</v>
      </c>
      <c r="M15">
        <v>8.4615141561048841E-3</v>
      </c>
      <c r="N15">
        <v>26.77886518743777</v>
      </c>
      <c r="O15">
        <v>8.6471575910314815</v>
      </c>
      <c r="P15">
        <v>2.4018936984110169</v>
      </c>
      <c r="Q15">
        <v>3.6018497660486287E-2</v>
      </c>
      <c r="R15">
        <v>98.181048424855732</v>
      </c>
      <c r="S15">
        <v>6.0941119091184343E-3</v>
      </c>
      <c r="T15">
        <v>2.9319885432911808E-6</v>
      </c>
      <c r="U15">
        <v>6.7006677794417546E-2</v>
      </c>
      <c r="V15">
        <v>7.0994439940929244E-2</v>
      </c>
      <c r="W15">
        <v>0.1917799387791054</v>
      </c>
      <c r="X15">
        <v>2.11564917289217E-2</v>
      </c>
      <c r="Y15">
        <v>0.68273616847790419</v>
      </c>
      <c r="Z15">
        <v>0.34316156691646649</v>
      </c>
      <c r="AA15" t="s">
        <v>1</v>
      </c>
      <c r="AB15" t="s">
        <v>175</v>
      </c>
      <c r="AC15">
        <v>2035</v>
      </c>
    </row>
    <row r="16" spans="1:48" x14ac:dyDescent="0.35">
      <c r="A16" s="72">
        <v>13</v>
      </c>
      <c r="B16" t="s">
        <v>192</v>
      </c>
      <c r="C16">
        <v>1</v>
      </c>
      <c r="D16" t="s">
        <v>160</v>
      </c>
      <c r="E16" t="s">
        <v>161</v>
      </c>
      <c r="F16" t="s">
        <v>162</v>
      </c>
      <c r="G16" t="s">
        <v>163</v>
      </c>
      <c r="H16" t="s">
        <v>17</v>
      </c>
      <c r="I16">
        <v>23.657767377380519</v>
      </c>
      <c r="J16">
        <v>0.7325166640016425</v>
      </c>
      <c r="K16">
        <v>7.6506501947218393</v>
      </c>
      <c r="L16">
        <v>2.6536313694093949</v>
      </c>
      <c r="M16">
        <v>8.3528316821838006E-3</v>
      </c>
      <c r="N16">
        <v>26.74849758651861</v>
      </c>
      <c r="O16">
        <v>8.6474749949387313</v>
      </c>
      <c r="P16">
        <v>2.3990141250767598</v>
      </c>
      <c r="Q16">
        <v>3.4869192881209828E-2</v>
      </c>
      <c r="R16">
        <v>98.181072941849806</v>
      </c>
      <c r="S16">
        <v>6.0956771762288569E-3</v>
      </c>
      <c r="T16">
        <v>2.9318857110867182E-6</v>
      </c>
      <c r="U16">
        <v>6.5297986655083892E-2</v>
      </c>
      <c r="V16">
        <v>7.0427940961115765E-2</v>
      </c>
      <c r="W16">
        <v>0.18658910089618641</v>
      </c>
      <c r="X16">
        <v>2.1105983718738959E-2</v>
      </c>
      <c r="Y16">
        <v>0.68278509568282164</v>
      </c>
      <c r="Z16">
        <v>0.3431663680010783</v>
      </c>
      <c r="AA16" t="s">
        <v>1</v>
      </c>
      <c r="AB16" t="s">
        <v>176</v>
      </c>
      <c r="AC16">
        <v>2035</v>
      </c>
      <c r="AE16" s="76">
        <f>(I16-I15)/I15</f>
        <v>-2.9808521137087118E-4</v>
      </c>
      <c r="AF16" s="76">
        <f t="shared" ref="AF16:AV16" si="10">(J16-J15)/J15</f>
        <v>8.9276659748719784E-5</v>
      </c>
      <c r="AG16" s="76">
        <f t="shared" si="10"/>
        <v>-1.3039635239433937E-4</v>
      </c>
      <c r="AH16" s="76">
        <f t="shared" si="10"/>
        <v>-4.5635638022264412E-3</v>
      </c>
      <c r="AI16" s="76">
        <f t="shared" si="10"/>
        <v>-1.2844329267317997E-2</v>
      </c>
      <c r="AJ16" s="76">
        <f t="shared" si="10"/>
        <v>-1.134013734585196E-3</v>
      </c>
      <c r="AK16" s="76">
        <f t="shared" si="10"/>
        <v>3.6706155046713733E-5</v>
      </c>
      <c r="AL16" s="76">
        <f t="shared" si="10"/>
        <v>-1.1988762600784661E-3</v>
      </c>
      <c r="AM16" s="76">
        <f t="shared" si="10"/>
        <v>-3.1908737285766708E-2</v>
      </c>
      <c r="AN16" s="76">
        <f t="shared" si="10"/>
        <v>2.4971208259997531E-7</v>
      </c>
      <c r="AO16" s="76">
        <f t="shared" si="10"/>
        <v>2.5684909200313625E-4</v>
      </c>
      <c r="AP16" s="76">
        <f t="shared" si="10"/>
        <v>-3.5072512373195181E-5</v>
      </c>
      <c r="AQ16" s="76">
        <f t="shared" si="10"/>
        <v>-2.5500311246232362E-2</v>
      </c>
      <c r="AR16" s="76">
        <f t="shared" si="10"/>
        <v>-7.9794837494997235E-3</v>
      </c>
      <c r="AS16" s="76">
        <f t="shared" si="10"/>
        <v>-2.7066636458247414E-2</v>
      </c>
      <c r="AT16" s="76">
        <f t="shared" si="10"/>
        <v>-2.3873528196404585E-3</v>
      </c>
      <c r="AU16" s="76">
        <f t="shared" si="10"/>
        <v>7.1663414326689136E-5</v>
      </c>
      <c r="AV16" s="76">
        <f t="shared" si="10"/>
        <v>1.3990741023119792E-5</v>
      </c>
    </row>
    <row r="17" spans="1:48" x14ac:dyDescent="0.35">
      <c r="A17" s="72">
        <v>14</v>
      </c>
      <c r="B17" t="s">
        <v>169</v>
      </c>
      <c r="C17">
        <v>1</v>
      </c>
      <c r="D17" t="s">
        <v>160</v>
      </c>
      <c r="E17" t="s">
        <v>161</v>
      </c>
      <c r="F17" t="s">
        <v>162</v>
      </c>
      <c r="G17" t="s">
        <v>163</v>
      </c>
      <c r="H17" t="s">
        <v>18</v>
      </c>
      <c r="I17">
        <v>22.91830853940084</v>
      </c>
      <c r="J17">
        <v>1.0796934817231929</v>
      </c>
      <c r="K17">
        <v>7.4002218201771148</v>
      </c>
      <c r="L17">
        <v>2.6768858373017448</v>
      </c>
      <c r="M17">
        <v>8.443744644266362E-3</v>
      </c>
      <c r="N17">
        <v>26.78080683577409</v>
      </c>
      <c r="O17">
        <v>8.5546227347652586</v>
      </c>
      <c r="P17">
        <v>2.4113627279707099</v>
      </c>
      <c r="Q17">
        <v>3.6209869168556973E-2</v>
      </c>
      <c r="R17">
        <v>98.191554165006465</v>
      </c>
      <c r="S17">
        <v>5.8358152460727657E-3</v>
      </c>
      <c r="T17">
        <v>2.8661111960320381E-6</v>
      </c>
      <c r="U17">
        <v>6.5845435079624759E-2</v>
      </c>
      <c r="V17">
        <v>6.953060336333633E-2</v>
      </c>
      <c r="W17">
        <v>0.1906611626139833</v>
      </c>
      <c r="X17">
        <v>2.3868178313856792E-2</v>
      </c>
      <c r="Y17">
        <v>0.69940031171902739</v>
      </c>
      <c r="Z17">
        <v>0.35052845808167599</v>
      </c>
      <c r="AA17" t="s">
        <v>1</v>
      </c>
      <c r="AB17" t="s">
        <v>175</v>
      </c>
      <c r="AC17">
        <v>2040</v>
      </c>
    </row>
    <row r="18" spans="1:48" x14ac:dyDescent="0.35">
      <c r="A18" s="72">
        <v>15</v>
      </c>
      <c r="B18" t="s">
        <v>170</v>
      </c>
      <c r="C18">
        <v>1</v>
      </c>
      <c r="D18" t="s">
        <v>160</v>
      </c>
      <c r="E18" t="s">
        <v>161</v>
      </c>
      <c r="F18" t="s">
        <v>162</v>
      </c>
      <c r="G18" t="s">
        <v>163</v>
      </c>
      <c r="H18" t="s">
        <v>19</v>
      </c>
      <c r="I18">
        <v>22.86025104278966</v>
      </c>
      <c r="J18">
        <v>1.0796017586917239</v>
      </c>
      <c r="K18">
        <v>7.3985952190520354</v>
      </c>
      <c r="L18">
        <v>2.6148515445421472</v>
      </c>
      <c r="M18">
        <v>7.9121625001586943E-3</v>
      </c>
      <c r="N18">
        <v>26.04233312717437</v>
      </c>
      <c r="O18">
        <v>8.5546739704558128</v>
      </c>
      <c r="P18">
        <v>2.3940602387764138</v>
      </c>
      <c r="Q18">
        <v>3.0785046872147111E-2</v>
      </c>
      <c r="R18">
        <v>98.191518708093625</v>
      </c>
      <c r="S18">
        <v>5.8373637416557619E-3</v>
      </c>
      <c r="T18">
        <v>2.8657186049800901E-6</v>
      </c>
      <c r="U18">
        <v>5.7794620038513857E-2</v>
      </c>
      <c r="V18">
        <v>6.6809875227821794E-2</v>
      </c>
      <c r="W18">
        <v>0.16618029503883811</v>
      </c>
      <c r="X18">
        <v>2.3621149720922219E-2</v>
      </c>
      <c r="Y18">
        <v>0.69931121831981702</v>
      </c>
      <c r="Z18">
        <v>0.35052316523819071</v>
      </c>
      <c r="AA18" t="s">
        <v>1</v>
      </c>
      <c r="AB18" t="s">
        <v>176</v>
      </c>
      <c r="AC18">
        <v>2040</v>
      </c>
      <c r="AE18" s="76">
        <f>(I18-I17)/I17</f>
        <v>-2.5332365393095557E-3</v>
      </c>
      <c r="AF18" s="76">
        <f t="shared" ref="AF18:AV18" si="11">(J18-J17)/J17</f>
        <v>-8.4952843581672787E-5</v>
      </c>
      <c r="AG18" s="76">
        <f t="shared" si="11"/>
        <v>-2.1980437405867733E-4</v>
      </c>
      <c r="AH18" s="76">
        <f t="shared" si="11"/>
        <v>-2.3174052436291833E-2</v>
      </c>
      <c r="AI18" s="76">
        <f t="shared" si="11"/>
        <v>-6.2955734274677891E-2</v>
      </c>
      <c r="AJ18" s="76">
        <f t="shared" si="11"/>
        <v>-2.757473712902701E-2</v>
      </c>
      <c r="AK18" s="76">
        <f t="shared" si="11"/>
        <v>5.989240220493915E-6</v>
      </c>
      <c r="AL18" s="76">
        <f t="shared" si="11"/>
        <v>-7.1753987874139018E-3</v>
      </c>
      <c r="AM18" s="76">
        <f t="shared" si="11"/>
        <v>-0.14981612529880484</v>
      </c>
      <c r="AN18" s="76">
        <f t="shared" si="11"/>
        <v>-3.6109941574888832E-7</v>
      </c>
      <c r="AO18" s="76">
        <f t="shared" si="11"/>
        <v>2.6534348976147511E-4</v>
      </c>
      <c r="AP18" s="76">
        <f t="shared" si="11"/>
        <v>-1.3697690881343602E-4</v>
      </c>
      <c r="AQ18" s="76">
        <f t="shared" si="11"/>
        <v>-0.12226838552095998</v>
      </c>
      <c r="AR18" s="76">
        <f t="shared" si="11"/>
        <v>-3.9129937091113794E-2</v>
      </c>
      <c r="AS18" s="76">
        <f t="shared" si="11"/>
        <v>-0.12839986518234808</v>
      </c>
      <c r="AT18" s="76">
        <f t="shared" si="11"/>
        <v>-1.0349704518134889E-2</v>
      </c>
      <c r="AU18" s="76">
        <f t="shared" si="11"/>
        <v>-1.2738541535875571E-4</v>
      </c>
      <c r="AV18" s="76">
        <f t="shared" si="11"/>
        <v>-1.5099611353205529E-5</v>
      </c>
    </row>
    <row r="19" spans="1:48" x14ac:dyDescent="0.35">
      <c r="A19" s="72">
        <v>16</v>
      </c>
      <c r="B19" t="s">
        <v>171</v>
      </c>
      <c r="C19">
        <v>1</v>
      </c>
      <c r="D19" t="s">
        <v>160</v>
      </c>
      <c r="E19" t="s">
        <v>161</v>
      </c>
      <c r="F19" t="s">
        <v>162</v>
      </c>
      <c r="G19" t="s">
        <v>163</v>
      </c>
      <c r="H19" t="s">
        <v>20</v>
      </c>
      <c r="I19">
        <v>27.96690584556228</v>
      </c>
      <c r="J19">
        <v>0.36177626142042318</v>
      </c>
      <c r="K19">
        <v>8.8494428314981626</v>
      </c>
      <c r="L19">
        <v>2.665976279526332</v>
      </c>
      <c r="M19">
        <v>1.0856876615616649E-2</v>
      </c>
      <c r="N19">
        <v>28.298694330269122</v>
      </c>
      <c r="O19">
        <v>8.7487275257302457</v>
      </c>
      <c r="P19">
        <v>2.405721909824567</v>
      </c>
      <c r="Q19">
        <v>3.7808807813270173E-2</v>
      </c>
      <c r="R19">
        <v>98.180757671198279</v>
      </c>
      <c r="S19">
        <v>6.7410603633226958E-3</v>
      </c>
      <c r="T19">
        <v>3.1824215065028759E-6</v>
      </c>
      <c r="U19">
        <v>7.341757802872495E-2</v>
      </c>
      <c r="V19">
        <v>7.8034278035971308E-2</v>
      </c>
      <c r="W19">
        <v>0.20016167980356431</v>
      </c>
      <c r="X19">
        <v>1.8428663118318919E-2</v>
      </c>
      <c r="Y19">
        <v>0.65751428760887409</v>
      </c>
      <c r="Z19">
        <v>0.34278632781945229</v>
      </c>
      <c r="AA19" t="s">
        <v>2</v>
      </c>
      <c r="AB19" t="s">
        <v>175</v>
      </c>
      <c r="AC19">
        <v>2025</v>
      </c>
    </row>
    <row r="20" spans="1:48" x14ac:dyDescent="0.35">
      <c r="A20" s="72">
        <v>17</v>
      </c>
      <c r="B20" t="s">
        <v>172</v>
      </c>
      <c r="C20">
        <v>1</v>
      </c>
      <c r="D20" t="s">
        <v>160</v>
      </c>
      <c r="E20" t="s">
        <v>161</v>
      </c>
      <c r="F20" t="s">
        <v>162</v>
      </c>
      <c r="G20" t="s">
        <v>163</v>
      </c>
      <c r="H20" t="s">
        <v>21</v>
      </c>
      <c r="I20">
        <v>27.96880257974265</v>
      </c>
      <c r="J20">
        <v>0.36183211517494263</v>
      </c>
      <c r="K20">
        <v>8.8488256591955246</v>
      </c>
      <c r="L20">
        <v>2.6659824188762089</v>
      </c>
      <c r="M20">
        <v>1.0859629800861951E-2</v>
      </c>
      <c r="N20">
        <v>28.300463653911201</v>
      </c>
      <c r="O20">
        <v>8.7481764919485467</v>
      </c>
      <c r="P20">
        <v>2.4057333893265671</v>
      </c>
      <c r="Q20">
        <v>3.7813039022426408E-2</v>
      </c>
      <c r="R20">
        <v>98.180715084232247</v>
      </c>
      <c r="S20">
        <v>6.7411160020965461E-3</v>
      </c>
      <c r="T20">
        <v>3.1821098737734141E-6</v>
      </c>
      <c r="U20">
        <v>7.3417991715602565E-2</v>
      </c>
      <c r="V20">
        <v>7.8041467249557031E-2</v>
      </c>
      <c r="W20">
        <v>0.20020640384975019</v>
      </c>
      <c r="X20">
        <v>1.8428234304897081E-2</v>
      </c>
      <c r="Y20">
        <v>0.65752907330651078</v>
      </c>
      <c r="Z20">
        <v>0.34279319712110717</v>
      </c>
      <c r="AA20" t="s">
        <v>2</v>
      </c>
      <c r="AB20" t="s">
        <v>176</v>
      </c>
      <c r="AC20">
        <v>2025</v>
      </c>
      <c r="AE20" s="76">
        <f>(I20-I19)/I19</f>
        <v>6.7820665998743064E-5</v>
      </c>
      <c r="AF20" s="76">
        <f t="shared" ref="AF20:AV20" si="12">(J20-J19)/J19</f>
        <v>1.5438756069883041E-4</v>
      </c>
      <c r="AG20" s="76">
        <f t="shared" si="12"/>
        <v>-6.9741374049143501E-5</v>
      </c>
      <c r="AH20" s="76">
        <f t="shared" si="12"/>
        <v>2.3028524012269595E-6</v>
      </c>
      <c r="AI20" s="76">
        <f t="shared" si="12"/>
        <v>2.5358907011441593E-4</v>
      </c>
      <c r="AJ20" s="76">
        <f t="shared" si="12"/>
        <v>6.2523154652657987E-5</v>
      </c>
      <c r="AK20" s="76">
        <f t="shared" si="12"/>
        <v>-6.2984448890236497E-5</v>
      </c>
      <c r="AL20" s="76">
        <f t="shared" si="12"/>
        <v>4.7717493668776508E-6</v>
      </c>
      <c r="AM20" s="76">
        <f t="shared" si="12"/>
        <v>1.1191067375441809E-4</v>
      </c>
      <c r="AN20" s="76">
        <f t="shared" si="12"/>
        <v>-4.3376082077608356E-7</v>
      </c>
      <c r="AO20" s="76">
        <f t="shared" si="12"/>
        <v>8.2537124504998802E-6</v>
      </c>
      <c r="AP20" s="76">
        <f t="shared" si="12"/>
        <v>-9.7923147146003489E-5</v>
      </c>
      <c r="AQ20" s="76">
        <f t="shared" si="12"/>
        <v>5.6347115870963231E-6</v>
      </c>
      <c r="AR20" s="76">
        <f t="shared" si="12"/>
        <v>9.212891778673498E-5</v>
      </c>
      <c r="AS20" s="76">
        <f t="shared" si="12"/>
        <v>2.2343960257415881E-4</v>
      </c>
      <c r="AT20" s="76">
        <f t="shared" si="12"/>
        <v>-2.3268829598974306E-5</v>
      </c>
      <c r="AU20" s="76">
        <f t="shared" si="12"/>
        <v>2.2487264406767009E-5</v>
      </c>
      <c r="AV20" s="76">
        <f t="shared" si="12"/>
        <v>2.0039602216883917E-5</v>
      </c>
    </row>
    <row r="21" spans="1:48" x14ac:dyDescent="0.35">
      <c r="A21" s="72">
        <v>18</v>
      </c>
      <c r="B21" t="s">
        <v>193</v>
      </c>
      <c r="C21">
        <v>1</v>
      </c>
      <c r="D21" t="s">
        <v>160</v>
      </c>
      <c r="E21" t="s">
        <v>161</v>
      </c>
      <c r="F21" t="s">
        <v>162</v>
      </c>
      <c r="G21" t="s">
        <v>163</v>
      </c>
      <c r="H21" t="s">
        <v>22</v>
      </c>
      <c r="I21">
        <v>27.42879124800141</v>
      </c>
      <c r="J21">
        <v>0.60814016454973829</v>
      </c>
      <c r="K21">
        <v>8.7166508713511259</v>
      </c>
      <c r="L21">
        <v>2.701440376980671</v>
      </c>
      <c r="M21">
        <v>1.240945664291288E-2</v>
      </c>
      <c r="N21">
        <v>29.05723691604102</v>
      </c>
      <c r="O21">
        <v>8.5473290151479606</v>
      </c>
      <c r="P21">
        <v>2.4360129784022622</v>
      </c>
      <c r="Q21">
        <v>3.8199113051264652E-2</v>
      </c>
      <c r="R21">
        <v>98.181147323786035</v>
      </c>
      <c r="S21">
        <v>6.5464557837478024E-3</v>
      </c>
      <c r="T21">
        <v>3.0956275489128381E-6</v>
      </c>
      <c r="U21">
        <v>6.9902581204569686E-2</v>
      </c>
      <c r="V21">
        <v>7.5114963225245968E-2</v>
      </c>
      <c r="W21">
        <v>0.19673455195052711</v>
      </c>
      <c r="X21">
        <v>2.326380930521562E-2</v>
      </c>
      <c r="Y21">
        <v>0.65104726535454338</v>
      </c>
      <c r="Z21">
        <v>0.35746761897298551</v>
      </c>
      <c r="AA21" t="s">
        <v>2</v>
      </c>
      <c r="AB21" t="s">
        <v>175</v>
      </c>
      <c r="AC21">
        <v>2030</v>
      </c>
    </row>
    <row r="22" spans="1:48" x14ac:dyDescent="0.35">
      <c r="A22" s="72">
        <v>19</v>
      </c>
      <c r="B22" t="s">
        <v>194</v>
      </c>
      <c r="C22">
        <v>1</v>
      </c>
      <c r="D22" t="s">
        <v>160</v>
      </c>
      <c r="E22" t="s">
        <v>161</v>
      </c>
      <c r="F22" t="s">
        <v>162</v>
      </c>
      <c r="G22" t="s">
        <v>163</v>
      </c>
      <c r="H22" t="s">
        <v>23</v>
      </c>
      <c r="I22">
        <v>27.383154083996761</v>
      </c>
      <c r="J22">
        <v>0.60821323855593457</v>
      </c>
      <c r="K22">
        <v>8.7162653183375305</v>
      </c>
      <c r="L22">
        <v>2.6547871045675571</v>
      </c>
      <c r="M22">
        <v>1.1991503498440449E-2</v>
      </c>
      <c r="N22">
        <v>28.943576829437141</v>
      </c>
      <c r="O22">
        <v>8.547159186492614</v>
      </c>
      <c r="P22">
        <v>2.4247820014106249</v>
      </c>
      <c r="Q22">
        <v>3.3928783245101221E-2</v>
      </c>
      <c r="R22">
        <v>98.181111052750651</v>
      </c>
      <c r="S22">
        <v>6.5463015743588496E-3</v>
      </c>
      <c r="T22">
        <v>3.0953797005966302E-6</v>
      </c>
      <c r="U22">
        <v>6.3644643099342924E-2</v>
      </c>
      <c r="V22">
        <v>7.3004448179961365E-2</v>
      </c>
      <c r="W22">
        <v>0.17790584628823181</v>
      </c>
      <c r="X22">
        <v>2.3069407380187541E-2</v>
      </c>
      <c r="Y22">
        <v>0.65106547119893454</v>
      </c>
      <c r="Z22">
        <v>0.35747476545037332</v>
      </c>
      <c r="AA22" t="s">
        <v>2</v>
      </c>
      <c r="AB22" t="s">
        <v>176</v>
      </c>
      <c r="AC22">
        <v>2030</v>
      </c>
      <c r="AE22" s="76">
        <f>(I22-I21)/I21</f>
        <v>-1.6638416032268451E-3</v>
      </c>
      <c r="AF22" s="76">
        <f t="shared" ref="AF22:AV22" si="13">(J22-J21)/J21</f>
        <v>1.2015980929392385E-4</v>
      </c>
      <c r="AG22" s="76">
        <f t="shared" si="13"/>
        <v>-4.4231783432170242E-5</v>
      </c>
      <c r="AH22" s="76">
        <f t="shared" si="13"/>
        <v>-1.7269776823746537E-2</v>
      </c>
      <c r="AI22" s="76">
        <f t="shared" si="13"/>
        <v>-3.3680213122878888E-2</v>
      </c>
      <c r="AJ22" s="76">
        <f t="shared" si="13"/>
        <v>-3.9115930717119598E-3</v>
      </c>
      <c r="AK22" s="76">
        <f t="shared" si="13"/>
        <v>-1.9869207684139786E-5</v>
      </c>
      <c r="AL22" s="76">
        <f t="shared" si="13"/>
        <v>-4.6103929212246725E-3</v>
      </c>
      <c r="AM22" s="76">
        <f t="shared" si="13"/>
        <v>-0.11179133401428686</v>
      </c>
      <c r="AN22" s="76">
        <f t="shared" si="13"/>
        <v>-3.694297364894809E-7</v>
      </c>
      <c r="AO22" s="76">
        <f t="shared" si="13"/>
        <v>-2.3556164441783916E-5</v>
      </c>
      <c r="AP22" s="76">
        <f t="shared" si="13"/>
        <v>-8.0063997458276669E-5</v>
      </c>
      <c r="AQ22" s="76">
        <f t="shared" si="13"/>
        <v>-8.952370566850637E-2</v>
      </c>
      <c r="AR22" s="76">
        <f t="shared" si="13"/>
        <v>-2.8097132111425484E-2</v>
      </c>
      <c r="AS22" s="76">
        <f t="shared" si="13"/>
        <v>-9.5706145542904755E-2</v>
      </c>
      <c r="AT22" s="76">
        <f t="shared" si="13"/>
        <v>-8.3564098414654255E-3</v>
      </c>
      <c r="AU22" s="76">
        <f t="shared" si="13"/>
        <v>2.7963936506586869E-5</v>
      </c>
      <c r="AV22" s="76">
        <f t="shared" si="13"/>
        <v>1.9991957336839098E-5</v>
      </c>
    </row>
    <row r="23" spans="1:48" x14ac:dyDescent="0.35">
      <c r="A23" s="72">
        <v>20</v>
      </c>
      <c r="B23" t="s">
        <v>195</v>
      </c>
      <c r="C23">
        <v>1</v>
      </c>
      <c r="D23" t="s">
        <v>160</v>
      </c>
      <c r="E23" t="s">
        <v>161</v>
      </c>
      <c r="F23" t="s">
        <v>162</v>
      </c>
      <c r="G23" t="s">
        <v>163</v>
      </c>
      <c r="H23" t="s">
        <v>24</v>
      </c>
      <c r="I23">
        <v>27.838265097890201</v>
      </c>
      <c r="J23">
        <v>0.85387051328349051</v>
      </c>
      <c r="K23">
        <v>8.8167603588906136</v>
      </c>
      <c r="L23">
        <v>2.737509793688651</v>
      </c>
      <c r="M23">
        <v>1.459047485065516E-2</v>
      </c>
      <c r="N23">
        <v>30.250153112336879</v>
      </c>
      <c r="O23">
        <v>8.3643559094032298</v>
      </c>
      <c r="P23">
        <v>2.468685164850712</v>
      </c>
      <c r="Q23">
        <v>3.9020113994840802E-2</v>
      </c>
      <c r="R23">
        <v>98.179375052856756</v>
      </c>
      <c r="S23">
        <v>6.4112144864755354E-3</v>
      </c>
      <c r="T23">
        <v>3.0641380169837249E-6</v>
      </c>
      <c r="U23">
        <v>6.7985542334334764E-2</v>
      </c>
      <c r="V23">
        <v>7.3855893474498793E-2</v>
      </c>
      <c r="W23">
        <v>0.19534070760008171</v>
      </c>
      <c r="X23">
        <v>2.7156587224957059E-2</v>
      </c>
      <c r="Y23">
        <v>0.64924476433627309</v>
      </c>
      <c r="Z23">
        <v>0.37151956013951171</v>
      </c>
      <c r="AA23" t="s">
        <v>2</v>
      </c>
      <c r="AB23" t="s">
        <v>175</v>
      </c>
      <c r="AC23">
        <v>2035</v>
      </c>
    </row>
    <row r="24" spans="1:48" x14ac:dyDescent="0.35">
      <c r="A24" s="72">
        <v>21</v>
      </c>
      <c r="B24" t="s">
        <v>196</v>
      </c>
      <c r="C24">
        <v>1</v>
      </c>
      <c r="D24" t="s">
        <v>160</v>
      </c>
      <c r="E24" t="s">
        <v>161</v>
      </c>
      <c r="F24" t="s">
        <v>162</v>
      </c>
      <c r="G24" t="s">
        <v>163</v>
      </c>
      <c r="H24" t="s">
        <v>25</v>
      </c>
      <c r="I24">
        <v>27.83395023309992</v>
      </c>
      <c r="J24">
        <v>0.85394880688377417</v>
      </c>
      <c r="K24">
        <v>8.8164715075007614</v>
      </c>
      <c r="L24">
        <v>2.7253939493688568</v>
      </c>
      <c r="M24">
        <v>1.4486941766832221E-2</v>
      </c>
      <c r="N24">
        <v>30.222342435139499</v>
      </c>
      <c r="O24">
        <v>8.3643923463780379</v>
      </c>
      <c r="P24">
        <v>2.4658531999109559</v>
      </c>
      <c r="Q24">
        <v>3.7872835359437203E-2</v>
      </c>
      <c r="R24">
        <v>98.179348369562291</v>
      </c>
      <c r="S24">
        <v>6.4107786508416417E-3</v>
      </c>
      <c r="T24">
        <v>3.063898881578859E-6</v>
      </c>
      <c r="U24">
        <v>6.6277519684966174E-2</v>
      </c>
      <c r="V24">
        <v>7.3294106875653228E-2</v>
      </c>
      <c r="W24">
        <v>0.1901575015235292</v>
      </c>
      <c r="X24">
        <v>2.7104204694301338E-2</v>
      </c>
      <c r="Y24">
        <v>0.64924155394346761</v>
      </c>
      <c r="Z24">
        <v>0.37152680839461949</v>
      </c>
      <c r="AA24" t="s">
        <v>2</v>
      </c>
      <c r="AB24" t="s">
        <v>176</v>
      </c>
      <c r="AC24">
        <v>2035</v>
      </c>
      <c r="AE24" s="76">
        <f>(I24-I23)/I23</f>
        <v>-1.5499761838995153E-4</v>
      </c>
      <c r="AF24" s="76">
        <f t="shared" ref="AF24:AV24" si="14">(J24-J23)/J23</f>
        <v>9.1692591634990906E-5</v>
      </c>
      <c r="AG24" s="76">
        <f t="shared" si="14"/>
        <v>-3.2761624235478907E-5</v>
      </c>
      <c r="AH24" s="76">
        <f t="shared" si="14"/>
        <v>-4.4258633695950043E-3</v>
      </c>
      <c r="AI24" s="76">
        <f t="shared" si="14"/>
        <v>-7.09593655331172E-3</v>
      </c>
      <c r="AJ24" s="76">
        <f t="shared" si="14"/>
        <v>-9.1935657628250574E-4</v>
      </c>
      <c r="AK24" s="76">
        <f t="shared" si="14"/>
        <v>4.3562200368683631E-6</v>
      </c>
      <c r="AL24" s="76">
        <f t="shared" si="14"/>
        <v>-1.1471551658663543E-3</v>
      </c>
      <c r="AM24" s="76">
        <f t="shared" si="14"/>
        <v>-2.940223689647066E-2</v>
      </c>
      <c r="AN24" s="76">
        <f t="shared" si="14"/>
        <v>-2.7178105839725722E-7</v>
      </c>
      <c r="AO24" s="76">
        <f t="shared" si="14"/>
        <v>-6.7980198574403146E-5</v>
      </c>
      <c r="AP24" s="76">
        <f t="shared" si="14"/>
        <v>-7.8043287717587885E-5</v>
      </c>
      <c r="AQ24" s="76">
        <f t="shared" si="14"/>
        <v>-2.5123321675790865E-2</v>
      </c>
      <c r="AR24" s="76">
        <f t="shared" si="14"/>
        <v>-7.6065236288765581E-3</v>
      </c>
      <c r="AS24" s="76">
        <f t="shared" si="14"/>
        <v>-2.6534182967965978E-2</v>
      </c>
      <c r="AT24" s="76">
        <f t="shared" si="14"/>
        <v>-1.9289069801665295E-3</v>
      </c>
      <c r="AU24" s="76">
        <f t="shared" si="14"/>
        <v>-4.9448112358180931E-6</v>
      </c>
      <c r="AV24" s="76">
        <f t="shared" si="14"/>
        <v>1.9509753685813062E-5</v>
      </c>
    </row>
    <row r="25" spans="1:48" x14ac:dyDescent="0.35">
      <c r="A25" s="72">
        <v>22</v>
      </c>
      <c r="B25" t="s">
        <v>173</v>
      </c>
      <c r="C25">
        <v>1</v>
      </c>
      <c r="D25" t="s">
        <v>160</v>
      </c>
      <c r="E25" t="s">
        <v>161</v>
      </c>
      <c r="F25" t="s">
        <v>162</v>
      </c>
      <c r="G25" t="s">
        <v>163</v>
      </c>
      <c r="H25" t="s">
        <v>26</v>
      </c>
      <c r="I25">
        <v>28.32656219035642</v>
      </c>
      <c r="J25">
        <v>0.89797300945465652</v>
      </c>
      <c r="K25">
        <v>8.9305383496576258</v>
      </c>
      <c r="L25">
        <v>2.7669257118727222</v>
      </c>
      <c r="M25">
        <v>1.643053063911367E-2</v>
      </c>
      <c r="N25">
        <v>31.274393784389581</v>
      </c>
      <c r="O25">
        <v>8.22807661838395</v>
      </c>
      <c r="P25">
        <v>2.4963928767090109</v>
      </c>
      <c r="Q25">
        <v>3.8809851129782767E-2</v>
      </c>
      <c r="R25">
        <v>98.184378400963709</v>
      </c>
      <c r="S25">
        <v>6.3221476211944676E-3</v>
      </c>
      <c r="T25">
        <v>3.055582546756292E-6</v>
      </c>
      <c r="U25">
        <v>6.6781112343756929E-2</v>
      </c>
      <c r="V25">
        <v>7.3136152678304672E-2</v>
      </c>
      <c r="W25">
        <v>0.19386830510260231</v>
      </c>
      <c r="X25">
        <v>2.5596894192465681E-2</v>
      </c>
      <c r="Y25">
        <v>0.64968012287749433</v>
      </c>
      <c r="Z25">
        <v>0.36727260635944209</v>
      </c>
      <c r="AA25" t="s">
        <v>2</v>
      </c>
      <c r="AB25" t="s">
        <v>175</v>
      </c>
      <c r="AC25">
        <v>2040</v>
      </c>
    </row>
    <row r="26" spans="1:48" x14ac:dyDescent="0.35">
      <c r="A26" s="72">
        <v>23</v>
      </c>
      <c r="B26" t="s">
        <v>174</v>
      </c>
      <c r="C26">
        <v>1</v>
      </c>
      <c r="D26" t="s">
        <v>160</v>
      </c>
      <c r="E26" t="s">
        <v>161</v>
      </c>
      <c r="F26" t="s">
        <v>162</v>
      </c>
      <c r="G26" t="s">
        <v>163</v>
      </c>
      <c r="H26" t="s">
        <v>27</v>
      </c>
      <c r="I26">
        <v>28.274661566422239</v>
      </c>
      <c r="J26">
        <v>0.89809771116369563</v>
      </c>
      <c r="K26">
        <v>8.9304560150714032</v>
      </c>
      <c r="L26">
        <v>2.7049955403433148</v>
      </c>
      <c r="M26">
        <v>1.590666172842637E-2</v>
      </c>
      <c r="N26">
        <v>30.540824793798311</v>
      </c>
      <c r="O26">
        <v>8.2281738770826482</v>
      </c>
      <c r="P26">
        <v>2.4792081638436638</v>
      </c>
      <c r="Q26">
        <v>3.3388201419103078E-2</v>
      </c>
      <c r="R26">
        <v>98.184379533548366</v>
      </c>
      <c r="S26">
        <v>6.3214402798558297E-3</v>
      </c>
      <c r="T26">
        <v>3.0553720550765679E-6</v>
      </c>
      <c r="U26">
        <v>5.8733272055682857E-2</v>
      </c>
      <c r="V26">
        <v>7.0422775245350774E-2</v>
      </c>
      <c r="W26">
        <v>0.1694088731460657</v>
      </c>
      <c r="X26">
        <v>2.5352454958010719E-2</v>
      </c>
      <c r="Y26">
        <v>0.64974818272090096</v>
      </c>
      <c r="Z26">
        <v>0.36728590429345659</v>
      </c>
      <c r="AA26" t="s">
        <v>2</v>
      </c>
      <c r="AB26" t="s">
        <v>176</v>
      </c>
      <c r="AC26">
        <v>2040</v>
      </c>
      <c r="AE26" s="76">
        <f>(I26-I25)/I25</f>
        <v>-1.8322245949015941E-3</v>
      </c>
      <c r="AF26" s="76">
        <f t="shared" ref="AF26:AV26" si="15">(J26-J25)/J25</f>
        <v>1.3887021962368559E-4</v>
      </c>
      <c r="AG26" s="76">
        <f t="shared" si="15"/>
        <v>-9.2194426583252655E-6</v>
      </c>
      <c r="AH26" s="76">
        <f t="shared" si="15"/>
        <v>-2.2382303675038514E-2</v>
      </c>
      <c r="AI26" s="76">
        <f t="shared" si="15"/>
        <v>-3.1883870472217427E-2</v>
      </c>
      <c r="AJ26" s="76">
        <f t="shared" si="15"/>
        <v>-2.345589799913007E-2</v>
      </c>
      <c r="AK26" s="76">
        <f t="shared" si="15"/>
        <v>1.1820344317279478E-5</v>
      </c>
      <c r="AL26" s="76">
        <f t="shared" si="15"/>
        <v>-6.8838174574515016E-3</v>
      </c>
      <c r="AM26" s="76">
        <f t="shared" si="15"/>
        <v>-0.13969777138668546</v>
      </c>
      <c r="AN26" s="76">
        <f t="shared" si="15"/>
        <v>1.1535283673596014E-8</v>
      </c>
      <c r="AO26" s="76">
        <f t="shared" si="15"/>
        <v>-1.118830785074636E-4</v>
      </c>
      <c r="AP26" s="76">
        <f t="shared" si="15"/>
        <v>-6.8887577574216257E-5</v>
      </c>
      <c r="AQ26" s="76">
        <f t="shared" si="15"/>
        <v>-0.12051072534772519</v>
      </c>
      <c r="AR26" s="76">
        <f t="shared" si="15"/>
        <v>-3.7100357806472396E-2</v>
      </c>
      <c r="AS26" s="76">
        <f t="shared" si="15"/>
        <v>-0.12616519210601115</v>
      </c>
      <c r="AT26" s="76">
        <f t="shared" si="15"/>
        <v>-9.5495661550576288E-3</v>
      </c>
      <c r="AU26" s="76">
        <f t="shared" si="15"/>
        <v>1.0475900525506009E-4</v>
      </c>
      <c r="AV26" s="76">
        <f t="shared" si="15"/>
        <v>3.6207257999213987E-5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6C8E-707D-40A7-B238-148B56FE6702}">
  <dimension ref="A17:E51"/>
  <sheetViews>
    <sheetView topLeftCell="A13" zoomScale="130" zoomScaleNormal="130" workbookViewId="0">
      <selection activeCell="J50" sqref="J50"/>
    </sheetView>
  </sheetViews>
  <sheetFormatPr defaultRowHeight="14.5" x14ac:dyDescent="0.35"/>
  <cols>
    <col min="1" max="1" width="14.6328125" bestFit="1" customWidth="1"/>
  </cols>
  <sheetData>
    <row r="17" spans="1:5" x14ac:dyDescent="0.35">
      <c r="B17" t="s">
        <v>207</v>
      </c>
      <c r="C17" t="s">
        <v>208</v>
      </c>
      <c r="D17" t="s">
        <v>209</v>
      </c>
      <c r="E17" t="s">
        <v>210</v>
      </c>
    </row>
    <row r="18" spans="1:5" x14ac:dyDescent="0.35">
      <c r="A18" s="77" t="s">
        <v>198</v>
      </c>
      <c r="B18" s="76">
        <v>-6.3760830816646877E-6</v>
      </c>
      <c r="C18" s="76">
        <v>-4.5409559714208242E-3</v>
      </c>
      <c r="D18" s="76">
        <v>-1.7465764199002469E-2</v>
      </c>
      <c r="E18" s="76">
        <v>-2.3111426369494203E-2</v>
      </c>
    </row>
    <row r="19" spans="1:5" x14ac:dyDescent="0.35">
      <c r="A19" s="77" t="s">
        <v>197</v>
      </c>
      <c r="B19" s="76">
        <v>-5.0184400736485808E-6</v>
      </c>
      <c r="C19" s="76">
        <v>-3.6479380804954289E-4</v>
      </c>
      <c r="D19" s="76">
        <v>-1.9166202328508414E-3</v>
      </c>
      <c r="E19" s="76">
        <v>-2.5621139531638369E-3</v>
      </c>
    </row>
    <row r="20" spans="1:5" x14ac:dyDescent="0.35">
      <c r="A20" s="77" t="s">
        <v>199</v>
      </c>
      <c r="B20" s="76">
        <v>1.2595294696763371E-4</v>
      </c>
      <c r="C20" s="76">
        <v>-1.2323788730475991E-2</v>
      </c>
      <c r="D20" s="76">
        <v>-4.6492249613246002E-2</v>
      </c>
      <c r="E20" s="76">
        <v>-6.1784391740372258E-2</v>
      </c>
    </row>
    <row r="21" spans="1:5" x14ac:dyDescent="0.35">
      <c r="A21" s="77" t="s">
        <v>200</v>
      </c>
      <c r="B21" s="76">
        <v>3.1563701620982066E-5</v>
      </c>
      <c r="C21" s="76">
        <v>-1.119809758408733E-3</v>
      </c>
      <c r="D21" s="76">
        <v>-4.236795689488506E-3</v>
      </c>
      <c r="E21" s="76">
        <v>-2.7439296127351923E-2</v>
      </c>
    </row>
    <row r="22" spans="1:5" x14ac:dyDescent="0.35">
      <c r="A22" s="77" t="s">
        <v>201</v>
      </c>
      <c r="B22" s="76">
        <v>-4.6571672861540111E-6</v>
      </c>
      <c r="C22" s="76">
        <v>-1.1953835303124567E-3</v>
      </c>
      <c r="D22" s="76">
        <v>-4.682312640833991E-3</v>
      </c>
      <c r="E22" s="76">
        <v>-7.1494340598544604E-3</v>
      </c>
    </row>
    <row r="23" spans="1:5" x14ac:dyDescent="0.35">
      <c r="A23" s="77" t="s">
        <v>202</v>
      </c>
      <c r="B23" s="76">
        <v>7.7939500943390177E-5</v>
      </c>
      <c r="C23" s="76">
        <v>-2.9701055161147863E-2</v>
      </c>
      <c r="D23" s="76">
        <v>-0.10761114030402226</v>
      </c>
      <c r="E23" s="76">
        <v>-0.14398897125193205</v>
      </c>
    </row>
    <row r="24" spans="1:5" x14ac:dyDescent="0.35">
      <c r="A24" s="77" t="s">
        <v>203</v>
      </c>
      <c r="B24" s="76">
        <v>-3.7087420546896094E-5</v>
      </c>
      <c r="C24" s="76">
        <v>-2.4967943021985569E-2</v>
      </c>
      <c r="D24" s="76">
        <v>-8.8162260797068459E-2</v>
      </c>
      <c r="E24" s="76">
        <v>-0.12032787659875654</v>
      </c>
    </row>
    <row r="25" spans="1:5" x14ac:dyDescent="0.35">
      <c r="A25" s="77" t="s">
        <v>204</v>
      </c>
      <c r="B25" s="76">
        <v>5.432437135104581E-5</v>
      </c>
      <c r="C25" s="76">
        <v>-7.902640772873136E-3</v>
      </c>
      <c r="D25" s="76">
        <v>-2.8347346337752426E-2</v>
      </c>
      <c r="E25" s="76">
        <v>-3.8710922702026203E-2</v>
      </c>
    </row>
    <row r="26" spans="1:5" x14ac:dyDescent="0.35">
      <c r="A26" s="77" t="s">
        <v>205</v>
      </c>
      <c r="B26" s="76">
        <v>2.0510433952471434E-4</v>
      </c>
      <c r="C26" s="76">
        <v>-2.6649209240415118E-2</v>
      </c>
      <c r="D26" s="76">
        <v>-9.4932105083496768E-2</v>
      </c>
      <c r="E26" s="76">
        <v>-0.1273572743149689</v>
      </c>
    </row>
    <row r="27" spans="1:5" x14ac:dyDescent="0.35">
      <c r="A27" s="77" t="s">
        <v>206</v>
      </c>
      <c r="B27" s="76">
        <v>-3.7031328558752896E-5</v>
      </c>
      <c r="C27" s="76">
        <v>-1.5705336752574364E-3</v>
      </c>
      <c r="D27" s="76">
        <v>-6.0120847996725704E-3</v>
      </c>
      <c r="E27" s="76">
        <v>-8.0510339630978211E-3</v>
      </c>
    </row>
    <row r="29" spans="1:5" x14ac:dyDescent="0.35">
      <c r="B29" t="s">
        <v>211</v>
      </c>
      <c r="C29" t="s">
        <v>212</v>
      </c>
      <c r="D29" t="s">
        <v>213</v>
      </c>
      <c r="E29" t="s">
        <v>214</v>
      </c>
    </row>
    <row r="30" spans="1:5" x14ac:dyDescent="0.35">
      <c r="A30" s="77" t="s">
        <v>198</v>
      </c>
      <c r="B30" s="76">
        <v>-2.2522550010140241E-5</v>
      </c>
      <c r="C30" s="76">
        <v>-4.5635638022264412E-3</v>
      </c>
      <c r="D30" s="76">
        <v>-1.7572462251396043E-2</v>
      </c>
      <c r="E30" s="76">
        <v>-2.3174052436291833E-2</v>
      </c>
    </row>
    <row r="31" spans="1:5" x14ac:dyDescent="0.35">
      <c r="A31" s="77" t="s">
        <v>197</v>
      </c>
      <c r="B31" s="76">
        <v>-1.3973050202026273E-4</v>
      </c>
      <c r="C31" s="76">
        <v>-2.9808521137087118E-4</v>
      </c>
      <c r="D31" s="76">
        <v>-1.9956232622964261E-3</v>
      </c>
      <c r="E31" s="76">
        <v>-2.5332365393095557E-3</v>
      </c>
    </row>
    <row r="32" spans="1:5" x14ac:dyDescent="0.35">
      <c r="A32" s="77" t="s">
        <v>199</v>
      </c>
      <c r="B32" s="76">
        <v>1.0748205039816963E-4</v>
      </c>
      <c r="C32" s="76">
        <v>-1.2844329267317997E-2</v>
      </c>
      <c r="D32" s="76">
        <v>-4.8054607847008074E-2</v>
      </c>
      <c r="E32" s="76">
        <v>-6.2955734274677891E-2</v>
      </c>
    </row>
    <row r="33" spans="1:5" x14ac:dyDescent="0.35">
      <c r="A33" s="77" t="s">
        <v>200</v>
      </c>
      <c r="B33" s="76">
        <v>2.0081571765080821E-5</v>
      </c>
      <c r="C33" s="76">
        <v>-1.134013734585196E-3</v>
      </c>
      <c r="D33" s="76">
        <v>-4.2864218900359611E-3</v>
      </c>
      <c r="E33" s="76">
        <v>-2.757473712902701E-2</v>
      </c>
    </row>
    <row r="34" spans="1:5" x14ac:dyDescent="0.35">
      <c r="A34" s="77" t="s">
        <v>201</v>
      </c>
      <c r="B34" s="76">
        <v>-1.7971927863753541E-5</v>
      </c>
      <c r="C34" s="76">
        <v>-1.1988762600784661E-3</v>
      </c>
      <c r="D34" s="76">
        <v>-4.7131314306811346E-3</v>
      </c>
      <c r="E34" s="76">
        <v>-7.1753987874139018E-3</v>
      </c>
    </row>
    <row r="35" spans="1:5" x14ac:dyDescent="0.35">
      <c r="A35" s="77" t="s">
        <v>202</v>
      </c>
      <c r="B35" s="76">
        <v>-1.9034661802308838E-5</v>
      </c>
      <c r="C35" s="76">
        <v>-3.1908737285766708E-2</v>
      </c>
      <c r="D35" s="76">
        <v>-0.11737822831592243</v>
      </c>
      <c r="E35" s="76">
        <v>-0.14981612529880484</v>
      </c>
    </row>
    <row r="36" spans="1:5" x14ac:dyDescent="0.35">
      <c r="A36" s="77" t="s">
        <v>203</v>
      </c>
      <c r="B36" s="76">
        <v>-2.4081234891303594E-4</v>
      </c>
      <c r="C36" s="76">
        <v>-2.5500311246232362E-2</v>
      </c>
      <c r="D36" s="76">
        <v>-9.0056334639821295E-2</v>
      </c>
      <c r="E36" s="76">
        <v>-0.12226838552095998</v>
      </c>
    </row>
    <row r="37" spans="1:5" x14ac:dyDescent="0.35">
      <c r="A37" s="77" t="s">
        <v>204</v>
      </c>
      <c r="B37" s="76">
        <v>-1.0961320475492997E-4</v>
      </c>
      <c r="C37" s="76">
        <v>-7.9794837494997235E-3</v>
      </c>
      <c r="D37" s="76">
        <v>-2.8846735692297346E-2</v>
      </c>
      <c r="E37" s="76">
        <v>-3.9129937091113794E-2</v>
      </c>
    </row>
    <row r="38" spans="1:5" x14ac:dyDescent="0.35">
      <c r="A38" s="77" t="s">
        <v>205</v>
      </c>
      <c r="B38" s="76">
        <v>3.2062932131013156E-5</v>
      </c>
      <c r="C38" s="76">
        <v>-2.7066636458247414E-2</v>
      </c>
      <c r="D38" s="76">
        <v>-9.6822727109720841E-2</v>
      </c>
      <c r="E38" s="76">
        <v>-0.12839986518234808</v>
      </c>
    </row>
    <row r="39" spans="1:5" x14ac:dyDescent="0.35">
      <c r="A39" s="77" t="s">
        <v>206</v>
      </c>
      <c r="B39" s="76">
        <v>2.3476370978160404E-6</v>
      </c>
      <c r="C39" s="76">
        <v>-2.3873528196404585E-3</v>
      </c>
      <c r="D39" s="76">
        <v>-9.9473750921683663E-3</v>
      </c>
      <c r="E39" s="76">
        <v>-1.0349704518134889E-2</v>
      </c>
    </row>
    <row r="41" spans="1:5" x14ac:dyDescent="0.35">
      <c r="B41" t="s">
        <v>215</v>
      </c>
      <c r="C41" t="s">
        <v>216</v>
      </c>
      <c r="D41" t="s">
        <v>217</v>
      </c>
      <c r="E41" t="s">
        <v>218</v>
      </c>
    </row>
    <row r="42" spans="1:5" x14ac:dyDescent="0.35">
      <c r="A42" s="77" t="s">
        <v>198</v>
      </c>
      <c r="B42" s="76">
        <v>2.3028524012269595E-6</v>
      </c>
      <c r="C42" s="76">
        <v>-4.4258633695950043E-3</v>
      </c>
      <c r="D42" s="76">
        <v>-1.7269776823746537E-2</v>
      </c>
      <c r="E42" s="76">
        <v>-2.2382303675038514E-2</v>
      </c>
    </row>
    <row r="43" spans="1:5" x14ac:dyDescent="0.35">
      <c r="A43" s="77" t="s">
        <v>197</v>
      </c>
      <c r="B43" s="76">
        <v>6.7820665998743064E-5</v>
      </c>
      <c r="C43" s="76">
        <v>-1.5499761838995153E-4</v>
      </c>
      <c r="D43" s="76">
        <v>-1.6638416032268451E-3</v>
      </c>
      <c r="E43" s="76">
        <v>-1.8322245949015941E-3</v>
      </c>
    </row>
    <row r="44" spans="1:5" x14ac:dyDescent="0.35">
      <c r="A44" s="77" t="s">
        <v>199</v>
      </c>
      <c r="B44" s="76">
        <v>2.5358907011441593E-4</v>
      </c>
      <c r="C44" s="76">
        <v>-7.09593655331172E-3</v>
      </c>
      <c r="D44" s="76">
        <v>-3.3680213122878888E-2</v>
      </c>
      <c r="E44" s="76">
        <v>-3.1883870472217427E-2</v>
      </c>
    </row>
    <row r="45" spans="1:5" x14ac:dyDescent="0.35">
      <c r="A45" s="77" t="s">
        <v>200</v>
      </c>
      <c r="B45" s="76">
        <v>6.2523154652657987E-5</v>
      </c>
      <c r="C45" s="76">
        <v>-9.1935657628250574E-4</v>
      </c>
      <c r="D45" s="76">
        <v>-3.9115930717119598E-3</v>
      </c>
      <c r="E45" s="76">
        <v>-2.345589799913007E-2</v>
      </c>
    </row>
    <row r="46" spans="1:5" x14ac:dyDescent="0.35">
      <c r="A46" s="77" t="s">
        <v>201</v>
      </c>
      <c r="B46" s="76">
        <v>4.7717493668776508E-6</v>
      </c>
      <c r="C46" s="76">
        <v>-1.1471551658663543E-3</v>
      </c>
      <c r="D46" s="76">
        <v>-4.6103929212246725E-3</v>
      </c>
      <c r="E46" s="76">
        <v>-6.8838174574515016E-3</v>
      </c>
    </row>
    <row r="47" spans="1:5" x14ac:dyDescent="0.35">
      <c r="A47" s="77" t="s">
        <v>202</v>
      </c>
      <c r="B47" s="76">
        <v>1.1191067375441809E-4</v>
      </c>
      <c r="C47" s="76">
        <v>-2.940223689647066E-2</v>
      </c>
      <c r="D47" s="76">
        <v>-0.11179133401428686</v>
      </c>
      <c r="E47" s="76">
        <v>-0.13969777138668546</v>
      </c>
    </row>
    <row r="48" spans="1:5" x14ac:dyDescent="0.35">
      <c r="A48" s="77" t="s">
        <v>203</v>
      </c>
      <c r="B48" s="76">
        <v>5.6347115870963231E-6</v>
      </c>
      <c r="C48" s="76">
        <v>-2.5123321675790865E-2</v>
      </c>
      <c r="D48" s="76">
        <v>-8.952370566850637E-2</v>
      </c>
      <c r="E48" s="76">
        <v>-0.12051072534772519</v>
      </c>
    </row>
    <row r="49" spans="1:5" x14ac:dyDescent="0.35">
      <c r="A49" s="77" t="s">
        <v>204</v>
      </c>
      <c r="B49" s="76">
        <v>9.212891778673498E-5</v>
      </c>
      <c r="C49" s="76">
        <v>-7.6065236288765581E-3</v>
      </c>
      <c r="D49" s="76">
        <v>-2.8097132111425484E-2</v>
      </c>
      <c r="E49" s="76">
        <v>-3.7100357806472396E-2</v>
      </c>
    </row>
    <row r="50" spans="1:5" x14ac:dyDescent="0.35">
      <c r="A50" s="77" t="s">
        <v>205</v>
      </c>
      <c r="B50" s="76">
        <v>2.2343960257415881E-4</v>
      </c>
      <c r="C50" s="76">
        <v>-2.6534182967965978E-2</v>
      </c>
      <c r="D50" s="76">
        <v>-9.5706145542904755E-2</v>
      </c>
      <c r="E50" s="76">
        <v>-0.12616519210601115</v>
      </c>
    </row>
    <row r="51" spans="1:5" x14ac:dyDescent="0.35">
      <c r="A51" s="77" t="s">
        <v>206</v>
      </c>
      <c r="B51" s="76">
        <v>-2.3268829598974306E-5</v>
      </c>
      <c r="C51" s="76">
        <v>-1.9289069801665295E-3</v>
      </c>
      <c r="D51" s="76">
        <v>-8.3564098414654255E-3</v>
      </c>
      <c r="E51" s="76">
        <v>-9.5495661550576288E-3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Results_list</vt:lpstr>
      <vt:lpstr>Results_total</vt:lpstr>
      <vt:lpstr>Results_filtered</vt:lpstr>
      <vt:lpstr>Results_NMC111</vt:lpstr>
      <vt:lpstr>SSP1_Baseline</vt:lpstr>
      <vt:lpstr>SSP1_VSI</vt:lpstr>
      <vt:lpstr>SSP2_Baseline</vt:lpstr>
      <vt:lpstr>SSP2_VSI</vt:lpstr>
      <vt:lpstr>SSP5_Baseline</vt:lpstr>
      <vt:lpstr>SSP5_VSI</vt:lpstr>
      <vt:lpstr>NMC_results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Mendonca Severiano</dc:creator>
  <cp:lastModifiedBy>Bernardo Mendonca Severiano</cp:lastModifiedBy>
  <cp:lastPrinted>2025-03-07T06:17:28Z</cp:lastPrinted>
  <dcterms:created xsi:type="dcterms:W3CDTF">2024-12-08T04:12:41Z</dcterms:created>
  <dcterms:modified xsi:type="dcterms:W3CDTF">2025-06-11T04:27:42Z</dcterms:modified>
</cp:coreProperties>
</file>